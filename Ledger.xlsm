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b3ba9fcceb20fee/Desktop/finanzas/"/>
    </mc:Choice>
  </mc:AlternateContent>
  <xr:revisionPtr revIDLastSave="3323" documentId="13_ncr:1_{2E7ACB75-6BAC-4B8E-8D11-9E42691C629F}" xr6:coauthVersionLast="47" xr6:coauthVersionMax="47" xr10:uidLastSave="{12B6030E-D8CA-4EB3-9293-40D7ADFE7127}"/>
  <bookViews>
    <workbookView xWindow="-120" yWindow="-120" windowWidth="29040" windowHeight="15720" activeTab="3" xr2:uid="{CAD7BAA7-3ABE-4D3A-A372-57BF0C32FD22}"/>
  </bookViews>
  <sheets>
    <sheet name="IRR" sheetId="10" r:id="rId1"/>
    <sheet name="ROI" sheetId="7" r:id="rId2"/>
    <sheet name="NetWorth" sheetId="6" r:id="rId3"/>
    <sheet name="Budget" sheetId="8" r:id="rId4"/>
    <sheet name="MonthSummary" sheetId="3" r:id="rId5"/>
    <sheet name="AccountSummary" sheetId="5" r:id="rId6"/>
    <sheet name="Subcriptions" sheetId="9" r:id="rId7"/>
    <sheet name="Data" sheetId="1" r:id="rId8"/>
    <sheet name="MarketData" sheetId="2" r:id="rId9"/>
  </sheets>
  <functionGroups builtInGroupCount="19"/>
  <definedNames>
    <definedName name="Alimentacion">Data!$T:$T</definedName>
    <definedName name="Bonos">Data!$P:$P</definedName>
    <definedName name="Cuenta">Data!$C:$C</definedName>
    <definedName name="Educacion">Data!$AD:$AD</definedName>
    <definedName name="Emergencias">Data!$AF:$AF</definedName>
    <definedName name="end_date">MarketData!$B$2</definedName>
    <definedName name="Fecha">Data!$A:$A</definedName>
    <definedName name="FX">Data!$AH:$AH</definedName>
    <definedName name="HasVM">Data!$AL$2:$AL$1048576</definedName>
    <definedName name="Hobby">Data!$AC:$AC</definedName>
    <definedName name="Impuestos">Data!$AE:$AE</definedName>
    <definedName name="Ingreso">Data!$O:$O</definedName>
    <definedName name="Linea">Data!$D:$D</definedName>
    <definedName name="Pedidos">Data!$U:$U</definedName>
    <definedName name="Personal">Data!$AB:$AB</definedName>
    <definedName name="PnL">Data!$N:$N</definedName>
    <definedName name="Producto">#REF!</definedName>
    <definedName name="Salidas">Data!$V:$V</definedName>
    <definedName name="Salud">Data!$S:$S</definedName>
    <definedName name="Seguros">Data!$Y:$Y</definedName>
    <definedName name="Snacks">Data!$W:$W</definedName>
    <definedName name="start_date">MarketData!$B$1</definedName>
    <definedName name="Suscripciones">Data!$AA:$AA</definedName>
    <definedName name="Titular">Data!$B:$B</definedName>
    <definedName name="Total">Data!$M:$M</definedName>
    <definedName name="Transferencias">Data!$Q:$Q</definedName>
    <definedName name="Transporte">Data!$X:$X</definedName>
    <definedName name="Uber">Data!$Z:$Z</definedName>
    <definedName name="Unexplained">Data!$AJ:$AJ</definedName>
    <definedName name="Vacaciones">Data!$AG:$AG</definedName>
    <definedName name="Vivienda">Data!$R:$R</definedName>
    <definedName name="VM">Data!$AI:$AI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5" l="1"/>
  <c r="C2" i="5" s="1"/>
  <c r="C1" i="3"/>
  <c r="D1" i="3" s="1"/>
  <c r="E1" i="3" s="1"/>
  <c r="E2" i="3" s="1"/>
  <c r="C1" i="8"/>
  <c r="E376" i="1"/>
  <c r="I376" i="1" s="1"/>
  <c r="F380" i="1"/>
  <c r="J380" i="1" s="1"/>
  <c r="Z376" i="1"/>
  <c r="J383" i="1"/>
  <c r="I383" i="1"/>
  <c r="J382" i="1"/>
  <c r="I382" i="1"/>
  <c r="J381" i="1"/>
  <c r="I381" i="1"/>
  <c r="I380" i="1"/>
  <c r="J379" i="1"/>
  <c r="I379" i="1"/>
  <c r="J378" i="1"/>
  <c r="I378" i="1"/>
  <c r="J377" i="1"/>
  <c r="I377" i="1"/>
  <c r="J376" i="1"/>
  <c r="A376" i="1"/>
  <c r="A375" i="1" s="1"/>
  <c r="J375" i="1"/>
  <c r="I375" i="1"/>
  <c r="L374" i="1"/>
  <c r="L376" i="1" s="1"/>
  <c r="K374" i="1"/>
  <c r="K376" i="1" s="1"/>
  <c r="J374" i="1"/>
  <c r="I374" i="1"/>
  <c r="B2" i="10"/>
  <c r="C14" i="8"/>
  <c r="F370" i="1"/>
  <c r="J370" i="1" s="1"/>
  <c r="W366" i="1"/>
  <c r="Q364" i="1"/>
  <c r="J373" i="1"/>
  <c r="I373" i="1"/>
  <c r="J372" i="1"/>
  <c r="I372" i="1"/>
  <c r="J371" i="1"/>
  <c r="I371" i="1"/>
  <c r="I370" i="1"/>
  <c r="J369" i="1"/>
  <c r="I369" i="1"/>
  <c r="J368" i="1"/>
  <c r="I368" i="1"/>
  <c r="J367" i="1"/>
  <c r="I367" i="1"/>
  <c r="J366" i="1"/>
  <c r="I366" i="1"/>
  <c r="A366" i="1"/>
  <c r="A367" i="1" s="1"/>
  <c r="A368" i="1" s="1"/>
  <c r="A369" i="1" s="1"/>
  <c r="J365" i="1"/>
  <c r="I365" i="1"/>
  <c r="A365" i="1"/>
  <c r="L364" i="1"/>
  <c r="L366" i="1" s="1"/>
  <c r="K364" i="1"/>
  <c r="K366" i="1" s="1"/>
  <c r="Q366" i="1" s="1"/>
  <c r="J364" i="1"/>
  <c r="I364" i="1"/>
  <c r="B2" i="2"/>
  <c r="I357" i="1"/>
  <c r="F360" i="1"/>
  <c r="J360" i="1" s="1"/>
  <c r="S356" i="1"/>
  <c r="W356" i="1"/>
  <c r="J363" i="1"/>
  <c r="I363" i="1"/>
  <c r="J362" i="1"/>
  <c r="I362" i="1"/>
  <c r="J361" i="1"/>
  <c r="I361" i="1"/>
  <c r="I360" i="1"/>
  <c r="J359" i="1"/>
  <c r="I359" i="1"/>
  <c r="J358" i="1"/>
  <c r="I358" i="1"/>
  <c r="J357" i="1"/>
  <c r="J356" i="1"/>
  <c r="I356" i="1"/>
  <c r="A356" i="1"/>
  <c r="A357" i="1" s="1"/>
  <c r="A358" i="1" s="1"/>
  <c r="A359" i="1" s="1"/>
  <c r="J355" i="1"/>
  <c r="I355" i="1"/>
  <c r="L354" i="1"/>
  <c r="L356" i="1" s="1"/>
  <c r="K354" i="1"/>
  <c r="K356" i="1" s="1"/>
  <c r="J354" i="1"/>
  <c r="I354" i="1"/>
  <c r="C69" i="5"/>
  <c r="C66" i="5"/>
  <c r="C63" i="5"/>
  <c r="C60" i="5"/>
  <c r="C57" i="5"/>
  <c r="C58" i="5"/>
  <c r="C55" i="5"/>
  <c r="C61" i="5"/>
  <c r="C68" i="5"/>
  <c r="C65" i="5"/>
  <c r="C62" i="5"/>
  <c r="C59" i="5"/>
  <c r="C56" i="5"/>
  <c r="C67" i="5"/>
  <c r="G1" i="8" l="1"/>
  <c r="J1" i="8" s="1"/>
  <c r="D1" i="5"/>
  <c r="D6" i="5" s="1"/>
  <c r="F1" i="3"/>
  <c r="C2" i="3"/>
  <c r="D2" i="3"/>
  <c r="C6" i="5"/>
  <c r="E6" i="3"/>
  <c r="M374" i="1"/>
  <c r="N374" i="1" s="1"/>
  <c r="K375" i="1"/>
  <c r="AH375" i="1" s="1"/>
  <c r="K377" i="1"/>
  <c r="K378" i="1" s="1"/>
  <c r="K379" i="1" s="1"/>
  <c r="M376" i="1"/>
  <c r="N376" i="1" s="1"/>
  <c r="AH376" i="1"/>
  <c r="L375" i="1"/>
  <c r="L377" i="1"/>
  <c r="L378" i="1" s="1"/>
  <c r="L379" i="1" s="1"/>
  <c r="A377" i="1"/>
  <c r="A378" i="1" s="1"/>
  <c r="A379" i="1" s="1"/>
  <c r="AH374" i="1"/>
  <c r="M364" i="1"/>
  <c r="A370" i="1"/>
  <c r="A371" i="1" s="1"/>
  <c r="A373" i="1" s="1"/>
  <c r="A372" i="1"/>
  <c r="M366" i="1"/>
  <c r="K365" i="1"/>
  <c r="AH365" i="1" s="1"/>
  <c r="K367" i="1"/>
  <c r="K368" i="1" s="1"/>
  <c r="K369" i="1" s="1"/>
  <c r="L365" i="1"/>
  <c r="L367" i="1"/>
  <c r="L368" i="1" s="1"/>
  <c r="L369" i="1" s="1"/>
  <c r="M356" i="1"/>
  <c r="A355" i="1"/>
  <c r="M354" i="1"/>
  <c r="L357" i="1"/>
  <c r="L358" i="1" s="1"/>
  <c r="L359" i="1" s="1"/>
  <c r="L355" i="1"/>
  <c r="A360" i="1"/>
  <c r="A361" i="1" s="1"/>
  <c r="A363" i="1" s="1"/>
  <c r="A362" i="1"/>
  <c r="K357" i="1"/>
  <c r="K358" i="1" s="1"/>
  <c r="K359" i="1" s="1"/>
  <c r="K355" i="1"/>
  <c r="M355" i="1" s="1"/>
  <c r="D16" i="8"/>
  <c r="C16" i="8" s="1"/>
  <c r="D15" i="8"/>
  <c r="C15" i="8" s="1"/>
  <c r="D9" i="8"/>
  <c r="J7" i="5" a="1"/>
  <c r="F350" i="1"/>
  <c r="J350" i="1" s="1"/>
  <c r="E347" i="1"/>
  <c r="I347" i="1" s="1"/>
  <c r="U346" i="1"/>
  <c r="W346" i="1"/>
  <c r="J353" i="1"/>
  <c r="I353" i="1"/>
  <c r="J352" i="1"/>
  <c r="I352" i="1"/>
  <c r="J351" i="1"/>
  <c r="I351" i="1"/>
  <c r="I350" i="1"/>
  <c r="J349" i="1"/>
  <c r="I349" i="1"/>
  <c r="J348" i="1"/>
  <c r="I348" i="1"/>
  <c r="J347" i="1"/>
  <c r="J346" i="1"/>
  <c r="I346" i="1"/>
  <c r="A346" i="1"/>
  <c r="A347" i="1" s="1"/>
  <c r="A348" i="1" s="1"/>
  <c r="A349" i="1" s="1"/>
  <c r="J345" i="1"/>
  <c r="I345" i="1"/>
  <c r="A345" i="1"/>
  <c r="L344" i="1"/>
  <c r="L346" i="1" s="1"/>
  <c r="K344" i="1"/>
  <c r="K346" i="1" s="1"/>
  <c r="AA346" i="1" s="1"/>
  <c r="J344" i="1"/>
  <c r="I344" i="1"/>
  <c r="D8" i="8"/>
  <c r="C8" i="8" s="1"/>
  <c r="J31" i="5" a="1"/>
  <c r="Q334" i="1"/>
  <c r="V334" i="1"/>
  <c r="V343" i="1"/>
  <c r="E336" i="1"/>
  <c r="Z336" i="1"/>
  <c r="V314" i="1"/>
  <c r="J343" i="1"/>
  <c r="I343" i="1"/>
  <c r="J342" i="1"/>
  <c r="I342" i="1"/>
  <c r="J341" i="1"/>
  <c r="I341" i="1"/>
  <c r="J340" i="1"/>
  <c r="I340" i="1"/>
  <c r="J339" i="1"/>
  <c r="I339" i="1"/>
  <c r="J338" i="1"/>
  <c r="I338" i="1"/>
  <c r="J337" i="1"/>
  <c r="I337" i="1"/>
  <c r="J336" i="1"/>
  <c r="I336" i="1"/>
  <c r="A336" i="1"/>
  <c r="A335" i="1" s="1"/>
  <c r="J335" i="1"/>
  <c r="I335" i="1"/>
  <c r="L334" i="1"/>
  <c r="L336" i="1" s="1"/>
  <c r="K334" i="1"/>
  <c r="K336" i="1" s="1"/>
  <c r="Q336" i="1" s="1"/>
  <c r="J334" i="1"/>
  <c r="I334" i="1"/>
  <c r="E9" i="8"/>
  <c r="C21" i="8"/>
  <c r="C20" i="8"/>
  <c r="C19" i="8"/>
  <c r="C18" i="8"/>
  <c r="C17" i="8"/>
  <c r="J333" i="1"/>
  <c r="I333" i="1"/>
  <c r="J332" i="1"/>
  <c r="I332" i="1"/>
  <c r="J331" i="1"/>
  <c r="I331" i="1"/>
  <c r="J330" i="1"/>
  <c r="I330" i="1"/>
  <c r="J329" i="1"/>
  <c r="I329" i="1"/>
  <c r="J328" i="1"/>
  <c r="I328" i="1"/>
  <c r="J327" i="1"/>
  <c r="I327" i="1"/>
  <c r="J326" i="1"/>
  <c r="I326" i="1"/>
  <c r="A326" i="1"/>
  <c r="A325" i="1" s="1"/>
  <c r="J325" i="1"/>
  <c r="I325" i="1"/>
  <c r="L324" i="1"/>
  <c r="L326" i="1" s="1"/>
  <c r="K324" i="1"/>
  <c r="J324" i="1"/>
  <c r="I324" i="1"/>
  <c r="U316" i="1"/>
  <c r="Z316" i="1"/>
  <c r="W316" i="1"/>
  <c r="AA314" i="1"/>
  <c r="J323" i="1"/>
  <c r="I323" i="1"/>
  <c r="J322" i="1"/>
  <c r="I322" i="1"/>
  <c r="J321" i="1"/>
  <c r="I321" i="1"/>
  <c r="I320" i="1"/>
  <c r="J320" i="1"/>
  <c r="J319" i="1"/>
  <c r="I319" i="1"/>
  <c r="J318" i="1"/>
  <c r="I318" i="1"/>
  <c r="J317" i="1"/>
  <c r="I317" i="1"/>
  <c r="J316" i="1"/>
  <c r="I316" i="1"/>
  <c r="A316" i="1"/>
  <c r="A315" i="1" s="1"/>
  <c r="J315" i="1"/>
  <c r="I315" i="1"/>
  <c r="L314" i="1"/>
  <c r="L316" i="1" s="1"/>
  <c r="K314" i="1"/>
  <c r="K316" i="1" s="1"/>
  <c r="J314" i="1"/>
  <c r="I314" i="1"/>
  <c r="AB83" i="1"/>
  <c r="AA83" i="1"/>
  <c r="C13" i="8"/>
  <c r="C12" i="8"/>
  <c r="C11" i="8"/>
  <c r="C10" i="8"/>
  <c r="J313" i="1"/>
  <c r="I313" i="1"/>
  <c r="J312" i="1"/>
  <c r="I312" i="1"/>
  <c r="J311" i="1"/>
  <c r="I311" i="1"/>
  <c r="I310" i="1"/>
  <c r="F310" i="1"/>
  <c r="J310" i="1" s="1"/>
  <c r="J309" i="1"/>
  <c r="I309" i="1"/>
  <c r="J308" i="1"/>
  <c r="I308" i="1"/>
  <c r="J307" i="1"/>
  <c r="I307" i="1"/>
  <c r="J306" i="1"/>
  <c r="I306" i="1"/>
  <c r="A306" i="1"/>
  <c r="A305" i="1" s="1"/>
  <c r="J305" i="1"/>
  <c r="I305" i="1"/>
  <c r="L304" i="1"/>
  <c r="L306" i="1" s="1"/>
  <c r="K304" i="1"/>
  <c r="K306" i="1" s="1"/>
  <c r="J304" i="1"/>
  <c r="I304" i="1"/>
  <c r="F300" i="1"/>
  <c r="J303" i="1"/>
  <c r="I303" i="1"/>
  <c r="J302" i="1"/>
  <c r="I302" i="1"/>
  <c r="J301" i="1"/>
  <c r="I301" i="1"/>
  <c r="I300" i="1"/>
  <c r="J300" i="1"/>
  <c r="J299" i="1"/>
  <c r="I299" i="1"/>
  <c r="J298" i="1"/>
  <c r="I298" i="1"/>
  <c r="J297" i="1"/>
  <c r="I297" i="1"/>
  <c r="J296" i="1"/>
  <c r="I296" i="1"/>
  <c r="A296" i="1"/>
  <c r="A297" i="1" s="1"/>
  <c r="A298" i="1" s="1"/>
  <c r="A299" i="1" s="1"/>
  <c r="J295" i="1"/>
  <c r="I295" i="1"/>
  <c r="A295" i="1"/>
  <c r="L294" i="1"/>
  <c r="L296" i="1" s="1"/>
  <c r="K294" i="1"/>
  <c r="K296" i="1" s="1"/>
  <c r="J294" i="1"/>
  <c r="I294" i="1"/>
  <c r="Q284" i="1"/>
  <c r="U286" i="1"/>
  <c r="W286" i="1"/>
  <c r="I284" i="1"/>
  <c r="J293" i="1"/>
  <c r="I293" i="1"/>
  <c r="J292" i="1"/>
  <c r="I292" i="1"/>
  <c r="J291" i="1"/>
  <c r="I291" i="1"/>
  <c r="I290" i="1"/>
  <c r="F290" i="1"/>
  <c r="J290" i="1" s="1"/>
  <c r="J289" i="1"/>
  <c r="I289" i="1"/>
  <c r="J288" i="1"/>
  <c r="I288" i="1"/>
  <c r="J287" i="1"/>
  <c r="I287" i="1"/>
  <c r="J286" i="1"/>
  <c r="I286" i="1"/>
  <c r="A286" i="1"/>
  <c r="A285" i="1" s="1"/>
  <c r="J285" i="1"/>
  <c r="I285" i="1"/>
  <c r="L284" i="1"/>
  <c r="L286" i="1" s="1"/>
  <c r="K284" i="1"/>
  <c r="K286" i="1" s="1"/>
  <c r="AD286" i="1" s="1"/>
  <c r="J284" i="1"/>
  <c r="J283" i="1"/>
  <c r="I283" i="1"/>
  <c r="J282" i="1"/>
  <c r="I282" i="1"/>
  <c r="F280" i="1"/>
  <c r="J280" i="1" s="1"/>
  <c r="J281" i="1"/>
  <c r="I281" i="1"/>
  <c r="I280" i="1"/>
  <c r="J279" i="1"/>
  <c r="I279" i="1"/>
  <c r="J278" i="1"/>
  <c r="I278" i="1"/>
  <c r="J277" i="1"/>
  <c r="I277" i="1"/>
  <c r="J276" i="1"/>
  <c r="I276" i="1"/>
  <c r="A276" i="1"/>
  <c r="A277" i="1" s="1"/>
  <c r="A278" i="1" s="1"/>
  <c r="A279" i="1" s="1"/>
  <c r="A280" i="1" s="1"/>
  <c r="A281" i="1" s="1"/>
  <c r="A283" i="1" s="1"/>
  <c r="J275" i="1"/>
  <c r="I275" i="1"/>
  <c r="L274" i="1"/>
  <c r="L276" i="1" s="1"/>
  <c r="K274" i="1"/>
  <c r="J274" i="1"/>
  <c r="I274" i="1"/>
  <c r="AA179" i="1"/>
  <c r="AA99" i="1"/>
  <c r="AA75" i="1"/>
  <c r="W267" i="1"/>
  <c r="F271" i="1"/>
  <c r="J271" i="1" s="1"/>
  <c r="J273" i="1"/>
  <c r="I273" i="1"/>
  <c r="J272" i="1"/>
  <c r="I272" i="1"/>
  <c r="I271" i="1"/>
  <c r="J270" i="1"/>
  <c r="I270" i="1"/>
  <c r="J269" i="1"/>
  <c r="I269" i="1"/>
  <c r="J268" i="1"/>
  <c r="I268" i="1"/>
  <c r="J267" i="1"/>
  <c r="I267" i="1"/>
  <c r="A267" i="1"/>
  <c r="A268" i="1" s="1"/>
  <c r="A269" i="1" s="1"/>
  <c r="A270" i="1" s="1"/>
  <c r="A271" i="1" s="1"/>
  <c r="A272" i="1" s="1"/>
  <c r="A273" i="1" s="1"/>
  <c r="J266" i="1"/>
  <c r="I266" i="1"/>
  <c r="L265" i="1"/>
  <c r="L267" i="1" s="1"/>
  <c r="L268" i="1" s="1"/>
  <c r="L269" i="1" s="1"/>
  <c r="L270" i="1" s="1"/>
  <c r="L271" i="1" s="1"/>
  <c r="L272" i="1" s="1"/>
  <c r="L273" i="1" s="1"/>
  <c r="K265" i="1"/>
  <c r="J265" i="1"/>
  <c r="I265" i="1"/>
  <c r="U258" i="1"/>
  <c r="W258" i="1"/>
  <c r="V258" i="1"/>
  <c r="Q256" i="1"/>
  <c r="F262" i="1"/>
  <c r="J262" i="1" s="1"/>
  <c r="J264" i="1"/>
  <c r="I264" i="1"/>
  <c r="J263" i="1"/>
  <c r="I263" i="1"/>
  <c r="I262" i="1"/>
  <c r="J261" i="1"/>
  <c r="I261" i="1"/>
  <c r="J260" i="1"/>
  <c r="I260" i="1"/>
  <c r="J259" i="1"/>
  <c r="I259" i="1"/>
  <c r="J258" i="1"/>
  <c r="I258" i="1"/>
  <c r="A258" i="1"/>
  <c r="A259" i="1" s="1"/>
  <c r="A260" i="1" s="1"/>
  <c r="A261" i="1" s="1"/>
  <c r="A262" i="1" s="1"/>
  <c r="A263" i="1" s="1"/>
  <c r="A264" i="1" s="1"/>
  <c r="J257" i="1"/>
  <c r="I257" i="1"/>
  <c r="L256" i="1"/>
  <c r="L258" i="1" s="1"/>
  <c r="K256" i="1"/>
  <c r="K258" i="1" s="1"/>
  <c r="J256" i="1"/>
  <c r="I256" i="1"/>
  <c r="BT46" i="7"/>
  <c r="BT47" i="7"/>
  <c r="BT48" i="7"/>
  <c r="BT49" i="7"/>
  <c r="BT50" i="7"/>
  <c r="BT51" i="7"/>
  <c r="BT52" i="7"/>
  <c r="BT53" i="7"/>
  <c r="BT54" i="7"/>
  <c r="BT55" i="7"/>
  <c r="BT56" i="7"/>
  <c r="BT57" i="7"/>
  <c r="BT58" i="7"/>
  <c r="BT59" i="7"/>
  <c r="BT60" i="7"/>
  <c r="BT61" i="7"/>
  <c r="BT62" i="7"/>
  <c r="BT63" i="7"/>
  <c r="BT64" i="7"/>
  <c r="BT65" i="7"/>
  <c r="BT66" i="7"/>
  <c r="BT67" i="7"/>
  <c r="BT68" i="7"/>
  <c r="BT69" i="7"/>
  <c r="BT70" i="7"/>
  <c r="BT71" i="7"/>
  <c r="BT72" i="7"/>
  <c r="BT73" i="7"/>
  <c r="BT74" i="7"/>
  <c r="BT75" i="7"/>
  <c r="BT76" i="7"/>
  <c r="BT77" i="7"/>
  <c r="BT78" i="7"/>
  <c r="BT79" i="7"/>
  <c r="BT80" i="7"/>
  <c r="BT81" i="7"/>
  <c r="BT82" i="7"/>
  <c r="BT83" i="7"/>
  <c r="BT84" i="7"/>
  <c r="BT85" i="7"/>
  <c r="BT86" i="7"/>
  <c r="BT87" i="7"/>
  <c r="BT88" i="7"/>
  <c r="BT89" i="7"/>
  <c r="BT90" i="7"/>
  <c r="BT91" i="7"/>
  <c r="BT92" i="7"/>
  <c r="BT93" i="7"/>
  <c r="BT94" i="7"/>
  <c r="BT95" i="7"/>
  <c r="BT96" i="7"/>
  <c r="BT97" i="7"/>
  <c r="BT98" i="7"/>
  <c r="BT99" i="7"/>
  <c r="BT100" i="7"/>
  <c r="BT101" i="7"/>
  <c r="BT102" i="7"/>
  <c r="BT103" i="7"/>
  <c r="BT104" i="7"/>
  <c r="BT105" i="7"/>
  <c r="BT106" i="7"/>
  <c r="BT107" i="7"/>
  <c r="BT108" i="7"/>
  <c r="BT109" i="7"/>
  <c r="BT110" i="7"/>
  <c r="BT111" i="7"/>
  <c r="BT112" i="7"/>
  <c r="BT113" i="7"/>
  <c r="BT114" i="7"/>
  <c r="BT115" i="7"/>
  <c r="BT116" i="7"/>
  <c r="BT117" i="7"/>
  <c r="BT118" i="7"/>
  <c r="BT119" i="7"/>
  <c r="BT120" i="7"/>
  <c r="BT121" i="7"/>
  <c r="BT122" i="7"/>
  <c r="BT123" i="7"/>
  <c r="BT124" i="7"/>
  <c r="BT125" i="7"/>
  <c r="BT126" i="7"/>
  <c r="BT127" i="7"/>
  <c r="BT128" i="7"/>
  <c r="BT129" i="7"/>
  <c r="BT130" i="7"/>
  <c r="BT131" i="7"/>
  <c r="BT132" i="7"/>
  <c r="BT133" i="7"/>
  <c r="BT134" i="7"/>
  <c r="BT135" i="7"/>
  <c r="BT136" i="7"/>
  <c r="BT137" i="7"/>
  <c r="BT138" i="7"/>
  <c r="BT139" i="7"/>
  <c r="BT140" i="7"/>
  <c r="BT141" i="7"/>
  <c r="BT142" i="7"/>
  <c r="BT143" i="7"/>
  <c r="BT144" i="7"/>
  <c r="BT145" i="7"/>
  <c r="BT146" i="7"/>
  <c r="BT147" i="7"/>
  <c r="BT148" i="7"/>
  <c r="BT149" i="7"/>
  <c r="BT150" i="7"/>
  <c r="BT151" i="7"/>
  <c r="BT152" i="7"/>
  <c r="BT153" i="7"/>
  <c r="BT154" i="7"/>
  <c r="BT155" i="7"/>
  <c r="BT156" i="7"/>
  <c r="BT157" i="7"/>
  <c r="BT158" i="7"/>
  <c r="BT159" i="7"/>
  <c r="BT160" i="7"/>
  <c r="BT161" i="7"/>
  <c r="BT162" i="7"/>
  <c r="BT163" i="7"/>
  <c r="BT164" i="7"/>
  <c r="BT165" i="7"/>
  <c r="BT166" i="7"/>
  <c r="BT167" i="7"/>
  <c r="BT168" i="7"/>
  <c r="BT169" i="7"/>
  <c r="BT170" i="7"/>
  <c r="BT171" i="7"/>
  <c r="BT172" i="7"/>
  <c r="BT173" i="7"/>
  <c r="BT174" i="7"/>
  <c r="BT175" i="7"/>
  <c r="BT176" i="7"/>
  <c r="BT177" i="7"/>
  <c r="BT178" i="7"/>
  <c r="BT179" i="7"/>
  <c r="BT180" i="7"/>
  <c r="BT181" i="7"/>
  <c r="BT182" i="7"/>
  <c r="BT183" i="7"/>
  <c r="BT184" i="7"/>
  <c r="BT185" i="7"/>
  <c r="BT186" i="7"/>
  <c r="BT187" i="7"/>
  <c r="BT188" i="7"/>
  <c r="BT189" i="7"/>
  <c r="BT190" i="7"/>
  <c r="BT191" i="7"/>
  <c r="BT192" i="7"/>
  <c r="BT193" i="7"/>
  <c r="BT194" i="7"/>
  <c r="BT195" i="7"/>
  <c r="BT196" i="7"/>
  <c r="BT197" i="7"/>
  <c r="BT198" i="7"/>
  <c r="BT199" i="7"/>
  <c r="BT200" i="7"/>
  <c r="BT201" i="7"/>
  <c r="BT202" i="7"/>
  <c r="BT203" i="7"/>
  <c r="BT204" i="7"/>
  <c r="BT205" i="7"/>
  <c r="BT206" i="7"/>
  <c r="BT207" i="7"/>
  <c r="BT208" i="7"/>
  <c r="BT209" i="7"/>
  <c r="BT210" i="7"/>
  <c r="BT211" i="7"/>
  <c r="BT212" i="7"/>
  <c r="BT213" i="7"/>
  <c r="BT214" i="7"/>
  <c r="BT215" i="7"/>
  <c r="BT216" i="7"/>
  <c r="BT217" i="7"/>
  <c r="BT218" i="7"/>
  <c r="BT219" i="7"/>
  <c r="BT220" i="7"/>
  <c r="BT221" i="7"/>
  <c r="BT222" i="7"/>
  <c r="BT223" i="7"/>
  <c r="BT224" i="7"/>
  <c r="BT225" i="7"/>
  <c r="BT226" i="7"/>
  <c r="BT227" i="7"/>
  <c r="BT228" i="7"/>
  <c r="BT229" i="7"/>
  <c r="BT230" i="7"/>
  <c r="BT231" i="7"/>
  <c r="BT232" i="7"/>
  <c r="BT233" i="7"/>
  <c r="BT234" i="7"/>
  <c r="BT235" i="7"/>
  <c r="BT236" i="7"/>
  <c r="BT237" i="7"/>
  <c r="BT238" i="7"/>
  <c r="BT239" i="7"/>
  <c r="BT240" i="7"/>
  <c r="BT241" i="7"/>
  <c r="BT242" i="7"/>
  <c r="BT243" i="7"/>
  <c r="BT244" i="7"/>
  <c r="BT245" i="7"/>
  <c r="BT246" i="7"/>
  <c r="BT247" i="7"/>
  <c r="BT248" i="7"/>
  <c r="BT249" i="7"/>
  <c r="BT250" i="7"/>
  <c r="BT251" i="7"/>
  <c r="BT252" i="7"/>
  <c r="BT253" i="7"/>
  <c r="BT254" i="7"/>
  <c r="BT255" i="7"/>
  <c r="BT256" i="7"/>
  <c r="BT257" i="7"/>
  <c r="BT258" i="7"/>
  <c r="BT259" i="7"/>
  <c r="BT260" i="7"/>
  <c r="BT261" i="7"/>
  <c r="BT262" i="7"/>
  <c r="BT263" i="7"/>
  <c r="BT264" i="7"/>
  <c r="BT265" i="7"/>
  <c r="BT266" i="7"/>
  <c r="BT267" i="7"/>
  <c r="BT268" i="7"/>
  <c r="BT269" i="7"/>
  <c r="BT270" i="7"/>
  <c r="BT271" i="7"/>
  <c r="BT272" i="7"/>
  <c r="BT273" i="7"/>
  <c r="BT274" i="7"/>
  <c r="BT275" i="7"/>
  <c r="BT276" i="7"/>
  <c r="BT277" i="7"/>
  <c r="BT278" i="7"/>
  <c r="BT279" i="7"/>
  <c r="BT280" i="7"/>
  <c r="BT281" i="7"/>
  <c r="BT282" i="7"/>
  <c r="BT283" i="7"/>
  <c r="BT284" i="7"/>
  <c r="BT285" i="7"/>
  <c r="BT286" i="7"/>
  <c r="BT287" i="7"/>
  <c r="BT288" i="7"/>
  <c r="BT289" i="7"/>
  <c r="BT290" i="7"/>
  <c r="BT291" i="7"/>
  <c r="BT292" i="7"/>
  <c r="BT293" i="7"/>
  <c r="BT294" i="7"/>
  <c r="BT295" i="7"/>
  <c r="BT296" i="7"/>
  <c r="BT297" i="7"/>
  <c r="BT298" i="7"/>
  <c r="BT299" i="7"/>
  <c r="BT300" i="7"/>
  <c r="BT301" i="7"/>
  <c r="BT302" i="7"/>
  <c r="BT303" i="7"/>
  <c r="BT304" i="7"/>
  <c r="BT305" i="7"/>
  <c r="BT306" i="7"/>
  <c r="BT307" i="7"/>
  <c r="BT308" i="7"/>
  <c r="BT309" i="7"/>
  <c r="BT310" i="7"/>
  <c r="BT311" i="7"/>
  <c r="BT312" i="7"/>
  <c r="BT313" i="7"/>
  <c r="BT314" i="7"/>
  <c r="BT315" i="7"/>
  <c r="BT316" i="7"/>
  <c r="BT317" i="7"/>
  <c r="BT318" i="7"/>
  <c r="BT319" i="7"/>
  <c r="BT320" i="7"/>
  <c r="BT321" i="7"/>
  <c r="BT322" i="7"/>
  <c r="BT323" i="7"/>
  <c r="BT324" i="7"/>
  <c r="BT325" i="7"/>
  <c r="BT326" i="7"/>
  <c r="BT327" i="7"/>
  <c r="BT328" i="7"/>
  <c r="BT329" i="7"/>
  <c r="BT330" i="7"/>
  <c r="BT331" i="7"/>
  <c r="BT332" i="7"/>
  <c r="BT333" i="7"/>
  <c r="BT334" i="7"/>
  <c r="BT335" i="7"/>
  <c r="BT336" i="7"/>
  <c r="BT337" i="7"/>
  <c r="BT338" i="7"/>
  <c r="BT339" i="7"/>
  <c r="BT340" i="7"/>
  <c r="BT341" i="7"/>
  <c r="BT342" i="7"/>
  <c r="BT343" i="7"/>
  <c r="BT344" i="7"/>
  <c r="BT345" i="7"/>
  <c r="BT346" i="7"/>
  <c r="BT347" i="7"/>
  <c r="BT348" i="7"/>
  <c r="BT349" i="7"/>
  <c r="BT350" i="7"/>
  <c r="BT351" i="7"/>
  <c r="BT352" i="7"/>
  <c r="BT353" i="7"/>
  <c r="BT354" i="7"/>
  <c r="BT355" i="7"/>
  <c r="BT356" i="7"/>
  <c r="BT357" i="7"/>
  <c r="BT358" i="7"/>
  <c r="BT359" i="7"/>
  <c r="BT360" i="7"/>
  <c r="BT361" i="7"/>
  <c r="BT362" i="7"/>
  <c r="BT363" i="7"/>
  <c r="BT364" i="7"/>
  <c r="BT365" i="7"/>
  <c r="BT366" i="7"/>
  <c r="BT367" i="7"/>
  <c r="BT368" i="7"/>
  <c r="BT369" i="7"/>
  <c r="BT370" i="7"/>
  <c r="BT371" i="7"/>
  <c r="BT372" i="7"/>
  <c r="BT373" i="7"/>
  <c r="BT374" i="7"/>
  <c r="BT375" i="7"/>
  <c r="BT376" i="7"/>
  <c r="BT377" i="7"/>
  <c r="BT378" i="7"/>
  <c r="BT379" i="7"/>
  <c r="BT380" i="7"/>
  <c r="BT381" i="7"/>
  <c r="BT382" i="7"/>
  <c r="BT383" i="7"/>
  <c r="BT384" i="7"/>
  <c r="BT385" i="7"/>
  <c r="BT386" i="7"/>
  <c r="BT387" i="7"/>
  <c r="BT388" i="7"/>
  <c r="BT389" i="7"/>
  <c r="BT390" i="7"/>
  <c r="BT391" i="7"/>
  <c r="BT392" i="7"/>
  <c r="BT393" i="7"/>
  <c r="BT394" i="7"/>
  <c r="BT395" i="7"/>
  <c r="BT396" i="7"/>
  <c r="BT397" i="7"/>
  <c r="BT398" i="7"/>
  <c r="BT399" i="7"/>
  <c r="BT400" i="7"/>
  <c r="BT401" i="7"/>
  <c r="BT402" i="7"/>
  <c r="BT403" i="7"/>
  <c r="BT404" i="7"/>
  <c r="BT405" i="7"/>
  <c r="BT406" i="7"/>
  <c r="BT407" i="7"/>
  <c r="BT408" i="7"/>
  <c r="BT409" i="7"/>
  <c r="BT410" i="7"/>
  <c r="BT411" i="7"/>
  <c r="BT412" i="7"/>
  <c r="BT413" i="7"/>
  <c r="BT414" i="7"/>
  <c r="BT415" i="7"/>
  <c r="BT416" i="7"/>
  <c r="BT417" i="7"/>
  <c r="BT418" i="7"/>
  <c r="BT419" i="7"/>
  <c r="BT420" i="7"/>
  <c r="BT421" i="7"/>
  <c r="BT422" i="7"/>
  <c r="BT423" i="7"/>
  <c r="BT424" i="7"/>
  <c r="BT425" i="7"/>
  <c r="BT426" i="7"/>
  <c r="BT427" i="7"/>
  <c r="BT428" i="7"/>
  <c r="BT429" i="7"/>
  <c r="BT430" i="7"/>
  <c r="BT431" i="7"/>
  <c r="BT432" i="7"/>
  <c r="BT433" i="7"/>
  <c r="BT434" i="7"/>
  <c r="BT435" i="7"/>
  <c r="BT436" i="7"/>
  <c r="BT437" i="7"/>
  <c r="BT438" i="7"/>
  <c r="BT439" i="7"/>
  <c r="BT440" i="7"/>
  <c r="BT441" i="7"/>
  <c r="BT442" i="7"/>
  <c r="BT443" i="7"/>
  <c r="BT444" i="7"/>
  <c r="BT445" i="7"/>
  <c r="BT446" i="7"/>
  <c r="BT447" i="7"/>
  <c r="BT448" i="7"/>
  <c r="BT449" i="7"/>
  <c r="BT450" i="7"/>
  <c r="BT451" i="7"/>
  <c r="BT452" i="7"/>
  <c r="BT453" i="7"/>
  <c r="BT454" i="7"/>
  <c r="BT455" i="7"/>
  <c r="BT456" i="7"/>
  <c r="BT457" i="7"/>
  <c r="BT458" i="7"/>
  <c r="BT459" i="7"/>
  <c r="BT460" i="7"/>
  <c r="BT461" i="7"/>
  <c r="BT462" i="7"/>
  <c r="BT463" i="7"/>
  <c r="BT464" i="7"/>
  <c r="BT465" i="7"/>
  <c r="BT466" i="7"/>
  <c r="BT467" i="7"/>
  <c r="BT468" i="7"/>
  <c r="BT469" i="7"/>
  <c r="BT470" i="7"/>
  <c r="BT471" i="7"/>
  <c r="BT472" i="7"/>
  <c r="BT473" i="7"/>
  <c r="BT474" i="7"/>
  <c r="BT475" i="7"/>
  <c r="BT476" i="7"/>
  <c r="BT477" i="7"/>
  <c r="BT478" i="7"/>
  <c r="BT479" i="7"/>
  <c r="BT480" i="7"/>
  <c r="BT481" i="7"/>
  <c r="BT482" i="7"/>
  <c r="BT483" i="7"/>
  <c r="BT484" i="7"/>
  <c r="BT485" i="7"/>
  <c r="BT486" i="7"/>
  <c r="BT487" i="7"/>
  <c r="BT488" i="7"/>
  <c r="BT489" i="7"/>
  <c r="BT490" i="7"/>
  <c r="BT491" i="7"/>
  <c r="BT492" i="7"/>
  <c r="BT493" i="7"/>
  <c r="BT494" i="7"/>
  <c r="BT495" i="7"/>
  <c r="BT496" i="7"/>
  <c r="BT497" i="7"/>
  <c r="BT498" i="7"/>
  <c r="BT499" i="7"/>
  <c r="BT500" i="7"/>
  <c r="BT501" i="7"/>
  <c r="BT502" i="7"/>
  <c r="BT503" i="7"/>
  <c r="BT504" i="7"/>
  <c r="BT505" i="7"/>
  <c r="BT506" i="7"/>
  <c r="BT507" i="7"/>
  <c r="BT508" i="7"/>
  <c r="BT509" i="7"/>
  <c r="BT510" i="7"/>
  <c r="BT511" i="7"/>
  <c r="BT512" i="7"/>
  <c r="BT513" i="7"/>
  <c r="BT514" i="7"/>
  <c r="BT515" i="7"/>
  <c r="BT516" i="7"/>
  <c r="BT517" i="7"/>
  <c r="BT518" i="7"/>
  <c r="BT519" i="7"/>
  <c r="BT520" i="7"/>
  <c r="BT521" i="7"/>
  <c r="BT522" i="7"/>
  <c r="BT523" i="7"/>
  <c r="BT524" i="7"/>
  <c r="BT525" i="7"/>
  <c r="BT526" i="7"/>
  <c r="BT527" i="7"/>
  <c r="BT528" i="7"/>
  <c r="BT529" i="7"/>
  <c r="BT530" i="7"/>
  <c r="BT531" i="7"/>
  <c r="BT532" i="7"/>
  <c r="BT533" i="7"/>
  <c r="BT534" i="7"/>
  <c r="BT535" i="7"/>
  <c r="BT536" i="7"/>
  <c r="BT537" i="7"/>
  <c r="BT538" i="7"/>
  <c r="BT539" i="7"/>
  <c r="BT540" i="7"/>
  <c r="BT541" i="7"/>
  <c r="BT542" i="7"/>
  <c r="BT543" i="7"/>
  <c r="BT544" i="7"/>
  <c r="BT545" i="7"/>
  <c r="BT546" i="7"/>
  <c r="BT547" i="7"/>
  <c r="BT548" i="7"/>
  <c r="BT549" i="7"/>
  <c r="BT550" i="7"/>
  <c r="BT551" i="7"/>
  <c r="BT552" i="7"/>
  <c r="BT553" i="7"/>
  <c r="BT554" i="7"/>
  <c r="BT555" i="7"/>
  <c r="BT556" i="7"/>
  <c r="BT557" i="7"/>
  <c r="BT558" i="7"/>
  <c r="BT559" i="7"/>
  <c r="BT560" i="7"/>
  <c r="BT561" i="7"/>
  <c r="BT562" i="7"/>
  <c r="BT563" i="7"/>
  <c r="BT564" i="7"/>
  <c r="BT565" i="7"/>
  <c r="BT566" i="7"/>
  <c r="BT567" i="7"/>
  <c r="BT568" i="7"/>
  <c r="BT569" i="7"/>
  <c r="BT570" i="7"/>
  <c r="BT571" i="7"/>
  <c r="BT572" i="7"/>
  <c r="BT573" i="7"/>
  <c r="BT574" i="7"/>
  <c r="BT575" i="7"/>
  <c r="BT576" i="7"/>
  <c r="BT577" i="7"/>
  <c r="BT578" i="7"/>
  <c r="BT579" i="7"/>
  <c r="BT580" i="7"/>
  <c r="BT581" i="7"/>
  <c r="BT582" i="7"/>
  <c r="BT583" i="7"/>
  <c r="BT584" i="7"/>
  <c r="BT585" i="7"/>
  <c r="BT586" i="7"/>
  <c r="BT587" i="7"/>
  <c r="BT588" i="7"/>
  <c r="BT589" i="7"/>
  <c r="BT590" i="7"/>
  <c r="BT591" i="7"/>
  <c r="BT592" i="7"/>
  <c r="BT593" i="7"/>
  <c r="BT594" i="7"/>
  <c r="BT595" i="7"/>
  <c r="BT596" i="7"/>
  <c r="BT597" i="7"/>
  <c r="BT598" i="7"/>
  <c r="BT599" i="7"/>
  <c r="BT600" i="7"/>
  <c r="BT601" i="7"/>
  <c r="BT602" i="7"/>
  <c r="BT603" i="7"/>
  <c r="BT604" i="7"/>
  <c r="BT605" i="7"/>
  <c r="BT606" i="7"/>
  <c r="BT607" i="7"/>
  <c r="BT608" i="7"/>
  <c r="BT609" i="7"/>
  <c r="BT610" i="7"/>
  <c r="BT611" i="7"/>
  <c r="BT612" i="7"/>
  <c r="BT613" i="7"/>
  <c r="BT614" i="7"/>
  <c r="BT615" i="7"/>
  <c r="BT616" i="7"/>
  <c r="BT617" i="7"/>
  <c r="BT618" i="7"/>
  <c r="BT619" i="7"/>
  <c r="BT620" i="7"/>
  <c r="BT621" i="7"/>
  <c r="BT622" i="7"/>
  <c r="BT623" i="7"/>
  <c r="BT624" i="7"/>
  <c r="BT625" i="7"/>
  <c r="BT626" i="7"/>
  <c r="BT627" i="7"/>
  <c r="BT628" i="7"/>
  <c r="BT629" i="7"/>
  <c r="BT630" i="7"/>
  <c r="BT631" i="7"/>
  <c r="BT632" i="7"/>
  <c r="BT633" i="7"/>
  <c r="BT634" i="7"/>
  <c r="BT635" i="7"/>
  <c r="BT636" i="7"/>
  <c r="BT637" i="7"/>
  <c r="BT638" i="7"/>
  <c r="BT639" i="7"/>
  <c r="BT640" i="7"/>
  <c r="BT641" i="7"/>
  <c r="BT642" i="7"/>
  <c r="BT643" i="7"/>
  <c r="BT644" i="7"/>
  <c r="BT645" i="7"/>
  <c r="BT646" i="7"/>
  <c r="BT647" i="7"/>
  <c r="BT648" i="7"/>
  <c r="BT649" i="7"/>
  <c r="BT650" i="7"/>
  <c r="BT651" i="7"/>
  <c r="BT652" i="7"/>
  <c r="BT653" i="7"/>
  <c r="BT654" i="7"/>
  <c r="BT655" i="7"/>
  <c r="BT656" i="7"/>
  <c r="BT657" i="7"/>
  <c r="BT658" i="7"/>
  <c r="BT659" i="7"/>
  <c r="BT660" i="7"/>
  <c r="BT661" i="7"/>
  <c r="BT662" i="7"/>
  <c r="BT663" i="7"/>
  <c r="BT664" i="7"/>
  <c r="BT665" i="7"/>
  <c r="BT666" i="7"/>
  <c r="BT667" i="7"/>
  <c r="BT668" i="7"/>
  <c r="BT669" i="7"/>
  <c r="BT670" i="7"/>
  <c r="BT671" i="7"/>
  <c r="BT672" i="7"/>
  <c r="BT673" i="7"/>
  <c r="BT674" i="7"/>
  <c r="BT675" i="7"/>
  <c r="BT676" i="7"/>
  <c r="BT677" i="7"/>
  <c r="BT678" i="7"/>
  <c r="BT679" i="7"/>
  <c r="BT680" i="7"/>
  <c r="BT681" i="7"/>
  <c r="BT682" i="7"/>
  <c r="BT683" i="7"/>
  <c r="BT684" i="7"/>
  <c r="BT685" i="7"/>
  <c r="BT686" i="7"/>
  <c r="BT687" i="7"/>
  <c r="BT688" i="7"/>
  <c r="BT689" i="7"/>
  <c r="BT690" i="7"/>
  <c r="BT691" i="7"/>
  <c r="BT692" i="7"/>
  <c r="BT693" i="7"/>
  <c r="BT694" i="7"/>
  <c r="BT695" i="7"/>
  <c r="BT696" i="7"/>
  <c r="BT697" i="7"/>
  <c r="BT698" i="7"/>
  <c r="BT699" i="7"/>
  <c r="BT700" i="7"/>
  <c r="BT701" i="7"/>
  <c r="BT702" i="7"/>
  <c r="BT703" i="7"/>
  <c r="BT704" i="7"/>
  <c r="BT705" i="7"/>
  <c r="BT706" i="7"/>
  <c r="BT707" i="7"/>
  <c r="BT708" i="7"/>
  <c r="BT709" i="7"/>
  <c r="BT710" i="7"/>
  <c r="BT711" i="7"/>
  <c r="BT712" i="7"/>
  <c r="BT713" i="7"/>
  <c r="BT714" i="7"/>
  <c r="BT715" i="7"/>
  <c r="BT716" i="7"/>
  <c r="BT717" i="7"/>
  <c r="BT718" i="7"/>
  <c r="BT719" i="7"/>
  <c r="BT720" i="7"/>
  <c r="BT721" i="7"/>
  <c r="BT722" i="7"/>
  <c r="BT723" i="7"/>
  <c r="BT724" i="7"/>
  <c r="BT725" i="7"/>
  <c r="BT726" i="7"/>
  <c r="BT727" i="7"/>
  <c r="BT728" i="7"/>
  <c r="BT729" i="7"/>
  <c r="BT730" i="7"/>
  <c r="BT731" i="7"/>
  <c r="BT732" i="7"/>
  <c r="BT733" i="7"/>
  <c r="BT734" i="7"/>
  <c r="BT735" i="7"/>
  <c r="BT736" i="7"/>
  <c r="BT737" i="7"/>
  <c r="BT738" i="7"/>
  <c r="BT739" i="7"/>
  <c r="BT740" i="7"/>
  <c r="BT741" i="7"/>
  <c r="BT742" i="7"/>
  <c r="BT743" i="7"/>
  <c r="BT744" i="7"/>
  <c r="BT745" i="7"/>
  <c r="BT746" i="7"/>
  <c r="BT747" i="7"/>
  <c r="BT748" i="7"/>
  <c r="BT749" i="7"/>
  <c r="BT750" i="7"/>
  <c r="BT751" i="7"/>
  <c r="BT752" i="7"/>
  <c r="BT753" i="7"/>
  <c r="BT754" i="7"/>
  <c r="BT755" i="7"/>
  <c r="BT756" i="7"/>
  <c r="BT757" i="7"/>
  <c r="BT758" i="7"/>
  <c r="BT759" i="7"/>
  <c r="BT760" i="7"/>
  <c r="BT761" i="7"/>
  <c r="BT762" i="7"/>
  <c r="BT763" i="7"/>
  <c r="BT764" i="7"/>
  <c r="BT765" i="7"/>
  <c r="BT766" i="7"/>
  <c r="BT767" i="7"/>
  <c r="BT768" i="7"/>
  <c r="BT769" i="7"/>
  <c r="BT770" i="7"/>
  <c r="BT771" i="7"/>
  <c r="BT772" i="7"/>
  <c r="BT773" i="7"/>
  <c r="BT774" i="7"/>
  <c r="BT775" i="7"/>
  <c r="BT776" i="7"/>
  <c r="BT777" i="7"/>
  <c r="BT778" i="7"/>
  <c r="BT779" i="7"/>
  <c r="BT780" i="7"/>
  <c r="BT781" i="7"/>
  <c r="BT782" i="7"/>
  <c r="BT783" i="7"/>
  <c r="BT784" i="7"/>
  <c r="BT785" i="7"/>
  <c r="BT786" i="7"/>
  <c r="BT787" i="7"/>
  <c r="BT788" i="7"/>
  <c r="BT789" i="7"/>
  <c r="BT790" i="7"/>
  <c r="BT791" i="7"/>
  <c r="BT792" i="7"/>
  <c r="BT793" i="7"/>
  <c r="BT794" i="7"/>
  <c r="BT795" i="7"/>
  <c r="BT796" i="7"/>
  <c r="BT797" i="7"/>
  <c r="BT798" i="7"/>
  <c r="BT799" i="7"/>
  <c r="BT800" i="7"/>
  <c r="BT801" i="7"/>
  <c r="BT802" i="7"/>
  <c r="BT803" i="7"/>
  <c r="BT804" i="7"/>
  <c r="BT805" i="7"/>
  <c r="BT806" i="7"/>
  <c r="BT807" i="7"/>
  <c r="BT808" i="7"/>
  <c r="BT809" i="7"/>
  <c r="BT810" i="7"/>
  <c r="BT811" i="7"/>
  <c r="BT812" i="7"/>
  <c r="BT813" i="7"/>
  <c r="BT814" i="7"/>
  <c r="BT815" i="7"/>
  <c r="BT816" i="7"/>
  <c r="BT817" i="7"/>
  <c r="BT818" i="7"/>
  <c r="BT819" i="7"/>
  <c r="BT820" i="7"/>
  <c r="BT821" i="7"/>
  <c r="BT822" i="7"/>
  <c r="BT823" i="7"/>
  <c r="BT824" i="7"/>
  <c r="BT825" i="7"/>
  <c r="BT826" i="7"/>
  <c r="BT827" i="7"/>
  <c r="BT828" i="7"/>
  <c r="BT829" i="7"/>
  <c r="BT830" i="7"/>
  <c r="BT831" i="7"/>
  <c r="BT832" i="7"/>
  <c r="BT833" i="7"/>
  <c r="BT834" i="7"/>
  <c r="BT835" i="7"/>
  <c r="BT836" i="7"/>
  <c r="BT837" i="7"/>
  <c r="BT838" i="7"/>
  <c r="BT839" i="7"/>
  <c r="BT840" i="7"/>
  <c r="BT841" i="7"/>
  <c r="BT842" i="7"/>
  <c r="BT843" i="7"/>
  <c r="BT844" i="7"/>
  <c r="BT845" i="7"/>
  <c r="BT846" i="7"/>
  <c r="BT847" i="7"/>
  <c r="BT848" i="7"/>
  <c r="BT849" i="7"/>
  <c r="BT850" i="7"/>
  <c r="BT851" i="7"/>
  <c r="BT852" i="7"/>
  <c r="BT853" i="7"/>
  <c r="BT854" i="7"/>
  <c r="BT855" i="7"/>
  <c r="BT856" i="7"/>
  <c r="BT857" i="7"/>
  <c r="BT858" i="7"/>
  <c r="BT859" i="7"/>
  <c r="BT860" i="7"/>
  <c r="BT861" i="7"/>
  <c r="BT862" i="7"/>
  <c r="BT863" i="7"/>
  <c r="BT864" i="7"/>
  <c r="BT865" i="7"/>
  <c r="BT866" i="7"/>
  <c r="BT867" i="7"/>
  <c r="BT868" i="7"/>
  <c r="BT869" i="7"/>
  <c r="BT870" i="7"/>
  <c r="BT871" i="7"/>
  <c r="BT872" i="7"/>
  <c r="BT873" i="7"/>
  <c r="BT874" i="7"/>
  <c r="BT875" i="7"/>
  <c r="BT876" i="7"/>
  <c r="BT877" i="7"/>
  <c r="BT878" i="7"/>
  <c r="BT879" i="7"/>
  <c r="BT880" i="7"/>
  <c r="BT881" i="7"/>
  <c r="BT882" i="7"/>
  <c r="BT883" i="7"/>
  <c r="BT884" i="7"/>
  <c r="BT885" i="7"/>
  <c r="BT886" i="7"/>
  <c r="BT887" i="7"/>
  <c r="BT888" i="7"/>
  <c r="BT889" i="7"/>
  <c r="BT890" i="7"/>
  <c r="BT891" i="7"/>
  <c r="BT892" i="7"/>
  <c r="BT893" i="7"/>
  <c r="BT894" i="7"/>
  <c r="BT895" i="7"/>
  <c r="BT896" i="7"/>
  <c r="BT897" i="7"/>
  <c r="BT898" i="7"/>
  <c r="BT899" i="7"/>
  <c r="BT900" i="7"/>
  <c r="BT901" i="7"/>
  <c r="BT902" i="7"/>
  <c r="BT903" i="7"/>
  <c r="BT904" i="7"/>
  <c r="BT905" i="7"/>
  <c r="BT906" i="7"/>
  <c r="BT907" i="7"/>
  <c r="BT908" i="7"/>
  <c r="BT909" i="7"/>
  <c r="BT910" i="7"/>
  <c r="BT911" i="7"/>
  <c r="BT912" i="7"/>
  <c r="BT913" i="7"/>
  <c r="BT914" i="7"/>
  <c r="BT915" i="7"/>
  <c r="BT916" i="7"/>
  <c r="BT917" i="7"/>
  <c r="BT918" i="7"/>
  <c r="BT919" i="7"/>
  <c r="BT920" i="7"/>
  <c r="BT921" i="7"/>
  <c r="BT922" i="7"/>
  <c r="BT923" i="7"/>
  <c r="BT924" i="7"/>
  <c r="BT925" i="7"/>
  <c r="BT926" i="7"/>
  <c r="BT927" i="7"/>
  <c r="BT928" i="7"/>
  <c r="BT929" i="7"/>
  <c r="BT930" i="7"/>
  <c r="BT931" i="7"/>
  <c r="BT932" i="7"/>
  <c r="BT933" i="7"/>
  <c r="BT934" i="7"/>
  <c r="BT935" i="7"/>
  <c r="BT936" i="7"/>
  <c r="BT937" i="7"/>
  <c r="BT938" i="7"/>
  <c r="BT939" i="7"/>
  <c r="BT940" i="7"/>
  <c r="BT941" i="7"/>
  <c r="BT942" i="7"/>
  <c r="BT943" i="7"/>
  <c r="BT944" i="7"/>
  <c r="BT945" i="7"/>
  <c r="BT946" i="7"/>
  <c r="BT947" i="7"/>
  <c r="BT948" i="7"/>
  <c r="BT949" i="7"/>
  <c r="BT950" i="7"/>
  <c r="BT951" i="7"/>
  <c r="BT952" i="7"/>
  <c r="BT953" i="7"/>
  <c r="BT954" i="7"/>
  <c r="BT955" i="7"/>
  <c r="BT956" i="7"/>
  <c r="BT957" i="7"/>
  <c r="BT958" i="7"/>
  <c r="BT959" i="7"/>
  <c r="BT960" i="7"/>
  <c r="BT961" i="7"/>
  <c r="BT962" i="7"/>
  <c r="BT963" i="7"/>
  <c r="BT964" i="7"/>
  <c r="BT965" i="7"/>
  <c r="BT966" i="7"/>
  <c r="BT967" i="7"/>
  <c r="BT968" i="7"/>
  <c r="BT969" i="7"/>
  <c r="BT970" i="7"/>
  <c r="BT971" i="7"/>
  <c r="BT972" i="7"/>
  <c r="BT973" i="7"/>
  <c r="BT974" i="7"/>
  <c r="BT975" i="7"/>
  <c r="BT976" i="7"/>
  <c r="BT977" i="7"/>
  <c r="BT978" i="7"/>
  <c r="BT979" i="7"/>
  <c r="BT980" i="7"/>
  <c r="BT981" i="7"/>
  <c r="BT982" i="7"/>
  <c r="BT983" i="7"/>
  <c r="BT984" i="7"/>
  <c r="BT985" i="7"/>
  <c r="BS45" i="7"/>
  <c r="BT45" i="7" s="1"/>
  <c r="BS46" i="7"/>
  <c r="BS47" i="7"/>
  <c r="BS48" i="7"/>
  <c r="BS49" i="7"/>
  <c r="BS50" i="7"/>
  <c r="BS51" i="7"/>
  <c r="BS52" i="7"/>
  <c r="BS53" i="7"/>
  <c r="BS54" i="7"/>
  <c r="BS55" i="7"/>
  <c r="BS56" i="7"/>
  <c r="BS57" i="7"/>
  <c r="BS58" i="7"/>
  <c r="BS59" i="7"/>
  <c r="BS60" i="7"/>
  <c r="BS61" i="7"/>
  <c r="BS62" i="7"/>
  <c r="BS63" i="7"/>
  <c r="BS64" i="7"/>
  <c r="BS65" i="7"/>
  <c r="BS66" i="7"/>
  <c r="BS67" i="7"/>
  <c r="BS68" i="7"/>
  <c r="BS69" i="7"/>
  <c r="BS70" i="7"/>
  <c r="BS71" i="7"/>
  <c r="BS72" i="7"/>
  <c r="BS73" i="7"/>
  <c r="BS74" i="7"/>
  <c r="BS75" i="7"/>
  <c r="BS76" i="7"/>
  <c r="BS77" i="7"/>
  <c r="BS78" i="7"/>
  <c r="BS79" i="7"/>
  <c r="BS80" i="7"/>
  <c r="BS81" i="7"/>
  <c r="BS82" i="7"/>
  <c r="BS83" i="7"/>
  <c r="BS84" i="7"/>
  <c r="BS85" i="7"/>
  <c r="BS86" i="7"/>
  <c r="BS87" i="7"/>
  <c r="BS88" i="7"/>
  <c r="BS89" i="7"/>
  <c r="BS90" i="7"/>
  <c r="BS91" i="7"/>
  <c r="BS92" i="7"/>
  <c r="BS93" i="7"/>
  <c r="BS94" i="7"/>
  <c r="BS95" i="7"/>
  <c r="BS96" i="7"/>
  <c r="BS97" i="7"/>
  <c r="BS98" i="7"/>
  <c r="BS99" i="7"/>
  <c r="BS100" i="7"/>
  <c r="BS101" i="7"/>
  <c r="BS102" i="7"/>
  <c r="BS103" i="7"/>
  <c r="BS104" i="7"/>
  <c r="BS105" i="7"/>
  <c r="BS106" i="7"/>
  <c r="BS107" i="7"/>
  <c r="BS108" i="7"/>
  <c r="BS109" i="7"/>
  <c r="BS110" i="7"/>
  <c r="BS111" i="7"/>
  <c r="BS112" i="7"/>
  <c r="BS113" i="7"/>
  <c r="BS114" i="7"/>
  <c r="BS115" i="7"/>
  <c r="BS116" i="7"/>
  <c r="BS117" i="7"/>
  <c r="BS118" i="7"/>
  <c r="BS119" i="7"/>
  <c r="BS120" i="7"/>
  <c r="BS121" i="7"/>
  <c r="BS122" i="7"/>
  <c r="BS123" i="7"/>
  <c r="BS124" i="7"/>
  <c r="BS125" i="7"/>
  <c r="BS126" i="7"/>
  <c r="BS127" i="7"/>
  <c r="BS128" i="7"/>
  <c r="BS129" i="7"/>
  <c r="BS130" i="7"/>
  <c r="BS131" i="7"/>
  <c r="BS132" i="7"/>
  <c r="BS133" i="7"/>
  <c r="BS134" i="7"/>
  <c r="BS135" i="7"/>
  <c r="BS136" i="7"/>
  <c r="BS137" i="7"/>
  <c r="BS138" i="7"/>
  <c r="BS139" i="7"/>
  <c r="BS140" i="7"/>
  <c r="BS141" i="7"/>
  <c r="BS142" i="7"/>
  <c r="BS143" i="7"/>
  <c r="BS144" i="7"/>
  <c r="BS145" i="7"/>
  <c r="BS146" i="7"/>
  <c r="BS147" i="7"/>
  <c r="BS148" i="7"/>
  <c r="BS149" i="7"/>
  <c r="BS150" i="7"/>
  <c r="BS151" i="7"/>
  <c r="BS152" i="7"/>
  <c r="BS153" i="7"/>
  <c r="BS154" i="7"/>
  <c r="BS155" i="7"/>
  <c r="BS156" i="7"/>
  <c r="BS157" i="7"/>
  <c r="BS158" i="7"/>
  <c r="BS159" i="7"/>
  <c r="BS160" i="7"/>
  <c r="BS161" i="7"/>
  <c r="BS162" i="7"/>
  <c r="BS163" i="7"/>
  <c r="BS164" i="7"/>
  <c r="BS165" i="7"/>
  <c r="BS166" i="7"/>
  <c r="BS167" i="7"/>
  <c r="BS168" i="7"/>
  <c r="BS169" i="7"/>
  <c r="BS170" i="7"/>
  <c r="BS171" i="7"/>
  <c r="BS172" i="7"/>
  <c r="BS173" i="7"/>
  <c r="BS174" i="7"/>
  <c r="BS175" i="7"/>
  <c r="BS176" i="7"/>
  <c r="BS177" i="7"/>
  <c r="BS178" i="7"/>
  <c r="BS179" i="7"/>
  <c r="BS180" i="7"/>
  <c r="BS181" i="7"/>
  <c r="BS182" i="7"/>
  <c r="BS183" i="7"/>
  <c r="BS184" i="7"/>
  <c r="BS185" i="7"/>
  <c r="BS186" i="7"/>
  <c r="BS187" i="7"/>
  <c r="BS188" i="7"/>
  <c r="BS189" i="7"/>
  <c r="BS190" i="7"/>
  <c r="BS191" i="7"/>
  <c r="BS192" i="7"/>
  <c r="BS193" i="7"/>
  <c r="BS194" i="7"/>
  <c r="BS195" i="7"/>
  <c r="BS196" i="7"/>
  <c r="BS197" i="7"/>
  <c r="BS198" i="7"/>
  <c r="BS199" i="7"/>
  <c r="BS200" i="7"/>
  <c r="BS201" i="7"/>
  <c r="BS202" i="7"/>
  <c r="BS203" i="7"/>
  <c r="BS204" i="7"/>
  <c r="BS205" i="7"/>
  <c r="BS206" i="7"/>
  <c r="BS207" i="7"/>
  <c r="BS208" i="7"/>
  <c r="BS209" i="7"/>
  <c r="BS210" i="7"/>
  <c r="BS211" i="7"/>
  <c r="BS212" i="7"/>
  <c r="BS213" i="7"/>
  <c r="BS214" i="7"/>
  <c r="BS215" i="7"/>
  <c r="BS216" i="7"/>
  <c r="BS217" i="7"/>
  <c r="BS218" i="7"/>
  <c r="BS219" i="7"/>
  <c r="BS220" i="7"/>
  <c r="BS221" i="7"/>
  <c r="BS222" i="7"/>
  <c r="BS223" i="7"/>
  <c r="BS224" i="7"/>
  <c r="BS225" i="7"/>
  <c r="BS226" i="7"/>
  <c r="BS227" i="7"/>
  <c r="BS228" i="7"/>
  <c r="BS229" i="7"/>
  <c r="BS230" i="7"/>
  <c r="BS231" i="7"/>
  <c r="BS232" i="7"/>
  <c r="BS233" i="7"/>
  <c r="BS234" i="7"/>
  <c r="BS235" i="7"/>
  <c r="BS236" i="7"/>
  <c r="BS237" i="7"/>
  <c r="BS238" i="7"/>
  <c r="BS239" i="7"/>
  <c r="BS240" i="7"/>
  <c r="BS241" i="7"/>
  <c r="BS242" i="7"/>
  <c r="BS243" i="7"/>
  <c r="BS244" i="7"/>
  <c r="BS245" i="7"/>
  <c r="BS246" i="7"/>
  <c r="BS247" i="7"/>
  <c r="BS248" i="7"/>
  <c r="BS249" i="7"/>
  <c r="BS250" i="7"/>
  <c r="BS251" i="7"/>
  <c r="BS252" i="7"/>
  <c r="BS253" i="7"/>
  <c r="BS254" i="7"/>
  <c r="BS255" i="7"/>
  <c r="BS256" i="7"/>
  <c r="BS257" i="7"/>
  <c r="BS258" i="7"/>
  <c r="BS259" i="7"/>
  <c r="BS260" i="7"/>
  <c r="BS261" i="7"/>
  <c r="BS262" i="7"/>
  <c r="BS263" i="7"/>
  <c r="BS264" i="7"/>
  <c r="BS265" i="7"/>
  <c r="BS266" i="7"/>
  <c r="BS267" i="7"/>
  <c r="BS268" i="7"/>
  <c r="BS269" i="7"/>
  <c r="BS270" i="7"/>
  <c r="BS271" i="7"/>
  <c r="BS272" i="7"/>
  <c r="BS273" i="7"/>
  <c r="BS274" i="7"/>
  <c r="BS275" i="7"/>
  <c r="BS276" i="7"/>
  <c r="BS277" i="7"/>
  <c r="BS278" i="7"/>
  <c r="BS279" i="7"/>
  <c r="BS280" i="7"/>
  <c r="BS281" i="7"/>
  <c r="BS282" i="7"/>
  <c r="BS283" i="7"/>
  <c r="BS284" i="7"/>
  <c r="BS285" i="7"/>
  <c r="BS286" i="7"/>
  <c r="BS287" i="7"/>
  <c r="BS288" i="7"/>
  <c r="BS289" i="7"/>
  <c r="BS290" i="7"/>
  <c r="BS291" i="7"/>
  <c r="BS292" i="7"/>
  <c r="BS293" i="7"/>
  <c r="BS294" i="7"/>
  <c r="BS295" i="7"/>
  <c r="BS296" i="7"/>
  <c r="BS297" i="7"/>
  <c r="BS298" i="7"/>
  <c r="BS299" i="7"/>
  <c r="BS300" i="7"/>
  <c r="BS301" i="7"/>
  <c r="BS302" i="7"/>
  <c r="BS303" i="7"/>
  <c r="BS304" i="7"/>
  <c r="BS305" i="7"/>
  <c r="BS306" i="7"/>
  <c r="BS307" i="7"/>
  <c r="BS308" i="7"/>
  <c r="BS309" i="7"/>
  <c r="BS310" i="7"/>
  <c r="BS311" i="7"/>
  <c r="BS312" i="7"/>
  <c r="BS313" i="7"/>
  <c r="BS314" i="7"/>
  <c r="BS315" i="7"/>
  <c r="BS316" i="7"/>
  <c r="BS317" i="7"/>
  <c r="BS318" i="7"/>
  <c r="BS319" i="7"/>
  <c r="BS320" i="7"/>
  <c r="BS321" i="7"/>
  <c r="BS322" i="7"/>
  <c r="BS323" i="7"/>
  <c r="BS324" i="7"/>
  <c r="BS325" i="7"/>
  <c r="BS326" i="7"/>
  <c r="BS327" i="7"/>
  <c r="BS328" i="7"/>
  <c r="BS329" i="7"/>
  <c r="BS330" i="7"/>
  <c r="BS331" i="7"/>
  <c r="BS332" i="7"/>
  <c r="BS333" i="7"/>
  <c r="BS334" i="7"/>
  <c r="BS335" i="7"/>
  <c r="BS336" i="7"/>
  <c r="BS337" i="7"/>
  <c r="BS338" i="7"/>
  <c r="BS339" i="7"/>
  <c r="BS340" i="7"/>
  <c r="BS341" i="7"/>
  <c r="BS342" i="7"/>
  <c r="BS343" i="7"/>
  <c r="BS344" i="7"/>
  <c r="BS345" i="7"/>
  <c r="BS346" i="7"/>
  <c r="BS347" i="7"/>
  <c r="BS348" i="7"/>
  <c r="BS349" i="7"/>
  <c r="BS350" i="7"/>
  <c r="BS351" i="7"/>
  <c r="BS352" i="7"/>
  <c r="BS353" i="7"/>
  <c r="BS354" i="7"/>
  <c r="BS355" i="7"/>
  <c r="BS356" i="7"/>
  <c r="BS357" i="7"/>
  <c r="BS358" i="7"/>
  <c r="BS359" i="7"/>
  <c r="BS360" i="7"/>
  <c r="BS361" i="7"/>
  <c r="BS362" i="7"/>
  <c r="BS363" i="7"/>
  <c r="BS364" i="7"/>
  <c r="BS365" i="7"/>
  <c r="BS366" i="7"/>
  <c r="BS367" i="7"/>
  <c r="BS368" i="7"/>
  <c r="BS369" i="7"/>
  <c r="BS370" i="7"/>
  <c r="BS371" i="7"/>
  <c r="BS372" i="7"/>
  <c r="BS373" i="7"/>
  <c r="BS374" i="7"/>
  <c r="BS375" i="7"/>
  <c r="BS376" i="7"/>
  <c r="BS377" i="7"/>
  <c r="BS378" i="7"/>
  <c r="BS379" i="7"/>
  <c r="BS380" i="7"/>
  <c r="BS381" i="7"/>
  <c r="BS382" i="7"/>
  <c r="BS383" i="7"/>
  <c r="BS384" i="7"/>
  <c r="BS385" i="7"/>
  <c r="BS386" i="7"/>
  <c r="BS387" i="7"/>
  <c r="BS388" i="7"/>
  <c r="BS389" i="7"/>
  <c r="BS390" i="7"/>
  <c r="BS391" i="7"/>
  <c r="BS392" i="7"/>
  <c r="BS393" i="7"/>
  <c r="BS394" i="7"/>
  <c r="BS395" i="7"/>
  <c r="BS396" i="7"/>
  <c r="BS397" i="7"/>
  <c r="BS398" i="7"/>
  <c r="BS399" i="7"/>
  <c r="BS400" i="7"/>
  <c r="BS401" i="7"/>
  <c r="BS402" i="7"/>
  <c r="BS403" i="7"/>
  <c r="BS404" i="7"/>
  <c r="BS405" i="7"/>
  <c r="BS406" i="7"/>
  <c r="BS407" i="7"/>
  <c r="BS408" i="7"/>
  <c r="BS409" i="7"/>
  <c r="BS410" i="7"/>
  <c r="BS411" i="7"/>
  <c r="BS412" i="7"/>
  <c r="BS413" i="7"/>
  <c r="BS414" i="7"/>
  <c r="BS415" i="7"/>
  <c r="BS416" i="7"/>
  <c r="BS417" i="7"/>
  <c r="BS418" i="7"/>
  <c r="BS419" i="7"/>
  <c r="BS420" i="7"/>
  <c r="BS421" i="7"/>
  <c r="BS422" i="7"/>
  <c r="BS423" i="7"/>
  <c r="BS424" i="7"/>
  <c r="BS425" i="7"/>
  <c r="BS426" i="7"/>
  <c r="BS427" i="7"/>
  <c r="BS428" i="7"/>
  <c r="BS429" i="7"/>
  <c r="BS430" i="7"/>
  <c r="BS431" i="7"/>
  <c r="BS432" i="7"/>
  <c r="BS433" i="7"/>
  <c r="BS434" i="7"/>
  <c r="BS435" i="7"/>
  <c r="BS436" i="7"/>
  <c r="BS437" i="7"/>
  <c r="BS438" i="7"/>
  <c r="BS439" i="7"/>
  <c r="BS440" i="7"/>
  <c r="BS441" i="7"/>
  <c r="BS442" i="7"/>
  <c r="BS443" i="7"/>
  <c r="BS444" i="7"/>
  <c r="BS445" i="7"/>
  <c r="BS446" i="7"/>
  <c r="BS447" i="7"/>
  <c r="BS448" i="7"/>
  <c r="BS449" i="7"/>
  <c r="BS450" i="7"/>
  <c r="BS451" i="7"/>
  <c r="BS452" i="7"/>
  <c r="BS453" i="7"/>
  <c r="BS454" i="7"/>
  <c r="BS455" i="7"/>
  <c r="BS456" i="7"/>
  <c r="BS457" i="7"/>
  <c r="BS458" i="7"/>
  <c r="BS459" i="7"/>
  <c r="BS460" i="7"/>
  <c r="BS461" i="7"/>
  <c r="BS462" i="7"/>
  <c r="BS463" i="7"/>
  <c r="BS464" i="7"/>
  <c r="BS465" i="7"/>
  <c r="BS466" i="7"/>
  <c r="BS467" i="7"/>
  <c r="BS468" i="7"/>
  <c r="BS469" i="7"/>
  <c r="BS470" i="7"/>
  <c r="BS471" i="7"/>
  <c r="BS472" i="7"/>
  <c r="BS473" i="7"/>
  <c r="BS474" i="7"/>
  <c r="BS475" i="7"/>
  <c r="BS476" i="7"/>
  <c r="BS477" i="7"/>
  <c r="BS478" i="7"/>
  <c r="BS479" i="7"/>
  <c r="BS480" i="7"/>
  <c r="BS481" i="7"/>
  <c r="BS482" i="7"/>
  <c r="BS483" i="7"/>
  <c r="BS484" i="7"/>
  <c r="BS485" i="7"/>
  <c r="BS486" i="7"/>
  <c r="BS487" i="7"/>
  <c r="BS488" i="7"/>
  <c r="BS489" i="7"/>
  <c r="BS490" i="7"/>
  <c r="BS491" i="7"/>
  <c r="BS492" i="7"/>
  <c r="BS493" i="7"/>
  <c r="BS494" i="7"/>
  <c r="BS495" i="7"/>
  <c r="BS496" i="7"/>
  <c r="BS497" i="7"/>
  <c r="BS498" i="7"/>
  <c r="BS499" i="7"/>
  <c r="BS500" i="7"/>
  <c r="BS501" i="7"/>
  <c r="BS502" i="7"/>
  <c r="BS503" i="7"/>
  <c r="BS504" i="7"/>
  <c r="BS505" i="7"/>
  <c r="BS506" i="7"/>
  <c r="BS507" i="7"/>
  <c r="BS508" i="7"/>
  <c r="BS509" i="7"/>
  <c r="BS510" i="7"/>
  <c r="BS511" i="7"/>
  <c r="BS512" i="7"/>
  <c r="BS513" i="7"/>
  <c r="BS514" i="7"/>
  <c r="BS515" i="7"/>
  <c r="BS516" i="7"/>
  <c r="BS517" i="7"/>
  <c r="BS518" i="7"/>
  <c r="BS519" i="7"/>
  <c r="BS520" i="7"/>
  <c r="BS521" i="7"/>
  <c r="BS522" i="7"/>
  <c r="BS523" i="7"/>
  <c r="BS524" i="7"/>
  <c r="BS525" i="7"/>
  <c r="BS526" i="7"/>
  <c r="BS527" i="7"/>
  <c r="BS528" i="7"/>
  <c r="BS529" i="7"/>
  <c r="BS530" i="7"/>
  <c r="BS531" i="7"/>
  <c r="BS532" i="7"/>
  <c r="BS533" i="7"/>
  <c r="BS534" i="7"/>
  <c r="BS535" i="7"/>
  <c r="BS536" i="7"/>
  <c r="BS537" i="7"/>
  <c r="BS538" i="7"/>
  <c r="BS539" i="7"/>
  <c r="BS540" i="7"/>
  <c r="BS541" i="7"/>
  <c r="BS542" i="7"/>
  <c r="BS543" i="7"/>
  <c r="BS544" i="7"/>
  <c r="BS545" i="7"/>
  <c r="BS546" i="7"/>
  <c r="BS547" i="7"/>
  <c r="BS548" i="7"/>
  <c r="BS549" i="7"/>
  <c r="BS550" i="7"/>
  <c r="BS551" i="7"/>
  <c r="BS552" i="7"/>
  <c r="BS553" i="7"/>
  <c r="BS554" i="7"/>
  <c r="BS555" i="7"/>
  <c r="BS556" i="7"/>
  <c r="BS557" i="7"/>
  <c r="BS558" i="7"/>
  <c r="BS559" i="7"/>
  <c r="BS560" i="7"/>
  <c r="BS561" i="7"/>
  <c r="BS562" i="7"/>
  <c r="BS563" i="7"/>
  <c r="BS564" i="7"/>
  <c r="BS565" i="7"/>
  <c r="BS566" i="7"/>
  <c r="BS567" i="7"/>
  <c r="BS568" i="7"/>
  <c r="BS569" i="7"/>
  <c r="BS570" i="7"/>
  <c r="BS571" i="7"/>
  <c r="BS572" i="7"/>
  <c r="BS573" i="7"/>
  <c r="BS574" i="7"/>
  <c r="BS575" i="7"/>
  <c r="BS576" i="7"/>
  <c r="BS577" i="7"/>
  <c r="BS578" i="7"/>
  <c r="BS579" i="7"/>
  <c r="BS580" i="7"/>
  <c r="BS581" i="7"/>
  <c r="BS582" i="7"/>
  <c r="BS583" i="7"/>
  <c r="BS584" i="7"/>
  <c r="BS585" i="7"/>
  <c r="BS586" i="7"/>
  <c r="BS587" i="7"/>
  <c r="BS588" i="7"/>
  <c r="BS589" i="7"/>
  <c r="BS590" i="7"/>
  <c r="BS591" i="7"/>
  <c r="BS592" i="7"/>
  <c r="BS593" i="7"/>
  <c r="BS594" i="7"/>
  <c r="BS595" i="7"/>
  <c r="BS596" i="7"/>
  <c r="BS597" i="7"/>
  <c r="BS598" i="7"/>
  <c r="BS599" i="7"/>
  <c r="BS600" i="7"/>
  <c r="BS601" i="7"/>
  <c r="BS602" i="7"/>
  <c r="BS603" i="7"/>
  <c r="BS604" i="7"/>
  <c r="BS605" i="7"/>
  <c r="BS606" i="7"/>
  <c r="BS607" i="7"/>
  <c r="BS608" i="7"/>
  <c r="BS609" i="7"/>
  <c r="BS610" i="7"/>
  <c r="BS611" i="7"/>
  <c r="BS612" i="7"/>
  <c r="BS613" i="7"/>
  <c r="BS614" i="7"/>
  <c r="BS615" i="7"/>
  <c r="BS616" i="7"/>
  <c r="BS617" i="7"/>
  <c r="BS618" i="7"/>
  <c r="BS619" i="7"/>
  <c r="BS620" i="7"/>
  <c r="BS621" i="7"/>
  <c r="BS622" i="7"/>
  <c r="BS623" i="7"/>
  <c r="BS624" i="7"/>
  <c r="BS625" i="7"/>
  <c r="BS626" i="7"/>
  <c r="BS627" i="7"/>
  <c r="BS628" i="7"/>
  <c r="BS629" i="7"/>
  <c r="BS630" i="7"/>
  <c r="BS631" i="7"/>
  <c r="BS632" i="7"/>
  <c r="BS633" i="7"/>
  <c r="BS634" i="7"/>
  <c r="BS635" i="7"/>
  <c r="BS636" i="7"/>
  <c r="BS637" i="7"/>
  <c r="BS638" i="7"/>
  <c r="BS639" i="7"/>
  <c r="BS640" i="7"/>
  <c r="BS641" i="7"/>
  <c r="BS642" i="7"/>
  <c r="BS643" i="7"/>
  <c r="BS644" i="7"/>
  <c r="BS645" i="7"/>
  <c r="BS646" i="7"/>
  <c r="BS647" i="7"/>
  <c r="BS648" i="7"/>
  <c r="BS649" i="7"/>
  <c r="BS650" i="7"/>
  <c r="BS651" i="7"/>
  <c r="BS652" i="7"/>
  <c r="BS653" i="7"/>
  <c r="BS654" i="7"/>
  <c r="BS655" i="7"/>
  <c r="BS656" i="7"/>
  <c r="BS657" i="7"/>
  <c r="BS658" i="7"/>
  <c r="BS659" i="7"/>
  <c r="BS660" i="7"/>
  <c r="BS661" i="7"/>
  <c r="BS662" i="7"/>
  <c r="BS663" i="7"/>
  <c r="BS664" i="7"/>
  <c r="BS665" i="7"/>
  <c r="BS666" i="7"/>
  <c r="BS667" i="7"/>
  <c r="BS668" i="7"/>
  <c r="BS669" i="7"/>
  <c r="BS670" i="7"/>
  <c r="BS671" i="7"/>
  <c r="BS672" i="7"/>
  <c r="BS673" i="7"/>
  <c r="BS674" i="7"/>
  <c r="BS675" i="7"/>
  <c r="BS676" i="7"/>
  <c r="BS677" i="7"/>
  <c r="BS678" i="7"/>
  <c r="BS679" i="7"/>
  <c r="BS680" i="7"/>
  <c r="BS681" i="7"/>
  <c r="BS682" i="7"/>
  <c r="BS683" i="7"/>
  <c r="BS684" i="7"/>
  <c r="BS685" i="7"/>
  <c r="BS686" i="7"/>
  <c r="BS687" i="7"/>
  <c r="BS688" i="7"/>
  <c r="BS689" i="7"/>
  <c r="BS690" i="7"/>
  <c r="BS691" i="7"/>
  <c r="BS692" i="7"/>
  <c r="BS693" i="7"/>
  <c r="BS694" i="7"/>
  <c r="BS695" i="7"/>
  <c r="BS696" i="7"/>
  <c r="BS697" i="7"/>
  <c r="BS698" i="7"/>
  <c r="BS699" i="7"/>
  <c r="BS700" i="7"/>
  <c r="BS701" i="7"/>
  <c r="BS702" i="7"/>
  <c r="BS703" i="7"/>
  <c r="BS704" i="7"/>
  <c r="BS705" i="7"/>
  <c r="BS706" i="7"/>
  <c r="BS707" i="7"/>
  <c r="BS708" i="7"/>
  <c r="BS709" i="7"/>
  <c r="BS710" i="7"/>
  <c r="BS711" i="7"/>
  <c r="BS712" i="7"/>
  <c r="BS713" i="7"/>
  <c r="BS714" i="7"/>
  <c r="BS715" i="7"/>
  <c r="BS716" i="7"/>
  <c r="BS717" i="7"/>
  <c r="BS718" i="7"/>
  <c r="BS719" i="7"/>
  <c r="BS720" i="7"/>
  <c r="BS721" i="7"/>
  <c r="BS722" i="7"/>
  <c r="BS723" i="7"/>
  <c r="BS724" i="7"/>
  <c r="BS725" i="7"/>
  <c r="BS726" i="7"/>
  <c r="BS727" i="7"/>
  <c r="BS728" i="7"/>
  <c r="BS729" i="7"/>
  <c r="BS730" i="7"/>
  <c r="BS731" i="7"/>
  <c r="BS732" i="7"/>
  <c r="BS733" i="7"/>
  <c r="BS734" i="7"/>
  <c r="BS735" i="7"/>
  <c r="BS736" i="7"/>
  <c r="BS737" i="7"/>
  <c r="BS738" i="7"/>
  <c r="BS739" i="7"/>
  <c r="BS740" i="7"/>
  <c r="BS741" i="7"/>
  <c r="BS742" i="7"/>
  <c r="BS743" i="7"/>
  <c r="BS744" i="7"/>
  <c r="BS745" i="7"/>
  <c r="BS746" i="7"/>
  <c r="BS747" i="7"/>
  <c r="BS748" i="7"/>
  <c r="BS749" i="7"/>
  <c r="BS750" i="7"/>
  <c r="BS751" i="7"/>
  <c r="BS752" i="7"/>
  <c r="BS753" i="7"/>
  <c r="BS754" i="7"/>
  <c r="BS755" i="7"/>
  <c r="BS756" i="7"/>
  <c r="BS757" i="7"/>
  <c r="BS758" i="7"/>
  <c r="BS759" i="7"/>
  <c r="BS760" i="7"/>
  <c r="BS761" i="7"/>
  <c r="BS762" i="7"/>
  <c r="BS763" i="7"/>
  <c r="BS764" i="7"/>
  <c r="BS765" i="7"/>
  <c r="BS766" i="7"/>
  <c r="BS767" i="7"/>
  <c r="BS768" i="7"/>
  <c r="BS769" i="7"/>
  <c r="BS770" i="7"/>
  <c r="BS771" i="7"/>
  <c r="BS772" i="7"/>
  <c r="BS773" i="7"/>
  <c r="BS774" i="7"/>
  <c r="BS775" i="7"/>
  <c r="BS776" i="7"/>
  <c r="BS777" i="7"/>
  <c r="BS778" i="7"/>
  <c r="BS779" i="7"/>
  <c r="BS780" i="7"/>
  <c r="BS781" i="7"/>
  <c r="BS782" i="7"/>
  <c r="BS783" i="7"/>
  <c r="BS784" i="7"/>
  <c r="BS785" i="7"/>
  <c r="BS786" i="7"/>
  <c r="BS787" i="7"/>
  <c r="BS788" i="7"/>
  <c r="BS789" i="7"/>
  <c r="BS790" i="7"/>
  <c r="BS791" i="7"/>
  <c r="BS792" i="7"/>
  <c r="BS793" i="7"/>
  <c r="BS794" i="7"/>
  <c r="BS795" i="7"/>
  <c r="BS796" i="7"/>
  <c r="BS797" i="7"/>
  <c r="BS798" i="7"/>
  <c r="BS799" i="7"/>
  <c r="BS800" i="7"/>
  <c r="BS801" i="7"/>
  <c r="BS802" i="7"/>
  <c r="BS803" i="7"/>
  <c r="BS804" i="7"/>
  <c r="BS805" i="7"/>
  <c r="BS806" i="7"/>
  <c r="BS807" i="7"/>
  <c r="BS808" i="7"/>
  <c r="BS809" i="7"/>
  <c r="BS810" i="7"/>
  <c r="BS811" i="7"/>
  <c r="BS812" i="7"/>
  <c r="BS813" i="7"/>
  <c r="BS814" i="7"/>
  <c r="BS815" i="7"/>
  <c r="BS816" i="7"/>
  <c r="BS817" i="7"/>
  <c r="BS818" i="7"/>
  <c r="BS819" i="7"/>
  <c r="BS820" i="7"/>
  <c r="BS821" i="7"/>
  <c r="BS822" i="7"/>
  <c r="BS823" i="7"/>
  <c r="BS824" i="7"/>
  <c r="BS825" i="7"/>
  <c r="BS826" i="7"/>
  <c r="BS827" i="7"/>
  <c r="BS828" i="7"/>
  <c r="BS829" i="7"/>
  <c r="BS830" i="7"/>
  <c r="BS831" i="7"/>
  <c r="BS832" i="7"/>
  <c r="BS833" i="7"/>
  <c r="BS834" i="7"/>
  <c r="BS835" i="7"/>
  <c r="BS836" i="7"/>
  <c r="BS837" i="7"/>
  <c r="BS838" i="7"/>
  <c r="BS839" i="7"/>
  <c r="BS840" i="7"/>
  <c r="BS841" i="7"/>
  <c r="BS842" i="7"/>
  <c r="BS843" i="7"/>
  <c r="BS844" i="7"/>
  <c r="BS845" i="7"/>
  <c r="BS846" i="7"/>
  <c r="BS847" i="7"/>
  <c r="BS848" i="7"/>
  <c r="BS849" i="7"/>
  <c r="BS850" i="7"/>
  <c r="BS851" i="7"/>
  <c r="BS852" i="7"/>
  <c r="BS853" i="7"/>
  <c r="BS854" i="7"/>
  <c r="BS855" i="7"/>
  <c r="BS856" i="7"/>
  <c r="BS857" i="7"/>
  <c r="BS858" i="7"/>
  <c r="BS859" i="7"/>
  <c r="BS860" i="7"/>
  <c r="BS861" i="7"/>
  <c r="BS862" i="7"/>
  <c r="BS863" i="7"/>
  <c r="BS864" i="7"/>
  <c r="BS865" i="7"/>
  <c r="BS866" i="7"/>
  <c r="BS867" i="7"/>
  <c r="BS868" i="7"/>
  <c r="BS869" i="7"/>
  <c r="BS870" i="7"/>
  <c r="BS871" i="7"/>
  <c r="BS872" i="7"/>
  <c r="BS873" i="7"/>
  <c r="BS874" i="7"/>
  <c r="BS875" i="7"/>
  <c r="BS876" i="7"/>
  <c r="BS877" i="7"/>
  <c r="BS878" i="7"/>
  <c r="BS879" i="7"/>
  <c r="BS880" i="7"/>
  <c r="BS881" i="7"/>
  <c r="BS882" i="7"/>
  <c r="BS883" i="7"/>
  <c r="BS884" i="7"/>
  <c r="BS885" i="7"/>
  <c r="BS886" i="7"/>
  <c r="BS887" i="7"/>
  <c r="BS888" i="7"/>
  <c r="BS889" i="7"/>
  <c r="BS890" i="7"/>
  <c r="BS891" i="7"/>
  <c r="BS892" i="7"/>
  <c r="BS893" i="7"/>
  <c r="BS894" i="7"/>
  <c r="BS895" i="7"/>
  <c r="BS896" i="7"/>
  <c r="BS897" i="7"/>
  <c r="BS898" i="7"/>
  <c r="BS899" i="7"/>
  <c r="BS900" i="7"/>
  <c r="BS901" i="7"/>
  <c r="BS902" i="7"/>
  <c r="BS903" i="7"/>
  <c r="BS904" i="7"/>
  <c r="BS905" i="7"/>
  <c r="BS906" i="7"/>
  <c r="BS907" i="7"/>
  <c r="BS908" i="7"/>
  <c r="BS909" i="7"/>
  <c r="BS910" i="7"/>
  <c r="BS911" i="7"/>
  <c r="BS912" i="7"/>
  <c r="BS913" i="7"/>
  <c r="BS914" i="7"/>
  <c r="BS915" i="7"/>
  <c r="BS916" i="7"/>
  <c r="BS917" i="7"/>
  <c r="BS918" i="7"/>
  <c r="BS919" i="7"/>
  <c r="BS920" i="7"/>
  <c r="BS921" i="7"/>
  <c r="BS922" i="7"/>
  <c r="BS923" i="7"/>
  <c r="BS924" i="7"/>
  <c r="BS925" i="7"/>
  <c r="BS926" i="7"/>
  <c r="BS927" i="7"/>
  <c r="BS928" i="7"/>
  <c r="BS929" i="7"/>
  <c r="BS930" i="7"/>
  <c r="BS931" i="7"/>
  <c r="BS932" i="7"/>
  <c r="BS933" i="7"/>
  <c r="BS934" i="7"/>
  <c r="BS935" i="7"/>
  <c r="BS936" i="7"/>
  <c r="BS937" i="7"/>
  <c r="BS938" i="7"/>
  <c r="BS939" i="7"/>
  <c r="BS940" i="7"/>
  <c r="BS941" i="7"/>
  <c r="BS942" i="7"/>
  <c r="BS943" i="7"/>
  <c r="BS944" i="7"/>
  <c r="BS945" i="7"/>
  <c r="BS946" i="7"/>
  <c r="BS947" i="7"/>
  <c r="BS948" i="7"/>
  <c r="BS949" i="7"/>
  <c r="BS950" i="7"/>
  <c r="BS951" i="7"/>
  <c r="BS952" i="7"/>
  <c r="BS953" i="7"/>
  <c r="BS954" i="7"/>
  <c r="BS955" i="7"/>
  <c r="BS956" i="7"/>
  <c r="BS957" i="7"/>
  <c r="BS958" i="7"/>
  <c r="BS959" i="7"/>
  <c r="BS960" i="7"/>
  <c r="BS961" i="7"/>
  <c r="BS962" i="7"/>
  <c r="BS963" i="7"/>
  <c r="BS964" i="7"/>
  <c r="BS965" i="7"/>
  <c r="BS966" i="7"/>
  <c r="BS967" i="7"/>
  <c r="BS968" i="7"/>
  <c r="BS969" i="7"/>
  <c r="BS970" i="7"/>
  <c r="BS971" i="7"/>
  <c r="BS972" i="7"/>
  <c r="BS973" i="7"/>
  <c r="BS974" i="7"/>
  <c r="BS975" i="7"/>
  <c r="BS976" i="7"/>
  <c r="BS977" i="7"/>
  <c r="BS978" i="7"/>
  <c r="BS979" i="7"/>
  <c r="BS980" i="7"/>
  <c r="BS981" i="7"/>
  <c r="BS982" i="7"/>
  <c r="BS983" i="7"/>
  <c r="BS984" i="7"/>
  <c r="BS985" i="7"/>
  <c r="BR46" i="7"/>
  <c r="BR47" i="7"/>
  <c r="BR48" i="7"/>
  <c r="BR49" i="7"/>
  <c r="BR50" i="7"/>
  <c r="BR51" i="7"/>
  <c r="BR52" i="7"/>
  <c r="BR53" i="7"/>
  <c r="BR54" i="7"/>
  <c r="BR55" i="7"/>
  <c r="BR56" i="7"/>
  <c r="BR57" i="7"/>
  <c r="BR58" i="7"/>
  <c r="BR59" i="7"/>
  <c r="BR60" i="7"/>
  <c r="BR61" i="7"/>
  <c r="BR62" i="7"/>
  <c r="BR63" i="7"/>
  <c r="BR64" i="7"/>
  <c r="BR65" i="7"/>
  <c r="BR66" i="7"/>
  <c r="BR67" i="7"/>
  <c r="BR68" i="7"/>
  <c r="BR69" i="7"/>
  <c r="BR70" i="7"/>
  <c r="BR71" i="7"/>
  <c r="BR72" i="7"/>
  <c r="BR73" i="7"/>
  <c r="BR74" i="7"/>
  <c r="BR75" i="7"/>
  <c r="BR76" i="7"/>
  <c r="BR77" i="7"/>
  <c r="BR78" i="7"/>
  <c r="BR79" i="7"/>
  <c r="BR80" i="7"/>
  <c r="BR81" i="7"/>
  <c r="BR82" i="7"/>
  <c r="BR83" i="7"/>
  <c r="BR84" i="7"/>
  <c r="BR85" i="7"/>
  <c r="BR86" i="7"/>
  <c r="BR87" i="7"/>
  <c r="BR88" i="7"/>
  <c r="BR89" i="7"/>
  <c r="BR90" i="7"/>
  <c r="BR91" i="7"/>
  <c r="BR92" i="7"/>
  <c r="BR93" i="7"/>
  <c r="BR94" i="7"/>
  <c r="BR95" i="7"/>
  <c r="BR96" i="7"/>
  <c r="BR97" i="7"/>
  <c r="BR98" i="7"/>
  <c r="BR99" i="7"/>
  <c r="BR100" i="7"/>
  <c r="BR101" i="7"/>
  <c r="BR102" i="7"/>
  <c r="BR103" i="7"/>
  <c r="BR104" i="7"/>
  <c r="BR105" i="7"/>
  <c r="BR106" i="7"/>
  <c r="BR107" i="7"/>
  <c r="BR108" i="7"/>
  <c r="BR109" i="7"/>
  <c r="BR110" i="7"/>
  <c r="BR111" i="7"/>
  <c r="BR112" i="7"/>
  <c r="BR113" i="7"/>
  <c r="BR114" i="7"/>
  <c r="BR115" i="7"/>
  <c r="BR116" i="7"/>
  <c r="BR117" i="7"/>
  <c r="BR118" i="7"/>
  <c r="BR119" i="7"/>
  <c r="BR120" i="7"/>
  <c r="BR121" i="7"/>
  <c r="BR122" i="7"/>
  <c r="BR123" i="7"/>
  <c r="BR124" i="7"/>
  <c r="BR125" i="7"/>
  <c r="BR126" i="7"/>
  <c r="BR127" i="7"/>
  <c r="BR128" i="7"/>
  <c r="BR129" i="7"/>
  <c r="BR130" i="7"/>
  <c r="BR131" i="7"/>
  <c r="BR132" i="7"/>
  <c r="BR133" i="7"/>
  <c r="BR134" i="7"/>
  <c r="BR135" i="7"/>
  <c r="BR136" i="7"/>
  <c r="BR137" i="7"/>
  <c r="BR138" i="7"/>
  <c r="BR139" i="7"/>
  <c r="BR140" i="7"/>
  <c r="BR141" i="7"/>
  <c r="BR142" i="7"/>
  <c r="BR143" i="7"/>
  <c r="BR144" i="7"/>
  <c r="BR145" i="7"/>
  <c r="BR146" i="7"/>
  <c r="BR147" i="7"/>
  <c r="BR148" i="7"/>
  <c r="BR149" i="7"/>
  <c r="BR150" i="7"/>
  <c r="BR151" i="7"/>
  <c r="BR152" i="7"/>
  <c r="BR153" i="7"/>
  <c r="BR154" i="7"/>
  <c r="BR155" i="7"/>
  <c r="BR156" i="7"/>
  <c r="BR157" i="7"/>
  <c r="BR158" i="7"/>
  <c r="BR159" i="7"/>
  <c r="BR160" i="7"/>
  <c r="BR161" i="7"/>
  <c r="BR162" i="7"/>
  <c r="BR163" i="7"/>
  <c r="BR164" i="7"/>
  <c r="BR165" i="7"/>
  <c r="BR166" i="7"/>
  <c r="BR167" i="7"/>
  <c r="BR168" i="7"/>
  <c r="BR169" i="7"/>
  <c r="BR170" i="7"/>
  <c r="BR171" i="7"/>
  <c r="BR172" i="7"/>
  <c r="BR173" i="7"/>
  <c r="BR174" i="7"/>
  <c r="BR175" i="7"/>
  <c r="BR176" i="7"/>
  <c r="BR177" i="7"/>
  <c r="BR178" i="7"/>
  <c r="BR179" i="7"/>
  <c r="BR180" i="7"/>
  <c r="BR181" i="7"/>
  <c r="BR182" i="7"/>
  <c r="BR183" i="7"/>
  <c r="BR184" i="7"/>
  <c r="BR185" i="7"/>
  <c r="BR186" i="7"/>
  <c r="BR187" i="7"/>
  <c r="BR188" i="7"/>
  <c r="BR189" i="7"/>
  <c r="BR190" i="7"/>
  <c r="BR191" i="7"/>
  <c r="BR192" i="7"/>
  <c r="BR193" i="7"/>
  <c r="BR194" i="7"/>
  <c r="BR195" i="7"/>
  <c r="BR196" i="7"/>
  <c r="BR197" i="7"/>
  <c r="BR198" i="7"/>
  <c r="BR199" i="7"/>
  <c r="BR200" i="7"/>
  <c r="BR201" i="7"/>
  <c r="BR202" i="7"/>
  <c r="BR203" i="7"/>
  <c r="BR204" i="7"/>
  <c r="BR205" i="7"/>
  <c r="BR206" i="7"/>
  <c r="BR207" i="7"/>
  <c r="BR208" i="7"/>
  <c r="BR209" i="7"/>
  <c r="BR210" i="7"/>
  <c r="BR211" i="7"/>
  <c r="BR212" i="7"/>
  <c r="BR213" i="7"/>
  <c r="BR214" i="7"/>
  <c r="BR215" i="7"/>
  <c r="BR216" i="7"/>
  <c r="BR217" i="7"/>
  <c r="BR218" i="7"/>
  <c r="BR219" i="7"/>
  <c r="BR220" i="7"/>
  <c r="BR221" i="7"/>
  <c r="BR222" i="7"/>
  <c r="BR223" i="7"/>
  <c r="BR224" i="7"/>
  <c r="BR225" i="7"/>
  <c r="BR226" i="7"/>
  <c r="BR227" i="7"/>
  <c r="BR228" i="7"/>
  <c r="BR229" i="7"/>
  <c r="BR230" i="7"/>
  <c r="BR231" i="7"/>
  <c r="BR232" i="7"/>
  <c r="BR233" i="7"/>
  <c r="BR234" i="7"/>
  <c r="BR235" i="7"/>
  <c r="BR236" i="7"/>
  <c r="BR237" i="7"/>
  <c r="BR238" i="7"/>
  <c r="BR239" i="7"/>
  <c r="BR240" i="7"/>
  <c r="BR241" i="7"/>
  <c r="BR242" i="7"/>
  <c r="BR243" i="7"/>
  <c r="BR244" i="7"/>
  <c r="BR245" i="7"/>
  <c r="BR246" i="7"/>
  <c r="BR247" i="7"/>
  <c r="BR248" i="7"/>
  <c r="BR249" i="7"/>
  <c r="BR250" i="7"/>
  <c r="BR251" i="7"/>
  <c r="BR252" i="7"/>
  <c r="BR253" i="7"/>
  <c r="BR254" i="7"/>
  <c r="BR255" i="7"/>
  <c r="BR256" i="7"/>
  <c r="BR257" i="7"/>
  <c r="BR258" i="7"/>
  <c r="BR259" i="7"/>
  <c r="BR260" i="7"/>
  <c r="BR261" i="7"/>
  <c r="BR262" i="7"/>
  <c r="BR263" i="7"/>
  <c r="BR264" i="7"/>
  <c r="BR265" i="7"/>
  <c r="BR266" i="7"/>
  <c r="BR267" i="7"/>
  <c r="BR268" i="7"/>
  <c r="BR269" i="7"/>
  <c r="BR270" i="7"/>
  <c r="BR271" i="7"/>
  <c r="BR272" i="7"/>
  <c r="BR273" i="7"/>
  <c r="BR274" i="7"/>
  <c r="BR275" i="7"/>
  <c r="BR276" i="7"/>
  <c r="BR277" i="7"/>
  <c r="BR278" i="7"/>
  <c r="BR279" i="7"/>
  <c r="BR280" i="7"/>
  <c r="BR281" i="7"/>
  <c r="BR282" i="7"/>
  <c r="BR283" i="7"/>
  <c r="BR284" i="7"/>
  <c r="BR285" i="7"/>
  <c r="BR286" i="7"/>
  <c r="BR287" i="7"/>
  <c r="BR288" i="7"/>
  <c r="BR289" i="7"/>
  <c r="BR290" i="7"/>
  <c r="BR291" i="7"/>
  <c r="BR292" i="7"/>
  <c r="BR293" i="7"/>
  <c r="BR294" i="7"/>
  <c r="BR295" i="7"/>
  <c r="BR296" i="7"/>
  <c r="BR297" i="7"/>
  <c r="BR298" i="7"/>
  <c r="BR299" i="7"/>
  <c r="BR300" i="7"/>
  <c r="BR301" i="7"/>
  <c r="BR302" i="7"/>
  <c r="BR303" i="7"/>
  <c r="BR304" i="7"/>
  <c r="BR305" i="7"/>
  <c r="BR306" i="7"/>
  <c r="BR307" i="7"/>
  <c r="BR308" i="7"/>
  <c r="BR309" i="7"/>
  <c r="BR310" i="7"/>
  <c r="BR311" i="7"/>
  <c r="BR312" i="7"/>
  <c r="BR313" i="7"/>
  <c r="BR314" i="7"/>
  <c r="BR315" i="7"/>
  <c r="BR316" i="7"/>
  <c r="BR317" i="7"/>
  <c r="BR318" i="7"/>
  <c r="BR319" i="7"/>
  <c r="BR320" i="7"/>
  <c r="BR321" i="7"/>
  <c r="BR322" i="7"/>
  <c r="BR323" i="7"/>
  <c r="BR324" i="7"/>
  <c r="BR325" i="7"/>
  <c r="BR326" i="7"/>
  <c r="BR327" i="7"/>
  <c r="BR328" i="7"/>
  <c r="BR329" i="7"/>
  <c r="BR330" i="7"/>
  <c r="BR331" i="7"/>
  <c r="BR332" i="7"/>
  <c r="BR333" i="7"/>
  <c r="BR334" i="7"/>
  <c r="BR335" i="7"/>
  <c r="BR336" i="7"/>
  <c r="BR337" i="7"/>
  <c r="BR338" i="7"/>
  <c r="BR339" i="7"/>
  <c r="BR340" i="7"/>
  <c r="BR341" i="7"/>
  <c r="BR342" i="7"/>
  <c r="BR343" i="7"/>
  <c r="BR344" i="7"/>
  <c r="BR345" i="7"/>
  <c r="BR346" i="7"/>
  <c r="BR347" i="7"/>
  <c r="BR348" i="7"/>
  <c r="BR349" i="7"/>
  <c r="BR350" i="7"/>
  <c r="BR351" i="7"/>
  <c r="BR352" i="7"/>
  <c r="BR353" i="7"/>
  <c r="BR354" i="7"/>
  <c r="BR355" i="7"/>
  <c r="BR356" i="7"/>
  <c r="BR357" i="7"/>
  <c r="BR358" i="7"/>
  <c r="BR359" i="7"/>
  <c r="BR360" i="7"/>
  <c r="BR361" i="7"/>
  <c r="BR362" i="7"/>
  <c r="BR363" i="7"/>
  <c r="BR364" i="7"/>
  <c r="BR365" i="7"/>
  <c r="BR366" i="7"/>
  <c r="BR367" i="7"/>
  <c r="BR368" i="7"/>
  <c r="BR369" i="7"/>
  <c r="BR370" i="7"/>
  <c r="BR371" i="7"/>
  <c r="BR372" i="7"/>
  <c r="BR373" i="7"/>
  <c r="BR374" i="7"/>
  <c r="BR375" i="7"/>
  <c r="BR376" i="7"/>
  <c r="BR377" i="7"/>
  <c r="BR378" i="7"/>
  <c r="BR379" i="7"/>
  <c r="BR380" i="7"/>
  <c r="BR381" i="7"/>
  <c r="BR382" i="7"/>
  <c r="BR383" i="7"/>
  <c r="BR384" i="7"/>
  <c r="BR385" i="7"/>
  <c r="BR386" i="7"/>
  <c r="BR387" i="7"/>
  <c r="BR388" i="7"/>
  <c r="BR389" i="7"/>
  <c r="BR390" i="7"/>
  <c r="BR391" i="7"/>
  <c r="BR392" i="7"/>
  <c r="BR393" i="7"/>
  <c r="BR394" i="7"/>
  <c r="BR395" i="7"/>
  <c r="BR396" i="7"/>
  <c r="BR397" i="7"/>
  <c r="BR398" i="7"/>
  <c r="BR399" i="7"/>
  <c r="BR400" i="7"/>
  <c r="BR401" i="7"/>
  <c r="BR402" i="7"/>
  <c r="BR403" i="7"/>
  <c r="BR404" i="7"/>
  <c r="BR405" i="7"/>
  <c r="BR406" i="7"/>
  <c r="BR407" i="7"/>
  <c r="BR408" i="7"/>
  <c r="BR409" i="7"/>
  <c r="BR410" i="7"/>
  <c r="BR411" i="7"/>
  <c r="BR412" i="7"/>
  <c r="BR413" i="7"/>
  <c r="BR414" i="7"/>
  <c r="BR415" i="7"/>
  <c r="BR416" i="7"/>
  <c r="BR417" i="7"/>
  <c r="BR418" i="7"/>
  <c r="BR419" i="7"/>
  <c r="BR420" i="7"/>
  <c r="BR421" i="7"/>
  <c r="BR422" i="7"/>
  <c r="BR423" i="7"/>
  <c r="BR424" i="7"/>
  <c r="BR425" i="7"/>
  <c r="BR426" i="7"/>
  <c r="BR427" i="7"/>
  <c r="BR428" i="7"/>
  <c r="BR429" i="7"/>
  <c r="BR430" i="7"/>
  <c r="BR431" i="7"/>
  <c r="BR432" i="7"/>
  <c r="BR433" i="7"/>
  <c r="BR434" i="7"/>
  <c r="BR435" i="7"/>
  <c r="BR436" i="7"/>
  <c r="BR437" i="7"/>
  <c r="BR438" i="7"/>
  <c r="BR439" i="7"/>
  <c r="BR440" i="7"/>
  <c r="BR441" i="7"/>
  <c r="BR442" i="7"/>
  <c r="BR443" i="7"/>
  <c r="BR444" i="7"/>
  <c r="BR445" i="7"/>
  <c r="BR446" i="7"/>
  <c r="BR447" i="7"/>
  <c r="BR448" i="7"/>
  <c r="BR449" i="7"/>
  <c r="BR450" i="7"/>
  <c r="BR451" i="7"/>
  <c r="BR452" i="7"/>
  <c r="BR453" i="7"/>
  <c r="BR454" i="7"/>
  <c r="BR455" i="7"/>
  <c r="BR456" i="7"/>
  <c r="BR457" i="7"/>
  <c r="BR458" i="7"/>
  <c r="BR459" i="7"/>
  <c r="BR460" i="7"/>
  <c r="BR461" i="7"/>
  <c r="BR462" i="7"/>
  <c r="BR463" i="7"/>
  <c r="BR464" i="7"/>
  <c r="BR465" i="7"/>
  <c r="BR466" i="7"/>
  <c r="BR467" i="7"/>
  <c r="BR468" i="7"/>
  <c r="BR469" i="7"/>
  <c r="BR470" i="7"/>
  <c r="BR471" i="7"/>
  <c r="BR472" i="7"/>
  <c r="BR473" i="7"/>
  <c r="BR474" i="7"/>
  <c r="BR475" i="7"/>
  <c r="BR476" i="7"/>
  <c r="BR477" i="7"/>
  <c r="BR478" i="7"/>
  <c r="BR479" i="7"/>
  <c r="BR480" i="7"/>
  <c r="BR481" i="7"/>
  <c r="BR482" i="7"/>
  <c r="BR483" i="7"/>
  <c r="BR484" i="7"/>
  <c r="BR485" i="7"/>
  <c r="BR486" i="7"/>
  <c r="BR487" i="7"/>
  <c r="BR488" i="7"/>
  <c r="BR489" i="7"/>
  <c r="BR490" i="7"/>
  <c r="BR491" i="7"/>
  <c r="BR492" i="7"/>
  <c r="BR493" i="7"/>
  <c r="BR494" i="7"/>
  <c r="BR495" i="7"/>
  <c r="BR496" i="7"/>
  <c r="BR497" i="7"/>
  <c r="BR498" i="7"/>
  <c r="BR499" i="7"/>
  <c r="BR500" i="7"/>
  <c r="BR501" i="7"/>
  <c r="BR502" i="7"/>
  <c r="BR503" i="7"/>
  <c r="BR504" i="7"/>
  <c r="BR505" i="7"/>
  <c r="BR506" i="7"/>
  <c r="BR507" i="7"/>
  <c r="BR508" i="7"/>
  <c r="BR509" i="7"/>
  <c r="BR510" i="7"/>
  <c r="BR511" i="7"/>
  <c r="BR512" i="7"/>
  <c r="BR513" i="7"/>
  <c r="BR514" i="7"/>
  <c r="BR515" i="7"/>
  <c r="BR516" i="7"/>
  <c r="BR517" i="7"/>
  <c r="BR518" i="7"/>
  <c r="BR519" i="7"/>
  <c r="BR520" i="7"/>
  <c r="BR521" i="7"/>
  <c r="BR522" i="7"/>
  <c r="BR523" i="7"/>
  <c r="BR524" i="7"/>
  <c r="BR525" i="7"/>
  <c r="BR526" i="7"/>
  <c r="BR527" i="7"/>
  <c r="BR528" i="7"/>
  <c r="BR529" i="7"/>
  <c r="BR530" i="7"/>
  <c r="BR531" i="7"/>
  <c r="BR532" i="7"/>
  <c r="BR533" i="7"/>
  <c r="BR534" i="7"/>
  <c r="BR535" i="7"/>
  <c r="BR536" i="7"/>
  <c r="BR537" i="7"/>
  <c r="BR538" i="7"/>
  <c r="BR539" i="7"/>
  <c r="BR540" i="7"/>
  <c r="BR541" i="7"/>
  <c r="BR542" i="7"/>
  <c r="BR543" i="7"/>
  <c r="BR544" i="7"/>
  <c r="BR545" i="7"/>
  <c r="BR546" i="7"/>
  <c r="BR547" i="7"/>
  <c r="BR548" i="7"/>
  <c r="BR549" i="7"/>
  <c r="BR550" i="7"/>
  <c r="BR551" i="7"/>
  <c r="BR552" i="7"/>
  <c r="BR553" i="7"/>
  <c r="BR554" i="7"/>
  <c r="BR555" i="7"/>
  <c r="BR556" i="7"/>
  <c r="BR557" i="7"/>
  <c r="BR558" i="7"/>
  <c r="BR559" i="7"/>
  <c r="BR560" i="7"/>
  <c r="BR561" i="7"/>
  <c r="BR562" i="7"/>
  <c r="BR563" i="7"/>
  <c r="BR564" i="7"/>
  <c r="BR565" i="7"/>
  <c r="BR566" i="7"/>
  <c r="BR567" i="7"/>
  <c r="BR568" i="7"/>
  <c r="BR569" i="7"/>
  <c r="BR570" i="7"/>
  <c r="BR571" i="7"/>
  <c r="BR572" i="7"/>
  <c r="BR573" i="7"/>
  <c r="BR574" i="7"/>
  <c r="BR575" i="7"/>
  <c r="BR576" i="7"/>
  <c r="BR577" i="7"/>
  <c r="BR578" i="7"/>
  <c r="BR579" i="7"/>
  <c r="BR580" i="7"/>
  <c r="BR581" i="7"/>
  <c r="BR582" i="7"/>
  <c r="BR583" i="7"/>
  <c r="BR584" i="7"/>
  <c r="BR585" i="7"/>
  <c r="BR586" i="7"/>
  <c r="BR587" i="7"/>
  <c r="BR588" i="7"/>
  <c r="BR589" i="7"/>
  <c r="BR590" i="7"/>
  <c r="BR591" i="7"/>
  <c r="BR592" i="7"/>
  <c r="BR593" i="7"/>
  <c r="BR594" i="7"/>
  <c r="BR595" i="7"/>
  <c r="BR596" i="7"/>
  <c r="BR597" i="7"/>
  <c r="BR598" i="7"/>
  <c r="BR599" i="7"/>
  <c r="BR600" i="7"/>
  <c r="BR601" i="7"/>
  <c r="BR602" i="7"/>
  <c r="BR603" i="7"/>
  <c r="BR604" i="7"/>
  <c r="BR605" i="7"/>
  <c r="BR606" i="7"/>
  <c r="BR607" i="7"/>
  <c r="BR608" i="7"/>
  <c r="BR609" i="7"/>
  <c r="BR610" i="7"/>
  <c r="BR611" i="7"/>
  <c r="BR612" i="7"/>
  <c r="BR613" i="7"/>
  <c r="BR614" i="7"/>
  <c r="BR615" i="7"/>
  <c r="BR616" i="7"/>
  <c r="BR617" i="7"/>
  <c r="BR618" i="7"/>
  <c r="BR619" i="7"/>
  <c r="BR620" i="7"/>
  <c r="BR621" i="7"/>
  <c r="BR622" i="7"/>
  <c r="BR623" i="7"/>
  <c r="BR624" i="7"/>
  <c r="BR625" i="7"/>
  <c r="BR626" i="7"/>
  <c r="BR627" i="7"/>
  <c r="BR628" i="7"/>
  <c r="BR629" i="7"/>
  <c r="BR630" i="7"/>
  <c r="BR631" i="7"/>
  <c r="BR632" i="7"/>
  <c r="BR633" i="7"/>
  <c r="BR634" i="7"/>
  <c r="BR635" i="7"/>
  <c r="BR636" i="7"/>
  <c r="BR637" i="7"/>
  <c r="BR638" i="7"/>
  <c r="BR639" i="7"/>
  <c r="BR640" i="7"/>
  <c r="BR641" i="7"/>
  <c r="BR642" i="7"/>
  <c r="BR643" i="7"/>
  <c r="BR644" i="7"/>
  <c r="BR645" i="7"/>
  <c r="BR646" i="7"/>
  <c r="BR647" i="7"/>
  <c r="BR648" i="7"/>
  <c r="BR649" i="7"/>
  <c r="BR650" i="7"/>
  <c r="BR651" i="7"/>
  <c r="BR652" i="7"/>
  <c r="BR653" i="7"/>
  <c r="BR654" i="7"/>
  <c r="BR655" i="7"/>
  <c r="BR656" i="7"/>
  <c r="BR657" i="7"/>
  <c r="BR658" i="7"/>
  <c r="BR659" i="7"/>
  <c r="BR660" i="7"/>
  <c r="BR661" i="7"/>
  <c r="BR662" i="7"/>
  <c r="BR663" i="7"/>
  <c r="BR664" i="7"/>
  <c r="BR665" i="7"/>
  <c r="BR666" i="7"/>
  <c r="BR667" i="7"/>
  <c r="BR668" i="7"/>
  <c r="BR669" i="7"/>
  <c r="BR670" i="7"/>
  <c r="BR671" i="7"/>
  <c r="BR672" i="7"/>
  <c r="BR673" i="7"/>
  <c r="BR674" i="7"/>
  <c r="BR675" i="7"/>
  <c r="BR676" i="7"/>
  <c r="BR677" i="7"/>
  <c r="BR678" i="7"/>
  <c r="BR679" i="7"/>
  <c r="BR680" i="7"/>
  <c r="BR681" i="7"/>
  <c r="BR682" i="7"/>
  <c r="BR683" i="7"/>
  <c r="BR684" i="7"/>
  <c r="BR685" i="7"/>
  <c r="BR686" i="7"/>
  <c r="BR687" i="7"/>
  <c r="BR688" i="7"/>
  <c r="BR689" i="7"/>
  <c r="BR690" i="7"/>
  <c r="BR691" i="7"/>
  <c r="BR692" i="7"/>
  <c r="BR693" i="7"/>
  <c r="BR694" i="7"/>
  <c r="BR695" i="7"/>
  <c r="BR696" i="7"/>
  <c r="BR697" i="7"/>
  <c r="BR698" i="7"/>
  <c r="BR699" i="7"/>
  <c r="BR700" i="7"/>
  <c r="BR701" i="7"/>
  <c r="BR702" i="7"/>
  <c r="BR703" i="7"/>
  <c r="BR704" i="7"/>
  <c r="BR705" i="7"/>
  <c r="BR706" i="7"/>
  <c r="BR707" i="7"/>
  <c r="BR708" i="7"/>
  <c r="BR709" i="7"/>
  <c r="BR710" i="7"/>
  <c r="BR711" i="7"/>
  <c r="BR712" i="7"/>
  <c r="BR713" i="7"/>
  <c r="BR714" i="7"/>
  <c r="BR715" i="7"/>
  <c r="BR716" i="7"/>
  <c r="BR717" i="7"/>
  <c r="BR718" i="7"/>
  <c r="BR719" i="7"/>
  <c r="BR720" i="7"/>
  <c r="BR721" i="7"/>
  <c r="BR722" i="7"/>
  <c r="BR723" i="7"/>
  <c r="BR724" i="7"/>
  <c r="BR725" i="7"/>
  <c r="BR726" i="7"/>
  <c r="BR727" i="7"/>
  <c r="BR728" i="7"/>
  <c r="BR729" i="7"/>
  <c r="BR730" i="7"/>
  <c r="BR731" i="7"/>
  <c r="BR732" i="7"/>
  <c r="BR733" i="7"/>
  <c r="BR734" i="7"/>
  <c r="BR735" i="7"/>
  <c r="BR736" i="7"/>
  <c r="BR737" i="7"/>
  <c r="BR738" i="7"/>
  <c r="BR739" i="7"/>
  <c r="BR740" i="7"/>
  <c r="BR741" i="7"/>
  <c r="BR742" i="7"/>
  <c r="BR743" i="7"/>
  <c r="BR744" i="7"/>
  <c r="BR745" i="7"/>
  <c r="BR746" i="7"/>
  <c r="BR747" i="7"/>
  <c r="BR748" i="7"/>
  <c r="BR749" i="7"/>
  <c r="BR750" i="7"/>
  <c r="BR751" i="7"/>
  <c r="BR752" i="7"/>
  <c r="BR753" i="7"/>
  <c r="BR754" i="7"/>
  <c r="BR755" i="7"/>
  <c r="BR756" i="7"/>
  <c r="BR757" i="7"/>
  <c r="BR758" i="7"/>
  <c r="BR759" i="7"/>
  <c r="BR760" i="7"/>
  <c r="BR761" i="7"/>
  <c r="BR762" i="7"/>
  <c r="BR763" i="7"/>
  <c r="BR764" i="7"/>
  <c r="BR765" i="7"/>
  <c r="BR766" i="7"/>
  <c r="BR767" i="7"/>
  <c r="BR768" i="7"/>
  <c r="BR769" i="7"/>
  <c r="BR770" i="7"/>
  <c r="BR771" i="7"/>
  <c r="BR772" i="7"/>
  <c r="BR773" i="7"/>
  <c r="BR774" i="7"/>
  <c r="BR775" i="7"/>
  <c r="BR776" i="7"/>
  <c r="BR777" i="7"/>
  <c r="BR778" i="7"/>
  <c r="BR779" i="7"/>
  <c r="BR780" i="7"/>
  <c r="BR781" i="7"/>
  <c r="BR782" i="7"/>
  <c r="BR783" i="7"/>
  <c r="BR784" i="7"/>
  <c r="BR785" i="7"/>
  <c r="BR786" i="7"/>
  <c r="BR787" i="7"/>
  <c r="BR788" i="7"/>
  <c r="BR789" i="7"/>
  <c r="BR790" i="7"/>
  <c r="BR791" i="7"/>
  <c r="BR792" i="7"/>
  <c r="BR793" i="7"/>
  <c r="BR794" i="7"/>
  <c r="BR795" i="7"/>
  <c r="BR796" i="7"/>
  <c r="BR797" i="7"/>
  <c r="BR798" i="7"/>
  <c r="BR799" i="7"/>
  <c r="BR800" i="7"/>
  <c r="BR801" i="7"/>
  <c r="BR802" i="7"/>
  <c r="BR803" i="7"/>
  <c r="BR804" i="7"/>
  <c r="BR805" i="7"/>
  <c r="BR806" i="7"/>
  <c r="BR807" i="7"/>
  <c r="BR808" i="7"/>
  <c r="BR809" i="7"/>
  <c r="BR810" i="7"/>
  <c r="BR811" i="7"/>
  <c r="BR812" i="7"/>
  <c r="BR813" i="7"/>
  <c r="BR814" i="7"/>
  <c r="BR815" i="7"/>
  <c r="BR816" i="7"/>
  <c r="BR817" i="7"/>
  <c r="BR818" i="7"/>
  <c r="BR819" i="7"/>
  <c r="BR820" i="7"/>
  <c r="BR821" i="7"/>
  <c r="BR822" i="7"/>
  <c r="BR823" i="7"/>
  <c r="BR824" i="7"/>
  <c r="BR825" i="7"/>
  <c r="BR826" i="7"/>
  <c r="BR827" i="7"/>
  <c r="BR828" i="7"/>
  <c r="BR829" i="7"/>
  <c r="BR830" i="7"/>
  <c r="BR831" i="7"/>
  <c r="BR832" i="7"/>
  <c r="BR833" i="7"/>
  <c r="BR834" i="7"/>
  <c r="BR835" i="7"/>
  <c r="BR836" i="7"/>
  <c r="BR837" i="7"/>
  <c r="BR838" i="7"/>
  <c r="BR839" i="7"/>
  <c r="BR840" i="7"/>
  <c r="BR841" i="7"/>
  <c r="BR842" i="7"/>
  <c r="BR843" i="7"/>
  <c r="BR844" i="7"/>
  <c r="BR845" i="7"/>
  <c r="BR846" i="7"/>
  <c r="BR847" i="7"/>
  <c r="BR848" i="7"/>
  <c r="BR849" i="7"/>
  <c r="BR850" i="7"/>
  <c r="BR851" i="7"/>
  <c r="BR852" i="7"/>
  <c r="BR853" i="7"/>
  <c r="BR854" i="7"/>
  <c r="BR855" i="7"/>
  <c r="BR856" i="7"/>
  <c r="BR857" i="7"/>
  <c r="BR858" i="7"/>
  <c r="BR859" i="7"/>
  <c r="BR860" i="7"/>
  <c r="BR861" i="7"/>
  <c r="BR862" i="7"/>
  <c r="BR863" i="7"/>
  <c r="BR864" i="7"/>
  <c r="BR865" i="7"/>
  <c r="BR866" i="7"/>
  <c r="BR867" i="7"/>
  <c r="BR868" i="7"/>
  <c r="BR869" i="7"/>
  <c r="BR870" i="7"/>
  <c r="BR871" i="7"/>
  <c r="BR872" i="7"/>
  <c r="BR873" i="7"/>
  <c r="BR874" i="7"/>
  <c r="BR875" i="7"/>
  <c r="BR876" i="7"/>
  <c r="BR877" i="7"/>
  <c r="BR878" i="7"/>
  <c r="BR879" i="7"/>
  <c r="BR880" i="7"/>
  <c r="BR881" i="7"/>
  <c r="BR882" i="7"/>
  <c r="BR883" i="7"/>
  <c r="BR884" i="7"/>
  <c r="BR885" i="7"/>
  <c r="BR886" i="7"/>
  <c r="BR887" i="7"/>
  <c r="BR888" i="7"/>
  <c r="BR889" i="7"/>
  <c r="BR890" i="7"/>
  <c r="BR891" i="7"/>
  <c r="BR892" i="7"/>
  <c r="BR893" i="7"/>
  <c r="BR894" i="7"/>
  <c r="BR895" i="7"/>
  <c r="BR896" i="7"/>
  <c r="BR897" i="7"/>
  <c r="BR898" i="7"/>
  <c r="BR899" i="7"/>
  <c r="BR900" i="7"/>
  <c r="BR901" i="7"/>
  <c r="BR902" i="7"/>
  <c r="BR903" i="7"/>
  <c r="BR904" i="7"/>
  <c r="BR905" i="7"/>
  <c r="BR906" i="7"/>
  <c r="BR907" i="7"/>
  <c r="BR908" i="7"/>
  <c r="BR909" i="7"/>
  <c r="BR910" i="7"/>
  <c r="BR911" i="7"/>
  <c r="BR912" i="7"/>
  <c r="BR913" i="7"/>
  <c r="BR914" i="7"/>
  <c r="BR915" i="7"/>
  <c r="BR916" i="7"/>
  <c r="BR917" i="7"/>
  <c r="BR918" i="7"/>
  <c r="BR919" i="7"/>
  <c r="BR920" i="7"/>
  <c r="BR921" i="7"/>
  <c r="BR922" i="7"/>
  <c r="BR923" i="7"/>
  <c r="BR924" i="7"/>
  <c r="BR925" i="7"/>
  <c r="BR926" i="7"/>
  <c r="BR927" i="7"/>
  <c r="BR928" i="7"/>
  <c r="BR929" i="7"/>
  <c r="BR930" i="7"/>
  <c r="BR931" i="7"/>
  <c r="BR932" i="7"/>
  <c r="BR933" i="7"/>
  <c r="BR934" i="7"/>
  <c r="BR935" i="7"/>
  <c r="BR936" i="7"/>
  <c r="BR937" i="7"/>
  <c r="BR938" i="7"/>
  <c r="BR939" i="7"/>
  <c r="BR940" i="7"/>
  <c r="BR941" i="7"/>
  <c r="BR942" i="7"/>
  <c r="BR943" i="7"/>
  <c r="BR944" i="7"/>
  <c r="BR945" i="7"/>
  <c r="BR946" i="7"/>
  <c r="BR947" i="7"/>
  <c r="BR948" i="7"/>
  <c r="BR949" i="7"/>
  <c r="BR950" i="7"/>
  <c r="BR951" i="7"/>
  <c r="BR952" i="7"/>
  <c r="BR953" i="7"/>
  <c r="BR954" i="7"/>
  <c r="BR955" i="7"/>
  <c r="BR956" i="7"/>
  <c r="BR957" i="7"/>
  <c r="BR958" i="7"/>
  <c r="BR959" i="7"/>
  <c r="BR960" i="7"/>
  <c r="BR961" i="7"/>
  <c r="BR962" i="7"/>
  <c r="BR963" i="7"/>
  <c r="BR964" i="7"/>
  <c r="BR965" i="7"/>
  <c r="BR966" i="7"/>
  <c r="BR967" i="7"/>
  <c r="BR968" i="7"/>
  <c r="BR969" i="7"/>
  <c r="BR970" i="7"/>
  <c r="BR971" i="7"/>
  <c r="BR972" i="7"/>
  <c r="BR973" i="7"/>
  <c r="BR974" i="7"/>
  <c r="BR975" i="7"/>
  <c r="BR976" i="7"/>
  <c r="BR977" i="7"/>
  <c r="BR978" i="7"/>
  <c r="BR979" i="7"/>
  <c r="BR980" i="7"/>
  <c r="BR981" i="7"/>
  <c r="BR982" i="7"/>
  <c r="BR983" i="7"/>
  <c r="BR984" i="7"/>
  <c r="BR985" i="7"/>
  <c r="BQ46" i="7"/>
  <c r="BQ47" i="7"/>
  <c r="BQ48" i="7"/>
  <c r="BQ49" i="7"/>
  <c r="BQ50" i="7"/>
  <c r="BQ51" i="7"/>
  <c r="BQ52" i="7"/>
  <c r="BQ53" i="7"/>
  <c r="BQ54" i="7"/>
  <c r="BQ55" i="7"/>
  <c r="BQ56" i="7"/>
  <c r="BQ57" i="7"/>
  <c r="BQ58" i="7"/>
  <c r="BQ59" i="7"/>
  <c r="BQ60" i="7"/>
  <c r="BQ61" i="7"/>
  <c r="BQ62" i="7"/>
  <c r="BQ63" i="7"/>
  <c r="BQ64" i="7"/>
  <c r="BQ65" i="7"/>
  <c r="BQ66" i="7"/>
  <c r="BQ67" i="7"/>
  <c r="BQ68" i="7"/>
  <c r="BQ69" i="7"/>
  <c r="BQ70" i="7"/>
  <c r="BQ71" i="7"/>
  <c r="BQ72" i="7"/>
  <c r="BQ73" i="7"/>
  <c r="BQ74" i="7"/>
  <c r="BQ75" i="7"/>
  <c r="BQ76" i="7"/>
  <c r="BQ77" i="7"/>
  <c r="BQ78" i="7"/>
  <c r="BQ79" i="7"/>
  <c r="BQ80" i="7"/>
  <c r="BQ81" i="7"/>
  <c r="BQ82" i="7"/>
  <c r="BQ83" i="7"/>
  <c r="BQ84" i="7"/>
  <c r="BQ85" i="7"/>
  <c r="BQ86" i="7"/>
  <c r="BQ87" i="7"/>
  <c r="BQ88" i="7"/>
  <c r="BQ89" i="7"/>
  <c r="BQ90" i="7"/>
  <c r="BQ91" i="7"/>
  <c r="BQ92" i="7"/>
  <c r="BQ93" i="7"/>
  <c r="BQ94" i="7"/>
  <c r="BQ95" i="7"/>
  <c r="BQ96" i="7"/>
  <c r="BQ97" i="7"/>
  <c r="BQ98" i="7"/>
  <c r="BQ99" i="7"/>
  <c r="BQ100" i="7"/>
  <c r="BQ101" i="7"/>
  <c r="BQ102" i="7"/>
  <c r="BQ103" i="7"/>
  <c r="BQ104" i="7"/>
  <c r="BQ105" i="7"/>
  <c r="BQ106" i="7"/>
  <c r="BQ107" i="7"/>
  <c r="BQ108" i="7"/>
  <c r="BQ109" i="7"/>
  <c r="BQ110" i="7"/>
  <c r="BQ111" i="7"/>
  <c r="BQ112" i="7"/>
  <c r="BQ113" i="7"/>
  <c r="BQ114" i="7"/>
  <c r="BQ115" i="7"/>
  <c r="BQ116" i="7"/>
  <c r="BQ117" i="7"/>
  <c r="BQ118" i="7"/>
  <c r="BQ119" i="7"/>
  <c r="BQ120" i="7"/>
  <c r="BQ121" i="7"/>
  <c r="BQ122" i="7"/>
  <c r="BQ123" i="7"/>
  <c r="BQ124" i="7"/>
  <c r="BQ125" i="7"/>
  <c r="BQ126" i="7"/>
  <c r="BQ127" i="7"/>
  <c r="BQ128" i="7"/>
  <c r="BQ129" i="7"/>
  <c r="BQ130" i="7"/>
  <c r="BQ131" i="7"/>
  <c r="BQ132" i="7"/>
  <c r="BQ133" i="7"/>
  <c r="BQ134" i="7"/>
  <c r="BQ135" i="7"/>
  <c r="BQ136" i="7"/>
  <c r="BQ137" i="7"/>
  <c r="BQ138" i="7"/>
  <c r="BQ139" i="7"/>
  <c r="BQ140" i="7"/>
  <c r="BQ141" i="7"/>
  <c r="BQ142" i="7"/>
  <c r="BQ143" i="7"/>
  <c r="BQ144" i="7"/>
  <c r="BQ145" i="7"/>
  <c r="BQ146" i="7"/>
  <c r="BQ147" i="7"/>
  <c r="BQ148" i="7"/>
  <c r="BQ149" i="7"/>
  <c r="BQ150" i="7"/>
  <c r="BQ151" i="7"/>
  <c r="BQ152" i="7"/>
  <c r="BQ153" i="7"/>
  <c r="BQ154" i="7"/>
  <c r="BQ155" i="7"/>
  <c r="BQ156" i="7"/>
  <c r="BQ157" i="7"/>
  <c r="BQ158" i="7"/>
  <c r="BQ159" i="7"/>
  <c r="BQ160" i="7"/>
  <c r="BQ161" i="7"/>
  <c r="BQ162" i="7"/>
  <c r="BQ163" i="7"/>
  <c r="BQ164" i="7"/>
  <c r="BQ165" i="7"/>
  <c r="BQ166" i="7"/>
  <c r="BQ167" i="7"/>
  <c r="BQ168" i="7"/>
  <c r="BQ169" i="7"/>
  <c r="BQ170" i="7"/>
  <c r="BQ171" i="7"/>
  <c r="BQ172" i="7"/>
  <c r="BQ173" i="7"/>
  <c r="BQ174" i="7"/>
  <c r="BQ175" i="7"/>
  <c r="BQ176" i="7"/>
  <c r="BQ177" i="7"/>
  <c r="BQ178" i="7"/>
  <c r="BQ179" i="7"/>
  <c r="BQ180" i="7"/>
  <c r="BQ181" i="7"/>
  <c r="BQ182" i="7"/>
  <c r="BQ183" i="7"/>
  <c r="BQ184" i="7"/>
  <c r="BQ185" i="7"/>
  <c r="BQ186" i="7"/>
  <c r="BQ187" i="7"/>
  <c r="BQ188" i="7"/>
  <c r="BQ189" i="7"/>
  <c r="BQ190" i="7"/>
  <c r="BQ191" i="7"/>
  <c r="BQ192" i="7"/>
  <c r="BQ193" i="7"/>
  <c r="BQ194" i="7"/>
  <c r="BQ195" i="7"/>
  <c r="BQ196" i="7"/>
  <c r="BQ197" i="7"/>
  <c r="BQ198" i="7"/>
  <c r="BQ199" i="7"/>
  <c r="BQ200" i="7"/>
  <c r="BQ201" i="7"/>
  <c r="BQ202" i="7"/>
  <c r="BQ203" i="7"/>
  <c r="BQ204" i="7"/>
  <c r="BQ205" i="7"/>
  <c r="BQ206" i="7"/>
  <c r="BQ207" i="7"/>
  <c r="BQ208" i="7"/>
  <c r="BQ209" i="7"/>
  <c r="BQ210" i="7"/>
  <c r="BQ211" i="7"/>
  <c r="BQ212" i="7"/>
  <c r="BQ213" i="7"/>
  <c r="BQ214" i="7"/>
  <c r="BQ215" i="7"/>
  <c r="BQ216" i="7"/>
  <c r="BQ217" i="7"/>
  <c r="BQ218" i="7"/>
  <c r="BQ219" i="7"/>
  <c r="BQ220" i="7"/>
  <c r="BQ221" i="7"/>
  <c r="BQ222" i="7"/>
  <c r="BQ223" i="7"/>
  <c r="BQ224" i="7"/>
  <c r="BQ225" i="7"/>
  <c r="BQ226" i="7"/>
  <c r="BQ227" i="7"/>
  <c r="BQ228" i="7"/>
  <c r="BQ229" i="7"/>
  <c r="BQ230" i="7"/>
  <c r="BQ231" i="7"/>
  <c r="BQ232" i="7"/>
  <c r="BQ233" i="7"/>
  <c r="BQ234" i="7"/>
  <c r="BQ235" i="7"/>
  <c r="BQ236" i="7"/>
  <c r="BQ237" i="7"/>
  <c r="BQ238" i="7"/>
  <c r="BQ239" i="7"/>
  <c r="BQ240" i="7"/>
  <c r="BQ241" i="7"/>
  <c r="BQ242" i="7"/>
  <c r="BQ243" i="7"/>
  <c r="BQ244" i="7"/>
  <c r="BQ245" i="7"/>
  <c r="BQ246" i="7"/>
  <c r="BQ247" i="7"/>
  <c r="BQ248" i="7"/>
  <c r="BQ249" i="7"/>
  <c r="BQ250" i="7"/>
  <c r="BQ251" i="7"/>
  <c r="BQ252" i="7"/>
  <c r="BQ253" i="7"/>
  <c r="BQ254" i="7"/>
  <c r="BQ255" i="7"/>
  <c r="BQ256" i="7"/>
  <c r="BQ257" i="7"/>
  <c r="BQ258" i="7"/>
  <c r="BQ259" i="7"/>
  <c r="BQ260" i="7"/>
  <c r="BQ261" i="7"/>
  <c r="BQ262" i="7"/>
  <c r="BQ263" i="7"/>
  <c r="BQ264" i="7"/>
  <c r="BQ265" i="7"/>
  <c r="BQ266" i="7"/>
  <c r="BQ267" i="7"/>
  <c r="BQ268" i="7"/>
  <c r="BQ269" i="7"/>
  <c r="BQ270" i="7"/>
  <c r="BQ271" i="7"/>
  <c r="BQ272" i="7"/>
  <c r="BQ273" i="7"/>
  <c r="BQ274" i="7"/>
  <c r="BQ275" i="7"/>
  <c r="BQ276" i="7"/>
  <c r="BQ277" i="7"/>
  <c r="BQ278" i="7"/>
  <c r="BQ279" i="7"/>
  <c r="BQ280" i="7"/>
  <c r="BQ281" i="7"/>
  <c r="BQ282" i="7"/>
  <c r="BQ283" i="7"/>
  <c r="BQ284" i="7"/>
  <c r="BQ285" i="7"/>
  <c r="BQ286" i="7"/>
  <c r="BQ287" i="7"/>
  <c r="BQ288" i="7"/>
  <c r="BQ289" i="7"/>
  <c r="BQ290" i="7"/>
  <c r="BQ291" i="7"/>
  <c r="BQ292" i="7"/>
  <c r="BQ293" i="7"/>
  <c r="BQ294" i="7"/>
  <c r="BQ295" i="7"/>
  <c r="BQ296" i="7"/>
  <c r="BQ297" i="7"/>
  <c r="BQ298" i="7"/>
  <c r="BQ299" i="7"/>
  <c r="BQ300" i="7"/>
  <c r="BQ301" i="7"/>
  <c r="BQ302" i="7"/>
  <c r="BQ303" i="7"/>
  <c r="BQ304" i="7"/>
  <c r="BQ305" i="7"/>
  <c r="BQ306" i="7"/>
  <c r="BQ307" i="7"/>
  <c r="BQ308" i="7"/>
  <c r="BQ309" i="7"/>
  <c r="BQ310" i="7"/>
  <c r="BQ311" i="7"/>
  <c r="BQ312" i="7"/>
  <c r="BQ313" i="7"/>
  <c r="BQ314" i="7"/>
  <c r="BQ315" i="7"/>
  <c r="BQ316" i="7"/>
  <c r="BQ317" i="7"/>
  <c r="BQ318" i="7"/>
  <c r="BQ319" i="7"/>
  <c r="BQ320" i="7"/>
  <c r="BQ321" i="7"/>
  <c r="BQ322" i="7"/>
  <c r="BQ323" i="7"/>
  <c r="BQ324" i="7"/>
  <c r="BQ325" i="7"/>
  <c r="BQ326" i="7"/>
  <c r="BQ327" i="7"/>
  <c r="BQ328" i="7"/>
  <c r="BQ329" i="7"/>
  <c r="BQ330" i="7"/>
  <c r="BQ331" i="7"/>
  <c r="BQ332" i="7"/>
  <c r="BQ333" i="7"/>
  <c r="BQ334" i="7"/>
  <c r="BQ335" i="7"/>
  <c r="BQ336" i="7"/>
  <c r="BQ337" i="7"/>
  <c r="BQ338" i="7"/>
  <c r="BQ339" i="7"/>
  <c r="BQ340" i="7"/>
  <c r="BQ341" i="7"/>
  <c r="BQ342" i="7"/>
  <c r="BQ343" i="7"/>
  <c r="BQ344" i="7"/>
  <c r="BQ345" i="7"/>
  <c r="BQ346" i="7"/>
  <c r="BQ347" i="7"/>
  <c r="BQ348" i="7"/>
  <c r="BQ349" i="7"/>
  <c r="BQ350" i="7"/>
  <c r="BQ351" i="7"/>
  <c r="BQ352" i="7"/>
  <c r="BQ353" i="7"/>
  <c r="BQ354" i="7"/>
  <c r="BQ355" i="7"/>
  <c r="BQ356" i="7"/>
  <c r="BQ357" i="7"/>
  <c r="BQ358" i="7"/>
  <c r="BQ359" i="7"/>
  <c r="BQ360" i="7"/>
  <c r="BQ361" i="7"/>
  <c r="BQ362" i="7"/>
  <c r="BQ363" i="7"/>
  <c r="BQ364" i="7"/>
  <c r="BQ365" i="7"/>
  <c r="BQ366" i="7"/>
  <c r="BQ367" i="7"/>
  <c r="BQ368" i="7"/>
  <c r="BQ369" i="7"/>
  <c r="BQ370" i="7"/>
  <c r="BQ371" i="7"/>
  <c r="BQ372" i="7"/>
  <c r="BQ373" i="7"/>
  <c r="BQ374" i="7"/>
  <c r="BQ375" i="7"/>
  <c r="BQ376" i="7"/>
  <c r="BQ377" i="7"/>
  <c r="BQ378" i="7"/>
  <c r="BQ379" i="7"/>
  <c r="BQ380" i="7"/>
  <c r="BQ381" i="7"/>
  <c r="BQ382" i="7"/>
  <c r="BQ383" i="7"/>
  <c r="BQ384" i="7"/>
  <c r="BQ385" i="7"/>
  <c r="BQ386" i="7"/>
  <c r="BQ387" i="7"/>
  <c r="BQ388" i="7"/>
  <c r="BQ389" i="7"/>
  <c r="BQ390" i="7"/>
  <c r="BQ391" i="7"/>
  <c r="BQ392" i="7"/>
  <c r="BQ393" i="7"/>
  <c r="BQ394" i="7"/>
  <c r="BQ395" i="7"/>
  <c r="BQ396" i="7"/>
  <c r="BQ397" i="7"/>
  <c r="BQ398" i="7"/>
  <c r="BQ399" i="7"/>
  <c r="BQ400" i="7"/>
  <c r="BQ401" i="7"/>
  <c r="BQ402" i="7"/>
  <c r="BQ403" i="7"/>
  <c r="BQ404" i="7"/>
  <c r="BQ405" i="7"/>
  <c r="BQ406" i="7"/>
  <c r="BQ407" i="7"/>
  <c r="BQ408" i="7"/>
  <c r="BQ409" i="7"/>
  <c r="BQ410" i="7"/>
  <c r="BQ411" i="7"/>
  <c r="BQ412" i="7"/>
  <c r="BQ413" i="7"/>
  <c r="BQ414" i="7"/>
  <c r="BQ415" i="7"/>
  <c r="BQ416" i="7"/>
  <c r="BQ417" i="7"/>
  <c r="BQ418" i="7"/>
  <c r="BQ419" i="7"/>
  <c r="BQ420" i="7"/>
  <c r="BQ421" i="7"/>
  <c r="BQ422" i="7"/>
  <c r="BQ423" i="7"/>
  <c r="BQ424" i="7"/>
  <c r="BQ425" i="7"/>
  <c r="BQ426" i="7"/>
  <c r="BQ427" i="7"/>
  <c r="BQ428" i="7"/>
  <c r="BQ429" i="7"/>
  <c r="BQ430" i="7"/>
  <c r="BQ431" i="7"/>
  <c r="BQ432" i="7"/>
  <c r="BQ433" i="7"/>
  <c r="BQ434" i="7"/>
  <c r="BQ435" i="7"/>
  <c r="BQ436" i="7"/>
  <c r="BQ437" i="7"/>
  <c r="BQ438" i="7"/>
  <c r="BQ439" i="7"/>
  <c r="BQ440" i="7"/>
  <c r="BQ441" i="7"/>
  <c r="BQ442" i="7"/>
  <c r="BQ443" i="7"/>
  <c r="BQ444" i="7"/>
  <c r="BQ445" i="7"/>
  <c r="BQ446" i="7"/>
  <c r="BQ447" i="7"/>
  <c r="BQ448" i="7"/>
  <c r="BQ449" i="7"/>
  <c r="BQ450" i="7"/>
  <c r="BQ451" i="7"/>
  <c r="BQ452" i="7"/>
  <c r="BQ453" i="7"/>
  <c r="BQ454" i="7"/>
  <c r="BQ455" i="7"/>
  <c r="BQ456" i="7"/>
  <c r="BQ457" i="7"/>
  <c r="BQ458" i="7"/>
  <c r="BQ459" i="7"/>
  <c r="BQ460" i="7"/>
  <c r="BQ461" i="7"/>
  <c r="BQ462" i="7"/>
  <c r="BQ463" i="7"/>
  <c r="BQ464" i="7"/>
  <c r="BQ465" i="7"/>
  <c r="BQ466" i="7"/>
  <c r="BQ467" i="7"/>
  <c r="BQ468" i="7"/>
  <c r="BQ469" i="7"/>
  <c r="BQ470" i="7"/>
  <c r="BQ471" i="7"/>
  <c r="BQ472" i="7"/>
  <c r="BQ473" i="7"/>
  <c r="BQ474" i="7"/>
  <c r="BQ475" i="7"/>
  <c r="BQ476" i="7"/>
  <c r="BQ477" i="7"/>
  <c r="BQ478" i="7"/>
  <c r="BQ479" i="7"/>
  <c r="BQ480" i="7"/>
  <c r="BQ481" i="7"/>
  <c r="BQ482" i="7"/>
  <c r="BQ483" i="7"/>
  <c r="BQ484" i="7"/>
  <c r="BQ485" i="7"/>
  <c r="BQ486" i="7"/>
  <c r="BQ487" i="7"/>
  <c r="BQ488" i="7"/>
  <c r="BQ489" i="7"/>
  <c r="BQ490" i="7"/>
  <c r="BQ491" i="7"/>
  <c r="BQ492" i="7"/>
  <c r="BQ493" i="7"/>
  <c r="BQ494" i="7"/>
  <c r="BQ495" i="7"/>
  <c r="BQ496" i="7"/>
  <c r="BQ497" i="7"/>
  <c r="BQ498" i="7"/>
  <c r="BQ499" i="7"/>
  <c r="BQ500" i="7"/>
  <c r="BQ501" i="7"/>
  <c r="BQ502" i="7"/>
  <c r="BQ503" i="7"/>
  <c r="BQ504" i="7"/>
  <c r="BQ505" i="7"/>
  <c r="BQ506" i="7"/>
  <c r="BQ507" i="7"/>
  <c r="BQ508" i="7"/>
  <c r="BQ509" i="7"/>
  <c r="BQ510" i="7"/>
  <c r="BQ511" i="7"/>
  <c r="BQ512" i="7"/>
  <c r="BQ513" i="7"/>
  <c r="BQ514" i="7"/>
  <c r="BQ515" i="7"/>
  <c r="BQ516" i="7"/>
  <c r="BQ517" i="7"/>
  <c r="BQ518" i="7"/>
  <c r="BQ519" i="7"/>
  <c r="BQ520" i="7"/>
  <c r="BQ521" i="7"/>
  <c r="BQ522" i="7"/>
  <c r="BQ523" i="7"/>
  <c r="BQ524" i="7"/>
  <c r="BQ525" i="7"/>
  <c r="BQ526" i="7"/>
  <c r="BQ527" i="7"/>
  <c r="BQ528" i="7"/>
  <c r="BQ529" i="7"/>
  <c r="BQ530" i="7"/>
  <c r="BQ531" i="7"/>
  <c r="BQ532" i="7"/>
  <c r="BQ533" i="7"/>
  <c r="BQ534" i="7"/>
  <c r="BQ535" i="7"/>
  <c r="BQ536" i="7"/>
  <c r="BQ537" i="7"/>
  <c r="BQ538" i="7"/>
  <c r="BQ539" i="7"/>
  <c r="BQ540" i="7"/>
  <c r="BQ541" i="7"/>
  <c r="BQ542" i="7"/>
  <c r="BQ543" i="7"/>
  <c r="BQ544" i="7"/>
  <c r="BQ545" i="7"/>
  <c r="BQ546" i="7"/>
  <c r="BQ547" i="7"/>
  <c r="BQ548" i="7"/>
  <c r="BQ549" i="7"/>
  <c r="BQ550" i="7"/>
  <c r="BQ551" i="7"/>
  <c r="BQ552" i="7"/>
  <c r="BQ553" i="7"/>
  <c r="BQ554" i="7"/>
  <c r="BQ555" i="7"/>
  <c r="BQ556" i="7"/>
  <c r="BQ557" i="7"/>
  <c r="BQ558" i="7"/>
  <c r="BQ559" i="7"/>
  <c r="BQ560" i="7"/>
  <c r="BQ561" i="7"/>
  <c r="BQ562" i="7"/>
  <c r="BQ563" i="7"/>
  <c r="BQ564" i="7"/>
  <c r="BQ565" i="7"/>
  <c r="BQ566" i="7"/>
  <c r="BQ567" i="7"/>
  <c r="BQ568" i="7"/>
  <c r="BQ569" i="7"/>
  <c r="BQ570" i="7"/>
  <c r="BQ571" i="7"/>
  <c r="BQ572" i="7"/>
  <c r="BQ573" i="7"/>
  <c r="BQ574" i="7"/>
  <c r="BQ575" i="7"/>
  <c r="BQ576" i="7"/>
  <c r="BQ577" i="7"/>
  <c r="BQ578" i="7"/>
  <c r="BQ579" i="7"/>
  <c r="BQ580" i="7"/>
  <c r="BQ581" i="7"/>
  <c r="BQ582" i="7"/>
  <c r="BQ583" i="7"/>
  <c r="BQ584" i="7"/>
  <c r="BQ585" i="7"/>
  <c r="BQ586" i="7"/>
  <c r="BQ587" i="7"/>
  <c r="BQ588" i="7"/>
  <c r="BQ589" i="7"/>
  <c r="BQ590" i="7"/>
  <c r="BQ591" i="7"/>
  <c r="BQ592" i="7"/>
  <c r="BQ593" i="7"/>
  <c r="BQ594" i="7"/>
  <c r="BQ595" i="7"/>
  <c r="BQ596" i="7"/>
  <c r="BQ597" i="7"/>
  <c r="BQ598" i="7"/>
  <c r="BQ599" i="7"/>
  <c r="BQ600" i="7"/>
  <c r="BQ601" i="7"/>
  <c r="BQ602" i="7"/>
  <c r="BQ603" i="7"/>
  <c r="BQ604" i="7"/>
  <c r="BQ605" i="7"/>
  <c r="BQ606" i="7"/>
  <c r="BQ607" i="7"/>
  <c r="BQ608" i="7"/>
  <c r="BQ609" i="7"/>
  <c r="BQ610" i="7"/>
  <c r="BQ611" i="7"/>
  <c r="BQ612" i="7"/>
  <c r="BQ613" i="7"/>
  <c r="BQ614" i="7"/>
  <c r="BQ615" i="7"/>
  <c r="BQ616" i="7"/>
  <c r="BQ617" i="7"/>
  <c r="BQ618" i="7"/>
  <c r="BQ619" i="7"/>
  <c r="BQ620" i="7"/>
  <c r="BQ621" i="7"/>
  <c r="BQ622" i="7"/>
  <c r="BQ623" i="7"/>
  <c r="BQ624" i="7"/>
  <c r="BQ625" i="7"/>
  <c r="BQ626" i="7"/>
  <c r="BQ627" i="7"/>
  <c r="BQ628" i="7"/>
  <c r="BQ629" i="7"/>
  <c r="BQ630" i="7"/>
  <c r="BQ631" i="7"/>
  <c r="BQ632" i="7"/>
  <c r="BQ633" i="7"/>
  <c r="BQ634" i="7"/>
  <c r="BQ635" i="7"/>
  <c r="BQ636" i="7"/>
  <c r="BQ637" i="7"/>
  <c r="BQ638" i="7"/>
  <c r="BQ639" i="7"/>
  <c r="BQ640" i="7"/>
  <c r="BQ641" i="7"/>
  <c r="BQ642" i="7"/>
  <c r="BQ643" i="7"/>
  <c r="BQ644" i="7"/>
  <c r="BQ645" i="7"/>
  <c r="BQ646" i="7"/>
  <c r="BQ647" i="7"/>
  <c r="BQ648" i="7"/>
  <c r="BQ649" i="7"/>
  <c r="BQ650" i="7"/>
  <c r="BQ651" i="7"/>
  <c r="BQ652" i="7"/>
  <c r="BQ653" i="7"/>
  <c r="BQ654" i="7"/>
  <c r="BQ655" i="7"/>
  <c r="BQ656" i="7"/>
  <c r="BQ657" i="7"/>
  <c r="BQ658" i="7"/>
  <c r="BQ659" i="7"/>
  <c r="BQ660" i="7"/>
  <c r="BQ661" i="7"/>
  <c r="BQ662" i="7"/>
  <c r="BQ663" i="7"/>
  <c r="BQ664" i="7"/>
  <c r="BQ665" i="7"/>
  <c r="BQ666" i="7"/>
  <c r="BQ667" i="7"/>
  <c r="BQ668" i="7"/>
  <c r="BQ669" i="7"/>
  <c r="BQ670" i="7"/>
  <c r="BQ671" i="7"/>
  <c r="BQ672" i="7"/>
  <c r="BQ673" i="7"/>
  <c r="BQ674" i="7"/>
  <c r="BQ675" i="7"/>
  <c r="BQ676" i="7"/>
  <c r="BQ677" i="7"/>
  <c r="BQ678" i="7"/>
  <c r="BQ679" i="7"/>
  <c r="BQ680" i="7"/>
  <c r="BQ681" i="7"/>
  <c r="BQ682" i="7"/>
  <c r="BQ683" i="7"/>
  <c r="BQ684" i="7"/>
  <c r="BQ685" i="7"/>
  <c r="BQ686" i="7"/>
  <c r="BQ687" i="7"/>
  <c r="BQ688" i="7"/>
  <c r="BQ689" i="7"/>
  <c r="BQ690" i="7"/>
  <c r="BQ691" i="7"/>
  <c r="BQ692" i="7"/>
  <c r="BQ693" i="7"/>
  <c r="BQ694" i="7"/>
  <c r="BQ695" i="7"/>
  <c r="BQ696" i="7"/>
  <c r="BQ697" i="7"/>
  <c r="BQ698" i="7"/>
  <c r="BQ699" i="7"/>
  <c r="BQ700" i="7"/>
  <c r="BQ701" i="7"/>
  <c r="BQ702" i="7"/>
  <c r="BQ703" i="7"/>
  <c r="BQ704" i="7"/>
  <c r="BQ705" i="7"/>
  <c r="BQ706" i="7"/>
  <c r="BQ707" i="7"/>
  <c r="BQ708" i="7"/>
  <c r="BQ709" i="7"/>
  <c r="BQ710" i="7"/>
  <c r="BQ711" i="7"/>
  <c r="BQ712" i="7"/>
  <c r="BQ713" i="7"/>
  <c r="BQ714" i="7"/>
  <c r="BQ715" i="7"/>
  <c r="BQ716" i="7"/>
  <c r="BQ717" i="7"/>
  <c r="BQ718" i="7"/>
  <c r="BQ719" i="7"/>
  <c r="BQ720" i="7"/>
  <c r="BQ721" i="7"/>
  <c r="BQ722" i="7"/>
  <c r="BQ723" i="7"/>
  <c r="BQ724" i="7"/>
  <c r="BQ725" i="7"/>
  <c r="BQ726" i="7"/>
  <c r="BQ727" i="7"/>
  <c r="BQ728" i="7"/>
  <c r="BQ729" i="7"/>
  <c r="BQ730" i="7"/>
  <c r="BQ731" i="7"/>
  <c r="BQ732" i="7"/>
  <c r="BQ733" i="7"/>
  <c r="BQ734" i="7"/>
  <c r="BQ735" i="7"/>
  <c r="BQ736" i="7"/>
  <c r="BQ737" i="7"/>
  <c r="BQ738" i="7"/>
  <c r="BQ739" i="7"/>
  <c r="BQ740" i="7"/>
  <c r="BQ741" i="7"/>
  <c r="BQ742" i="7"/>
  <c r="BQ743" i="7"/>
  <c r="BQ744" i="7"/>
  <c r="BQ745" i="7"/>
  <c r="BQ746" i="7"/>
  <c r="BQ747" i="7"/>
  <c r="BQ748" i="7"/>
  <c r="BQ749" i="7"/>
  <c r="BQ750" i="7"/>
  <c r="BQ751" i="7"/>
  <c r="BQ752" i="7"/>
  <c r="BQ753" i="7"/>
  <c r="BQ754" i="7"/>
  <c r="BQ755" i="7"/>
  <c r="BQ756" i="7"/>
  <c r="BQ757" i="7"/>
  <c r="BQ758" i="7"/>
  <c r="BQ759" i="7"/>
  <c r="BQ760" i="7"/>
  <c r="BQ761" i="7"/>
  <c r="BQ762" i="7"/>
  <c r="BQ763" i="7"/>
  <c r="BQ764" i="7"/>
  <c r="BQ765" i="7"/>
  <c r="BQ766" i="7"/>
  <c r="BQ767" i="7"/>
  <c r="BQ768" i="7"/>
  <c r="BQ769" i="7"/>
  <c r="BQ770" i="7"/>
  <c r="BQ771" i="7"/>
  <c r="BQ772" i="7"/>
  <c r="BQ773" i="7"/>
  <c r="BQ774" i="7"/>
  <c r="BQ775" i="7"/>
  <c r="BQ776" i="7"/>
  <c r="BQ777" i="7"/>
  <c r="BQ778" i="7"/>
  <c r="BQ779" i="7"/>
  <c r="BQ780" i="7"/>
  <c r="BQ781" i="7"/>
  <c r="BQ782" i="7"/>
  <c r="BQ783" i="7"/>
  <c r="BQ784" i="7"/>
  <c r="BQ785" i="7"/>
  <c r="BQ786" i="7"/>
  <c r="BQ787" i="7"/>
  <c r="BQ788" i="7"/>
  <c r="BQ789" i="7"/>
  <c r="BQ790" i="7"/>
  <c r="BQ791" i="7"/>
  <c r="BQ792" i="7"/>
  <c r="BQ793" i="7"/>
  <c r="BQ794" i="7"/>
  <c r="BQ795" i="7"/>
  <c r="BQ796" i="7"/>
  <c r="BQ797" i="7"/>
  <c r="BQ798" i="7"/>
  <c r="BQ799" i="7"/>
  <c r="BQ800" i="7"/>
  <c r="BQ801" i="7"/>
  <c r="BQ802" i="7"/>
  <c r="BQ803" i="7"/>
  <c r="BQ804" i="7"/>
  <c r="BQ805" i="7"/>
  <c r="BQ806" i="7"/>
  <c r="BQ807" i="7"/>
  <c r="BQ808" i="7"/>
  <c r="BQ809" i="7"/>
  <c r="BQ810" i="7"/>
  <c r="BQ811" i="7"/>
  <c r="BQ812" i="7"/>
  <c r="BQ813" i="7"/>
  <c r="BQ814" i="7"/>
  <c r="BQ815" i="7"/>
  <c r="BQ816" i="7"/>
  <c r="BQ817" i="7"/>
  <c r="BQ818" i="7"/>
  <c r="BQ819" i="7"/>
  <c r="BQ820" i="7"/>
  <c r="BQ821" i="7"/>
  <c r="BQ822" i="7"/>
  <c r="BQ823" i="7"/>
  <c r="BQ824" i="7"/>
  <c r="BQ825" i="7"/>
  <c r="BQ826" i="7"/>
  <c r="BQ827" i="7"/>
  <c r="BQ828" i="7"/>
  <c r="BQ829" i="7"/>
  <c r="BQ830" i="7"/>
  <c r="BQ831" i="7"/>
  <c r="BQ832" i="7"/>
  <c r="BQ833" i="7"/>
  <c r="BQ834" i="7"/>
  <c r="BQ835" i="7"/>
  <c r="BQ836" i="7"/>
  <c r="BQ837" i="7"/>
  <c r="BQ838" i="7"/>
  <c r="BQ839" i="7"/>
  <c r="BQ840" i="7"/>
  <c r="BQ841" i="7"/>
  <c r="BQ842" i="7"/>
  <c r="BQ843" i="7"/>
  <c r="BQ844" i="7"/>
  <c r="BQ845" i="7"/>
  <c r="BQ846" i="7"/>
  <c r="BQ847" i="7"/>
  <c r="BQ848" i="7"/>
  <c r="BQ849" i="7"/>
  <c r="BQ850" i="7"/>
  <c r="BQ851" i="7"/>
  <c r="BQ852" i="7"/>
  <c r="BQ853" i="7"/>
  <c r="BQ854" i="7"/>
  <c r="BQ855" i="7"/>
  <c r="BQ856" i="7"/>
  <c r="BQ857" i="7"/>
  <c r="BQ858" i="7"/>
  <c r="BQ859" i="7"/>
  <c r="BQ860" i="7"/>
  <c r="BQ861" i="7"/>
  <c r="BQ862" i="7"/>
  <c r="BQ863" i="7"/>
  <c r="BQ864" i="7"/>
  <c r="BQ865" i="7"/>
  <c r="BQ866" i="7"/>
  <c r="BQ867" i="7"/>
  <c r="BQ868" i="7"/>
  <c r="BQ869" i="7"/>
  <c r="BQ870" i="7"/>
  <c r="BQ871" i="7"/>
  <c r="BQ872" i="7"/>
  <c r="BQ873" i="7"/>
  <c r="BQ874" i="7"/>
  <c r="BQ875" i="7"/>
  <c r="BQ876" i="7"/>
  <c r="BQ877" i="7"/>
  <c r="BQ878" i="7"/>
  <c r="BQ879" i="7"/>
  <c r="BQ880" i="7"/>
  <c r="BQ881" i="7"/>
  <c r="BQ882" i="7"/>
  <c r="BQ883" i="7"/>
  <c r="BQ884" i="7"/>
  <c r="BQ885" i="7"/>
  <c r="BQ886" i="7"/>
  <c r="BQ887" i="7"/>
  <c r="BQ888" i="7"/>
  <c r="BQ889" i="7"/>
  <c r="BQ890" i="7"/>
  <c r="BQ891" i="7"/>
  <c r="BQ892" i="7"/>
  <c r="BQ893" i="7"/>
  <c r="BQ894" i="7"/>
  <c r="BQ895" i="7"/>
  <c r="BQ896" i="7"/>
  <c r="BQ897" i="7"/>
  <c r="BQ898" i="7"/>
  <c r="BQ899" i="7"/>
  <c r="BQ900" i="7"/>
  <c r="BQ901" i="7"/>
  <c r="BQ902" i="7"/>
  <c r="BQ903" i="7"/>
  <c r="BQ904" i="7"/>
  <c r="BQ905" i="7"/>
  <c r="BQ906" i="7"/>
  <c r="BQ907" i="7"/>
  <c r="BQ908" i="7"/>
  <c r="BQ909" i="7"/>
  <c r="BQ910" i="7"/>
  <c r="BQ911" i="7"/>
  <c r="BQ912" i="7"/>
  <c r="BQ913" i="7"/>
  <c r="BQ914" i="7"/>
  <c r="BQ915" i="7"/>
  <c r="BQ916" i="7"/>
  <c r="BQ917" i="7"/>
  <c r="BQ918" i="7"/>
  <c r="BQ919" i="7"/>
  <c r="BQ920" i="7"/>
  <c r="BQ921" i="7"/>
  <c r="BQ922" i="7"/>
  <c r="BQ923" i="7"/>
  <c r="BQ924" i="7"/>
  <c r="BQ925" i="7"/>
  <c r="BQ926" i="7"/>
  <c r="BQ927" i="7"/>
  <c r="BQ928" i="7"/>
  <c r="BQ929" i="7"/>
  <c r="BQ930" i="7"/>
  <c r="BQ931" i="7"/>
  <c r="BQ932" i="7"/>
  <c r="BQ933" i="7"/>
  <c r="BQ934" i="7"/>
  <c r="BQ935" i="7"/>
  <c r="BQ936" i="7"/>
  <c r="BQ937" i="7"/>
  <c r="BQ938" i="7"/>
  <c r="BQ939" i="7"/>
  <c r="BQ940" i="7"/>
  <c r="BQ941" i="7"/>
  <c r="BQ942" i="7"/>
  <c r="BQ943" i="7"/>
  <c r="BQ944" i="7"/>
  <c r="BQ945" i="7"/>
  <c r="BQ946" i="7"/>
  <c r="BQ947" i="7"/>
  <c r="BQ948" i="7"/>
  <c r="BQ949" i="7"/>
  <c r="BQ950" i="7"/>
  <c r="BQ951" i="7"/>
  <c r="BQ952" i="7"/>
  <c r="BQ953" i="7"/>
  <c r="BQ954" i="7"/>
  <c r="BQ955" i="7"/>
  <c r="BQ956" i="7"/>
  <c r="BQ957" i="7"/>
  <c r="BQ958" i="7"/>
  <c r="BQ959" i="7"/>
  <c r="BQ960" i="7"/>
  <c r="BQ961" i="7"/>
  <c r="BQ962" i="7"/>
  <c r="BQ963" i="7"/>
  <c r="BQ964" i="7"/>
  <c r="BQ965" i="7"/>
  <c r="BQ966" i="7"/>
  <c r="BQ967" i="7"/>
  <c r="BQ968" i="7"/>
  <c r="BQ969" i="7"/>
  <c r="BQ970" i="7"/>
  <c r="BQ971" i="7"/>
  <c r="BQ972" i="7"/>
  <c r="BQ973" i="7"/>
  <c r="BQ974" i="7"/>
  <c r="BQ975" i="7"/>
  <c r="BQ976" i="7"/>
  <c r="BQ977" i="7"/>
  <c r="BQ978" i="7"/>
  <c r="BQ979" i="7"/>
  <c r="BQ980" i="7"/>
  <c r="BQ981" i="7"/>
  <c r="BQ982" i="7"/>
  <c r="BQ983" i="7"/>
  <c r="BQ984" i="7"/>
  <c r="BQ985" i="7"/>
  <c r="C37" i="5"/>
  <c r="C46" i="5"/>
  <c r="C32" i="5"/>
  <c r="C35" i="5"/>
  <c r="C38" i="5"/>
  <c r="C41" i="5"/>
  <c r="C44" i="5"/>
  <c r="C47" i="5"/>
  <c r="C50" i="5"/>
  <c r="C53" i="5"/>
  <c r="C52" i="5"/>
  <c r="C40" i="5"/>
  <c r="C33" i="5"/>
  <c r="C36" i="5"/>
  <c r="C39" i="5"/>
  <c r="C42" i="5"/>
  <c r="C45" i="5"/>
  <c r="C48" i="5"/>
  <c r="C51" i="5"/>
  <c r="C34" i="5"/>
  <c r="C43" i="5"/>
  <c r="C49" i="5"/>
  <c r="C19" i="5"/>
  <c r="C28" i="5"/>
  <c r="C8" i="5"/>
  <c r="C11" i="5"/>
  <c r="C14" i="5"/>
  <c r="C17" i="5"/>
  <c r="C20" i="5"/>
  <c r="C23" i="5"/>
  <c r="C26" i="5"/>
  <c r="C29" i="5"/>
  <c r="C25" i="5"/>
  <c r="C13" i="5"/>
  <c r="C16" i="5"/>
  <c r="C22" i="5"/>
  <c r="C9" i="5"/>
  <c r="C12" i="5"/>
  <c r="C15" i="5"/>
  <c r="C18" i="5"/>
  <c r="C21" i="5"/>
  <c r="C24" i="5"/>
  <c r="C27" i="5"/>
  <c r="C10" i="5"/>
  <c r="J6" i="8" l="1"/>
  <c r="J2" i="8"/>
  <c r="C9" i="8"/>
  <c r="K1" i="8"/>
  <c r="G2" i="8"/>
  <c r="D2" i="5"/>
  <c r="E1" i="5"/>
  <c r="F6" i="3"/>
  <c r="F2" i="3"/>
  <c r="J7" i="5"/>
  <c r="B29" i="5"/>
  <c r="J31" i="5"/>
  <c r="B53" i="5"/>
  <c r="D6" i="3"/>
  <c r="M375" i="1"/>
  <c r="N375" i="1" s="1"/>
  <c r="AI375" i="1" s="1"/>
  <c r="AJ375" i="1" s="1"/>
  <c r="A380" i="1"/>
  <c r="A381" i="1" s="1"/>
  <c r="A383" i="1" s="1"/>
  <c r="A382" i="1"/>
  <c r="AH377" i="1"/>
  <c r="M378" i="1"/>
  <c r="N378" i="1" s="1"/>
  <c r="AI374" i="1"/>
  <c r="AJ374" i="1" s="1"/>
  <c r="AI376" i="1"/>
  <c r="AJ376" i="1" s="1"/>
  <c r="K380" i="1"/>
  <c r="K382" i="1"/>
  <c r="AH379" i="1"/>
  <c r="M379" i="1"/>
  <c r="N379" i="1" s="1"/>
  <c r="M377" i="1"/>
  <c r="N377" i="1" s="1"/>
  <c r="L380" i="1"/>
  <c r="L381" i="1" s="1"/>
  <c r="L383" i="1" s="1"/>
  <c r="L382" i="1"/>
  <c r="AH378" i="1"/>
  <c r="M324" i="1"/>
  <c r="AH366" i="1"/>
  <c r="A317" i="1"/>
  <c r="A318" i="1" s="1"/>
  <c r="A319" i="1" s="1"/>
  <c r="AH364" i="1"/>
  <c r="M365" i="1"/>
  <c r="AH367" i="1"/>
  <c r="L372" i="1"/>
  <c r="L370" i="1"/>
  <c r="L371" i="1" s="1"/>
  <c r="L373" i="1" s="1"/>
  <c r="AH368" i="1"/>
  <c r="K370" i="1"/>
  <c r="M369" i="1"/>
  <c r="K372" i="1"/>
  <c r="M368" i="1"/>
  <c r="M367" i="1"/>
  <c r="M357" i="1"/>
  <c r="K362" i="1"/>
  <c r="M359" i="1"/>
  <c r="K360" i="1"/>
  <c r="AH369" i="1" s="1"/>
  <c r="AH355" i="1"/>
  <c r="M358" i="1"/>
  <c r="L362" i="1"/>
  <c r="L360" i="1"/>
  <c r="L361" i="1" s="1"/>
  <c r="L363" i="1" s="1"/>
  <c r="M346" i="1"/>
  <c r="M344" i="1"/>
  <c r="A350" i="1"/>
  <c r="A351" i="1" s="1"/>
  <c r="A353" i="1" s="1"/>
  <c r="A352" i="1"/>
  <c r="K347" i="1"/>
  <c r="K345" i="1"/>
  <c r="L347" i="1"/>
  <c r="L348" i="1" s="1"/>
  <c r="L349" i="1" s="1"/>
  <c r="L345" i="1"/>
  <c r="AA336" i="1"/>
  <c r="B43" i="5"/>
  <c r="B44" i="5"/>
  <c r="B42" i="5"/>
  <c r="B32" i="5"/>
  <c r="B41" i="5"/>
  <c r="B52" i="5"/>
  <c r="B40" i="5"/>
  <c r="B51" i="5"/>
  <c r="B39" i="5"/>
  <c r="B50" i="5"/>
  <c r="B38" i="5"/>
  <c r="B49" i="5"/>
  <c r="B37" i="5"/>
  <c r="B48" i="5"/>
  <c r="B36" i="5"/>
  <c r="B47" i="5"/>
  <c r="B35" i="5"/>
  <c r="B46" i="5"/>
  <c r="B34" i="5"/>
  <c r="B45" i="5"/>
  <c r="B33" i="5"/>
  <c r="A337" i="1"/>
  <c r="A338" i="1" s="1"/>
  <c r="A339" i="1" s="1"/>
  <c r="A340" i="1" s="1"/>
  <c r="A341" i="1" s="1"/>
  <c r="A343" i="1" s="1"/>
  <c r="M336" i="1"/>
  <c r="K335" i="1"/>
  <c r="AH344" i="1" s="1"/>
  <c r="K337" i="1"/>
  <c r="K338" i="1" s="1"/>
  <c r="K339" i="1" s="1"/>
  <c r="L335" i="1"/>
  <c r="L337" i="1"/>
  <c r="L338" i="1" s="1"/>
  <c r="L339" i="1" s="1"/>
  <c r="A342" i="1"/>
  <c r="M334" i="1"/>
  <c r="A327" i="1"/>
  <c r="A328" i="1" s="1"/>
  <c r="A329" i="1" s="1"/>
  <c r="A330" i="1" s="1"/>
  <c r="A331" i="1" s="1"/>
  <c r="A333" i="1" s="1"/>
  <c r="L325" i="1"/>
  <c r="L327" i="1"/>
  <c r="L328" i="1" s="1"/>
  <c r="L329" i="1" s="1"/>
  <c r="K326" i="1"/>
  <c r="M326" i="1" s="1"/>
  <c r="M314" i="1"/>
  <c r="K315" i="1"/>
  <c r="AH315" i="1" s="1"/>
  <c r="K317" i="1"/>
  <c r="M317" i="1" s="1"/>
  <c r="L315" i="1"/>
  <c r="L317" i="1"/>
  <c r="L318" i="1" s="1"/>
  <c r="L319" i="1" s="1"/>
  <c r="M316" i="1"/>
  <c r="A320" i="1"/>
  <c r="A321" i="1" s="1"/>
  <c r="A323" i="1" s="1"/>
  <c r="A322" i="1"/>
  <c r="C7" i="8"/>
  <c r="A307" i="1"/>
  <c r="A308" i="1" s="1"/>
  <c r="A309" i="1" s="1"/>
  <c r="A310" i="1" s="1"/>
  <c r="A311" i="1" s="1"/>
  <c r="A313" i="1" s="1"/>
  <c r="K305" i="1"/>
  <c r="AH305" i="1" s="1"/>
  <c r="K307" i="1"/>
  <c r="K308" i="1" s="1"/>
  <c r="K309" i="1" s="1"/>
  <c r="L305" i="1"/>
  <c r="L307" i="1"/>
  <c r="L308" i="1" s="1"/>
  <c r="L309" i="1" s="1"/>
  <c r="M306" i="1"/>
  <c r="M304" i="1"/>
  <c r="Q286" i="1"/>
  <c r="M294" i="1"/>
  <c r="M296" i="1"/>
  <c r="A300" i="1"/>
  <c r="A301" i="1" s="1"/>
  <c r="A303" i="1" s="1"/>
  <c r="A302" i="1"/>
  <c r="K297" i="1"/>
  <c r="K298" i="1" s="1"/>
  <c r="K299" i="1" s="1"/>
  <c r="K295" i="1"/>
  <c r="M295" i="1" s="1"/>
  <c r="L297" i="1"/>
  <c r="L298" i="1" s="1"/>
  <c r="L299" i="1" s="1"/>
  <c r="L295" i="1"/>
  <c r="M284" i="1"/>
  <c r="AH274" i="1"/>
  <c r="A287" i="1"/>
  <c r="A288" i="1" s="1"/>
  <c r="A289" i="1" s="1"/>
  <c r="A292" i="1" s="1"/>
  <c r="L285" i="1"/>
  <c r="L287" i="1"/>
  <c r="L288" i="1" s="1"/>
  <c r="L289" i="1" s="1"/>
  <c r="M286" i="1"/>
  <c r="A290" i="1"/>
  <c r="A291" i="1" s="1"/>
  <c r="A293" i="1" s="1"/>
  <c r="K285" i="1"/>
  <c r="AH294" i="1" s="1"/>
  <c r="K287" i="1"/>
  <c r="K288" i="1" s="1"/>
  <c r="K289" i="1" s="1"/>
  <c r="M289" i="1" s="1"/>
  <c r="A282" i="1"/>
  <c r="M274" i="1"/>
  <c r="A275" i="1"/>
  <c r="L275" i="1"/>
  <c r="L277" i="1"/>
  <c r="L278" i="1" s="1"/>
  <c r="L279" i="1" s="1"/>
  <c r="K276" i="1"/>
  <c r="M265" i="1"/>
  <c r="K267" i="1"/>
  <c r="L266" i="1"/>
  <c r="A266" i="1"/>
  <c r="M256" i="1"/>
  <c r="A257" i="1"/>
  <c r="K257" i="1"/>
  <c r="AH265" i="1" s="1"/>
  <c r="K259" i="1"/>
  <c r="L257" i="1"/>
  <c r="L259" i="1"/>
  <c r="L260" i="1" s="1"/>
  <c r="L261" i="1" s="1"/>
  <c r="L262" i="1" s="1"/>
  <c r="L263" i="1" s="1"/>
  <c r="L264" i="1" s="1"/>
  <c r="M258" i="1"/>
  <c r="F253" i="1"/>
  <c r="J253" i="1" s="1"/>
  <c r="J255" i="1"/>
  <c r="I255" i="1"/>
  <c r="J254" i="1"/>
  <c r="I254" i="1"/>
  <c r="I253" i="1"/>
  <c r="J252" i="1"/>
  <c r="I252" i="1"/>
  <c r="J251" i="1"/>
  <c r="I251" i="1"/>
  <c r="J250" i="1"/>
  <c r="I250" i="1"/>
  <c r="J249" i="1"/>
  <c r="I249" i="1"/>
  <c r="A249" i="1"/>
  <c r="A250" i="1" s="1"/>
  <c r="A251" i="1" s="1"/>
  <c r="A252" i="1" s="1"/>
  <c r="A253" i="1" s="1"/>
  <c r="A254" i="1" s="1"/>
  <c r="A255" i="1" s="1"/>
  <c r="J248" i="1"/>
  <c r="I248" i="1"/>
  <c r="L247" i="1"/>
  <c r="L249" i="1" s="1"/>
  <c r="K247" i="1"/>
  <c r="J247" i="1"/>
  <c r="E247" i="1"/>
  <c r="I247" i="1" s="1"/>
  <c r="E238" i="1"/>
  <c r="I238" i="1" s="1"/>
  <c r="F244" i="1"/>
  <c r="J244" i="1" s="1"/>
  <c r="J246" i="1"/>
  <c r="I246" i="1"/>
  <c r="J245" i="1"/>
  <c r="I245" i="1"/>
  <c r="I244" i="1"/>
  <c r="J243" i="1"/>
  <c r="I243" i="1"/>
  <c r="J242" i="1"/>
  <c r="I242" i="1"/>
  <c r="J241" i="1"/>
  <c r="I241" i="1"/>
  <c r="J240" i="1"/>
  <c r="I240" i="1"/>
  <c r="A240" i="1"/>
  <c r="A241" i="1" s="1"/>
  <c r="A242" i="1" s="1"/>
  <c r="A243" i="1" s="1"/>
  <c r="A244" i="1" s="1"/>
  <c r="A245" i="1" s="1"/>
  <c r="A246" i="1" s="1"/>
  <c r="J239" i="1"/>
  <c r="I239" i="1"/>
  <c r="L238" i="1"/>
  <c r="L240" i="1" s="1"/>
  <c r="K238" i="1"/>
  <c r="K240" i="1" s="1"/>
  <c r="AA240" i="1" s="1"/>
  <c r="J238" i="1"/>
  <c r="F235" i="1"/>
  <c r="J235" i="1" s="1"/>
  <c r="J237" i="1"/>
  <c r="I237" i="1"/>
  <c r="J236" i="1"/>
  <c r="I236" i="1"/>
  <c r="I235" i="1"/>
  <c r="J234" i="1"/>
  <c r="I234" i="1"/>
  <c r="J233" i="1"/>
  <c r="I233" i="1"/>
  <c r="J232" i="1"/>
  <c r="I232" i="1"/>
  <c r="J230" i="1"/>
  <c r="I230" i="1"/>
  <c r="J231" i="1"/>
  <c r="I231" i="1"/>
  <c r="A231" i="1"/>
  <c r="A232" i="1" s="1"/>
  <c r="A233" i="1" s="1"/>
  <c r="A234" i="1" s="1"/>
  <c r="A235" i="1" s="1"/>
  <c r="A236" i="1" s="1"/>
  <c r="A237" i="1" s="1"/>
  <c r="L229" i="1"/>
  <c r="L231" i="1" s="1"/>
  <c r="L230" i="1" s="1"/>
  <c r="K229" i="1"/>
  <c r="K231" i="1" s="1"/>
  <c r="J229" i="1"/>
  <c r="I229" i="1"/>
  <c r="U221" i="1"/>
  <c r="Z221" i="1"/>
  <c r="W222" i="1"/>
  <c r="F226" i="1"/>
  <c r="J226" i="1" s="1"/>
  <c r="J228" i="1"/>
  <c r="I228" i="1"/>
  <c r="J227" i="1"/>
  <c r="I227" i="1"/>
  <c r="I226" i="1"/>
  <c r="J225" i="1"/>
  <c r="I225" i="1"/>
  <c r="J224" i="1"/>
  <c r="I224" i="1"/>
  <c r="J223" i="1"/>
  <c r="I223" i="1"/>
  <c r="J222" i="1"/>
  <c r="I222" i="1"/>
  <c r="J221" i="1"/>
  <c r="I221" i="1"/>
  <c r="A221" i="1"/>
  <c r="A223" i="1" s="1"/>
  <c r="L220" i="1"/>
  <c r="L221" i="1" s="1"/>
  <c r="K220" i="1"/>
  <c r="K221" i="1" s="1"/>
  <c r="J220" i="1"/>
  <c r="I220" i="1"/>
  <c r="N2" i="1"/>
  <c r="C1" i="7" a="1"/>
  <c r="C1" i="7" s="1"/>
  <c r="H1" i="7" s="1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6" i="7"/>
  <c r="M477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M501" i="7"/>
  <c r="M502" i="7"/>
  <c r="M503" i="7"/>
  <c r="M504" i="7"/>
  <c r="M505" i="7"/>
  <c r="M506" i="7"/>
  <c r="M507" i="7"/>
  <c r="M508" i="7"/>
  <c r="M509" i="7"/>
  <c r="M510" i="7"/>
  <c r="M511" i="7"/>
  <c r="M512" i="7"/>
  <c r="M513" i="7"/>
  <c r="M514" i="7"/>
  <c r="M515" i="7"/>
  <c r="M516" i="7"/>
  <c r="M517" i="7"/>
  <c r="M518" i="7"/>
  <c r="M519" i="7"/>
  <c r="M520" i="7"/>
  <c r="M521" i="7"/>
  <c r="M522" i="7"/>
  <c r="M523" i="7"/>
  <c r="M524" i="7"/>
  <c r="M525" i="7"/>
  <c r="M526" i="7"/>
  <c r="M527" i="7"/>
  <c r="M528" i="7"/>
  <c r="M529" i="7"/>
  <c r="M530" i="7"/>
  <c r="M531" i="7"/>
  <c r="M532" i="7"/>
  <c r="M533" i="7"/>
  <c r="M534" i="7"/>
  <c r="M535" i="7"/>
  <c r="M536" i="7"/>
  <c r="M537" i="7"/>
  <c r="M538" i="7"/>
  <c r="M539" i="7"/>
  <c r="M540" i="7"/>
  <c r="M541" i="7"/>
  <c r="M542" i="7"/>
  <c r="M543" i="7"/>
  <c r="M544" i="7"/>
  <c r="M545" i="7"/>
  <c r="M546" i="7"/>
  <c r="M547" i="7"/>
  <c r="M548" i="7"/>
  <c r="M549" i="7"/>
  <c r="M550" i="7"/>
  <c r="M551" i="7"/>
  <c r="M552" i="7"/>
  <c r="M553" i="7"/>
  <c r="M554" i="7"/>
  <c r="M555" i="7"/>
  <c r="M556" i="7"/>
  <c r="M557" i="7"/>
  <c r="M558" i="7"/>
  <c r="M559" i="7"/>
  <c r="M560" i="7"/>
  <c r="M561" i="7"/>
  <c r="M562" i="7"/>
  <c r="M563" i="7"/>
  <c r="M564" i="7"/>
  <c r="M565" i="7"/>
  <c r="M566" i="7"/>
  <c r="M567" i="7"/>
  <c r="M568" i="7"/>
  <c r="M569" i="7"/>
  <c r="M570" i="7"/>
  <c r="M571" i="7"/>
  <c r="M572" i="7"/>
  <c r="M573" i="7"/>
  <c r="M574" i="7"/>
  <c r="M575" i="7"/>
  <c r="M576" i="7"/>
  <c r="M577" i="7"/>
  <c r="M578" i="7"/>
  <c r="M579" i="7"/>
  <c r="M580" i="7"/>
  <c r="M581" i="7"/>
  <c r="M582" i="7"/>
  <c r="M583" i="7"/>
  <c r="M584" i="7"/>
  <c r="M585" i="7"/>
  <c r="M586" i="7"/>
  <c r="M587" i="7"/>
  <c r="M588" i="7"/>
  <c r="M589" i="7"/>
  <c r="M590" i="7"/>
  <c r="M591" i="7"/>
  <c r="M592" i="7"/>
  <c r="M593" i="7"/>
  <c r="M594" i="7"/>
  <c r="M595" i="7"/>
  <c r="M596" i="7"/>
  <c r="M597" i="7"/>
  <c r="M598" i="7"/>
  <c r="M599" i="7"/>
  <c r="M600" i="7"/>
  <c r="M601" i="7"/>
  <c r="M602" i="7"/>
  <c r="M603" i="7"/>
  <c r="M604" i="7"/>
  <c r="M605" i="7"/>
  <c r="M606" i="7"/>
  <c r="M607" i="7"/>
  <c r="M608" i="7"/>
  <c r="M609" i="7"/>
  <c r="M610" i="7"/>
  <c r="M611" i="7"/>
  <c r="M612" i="7"/>
  <c r="M613" i="7"/>
  <c r="M614" i="7"/>
  <c r="M615" i="7"/>
  <c r="M616" i="7"/>
  <c r="M617" i="7"/>
  <c r="M618" i="7"/>
  <c r="M619" i="7"/>
  <c r="M620" i="7"/>
  <c r="M621" i="7"/>
  <c r="M622" i="7"/>
  <c r="M623" i="7"/>
  <c r="M624" i="7"/>
  <c r="M625" i="7"/>
  <c r="M626" i="7"/>
  <c r="M627" i="7"/>
  <c r="M628" i="7"/>
  <c r="M629" i="7"/>
  <c r="M630" i="7"/>
  <c r="M631" i="7"/>
  <c r="M632" i="7"/>
  <c r="M633" i="7"/>
  <c r="M634" i="7"/>
  <c r="M635" i="7"/>
  <c r="M636" i="7"/>
  <c r="M637" i="7"/>
  <c r="M638" i="7"/>
  <c r="M639" i="7"/>
  <c r="M640" i="7"/>
  <c r="M641" i="7"/>
  <c r="M642" i="7"/>
  <c r="M643" i="7"/>
  <c r="M644" i="7"/>
  <c r="M645" i="7"/>
  <c r="M646" i="7"/>
  <c r="M647" i="7"/>
  <c r="M648" i="7"/>
  <c r="M649" i="7"/>
  <c r="M650" i="7"/>
  <c r="M651" i="7"/>
  <c r="M652" i="7"/>
  <c r="M653" i="7"/>
  <c r="M654" i="7"/>
  <c r="M655" i="7"/>
  <c r="M656" i="7"/>
  <c r="M657" i="7"/>
  <c r="M658" i="7"/>
  <c r="M659" i="7"/>
  <c r="M660" i="7"/>
  <c r="M661" i="7"/>
  <c r="M662" i="7"/>
  <c r="M663" i="7"/>
  <c r="M664" i="7"/>
  <c r="M665" i="7"/>
  <c r="M666" i="7"/>
  <c r="M667" i="7"/>
  <c r="M668" i="7"/>
  <c r="M669" i="7"/>
  <c r="M670" i="7"/>
  <c r="M671" i="7"/>
  <c r="M672" i="7"/>
  <c r="M673" i="7"/>
  <c r="M674" i="7"/>
  <c r="M675" i="7"/>
  <c r="M676" i="7"/>
  <c r="M677" i="7"/>
  <c r="M678" i="7"/>
  <c r="M679" i="7"/>
  <c r="M680" i="7"/>
  <c r="M681" i="7"/>
  <c r="M682" i="7"/>
  <c r="M683" i="7"/>
  <c r="M684" i="7"/>
  <c r="M685" i="7"/>
  <c r="M686" i="7"/>
  <c r="M687" i="7"/>
  <c r="M688" i="7"/>
  <c r="M689" i="7"/>
  <c r="M690" i="7"/>
  <c r="M691" i="7"/>
  <c r="M692" i="7"/>
  <c r="M693" i="7"/>
  <c r="M694" i="7"/>
  <c r="M695" i="7"/>
  <c r="M696" i="7"/>
  <c r="M697" i="7"/>
  <c r="M698" i="7"/>
  <c r="M699" i="7"/>
  <c r="M700" i="7"/>
  <c r="M701" i="7"/>
  <c r="M702" i="7"/>
  <c r="M703" i="7"/>
  <c r="M704" i="7"/>
  <c r="M705" i="7"/>
  <c r="M706" i="7"/>
  <c r="M707" i="7"/>
  <c r="M708" i="7"/>
  <c r="M709" i="7"/>
  <c r="M710" i="7"/>
  <c r="M711" i="7"/>
  <c r="M712" i="7"/>
  <c r="M713" i="7"/>
  <c r="M714" i="7"/>
  <c r="M715" i="7"/>
  <c r="M716" i="7"/>
  <c r="M717" i="7"/>
  <c r="M718" i="7"/>
  <c r="M719" i="7"/>
  <c r="M720" i="7"/>
  <c r="M721" i="7"/>
  <c r="M722" i="7"/>
  <c r="M723" i="7"/>
  <c r="M724" i="7"/>
  <c r="M725" i="7"/>
  <c r="M726" i="7"/>
  <c r="M727" i="7"/>
  <c r="M728" i="7"/>
  <c r="M729" i="7"/>
  <c r="M730" i="7"/>
  <c r="M731" i="7"/>
  <c r="M732" i="7"/>
  <c r="M733" i="7"/>
  <c r="M734" i="7"/>
  <c r="M735" i="7"/>
  <c r="M736" i="7"/>
  <c r="M737" i="7"/>
  <c r="M738" i="7"/>
  <c r="M739" i="7"/>
  <c r="M740" i="7"/>
  <c r="M741" i="7"/>
  <c r="M742" i="7"/>
  <c r="M743" i="7"/>
  <c r="M744" i="7"/>
  <c r="M745" i="7"/>
  <c r="M746" i="7"/>
  <c r="M747" i="7"/>
  <c r="M748" i="7"/>
  <c r="M749" i="7"/>
  <c r="M750" i="7"/>
  <c r="M751" i="7"/>
  <c r="M752" i="7"/>
  <c r="M753" i="7"/>
  <c r="M754" i="7"/>
  <c r="M755" i="7"/>
  <c r="M756" i="7"/>
  <c r="M757" i="7"/>
  <c r="M758" i="7"/>
  <c r="M759" i="7"/>
  <c r="M760" i="7"/>
  <c r="M761" i="7"/>
  <c r="M762" i="7"/>
  <c r="M763" i="7"/>
  <c r="M764" i="7"/>
  <c r="M765" i="7"/>
  <c r="M766" i="7"/>
  <c r="M767" i="7"/>
  <c r="M768" i="7"/>
  <c r="M769" i="7"/>
  <c r="M770" i="7"/>
  <c r="M771" i="7"/>
  <c r="M772" i="7"/>
  <c r="M773" i="7"/>
  <c r="M774" i="7"/>
  <c r="M775" i="7"/>
  <c r="M776" i="7"/>
  <c r="M777" i="7"/>
  <c r="M778" i="7"/>
  <c r="M779" i="7"/>
  <c r="M780" i="7"/>
  <c r="M781" i="7"/>
  <c r="M782" i="7"/>
  <c r="M783" i="7"/>
  <c r="M784" i="7"/>
  <c r="M785" i="7"/>
  <c r="M786" i="7"/>
  <c r="M787" i="7"/>
  <c r="M788" i="7"/>
  <c r="M789" i="7"/>
  <c r="M790" i="7"/>
  <c r="M791" i="7"/>
  <c r="M792" i="7"/>
  <c r="M793" i="7"/>
  <c r="M794" i="7"/>
  <c r="M795" i="7"/>
  <c r="M796" i="7"/>
  <c r="M797" i="7"/>
  <c r="M798" i="7"/>
  <c r="M799" i="7"/>
  <c r="M800" i="7"/>
  <c r="M801" i="7"/>
  <c r="M802" i="7"/>
  <c r="M803" i="7"/>
  <c r="M804" i="7"/>
  <c r="M805" i="7"/>
  <c r="M806" i="7"/>
  <c r="M807" i="7"/>
  <c r="M808" i="7"/>
  <c r="M809" i="7"/>
  <c r="M810" i="7"/>
  <c r="M811" i="7"/>
  <c r="M812" i="7"/>
  <c r="M813" i="7"/>
  <c r="M814" i="7"/>
  <c r="M815" i="7"/>
  <c r="M816" i="7"/>
  <c r="M817" i="7"/>
  <c r="M818" i="7"/>
  <c r="M819" i="7"/>
  <c r="M820" i="7"/>
  <c r="M821" i="7"/>
  <c r="M822" i="7"/>
  <c r="M823" i="7"/>
  <c r="M824" i="7"/>
  <c r="M825" i="7"/>
  <c r="M826" i="7"/>
  <c r="M827" i="7"/>
  <c r="M828" i="7"/>
  <c r="M829" i="7"/>
  <c r="M830" i="7"/>
  <c r="M831" i="7"/>
  <c r="M832" i="7"/>
  <c r="M833" i="7"/>
  <c r="M834" i="7"/>
  <c r="M835" i="7"/>
  <c r="M836" i="7"/>
  <c r="M837" i="7"/>
  <c r="M838" i="7"/>
  <c r="M839" i="7"/>
  <c r="M840" i="7"/>
  <c r="M841" i="7"/>
  <c r="M842" i="7"/>
  <c r="M843" i="7"/>
  <c r="M844" i="7"/>
  <c r="M845" i="7"/>
  <c r="M846" i="7"/>
  <c r="M847" i="7"/>
  <c r="M848" i="7"/>
  <c r="M849" i="7"/>
  <c r="M850" i="7"/>
  <c r="M851" i="7"/>
  <c r="M852" i="7"/>
  <c r="M853" i="7"/>
  <c r="M854" i="7"/>
  <c r="M855" i="7"/>
  <c r="M856" i="7"/>
  <c r="M857" i="7"/>
  <c r="M858" i="7"/>
  <c r="M859" i="7"/>
  <c r="M860" i="7"/>
  <c r="M861" i="7"/>
  <c r="M862" i="7"/>
  <c r="M863" i="7"/>
  <c r="M864" i="7"/>
  <c r="M865" i="7"/>
  <c r="M866" i="7"/>
  <c r="M867" i="7"/>
  <c r="M868" i="7"/>
  <c r="M869" i="7"/>
  <c r="M870" i="7"/>
  <c r="M871" i="7"/>
  <c r="M872" i="7"/>
  <c r="M873" i="7"/>
  <c r="M874" i="7"/>
  <c r="M875" i="7"/>
  <c r="M876" i="7"/>
  <c r="M877" i="7"/>
  <c r="M878" i="7"/>
  <c r="M879" i="7"/>
  <c r="M880" i="7"/>
  <c r="M881" i="7"/>
  <c r="M882" i="7"/>
  <c r="M883" i="7"/>
  <c r="M884" i="7"/>
  <c r="M885" i="7"/>
  <c r="M886" i="7"/>
  <c r="M887" i="7"/>
  <c r="M888" i="7"/>
  <c r="M889" i="7"/>
  <c r="M890" i="7"/>
  <c r="M891" i="7"/>
  <c r="M892" i="7"/>
  <c r="M893" i="7"/>
  <c r="M894" i="7"/>
  <c r="M895" i="7"/>
  <c r="M896" i="7"/>
  <c r="M897" i="7"/>
  <c r="M898" i="7"/>
  <c r="M899" i="7"/>
  <c r="M900" i="7"/>
  <c r="M901" i="7"/>
  <c r="M902" i="7"/>
  <c r="M903" i="7"/>
  <c r="M904" i="7"/>
  <c r="M905" i="7"/>
  <c r="M906" i="7"/>
  <c r="M907" i="7"/>
  <c r="M908" i="7"/>
  <c r="M909" i="7"/>
  <c r="M910" i="7"/>
  <c r="M911" i="7"/>
  <c r="M912" i="7"/>
  <c r="M913" i="7"/>
  <c r="M914" i="7"/>
  <c r="M915" i="7"/>
  <c r="M916" i="7"/>
  <c r="M917" i="7"/>
  <c r="M918" i="7"/>
  <c r="M919" i="7"/>
  <c r="M920" i="7"/>
  <c r="M921" i="7"/>
  <c r="M922" i="7"/>
  <c r="M923" i="7"/>
  <c r="M924" i="7"/>
  <c r="M925" i="7"/>
  <c r="M926" i="7"/>
  <c r="M927" i="7"/>
  <c r="M928" i="7"/>
  <c r="M929" i="7"/>
  <c r="M930" i="7"/>
  <c r="M931" i="7"/>
  <c r="M932" i="7"/>
  <c r="M933" i="7"/>
  <c r="M934" i="7"/>
  <c r="M935" i="7"/>
  <c r="M936" i="7"/>
  <c r="M937" i="7"/>
  <c r="M938" i="7"/>
  <c r="M939" i="7"/>
  <c r="M940" i="7"/>
  <c r="M941" i="7"/>
  <c r="M942" i="7"/>
  <c r="M943" i="7"/>
  <c r="M944" i="7"/>
  <c r="M945" i="7"/>
  <c r="M946" i="7"/>
  <c r="M947" i="7"/>
  <c r="M948" i="7"/>
  <c r="M949" i="7"/>
  <c r="M950" i="7"/>
  <c r="M951" i="7"/>
  <c r="M952" i="7"/>
  <c r="M953" i="7"/>
  <c r="M954" i="7"/>
  <c r="M955" i="7"/>
  <c r="M956" i="7"/>
  <c r="M957" i="7"/>
  <c r="M958" i="7"/>
  <c r="M959" i="7"/>
  <c r="M960" i="7"/>
  <c r="M961" i="7"/>
  <c r="M962" i="7"/>
  <c r="M963" i="7"/>
  <c r="M964" i="7"/>
  <c r="M965" i="7"/>
  <c r="M966" i="7"/>
  <c r="M967" i="7"/>
  <c r="M968" i="7"/>
  <c r="M969" i="7"/>
  <c r="M970" i="7"/>
  <c r="M971" i="7"/>
  <c r="M972" i="7"/>
  <c r="M973" i="7"/>
  <c r="M974" i="7"/>
  <c r="M975" i="7"/>
  <c r="M976" i="7"/>
  <c r="M977" i="7"/>
  <c r="M978" i="7"/>
  <c r="M979" i="7"/>
  <c r="M980" i="7"/>
  <c r="M981" i="7"/>
  <c r="M982" i="7"/>
  <c r="M983" i="7"/>
  <c r="M984" i="7"/>
  <c r="M985" i="7"/>
  <c r="M986" i="7"/>
  <c r="M987" i="7"/>
  <c r="M988" i="7"/>
  <c r="M989" i="7"/>
  <c r="I212" i="1"/>
  <c r="W212" i="1"/>
  <c r="K211" i="1"/>
  <c r="K212" i="1" s="1"/>
  <c r="J219" i="1"/>
  <c r="I219" i="1"/>
  <c r="J218" i="1"/>
  <c r="I218" i="1"/>
  <c r="I217" i="1"/>
  <c r="F217" i="1"/>
  <c r="J217" i="1" s="1"/>
  <c r="J216" i="1"/>
  <c r="I216" i="1"/>
  <c r="J215" i="1"/>
  <c r="I215" i="1"/>
  <c r="J214" i="1"/>
  <c r="I214" i="1"/>
  <c r="J213" i="1"/>
  <c r="I213" i="1"/>
  <c r="J212" i="1"/>
  <c r="A212" i="1"/>
  <c r="A214" i="1" s="1"/>
  <c r="A215" i="1" s="1"/>
  <c r="A216" i="1" s="1"/>
  <c r="A217" i="1" s="1"/>
  <c r="A218" i="1" s="1"/>
  <c r="A219" i="1" s="1"/>
  <c r="L211" i="1"/>
  <c r="L212" i="1" s="1"/>
  <c r="J211" i="1"/>
  <c r="I211" i="1"/>
  <c r="J7" i="8"/>
  <c r="J17" i="8"/>
  <c r="J11" i="8"/>
  <c r="J19" i="8"/>
  <c r="J15" i="8"/>
  <c r="J10" i="8"/>
  <c r="J8" i="8"/>
  <c r="F9" i="8"/>
  <c r="F10" i="8"/>
  <c r="F11" i="8"/>
  <c r="F19" i="8"/>
  <c r="F17" i="8"/>
  <c r="F8" i="8"/>
  <c r="D27" i="5"/>
  <c r="D24" i="5"/>
  <c r="D21" i="5"/>
  <c r="D18" i="5"/>
  <c r="D15" i="5"/>
  <c r="D12" i="5"/>
  <c r="D9" i="5"/>
  <c r="D29" i="5"/>
  <c r="D26" i="5"/>
  <c r="D23" i="5"/>
  <c r="D20" i="5"/>
  <c r="D17" i="5"/>
  <c r="D14" i="5"/>
  <c r="D11" i="5"/>
  <c r="D8" i="5"/>
  <c r="D28" i="5"/>
  <c r="D25" i="5"/>
  <c r="D22" i="5"/>
  <c r="D19" i="5"/>
  <c r="D16" i="5"/>
  <c r="D13" i="5"/>
  <c r="D10" i="5"/>
  <c r="D51" i="5"/>
  <c r="D48" i="5"/>
  <c r="D45" i="5"/>
  <c r="D42" i="5"/>
  <c r="D39" i="5"/>
  <c r="D36" i="5"/>
  <c r="D33" i="5"/>
  <c r="D53" i="5"/>
  <c r="D50" i="5"/>
  <c r="D47" i="5"/>
  <c r="D44" i="5"/>
  <c r="D41" i="5"/>
  <c r="D38" i="5"/>
  <c r="D35" i="5"/>
  <c r="D32" i="5"/>
  <c r="D52" i="5"/>
  <c r="D49" i="5"/>
  <c r="D46" i="5"/>
  <c r="D43" i="5"/>
  <c r="D40" i="5"/>
  <c r="D37" i="5"/>
  <c r="D34" i="5"/>
  <c r="D69" i="5"/>
  <c r="D66" i="5"/>
  <c r="D63" i="5"/>
  <c r="D60" i="5"/>
  <c r="D57" i="5"/>
  <c r="D68" i="5"/>
  <c r="D65" i="5"/>
  <c r="D62" i="5"/>
  <c r="D59" i="5"/>
  <c r="D56" i="5"/>
  <c r="D67" i="5"/>
  <c r="D61" i="5"/>
  <c r="D58" i="5"/>
  <c r="D55" i="5"/>
  <c r="C7" i="5"/>
  <c r="D7" i="5"/>
  <c r="D31" i="5"/>
  <c r="C31" i="5"/>
  <c r="K6" i="8" l="1"/>
  <c r="K2" i="8"/>
  <c r="L1" i="8"/>
  <c r="G9" i="8"/>
  <c r="H9" i="8" s="1"/>
  <c r="G11" i="8"/>
  <c r="H11" i="8" s="1"/>
  <c r="G10" i="8"/>
  <c r="H10" i="8" s="1"/>
  <c r="G17" i="8"/>
  <c r="H17" i="8" s="1"/>
  <c r="G19" i="8"/>
  <c r="H19" i="8" s="1"/>
  <c r="G8" i="8"/>
  <c r="H8" i="8" s="1"/>
  <c r="E2" i="5"/>
  <c r="F1" i="5"/>
  <c r="E6" i="5"/>
  <c r="C6" i="3"/>
  <c r="AH382" i="1"/>
  <c r="M382" i="1"/>
  <c r="N382" i="1" s="1"/>
  <c r="K381" i="1"/>
  <c r="AH380" i="1"/>
  <c r="M380" i="1"/>
  <c r="N380" i="1" s="1"/>
  <c r="AI378" i="1"/>
  <c r="AJ378" i="1" s="1"/>
  <c r="AI377" i="1"/>
  <c r="AJ377" i="1" s="1"/>
  <c r="AI379" i="1"/>
  <c r="AJ379" i="1" s="1"/>
  <c r="A312" i="1"/>
  <c r="A332" i="1"/>
  <c r="K371" i="1"/>
  <c r="M370" i="1"/>
  <c r="M372" i="1"/>
  <c r="M345" i="1"/>
  <c r="AH354" i="1"/>
  <c r="K348" i="1"/>
  <c r="AH348" i="1" s="1"/>
  <c r="AH356" i="1"/>
  <c r="M360" i="1"/>
  <c r="K361" i="1"/>
  <c r="AH370" i="1" s="1"/>
  <c r="M362" i="1"/>
  <c r="AH346" i="1"/>
  <c r="AH345" i="1"/>
  <c r="AH347" i="1"/>
  <c r="M347" i="1"/>
  <c r="L350" i="1"/>
  <c r="L351" i="1" s="1"/>
  <c r="L353" i="1" s="1"/>
  <c r="L352" i="1"/>
  <c r="AH335" i="1"/>
  <c r="M335" i="1"/>
  <c r="M339" i="1"/>
  <c r="L342" i="1"/>
  <c r="L340" i="1"/>
  <c r="L341" i="1" s="1"/>
  <c r="L343" i="1" s="1"/>
  <c r="K340" i="1"/>
  <c r="K342" i="1"/>
  <c r="M337" i="1"/>
  <c r="M338" i="1"/>
  <c r="AH314" i="1"/>
  <c r="AH324" i="1"/>
  <c r="AH326" i="1"/>
  <c r="AH316" i="1"/>
  <c r="L332" i="1"/>
  <c r="L330" i="1"/>
  <c r="L331" i="1" s="1"/>
  <c r="L333" i="1" s="1"/>
  <c r="K325" i="1"/>
  <c r="AH334" i="1" s="1"/>
  <c r="K327" i="1"/>
  <c r="AH336" i="1" s="1"/>
  <c r="M315" i="1"/>
  <c r="L322" i="1"/>
  <c r="L320" i="1"/>
  <c r="L321" i="1" s="1"/>
  <c r="L323" i="1" s="1"/>
  <c r="AH317" i="1"/>
  <c r="K318" i="1"/>
  <c r="M305" i="1"/>
  <c r="M288" i="1"/>
  <c r="AH306" i="1"/>
  <c r="M308" i="1"/>
  <c r="AH307" i="1"/>
  <c r="AH304" i="1"/>
  <c r="AH308" i="1"/>
  <c r="M307" i="1"/>
  <c r="L312" i="1"/>
  <c r="L310" i="1"/>
  <c r="L311" i="1" s="1"/>
  <c r="L313" i="1" s="1"/>
  <c r="K310" i="1"/>
  <c r="K312" i="1"/>
  <c r="M309" i="1"/>
  <c r="AH297" i="1"/>
  <c r="M297" i="1"/>
  <c r="AH296" i="1"/>
  <c r="L302" i="1"/>
  <c r="L300" i="1"/>
  <c r="L301" i="1" s="1"/>
  <c r="L303" i="1" s="1"/>
  <c r="K300" i="1"/>
  <c r="AH309" i="1" s="1"/>
  <c r="K302" i="1"/>
  <c r="M299" i="1"/>
  <c r="AH295" i="1"/>
  <c r="AH298" i="1"/>
  <c r="M298" i="1"/>
  <c r="M287" i="1"/>
  <c r="K292" i="1"/>
  <c r="K290" i="1"/>
  <c r="AH299" i="1" s="1"/>
  <c r="M285" i="1"/>
  <c r="AH285" i="1"/>
  <c r="L292" i="1"/>
  <c r="L290" i="1"/>
  <c r="L291" i="1" s="1"/>
  <c r="L293" i="1" s="1"/>
  <c r="AH276" i="1"/>
  <c r="L280" i="1"/>
  <c r="L281" i="1" s="1"/>
  <c r="L283" i="1" s="1"/>
  <c r="L282" i="1"/>
  <c r="K275" i="1"/>
  <c r="AH284" i="1" s="1"/>
  <c r="K277" i="1"/>
  <c r="M276" i="1"/>
  <c r="M247" i="1"/>
  <c r="M257" i="1"/>
  <c r="AH267" i="1"/>
  <c r="K268" i="1"/>
  <c r="M267" i="1"/>
  <c r="K266" i="1"/>
  <c r="K260" i="1"/>
  <c r="M259" i="1"/>
  <c r="A248" i="1"/>
  <c r="L248" i="1"/>
  <c r="L250" i="1"/>
  <c r="L251" i="1" s="1"/>
  <c r="L252" i="1" s="1"/>
  <c r="L253" i="1" s="1"/>
  <c r="L254" i="1" s="1"/>
  <c r="L255" i="1" s="1"/>
  <c r="K249" i="1"/>
  <c r="AH258" i="1" s="1"/>
  <c r="M238" i="1"/>
  <c r="A239" i="1"/>
  <c r="L239" i="1"/>
  <c r="L241" i="1"/>
  <c r="L242" i="1" s="1"/>
  <c r="L243" i="1" s="1"/>
  <c r="L244" i="1" s="1"/>
  <c r="L245" i="1" s="1"/>
  <c r="L246" i="1" s="1"/>
  <c r="M240" i="1"/>
  <c r="AH240" i="1"/>
  <c r="K239" i="1"/>
  <c r="M239" i="1" s="1"/>
  <c r="K241" i="1"/>
  <c r="M241" i="1" s="1"/>
  <c r="M231" i="1"/>
  <c r="M229" i="1"/>
  <c r="AH229" i="1"/>
  <c r="K230" i="1"/>
  <c r="AH238" i="1" s="1"/>
  <c r="K232" i="1"/>
  <c r="A230" i="1"/>
  <c r="L232" i="1"/>
  <c r="L233" i="1" s="1"/>
  <c r="L234" i="1" s="1"/>
  <c r="L235" i="1" s="1"/>
  <c r="L236" i="1" s="1"/>
  <c r="L237" i="1" s="1"/>
  <c r="A222" i="1"/>
  <c r="M212" i="1"/>
  <c r="M220" i="1"/>
  <c r="M221" i="1"/>
  <c r="K222" i="1"/>
  <c r="M222" i="1" s="1"/>
  <c r="K223" i="1"/>
  <c r="M223" i="1" s="1"/>
  <c r="L222" i="1"/>
  <c r="L223" i="1"/>
  <c r="L224" i="1" s="1"/>
  <c r="L225" i="1" s="1"/>
  <c r="L226" i="1" s="1"/>
  <c r="L227" i="1" s="1"/>
  <c r="L228" i="1" s="1"/>
  <c r="A224" i="1"/>
  <c r="V1" i="7"/>
  <c r="AH220" i="1"/>
  <c r="R1" i="7"/>
  <c r="U1" i="7"/>
  <c r="T1" i="7"/>
  <c r="S1" i="7"/>
  <c r="Q1" i="7"/>
  <c r="O1" i="7"/>
  <c r="M1" i="7"/>
  <c r="P1" i="7"/>
  <c r="N1" i="7"/>
  <c r="K213" i="1"/>
  <c r="K214" i="1"/>
  <c r="M214" i="1" s="1"/>
  <c r="L213" i="1"/>
  <c r="L214" i="1"/>
  <c r="L215" i="1" s="1"/>
  <c r="L216" i="1" s="1"/>
  <c r="L217" i="1" s="1"/>
  <c r="L218" i="1" s="1"/>
  <c r="L219" i="1" s="1"/>
  <c r="A213" i="1"/>
  <c r="M211" i="1"/>
  <c r="F208" i="1"/>
  <c r="J208" i="1" s="1"/>
  <c r="W203" i="1"/>
  <c r="K202" i="1"/>
  <c r="J204" i="1"/>
  <c r="I204" i="1"/>
  <c r="J210" i="1"/>
  <c r="I210" i="1"/>
  <c r="J209" i="1"/>
  <c r="I209" i="1"/>
  <c r="I208" i="1"/>
  <c r="J207" i="1"/>
  <c r="I207" i="1"/>
  <c r="J206" i="1"/>
  <c r="I206" i="1"/>
  <c r="J205" i="1"/>
  <c r="I205" i="1"/>
  <c r="J203" i="1"/>
  <c r="I203" i="1"/>
  <c r="A203" i="1"/>
  <c r="A205" i="1" s="1"/>
  <c r="A206" i="1" s="1"/>
  <c r="A207" i="1" s="1"/>
  <c r="A208" i="1" s="1"/>
  <c r="A209" i="1" s="1"/>
  <c r="A210" i="1" s="1"/>
  <c r="L202" i="1"/>
  <c r="L203" i="1" s="1"/>
  <c r="L205" i="1" s="1"/>
  <c r="L206" i="1" s="1"/>
  <c r="L207" i="1" s="1"/>
  <c r="L208" i="1" s="1"/>
  <c r="L209" i="1" s="1"/>
  <c r="L210" i="1" s="1"/>
  <c r="J202" i="1"/>
  <c r="I202" i="1"/>
  <c r="X1" i="7"/>
  <c r="Y1" i="7"/>
  <c r="Z1" i="7"/>
  <c r="AA1" i="7"/>
  <c r="W1" i="7"/>
  <c r="AF1" i="7"/>
  <c r="AK1" i="7" s="1"/>
  <c r="AE1" i="7"/>
  <c r="AJ1" i="7" s="1"/>
  <c r="AD1" i="7"/>
  <c r="AI1" i="7" s="1"/>
  <c r="AC1" i="7"/>
  <c r="AH1" i="7" s="1"/>
  <c r="AB1" i="7"/>
  <c r="AG1" i="7" s="1"/>
  <c r="E195" i="1"/>
  <c r="U195" i="1"/>
  <c r="L1" i="7"/>
  <c r="K1" i="7"/>
  <c r="J1" i="7"/>
  <c r="I1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N271" i="7"/>
  <c r="O271" i="7"/>
  <c r="P271" i="7"/>
  <c r="Q271" i="7"/>
  <c r="N272" i="7"/>
  <c r="O272" i="7"/>
  <c r="P272" i="7"/>
  <c r="Q272" i="7"/>
  <c r="N273" i="7"/>
  <c r="O273" i="7"/>
  <c r="P273" i="7"/>
  <c r="Q273" i="7"/>
  <c r="N274" i="7"/>
  <c r="O274" i="7"/>
  <c r="P274" i="7"/>
  <c r="Q274" i="7"/>
  <c r="N275" i="7"/>
  <c r="O275" i="7"/>
  <c r="P275" i="7"/>
  <c r="Q275" i="7"/>
  <c r="N276" i="7"/>
  <c r="O276" i="7"/>
  <c r="P276" i="7"/>
  <c r="Q276" i="7"/>
  <c r="N277" i="7"/>
  <c r="O277" i="7"/>
  <c r="P277" i="7"/>
  <c r="Q277" i="7"/>
  <c r="N278" i="7"/>
  <c r="O278" i="7"/>
  <c r="P278" i="7"/>
  <c r="Q278" i="7"/>
  <c r="N279" i="7"/>
  <c r="O279" i="7"/>
  <c r="P279" i="7"/>
  <c r="Q279" i="7"/>
  <c r="N280" i="7"/>
  <c r="O280" i="7"/>
  <c r="P280" i="7"/>
  <c r="Q280" i="7"/>
  <c r="N281" i="7"/>
  <c r="O281" i="7"/>
  <c r="P281" i="7"/>
  <c r="Q281" i="7"/>
  <c r="N282" i="7"/>
  <c r="O282" i="7"/>
  <c r="P282" i="7"/>
  <c r="Q282" i="7"/>
  <c r="N283" i="7"/>
  <c r="O283" i="7"/>
  <c r="P283" i="7"/>
  <c r="Q283" i="7"/>
  <c r="N284" i="7"/>
  <c r="O284" i="7"/>
  <c r="P284" i="7"/>
  <c r="Q284" i="7"/>
  <c r="N285" i="7"/>
  <c r="O285" i="7"/>
  <c r="P285" i="7"/>
  <c r="Q285" i="7"/>
  <c r="N286" i="7"/>
  <c r="O286" i="7"/>
  <c r="P286" i="7"/>
  <c r="Q286" i="7"/>
  <c r="N287" i="7"/>
  <c r="O287" i="7"/>
  <c r="P287" i="7"/>
  <c r="Q287" i="7"/>
  <c r="N288" i="7"/>
  <c r="O288" i="7"/>
  <c r="P288" i="7"/>
  <c r="Q288" i="7"/>
  <c r="N289" i="7"/>
  <c r="O289" i="7"/>
  <c r="P289" i="7"/>
  <c r="Q289" i="7"/>
  <c r="N290" i="7"/>
  <c r="O290" i="7"/>
  <c r="P290" i="7"/>
  <c r="Q290" i="7"/>
  <c r="N291" i="7"/>
  <c r="O291" i="7"/>
  <c r="P291" i="7"/>
  <c r="Q291" i="7"/>
  <c r="N292" i="7"/>
  <c r="O292" i="7"/>
  <c r="P292" i="7"/>
  <c r="Q292" i="7"/>
  <c r="N293" i="7"/>
  <c r="O293" i="7"/>
  <c r="P293" i="7"/>
  <c r="Q293" i="7"/>
  <c r="N294" i="7"/>
  <c r="O294" i="7"/>
  <c r="P294" i="7"/>
  <c r="Q294" i="7"/>
  <c r="N295" i="7"/>
  <c r="O295" i="7"/>
  <c r="P295" i="7"/>
  <c r="Q295" i="7"/>
  <c r="N296" i="7"/>
  <c r="O296" i="7"/>
  <c r="P296" i="7"/>
  <c r="Q296" i="7"/>
  <c r="N297" i="7"/>
  <c r="O297" i="7"/>
  <c r="P297" i="7"/>
  <c r="Q297" i="7"/>
  <c r="N298" i="7"/>
  <c r="O298" i="7"/>
  <c r="P298" i="7"/>
  <c r="Q298" i="7"/>
  <c r="N299" i="7"/>
  <c r="O299" i="7"/>
  <c r="P299" i="7"/>
  <c r="Q299" i="7"/>
  <c r="N300" i="7"/>
  <c r="O300" i="7"/>
  <c r="P300" i="7"/>
  <c r="Q300" i="7"/>
  <c r="N301" i="7"/>
  <c r="O301" i="7"/>
  <c r="P301" i="7"/>
  <c r="Q301" i="7"/>
  <c r="N302" i="7"/>
  <c r="O302" i="7"/>
  <c r="P302" i="7"/>
  <c r="Q302" i="7"/>
  <c r="N303" i="7"/>
  <c r="O303" i="7"/>
  <c r="P303" i="7"/>
  <c r="Q303" i="7"/>
  <c r="N304" i="7"/>
  <c r="O304" i="7"/>
  <c r="P304" i="7"/>
  <c r="Q304" i="7"/>
  <c r="N305" i="7"/>
  <c r="O305" i="7"/>
  <c r="P305" i="7"/>
  <c r="Q305" i="7"/>
  <c r="N306" i="7"/>
  <c r="O306" i="7"/>
  <c r="P306" i="7"/>
  <c r="Q306" i="7"/>
  <c r="N307" i="7"/>
  <c r="O307" i="7"/>
  <c r="P307" i="7"/>
  <c r="Q307" i="7"/>
  <c r="N308" i="7"/>
  <c r="O308" i="7"/>
  <c r="P308" i="7"/>
  <c r="Q308" i="7"/>
  <c r="N309" i="7"/>
  <c r="O309" i="7"/>
  <c r="P309" i="7"/>
  <c r="Q309" i="7"/>
  <c r="N310" i="7"/>
  <c r="O310" i="7"/>
  <c r="P310" i="7"/>
  <c r="Q310" i="7"/>
  <c r="N311" i="7"/>
  <c r="O311" i="7"/>
  <c r="P311" i="7"/>
  <c r="Q311" i="7"/>
  <c r="N312" i="7"/>
  <c r="O312" i="7"/>
  <c r="P312" i="7"/>
  <c r="Q312" i="7"/>
  <c r="N313" i="7"/>
  <c r="O313" i="7"/>
  <c r="P313" i="7"/>
  <c r="Q313" i="7"/>
  <c r="N314" i="7"/>
  <c r="O314" i="7"/>
  <c r="P314" i="7"/>
  <c r="Q314" i="7"/>
  <c r="N315" i="7"/>
  <c r="O315" i="7"/>
  <c r="P315" i="7"/>
  <c r="Q315" i="7"/>
  <c r="N316" i="7"/>
  <c r="O316" i="7"/>
  <c r="P316" i="7"/>
  <c r="Q316" i="7"/>
  <c r="N317" i="7"/>
  <c r="O317" i="7"/>
  <c r="P317" i="7"/>
  <c r="Q317" i="7"/>
  <c r="N318" i="7"/>
  <c r="O318" i="7"/>
  <c r="P318" i="7"/>
  <c r="Q318" i="7"/>
  <c r="N319" i="7"/>
  <c r="O319" i="7"/>
  <c r="P319" i="7"/>
  <c r="Q319" i="7"/>
  <c r="N320" i="7"/>
  <c r="O320" i="7"/>
  <c r="P320" i="7"/>
  <c r="Q320" i="7"/>
  <c r="N321" i="7"/>
  <c r="O321" i="7"/>
  <c r="P321" i="7"/>
  <c r="Q321" i="7"/>
  <c r="N322" i="7"/>
  <c r="O322" i="7"/>
  <c r="P322" i="7"/>
  <c r="Q322" i="7"/>
  <c r="N323" i="7"/>
  <c r="O323" i="7"/>
  <c r="P323" i="7"/>
  <c r="Q323" i="7"/>
  <c r="N324" i="7"/>
  <c r="O324" i="7"/>
  <c r="P324" i="7"/>
  <c r="Q324" i="7"/>
  <c r="N325" i="7"/>
  <c r="O325" i="7"/>
  <c r="P325" i="7"/>
  <c r="Q325" i="7"/>
  <c r="N326" i="7"/>
  <c r="O326" i="7"/>
  <c r="P326" i="7"/>
  <c r="Q326" i="7"/>
  <c r="N327" i="7"/>
  <c r="O327" i="7"/>
  <c r="P327" i="7"/>
  <c r="Q327" i="7"/>
  <c r="N328" i="7"/>
  <c r="O328" i="7"/>
  <c r="P328" i="7"/>
  <c r="Q328" i="7"/>
  <c r="N329" i="7"/>
  <c r="O329" i="7"/>
  <c r="P329" i="7"/>
  <c r="Q329" i="7"/>
  <c r="N330" i="7"/>
  <c r="O330" i="7"/>
  <c r="P330" i="7"/>
  <c r="Q330" i="7"/>
  <c r="N331" i="7"/>
  <c r="O331" i="7"/>
  <c r="P331" i="7"/>
  <c r="Q331" i="7"/>
  <c r="N332" i="7"/>
  <c r="O332" i="7"/>
  <c r="P332" i="7"/>
  <c r="Q332" i="7"/>
  <c r="N333" i="7"/>
  <c r="O333" i="7"/>
  <c r="P333" i="7"/>
  <c r="Q333" i="7"/>
  <c r="N334" i="7"/>
  <c r="O334" i="7"/>
  <c r="P334" i="7"/>
  <c r="Q334" i="7"/>
  <c r="N335" i="7"/>
  <c r="O335" i="7"/>
  <c r="P335" i="7"/>
  <c r="Q335" i="7"/>
  <c r="N336" i="7"/>
  <c r="O336" i="7"/>
  <c r="P336" i="7"/>
  <c r="Q336" i="7"/>
  <c r="N337" i="7"/>
  <c r="O337" i="7"/>
  <c r="P337" i="7"/>
  <c r="Q337" i="7"/>
  <c r="N338" i="7"/>
  <c r="O338" i="7"/>
  <c r="P338" i="7"/>
  <c r="Q338" i="7"/>
  <c r="N339" i="7"/>
  <c r="O339" i="7"/>
  <c r="P339" i="7"/>
  <c r="Q339" i="7"/>
  <c r="N340" i="7"/>
  <c r="O340" i="7"/>
  <c r="P340" i="7"/>
  <c r="Q340" i="7"/>
  <c r="N341" i="7"/>
  <c r="O341" i="7"/>
  <c r="P341" i="7"/>
  <c r="Q341" i="7"/>
  <c r="N342" i="7"/>
  <c r="O342" i="7"/>
  <c r="P342" i="7"/>
  <c r="Q342" i="7"/>
  <c r="N343" i="7"/>
  <c r="O343" i="7"/>
  <c r="P343" i="7"/>
  <c r="Q343" i="7"/>
  <c r="N344" i="7"/>
  <c r="O344" i="7"/>
  <c r="P344" i="7"/>
  <c r="Q344" i="7"/>
  <c r="N345" i="7"/>
  <c r="O345" i="7"/>
  <c r="P345" i="7"/>
  <c r="Q345" i="7"/>
  <c r="N346" i="7"/>
  <c r="O346" i="7"/>
  <c r="P346" i="7"/>
  <c r="Q346" i="7"/>
  <c r="N347" i="7"/>
  <c r="O347" i="7"/>
  <c r="P347" i="7"/>
  <c r="Q347" i="7"/>
  <c r="N348" i="7"/>
  <c r="O348" i="7"/>
  <c r="P348" i="7"/>
  <c r="Q348" i="7"/>
  <c r="N349" i="7"/>
  <c r="O349" i="7"/>
  <c r="P349" i="7"/>
  <c r="Q349" i="7"/>
  <c r="N350" i="7"/>
  <c r="O350" i="7"/>
  <c r="P350" i="7"/>
  <c r="Q350" i="7"/>
  <c r="N351" i="7"/>
  <c r="O351" i="7"/>
  <c r="P351" i="7"/>
  <c r="Q351" i="7"/>
  <c r="N352" i="7"/>
  <c r="O352" i="7"/>
  <c r="P352" i="7"/>
  <c r="Q352" i="7"/>
  <c r="N353" i="7"/>
  <c r="O353" i="7"/>
  <c r="P353" i="7"/>
  <c r="Q353" i="7"/>
  <c r="N354" i="7"/>
  <c r="O354" i="7"/>
  <c r="P354" i="7"/>
  <c r="Q354" i="7"/>
  <c r="N355" i="7"/>
  <c r="O355" i="7"/>
  <c r="P355" i="7"/>
  <c r="Q355" i="7"/>
  <c r="N356" i="7"/>
  <c r="O356" i="7"/>
  <c r="P356" i="7"/>
  <c r="Q356" i="7"/>
  <c r="N357" i="7"/>
  <c r="O357" i="7"/>
  <c r="P357" i="7"/>
  <c r="Q357" i="7"/>
  <c r="N358" i="7"/>
  <c r="O358" i="7"/>
  <c r="P358" i="7"/>
  <c r="Q358" i="7"/>
  <c r="N359" i="7"/>
  <c r="O359" i="7"/>
  <c r="P359" i="7"/>
  <c r="Q359" i="7"/>
  <c r="N360" i="7"/>
  <c r="O360" i="7"/>
  <c r="P360" i="7"/>
  <c r="Q360" i="7"/>
  <c r="N361" i="7"/>
  <c r="O361" i="7"/>
  <c r="P361" i="7"/>
  <c r="Q361" i="7"/>
  <c r="N362" i="7"/>
  <c r="O362" i="7"/>
  <c r="P362" i="7"/>
  <c r="Q362" i="7"/>
  <c r="N363" i="7"/>
  <c r="O363" i="7"/>
  <c r="P363" i="7"/>
  <c r="Q363" i="7"/>
  <c r="N364" i="7"/>
  <c r="O364" i="7"/>
  <c r="P364" i="7"/>
  <c r="Q364" i="7"/>
  <c r="N365" i="7"/>
  <c r="O365" i="7"/>
  <c r="P365" i="7"/>
  <c r="Q365" i="7"/>
  <c r="N366" i="7"/>
  <c r="O366" i="7"/>
  <c r="P366" i="7"/>
  <c r="Q366" i="7"/>
  <c r="N367" i="7"/>
  <c r="O367" i="7"/>
  <c r="P367" i="7"/>
  <c r="Q367" i="7"/>
  <c r="N368" i="7"/>
  <c r="O368" i="7"/>
  <c r="P368" i="7"/>
  <c r="Q368" i="7"/>
  <c r="N369" i="7"/>
  <c r="O369" i="7"/>
  <c r="P369" i="7"/>
  <c r="Q369" i="7"/>
  <c r="N370" i="7"/>
  <c r="O370" i="7"/>
  <c r="P370" i="7"/>
  <c r="Q370" i="7"/>
  <c r="N371" i="7"/>
  <c r="O371" i="7"/>
  <c r="P371" i="7"/>
  <c r="Q371" i="7"/>
  <c r="N372" i="7"/>
  <c r="O372" i="7"/>
  <c r="P372" i="7"/>
  <c r="Q372" i="7"/>
  <c r="N373" i="7"/>
  <c r="O373" i="7"/>
  <c r="P373" i="7"/>
  <c r="Q373" i="7"/>
  <c r="N374" i="7"/>
  <c r="O374" i="7"/>
  <c r="P374" i="7"/>
  <c r="Q374" i="7"/>
  <c r="N375" i="7"/>
  <c r="O375" i="7"/>
  <c r="P375" i="7"/>
  <c r="Q375" i="7"/>
  <c r="N376" i="7"/>
  <c r="O376" i="7"/>
  <c r="P376" i="7"/>
  <c r="Q376" i="7"/>
  <c r="N377" i="7"/>
  <c r="O377" i="7"/>
  <c r="P377" i="7"/>
  <c r="Q377" i="7"/>
  <c r="N378" i="7"/>
  <c r="O378" i="7"/>
  <c r="P378" i="7"/>
  <c r="Q378" i="7"/>
  <c r="N379" i="7"/>
  <c r="O379" i="7"/>
  <c r="P379" i="7"/>
  <c r="Q379" i="7"/>
  <c r="N380" i="7"/>
  <c r="O380" i="7"/>
  <c r="P380" i="7"/>
  <c r="Q380" i="7"/>
  <c r="N381" i="7"/>
  <c r="O381" i="7"/>
  <c r="P381" i="7"/>
  <c r="Q381" i="7"/>
  <c r="N382" i="7"/>
  <c r="O382" i="7"/>
  <c r="P382" i="7"/>
  <c r="Q382" i="7"/>
  <c r="N383" i="7"/>
  <c r="O383" i="7"/>
  <c r="P383" i="7"/>
  <c r="Q383" i="7"/>
  <c r="N384" i="7"/>
  <c r="O384" i="7"/>
  <c r="P384" i="7"/>
  <c r="Q384" i="7"/>
  <c r="N385" i="7"/>
  <c r="O385" i="7"/>
  <c r="P385" i="7"/>
  <c r="Q385" i="7"/>
  <c r="N386" i="7"/>
  <c r="O386" i="7"/>
  <c r="P386" i="7"/>
  <c r="Q386" i="7"/>
  <c r="N387" i="7"/>
  <c r="O387" i="7"/>
  <c r="P387" i="7"/>
  <c r="Q387" i="7"/>
  <c r="N388" i="7"/>
  <c r="O388" i="7"/>
  <c r="P388" i="7"/>
  <c r="Q388" i="7"/>
  <c r="N389" i="7"/>
  <c r="O389" i="7"/>
  <c r="P389" i="7"/>
  <c r="Q389" i="7"/>
  <c r="N390" i="7"/>
  <c r="O390" i="7"/>
  <c r="P390" i="7"/>
  <c r="Q390" i="7"/>
  <c r="N391" i="7"/>
  <c r="O391" i="7"/>
  <c r="P391" i="7"/>
  <c r="Q391" i="7"/>
  <c r="N392" i="7"/>
  <c r="O392" i="7"/>
  <c r="P392" i="7"/>
  <c r="Q392" i="7"/>
  <c r="N393" i="7"/>
  <c r="O393" i="7"/>
  <c r="P393" i="7"/>
  <c r="Q393" i="7"/>
  <c r="N394" i="7"/>
  <c r="O394" i="7"/>
  <c r="P394" i="7"/>
  <c r="Q394" i="7"/>
  <c r="N395" i="7"/>
  <c r="O395" i="7"/>
  <c r="P395" i="7"/>
  <c r="Q395" i="7"/>
  <c r="N396" i="7"/>
  <c r="O396" i="7"/>
  <c r="P396" i="7"/>
  <c r="Q396" i="7"/>
  <c r="N397" i="7"/>
  <c r="O397" i="7"/>
  <c r="P397" i="7"/>
  <c r="Q397" i="7"/>
  <c r="N398" i="7"/>
  <c r="O398" i="7"/>
  <c r="P398" i="7"/>
  <c r="Q398" i="7"/>
  <c r="N399" i="7"/>
  <c r="O399" i="7"/>
  <c r="P399" i="7"/>
  <c r="Q399" i="7"/>
  <c r="N400" i="7"/>
  <c r="O400" i="7"/>
  <c r="P400" i="7"/>
  <c r="Q400" i="7"/>
  <c r="N401" i="7"/>
  <c r="O401" i="7"/>
  <c r="P401" i="7"/>
  <c r="Q401" i="7"/>
  <c r="N402" i="7"/>
  <c r="O402" i="7"/>
  <c r="P402" i="7"/>
  <c r="Q402" i="7"/>
  <c r="N403" i="7"/>
  <c r="O403" i="7"/>
  <c r="P403" i="7"/>
  <c r="Q403" i="7"/>
  <c r="N404" i="7"/>
  <c r="O404" i="7"/>
  <c r="P404" i="7"/>
  <c r="Q404" i="7"/>
  <c r="N405" i="7"/>
  <c r="O405" i="7"/>
  <c r="P405" i="7"/>
  <c r="Q405" i="7"/>
  <c r="N406" i="7"/>
  <c r="O406" i="7"/>
  <c r="P406" i="7"/>
  <c r="Q406" i="7"/>
  <c r="N407" i="7"/>
  <c r="O407" i="7"/>
  <c r="P407" i="7"/>
  <c r="Q407" i="7"/>
  <c r="N408" i="7"/>
  <c r="O408" i="7"/>
  <c r="P408" i="7"/>
  <c r="Q408" i="7"/>
  <c r="N409" i="7"/>
  <c r="O409" i="7"/>
  <c r="P409" i="7"/>
  <c r="Q409" i="7"/>
  <c r="N410" i="7"/>
  <c r="O410" i="7"/>
  <c r="P410" i="7"/>
  <c r="Q410" i="7"/>
  <c r="N411" i="7"/>
  <c r="O411" i="7"/>
  <c r="P411" i="7"/>
  <c r="Q411" i="7"/>
  <c r="N412" i="7"/>
  <c r="O412" i="7"/>
  <c r="P412" i="7"/>
  <c r="Q412" i="7"/>
  <c r="N413" i="7"/>
  <c r="O413" i="7"/>
  <c r="P413" i="7"/>
  <c r="Q413" i="7"/>
  <c r="N414" i="7"/>
  <c r="O414" i="7"/>
  <c r="P414" i="7"/>
  <c r="Q414" i="7"/>
  <c r="N415" i="7"/>
  <c r="O415" i="7"/>
  <c r="P415" i="7"/>
  <c r="Q415" i="7"/>
  <c r="N416" i="7"/>
  <c r="O416" i="7"/>
  <c r="P416" i="7"/>
  <c r="Q416" i="7"/>
  <c r="N417" i="7"/>
  <c r="O417" i="7"/>
  <c r="P417" i="7"/>
  <c r="Q417" i="7"/>
  <c r="N418" i="7"/>
  <c r="O418" i="7"/>
  <c r="P418" i="7"/>
  <c r="Q418" i="7"/>
  <c r="N419" i="7"/>
  <c r="O419" i="7"/>
  <c r="P419" i="7"/>
  <c r="Q419" i="7"/>
  <c r="N420" i="7"/>
  <c r="O420" i="7"/>
  <c r="P420" i="7"/>
  <c r="Q420" i="7"/>
  <c r="N421" i="7"/>
  <c r="O421" i="7"/>
  <c r="P421" i="7"/>
  <c r="Q421" i="7"/>
  <c r="N422" i="7"/>
  <c r="O422" i="7"/>
  <c r="P422" i="7"/>
  <c r="Q422" i="7"/>
  <c r="N423" i="7"/>
  <c r="O423" i="7"/>
  <c r="P423" i="7"/>
  <c r="Q423" i="7"/>
  <c r="N424" i="7"/>
  <c r="O424" i="7"/>
  <c r="P424" i="7"/>
  <c r="Q424" i="7"/>
  <c r="N425" i="7"/>
  <c r="O425" i="7"/>
  <c r="P425" i="7"/>
  <c r="Q425" i="7"/>
  <c r="N426" i="7"/>
  <c r="O426" i="7"/>
  <c r="P426" i="7"/>
  <c r="Q426" i="7"/>
  <c r="N427" i="7"/>
  <c r="O427" i="7"/>
  <c r="P427" i="7"/>
  <c r="Q427" i="7"/>
  <c r="N428" i="7"/>
  <c r="O428" i="7"/>
  <c r="P428" i="7"/>
  <c r="Q428" i="7"/>
  <c r="N429" i="7"/>
  <c r="O429" i="7"/>
  <c r="P429" i="7"/>
  <c r="Q429" i="7"/>
  <c r="N430" i="7"/>
  <c r="O430" i="7"/>
  <c r="P430" i="7"/>
  <c r="Q430" i="7"/>
  <c r="N431" i="7"/>
  <c r="O431" i="7"/>
  <c r="P431" i="7"/>
  <c r="Q431" i="7"/>
  <c r="N432" i="7"/>
  <c r="O432" i="7"/>
  <c r="P432" i="7"/>
  <c r="Q432" i="7"/>
  <c r="N433" i="7"/>
  <c r="O433" i="7"/>
  <c r="P433" i="7"/>
  <c r="Q433" i="7"/>
  <c r="N434" i="7"/>
  <c r="O434" i="7"/>
  <c r="P434" i="7"/>
  <c r="Q434" i="7"/>
  <c r="N435" i="7"/>
  <c r="O435" i="7"/>
  <c r="P435" i="7"/>
  <c r="Q435" i="7"/>
  <c r="N436" i="7"/>
  <c r="O436" i="7"/>
  <c r="P436" i="7"/>
  <c r="Q436" i="7"/>
  <c r="N437" i="7"/>
  <c r="O437" i="7"/>
  <c r="P437" i="7"/>
  <c r="Q437" i="7"/>
  <c r="N438" i="7"/>
  <c r="O438" i="7"/>
  <c r="P438" i="7"/>
  <c r="Q438" i="7"/>
  <c r="N439" i="7"/>
  <c r="O439" i="7"/>
  <c r="P439" i="7"/>
  <c r="Q439" i="7"/>
  <c r="N440" i="7"/>
  <c r="O440" i="7"/>
  <c r="P440" i="7"/>
  <c r="Q440" i="7"/>
  <c r="N441" i="7"/>
  <c r="O441" i="7"/>
  <c r="P441" i="7"/>
  <c r="Q441" i="7"/>
  <c r="N442" i="7"/>
  <c r="O442" i="7"/>
  <c r="P442" i="7"/>
  <c r="Q442" i="7"/>
  <c r="N443" i="7"/>
  <c r="O443" i="7"/>
  <c r="P443" i="7"/>
  <c r="Q443" i="7"/>
  <c r="N444" i="7"/>
  <c r="O444" i="7"/>
  <c r="P444" i="7"/>
  <c r="Q444" i="7"/>
  <c r="N445" i="7"/>
  <c r="O445" i="7"/>
  <c r="P445" i="7"/>
  <c r="Q445" i="7"/>
  <c r="N446" i="7"/>
  <c r="O446" i="7"/>
  <c r="P446" i="7"/>
  <c r="Q446" i="7"/>
  <c r="N447" i="7"/>
  <c r="O447" i="7"/>
  <c r="P447" i="7"/>
  <c r="Q447" i="7"/>
  <c r="N448" i="7"/>
  <c r="O448" i="7"/>
  <c r="P448" i="7"/>
  <c r="Q448" i="7"/>
  <c r="N449" i="7"/>
  <c r="O449" i="7"/>
  <c r="P449" i="7"/>
  <c r="Q449" i="7"/>
  <c r="N450" i="7"/>
  <c r="O450" i="7"/>
  <c r="P450" i="7"/>
  <c r="Q450" i="7"/>
  <c r="N451" i="7"/>
  <c r="O451" i="7"/>
  <c r="P451" i="7"/>
  <c r="Q451" i="7"/>
  <c r="N452" i="7"/>
  <c r="O452" i="7"/>
  <c r="P452" i="7"/>
  <c r="Q452" i="7"/>
  <c r="N453" i="7"/>
  <c r="O453" i="7"/>
  <c r="P453" i="7"/>
  <c r="Q453" i="7"/>
  <c r="N454" i="7"/>
  <c r="O454" i="7"/>
  <c r="P454" i="7"/>
  <c r="Q454" i="7"/>
  <c r="N455" i="7"/>
  <c r="O455" i="7"/>
  <c r="P455" i="7"/>
  <c r="Q455" i="7"/>
  <c r="N456" i="7"/>
  <c r="O456" i="7"/>
  <c r="P456" i="7"/>
  <c r="Q456" i="7"/>
  <c r="N457" i="7"/>
  <c r="O457" i="7"/>
  <c r="P457" i="7"/>
  <c r="Q457" i="7"/>
  <c r="N458" i="7"/>
  <c r="O458" i="7"/>
  <c r="P458" i="7"/>
  <c r="Q458" i="7"/>
  <c r="N459" i="7"/>
  <c r="O459" i="7"/>
  <c r="P459" i="7"/>
  <c r="Q459" i="7"/>
  <c r="N460" i="7"/>
  <c r="O460" i="7"/>
  <c r="P460" i="7"/>
  <c r="Q460" i="7"/>
  <c r="N461" i="7"/>
  <c r="O461" i="7"/>
  <c r="P461" i="7"/>
  <c r="Q461" i="7"/>
  <c r="N462" i="7"/>
  <c r="O462" i="7"/>
  <c r="P462" i="7"/>
  <c r="Q462" i="7"/>
  <c r="N463" i="7"/>
  <c r="O463" i="7"/>
  <c r="P463" i="7"/>
  <c r="Q463" i="7"/>
  <c r="N464" i="7"/>
  <c r="O464" i="7"/>
  <c r="P464" i="7"/>
  <c r="Q464" i="7"/>
  <c r="N465" i="7"/>
  <c r="O465" i="7"/>
  <c r="P465" i="7"/>
  <c r="Q465" i="7"/>
  <c r="N466" i="7"/>
  <c r="O466" i="7"/>
  <c r="P466" i="7"/>
  <c r="Q466" i="7"/>
  <c r="N467" i="7"/>
  <c r="O467" i="7"/>
  <c r="P467" i="7"/>
  <c r="Q467" i="7"/>
  <c r="N468" i="7"/>
  <c r="O468" i="7"/>
  <c r="P468" i="7"/>
  <c r="Q468" i="7"/>
  <c r="N469" i="7"/>
  <c r="O469" i="7"/>
  <c r="P469" i="7"/>
  <c r="Q469" i="7"/>
  <c r="N470" i="7"/>
  <c r="O470" i="7"/>
  <c r="P470" i="7"/>
  <c r="Q470" i="7"/>
  <c r="N471" i="7"/>
  <c r="O471" i="7"/>
  <c r="P471" i="7"/>
  <c r="Q471" i="7"/>
  <c r="N472" i="7"/>
  <c r="O472" i="7"/>
  <c r="P472" i="7"/>
  <c r="Q472" i="7"/>
  <c r="N473" i="7"/>
  <c r="O473" i="7"/>
  <c r="P473" i="7"/>
  <c r="Q473" i="7"/>
  <c r="N474" i="7"/>
  <c r="O474" i="7"/>
  <c r="P474" i="7"/>
  <c r="Q474" i="7"/>
  <c r="N475" i="7"/>
  <c r="O475" i="7"/>
  <c r="P475" i="7"/>
  <c r="Q475" i="7"/>
  <c r="N476" i="7"/>
  <c r="O476" i="7"/>
  <c r="P476" i="7"/>
  <c r="Q476" i="7"/>
  <c r="N477" i="7"/>
  <c r="O477" i="7"/>
  <c r="P477" i="7"/>
  <c r="Q477" i="7"/>
  <c r="N478" i="7"/>
  <c r="O478" i="7"/>
  <c r="P478" i="7"/>
  <c r="Q478" i="7"/>
  <c r="N479" i="7"/>
  <c r="O479" i="7"/>
  <c r="P479" i="7"/>
  <c r="Q479" i="7"/>
  <c r="N480" i="7"/>
  <c r="O480" i="7"/>
  <c r="P480" i="7"/>
  <c r="Q480" i="7"/>
  <c r="N481" i="7"/>
  <c r="O481" i="7"/>
  <c r="P481" i="7"/>
  <c r="Q481" i="7"/>
  <c r="N482" i="7"/>
  <c r="O482" i="7"/>
  <c r="P482" i="7"/>
  <c r="Q482" i="7"/>
  <c r="N483" i="7"/>
  <c r="O483" i="7"/>
  <c r="P483" i="7"/>
  <c r="Q483" i="7"/>
  <c r="N484" i="7"/>
  <c r="O484" i="7"/>
  <c r="P484" i="7"/>
  <c r="Q484" i="7"/>
  <c r="N485" i="7"/>
  <c r="O485" i="7"/>
  <c r="P485" i="7"/>
  <c r="Q485" i="7"/>
  <c r="N486" i="7"/>
  <c r="O486" i="7"/>
  <c r="P486" i="7"/>
  <c r="Q486" i="7"/>
  <c r="N487" i="7"/>
  <c r="O487" i="7"/>
  <c r="P487" i="7"/>
  <c r="Q487" i="7"/>
  <c r="N488" i="7"/>
  <c r="O488" i="7"/>
  <c r="P488" i="7"/>
  <c r="Q488" i="7"/>
  <c r="N489" i="7"/>
  <c r="O489" i="7"/>
  <c r="P489" i="7"/>
  <c r="Q489" i="7"/>
  <c r="N490" i="7"/>
  <c r="O490" i="7"/>
  <c r="P490" i="7"/>
  <c r="Q490" i="7"/>
  <c r="N491" i="7"/>
  <c r="O491" i="7"/>
  <c r="P491" i="7"/>
  <c r="Q491" i="7"/>
  <c r="N492" i="7"/>
  <c r="O492" i="7"/>
  <c r="P492" i="7"/>
  <c r="Q492" i="7"/>
  <c r="N493" i="7"/>
  <c r="O493" i="7"/>
  <c r="P493" i="7"/>
  <c r="Q493" i="7"/>
  <c r="N494" i="7"/>
  <c r="O494" i="7"/>
  <c r="P494" i="7"/>
  <c r="Q494" i="7"/>
  <c r="N495" i="7"/>
  <c r="O495" i="7"/>
  <c r="P495" i="7"/>
  <c r="Q495" i="7"/>
  <c r="N496" i="7"/>
  <c r="O496" i="7"/>
  <c r="P496" i="7"/>
  <c r="Q496" i="7"/>
  <c r="N497" i="7"/>
  <c r="O497" i="7"/>
  <c r="P497" i="7"/>
  <c r="Q497" i="7"/>
  <c r="N498" i="7"/>
  <c r="O498" i="7"/>
  <c r="P498" i="7"/>
  <c r="Q498" i="7"/>
  <c r="N499" i="7"/>
  <c r="O499" i="7"/>
  <c r="P499" i="7"/>
  <c r="Q499" i="7"/>
  <c r="N500" i="7"/>
  <c r="O500" i="7"/>
  <c r="P500" i="7"/>
  <c r="Q500" i="7"/>
  <c r="N501" i="7"/>
  <c r="O501" i="7"/>
  <c r="P501" i="7"/>
  <c r="Q501" i="7"/>
  <c r="N502" i="7"/>
  <c r="O502" i="7"/>
  <c r="P502" i="7"/>
  <c r="Q502" i="7"/>
  <c r="N503" i="7"/>
  <c r="O503" i="7"/>
  <c r="P503" i="7"/>
  <c r="Q503" i="7"/>
  <c r="N504" i="7"/>
  <c r="O504" i="7"/>
  <c r="P504" i="7"/>
  <c r="Q504" i="7"/>
  <c r="N505" i="7"/>
  <c r="O505" i="7"/>
  <c r="P505" i="7"/>
  <c r="Q505" i="7"/>
  <c r="N506" i="7"/>
  <c r="O506" i="7"/>
  <c r="P506" i="7"/>
  <c r="Q506" i="7"/>
  <c r="N507" i="7"/>
  <c r="O507" i="7"/>
  <c r="P507" i="7"/>
  <c r="Q507" i="7"/>
  <c r="N508" i="7"/>
  <c r="O508" i="7"/>
  <c r="P508" i="7"/>
  <c r="Q508" i="7"/>
  <c r="N509" i="7"/>
  <c r="O509" i="7"/>
  <c r="P509" i="7"/>
  <c r="Q509" i="7"/>
  <c r="N510" i="7"/>
  <c r="O510" i="7"/>
  <c r="P510" i="7"/>
  <c r="Q510" i="7"/>
  <c r="N511" i="7"/>
  <c r="O511" i="7"/>
  <c r="P511" i="7"/>
  <c r="Q511" i="7"/>
  <c r="N512" i="7"/>
  <c r="O512" i="7"/>
  <c r="P512" i="7"/>
  <c r="Q512" i="7"/>
  <c r="N513" i="7"/>
  <c r="O513" i="7"/>
  <c r="P513" i="7"/>
  <c r="Q513" i="7"/>
  <c r="N514" i="7"/>
  <c r="O514" i="7"/>
  <c r="P514" i="7"/>
  <c r="Q514" i="7"/>
  <c r="N515" i="7"/>
  <c r="O515" i="7"/>
  <c r="P515" i="7"/>
  <c r="Q515" i="7"/>
  <c r="N516" i="7"/>
  <c r="O516" i="7"/>
  <c r="P516" i="7"/>
  <c r="Q516" i="7"/>
  <c r="N517" i="7"/>
  <c r="O517" i="7"/>
  <c r="P517" i="7"/>
  <c r="Q517" i="7"/>
  <c r="N518" i="7"/>
  <c r="O518" i="7"/>
  <c r="P518" i="7"/>
  <c r="Q518" i="7"/>
  <c r="N519" i="7"/>
  <c r="O519" i="7"/>
  <c r="P519" i="7"/>
  <c r="Q519" i="7"/>
  <c r="N520" i="7"/>
  <c r="O520" i="7"/>
  <c r="P520" i="7"/>
  <c r="Q520" i="7"/>
  <c r="N521" i="7"/>
  <c r="O521" i="7"/>
  <c r="P521" i="7"/>
  <c r="Q521" i="7"/>
  <c r="N522" i="7"/>
  <c r="O522" i="7"/>
  <c r="P522" i="7"/>
  <c r="Q522" i="7"/>
  <c r="N523" i="7"/>
  <c r="O523" i="7"/>
  <c r="P523" i="7"/>
  <c r="Q523" i="7"/>
  <c r="N524" i="7"/>
  <c r="O524" i="7"/>
  <c r="P524" i="7"/>
  <c r="Q524" i="7"/>
  <c r="N525" i="7"/>
  <c r="O525" i="7"/>
  <c r="P525" i="7"/>
  <c r="Q525" i="7"/>
  <c r="N526" i="7"/>
  <c r="O526" i="7"/>
  <c r="P526" i="7"/>
  <c r="Q526" i="7"/>
  <c r="N527" i="7"/>
  <c r="O527" i="7"/>
  <c r="P527" i="7"/>
  <c r="Q527" i="7"/>
  <c r="N528" i="7"/>
  <c r="O528" i="7"/>
  <c r="P528" i="7"/>
  <c r="Q528" i="7"/>
  <c r="N529" i="7"/>
  <c r="O529" i="7"/>
  <c r="P529" i="7"/>
  <c r="Q529" i="7"/>
  <c r="N530" i="7"/>
  <c r="O530" i="7"/>
  <c r="P530" i="7"/>
  <c r="Q530" i="7"/>
  <c r="N531" i="7"/>
  <c r="O531" i="7"/>
  <c r="P531" i="7"/>
  <c r="Q531" i="7"/>
  <c r="N532" i="7"/>
  <c r="O532" i="7"/>
  <c r="P532" i="7"/>
  <c r="Q532" i="7"/>
  <c r="N533" i="7"/>
  <c r="O533" i="7"/>
  <c r="P533" i="7"/>
  <c r="Q533" i="7"/>
  <c r="N534" i="7"/>
  <c r="O534" i="7"/>
  <c r="P534" i="7"/>
  <c r="Q534" i="7"/>
  <c r="N535" i="7"/>
  <c r="O535" i="7"/>
  <c r="P535" i="7"/>
  <c r="Q535" i="7"/>
  <c r="N536" i="7"/>
  <c r="O536" i="7"/>
  <c r="P536" i="7"/>
  <c r="Q536" i="7"/>
  <c r="N537" i="7"/>
  <c r="O537" i="7"/>
  <c r="P537" i="7"/>
  <c r="Q537" i="7"/>
  <c r="N538" i="7"/>
  <c r="O538" i="7"/>
  <c r="P538" i="7"/>
  <c r="Q538" i="7"/>
  <c r="N539" i="7"/>
  <c r="O539" i="7"/>
  <c r="P539" i="7"/>
  <c r="Q539" i="7"/>
  <c r="N540" i="7"/>
  <c r="O540" i="7"/>
  <c r="P540" i="7"/>
  <c r="Q540" i="7"/>
  <c r="N541" i="7"/>
  <c r="O541" i="7"/>
  <c r="P541" i="7"/>
  <c r="Q541" i="7"/>
  <c r="N542" i="7"/>
  <c r="O542" i="7"/>
  <c r="P542" i="7"/>
  <c r="Q542" i="7"/>
  <c r="N543" i="7"/>
  <c r="O543" i="7"/>
  <c r="P543" i="7"/>
  <c r="Q543" i="7"/>
  <c r="N544" i="7"/>
  <c r="O544" i="7"/>
  <c r="P544" i="7"/>
  <c r="Q544" i="7"/>
  <c r="N545" i="7"/>
  <c r="O545" i="7"/>
  <c r="P545" i="7"/>
  <c r="Q545" i="7"/>
  <c r="N546" i="7"/>
  <c r="O546" i="7"/>
  <c r="P546" i="7"/>
  <c r="Q546" i="7"/>
  <c r="N547" i="7"/>
  <c r="O547" i="7"/>
  <c r="P547" i="7"/>
  <c r="Q547" i="7"/>
  <c r="N548" i="7"/>
  <c r="O548" i="7"/>
  <c r="P548" i="7"/>
  <c r="Q548" i="7"/>
  <c r="N549" i="7"/>
  <c r="O549" i="7"/>
  <c r="P549" i="7"/>
  <c r="Q549" i="7"/>
  <c r="N550" i="7"/>
  <c r="O550" i="7"/>
  <c r="P550" i="7"/>
  <c r="Q550" i="7"/>
  <c r="N551" i="7"/>
  <c r="O551" i="7"/>
  <c r="P551" i="7"/>
  <c r="Q551" i="7"/>
  <c r="N552" i="7"/>
  <c r="O552" i="7"/>
  <c r="P552" i="7"/>
  <c r="Q552" i="7"/>
  <c r="N553" i="7"/>
  <c r="O553" i="7"/>
  <c r="P553" i="7"/>
  <c r="Q553" i="7"/>
  <c r="N554" i="7"/>
  <c r="O554" i="7"/>
  <c r="P554" i="7"/>
  <c r="Q554" i="7"/>
  <c r="N555" i="7"/>
  <c r="O555" i="7"/>
  <c r="P555" i="7"/>
  <c r="Q555" i="7"/>
  <c r="N556" i="7"/>
  <c r="O556" i="7"/>
  <c r="P556" i="7"/>
  <c r="Q556" i="7"/>
  <c r="N557" i="7"/>
  <c r="O557" i="7"/>
  <c r="P557" i="7"/>
  <c r="Q557" i="7"/>
  <c r="N558" i="7"/>
  <c r="O558" i="7"/>
  <c r="P558" i="7"/>
  <c r="Q558" i="7"/>
  <c r="N559" i="7"/>
  <c r="O559" i="7"/>
  <c r="P559" i="7"/>
  <c r="Q559" i="7"/>
  <c r="N560" i="7"/>
  <c r="O560" i="7"/>
  <c r="P560" i="7"/>
  <c r="Q560" i="7"/>
  <c r="N561" i="7"/>
  <c r="O561" i="7"/>
  <c r="P561" i="7"/>
  <c r="Q561" i="7"/>
  <c r="N562" i="7"/>
  <c r="O562" i="7"/>
  <c r="P562" i="7"/>
  <c r="Q562" i="7"/>
  <c r="N563" i="7"/>
  <c r="O563" i="7"/>
  <c r="P563" i="7"/>
  <c r="Q563" i="7"/>
  <c r="N564" i="7"/>
  <c r="O564" i="7"/>
  <c r="P564" i="7"/>
  <c r="Q564" i="7"/>
  <c r="N565" i="7"/>
  <c r="O565" i="7"/>
  <c r="P565" i="7"/>
  <c r="Q565" i="7"/>
  <c r="N566" i="7"/>
  <c r="O566" i="7"/>
  <c r="P566" i="7"/>
  <c r="Q566" i="7"/>
  <c r="N567" i="7"/>
  <c r="O567" i="7"/>
  <c r="P567" i="7"/>
  <c r="Q567" i="7"/>
  <c r="N568" i="7"/>
  <c r="O568" i="7"/>
  <c r="P568" i="7"/>
  <c r="Q568" i="7"/>
  <c r="N569" i="7"/>
  <c r="O569" i="7"/>
  <c r="P569" i="7"/>
  <c r="Q569" i="7"/>
  <c r="N570" i="7"/>
  <c r="O570" i="7"/>
  <c r="P570" i="7"/>
  <c r="Q570" i="7"/>
  <c r="N571" i="7"/>
  <c r="O571" i="7"/>
  <c r="P571" i="7"/>
  <c r="Q571" i="7"/>
  <c r="N572" i="7"/>
  <c r="O572" i="7"/>
  <c r="P572" i="7"/>
  <c r="Q572" i="7"/>
  <c r="N573" i="7"/>
  <c r="O573" i="7"/>
  <c r="P573" i="7"/>
  <c r="Q573" i="7"/>
  <c r="N574" i="7"/>
  <c r="O574" i="7"/>
  <c r="P574" i="7"/>
  <c r="Q574" i="7"/>
  <c r="N575" i="7"/>
  <c r="O575" i="7"/>
  <c r="P575" i="7"/>
  <c r="Q575" i="7"/>
  <c r="N576" i="7"/>
  <c r="O576" i="7"/>
  <c r="P576" i="7"/>
  <c r="Q576" i="7"/>
  <c r="N577" i="7"/>
  <c r="O577" i="7"/>
  <c r="P577" i="7"/>
  <c r="Q577" i="7"/>
  <c r="N578" i="7"/>
  <c r="O578" i="7"/>
  <c r="P578" i="7"/>
  <c r="Q578" i="7"/>
  <c r="N579" i="7"/>
  <c r="O579" i="7"/>
  <c r="P579" i="7"/>
  <c r="Q579" i="7"/>
  <c r="N580" i="7"/>
  <c r="O580" i="7"/>
  <c r="P580" i="7"/>
  <c r="Q580" i="7"/>
  <c r="N581" i="7"/>
  <c r="O581" i="7"/>
  <c r="P581" i="7"/>
  <c r="Q581" i="7"/>
  <c r="N582" i="7"/>
  <c r="O582" i="7"/>
  <c r="P582" i="7"/>
  <c r="Q582" i="7"/>
  <c r="N583" i="7"/>
  <c r="O583" i="7"/>
  <c r="P583" i="7"/>
  <c r="Q583" i="7"/>
  <c r="N584" i="7"/>
  <c r="O584" i="7"/>
  <c r="P584" i="7"/>
  <c r="Q584" i="7"/>
  <c r="N585" i="7"/>
  <c r="O585" i="7"/>
  <c r="P585" i="7"/>
  <c r="Q585" i="7"/>
  <c r="N586" i="7"/>
  <c r="O586" i="7"/>
  <c r="P586" i="7"/>
  <c r="Q586" i="7"/>
  <c r="N587" i="7"/>
  <c r="O587" i="7"/>
  <c r="P587" i="7"/>
  <c r="Q587" i="7"/>
  <c r="N588" i="7"/>
  <c r="O588" i="7"/>
  <c r="P588" i="7"/>
  <c r="Q588" i="7"/>
  <c r="N589" i="7"/>
  <c r="O589" i="7"/>
  <c r="P589" i="7"/>
  <c r="Q589" i="7"/>
  <c r="N590" i="7"/>
  <c r="O590" i="7"/>
  <c r="P590" i="7"/>
  <c r="Q590" i="7"/>
  <c r="N591" i="7"/>
  <c r="O591" i="7"/>
  <c r="P591" i="7"/>
  <c r="Q591" i="7"/>
  <c r="N592" i="7"/>
  <c r="O592" i="7"/>
  <c r="P592" i="7"/>
  <c r="Q592" i="7"/>
  <c r="N593" i="7"/>
  <c r="O593" i="7"/>
  <c r="P593" i="7"/>
  <c r="Q593" i="7"/>
  <c r="N594" i="7"/>
  <c r="O594" i="7"/>
  <c r="P594" i="7"/>
  <c r="Q594" i="7"/>
  <c r="N595" i="7"/>
  <c r="O595" i="7"/>
  <c r="P595" i="7"/>
  <c r="Q595" i="7"/>
  <c r="N596" i="7"/>
  <c r="O596" i="7"/>
  <c r="P596" i="7"/>
  <c r="Q596" i="7"/>
  <c r="N597" i="7"/>
  <c r="O597" i="7"/>
  <c r="P597" i="7"/>
  <c r="Q597" i="7"/>
  <c r="N598" i="7"/>
  <c r="O598" i="7"/>
  <c r="P598" i="7"/>
  <c r="Q598" i="7"/>
  <c r="N599" i="7"/>
  <c r="O599" i="7"/>
  <c r="P599" i="7"/>
  <c r="Q599" i="7"/>
  <c r="N600" i="7"/>
  <c r="O600" i="7"/>
  <c r="P600" i="7"/>
  <c r="Q600" i="7"/>
  <c r="N601" i="7"/>
  <c r="O601" i="7"/>
  <c r="P601" i="7"/>
  <c r="Q601" i="7"/>
  <c r="N602" i="7"/>
  <c r="O602" i="7"/>
  <c r="P602" i="7"/>
  <c r="Q602" i="7"/>
  <c r="N603" i="7"/>
  <c r="O603" i="7"/>
  <c r="P603" i="7"/>
  <c r="Q603" i="7"/>
  <c r="N604" i="7"/>
  <c r="O604" i="7"/>
  <c r="P604" i="7"/>
  <c r="Q604" i="7"/>
  <c r="N605" i="7"/>
  <c r="O605" i="7"/>
  <c r="P605" i="7"/>
  <c r="Q605" i="7"/>
  <c r="N606" i="7"/>
  <c r="O606" i="7"/>
  <c r="P606" i="7"/>
  <c r="Q606" i="7"/>
  <c r="N607" i="7"/>
  <c r="O607" i="7"/>
  <c r="P607" i="7"/>
  <c r="Q607" i="7"/>
  <c r="N608" i="7"/>
  <c r="O608" i="7"/>
  <c r="P608" i="7"/>
  <c r="Q608" i="7"/>
  <c r="N609" i="7"/>
  <c r="O609" i="7"/>
  <c r="P609" i="7"/>
  <c r="Q609" i="7"/>
  <c r="N610" i="7"/>
  <c r="O610" i="7"/>
  <c r="P610" i="7"/>
  <c r="Q610" i="7"/>
  <c r="N611" i="7"/>
  <c r="O611" i="7"/>
  <c r="P611" i="7"/>
  <c r="Q611" i="7"/>
  <c r="N612" i="7"/>
  <c r="O612" i="7"/>
  <c r="P612" i="7"/>
  <c r="Q612" i="7"/>
  <c r="N613" i="7"/>
  <c r="O613" i="7"/>
  <c r="P613" i="7"/>
  <c r="Q613" i="7"/>
  <c r="N614" i="7"/>
  <c r="O614" i="7"/>
  <c r="P614" i="7"/>
  <c r="Q614" i="7"/>
  <c r="N615" i="7"/>
  <c r="O615" i="7"/>
  <c r="P615" i="7"/>
  <c r="Q615" i="7"/>
  <c r="N616" i="7"/>
  <c r="O616" i="7"/>
  <c r="P616" i="7"/>
  <c r="Q616" i="7"/>
  <c r="N617" i="7"/>
  <c r="O617" i="7"/>
  <c r="P617" i="7"/>
  <c r="Q617" i="7"/>
  <c r="N618" i="7"/>
  <c r="O618" i="7"/>
  <c r="P618" i="7"/>
  <c r="Q618" i="7"/>
  <c r="N619" i="7"/>
  <c r="O619" i="7"/>
  <c r="P619" i="7"/>
  <c r="Q619" i="7"/>
  <c r="N620" i="7"/>
  <c r="O620" i="7"/>
  <c r="P620" i="7"/>
  <c r="Q620" i="7"/>
  <c r="N621" i="7"/>
  <c r="O621" i="7"/>
  <c r="P621" i="7"/>
  <c r="Q621" i="7"/>
  <c r="N622" i="7"/>
  <c r="O622" i="7"/>
  <c r="P622" i="7"/>
  <c r="Q622" i="7"/>
  <c r="N623" i="7"/>
  <c r="O623" i="7"/>
  <c r="P623" i="7"/>
  <c r="Q623" i="7"/>
  <c r="N624" i="7"/>
  <c r="O624" i="7"/>
  <c r="P624" i="7"/>
  <c r="Q624" i="7"/>
  <c r="N625" i="7"/>
  <c r="O625" i="7"/>
  <c r="P625" i="7"/>
  <c r="Q625" i="7"/>
  <c r="N626" i="7"/>
  <c r="O626" i="7"/>
  <c r="P626" i="7"/>
  <c r="Q626" i="7"/>
  <c r="N627" i="7"/>
  <c r="O627" i="7"/>
  <c r="P627" i="7"/>
  <c r="Q627" i="7"/>
  <c r="N628" i="7"/>
  <c r="O628" i="7"/>
  <c r="P628" i="7"/>
  <c r="Q628" i="7"/>
  <c r="N629" i="7"/>
  <c r="O629" i="7"/>
  <c r="P629" i="7"/>
  <c r="Q629" i="7"/>
  <c r="N630" i="7"/>
  <c r="O630" i="7"/>
  <c r="P630" i="7"/>
  <c r="Q630" i="7"/>
  <c r="N631" i="7"/>
  <c r="O631" i="7"/>
  <c r="P631" i="7"/>
  <c r="Q631" i="7"/>
  <c r="N632" i="7"/>
  <c r="O632" i="7"/>
  <c r="P632" i="7"/>
  <c r="Q632" i="7"/>
  <c r="N633" i="7"/>
  <c r="O633" i="7"/>
  <c r="P633" i="7"/>
  <c r="Q633" i="7"/>
  <c r="N634" i="7"/>
  <c r="O634" i="7"/>
  <c r="P634" i="7"/>
  <c r="Q634" i="7"/>
  <c r="N635" i="7"/>
  <c r="O635" i="7"/>
  <c r="P635" i="7"/>
  <c r="Q635" i="7"/>
  <c r="N636" i="7"/>
  <c r="O636" i="7"/>
  <c r="P636" i="7"/>
  <c r="Q636" i="7"/>
  <c r="N637" i="7"/>
  <c r="O637" i="7"/>
  <c r="P637" i="7"/>
  <c r="Q637" i="7"/>
  <c r="N638" i="7"/>
  <c r="O638" i="7"/>
  <c r="P638" i="7"/>
  <c r="Q638" i="7"/>
  <c r="N639" i="7"/>
  <c r="O639" i="7"/>
  <c r="P639" i="7"/>
  <c r="Q639" i="7"/>
  <c r="N640" i="7"/>
  <c r="O640" i="7"/>
  <c r="P640" i="7"/>
  <c r="Q640" i="7"/>
  <c r="N641" i="7"/>
  <c r="O641" i="7"/>
  <c r="P641" i="7"/>
  <c r="Q641" i="7"/>
  <c r="N642" i="7"/>
  <c r="O642" i="7"/>
  <c r="P642" i="7"/>
  <c r="Q642" i="7"/>
  <c r="N643" i="7"/>
  <c r="O643" i="7"/>
  <c r="P643" i="7"/>
  <c r="Q643" i="7"/>
  <c r="N644" i="7"/>
  <c r="O644" i="7"/>
  <c r="P644" i="7"/>
  <c r="Q644" i="7"/>
  <c r="N645" i="7"/>
  <c r="O645" i="7"/>
  <c r="P645" i="7"/>
  <c r="Q645" i="7"/>
  <c r="N646" i="7"/>
  <c r="O646" i="7"/>
  <c r="P646" i="7"/>
  <c r="Q646" i="7"/>
  <c r="N647" i="7"/>
  <c r="O647" i="7"/>
  <c r="P647" i="7"/>
  <c r="Q647" i="7"/>
  <c r="N648" i="7"/>
  <c r="O648" i="7"/>
  <c r="P648" i="7"/>
  <c r="Q648" i="7"/>
  <c r="N649" i="7"/>
  <c r="O649" i="7"/>
  <c r="P649" i="7"/>
  <c r="Q649" i="7"/>
  <c r="N650" i="7"/>
  <c r="O650" i="7"/>
  <c r="P650" i="7"/>
  <c r="Q650" i="7"/>
  <c r="N651" i="7"/>
  <c r="O651" i="7"/>
  <c r="P651" i="7"/>
  <c r="Q651" i="7"/>
  <c r="N652" i="7"/>
  <c r="O652" i="7"/>
  <c r="P652" i="7"/>
  <c r="Q652" i="7"/>
  <c r="N653" i="7"/>
  <c r="O653" i="7"/>
  <c r="P653" i="7"/>
  <c r="Q653" i="7"/>
  <c r="N654" i="7"/>
  <c r="O654" i="7"/>
  <c r="P654" i="7"/>
  <c r="Q654" i="7"/>
  <c r="N655" i="7"/>
  <c r="O655" i="7"/>
  <c r="P655" i="7"/>
  <c r="Q655" i="7"/>
  <c r="N656" i="7"/>
  <c r="O656" i="7"/>
  <c r="P656" i="7"/>
  <c r="Q656" i="7"/>
  <c r="N657" i="7"/>
  <c r="O657" i="7"/>
  <c r="P657" i="7"/>
  <c r="Q657" i="7"/>
  <c r="N658" i="7"/>
  <c r="O658" i="7"/>
  <c r="P658" i="7"/>
  <c r="Q658" i="7"/>
  <c r="N659" i="7"/>
  <c r="O659" i="7"/>
  <c r="P659" i="7"/>
  <c r="Q659" i="7"/>
  <c r="N660" i="7"/>
  <c r="O660" i="7"/>
  <c r="P660" i="7"/>
  <c r="Q660" i="7"/>
  <c r="N661" i="7"/>
  <c r="O661" i="7"/>
  <c r="P661" i="7"/>
  <c r="Q661" i="7"/>
  <c r="N662" i="7"/>
  <c r="O662" i="7"/>
  <c r="P662" i="7"/>
  <c r="Q662" i="7"/>
  <c r="N663" i="7"/>
  <c r="O663" i="7"/>
  <c r="P663" i="7"/>
  <c r="Q663" i="7"/>
  <c r="N664" i="7"/>
  <c r="O664" i="7"/>
  <c r="P664" i="7"/>
  <c r="Q664" i="7"/>
  <c r="N665" i="7"/>
  <c r="O665" i="7"/>
  <c r="P665" i="7"/>
  <c r="Q665" i="7"/>
  <c r="N666" i="7"/>
  <c r="O666" i="7"/>
  <c r="P666" i="7"/>
  <c r="Q666" i="7"/>
  <c r="N667" i="7"/>
  <c r="O667" i="7"/>
  <c r="P667" i="7"/>
  <c r="Q667" i="7"/>
  <c r="N668" i="7"/>
  <c r="O668" i="7"/>
  <c r="P668" i="7"/>
  <c r="Q668" i="7"/>
  <c r="N669" i="7"/>
  <c r="O669" i="7"/>
  <c r="P669" i="7"/>
  <c r="Q669" i="7"/>
  <c r="N670" i="7"/>
  <c r="O670" i="7"/>
  <c r="P670" i="7"/>
  <c r="Q670" i="7"/>
  <c r="N671" i="7"/>
  <c r="O671" i="7"/>
  <c r="P671" i="7"/>
  <c r="Q671" i="7"/>
  <c r="N672" i="7"/>
  <c r="O672" i="7"/>
  <c r="P672" i="7"/>
  <c r="Q672" i="7"/>
  <c r="N673" i="7"/>
  <c r="O673" i="7"/>
  <c r="P673" i="7"/>
  <c r="Q673" i="7"/>
  <c r="N674" i="7"/>
  <c r="O674" i="7"/>
  <c r="P674" i="7"/>
  <c r="Q674" i="7"/>
  <c r="N675" i="7"/>
  <c r="O675" i="7"/>
  <c r="P675" i="7"/>
  <c r="Q675" i="7"/>
  <c r="N676" i="7"/>
  <c r="O676" i="7"/>
  <c r="P676" i="7"/>
  <c r="Q676" i="7"/>
  <c r="N677" i="7"/>
  <c r="O677" i="7"/>
  <c r="P677" i="7"/>
  <c r="Q677" i="7"/>
  <c r="N678" i="7"/>
  <c r="O678" i="7"/>
  <c r="P678" i="7"/>
  <c r="Q678" i="7"/>
  <c r="N679" i="7"/>
  <c r="O679" i="7"/>
  <c r="P679" i="7"/>
  <c r="Q679" i="7"/>
  <c r="N680" i="7"/>
  <c r="O680" i="7"/>
  <c r="P680" i="7"/>
  <c r="Q680" i="7"/>
  <c r="N681" i="7"/>
  <c r="O681" i="7"/>
  <c r="P681" i="7"/>
  <c r="Q681" i="7"/>
  <c r="N682" i="7"/>
  <c r="O682" i="7"/>
  <c r="P682" i="7"/>
  <c r="Q682" i="7"/>
  <c r="N683" i="7"/>
  <c r="O683" i="7"/>
  <c r="P683" i="7"/>
  <c r="Q683" i="7"/>
  <c r="N684" i="7"/>
  <c r="O684" i="7"/>
  <c r="P684" i="7"/>
  <c r="Q684" i="7"/>
  <c r="N685" i="7"/>
  <c r="O685" i="7"/>
  <c r="P685" i="7"/>
  <c r="Q685" i="7"/>
  <c r="N686" i="7"/>
  <c r="O686" i="7"/>
  <c r="P686" i="7"/>
  <c r="Q686" i="7"/>
  <c r="N687" i="7"/>
  <c r="O687" i="7"/>
  <c r="P687" i="7"/>
  <c r="Q687" i="7"/>
  <c r="N688" i="7"/>
  <c r="O688" i="7"/>
  <c r="P688" i="7"/>
  <c r="Q688" i="7"/>
  <c r="N689" i="7"/>
  <c r="O689" i="7"/>
  <c r="P689" i="7"/>
  <c r="Q689" i="7"/>
  <c r="N690" i="7"/>
  <c r="O690" i="7"/>
  <c r="P690" i="7"/>
  <c r="Q690" i="7"/>
  <c r="N691" i="7"/>
  <c r="O691" i="7"/>
  <c r="P691" i="7"/>
  <c r="Q691" i="7"/>
  <c r="N692" i="7"/>
  <c r="O692" i="7"/>
  <c r="P692" i="7"/>
  <c r="Q692" i="7"/>
  <c r="N693" i="7"/>
  <c r="O693" i="7"/>
  <c r="P693" i="7"/>
  <c r="Q693" i="7"/>
  <c r="N694" i="7"/>
  <c r="O694" i="7"/>
  <c r="P694" i="7"/>
  <c r="Q694" i="7"/>
  <c r="N695" i="7"/>
  <c r="O695" i="7"/>
  <c r="P695" i="7"/>
  <c r="Q695" i="7"/>
  <c r="N696" i="7"/>
  <c r="O696" i="7"/>
  <c r="P696" i="7"/>
  <c r="Q696" i="7"/>
  <c r="N697" i="7"/>
  <c r="O697" i="7"/>
  <c r="P697" i="7"/>
  <c r="Q697" i="7"/>
  <c r="N698" i="7"/>
  <c r="O698" i="7"/>
  <c r="P698" i="7"/>
  <c r="Q698" i="7"/>
  <c r="N699" i="7"/>
  <c r="O699" i="7"/>
  <c r="P699" i="7"/>
  <c r="Q699" i="7"/>
  <c r="N700" i="7"/>
  <c r="O700" i="7"/>
  <c r="P700" i="7"/>
  <c r="Q700" i="7"/>
  <c r="N701" i="7"/>
  <c r="O701" i="7"/>
  <c r="P701" i="7"/>
  <c r="Q701" i="7"/>
  <c r="N702" i="7"/>
  <c r="O702" i="7"/>
  <c r="P702" i="7"/>
  <c r="Q702" i="7"/>
  <c r="N703" i="7"/>
  <c r="O703" i="7"/>
  <c r="P703" i="7"/>
  <c r="Q703" i="7"/>
  <c r="N704" i="7"/>
  <c r="O704" i="7"/>
  <c r="P704" i="7"/>
  <c r="Q704" i="7"/>
  <c r="N705" i="7"/>
  <c r="O705" i="7"/>
  <c r="P705" i="7"/>
  <c r="Q705" i="7"/>
  <c r="N706" i="7"/>
  <c r="O706" i="7"/>
  <c r="P706" i="7"/>
  <c r="Q706" i="7"/>
  <c r="N707" i="7"/>
  <c r="O707" i="7"/>
  <c r="P707" i="7"/>
  <c r="Q707" i="7"/>
  <c r="N708" i="7"/>
  <c r="O708" i="7"/>
  <c r="P708" i="7"/>
  <c r="Q708" i="7"/>
  <c r="N709" i="7"/>
  <c r="O709" i="7"/>
  <c r="P709" i="7"/>
  <c r="Q709" i="7"/>
  <c r="N710" i="7"/>
  <c r="O710" i="7"/>
  <c r="P710" i="7"/>
  <c r="Q710" i="7"/>
  <c r="N711" i="7"/>
  <c r="O711" i="7"/>
  <c r="P711" i="7"/>
  <c r="Q711" i="7"/>
  <c r="N712" i="7"/>
  <c r="O712" i="7"/>
  <c r="P712" i="7"/>
  <c r="Q712" i="7"/>
  <c r="N713" i="7"/>
  <c r="O713" i="7"/>
  <c r="P713" i="7"/>
  <c r="Q713" i="7"/>
  <c r="N714" i="7"/>
  <c r="O714" i="7"/>
  <c r="P714" i="7"/>
  <c r="Q714" i="7"/>
  <c r="N715" i="7"/>
  <c r="O715" i="7"/>
  <c r="P715" i="7"/>
  <c r="Q715" i="7"/>
  <c r="N716" i="7"/>
  <c r="O716" i="7"/>
  <c r="P716" i="7"/>
  <c r="Q716" i="7"/>
  <c r="N717" i="7"/>
  <c r="O717" i="7"/>
  <c r="P717" i="7"/>
  <c r="Q717" i="7"/>
  <c r="N718" i="7"/>
  <c r="O718" i="7"/>
  <c r="P718" i="7"/>
  <c r="Q718" i="7"/>
  <c r="N719" i="7"/>
  <c r="O719" i="7"/>
  <c r="P719" i="7"/>
  <c r="Q719" i="7"/>
  <c r="N720" i="7"/>
  <c r="O720" i="7"/>
  <c r="P720" i="7"/>
  <c r="Q720" i="7"/>
  <c r="N721" i="7"/>
  <c r="O721" i="7"/>
  <c r="P721" i="7"/>
  <c r="Q721" i="7"/>
  <c r="N722" i="7"/>
  <c r="O722" i="7"/>
  <c r="P722" i="7"/>
  <c r="Q722" i="7"/>
  <c r="N723" i="7"/>
  <c r="O723" i="7"/>
  <c r="P723" i="7"/>
  <c r="Q723" i="7"/>
  <c r="N724" i="7"/>
  <c r="O724" i="7"/>
  <c r="P724" i="7"/>
  <c r="Q724" i="7"/>
  <c r="N725" i="7"/>
  <c r="O725" i="7"/>
  <c r="P725" i="7"/>
  <c r="Q725" i="7"/>
  <c r="N726" i="7"/>
  <c r="O726" i="7"/>
  <c r="P726" i="7"/>
  <c r="Q726" i="7"/>
  <c r="N727" i="7"/>
  <c r="O727" i="7"/>
  <c r="P727" i="7"/>
  <c r="Q727" i="7"/>
  <c r="N728" i="7"/>
  <c r="O728" i="7"/>
  <c r="P728" i="7"/>
  <c r="Q728" i="7"/>
  <c r="N729" i="7"/>
  <c r="O729" i="7"/>
  <c r="P729" i="7"/>
  <c r="Q729" i="7"/>
  <c r="N730" i="7"/>
  <c r="O730" i="7"/>
  <c r="P730" i="7"/>
  <c r="Q730" i="7"/>
  <c r="N731" i="7"/>
  <c r="O731" i="7"/>
  <c r="P731" i="7"/>
  <c r="Q731" i="7"/>
  <c r="N732" i="7"/>
  <c r="O732" i="7"/>
  <c r="P732" i="7"/>
  <c r="Q732" i="7"/>
  <c r="N733" i="7"/>
  <c r="O733" i="7"/>
  <c r="P733" i="7"/>
  <c r="Q733" i="7"/>
  <c r="N734" i="7"/>
  <c r="O734" i="7"/>
  <c r="P734" i="7"/>
  <c r="Q734" i="7"/>
  <c r="N735" i="7"/>
  <c r="O735" i="7"/>
  <c r="P735" i="7"/>
  <c r="Q735" i="7"/>
  <c r="N736" i="7"/>
  <c r="O736" i="7"/>
  <c r="P736" i="7"/>
  <c r="Q736" i="7"/>
  <c r="N737" i="7"/>
  <c r="O737" i="7"/>
  <c r="P737" i="7"/>
  <c r="Q737" i="7"/>
  <c r="N738" i="7"/>
  <c r="O738" i="7"/>
  <c r="P738" i="7"/>
  <c r="Q738" i="7"/>
  <c r="N739" i="7"/>
  <c r="O739" i="7"/>
  <c r="P739" i="7"/>
  <c r="Q739" i="7"/>
  <c r="N740" i="7"/>
  <c r="O740" i="7"/>
  <c r="P740" i="7"/>
  <c r="Q740" i="7"/>
  <c r="N741" i="7"/>
  <c r="O741" i="7"/>
  <c r="P741" i="7"/>
  <c r="Q741" i="7"/>
  <c r="N742" i="7"/>
  <c r="O742" i="7"/>
  <c r="P742" i="7"/>
  <c r="Q742" i="7"/>
  <c r="N743" i="7"/>
  <c r="O743" i="7"/>
  <c r="P743" i="7"/>
  <c r="Q743" i="7"/>
  <c r="N744" i="7"/>
  <c r="O744" i="7"/>
  <c r="P744" i="7"/>
  <c r="Q744" i="7"/>
  <c r="N745" i="7"/>
  <c r="O745" i="7"/>
  <c r="P745" i="7"/>
  <c r="Q745" i="7"/>
  <c r="N746" i="7"/>
  <c r="O746" i="7"/>
  <c r="P746" i="7"/>
  <c r="Q746" i="7"/>
  <c r="N747" i="7"/>
  <c r="O747" i="7"/>
  <c r="P747" i="7"/>
  <c r="Q747" i="7"/>
  <c r="N748" i="7"/>
  <c r="O748" i="7"/>
  <c r="P748" i="7"/>
  <c r="Q748" i="7"/>
  <c r="N749" i="7"/>
  <c r="O749" i="7"/>
  <c r="P749" i="7"/>
  <c r="Q749" i="7"/>
  <c r="N750" i="7"/>
  <c r="O750" i="7"/>
  <c r="P750" i="7"/>
  <c r="Q750" i="7"/>
  <c r="N751" i="7"/>
  <c r="O751" i="7"/>
  <c r="P751" i="7"/>
  <c r="Q751" i="7"/>
  <c r="N752" i="7"/>
  <c r="O752" i="7"/>
  <c r="P752" i="7"/>
  <c r="Q752" i="7"/>
  <c r="N753" i="7"/>
  <c r="O753" i="7"/>
  <c r="P753" i="7"/>
  <c r="Q753" i="7"/>
  <c r="N754" i="7"/>
  <c r="O754" i="7"/>
  <c r="P754" i="7"/>
  <c r="Q754" i="7"/>
  <c r="N755" i="7"/>
  <c r="O755" i="7"/>
  <c r="P755" i="7"/>
  <c r="Q755" i="7"/>
  <c r="N756" i="7"/>
  <c r="O756" i="7"/>
  <c r="P756" i="7"/>
  <c r="Q756" i="7"/>
  <c r="N757" i="7"/>
  <c r="O757" i="7"/>
  <c r="P757" i="7"/>
  <c r="Q757" i="7"/>
  <c r="N758" i="7"/>
  <c r="O758" i="7"/>
  <c r="P758" i="7"/>
  <c r="Q758" i="7"/>
  <c r="N759" i="7"/>
  <c r="O759" i="7"/>
  <c r="P759" i="7"/>
  <c r="Q759" i="7"/>
  <c r="N760" i="7"/>
  <c r="O760" i="7"/>
  <c r="P760" i="7"/>
  <c r="Q760" i="7"/>
  <c r="N761" i="7"/>
  <c r="O761" i="7"/>
  <c r="P761" i="7"/>
  <c r="Q761" i="7"/>
  <c r="N762" i="7"/>
  <c r="O762" i="7"/>
  <c r="P762" i="7"/>
  <c r="Q762" i="7"/>
  <c r="N763" i="7"/>
  <c r="O763" i="7"/>
  <c r="P763" i="7"/>
  <c r="Q763" i="7"/>
  <c r="N764" i="7"/>
  <c r="O764" i="7"/>
  <c r="P764" i="7"/>
  <c r="Q764" i="7"/>
  <c r="N765" i="7"/>
  <c r="O765" i="7"/>
  <c r="P765" i="7"/>
  <c r="Q765" i="7"/>
  <c r="N766" i="7"/>
  <c r="O766" i="7"/>
  <c r="P766" i="7"/>
  <c r="Q766" i="7"/>
  <c r="N767" i="7"/>
  <c r="O767" i="7"/>
  <c r="P767" i="7"/>
  <c r="Q767" i="7"/>
  <c r="N768" i="7"/>
  <c r="O768" i="7"/>
  <c r="P768" i="7"/>
  <c r="Q768" i="7"/>
  <c r="N769" i="7"/>
  <c r="O769" i="7"/>
  <c r="P769" i="7"/>
  <c r="Q769" i="7"/>
  <c r="N770" i="7"/>
  <c r="O770" i="7"/>
  <c r="P770" i="7"/>
  <c r="Q770" i="7"/>
  <c r="N771" i="7"/>
  <c r="O771" i="7"/>
  <c r="P771" i="7"/>
  <c r="Q771" i="7"/>
  <c r="N772" i="7"/>
  <c r="O772" i="7"/>
  <c r="P772" i="7"/>
  <c r="Q772" i="7"/>
  <c r="N773" i="7"/>
  <c r="O773" i="7"/>
  <c r="P773" i="7"/>
  <c r="Q773" i="7"/>
  <c r="N774" i="7"/>
  <c r="O774" i="7"/>
  <c r="P774" i="7"/>
  <c r="Q774" i="7"/>
  <c r="N775" i="7"/>
  <c r="O775" i="7"/>
  <c r="P775" i="7"/>
  <c r="Q775" i="7"/>
  <c r="N776" i="7"/>
  <c r="O776" i="7"/>
  <c r="P776" i="7"/>
  <c r="Q776" i="7"/>
  <c r="N777" i="7"/>
  <c r="O777" i="7"/>
  <c r="P777" i="7"/>
  <c r="Q777" i="7"/>
  <c r="N778" i="7"/>
  <c r="O778" i="7"/>
  <c r="P778" i="7"/>
  <c r="Q778" i="7"/>
  <c r="N779" i="7"/>
  <c r="O779" i="7"/>
  <c r="P779" i="7"/>
  <c r="Q779" i="7"/>
  <c r="N780" i="7"/>
  <c r="O780" i="7"/>
  <c r="P780" i="7"/>
  <c r="Q780" i="7"/>
  <c r="N781" i="7"/>
  <c r="O781" i="7"/>
  <c r="P781" i="7"/>
  <c r="Q781" i="7"/>
  <c r="N782" i="7"/>
  <c r="O782" i="7"/>
  <c r="P782" i="7"/>
  <c r="Q782" i="7"/>
  <c r="N783" i="7"/>
  <c r="O783" i="7"/>
  <c r="P783" i="7"/>
  <c r="Q783" i="7"/>
  <c r="N784" i="7"/>
  <c r="O784" i="7"/>
  <c r="P784" i="7"/>
  <c r="Q784" i="7"/>
  <c r="N785" i="7"/>
  <c r="O785" i="7"/>
  <c r="P785" i="7"/>
  <c r="Q785" i="7"/>
  <c r="N786" i="7"/>
  <c r="O786" i="7"/>
  <c r="P786" i="7"/>
  <c r="Q786" i="7"/>
  <c r="N787" i="7"/>
  <c r="O787" i="7"/>
  <c r="P787" i="7"/>
  <c r="Q787" i="7"/>
  <c r="N788" i="7"/>
  <c r="O788" i="7"/>
  <c r="P788" i="7"/>
  <c r="Q788" i="7"/>
  <c r="N789" i="7"/>
  <c r="O789" i="7"/>
  <c r="P789" i="7"/>
  <c r="Q789" i="7"/>
  <c r="N790" i="7"/>
  <c r="O790" i="7"/>
  <c r="P790" i="7"/>
  <c r="Q790" i="7"/>
  <c r="N791" i="7"/>
  <c r="O791" i="7"/>
  <c r="P791" i="7"/>
  <c r="Q791" i="7"/>
  <c r="N792" i="7"/>
  <c r="O792" i="7"/>
  <c r="P792" i="7"/>
  <c r="Q792" i="7"/>
  <c r="N793" i="7"/>
  <c r="O793" i="7"/>
  <c r="P793" i="7"/>
  <c r="Q793" i="7"/>
  <c r="N794" i="7"/>
  <c r="O794" i="7"/>
  <c r="P794" i="7"/>
  <c r="Q794" i="7"/>
  <c r="N795" i="7"/>
  <c r="O795" i="7"/>
  <c r="P795" i="7"/>
  <c r="Q795" i="7"/>
  <c r="N796" i="7"/>
  <c r="O796" i="7"/>
  <c r="P796" i="7"/>
  <c r="Q796" i="7"/>
  <c r="N797" i="7"/>
  <c r="O797" i="7"/>
  <c r="P797" i="7"/>
  <c r="Q797" i="7"/>
  <c r="N798" i="7"/>
  <c r="O798" i="7"/>
  <c r="P798" i="7"/>
  <c r="Q798" i="7"/>
  <c r="N799" i="7"/>
  <c r="O799" i="7"/>
  <c r="P799" i="7"/>
  <c r="Q799" i="7"/>
  <c r="N800" i="7"/>
  <c r="O800" i="7"/>
  <c r="P800" i="7"/>
  <c r="Q800" i="7"/>
  <c r="N801" i="7"/>
  <c r="O801" i="7"/>
  <c r="P801" i="7"/>
  <c r="Q801" i="7"/>
  <c r="N802" i="7"/>
  <c r="O802" i="7"/>
  <c r="P802" i="7"/>
  <c r="Q802" i="7"/>
  <c r="N803" i="7"/>
  <c r="O803" i="7"/>
  <c r="P803" i="7"/>
  <c r="Q803" i="7"/>
  <c r="N804" i="7"/>
  <c r="O804" i="7"/>
  <c r="P804" i="7"/>
  <c r="Q804" i="7"/>
  <c r="N805" i="7"/>
  <c r="O805" i="7"/>
  <c r="P805" i="7"/>
  <c r="Q805" i="7"/>
  <c r="N806" i="7"/>
  <c r="O806" i="7"/>
  <c r="P806" i="7"/>
  <c r="Q806" i="7"/>
  <c r="N807" i="7"/>
  <c r="O807" i="7"/>
  <c r="P807" i="7"/>
  <c r="Q807" i="7"/>
  <c r="N808" i="7"/>
  <c r="O808" i="7"/>
  <c r="P808" i="7"/>
  <c r="Q808" i="7"/>
  <c r="N809" i="7"/>
  <c r="O809" i="7"/>
  <c r="P809" i="7"/>
  <c r="Q809" i="7"/>
  <c r="N810" i="7"/>
  <c r="O810" i="7"/>
  <c r="P810" i="7"/>
  <c r="Q810" i="7"/>
  <c r="N811" i="7"/>
  <c r="O811" i="7"/>
  <c r="P811" i="7"/>
  <c r="Q811" i="7"/>
  <c r="N812" i="7"/>
  <c r="O812" i="7"/>
  <c r="P812" i="7"/>
  <c r="Q812" i="7"/>
  <c r="N813" i="7"/>
  <c r="O813" i="7"/>
  <c r="P813" i="7"/>
  <c r="Q813" i="7"/>
  <c r="N814" i="7"/>
  <c r="O814" i="7"/>
  <c r="P814" i="7"/>
  <c r="Q814" i="7"/>
  <c r="N815" i="7"/>
  <c r="O815" i="7"/>
  <c r="P815" i="7"/>
  <c r="Q815" i="7"/>
  <c r="N816" i="7"/>
  <c r="O816" i="7"/>
  <c r="P816" i="7"/>
  <c r="Q816" i="7"/>
  <c r="N817" i="7"/>
  <c r="O817" i="7"/>
  <c r="P817" i="7"/>
  <c r="Q817" i="7"/>
  <c r="N818" i="7"/>
  <c r="O818" i="7"/>
  <c r="P818" i="7"/>
  <c r="Q818" i="7"/>
  <c r="N819" i="7"/>
  <c r="O819" i="7"/>
  <c r="P819" i="7"/>
  <c r="Q819" i="7"/>
  <c r="N820" i="7"/>
  <c r="O820" i="7"/>
  <c r="P820" i="7"/>
  <c r="Q820" i="7"/>
  <c r="N821" i="7"/>
  <c r="O821" i="7"/>
  <c r="P821" i="7"/>
  <c r="Q821" i="7"/>
  <c r="N822" i="7"/>
  <c r="O822" i="7"/>
  <c r="P822" i="7"/>
  <c r="Q822" i="7"/>
  <c r="N823" i="7"/>
  <c r="O823" i="7"/>
  <c r="P823" i="7"/>
  <c r="Q823" i="7"/>
  <c r="N824" i="7"/>
  <c r="O824" i="7"/>
  <c r="P824" i="7"/>
  <c r="Q824" i="7"/>
  <c r="N825" i="7"/>
  <c r="O825" i="7"/>
  <c r="P825" i="7"/>
  <c r="Q825" i="7"/>
  <c r="N826" i="7"/>
  <c r="O826" i="7"/>
  <c r="P826" i="7"/>
  <c r="Q826" i="7"/>
  <c r="N827" i="7"/>
  <c r="O827" i="7"/>
  <c r="P827" i="7"/>
  <c r="Q827" i="7"/>
  <c r="N828" i="7"/>
  <c r="O828" i="7"/>
  <c r="P828" i="7"/>
  <c r="Q828" i="7"/>
  <c r="N829" i="7"/>
  <c r="O829" i="7"/>
  <c r="P829" i="7"/>
  <c r="Q829" i="7"/>
  <c r="N830" i="7"/>
  <c r="O830" i="7"/>
  <c r="P830" i="7"/>
  <c r="Q830" i="7"/>
  <c r="N831" i="7"/>
  <c r="O831" i="7"/>
  <c r="P831" i="7"/>
  <c r="Q831" i="7"/>
  <c r="N832" i="7"/>
  <c r="O832" i="7"/>
  <c r="P832" i="7"/>
  <c r="Q832" i="7"/>
  <c r="N833" i="7"/>
  <c r="O833" i="7"/>
  <c r="P833" i="7"/>
  <c r="Q833" i="7"/>
  <c r="N834" i="7"/>
  <c r="O834" i="7"/>
  <c r="P834" i="7"/>
  <c r="Q834" i="7"/>
  <c r="N835" i="7"/>
  <c r="O835" i="7"/>
  <c r="P835" i="7"/>
  <c r="Q835" i="7"/>
  <c r="N836" i="7"/>
  <c r="O836" i="7"/>
  <c r="P836" i="7"/>
  <c r="Q836" i="7"/>
  <c r="N837" i="7"/>
  <c r="O837" i="7"/>
  <c r="P837" i="7"/>
  <c r="Q837" i="7"/>
  <c r="N838" i="7"/>
  <c r="O838" i="7"/>
  <c r="P838" i="7"/>
  <c r="Q838" i="7"/>
  <c r="N839" i="7"/>
  <c r="O839" i="7"/>
  <c r="P839" i="7"/>
  <c r="Q839" i="7"/>
  <c r="N840" i="7"/>
  <c r="O840" i="7"/>
  <c r="P840" i="7"/>
  <c r="Q840" i="7"/>
  <c r="N841" i="7"/>
  <c r="O841" i="7"/>
  <c r="P841" i="7"/>
  <c r="Q841" i="7"/>
  <c r="N842" i="7"/>
  <c r="O842" i="7"/>
  <c r="P842" i="7"/>
  <c r="Q842" i="7"/>
  <c r="N843" i="7"/>
  <c r="O843" i="7"/>
  <c r="P843" i="7"/>
  <c r="Q843" i="7"/>
  <c r="N844" i="7"/>
  <c r="O844" i="7"/>
  <c r="P844" i="7"/>
  <c r="Q844" i="7"/>
  <c r="N845" i="7"/>
  <c r="O845" i="7"/>
  <c r="P845" i="7"/>
  <c r="Q845" i="7"/>
  <c r="N846" i="7"/>
  <c r="O846" i="7"/>
  <c r="P846" i="7"/>
  <c r="Q846" i="7"/>
  <c r="N847" i="7"/>
  <c r="O847" i="7"/>
  <c r="P847" i="7"/>
  <c r="Q847" i="7"/>
  <c r="N848" i="7"/>
  <c r="O848" i="7"/>
  <c r="P848" i="7"/>
  <c r="Q848" i="7"/>
  <c r="N849" i="7"/>
  <c r="O849" i="7"/>
  <c r="P849" i="7"/>
  <c r="Q849" i="7"/>
  <c r="N850" i="7"/>
  <c r="O850" i="7"/>
  <c r="P850" i="7"/>
  <c r="Q850" i="7"/>
  <c r="N851" i="7"/>
  <c r="O851" i="7"/>
  <c r="P851" i="7"/>
  <c r="Q851" i="7"/>
  <c r="N852" i="7"/>
  <c r="O852" i="7"/>
  <c r="P852" i="7"/>
  <c r="Q852" i="7"/>
  <c r="N853" i="7"/>
  <c r="O853" i="7"/>
  <c r="P853" i="7"/>
  <c r="Q853" i="7"/>
  <c r="N854" i="7"/>
  <c r="O854" i="7"/>
  <c r="P854" i="7"/>
  <c r="Q854" i="7"/>
  <c r="N855" i="7"/>
  <c r="O855" i="7"/>
  <c r="P855" i="7"/>
  <c r="Q855" i="7"/>
  <c r="N856" i="7"/>
  <c r="O856" i="7"/>
  <c r="P856" i="7"/>
  <c r="Q856" i="7"/>
  <c r="N857" i="7"/>
  <c r="O857" i="7"/>
  <c r="P857" i="7"/>
  <c r="Q857" i="7"/>
  <c r="N858" i="7"/>
  <c r="O858" i="7"/>
  <c r="P858" i="7"/>
  <c r="Q858" i="7"/>
  <c r="N859" i="7"/>
  <c r="O859" i="7"/>
  <c r="P859" i="7"/>
  <c r="Q859" i="7"/>
  <c r="N860" i="7"/>
  <c r="O860" i="7"/>
  <c r="P860" i="7"/>
  <c r="Q860" i="7"/>
  <c r="N861" i="7"/>
  <c r="O861" i="7"/>
  <c r="P861" i="7"/>
  <c r="Q861" i="7"/>
  <c r="N862" i="7"/>
  <c r="O862" i="7"/>
  <c r="P862" i="7"/>
  <c r="Q862" i="7"/>
  <c r="N863" i="7"/>
  <c r="O863" i="7"/>
  <c r="P863" i="7"/>
  <c r="Q863" i="7"/>
  <c r="N864" i="7"/>
  <c r="O864" i="7"/>
  <c r="P864" i="7"/>
  <c r="Q864" i="7"/>
  <c r="N865" i="7"/>
  <c r="O865" i="7"/>
  <c r="P865" i="7"/>
  <c r="Q865" i="7"/>
  <c r="N866" i="7"/>
  <c r="O866" i="7"/>
  <c r="P866" i="7"/>
  <c r="Q866" i="7"/>
  <c r="N867" i="7"/>
  <c r="O867" i="7"/>
  <c r="P867" i="7"/>
  <c r="Q867" i="7"/>
  <c r="N868" i="7"/>
  <c r="O868" i="7"/>
  <c r="P868" i="7"/>
  <c r="Q868" i="7"/>
  <c r="N869" i="7"/>
  <c r="O869" i="7"/>
  <c r="P869" i="7"/>
  <c r="Q869" i="7"/>
  <c r="N870" i="7"/>
  <c r="O870" i="7"/>
  <c r="P870" i="7"/>
  <c r="Q870" i="7"/>
  <c r="N871" i="7"/>
  <c r="O871" i="7"/>
  <c r="P871" i="7"/>
  <c r="Q871" i="7"/>
  <c r="N872" i="7"/>
  <c r="O872" i="7"/>
  <c r="P872" i="7"/>
  <c r="Q872" i="7"/>
  <c r="N873" i="7"/>
  <c r="O873" i="7"/>
  <c r="P873" i="7"/>
  <c r="Q873" i="7"/>
  <c r="N874" i="7"/>
  <c r="O874" i="7"/>
  <c r="P874" i="7"/>
  <c r="Q874" i="7"/>
  <c r="N875" i="7"/>
  <c r="O875" i="7"/>
  <c r="P875" i="7"/>
  <c r="Q875" i="7"/>
  <c r="N876" i="7"/>
  <c r="O876" i="7"/>
  <c r="P876" i="7"/>
  <c r="Q876" i="7"/>
  <c r="N877" i="7"/>
  <c r="O877" i="7"/>
  <c r="P877" i="7"/>
  <c r="Q877" i="7"/>
  <c r="N878" i="7"/>
  <c r="O878" i="7"/>
  <c r="P878" i="7"/>
  <c r="Q878" i="7"/>
  <c r="N879" i="7"/>
  <c r="O879" i="7"/>
  <c r="P879" i="7"/>
  <c r="Q879" i="7"/>
  <c r="N880" i="7"/>
  <c r="O880" i="7"/>
  <c r="P880" i="7"/>
  <c r="Q880" i="7"/>
  <c r="N881" i="7"/>
  <c r="O881" i="7"/>
  <c r="P881" i="7"/>
  <c r="Q881" i="7"/>
  <c r="N882" i="7"/>
  <c r="O882" i="7"/>
  <c r="P882" i="7"/>
  <c r="Q882" i="7"/>
  <c r="N883" i="7"/>
  <c r="O883" i="7"/>
  <c r="P883" i="7"/>
  <c r="Q883" i="7"/>
  <c r="N884" i="7"/>
  <c r="O884" i="7"/>
  <c r="P884" i="7"/>
  <c r="Q884" i="7"/>
  <c r="N885" i="7"/>
  <c r="O885" i="7"/>
  <c r="P885" i="7"/>
  <c r="Q885" i="7"/>
  <c r="N886" i="7"/>
  <c r="O886" i="7"/>
  <c r="P886" i="7"/>
  <c r="Q886" i="7"/>
  <c r="N887" i="7"/>
  <c r="O887" i="7"/>
  <c r="P887" i="7"/>
  <c r="Q887" i="7"/>
  <c r="N888" i="7"/>
  <c r="O888" i="7"/>
  <c r="P888" i="7"/>
  <c r="Q888" i="7"/>
  <c r="N889" i="7"/>
  <c r="O889" i="7"/>
  <c r="P889" i="7"/>
  <c r="Q889" i="7"/>
  <c r="N890" i="7"/>
  <c r="O890" i="7"/>
  <c r="P890" i="7"/>
  <c r="Q890" i="7"/>
  <c r="N891" i="7"/>
  <c r="O891" i="7"/>
  <c r="P891" i="7"/>
  <c r="Q891" i="7"/>
  <c r="N892" i="7"/>
  <c r="O892" i="7"/>
  <c r="P892" i="7"/>
  <c r="Q892" i="7"/>
  <c r="N893" i="7"/>
  <c r="O893" i="7"/>
  <c r="P893" i="7"/>
  <c r="Q893" i="7"/>
  <c r="N894" i="7"/>
  <c r="O894" i="7"/>
  <c r="P894" i="7"/>
  <c r="Q894" i="7"/>
  <c r="N895" i="7"/>
  <c r="O895" i="7"/>
  <c r="P895" i="7"/>
  <c r="Q895" i="7"/>
  <c r="N896" i="7"/>
  <c r="O896" i="7"/>
  <c r="P896" i="7"/>
  <c r="Q896" i="7"/>
  <c r="N897" i="7"/>
  <c r="O897" i="7"/>
  <c r="P897" i="7"/>
  <c r="Q897" i="7"/>
  <c r="N898" i="7"/>
  <c r="O898" i="7"/>
  <c r="P898" i="7"/>
  <c r="Q898" i="7"/>
  <c r="N899" i="7"/>
  <c r="O899" i="7"/>
  <c r="P899" i="7"/>
  <c r="Q899" i="7"/>
  <c r="N900" i="7"/>
  <c r="O900" i="7"/>
  <c r="P900" i="7"/>
  <c r="Q900" i="7"/>
  <c r="N901" i="7"/>
  <c r="O901" i="7"/>
  <c r="P901" i="7"/>
  <c r="Q901" i="7"/>
  <c r="N902" i="7"/>
  <c r="O902" i="7"/>
  <c r="P902" i="7"/>
  <c r="Q902" i="7"/>
  <c r="N903" i="7"/>
  <c r="O903" i="7"/>
  <c r="P903" i="7"/>
  <c r="Q903" i="7"/>
  <c r="N904" i="7"/>
  <c r="O904" i="7"/>
  <c r="P904" i="7"/>
  <c r="Q904" i="7"/>
  <c r="N905" i="7"/>
  <c r="O905" i="7"/>
  <c r="P905" i="7"/>
  <c r="Q905" i="7"/>
  <c r="N906" i="7"/>
  <c r="O906" i="7"/>
  <c r="P906" i="7"/>
  <c r="Q906" i="7"/>
  <c r="N907" i="7"/>
  <c r="O907" i="7"/>
  <c r="P907" i="7"/>
  <c r="Q907" i="7"/>
  <c r="N908" i="7"/>
  <c r="O908" i="7"/>
  <c r="P908" i="7"/>
  <c r="Q908" i="7"/>
  <c r="N909" i="7"/>
  <c r="O909" i="7"/>
  <c r="P909" i="7"/>
  <c r="Q909" i="7"/>
  <c r="N910" i="7"/>
  <c r="O910" i="7"/>
  <c r="P910" i="7"/>
  <c r="Q910" i="7"/>
  <c r="N911" i="7"/>
  <c r="O911" i="7"/>
  <c r="P911" i="7"/>
  <c r="Q911" i="7"/>
  <c r="N912" i="7"/>
  <c r="O912" i="7"/>
  <c r="P912" i="7"/>
  <c r="Q912" i="7"/>
  <c r="N913" i="7"/>
  <c r="O913" i="7"/>
  <c r="P913" i="7"/>
  <c r="Q913" i="7"/>
  <c r="N914" i="7"/>
  <c r="O914" i="7"/>
  <c r="P914" i="7"/>
  <c r="Q914" i="7"/>
  <c r="N915" i="7"/>
  <c r="O915" i="7"/>
  <c r="P915" i="7"/>
  <c r="Q915" i="7"/>
  <c r="N916" i="7"/>
  <c r="O916" i="7"/>
  <c r="P916" i="7"/>
  <c r="Q916" i="7"/>
  <c r="N917" i="7"/>
  <c r="O917" i="7"/>
  <c r="P917" i="7"/>
  <c r="Q917" i="7"/>
  <c r="N918" i="7"/>
  <c r="O918" i="7"/>
  <c r="P918" i="7"/>
  <c r="Q918" i="7"/>
  <c r="N919" i="7"/>
  <c r="O919" i="7"/>
  <c r="P919" i="7"/>
  <c r="Q919" i="7"/>
  <c r="N920" i="7"/>
  <c r="O920" i="7"/>
  <c r="P920" i="7"/>
  <c r="Q920" i="7"/>
  <c r="N921" i="7"/>
  <c r="O921" i="7"/>
  <c r="P921" i="7"/>
  <c r="Q921" i="7"/>
  <c r="N922" i="7"/>
  <c r="O922" i="7"/>
  <c r="P922" i="7"/>
  <c r="Q922" i="7"/>
  <c r="N923" i="7"/>
  <c r="O923" i="7"/>
  <c r="P923" i="7"/>
  <c r="Q923" i="7"/>
  <c r="N924" i="7"/>
  <c r="O924" i="7"/>
  <c r="P924" i="7"/>
  <c r="Q924" i="7"/>
  <c r="N925" i="7"/>
  <c r="O925" i="7"/>
  <c r="P925" i="7"/>
  <c r="Q925" i="7"/>
  <c r="N926" i="7"/>
  <c r="O926" i="7"/>
  <c r="P926" i="7"/>
  <c r="Q926" i="7"/>
  <c r="N927" i="7"/>
  <c r="O927" i="7"/>
  <c r="P927" i="7"/>
  <c r="Q927" i="7"/>
  <c r="N928" i="7"/>
  <c r="O928" i="7"/>
  <c r="P928" i="7"/>
  <c r="Q928" i="7"/>
  <c r="N929" i="7"/>
  <c r="O929" i="7"/>
  <c r="P929" i="7"/>
  <c r="Q929" i="7"/>
  <c r="N930" i="7"/>
  <c r="O930" i="7"/>
  <c r="P930" i="7"/>
  <c r="Q930" i="7"/>
  <c r="N931" i="7"/>
  <c r="O931" i="7"/>
  <c r="P931" i="7"/>
  <c r="Q931" i="7"/>
  <c r="N932" i="7"/>
  <c r="O932" i="7"/>
  <c r="P932" i="7"/>
  <c r="Q932" i="7"/>
  <c r="N933" i="7"/>
  <c r="O933" i="7"/>
  <c r="P933" i="7"/>
  <c r="Q933" i="7"/>
  <c r="N934" i="7"/>
  <c r="O934" i="7"/>
  <c r="P934" i="7"/>
  <c r="Q934" i="7"/>
  <c r="N935" i="7"/>
  <c r="O935" i="7"/>
  <c r="P935" i="7"/>
  <c r="Q935" i="7"/>
  <c r="N936" i="7"/>
  <c r="O936" i="7"/>
  <c r="P936" i="7"/>
  <c r="Q936" i="7"/>
  <c r="N937" i="7"/>
  <c r="O937" i="7"/>
  <c r="P937" i="7"/>
  <c r="Q937" i="7"/>
  <c r="N938" i="7"/>
  <c r="O938" i="7"/>
  <c r="P938" i="7"/>
  <c r="Q938" i="7"/>
  <c r="N939" i="7"/>
  <c r="O939" i="7"/>
  <c r="P939" i="7"/>
  <c r="Q939" i="7"/>
  <c r="N940" i="7"/>
  <c r="O940" i="7"/>
  <c r="P940" i="7"/>
  <c r="Q940" i="7"/>
  <c r="N941" i="7"/>
  <c r="O941" i="7"/>
  <c r="P941" i="7"/>
  <c r="Q941" i="7"/>
  <c r="N942" i="7"/>
  <c r="O942" i="7"/>
  <c r="P942" i="7"/>
  <c r="Q942" i="7"/>
  <c r="N943" i="7"/>
  <c r="O943" i="7"/>
  <c r="P943" i="7"/>
  <c r="Q943" i="7"/>
  <c r="N944" i="7"/>
  <c r="O944" i="7"/>
  <c r="P944" i="7"/>
  <c r="Q944" i="7"/>
  <c r="N945" i="7"/>
  <c r="O945" i="7"/>
  <c r="P945" i="7"/>
  <c r="Q945" i="7"/>
  <c r="N946" i="7"/>
  <c r="O946" i="7"/>
  <c r="P946" i="7"/>
  <c r="Q946" i="7"/>
  <c r="N947" i="7"/>
  <c r="O947" i="7"/>
  <c r="P947" i="7"/>
  <c r="Q947" i="7"/>
  <c r="N948" i="7"/>
  <c r="O948" i="7"/>
  <c r="P948" i="7"/>
  <c r="Q948" i="7"/>
  <c r="N949" i="7"/>
  <c r="O949" i="7"/>
  <c r="P949" i="7"/>
  <c r="Q949" i="7"/>
  <c r="N950" i="7"/>
  <c r="O950" i="7"/>
  <c r="P950" i="7"/>
  <c r="Q950" i="7"/>
  <c r="N951" i="7"/>
  <c r="O951" i="7"/>
  <c r="P951" i="7"/>
  <c r="Q951" i="7"/>
  <c r="N952" i="7"/>
  <c r="O952" i="7"/>
  <c r="P952" i="7"/>
  <c r="Q952" i="7"/>
  <c r="N953" i="7"/>
  <c r="O953" i="7"/>
  <c r="P953" i="7"/>
  <c r="Q953" i="7"/>
  <c r="N954" i="7"/>
  <c r="O954" i="7"/>
  <c r="P954" i="7"/>
  <c r="Q954" i="7"/>
  <c r="N955" i="7"/>
  <c r="O955" i="7"/>
  <c r="P955" i="7"/>
  <c r="Q955" i="7"/>
  <c r="N956" i="7"/>
  <c r="O956" i="7"/>
  <c r="P956" i="7"/>
  <c r="Q956" i="7"/>
  <c r="N957" i="7"/>
  <c r="O957" i="7"/>
  <c r="P957" i="7"/>
  <c r="Q957" i="7"/>
  <c r="N958" i="7"/>
  <c r="O958" i="7"/>
  <c r="P958" i="7"/>
  <c r="Q958" i="7"/>
  <c r="N959" i="7"/>
  <c r="O959" i="7"/>
  <c r="P959" i="7"/>
  <c r="Q959" i="7"/>
  <c r="N960" i="7"/>
  <c r="O960" i="7"/>
  <c r="P960" i="7"/>
  <c r="Q960" i="7"/>
  <c r="N961" i="7"/>
  <c r="O961" i="7"/>
  <c r="P961" i="7"/>
  <c r="Q961" i="7"/>
  <c r="N962" i="7"/>
  <c r="O962" i="7"/>
  <c r="P962" i="7"/>
  <c r="Q962" i="7"/>
  <c r="N963" i="7"/>
  <c r="O963" i="7"/>
  <c r="P963" i="7"/>
  <c r="Q963" i="7"/>
  <c r="N964" i="7"/>
  <c r="O964" i="7"/>
  <c r="P964" i="7"/>
  <c r="Q964" i="7"/>
  <c r="N965" i="7"/>
  <c r="O965" i="7"/>
  <c r="P965" i="7"/>
  <c r="Q965" i="7"/>
  <c r="N966" i="7"/>
  <c r="O966" i="7"/>
  <c r="P966" i="7"/>
  <c r="Q966" i="7"/>
  <c r="N967" i="7"/>
  <c r="O967" i="7"/>
  <c r="P967" i="7"/>
  <c r="Q967" i="7"/>
  <c r="N968" i="7"/>
  <c r="O968" i="7"/>
  <c r="P968" i="7"/>
  <c r="Q968" i="7"/>
  <c r="N969" i="7"/>
  <c r="O969" i="7"/>
  <c r="P969" i="7"/>
  <c r="Q969" i="7"/>
  <c r="N970" i="7"/>
  <c r="O970" i="7"/>
  <c r="P970" i="7"/>
  <c r="Q970" i="7"/>
  <c r="N971" i="7"/>
  <c r="O971" i="7"/>
  <c r="P971" i="7"/>
  <c r="Q971" i="7"/>
  <c r="N972" i="7"/>
  <c r="O972" i="7"/>
  <c r="P972" i="7"/>
  <c r="Q972" i="7"/>
  <c r="N973" i="7"/>
  <c r="O973" i="7"/>
  <c r="P973" i="7"/>
  <c r="Q973" i="7"/>
  <c r="N974" i="7"/>
  <c r="O974" i="7"/>
  <c r="P974" i="7"/>
  <c r="Q974" i="7"/>
  <c r="N975" i="7"/>
  <c r="O975" i="7"/>
  <c r="P975" i="7"/>
  <c r="Q975" i="7"/>
  <c r="N976" i="7"/>
  <c r="O976" i="7"/>
  <c r="P976" i="7"/>
  <c r="Q976" i="7"/>
  <c r="N977" i="7"/>
  <c r="O977" i="7"/>
  <c r="P977" i="7"/>
  <c r="Q977" i="7"/>
  <c r="N978" i="7"/>
  <c r="O978" i="7"/>
  <c r="P978" i="7"/>
  <c r="Q978" i="7"/>
  <c r="N979" i="7"/>
  <c r="O979" i="7"/>
  <c r="P979" i="7"/>
  <c r="Q979" i="7"/>
  <c r="N980" i="7"/>
  <c r="O980" i="7"/>
  <c r="P980" i="7"/>
  <c r="Q980" i="7"/>
  <c r="N981" i="7"/>
  <c r="O981" i="7"/>
  <c r="P981" i="7"/>
  <c r="Q981" i="7"/>
  <c r="N982" i="7"/>
  <c r="O982" i="7"/>
  <c r="P982" i="7"/>
  <c r="Q982" i="7"/>
  <c r="N983" i="7"/>
  <c r="O983" i="7"/>
  <c r="P983" i="7"/>
  <c r="Q983" i="7"/>
  <c r="N984" i="7"/>
  <c r="O984" i="7"/>
  <c r="P984" i="7"/>
  <c r="Q984" i="7"/>
  <c r="N985" i="7"/>
  <c r="O985" i="7"/>
  <c r="P985" i="7"/>
  <c r="Q985" i="7"/>
  <c r="N986" i="7"/>
  <c r="O986" i="7"/>
  <c r="P986" i="7"/>
  <c r="Q986" i="7"/>
  <c r="N987" i="7"/>
  <c r="O987" i="7"/>
  <c r="P987" i="7"/>
  <c r="Q987" i="7"/>
  <c r="N988" i="7"/>
  <c r="O988" i="7"/>
  <c r="P988" i="7"/>
  <c r="Q988" i="7"/>
  <c r="N989" i="7"/>
  <c r="O989" i="7"/>
  <c r="P989" i="7"/>
  <c r="Q989" i="7"/>
  <c r="B45" i="7"/>
  <c r="BQ45" i="7" s="1"/>
  <c r="BR45" i="7" s="1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608" i="7"/>
  <c r="B609" i="7"/>
  <c r="B610" i="7"/>
  <c r="B611" i="7"/>
  <c r="B612" i="7"/>
  <c r="B613" i="7"/>
  <c r="B614" i="7"/>
  <c r="B615" i="7"/>
  <c r="B616" i="7"/>
  <c r="B617" i="7"/>
  <c r="B618" i="7"/>
  <c r="B619" i="7"/>
  <c r="B620" i="7"/>
  <c r="B621" i="7"/>
  <c r="B622" i="7"/>
  <c r="B623" i="7"/>
  <c r="B624" i="7"/>
  <c r="B625" i="7"/>
  <c r="B626" i="7"/>
  <c r="B627" i="7"/>
  <c r="B628" i="7"/>
  <c r="B629" i="7"/>
  <c r="B630" i="7"/>
  <c r="B631" i="7"/>
  <c r="B632" i="7"/>
  <c r="B633" i="7"/>
  <c r="B634" i="7"/>
  <c r="B635" i="7"/>
  <c r="B636" i="7"/>
  <c r="B637" i="7"/>
  <c r="B638" i="7"/>
  <c r="B639" i="7"/>
  <c r="B640" i="7"/>
  <c r="B641" i="7"/>
  <c r="B642" i="7"/>
  <c r="B643" i="7"/>
  <c r="B644" i="7"/>
  <c r="B645" i="7"/>
  <c r="B646" i="7"/>
  <c r="B647" i="7"/>
  <c r="B648" i="7"/>
  <c r="B649" i="7"/>
  <c r="B650" i="7"/>
  <c r="B651" i="7"/>
  <c r="B652" i="7"/>
  <c r="B653" i="7"/>
  <c r="B654" i="7"/>
  <c r="B655" i="7"/>
  <c r="B656" i="7"/>
  <c r="B657" i="7"/>
  <c r="B658" i="7"/>
  <c r="B659" i="7"/>
  <c r="B660" i="7"/>
  <c r="B661" i="7"/>
  <c r="B662" i="7"/>
  <c r="B663" i="7"/>
  <c r="B664" i="7"/>
  <c r="B665" i="7"/>
  <c r="B666" i="7"/>
  <c r="B667" i="7"/>
  <c r="B668" i="7"/>
  <c r="B669" i="7"/>
  <c r="B670" i="7"/>
  <c r="B671" i="7"/>
  <c r="B672" i="7"/>
  <c r="B673" i="7"/>
  <c r="B674" i="7"/>
  <c r="B675" i="7"/>
  <c r="B676" i="7"/>
  <c r="B677" i="7"/>
  <c r="B678" i="7"/>
  <c r="B679" i="7"/>
  <c r="B680" i="7"/>
  <c r="B681" i="7"/>
  <c r="B682" i="7"/>
  <c r="B683" i="7"/>
  <c r="B684" i="7"/>
  <c r="B685" i="7"/>
  <c r="B686" i="7"/>
  <c r="B687" i="7"/>
  <c r="B688" i="7"/>
  <c r="B689" i="7"/>
  <c r="B690" i="7"/>
  <c r="B691" i="7"/>
  <c r="B692" i="7"/>
  <c r="B693" i="7"/>
  <c r="B694" i="7"/>
  <c r="B695" i="7"/>
  <c r="B696" i="7"/>
  <c r="B697" i="7"/>
  <c r="B698" i="7"/>
  <c r="B699" i="7"/>
  <c r="B700" i="7"/>
  <c r="B701" i="7"/>
  <c r="B702" i="7"/>
  <c r="B703" i="7"/>
  <c r="B704" i="7"/>
  <c r="B705" i="7"/>
  <c r="B706" i="7"/>
  <c r="B707" i="7"/>
  <c r="B708" i="7"/>
  <c r="B709" i="7"/>
  <c r="B710" i="7"/>
  <c r="B711" i="7"/>
  <c r="B712" i="7"/>
  <c r="B713" i="7"/>
  <c r="B714" i="7"/>
  <c r="B715" i="7"/>
  <c r="B716" i="7"/>
  <c r="B717" i="7"/>
  <c r="B718" i="7"/>
  <c r="B719" i="7"/>
  <c r="B720" i="7"/>
  <c r="B721" i="7"/>
  <c r="B722" i="7"/>
  <c r="B723" i="7"/>
  <c r="B724" i="7"/>
  <c r="B725" i="7"/>
  <c r="B726" i="7"/>
  <c r="B727" i="7"/>
  <c r="B728" i="7"/>
  <c r="B729" i="7"/>
  <c r="B730" i="7"/>
  <c r="B731" i="7"/>
  <c r="B732" i="7"/>
  <c r="B733" i="7"/>
  <c r="B734" i="7"/>
  <c r="B735" i="7"/>
  <c r="B736" i="7"/>
  <c r="B737" i="7"/>
  <c r="B738" i="7"/>
  <c r="B739" i="7"/>
  <c r="B740" i="7"/>
  <c r="B741" i="7"/>
  <c r="B742" i="7"/>
  <c r="B743" i="7"/>
  <c r="B744" i="7"/>
  <c r="B745" i="7"/>
  <c r="B746" i="7"/>
  <c r="B747" i="7"/>
  <c r="B748" i="7"/>
  <c r="B749" i="7"/>
  <c r="B750" i="7"/>
  <c r="B751" i="7"/>
  <c r="B752" i="7"/>
  <c r="B753" i="7"/>
  <c r="B754" i="7"/>
  <c r="B755" i="7"/>
  <c r="B756" i="7"/>
  <c r="B757" i="7"/>
  <c r="B758" i="7"/>
  <c r="B759" i="7"/>
  <c r="B760" i="7"/>
  <c r="B761" i="7"/>
  <c r="B762" i="7"/>
  <c r="B763" i="7"/>
  <c r="B764" i="7"/>
  <c r="B765" i="7"/>
  <c r="B766" i="7"/>
  <c r="B767" i="7"/>
  <c r="B768" i="7"/>
  <c r="B769" i="7"/>
  <c r="B770" i="7"/>
  <c r="B771" i="7"/>
  <c r="B772" i="7"/>
  <c r="B773" i="7"/>
  <c r="B774" i="7"/>
  <c r="B775" i="7"/>
  <c r="B776" i="7"/>
  <c r="B777" i="7"/>
  <c r="B778" i="7"/>
  <c r="B779" i="7"/>
  <c r="B780" i="7"/>
  <c r="B781" i="7"/>
  <c r="B782" i="7"/>
  <c r="B783" i="7"/>
  <c r="B784" i="7"/>
  <c r="B785" i="7"/>
  <c r="B786" i="7"/>
  <c r="B787" i="7"/>
  <c r="B788" i="7"/>
  <c r="B789" i="7"/>
  <c r="B790" i="7"/>
  <c r="B791" i="7"/>
  <c r="B792" i="7"/>
  <c r="B793" i="7"/>
  <c r="B794" i="7"/>
  <c r="B795" i="7"/>
  <c r="B796" i="7"/>
  <c r="B797" i="7"/>
  <c r="B798" i="7"/>
  <c r="B799" i="7"/>
  <c r="B800" i="7"/>
  <c r="B801" i="7"/>
  <c r="B802" i="7"/>
  <c r="B803" i="7"/>
  <c r="B804" i="7"/>
  <c r="B805" i="7"/>
  <c r="B806" i="7"/>
  <c r="B807" i="7"/>
  <c r="B808" i="7"/>
  <c r="B809" i="7"/>
  <c r="B810" i="7"/>
  <c r="B811" i="7"/>
  <c r="B812" i="7"/>
  <c r="B813" i="7"/>
  <c r="B814" i="7"/>
  <c r="B815" i="7"/>
  <c r="B816" i="7"/>
  <c r="B817" i="7"/>
  <c r="B818" i="7"/>
  <c r="B819" i="7"/>
  <c r="B820" i="7"/>
  <c r="B821" i="7"/>
  <c r="B822" i="7"/>
  <c r="B823" i="7"/>
  <c r="B824" i="7"/>
  <c r="B825" i="7"/>
  <c r="B826" i="7"/>
  <c r="B827" i="7"/>
  <c r="B828" i="7"/>
  <c r="B829" i="7"/>
  <c r="B830" i="7"/>
  <c r="B831" i="7"/>
  <c r="B832" i="7"/>
  <c r="B833" i="7"/>
  <c r="B834" i="7"/>
  <c r="B835" i="7"/>
  <c r="B836" i="7"/>
  <c r="B837" i="7"/>
  <c r="B838" i="7"/>
  <c r="B839" i="7"/>
  <c r="B840" i="7"/>
  <c r="B841" i="7"/>
  <c r="B842" i="7"/>
  <c r="B843" i="7"/>
  <c r="B844" i="7"/>
  <c r="B845" i="7"/>
  <c r="B846" i="7"/>
  <c r="B847" i="7"/>
  <c r="B848" i="7"/>
  <c r="B849" i="7"/>
  <c r="B850" i="7"/>
  <c r="B851" i="7"/>
  <c r="B852" i="7"/>
  <c r="B853" i="7"/>
  <c r="B854" i="7"/>
  <c r="B855" i="7"/>
  <c r="B856" i="7"/>
  <c r="B857" i="7"/>
  <c r="B858" i="7"/>
  <c r="B859" i="7"/>
  <c r="B860" i="7"/>
  <c r="B861" i="7"/>
  <c r="B862" i="7"/>
  <c r="B863" i="7"/>
  <c r="B864" i="7"/>
  <c r="B865" i="7"/>
  <c r="B866" i="7"/>
  <c r="B867" i="7"/>
  <c r="B868" i="7"/>
  <c r="B869" i="7"/>
  <c r="B870" i="7"/>
  <c r="B871" i="7"/>
  <c r="B872" i="7"/>
  <c r="B873" i="7"/>
  <c r="B874" i="7"/>
  <c r="B875" i="7"/>
  <c r="B876" i="7"/>
  <c r="B877" i="7"/>
  <c r="B878" i="7"/>
  <c r="B879" i="7"/>
  <c r="B880" i="7"/>
  <c r="B881" i="7"/>
  <c r="B882" i="7"/>
  <c r="B883" i="7"/>
  <c r="B884" i="7"/>
  <c r="B885" i="7"/>
  <c r="B886" i="7"/>
  <c r="B887" i="7"/>
  <c r="B888" i="7"/>
  <c r="B889" i="7"/>
  <c r="B890" i="7"/>
  <c r="B891" i="7"/>
  <c r="B892" i="7"/>
  <c r="B893" i="7"/>
  <c r="B894" i="7"/>
  <c r="B895" i="7"/>
  <c r="B896" i="7"/>
  <c r="B897" i="7"/>
  <c r="B898" i="7"/>
  <c r="B899" i="7"/>
  <c r="B900" i="7"/>
  <c r="B901" i="7"/>
  <c r="B902" i="7"/>
  <c r="B903" i="7"/>
  <c r="B904" i="7"/>
  <c r="B905" i="7"/>
  <c r="B906" i="7"/>
  <c r="B907" i="7"/>
  <c r="B908" i="7"/>
  <c r="B909" i="7"/>
  <c r="B910" i="7"/>
  <c r="B911" i="7"/>
  <c r="B912" i="7"/>
  <c r="B913" i="7"/>
  <c r="B914" i="7"/>
  <c r="B915" i="7"/>
  <c r="B916" i="7"/>
  <c r="B917" i="7"/>
  <c r="B918" i="7"/>
  <c r="B919" i="7"/>
  <c r="B920" i="7"/>
  <c r="B921" i="7"/>
  <c r="B922" i="7"/>
  <c r="B923" i="7"/>
  <c r="B924" i="7"/>
  <c r="B925" i="7"/>
  <c r="B926" i="7"/>
  <c r="B927" i="7"/>
  <c r="B928" i="7"/>
  <c r="B929" i="7"/>
  <c r="B930" i="7"/>
  <c r="B931" i="7"/>
  <c r="B932" i="7"/>
  <c r="B933" i="7"/>
  <c r="B934" i="7"/>
  <c r="B935" i="7"/>
  <c r="B936" i="7"/>
  <c r="B937" i="7"/>
  <c r="B938" i="7"/>
  <c r="B939" i="7"/>
  <c r="B940" i="7"/>
  <c r="B941" i="7"/>
  <c r="B942" i="7"/>
  <c r="B943" i="7"/>
  <c r="B944" i="7"/>
  <c r="B945" i="7"/>
  <c r="B946" i="7"/>
  <c r="B947" i="7"/>
  <c r="B948" i="7"/>
  <c r="B949" i="7"/>
  <c r="B950" i="7"/>
  <c r="B951" i="7"/>
  <c r="B952" i="7"/>
  <c r="B953" i="7"/>
  <c r="B954" i="7"/>
  <c r="B955" i="7"/>
  <c r="B956" i="7"/>
  <c r="B957" i="7"/>
  <c r="B958" i="7"/>
  <c r="B959" i="7"/>
  <c r="B960" i="7"/>
  <c r="B961" i="7"/>
  <c r="B962" i="7"/>
  <c r="B963" i="7"/>
  <c r="B964" i="7"/>
  <c r="B965" i="7"/>
  <c r="B966" i="7"/>
  <c r="B967" i="7"/>
  <c r="B968" i="7"/>
  <c r="B969" i="7"/>
  <c r="B970" i="7"/>
  <c r="B971" i="7"/>
  <c r="B972" i="7"/>
  <c r="B973" i="7"/>
  <c r="B974" i="7"/>
  <c r="B975" i="7"/>
  <c r="B976" i="7"/>
  <c r="B977" i="7"/>
  <c r="B978" i="7"/>
  <c r="B979" i="7"/>
  <c r="B980" i="7"/>
  <c r="B981" i="7"/>
  <c r="B982" i="7"/>
  <c r="B983" i="7"/>
  <c r="B984" i="7"/>
  <c r="B985" i="7"/>
  <c r="B986" i="7"/>
  <c r="B987" i="7"/>
  <c r="B988" i="7"/>
  <c r="B989" i="7"/>
  <c r="Q186" i="1"/>
  <c r="Q122" i="1"/>
  <c r="Q107" i="1"/>
  <c r="Q106" i="1"/>
  <c r="Q66" i="1"/>
  <c r="Q67" i="1" s="1"/>
  <c r="Q43" i="1"/>
  <c r="Q42" i="1"/>
  <c r="W195" i="1"/>
  <c r="Z195" i="1"/>
  <c r="F199" i="1"/>
  <c r="J199" i="1" s="1"/>
  <c r="J201" i="1"/>
  <c r="I201" i="1"/>
  <c r="J200" i="1"/>
  <c r="I200" i="1"/>
  <c r="I199" i="1"/>
  <c r="J198" i="1"/>
  <c r="I198" i="1"/>
  <c r="J197" i="1"/>
  <c r="I197" i="1"/>
  <c r="J196" i="1"/>
  <c r="I196" i="1"/>
  <c r="J195" i="1"/>
  <c r="I195" i="1"/>
  <c r="A195" i="1"/>
  <c r="A196" i="1" s="1"/>
  <c r="A197" i="1" s="1"/>
  <c r="A198" i="1" s="1"/>
  <c r="A199" i="1" s="1"/>
  <c r="A200" i="1" s="1"/>
  <c r="A201" i="1" s="1"/>
  <c r="L194" i="1"/>
  <c r="L195" i="1" s="1"/>
  <c r="L196" i="1" s="1"/>
  <c r="L197" i="1" s="1"/>
  <c r="L198" i="1" s="1"/>
  <c r="L199" i="1" s="1"/>
  <c r="L200" i="1" s="1"/>
  <c r="L201" i="1" s="1"/>
  <c r="K194" i="1"/>
  <c r="J194" i="1"/>
  <c r="I194" i="1"/>
  <c r="J7" i="3" a="1"/>
  <c r="F191" i="1"/>
  <c r="J191" i="1" s="1"/>
  <c r="K186" i="1"/>
  <c r="J193" i="1"/>
  <c r="I193" i="1"/>
  <c r="J192" i="1"/>
  <c r="I192" i="1"/>
  <c r="I191" i="1"/>
  <c r="J190" i="1"/>
  <c r="I190" i="1"/>
  <c r="J189" i="1"/>
  <c r="I189" i="1"/>
  <c r="J188" i="1"/>
  <c r="I188" i="1"/>
  <c r="J187" i="1"/>
  <c r="I187" i="1"/>
  <c r="A187" i="1"/>
  <c r="A188" i="1" s="1"/>
  <c r="A189" i="1" s="1"/>
  <c r="A190" i="1" s="1"/>
  <c r="A191" i="1" s="1"/>
  <c r="A192" i="1" s="1"/>
  <c r="A193" i="1" s="1"/>
  <c r="L186" i="1"/>
  <c r="L187" i="1" s="1"/>
  <c r="L188" i="1" s="1"/>
  <c r="L189" i="1" s="1"/>
  <c r="L190" i="1" s="1"/>
  <c r="L191" i="1" s="1"/>
  <c r="L192" i="1" s="1"/>
  <c r="L193" i="1" s="1"/>
  <c r="J186" i="1"/>
  <c r="I186" i="1"/>
  <c r="W179" i="1"/>
  <c r="J185" i="1"/>
  <c r="I185" i="1"/>
  <c r="J184" i="1"/>
  <c r="I184" i="1"/>
  <c r="I183" i="1"/>
  <c r="F183" i="1"/>
  <c r="J183" i="1" s="1"/>
  <c r="J182" i="1"/>
  <c r="I182" i="1"/>
  <c r="J181" i="1"/>
  <c r="I181" i="1"/>
  <c r="J180" i="1"/>
  <c r="I180" i="1"/>
  <c r="J179" i="1"/>
  <c r="I179" i="1"/>
  <c r="A179" i="1"/>
  <c r="A180" i="1" s="1"/>
  <c r="A181" i="1" s="1"/>
  <c r="A182" i="1" s="1"/>
  <c r="A183" i="1" s="1"/>
  <c r="A184" i="1" s="1"/>
  <c r="A185" i="1" s="1"/>
  <c r="L178" i="1"/>
  <c r="L179" i="1" s="1"/>
  <c r="L180" i="1" s="1"/>
  <c r="L181" i="1" s="1"/>
  <c r="L182" i="1" s="1"/>
  <c r="L183" i="1" s="1"/>
  <c r="L184" i="1" s="1"/>
  <c r="L185" i="1" s="1"/>
  <c r="K178" i="1"/>
  <c r="J178" i="1"/>
  <c r="I178" i="1"/>
  <c r="W171" i="1"/>
  <c r="F175" i="1"/>
  <c r="J175" i="1" s="1"/>
  <c r="J177" i="1"/>
  <c r="I177" i="1"/>
  <c r="J176" i="1"/>
  <c r="I176" i="1"/>
  <c r="I175" i="1"/>
  <c r="J174" i="1"/>
  <c r="I174" i="1"/>
  <c r="J173" i="1"/>
  <c r="I173" i="1"/>
  <c r="J172" i="1"/>
  <c r="I172" i="1"/>
  <c r="J171" i="1"/>
  <c r="I171" i="1"/>
  <c r="A171" i="1"/>
  <c r="A172" i="1" s="1"/>
  <c r="A173" i="1" s="1"/>
  <c r="A174" i="1" s="1"/>
  <c r="A175" i="1" s="1"/>
  <c r="A176" i="1" s="1"/>
  <c r="A177" i="1" s="1"/>
  <c r="L170" i="1"/>
  <c r="L171" i="1" s="1"/>
  <c r="L172" i="1" s="1"/>
  <c r="L173" i="1" s="1"/>
  <c r="L174" i="1" s="1"/>
  <c r="L175" i="1" s="1"/>
  <c r="L176" i="1" s="1"/>
  <c r="L177" i="1" s="1"/>
  <c r="K170" i="1"/>
  <c r="J170" i="1"/>
  <c r="I170" i="1"/>
  <c r="L114" i="1"/>
  <c r="L115" i="1" s="1"/>
  <c r="L116" i="1" s="1"/>
  <c r="L117" i="1" s="1"/>
  <c r="L118" i="1" s="1"/>
  <c r="L119" i="1" s="1"/>
  <c r="L120" i="1" s="1"/>
  <c r="L121" i="1" s="1"/>
  <c r="K114" i="1"/>
  <c r="L122" i="1"/>
  <c r="L123" i="1" s="1"/>
  <c r="L124" i="1" s="1"/>
  <c r="L125" i="1" s="1"/>
  <c r="L126" i="1" s="1"/>
  <c r="L127" i="1" s="1"/>
  <c r="L128" i="1" s="1"/>
  <c r="L129" i="1" s="1"/>
  <c r="K122" i="1"/>
  <c r="L130" i="1"/>
  <c r="L131" i="1" s="1"/>
  <c r="L132" i="1" s="1"/>
  <c r="L133" i="1" s="1"/>
  <c r="L134" i="1" s="1"/>
  <c r="L135" i="1" s="1"/>
  <c r="L136" i="1" s="1"/>
  <c r="L137" i="1" s="1"/>
  <c r="K130" i="1"/>
  <c r="W163" i="1"/>
  <c r="F167" i="1"/>
  <c r="J167" i="1" s="1"/>
  <c r="J169" i="1"/>
  <c r="I169" i="1"/>
  <c r="J168" i="1"/>
  <c r="I168" i="1"/>
  <c r="I167" i="1"/>
  <c r="J166" i="1"/>
  <c r="I166" i="1"/>
  <c r="J165" i="1"/>
  <c r="I165" i="1"/>
  <c r="J164" i="1"/>
  <c r="I164" i="1"/>
  <c r="J163" i="1"/>
  <c r="I163" i="1"/>
  <c r="A163" i="1"/>
  <c r="A164" i="1" s="1"/>
  <c r="A165" i="1" s="1"/>
  <c r="A166" i="1" s="1"/>
  <c r="A167" i="1" s="1"/>
  <c r="A168" i="1" s="1"/>
  <c r="A169" i="1" s="1"/>
  <c r="L162" i="1"/>
  <c r="L163" i="1" s="1"/>
  <c r="L164" i="1" s="1"/>
  <c r="L165" i="1" s="1"/>
  <c r="L166" i="1" s="1"/>
  <c r="L167" i="1" s="1"/>
  <c r="L168" i="1" s="1"/>
  <c r="L169" i="1" s="1"/>
  <c r="K162" i="1"/>
  <c r="J162" i="1"/>
  <c r="I162" i="1"/>
  <c r="E154" i="1"/>
  <c r="I154" i="1" s="1"/>
  <c r="AB155" i="1"/>
  <c r="W155" i="1"/>
  <c r="F159" i="1"/>
  <c r="J159" i="1" s="1"/>
  <c r="J161" i="1"/>
  <c r="I161" i="1"/>
  <c r="J160" i="1"/>
  <c r="I160" i="1"/>
  <c r="I159" i="1"/>
  <c r="J158" i="1"/>
  <c r="I158" i="1"/>
  <c r="J157" i="1"/>
  <c r="I157" i="1"/>
  <c r="J156" i="1"/>
  <c r="I156" i="1"/>
  <c r="J155" i="1"/>
  <c r="I155" i="1"/>
  <c r="A155" i="1"/>
  <c r="A156" i="1" s="1"/>
  <c r="A157" i="1" s="1"/>
  <c r="A158" i="1" s="1"/>
  <c r="A159" i="1" s="1"/>
  <c r="A160" i="1" s="1"/>
  <c r="A161" i="1" s="1"/>
  <c r="L154" i="1"/>
  <c r="L155" i="1" s="1"/>
  <c r="L156" i="1" s="1"/>
  <c r="L157" i="1" s="1"/>
  <c r="L158" i="1" s="1"/>
  <c r="L159" i="1" s="1"/>
  <c r="L160" i="1" s="1"/>
  <c r="L161" i="1" s="1"/>
  <c r="K154" i="1"/>
  <c r="J154" i="1"/>
  <c r="Z147" i="1"/>
  <c r="L138" i="1"/>
  <c r="L139" i="1" s="1"/>
  <c r="L140" i="1" s="1"/>
  <c r="L141" i="1" s="1"/>
  <c r="L142" i="1" s="1"/>
  <c r="L143" i="1" s="1"/>
  <c r="L144" i="1" s="1"/>
  <c r="L145" i="1" s="1"/>
  <c r="L146" i="1"/>
  <c r="J153" i="1"/>
  <c r="I153" i="1"/>
  <c r="J152" i="1"/>
  <c r="I152" i="1"/>
  <c r="I151" i="1"/>
  <c r="F151" i="1"/>
  <c r="J151" i="1" s="1"/>
  <c r="J150" i="1"/>
  <c r="I150" i="1"/>
  <c r="J149" i="1"/>
  <c r="I149" i="1"/>
  <c r="J148" i="1"/>
  <c r="I148" i="1"/>
  <c r="J147" i="1"/>
  <c r="I147" i="1"/>
  <c r="A147" i="1"/>
  <c r="A148" i="1" s="1"/>
  <c r="A149" i="1" s="1"/>
  <c r="A150" i="1" s="1"/>
  <c r="A151" i="1" s="1"/>
  <c r="A152" i="1" s="1"/>
  <c r="A153" i="1" s="1"/>
  <c r="K146" i="1"/>
  <c r="J146" i="1"/>
  <c r="I146" i="1"/>
  <c r="K138" i="1"/>
  <c r="V139" i="1"/>
  <c r="W139" i="1"/>
  <c r="F143" i="1"/>
  <c r="J143" i="1" s="1"/>
  <c r="J145" i="1"/>
  <c r="I145" i="1"/>
  <c r="J144" i="1"/>
  <c r="I144" i="1"/>
  <c r="I143" i="1"/>
  <c r="J142" i="1"/>
  <c r="I142" i="1"/>
  <c r="J141" i="1"/>
  <c r="I141" i="1"/>
  <c r="J140" i="1"/>
  <c r="I140" i="1"/>
  <c r="J139" i="1"/>
  <c r="I139" i="1"/>
  <c r="A139" i="1"/>
  <c r="A140" i="1" s="1"/>
  <c r="A141" i="1" s="1"/>
  <c r="A142" i="1" s="1"/>
  <c r="A143" i="1" s="1"/>
  <c r="A144" i="1" s="1"/>
  <c r="A145" i="1" s="1"/>
  <c r="J138" i="1"/>
  <c r="I138" i="1"/>
  <c r="J137" i="1"/>
  <c r="I137" i="1"/>
  <c r="J136" i="1"/>
  <c r="I136" i="1"/>
  <c r="J135" i="1"/>
  <c r="I135" i="1"/>
  <c r="J134" i="1"/>
  <c r="I134" i="1"/>
  <c r="J133" i="1"/>
  <c r="I133" i="1"/>
  <c r="J132" i="1"/>
  <c r="I132" i="1"/>
  <c r="J131" i="1"/>
  <c r="I131" i="1"/>
  <c r="A131" i="1"/>
  <c r="A132" i="1" s="1"/>
  <c r="J130" i="1"/>
  <c r="I130" i="1"/>
  <c r="G989" i="7"/>
  <c r="F989" i="7"/>
  <c r="E989" i="7"/>
  <c r="D989" i="7"/>
  <c r="S989" i="7" s="1"/>
  <c r="C989" i="7"/>
  <c r="G988" i="7"/>
  <c r="F988" i="7"/>
  <c r="U988" i="7" s="1"/>
  <c r="E988" i="7"/>
  <c r="D988" i="7"/>
  <c r="S988" i="7" s="1"/>
  <c r="C988" i="7"/>
  <c r="G987" i="7"/>
  <c r="F987" i="7"/>
  <c r="E987" i="7"/>
  <c r="D987" i="7"/>
  <c r="C987" i="7"/>
  <c r="G986" i="7"/>
  <c r="V986" i="7" s="1"/>
  <c r="F986" i="7"/>
  <c r="E986" i="7"/>
  <c r="D986" i="7"/>
  <c r="S986" i="7" s="1"/>
  <c r="C986" i="7"/>
  <c r="G985" i="7"/>
  <c r="V985" i="7" s="1"/>
  <c r="F985" i="7"/>
  <c r="E985" i="7"/>
  <c r="D985" i="7"/>
  <c r="C985" i="7"/>
  <c r="G984" i="7"/>
  <c r="F984" i="7"/>
  <c r="E984" i="7"/>
  <c r="T984" i="7" s="1"/>
  <c r="D984" i="7"/>
  <c r="C984" i="7"/>
  <c r="G983" i="7"/>
  <c r="V983" i="7" s="1"/>
  <c r="F983" i="7"/>
  <c r="E983" i="7"/>
  <c r="T983" i="7" s="1"/>
  <c r="D983" i="7"/>
  <c r="C983" i="7"/>
  <c r="G982" i="7"/>
  <c r="F982" i="7"/>
  <c r="E982" i="7"/>
  <c r="D982" i="7"/>
  <c r="C982" i="7"/>
  <c r="R982" i="7" s="1"/>
  <c r="W982" i="7" s="1"/>
  <c r="G981" i="7"/>
  <c r="F981" i="7"/>
  <c r="E981" i="7"/>
  <c r="T981" i="7" s="1"/>
  <c r="D981" i="7"/>
  <c r="C981" i="7"/>
  <c r="R981" i="7" s="1"/>
  <c r="W981" i="7" s="1"/>
  <c r="G980" i="7"/>
  <c r="F980" i="7"/>
  <c r="E980" i="7"/>
  <c r="D980" i="7"/>
  <c r="C980" i="7"/>
  <c r="G979" i="7"/>
  <c r="F979" i="7"/>
  <c r="U979" i="7" s="1"/>
  <c r="E979" i="7"/>
  <c r="D979" i="7"/>
  <c r="C979" i="7"/>
  <c r="R979" i="7" s="1"/>
  <c r="W979" i="7" s="1"/>
  <c r="G978" i="7"/>
  <c r="F978" i="7"/>
  <c r="U978" i="7" s="1"/>
  <c r="E978" i="7"/>
  <c r="D978" i="7"/>
  <c r="C978" i="7"/>
  <c r="G977" i="7"/>
  <c r="F977" i="7"/>
  <c r="E977" i="7"/>
  <c r="D977" i="7"/>
  <c r="S977" i="7" s="1"/>
  <c r="C977" i="7"/>
  <c r="G976" i="7"/>
  <c r="F976" i="7"/>
  <c r="U976" i="7" s="1"/>
  <c r="E976" i="7"/>
  <c r="D976" i="7"/>
  <c r="S976" i="7" s="1"/>
  <c r="C976" i="7"/>
  <c r="G975" i="7"/>
  <c r="F975" i="7"/>
  <c r="E975" i="7"/>
  <c r="D975" i="7"/>
  <c r="C975" i="7"/>
  <c r="G974" i="7"/>
  <c r="V974" i="7" s="1"/>
  <c r="F974" i="7"/>
  <c r="E974" i="7"/>
  <c r="D974" i="7"/>
  <c r="S974" i="7" s="1"/>
  <c r="C974" i="7"/>
  <c r="G973" i="7"/>
  <c r="V973" i="7" s="1"/>
  <c r="F973" i="7"/>
  <c r="E973" i="7"/>
  <c r="D973" i="7"/>
  <c r="C973" i="7"/>
  <c r="G972" i="7"/>
  <c r="F972" i="7"/>
  <c r="E972" i="7"/>
  <c r="T972" i="7" s="1"/>
  <c r="D972" i="7"/>
  <c r="C972" i="7"/>
  <c r="G971" i="7"/>
  <c r="V971" i="7" s="1"/>
  <c r="F971" i="7"/>
  <c r="E971" i="7"/>
  <c r="T971" i="7" s="1"/>
  <c r="D971" i="7"/>
  <c r="C971" i="7"/>
  <c r="G970" i="7"/>
  <c r="F970" i="7"/>
  <c r="E970" i="7"/>
  <c r="D970" i="7"/>
  <c r="C970" i="7"/>
  <c r="R970" i="7" s="1"/>
  <c r="W970" i="7" s="1"/>
  <c r="G969" i="7"/>
  <c r="F969" i="7"/>
  <c r="E969" i="7"/>
  <c r="T969" i="7" s="1"/>
  <c r="D969" i="7"/>
  <c r="C969" i="7"/>
  <c r="R969" i="7" s="1"/>
  <c r="W969" i="7" s="1"/>
  <c r="G968" i="7"/>
  <c r="F968" i="7"/>
  <c r="E968" i="7"/>
  <c r="D968" i="7"/>
  <c r="C968" i="7"/>
  <c r="G967" i="7"/>
  <c r="F967" i="7"/>
  <c r="U967" i="7" s="1"/>
  <c r="E967" i="7"/>
  <c r="D967" i="7"/>
  <c r="C967" i="7"/>
  <c r="R967" i="7" s="1"/>
  <c r="W967" i="7" s="1"/>
  <c r="G966" i="7"/>
  <c r="F966" i="7"/>
  <c r="U966" i="7" s="1"/>
  <c r="E966" i="7"/>
  <c r="D966" i="7"/>
  <c r="C966" i="7"/>
  <c r="G965" i="7"/>
  <c r="F965" i="7"/>
  <c r="E965" i="7"/>
  <c r="D965" i="7"/>
  <c r="S965" i="7" s="1"/>
  <c r="C965" i="7"/>
  <c r="G964" i="7"/>
  <c r="F964" i="7"/>
  <c r="U964" i="7" s="1"/>
  <c r="E964" i="7"/>
  <c r="D964" i="7"/>
  <c r="S964" i="7" s="1"/>
  <c r="C964" i="7"/>
  <c r="G963" i="7"/>
  <c r="F963" i="7"/>
  <c r="E963" i="7"/>
  <c r="D963" i="7"/>
  <c r="C963" i="7"/>
  <c r="G962" i="7"/>
  <c r="V962" i="7" s="1"/>
  <c r="F962" i="7"/>
  <c r="E962" i="7"/>
  <c r="D962" i="7"/>
  <c r="S962" i="7" s="1"/>
  <c r="C962" i="7"/>
  <c r="G961" i="7"/>
  <c r="V961" i="7" s="1"/>
  <c r="F961" i="7"/>
  <c r="E961" i="7"/>
  <c r="D961" i="7"/>
  <c r="C961" i="7"/>
  <c r="G960" i="7"/>
  <c r="F960" i="7"/>
  <c r="E960" i="7"/>
  <c r="T960" i="7" s="1"/>
  <c r="D960" i="7"/>
  <c r="C960" i="7"/>
  <c r="G959" i="7"/>
  <c r="V959" i="7" s="1"/>
  <c r="F959" i="7"/>
  <c r="E959" i="7"/>
  <c r="T959" i="7" s="1"/>
  <c r="D959" i="7"/>
  <c r="C959" i="7"/>
  <c r="G958" i="7"/>
  <c r="F958" i="7"/>
  <c r="E958" i="7"/>
  <c r="D958" i="7"/>
  <c r="C958" i="7"/>
  <c r="R958" i="7" s="1"/>
  <c r="W958" i="7" s="1"/>
  <c r="G957" i="7"/>
  <c r="F957" i="7"/>
  <c r="E957" i="7"/>
  <c r="T957" i="7" s="1"/>
  <c r="D957" i="7"/>
  <c r="C957" i="7"/>
  <c r="R957" i="7" s="1"/>
  <c r="W957" i="7" s="1"/>
  <c r="G956" i="7"/>
  <c r="F956" i="7"/>
  <c r="E956" i="7"/>
  <c r="D956" i="7"/>
  <c r="C956" i="7"/>
  <c r="G955" i="7"/>
  <c r="F955" i="7"/>
  <c r="U955" i="7" s="1"/>
  <c r="E955" i="7"/>
  <c r="D955" i="7"/>
  <c r="C955" i="7"/>
  <c r="R955" i="7" s="1"/>
  <c r="W955" i="7" s="1"/>
  <c r="G954" i="7"/>
  <c r="F954" i="7"/>
  <c r="U954" i="7" s="1"/>
  <c r="E954" i="7"/>
  <c r="D954" i="7"/>
  <c r="C954" i="7"/>
  <c r="G953" i="7"/>
  <c r="F953" i="7"/>
  <c r="E953" i="7"/>
  <c r="D953" i="7"/>
  <c r="S953" i="7" s="1"/>
  <c r="C953" i="7"/>
  <c r="G952" i="7"/>
  <c r="F952" i="7"/>
  <c r="U952" i="7" s="1"/>
  <c r="E952" i="7"/>
  <c r="D952" i="7"/>
  <c r="S952" i="7" s="1"/>
  <c r="C952" i="7"/>
  <c r="G951" i="7"/>
  <c r="F951" i="7"/>
  <c r="E951" i="7"/>
  <c r="D951" i="7"/>
  <c r="C951" i="7"/>
  <c r="G950" i="7"/>
  <c r="V950" i="7" s="1"/>
  <c r="F950" i="7"/>
  <c r="E950" i="7"/>
  <c r="D950" i="7"/>
  <c r="S950" i="7" s="1"/>
  <c r="C950" i="7"/>
  <c r="G949" i="7"/>
  <c r="V949" i="7" s="1"/>
  <c r="F949" i="7"/>
  <c r="E949" i="7"/>
  <c r="D949" i="7"/>
  <c r="C949" i="7"/>
  <c r="G948" i="7"/>
  <c r="F948" i="7"/>
  <c r="E948" i="7"/>
  <c r="T948" i="7" s="1"/>
  <c r="D948" i="7"/>
  <c r="C948" i="7"/>
  <c r="G947" i="7"/>
  <c r="V947" i="7" s="1"/>
  <c r="F947" i="7"/>
  <c r="E947" i="7"/>
  <c r="T947" i="7" s="1"/>
  <c r="D947" i="7"/>
  <c r="C947" i="7"/>
  <c r="G946" i="7"/>
  <c r="F946" i="7"/>
  <c r="E946" i="7"/>
  <c r="D946" i="7"/>
  <c r="C946" i="7"/>
  <c r="R946" i="7" s="1"/>
  <c r="W946" i="7" s="1"/>
  <c r="G945" i="7"/>
  <c r="V945" i="7" s="1"/>
  <c r="F945" i="7"/>
  <c r="U945" i="7" s="1"/>
  <c r="E945" i="7"/>
  <c r="T945" i="7" s="1"/>
  <c r="D945" i="7"/>
  <c r="S945" i="7" s="1"/>
  <c r="C945" i="7"/>
  <c r="R945" i="7" s="1"/>
  <c r="W945" i="7" s="1"/>
  <c r="G944" i="7"/>
  <c r="V944" i="7" s="1"/>
  <c r="F944" i="7"/>
  <c r="U944" i="7" s="1"/>
  <c r="E944" i="7"/>
  <c r="T944" i="7" s="1"/>
  <c r="D944" i="7"/>
  <c r="S944" i="7" s="1"/>
  <c r="C944" i="7"/>
  <c r="G943" i="7"/>
  <c r="V943" i="7" s="1"/>
  <c r="F943" i="7"/>
  <c r="U943" i="7" s="1"/>
  <c r="E943" i="7"/>
  <c r="D943" i="7"/>
  <c r="C943" i="7"/>
  <c r="R943" i="7" s="1"/>
  <c r="W943" i="7" s="1"/>
  <c r="G942" i="7"/>
  <c r="V942" i="7" s="1"/>
  <c r="F942" i="7"/>
  <c r="U942" i="7" s="1"/>
  <c r="E942" i="7"/>
  <c r="T942" i="7" s="1"/>
  <c r="D942" i="7"/>
  <c r="S942" i="7" s="1"/>
  <c r="C942" i="7"/>
  <c r="G941" i="7"/>
  <c r="V941" i="7" s="1"/>
  <c r="F941" i="7"/>
  <c r="U941" i="7" s="1"/>
  <c r="E941" i="7"/>
  <c r="T941" i="7" s="1"/>
  <c r="D941" i="7"/>
  <c r="S941" i="7" s="1"/>
  <c r="C941" i="7"/>
  <c r="G940" i="7"/>
  <c r="V940" i="7" s="1"/>
  <c r="F940" i="7"/>
  <c r="U940" i="7" s="1"/>
  <c r="E940" i="7"/>
  <c r="D940" i="7"/>
  <c r="S940" i="7" s="1"/>
  <c r="C940" i="7"/>
  <c r="G939" i="7"/>
  <c r="V939" i="7" s="1"/>
  <c r="F939" i="7"/>
  <c r="U939" i="7" s="1"/>
  <c r="E939" i="7"/>
  <c r="T939" i="7" s="1"/>
  <c r="D939" i="7"/>
  <c r="S939" i="7" s="1"/>
  <c r="C939" i="7"/>
  <c r="G938" i="7"/>
  <c r="V938" i="7" s="1"/>
  <c r="F938" i="7"/>
  <c r="U938" i="7" s="1"/>
  <c r="E938" i="7"/>
  <c r="T938" i="7" s="1"/>
  <c r="D938" i="7"/>
  <c r="S938" i="7" s="1"/>
  <c r="C938" i="7"/>
  <c r="G937" i="7"/>
  <c r="V937" i="7" s="1"/>
  <c r="F937" i="7"/>
  <c r="U937" i="7" s="1"/>
  <c r="E937" i="7"/>
  <c r="D937" i="7"/>
  <c r="C937" i="7"/>
  <c r="G936" i="7"/>
  <c r="V936" i="7" s="1"/>
  <c r="F936" i="7"/>
  <c r="U936" i="7" s="1"/>
  <c r="E936" i="7"/>
  <c r="T936" i="7" s="1"/>
  <c r="D936" i="7"/>
  <c r="S936" i="7" s="1"/>
  <c r="C936" i="7"/>
  <c r="G935" i="7"/>
  <c r="V935" i="7" s="1"/>
  <c r="F935" i="7"/>
  <c r="U935" i="7" s="1"/>
  <c r="E935" i="7"/>
  <c r="T935" i="7" s="1"/>
  <c r="D935" i="7"/>
  <c r="S935" i="7" s="1"/>
  <c r="C935" i="7"/>
  <c r="G934" i="7"/>
  <c r="V934" i="7" s="1"/>
  <c r="F934" i="7"/>
  <c r="U934" i="7" s="1"/>
  <c r="E934" i="7"/>
  <c r="D934" i="7"/>
  <c r="C934" i="7"/>
  <c r="R934" i="7" s="1"/>
  <c r="W934" i="7" s="1"/>
  <c r="G933" i="7"/>
  <c r="V933" i="7" s="1"/>
  <c r="F933" i="7"/>
  <c r="U933" i="7" s="1"/>
  <c r="E933" i="7"/>
  <c r="T933" i="7" s="1"/>
  <c r="D933" i="7"/>
  <c r="S933" i="7" s="1"/>
  <c r="C933" i="7"/>
  <c r="R933" i="7" s="1"/>
  <c r="W933" i="7" s="1"/>
  <c r="G932" i="7"/>
  <c r="V932" i="7" s="1"/>
  <c r="F932" i="7"/>
  <c r="U932" i="7" s="1"/>
  <c r="E932" i="7"/>
  <c r="T932" i="7" s="1"/>
  <c r="D932" i="7"/>
  <c r="S932" i="7" s="1"/>
  <c r="C932" i="7"/>
  <c r="G931" i="7"/>
  <c r="V931" i="7" s="1"/>
  <c r="F931" i="7"/>
  <c r="U931" i="7" s="1"/>
  <c r="E931" i="7"/>
  <c r="D931" i="7"/>
  <c r="C931" i="7"/>
  <c r="R931" i="7" s="1"/>
  <c r="W931" i="7" s="1"/>
  <c r="G930" i="7"/>
  <c r="V930" i="7" s="1"/>
  <c r="F930" i="7"/>
  <c r="U930" i="7" s="1"/>
  <c r="E930" i="7"/>
  <c r="T930" i="7" s="1"/>
  <c r="D930" i="7"/>
  <c r="S930" i="7" s="1"/>
  <c r="C930" i="7"/>
  <c r="G929" i="7"/>
  <c r="V929" i="7" s="1"/>
  <c r="F929" i="7"/>
  <c r="U929" i="7" s="1"/>
  <c r="E929" i="7"/>
  <c r="T929" i="7" s="1"/>
  <c r="D929" i="7"/>
  <c r="S929" i="7" s="1"/>
  <c r="C929" i="7"/>
  <c r="G928" i="7"/>
  <c r="V928" i="7" s="1"/>
  <c r="F928" i="7"/>
  <c r="U928" i="7" s="1"/>
  <c r="E928" i="7"/>
  <c r="D928" i="7"/>
  <c r="S928" i="7" s="1"/>
  <c r="C928" i="7"/>
  <c r="G927" i="7"/>
  <c r="V927" i="7" s="1"/>
  <c r="F927" i="7"/>
  <c r="U927" i="7" s="1"/>
  <c r="E927" i="7"/>
  <c r="T927" i="7" s="1"/>
  <c r="D927" i="7"/>
  <c r="S927" i="7" s="1"/>
  <c r="C927" i="7"/>
  <c r="G926" i="7"/>
  <c r="V926" i="7" s="1"/>
  <c r="F926" i="7"/>
  <c r="U926" i="7" s="1"/>
  <c r="E926" i="7"/>
  <c r="T926" i="7" s="1"/>
  <c r="D926" i="7"/>
  <c r="S926" i="7" s="1"/>
  <c r="C926" i="7"/>
  <c r="G925" i="7"/>
  <c r="V925" i="7" s="1"/>
  <c r="F925" i="7"/>
  <c r="U925" i="7" s="1"/>
  <c r="E925" i="7"/>
  <c r="D925" i="7"/>
  <c r="C925" i="7"/>
  <c r="G924" i="7"/>
  <c r="V924" i="7" s="1"/>
  <c r="F924" i="7"/>
  <c r="U924" i="7" s="1"/>
  <c r="E924" i="7"/>
  <c r="T924" i="7" s="1"/>
  <c r="D924" i="7"/>
  <c r="S924" i="7" s="1"/>
  <c r="C924" i="7"/>
  <c r="G923" i="7"/>
  <c r="V923" i="7" s="1"/>
  <c r="F923" i="7"/>
  <c r="U923" i="7" s="1"/>
  <c r="E923" i="7"/>
  <c r="T923" i="7" s="1"/>
  <c r="D923" i="7"/>
  <c r="S923" i="7" s="1"/>
  <c r="C923" i="7"/>
  <c r="G922" i="7"/>
  <c r="V922" i="7" s="1"/>
  <c r="F922" i="7"/>
  <c r="U922" i="7" s="1"/>
  <c r="E922" i="7"/>
  <c r="D922" i="7"/>
  <c r="C922" i="7"/>
  <c r="R922" i="7" s="1"/>
  <c r="W922" i="7" s="1"/>
  <c r="G921" i="7"/>
  <c r="V921" i="7" s="1"/>
  <c r="F921" i="7"/>
  <c r="U921" i="7" s="1"/>
  <c r="E921" i="7"/>
  <c r="T921" i="7" s="1"/>
  <c r="D921" i="7"/>
  <c r="S921" i="7" s="1"/>
  <c r="C921" i="7"/>
  <c r="R921" i="7" s="1"/>
  <c r="W921" i="7" s="1"/>
  <c r="G920" i="7"/>
  <c r="V920" i="7" s="1"/>
  <c r="F920" i="7"/>
  <c r="U920" i="7" s="1"/>
  <c r="E920" i="7"/>
  <c r="T920" i="7" s="1"/>
  <c r="D920" i="7"/>
  <c r="S920" i="7" s="1"/>
  <c r="C920" i="7"/>
  <c r="G919" i="7"/>
  <c r="V919" i="7" s="1"/>
  <c r="F919" i="7"/>
  <c r="U919" i="7" s="1"/>
  <c r="E919" i="7"/>
  <c r="D919" i="7"/>
  <c r="C919" i="7"/>
  <c r="R919" i="7" s="1"/>
  <c r="W919" i="7" s="1"/>
  <c r="G918" i="7"/>
  <c r="V918" i="7" s="1"/>
  <c r="F918" i="7"/>
  <c r="U918" i="7" s="1"/>
  <c r="E918" i="7"/>
  <c r="T918" i="7" s="1"/>
  <c r="D918" i="7"/>
  <c r="S918" i="7" s="1"/>
  <c r="C918" i="7"/>
  <c r="G917" i="7"/>
  <c r="V917" i="7" s="1"/>
  <c r="F917" i="7"/>
  <c r="U917" i="7" s="1"/>
  <c r="E917" i="7"/>
  <c r="T917" i="7" s="1"/>
  <c r="D917" i="7"/>
  <c r="S917" i="7" s="1"/>
  <c r="C917" i="7"/>
  <c r="G916" i="7"/>
  <c r="V916" i="7" s="1"/>
  <c r="F916" i="7"/>
  <c r="U916" i="7" s="1"/>
  <c r="E916" i="7"/>
  <c r="D916" i="7"/>
  <c r="S916" i="7" s="1"/>
  <c r="C916" i="7"/>
  <c r="G915" i="7"/>
  <c r="V915" i="7" s="1"/>
  <c r="F915" i="7"/>
  <c r="U915" i="7" s="1"/>
  <c r="E915" i="7"/>
  <c r="T915" i="7" s="1"/>
  <c r="D915" i="7"/>
  <c r="S915" i="7" s="1"/>
  <c r="C915" i="7"/>
  <c r="G914" i="7"/>
  <c r="V914" i="7" s="1"/>
  <c r="F914" i="7"/>
  <c r="U914" i="7" s="1"/>
  <c r="E914" i="7"/>
  <c r="T914" i="7" s="1"/>
  <c r="D914" i="7"/>
  <c r="S914" i="7" s="1"/>
  <c r="C914" i="7"/>
  <c r="G913" i="7"/>
  <c r="V913" i="7" s="1"/>
  <c r="F913" i="7"/>
  <c r="U913" i="7" s="1"/>
  <c r="E913" i="7"/>
  <c r="D913" i="7"/>
  <c r="C913" i="7"/>
  <c r="G912" i="7"/>
  <c r="V912" i="7" s="1"/>
  <c r="F912" i="7"/>
  <c r="U912" i="7" s="1"/>
  <c r="E912" i="7"/>
  <c r="T912" i="7" s="1"/>
  <c r="D912" i="7"/>
  <c r="S912" i="7" s="1"/>
  <c r="C912" i="7"/>
  <c r="G911" i="7"/>
  <c r="V911" i="7" s="1"/>
  <c r="F911" i="7"/>
  <c r="U911" i="7" s="1"/>
  <c r="E911" i="7"/>
  <c r="T911" i="7" s="1"/>
  <c r="D911" i="7"/>
  <c r="S911" i="7" s="1"/>
  <c r="C911" i="7"/>
  <c r="G910" i="7"/>
  <c r="V910" i="7" s="1"/>
  <c r="F910" i="7"/>
  <c r="U910" i="7" s="1"/>
  <c r="E910" i="7"/>
  <c r="D910" i="7"/>
  <c r="C910" i="7"/>
  <c r="R910" i="7" s="1"/>
  <c r="W910" i="7" s="1"/>
  <c r="G909" i="7"/>
  <c r="V909" i="7" s="1"/>
  <c r="F909" i="7"/>
  <c r="U909" i="7" s="1"/>
  <c r="E909" i="7"/>
  <c r="T909" i="7" s="1"/>
  <c r="D909" i="7"/>
  <c r="S909" i="7" s="1"/>
  <c r="C909" i="7"/>
  <c r="R909" i="7" s="1"/>
  <c r="W909" i="7" s="1"/>
  <c r="G908" i="7"/>
  <c r="V908" i="7" s="1"/>
  <c r="F908" i="7"/>
  <c r="U908" i="7" s="1"/>
  <c r="E908" i="7"/>
  <c r="T908" i="7" s="1"/>
  <c r="D908" i="7"/>
  <c r="S908" i="7" s="1"/>
  <c r="C908" i="7"/>
  <c r="G907" i="7"/>
  <c r="V907" i="7" s="1"/>
  <c r="F907" i="7"/>
  <c r="U907" i="7" s="1"/>
  <c r="E907" i="7"/>
  <c r="D907" i="7"/>
  <c r="C907" i="7"/>
  <c r="R907" i="7" s="1"/>
  <c r="W907" i="7" s="1"/>
  <c r="G906" i="7"/>
  <c r="V906" i="7" s="1"/>
  <c r="F906" i="7"/>
  <c r="U906" i="7" s="1"/>
  <c r="E906" i="7"/>
  <c r="T906" i="7" s="1"/>
  <c r="D906" i="7"/>
  <c r="S906" i="7" s="1"/>
  <c r="C906" i="7"/>
  <c r="G905" i="7"/>
  <c r="V905" i="7" s="1"/>
  <c r="F905" i="7"/>
  <c r="U905" i="7" s="1"/>
  <c r="E905" i="7"/>
  <c r="T905" i="7" s="1"/>
  <c r="D905" i="7"/>
  <c r="S905" i="7" s="1"/>
  <c r="C905" i="7"/>
  <c r="G904" i="7"/>
  <c r="V904" i="7" s="1"/>
  <c r="F904" i="7"/>
  <c r="U904" i="7" s="1"/>
  <c r="E904" i="7"/>
  <c r="D904" i="7"/>
  <c r="S904" i="7" s="1"/>
  <c r="C904" i="7"/>
  <c r="G903" i="7"/>
  <c r="V903" i="7" s="1"/>
  <c r="F903" i="7"/>
  <c r="U903" i="7" s="1"/>
  <c r="E903" i="7"/>
  <c r="T903" i="7" s="1"/>
  <c r="D903" i="7"/>
  <c r="S903" i="7" s="1"/>
  <c r="C903" i="7"/>
  <c r="G902" i="7"/>
  <c r="V902" i="7" s="1"/>
  <c r="F902" i="7"/>
  <c r="U902" i="7" s="1"/>
  <c r="E902" i="7"/>
  <c r="T902" i="7" s="1"/>
  <c r="D902" i="7"/>
  <c r="S902" i="7" s="1"/>
  <c r="C902" i="7"/>
  <c r="G901" i="7"/>
  <c r="V901" i="7" s="1"/>
  <c r="F901" i="7"/>
  <c r="U901" i="7" s="1"/>
  <c r="E901" i="7"/>
  <c r="D901" i="7"/>
  <c r="C901" i="7"/>
  <c r="G900" i="7"/>
  <c r="V900" i="7" s="1"/>
  <c r="F900" i="7"/>
  <c r="U900" i="7" s="1"/>
  <c r="E900" i="7"/>
  <c r="T900" i="7" s="1"/>
  <c r="D900" i="7"/>
  <c r="S900" i="7" s="1"/>
  <c r="C900" i="7"/>
  <c r="G899" i="7"/>
  <c r="V899" i="7" s="1"/>
  <c r="F899" i="7"/>
  <c r="U899" i="7" s="1"/>
  <c r="E899" i="7"/>
  <c r="T899" i="7" s="1"/>
  <c r="D899" i="7"/>
  <c r="S899" i="7" s="1"/>
  <c r="C899" i="7"/>
  <c r="G898" i="7"/>
  <c r="V898" i="7" s="1"/>
  <c r="F898" i="7"/>
  <c r="U898" i="7" s="1"/>
  <c r="E898" i="7"/>
  <c r="D898" i="7"/>
  <c r="C898" i="7"/>
  <c r="R898" i="7" s="1"/>
  <c r="W898" i="7" s="1"/>
  <c r="G897" i="7"/>
  <c r="V897" i="7" s="1"/>
  <c r="F897" i="7"/>
  <c r="U897" i="7" s="1"/>
  <c r="E897" i="7"/>
  <c r="T897" i="7" s="1"/>
  <c r="D897" i="7"/>
  <c r="S897" i="7" s="1"/>
  <c r="C897" i="7"/>
  <c r="R897" i="7" s="1"/>
  <c r="W897" i="7" s="1"/>
  <c r="G896" i="7"/>
  <c r="V896" i="7" s="1"/>
  <c r="F896" i="7"/>
  <c r="U896" i="7" s="1"/>
  <c r="E896" i="7"/>
  <c r="T896" i="7" s="1"/>
  <c r="D896" i="7"/>
  <c r="S896" i="7" s="1"/>
  <c r="C896" i="7"/>
  <c r="G895" i="7"/>
  <c r="V895" i="7" s="1"/>
  <c r="F895" i="7"/>
  <c r="U895" i="7" s="1"/>
  <c r="E895" i="7"/>
  <c r="D895" i="7"/>
  <c r="C895" i="7"/>
  <c r="R895" i="7" s="1"/>
  <c r="W895" i="7" s="1"/>
  <c r="G894" i="7"/>
  <c r="V894" i="7" s="1"/>
  <c r="F894" i="7"/>
  <c r="U894" i="7" s="1"/>
  <c r="E894" i="7"/>
  <c r="T894" i="7" s="1"/>
  <c r="D894" i="7"/>
  <c r="S894" i="7" s="1"/>
  <c r="C894" i="7"/>
  <c r="G893" i="7"/>
  <c r="V893" i="7" s="1"/>
  <c r="F893" i="7"/>
  <c r="U893" i="7" s="1"/>
  <c r="E893" i="7"/>
  <c r="T893" i="7" s="1"/>
  <c r="D893" i="7"/>
  <c r="S893" i="7" s="1"/>
  <c r="C893" i="7"/>
  <c r="G892" i="7"/>
  <c r="V892" i="7" s="1"/>
  <c r="F892" i="7"/>
  <c r="U892" i="7" s="1"/>
  <c r="E892" i="7"/>
  <c r="D892" i="7"/>
  <c r="S892" i="7" s="1"/>
  <c r="C892" i="7"/>
  <c r="G891" i="7"/>
  <c r="V891" i="7" s="1"/>
  <c r="F891" i="7"/>
  <c r="U891" i="7" s="1"/>
  <c r="E891" i="7"/>
  <c r="T891" i="7" s="1"/>
  <c r="D891" i="7"/>
  <c r="S891" i="7" s="1"/>
  <c r="C891" i="7"/>
  <c r="G890" i="7"/>
  <c r="V890" i="7" s="1"/>
  <c r="F890" i="7"/>
  <c r="U890" i="7" s="1"/>
  <c r="E890" i="7"/>
  <c r="T890" i="7" s="1"/>
  <c r="D890" i="7"/>
  <c r="S890" i="7" s="1"/>
  <c r="C890" i="7"/>
  <c r="G889" i="7"/>
  <c r="V889" i="7" s="1"/>
  <c r="F889" i="7"/>
  <c r="U889" i="7" s="1"/>
  <c r="E889" i="7"/>
  <c r="D889" i="7"/>
  <c r="C889" i="7"/>
  <c r="G888" i="7"/>
  <c r="V888" i="7" s="1"/>
  <c r="F888" i="7"/>
  <c r="U888" i="7" s="1"/>
  <c r="E888" i="7"/>
  <c r="T888" i="7" s="1"/>
  <c r="D888" i="7"/>
  <c r="S888" i="7" s="1"/>
  <c r="C888" i="7"/>
  <c r="G887" i="7"/>
  <c r="V887" i="7" s="1"/>
  <c r="F887" i="7"/>
  <c r="U887" i="7" s="1"/>
  <c r="E887" i="7"/>
  <c r="T887" i="7" s="1"/>
  <c r="D887" i="7"/>
  <c r="S887" i="7" s="1"/>
  <c r="C887" i="7"/>
  <c r="G886" i="7"/>
  <c r="V886" i="7" s="1"/>
  <c r="F886" i="7"/>
  <c r="U886" i="7" s="1"/>
  <c r="E886" i="7"/>
  <c r="D886" i="7"/>
  <c r="C886" i="7"/>
  <c r="R886" i="7" s="1"/>
  <c r="W886" i="7" s="1"/>
  <c r="G885" i="7"/>
  <c r="V885" i="7" s="1"/>
  <c r="F885" i="7"/>
  <c r="U885" i="7" s="1"/>
  <c r="E885" i="7"/>
  <c r="T885" i="7" s="1"/>
  <c r="D885" i="7"/>
  <c r="S885" i="7" s="1"/>
  <c r="C885" i="7"/>
  <c r="R885" i="7" s="1"/>
  <c r="W885" i="7" s="1"/>
  <c r="G884" i="7"/>
  <c r="V884" i="7" s="1"/>
  <c r="F884" i="7"/>
  <c r="U884" i="7" s="1"/>
  <c r="E884" i="7"/>
  <c r="T884" i="7" s="1"/>
  <c r="D884" i="7"/>
  <c r="S884" i="7" s="1"/>
  <c r="C884" i="7"/>
  <c r="G883" i="7"/>
  <c r="V883" i="7" s="1"/>
  <c r="F883" i="7"/>
  <c r="U883" i="7" s="1"/>
  <c r="E883" i="7"/>
  <c r="D883" i="7"/>
  <c r="C883" i="7"/>
  <c r="R883" i="7" s="1"/>
  <c r="W883" i="7" s="1"/>
  <c r="G882" i="7"/>
  <c r="V882" i="7" s="1"/>
  <c r="F882" i="7"/>
  <c r="U882" i="7" s="1"/>
  <c r="E882" i="7"/>
  <c r="T882" i="7" s="1"/>
  <c r="D882" i="7"/>
  <c r="S882" i="7" s="1"/>
  <c r="C882" i="7"/>
  <c r="G881" i="7"/>
  <c r="V881" i="7" s="1"/>
  <c r="F881" i="7"/>
  <c r="U881" i="7" s="1"/>
  <c r="E881" i="7"/>
  <c r="T881" i="7" s="1"/>
  <c r="D881" i="7"/>
  <c r="S881" i="7" s="1"/>
  <c r="C881" i="7"/>
  <c r="G880" i="7"/>
  <c r="V880" i="7" s="1"/>
  <c r="F880" i="7"/>
  <c r="U880" i="7" s="1"/>
  <c r="E880" i="7"/>
  <c r="D880" i="7"/>
  <c r="S880" i="7" s="1"/>
  <c r="C880" i="7"/>
  <c r="G879" i="7"/>
  <c r="V879" i="7" s="1"/>
  <c r="F879" i="7"/>
  <c r="U879" i="7" s="1"/>
  <c r="E879" i="7"/>
  <c r="T879" i="7" s="1"/>
  <c r="D879" i="7"/>
  <c r="S879" i="7" s="1"/>
  <c r="C879" i="7"/>
  <c r="G878" i="7"/>
  <c r="V878" i="7" s="1"/>
  <c r="F878" i="7"/>
  <c r="U878" i="7" s="1"/>
  <c r="E878" i="7"/>
  <c r="T878" i="7" s="1"/>
  <c r="D878" i="7"/>
  <c r="S878" i="7" s="1"/>
  <c r="C878" i="7"/>
  <c r="G877" i="7"/>
  <c r="V877" i="7" s="1"/>
  <c r="F877" i="7"/>
  <c r="U877" i="7" s="1"/>
  <c r="E877" i="7"/>
  <c r="D877" i="7"/>
  <c r="C877" i="7"/>
  <c r="G876" i="7"/>
  <c r="V876" i="7" s="1"/>
  <c r="F876" i="7"/>
  <c r="U876" i="7" s="1"/>
  <c r="E876" i="7"/>
  <c r="T876" i="7" s="1"/>
  <c r="D876" i="7"/>
  <c r="S876" i="7" s="1"/>
  <c r="C876" i="7"/>
  <c r="G875" i="7"/>
  <c r="V875" i="7" s="1"/>
  <c r="F875" i="7"/>
  <c r="U875" i="7" s="1"/>
  <c r="E875" i="7"/>
  <c r="T875" i="7" s="1"/>
  <c r="D875" i="7"/>
  <c r="S875" i="7" s="1"/>
  <c r="C875" i="7"/>
  <c r="G874" i="7"/>
  <c r="V874" i="7" s="1"/>
  <c r="F874" i="7"/>
  <c r="U874" i="7" s="1"/>
  <c r="E874" i="7"/>
  <c r="D874" i="7"/>
  <c r="C874" i="7"/>
  <c r="R874" i="7" s="1"/>
  <c r="W874" i="7" s="1"/>
  <c r="G873" i="7"/>
  <c r="V873" i="7" s="1"/>
  <c r="F873" i="7"/>
  <c r="U873" i="7" s="1"/>
  <c r="E873" i="7"/>
  <c r="T873" i="7" s="1"/>
  <c r="D873" i="7"/>
  <c r="S873" i="7" s="1"/>
  <c r="C873" i="7"/>
  <c r="R873" i="7" s="1"/>
  <c r="W873" i="7" s="1"/>
  <c r="G872" i="7"/>
  <c r="V872" i="7" s="1"/>
  <c r="F872" i="7"/>
  <c r="U872" i="7" s="1"/>
  <c r="E872" i="7"/>
  <c r="T872" i="7" s="1"/>
  <c r="D872" i="7"/>
  <c r="S872" i="7" s="1"/>
  <c r="C872" i="7"/>
  <c r="G871" i="7"/>
  <c r="V871" i="7" s="1"/>
  <c r="F871" i="7"/>
  <c r="U871" i="7" s="1"/>
  <c r="E871" i="7"/>
  <c r="D871" i="7"/>
  <c r="C871" i="7"/>
  <c r="R871" i="7" s="1"/>
  <c r="W871" i="7" s="1"/>
  <c r="G870" i="7"/>
  <c r="V870" i="7" s="1"/>
  <c r="F870" i="7"/>
  <c r="U870" i="7" s="1"/>
  <c r="E870" i="7"/>
  <c r="T870" i="7" s="1"/>
  <c r="D870" i="7"/>
  <c r="S870" i="7" s="1"/>
  <c r="C870" i="7"/>
  <c r="G869" i="7"/>
  <c r="V869" i="7" s="1"/>
  <c r="F869" i="7"/>
  <c r="U869" i="7" s="1"/>
  <c r="E869" i="7"/>
  <c r="T869" i="7" s="1"/>
  <c r="D869" i="7"/>
  <c r="S869" i="7" s="1"/>
  <c r="C869" i="7"/>
  <c r="G868" i="7"/>
  <c r="V868" i="7" s="1"/>
  <c r="F868" i="7"/>
  <c r="U868" i="7" s="1"/>
  <c r="E868" i="7"/>
  <c r="D868" i="7"/>
  <c r="S868" i="7" s="1"/>
  <c r="C868" i="7"/>
  <c r="G867" i="7"/>
  <c r="V867" i="7" s="1"/>
  <c r="F867" i="7"/>
  <c r="U867" i="7" s="1"/>
  <c r="E867" i="7"/>
  <c r="T867" i="7" s="1"/>
  <c r="D867" i="7"/>
  <c r="S867" i="7" s="1"/>
  <c r="C867" i="7"/>
  <c r="G866" i="7"/>
  <c r="V866" i="7" s="1"/>
  <c r="F866" i="7"/>
  <c r="U866" i="7" s="1"/>
  <c r="E866" i="7"/>
  <c r="T866" i="7" s="1"/>
  <c r="D866" i="7"/>
  <c r="S866" i="7" s="1"/>
  <c r="C866" i="7"/>
  <c r="G865" i="7"/>
  <c r="V865" i="7" s="1"/>
  <c r="F865" i="7"/>
  <c r="U865" i="7" s="1"/>
  <c r="E865" i="7"/>
  <c r="D865" i="7"/>
  <c r="C865" i="7"/>
  <c r="G864" i="7"/>
  <c r="V864" i="7" s="1"/>
  <c r="F864" i="7"/>
  <c r="U864" i="7" s="1"/>
  <c r="E864" i="7"/>
  <c r="T864" i="7" s="1"/>
  <c r="D864" i="7"/>
  <c r="S864" i="7" s="1"/>
  <c r="C864" i="7"/>
  <c r="G863" i="7"/>
  <c r="V863" i="7" s="1"/>
  <c r="F863" i="7"/>
  <c r="U863" i="7" s="1"/>
  <c r="E863" i="7"/>
  <c r="T863" i="7" s="1"/>
  <c r="D863" i="7"/>
  <c r="S863" i="7" s="1"/>
  <c r="C863" i="7"/>
  <c r="G862" i="7"/>
  <c r="V862" i="7" s="1"/>
  <c r="F862" i="7"/>
  <c r="U862" i="7" s="1"/>
  <c r="E862" i="7"/>
  <c r="D862" i="7"/>
  <c r="C862" i="7"/>
  <c r="R862" i="7" s="1"/>
  <c r="W862" i="7" s="1"/>
  <c r="G861" i="7"/>
  <c r="V861" i="7" s="1"/>
  <c r="F861" i="7"/>
  <c r="U861" i="7" s="1"/>
  <c r="E861" i="7"/>
  <c r="T861" i="7" s="1"/>
  <c r="D861" i="7"/>
  <c r="S861" i="7" s="1"/>
  <c r="C861" i="7"/>
  <c r="R861" i="7" s="1"/>
  <c r="W861" i="7" s="1"/>
  <c r="G860" i="7"/>
  <c r="V860" i="7" s="1"/>
  <c r="F860" i="7"/>
  <c r="U860" i="7" s="1"/>
  <c r="E860" i="7"/>
  <c r="T860" i="7" s="1"/>
  <c r="D860" i="7"/>
  <c r="S860" i="7" s="1"/>
  <c r="C860" i="7"/>
  <c r="G859" i="7"/>
  <c r="V859" i="7" s="1"/>
  <c r="F859" i="7"/>
  <c r="U859" i="7" s="1"/>
  <c r="E859" i="7"/>
  <c r="D859" i="7"/>
  <c r="C859" i="7"/>
  <c r="R859" i="7" s="1"/>
  <c r="W859" i="7" s="1"/>
  <c r="G858" i="7"/>
  <c r="V858" i="7" s="1"/>
  <c r="F858" i="7"/>
  <c r="U858" i="7" s="1"/>
  <c r="E858" i="7"/>
  <c r="T858" i="7" s="1"/>
  <c r="D858" i="7"/>
  <c r="S858" i="7" s="1"/>
  <c r="C858" i="7"/>
  <c r="G857" i="7"/>
  <c r="V857" i="7" s="1"/>
  <c r="F857" i="7"/>
  <c r="U857" i="7" s="1"/>
  <c r="E857" i="7"/>
  <c r="T857" i="7" s="1"/>
  <c r="D857" i="7"/>
  <c r="S857" i="7" s="1"/>
  <c r="C857" i="7"/>
  <c r="G856" i="7"/>
  <c r="V856" i="7" s="1"/>
  <c r="F856" i="7"/>
  <c r="U856" i="7" s="1"/>
  <c r="E856" i="7"/>
  <c r="D856" i="7"/>
  <c r="S856" i="7" s="1"/>
  <c r="C856" i="7"/>
  <c r="G855" i="7"/>
  <c r="V855" i="7" s="1"/>
  <c r="F855" i="7"/>
  <c r="U855" i="7" s="1"/>
  <c r="E855" i="7"/>
  <c r="T855" i="7" s="1"/>
  <c r="D855" i="7"/>
  <c r="S855" i="7" s="1"/>
  <c r="C855" i="7"/>
  <c r="G854" i="7"/>
  <c r="V854" i="7" s="1"/>
  <c r="F854" i="7"/>
  <c r="U854" i="7" s="1"/>
  <c r="E854" i="7"/>
  <c r="T854" i="7" s="1"/>
  <c r="D854" i="7"/>
  <c r="S854" i="7" s="1"/>
  <c r="C854" i="7"/>
  <c r="G853" i="7"/>
  <c r="V853" i="7" s="1"/>
  <c r="F853" i="7"/>
  <c r="U853" i="7" s="1"/>
  <c r="E853" i="7"/>
  <c r="D853" i="7"/>
  <c r="C853" i="7"/>
  <c r="G852" i="7"/>
  <c r="V852" i="7" s="1"/>
  <c r="F852" i="7"/>
  <c r="U852" i="7" s="1"/>
  <c r="E852" i="7"/>
  <c r="T852" i="7" s="1"/>
  <c r="D852" i="7"/>
  <c r="S852" i="7" s="1"/>
  <c r="C852" i="7"/>
  <c r="G851" i="7"/>
  <c r="V851" i="7" s="1"/>
  <c r="F851" i="7"/>
  <c r="U851" i="7" s="1"/>
  <c r="E851" i="7"/>
  <c r="T851" i="7" s="1"/>
  <c r="D851" i="7"/>
  <c r="S851" i="7" s="1"/>
  <c r="C851" i="7"/>
  <c r="G850" i="7"/>
  <c r="V850" i="7" s="1"/>
  <c r="F850" i="7"/>
  <c r="U850" i="7" s="1"/>
  <c r="E850" i="7"/>
  <c r="D850" i="7"/>
  <c r="C850" i="7"/>
  <c r="R850" i="7" s="1"/>
  <c r="W850" i="7" s="1"/>
  <c r="G849" i="7"/>
  <c r="V849" i="7" s="1"/>
  <c r="F849" i="7"/>
  <c r="U849" i="7" s="1"/>
  <c r="E849" i="7"/>
  <c r="T849" i="7" s="1"/>
  <c r="D849" i="7"/>
  <c r="S849" i="7" s="1"/>
  <c r="C849" i="7"/>
  <c r="R849" i="7" s="1"/>
  <c r="W849" i="7" s="1"/>
  <c r="G848" i="7"/>
  <c r="V848" i="7" s="1"/>
  <c r="F848" i="7"/>
  <c r="U848" i="7" s="1"/>
  <c r="E848" i="7"/>
  <c r="T848" i="7" s="1"/>
  <c r="D848" i="7"/>
  <c r="S848" i="7" s="1"/>
  <c r="C848" i="7"/>
  <c r="G847" i="7"/>
  <c r="V847" i="7" s="1"/>
  <c r="F847" i="7"/>
  <c r="U847" i="7" s="1"/>
  <c r="E847" i="7"/>
  <c r="D847" i="7"/>
  <c r="C847" i="7"/>
  <c r="R847" i="7" s="1"/>
  <c r="W847" i="7" s="1"/>
  <c r="G846" i="7"/>
  <c r="V846" i="7" s="1"/>
  <c r="F846" i="7"/>
  <c r="U846" i="7" s="1"/>
  <c r="E846" i="7"/>
  <c r="T846" i="7" s="1"/>
  <c r="D846" i="7"/>
  <c r="S846" i="7" s="1"/>
  <c r="C846" i="7"/>
  <c r="G845" i="7"/>
  <c r="V845" i="7" s="1"/>
  <c r="F845" i="7"/>
  <c r="U845" i="7" s="1"/>
  <c r="E845" i="7"/>
  <c r="T845" i="7" s="1"/>
  <c r="D845" i="7"/>
  <c r="S845" i="7" s="1"/>
  <c r="C845" i="7"/>
  <c r="G844" i="7"/>
  <c r="V844" i="7" s="1"/>
  <c r="F844" i="7"/>
  <c r="U844" i="7" s="1"/>
  <c r="E844" i="7"/>
  <c r="D844" i="7"/>
  <c r="S844" i="7" s="1"/>
  <c r="C844" i="7"/>
  <c r="G843" i="7"/>
  <c r="V843" i="7" s="1"/>
  <c r="F843" i="7"/>
  <c r="U843" i="7" s="1"/>
  <c r="E843" i="7"/>
  <c r="T843" i="7" s="1"/>
  <c r="D843" i="7"/>
  <c r="S843" i="7" s="1"/>
  <c r="C843" i="7"/>
  <c r="G842" i="7"/>
  <c r="V842" i="7" s="1"/>
  <c r="F842" i="7"/>
  <c r="U842" i="7" s="1"/>
  <c r="E842" i="7"/>
  <c r="T842" i="7" s="1"/>
  <c r="D842" i="7"/>
  <c r="S842" i="7" s="1"/>
  <c r="C842" i="7"/>
  <c r="G841" i="7"/>
  <c r="V841" i="7" s="1"/>
  <c r="F841" i="7"/>
  <c r="U841" i="7" s="1"/>
  <c r="E841" i="7"/>
  <c r="D841" i="7"/>
  <c r="C841" i="7"/>
  <c r="G840" i="7"/>
  <c r="V840" i="7" s="1"/>
  <c r="F840" i="7"/>
  <c r="U840" i="7" s="1"/>
  <c r="E840" i="7"/>
  <c r="T840" i="7" s="1"/>
  <c r="D840" i="7"/>
  <c r="S840" i="7" s="1"/>
  <c r="C840" i="7"/>
  <c r="G839" i="7"/>
  <c r="V839" i="7" s="1"/>
  <c r="F839" i="7"/>
  <c r="U839" i="7" s="1"/>
  <c r="E839" i="7"/>
  <c r="T839" i="7" s="1"/>
  <c r="D839" i="7"/>
  <c r="S839" i="7" s="1"/>
  <c r="C839" i="7"/>
  <c r="G838" i="7"/>
  <c r="V838" i="7" s="1"/>
  <c r="F838" i="7"/>
  <c r="U838" i="7" s="1"/>
  <c r="E838" i="7"/>
  <c r="D838" i="7"/>
  <c r="C838" i="7"/>
  <c r="R838" i="7" s="1"/>
  <c r="W838" i="7" s="1"/>
  <c r="G837" i="7"/>
  <c r="V837" i="7" s="1"/>
  <c r="F837" i="7"/>
  <c r="U837" i="7" s="1"/>
  <c r="E837" i="7"/>
  <c r="T837" i="7" s="1"/>
  <c r="D837" i="7"/>
  <c r="S837" i="7" s="1"/>
  <c r="C837" i="7"/>
  <c r="R837" i="7" s="1"/>
  <c r="W837" i="7" s="1"/>
  <c r="G836" i="7"/>
  <c r="V836" i="7" s="1"/>
  <c r="F836" i="7"/>
  <c r="U836" i="7" s="1"/>
  <c r="E836" i="7"/>
  <c r="T836" i="7" s="1"/>
  <c r="D836" i="7"/>
  <c r="S836" i="7" s="1"/>
  <c r="C836" i="7"/>
  <c r="G835" i="7"/>
  <c r="V835" i="7" s="1"/>
  <c r="F835" i="7"/>
  <c r="U835" i="7" s="1"/>
  <c r="E835" i="7"/>
  <c r="D835" i="7"/>
  <c r="C835" i="7"/>
  <c r="R835" i="7" s="1"/>
  <c r="W835" i="7" s="1"/>
  <c r="G834" i="7"/>
  <c r="V834" i="7" s="1"/>
  <c r="F834" i="7"/>
  <c r="U834" i="7" s="1"/>
  <c r="E834" i="7"/>
  <c r="T834" i="7" s="1"/>
  <c r="D834" i="7"/>
  <c r="S834" i="7" s="1"/>
  <c r="C834" i="7"/>
  <c r="G833" i="7"/>
  <c r="V833" i="7" s="1"/>
  <c r="F833" i="7"/>
  <c r="U833" i="7" s="1"/>
  <c r="E833" i="7"/>
  <c r="T833" i="7" s="1"/>
  <c r="D833" i="7"/>
  <c r="S833" i="7" s="1"/>
  <c r="C833" i="7"/>
  <c r="G832" i="7"/>
  <c r="V832" i="7" s="1"/>
  <c r="F832" i="7"/>
  <c r="U832" i="7" s="1"/>
  <c r="E832" i="7"/>
  <c r="D832" i="7"/>
  <c r="S832" i="7" s="1"/>
  <c r="C832" i="7"/>
  <c r="G831" i="7"/>
  <c r="V831" i="7" s="1"/>
  <c r="F831" i="7"/>
  <c r="U831" i="7" s="1"/>
  <c r="E831" i="7"/>
  <c r="T831" i="7" s="1"/>
  <c r="D831" i="7"/>
  <c r="S831" i="7" s="1"/>
  <c r="C831" i="7"/>
  <c r="G830" i="7"/>
  <c r="V830" i="7" s="1"/>
  <c r="F830" i="7"/>
  <c r="U830" i="7" s="1"/>
  <c r="E830" i="7"/>
  <c r="T830" i="7" s="1"/>
  <c r="D830" i="7"/>
  <c r="S830" i="7" s="1"/>
  <c r="C830" i="7"/>
  <c r="G829" i="7"/>
  <c r="V829" i="7" s="1"/>
  <c r="F829" i="7"/>
  <c r="U829" i="7" s="1"/>
  <c r="E829" i="7"/>
  <c r="D829" i="7"/>
  <c r="C829" i="7"/>
  <c r="G828" i="7"/>
  <c r="V828" i="7" s="1"/>
  <c r="F828" i="7"/>
  <c r="U828" i="7" s="1"/>
  <c r="E828" i="7"/>
  <c r="T828" i="7" s="1"/>
  <c r="D828" i="7"/>
  <c r="S828" i="7" s="1"/>
  <c r="C828" i="7"/>
  <c r="R828" i="7" s="1"/>
  <c r="W828" i="7" s="1"/>
  <c r="G827" i="7"/>
  <c r="V827" i="7" s="1"/>
  <c r="F827" i="7"/>
  <c r="U827" i="7" s="1"/>
  <c r="E827" i="7"/>
  <c r="T827" i="7" s="1"/>
  <c r="D827" i="7"/>
  <c r="S827" i="7" s="1"/>
  <c r="C827" i="7"/>
  <c r="G826" i="7"/>
  <c r="V826" i="7" s="1"/>
  <c r="F826" i="7"/>
  <c r="U826" i="7" s="1"/>
  <c r="E826" i="7"/>
  <c r="D826" i="7"/>
  <c r="C826" i="7"/>
  <c r="R826" i="7" s="1"/>
  <c r="W826" i="7" s="1"/>
  <c r="G825" i="7"/>
  <c r="V825" i="7" s="1"/>
  <c r="F825" i="7"/>
  <c r="U825" i="7" s="1"/>
  <c r="E825" i="7"/>
  <c r="T825" i="7" s="1"/>
  <c r="D825" i="7"/>
  <c r="S825" i="7" s="1"/>
  <c r="C825" i="7"/>
  <c r="R825" i="7" s="1"/>
  <c r="W825" i="7" s="1"/>
  <c r="G824" i="7"/>
  <c r="V824" i="7" s="1"/>
  <c r="F824" i="7"/>
  <c r="U824" i="7" s="1"/>
  <c r="E824" i="7"/>
  <c r="T824" i="7" s="1"/>
  <c r="D824" i="7"/>
  <c r="S824" i="7" s="1"/>
  <c r="C824" i="7"/>
  <c r="G823" i="7"/>
  <c r="V823" i="7" s="1"/>
  <c r="F823" i="7"/>
  <c r="U823" i="7" s="1"/>
  <c r="E823" i="7"/>
  <c r="D823" i="7"/>
  <c r="S823" i="7" s="1"/>
  <c r="C823" i="7"/>
  <c r="R823" i="7" s="1"/>
  <c r="W823" i="7" s="1"/>
  <c r="G822" i="7"/>
  <c r="V822" i="7" s="1"/>
  <c r="F822" i="7"/>
  <c r="U822" i="7" s="1"/>
  <c r="E822" i="7"/>
  <c r="T822" i="7" s="1"/>
  <c r="D822" i="7"/>
  <c r="S822" i="7" s="1"/>
  <c r="C822" i="7"/>
  <c r="G821" i="7"/>
  <c r="V821" i="7" s="1"/>
  <c r="F821" i="7"/>
  <c r="U821" i="7" s="1"/>
  <c r="E821" i="7"/>
  <c r="T821" i="7" s="1"/>
  <c r="D821" i="7"/>
  <c r="S821" i="7" s="1"/>
  <c r="C821" i="7"/>
  <c r="G820" i="7"/>
  <c r="V820" i="7" s="1"/>
  <c r="F820" i="7"/>
  <c r="U820" i="7" s="1"/>
  <c r="E820" i="7"/>
  <c r="D820" i="7"/>
  <c r="S820" i="7" s="1"/>
  <c r="C820" i="7"/>
  <c r="G819" i="7"/>
  <c r="V819" i="7" s="1"/>
  <c r="F819" i="7"/>
  <c r="U819" i="7" s="1"/>
  <c r="E819" i="7"/>
  <c r="T819" i="7" s="1"/>
  <c r="D819" i="7"/>
  <c r="S819" i="7" s="1"/>
  <c r="C819" i="7"/>
  <c r="G818" i="7"/>
  <c r="V818" i="7" s="1"/>
  <c r="F818" i="7"/>
  <c r="U818" i="7" s="1"/>
  <c r="E818" i="7"/>
  <c r="T818" i="7" s="1"/>
  <c r="D818" i="7"/>
  <c r="S818" i="7" s="1"/>
  <c r="C818" i="7"/>
  <c r="G817" i="7"/>
  <c r="V817" i="7" s="1"/>
  <c r="F817" i="7"/>
  <c r="U817" i="7" s="1"/>
  <c r="E817" i="7"/>
  <c r="D817" i="7"/>
  <c r="C817" i="7"/>
  <c r="G816" i="7"/>
  <c r="V816" i="7" s="1"/>
  <c r="F816" i="7"/>
  <c r="U816" i="7" s="1"/>
  <c r="E816" i="7"/>
  <c r="T816" i="7" s="1"/>
  <c r="D816" i="7"/>
  <c r="S816" i="7" s="1"/>
  <c r="C816" i="7"/>
  <c r="R816" i="7" s="1"/>
  <c r="W816" i="7" s="1"/>
  <c r="G815" i="7"/>
  <c r="V815" i="7" s="1"/>
  <c r="F815" i="7"/>
  <c r="U815" i="7" s="1"/>
  <c r="E815" i="7"/>
  <c r="T815" i="7" s="1"/>
  <c r="D815" i="7"/>
  <c r="S815" i="7" s="1"/>
  <c r="C815" i="7"/>
  <c r="G814" i="7"/>
  <c r="V814" i="7" s="1"/>
  <c r="F814" i="7"/>
  <c r="U814" i="7" s="1"/>
  <c r="E814" i="7"/>
  <c r="D814" i="7"/>
  <c r="C814" i="7"/>
  <c r="R814" i="7" s="1"/>
  <c r="W814" i="7" s="1"/>
  <c r="G813" i="7"/>
  <c r="V813" i="7" s="1"/>
  <c r="F813" i="7"/>
  <c r="U813" i="7" s="1"/>
  <c r="E813" i="7"/>
  <c r="T813" i="7" s="1"/>
  <c r="D813" i="7"/>
  <c r="S813" i="7" s="1"/>
  <c r="C813" i="7"/>
  <c r="R813" i="7" s="1"/>
  <c r="W813" i="7" s="1"/>
  <c r="G812" i="7"/>
  <c r="V812" i="7" s="1"/>
  <c r="F812" i="7"/>
  <c r="U812" i="7" s="1"/>
  <c r="E812" i="7"/>
  <c r="T812" i="7" s="1"/>
  <c r="D812" i="7"/>
  <c r="S812" i="7" s="1"/>
  <c r="C812" i="7"/>
  <c r="G811" i="7"/>
  <c r="V811" i="7" s="1"/>
  <c r="F811" i="7"/>
  <c r="U811" i="7" s="1"/>
  <c r="E811" i="7"/>
  <c r="D811" i="7"/>
  <c r="S811" i="7" s="1"/>
  <c r="C811" i="7"/>
  <c r="R811" i="7" s="1"/>
  <c r="W811" i="7" s="1"/>
  <c r="G810" i="7"/>
  <c r="V810" i="7" s="1"/>
  <c r="F810" i="7"/>
  <c r="U810" i="7" s="1"/>
  <c r="E810" i="7"/>
  <c r="T810" i="7" s="1"/>
  <c r="D810" i="7"/>
  <c r="S810" i="7" s="1"/>
  <c r="C810" i="7"/>
  <c r="R810" i="7" s="1"/>
  <c r="W810" i="7" s="1"/>
  <c r="G809" i="7"/>
  <c r="V809" i="7" s="1"/>
  <c r="F809" i="7"/>
  <c r="U809" i="7" s="1"/>
  <c r="E809" i="7"/>
  <c r="T809" i="7" s="1"/>
  <c r="D809" i="7"/>
  <c r="S809" i="7" s="1"/>
  <c r="C809" i="7"/>
  <c r="G808" i="7"/>
  <c r="V808" i="7" s="1"/>
  <c r="F808" i="7"/>
  <c r="U808" i="7" s="1"/>
  <c r="E808" i="7"/>
  <c r="D808" i="7"/>
  <c r="S808" i="7" s="1"/>
  <c r="C808" i="7"/>
  <c r="R808" i="7" s="1"/>
  <c r="W808" i="7" s="1"/>
  <c r="G807" i="7"/>
  <c r="V807" i="7" s="1"/>
  <c r="F807" i="7"/>
  <c r="U807" i="7" s="1"/>
  <c r="E807" i="7"/>
  <c r="T807" i="7" s="1"/>
  <c r="D807" i="7"/>
  <c r="S807" i="7" s="1"/>
  <c r="C807" i="7"/>
  <c r="G806" i="7"/>
  <c r="V806" i="7" s="1"/>
  <c r="F806" i="7"/>
  <c r="U806" i="7" s="1"/>
  <c r="E806" i="7"/>
  <c r="T806" i="7" s="1"/>
  <c r="D806" i="7"/>
  <c r="S806" i="7" s="1"/>
  <c r="C806" i="7"/>
  <c r="G805" i="7"/>
  <c r="V805" i="7" s="1"/>
  <c r="F805" i="7"/>
  <c r="U805" i="7" s="1"/>
  <c r="E805" i="7"/>
  <c r="D805" i="7"/>
  <c r="S805" i="7" s="1"/>
  <c r="C805" i="7"/>
  <c r="G804" i="7"/>
  <c r="V804" i="7" s="1"/>
  <c r="F804" i="7"/>
  <c r="U804" i="7" s="1"/>
  <c r="E804" i="7"/>
  <c r="T804" i="7" s="1"/>
  <c r="D804" i="7"/>
  <c r="S804" i="7" s="1"/>
  <c r="C804" i="7"/>
  <c r="R804" i="7" s="1"/>
  <c r="W804" i="7" s="1"/>
  <c r="G803" i="7"/>
  <c r="V803" i="7" s="1"/>
  <c r="F803" i="7"/>
  <c r="U803" i="7" s="1"/>
  <c r="E803" i="7"/>
  <c r="T803" i="7" s="1"/>
  <c r="D803" i="7"/>
  <c r="S803" i="7" s="1"/>
  <c r="C803" i="7"/>
  <c r="G802" i="7"/>
  <c r="V802" i="7" s="1"/>
  <c r="F802" i="7"/>
  <c r="U802" i="7" s="1"/>
  <c r="E802" i="7"/>
  <c r="T802" i="7" s="1"/>
  <c r="D802" i="7"/>
  <c r="C802" i="7"/>
  <c r="R802" i="7" s="1"/>
  <c r="W802" i="7" s="1"/>
  <c r="G801" i="7"/>
  <c r="V801" i="7" s="1"/>
  <c r="F801" i="7"/>
  <c r="U801" i="7" s="1"/>
  <c r="E801" i="7"/>
  <c r="T801" i="7" s="1"/>
  <c r="D801" i="7"/>
  <c r="S801" i="7" s="1"/>
  <c r="C801" i="7"/>
  <c r="R801" i="7" s="1"/>
  <c r="W801" i="7" s="1"/>
  <c r="G800" i="7"/>
  <c r="V800" i="7" s="1"/>
  <c r="F800" i="7"/>
  <c r="U800" i="7" s="1"/>
  <c r="E800" i="7"/>
  <c r="T800" i="7" s="1"/>
  <c r="D800" i="7"/>
  <c r="S800" i="7" s="1"/>
  <c r="C800" i="7"/>
  <c r="R800" i="7" s="1"/>
  <c r="W800" i="7" s="1"/>
  <c r="G799" i="7"/>
  <c r="V799" i="7" s="1"/>
  <c r="F799" i="7"/>
  <c r="U799" i="7" s="1"/>
  <c r="E799" i="7"/>
  <c r="T799" i="7" s="1"/>
  <c r="D799" i="7"/>
  <c r="S799" i="7" s="1"/>
  <c r="C799" i="7"/>
  <c r="R799" i="7" s="1"/>
  <c r="W799" i="7" s="1"/>
  <c r="G798" i="7"/>
  <c r="V798" i="7" s="1"/>
  <c r="F798" i="7"/>
  <c r="U798" i="7" s="1"/>
  <c r="E798" i="7"/>
  <c r="T798" i="7" s="1"/>
  <c r="D798" i="7"/>
  <c r="S798" i="7" s="1"/>
  <c r="C798" i="7"/>
  <c r="R798" i="7" s="1"/>
  <c r="W798" i="7" s="1"/>
  <c r="G797" i="7"/>
  <c r="V797" i="7" s="1"/>
  <c r="F797" i="7"/>
  <c r="U797" i="7" s="1"/>
  <c r="E797" i="7"/>
  <c r="T797" i="7" s="1"/>
  <c r="D797" i="7"/>
  <c r="S797" i="7" s="1"/>
  <c r="C797" i="7"/>
  <c r="R797" i="7" s="1"/>
  <c r="W797" i="7" s="1"/>
  <c r="G796" i="7"/>
  <c r="V796" i="7" s="1"/>
  <c r="F796" i="7"/>
  <c r="U796" i="7" s="1"/>
  <c r="E796" i="7"/>
  <c r="D796" i="7"/>
  <c r="S796" i="7" s="1"/>
  <c r="C796" i="7"/>
  <c r="R796" i="7" s="1"/>
  <c r="W796" i="7" s="1"/>
  <c r="G795" i="7"/>
  <c r="V795" i="7" s="1"/>
  <c r="F795" i="7"/>
  <c r="U795" i="7" s="1"/>
  <c r="E795" i="7"/>
  <c r="T795" i="7" s="1"/>
  <c r="D795" i="7"/>
  <c r="S795" i="7" s="1"/>
  <c r="C795" i="7"/>
  <c r="G794" i="7"/>
  <c r="V794" i="7" s="1"/>
  <c r="F794" i="7"/>
  <c r="U794" i="7" s="1"/>
  <c r="E794" i="7"/>
  <c r="T794" i="7" s="1"/>
  <c r="D794" i="7"/>
  <c r="S794" i="7" s="1"/>
  <c r="C794" i="7"/>
  <c r="G793" i="7"/>
  <c r="V793" i="7" s="1"/>
  <c r="F793" i="7"/>
  <c r="U793" i="7" s="1"/>
  <c r="E793" i="7"/>
  <c r="D793" i="7"/>
  <c r="S793" i="7" s="1"/>
  <c r="C793" i="7"/>
  <c r="G792" i="7"/>
  <c r="V792" i="7" s="1"/>
  <c r="F792" i="7"/>
  <c r="U792" i="7" s="1"/>
  <c r="E792" i="7"/>
  <c r="T792" i="7" s="1"/>
  <c r="D792" i="7"/>
  <c r="S792" i="7" s="1"/>
  <c r="C792" i="7"/>
  <c r="R792" i="7" s="1"/>
  <c r="W792" i="7" s="1"/>
  <c r="G791" i="7"/>
  <c r="V791" i="7" s="1"/>
  <c r="F791" i="7"/>
  <c r="U791" i="7" s="1"/>
  <c r="E791" i="7"/>
  <c r="T791" i="7" s="1"/>
  <c r="D791" i="7"/>
  <c r="S791" i="7" s="1"/>
  <c r="C791" i="7"/>
  <c r="G790" i="7"/>
  <c r="V790" i="7" s="1"/>
  <c r="F790" i="7"/>
  <c r="U790" i="7" s="1"/>
  <c r="E790" i="7"/>
  <c r="T790" i="7" s="1"/>
  <c r="D790" i="7"/>
  <c r="C790" i="7"/>
  <c r="R790" i="7" s="1"/>
  <c r="W790" i="7" s="1"/>
  <c r="G789" i="7"/>
  <c r="V789" i="7" s="1"/>
  <c r="F789" i="7"/>
  <c r="U789" i="7" s="1"/>
  <c r="E789" i="7"/>
  <c r="T789" i="7" s="1"/>
  <c r="D789" i="7"/>
  <c r="S789" i="7" s="1"/>
  <c r="C789" i="7"/>
  <c r="R789" i="7" s="1"/>
  <c r="W789" i="7" s="1"/>
  <c r="G788" i="7"/>
  <c r="V788" i="7" s="1"/>
  <c r="F788" i="7"/>
  <c r="U788" i="7" s="1"/>
  <c r="E788" i="7"/>
  <c r="T788" i="7" s="1"/>
  <c r="D788" i="7"/>
  <c r="S788" i="7" s="1"/>
  <c r="C788" i="7"/>
  <c r="R788" i="7" s="1"/>
  <c r="W788" i="7" s="1"/>
  <c r="G787" i="7"/>
  <c r="V787" i="7" s="1"/>
  <c r="F787" i="7"/>
  <c r="U787" i="7" s="1"/>
  <c r="E787" i="7"/>
  <c r="T787" i="7" s="1"/>
  <c r="D787" i="7"/>
  <c r="S787" i="7" s="1"/>
  <c r="C787" i="7"/>
  <c r="R787" i="7" s="1"/>
  <c r="W787" i="7" s="1"/>
  <c r="G786" i="7"/>
  <c r="V786" i="7" s="1"/>
  <c r="F786" i="7"/>
  <c r="U786" i="7" s="1"/>
  <c r="E786" i="7"/>
  <c r="T786" i="7" s="1"/>
  <c r="D786" i="7"/>
  <c r="S786" i="7" s="1"/>
  <c r="C786" i="7"/>
  <c r="R786" i="7" s="1"/>
  <c r="W786" i="7" s="1"/>
  <c r="G785" i="7"/>
  <c r="V785" i="7" s="1"/>
  <c r="F785" i="7"/>
  <c r="U785" i="7" s="1"/>
  <c r="E785" i="7"/>
  <c r="T785" i="7" s="1"/>
  <c r="D785" i="7"/>
  <c r="S785" i="7" s="1"/>
  <c r="C785" i="7"/>
  <c r="R785" i="7" s="1"/>
  <c r="W785" i="7" s="1"/>
  <c r="G784" i="7"/>
  <c r="V784" i="7" s="1"/>
  <c r="F784" i="7"/>
  <c r="U784" i="7" s="1"/>
  <c r="E784" i="7"/>
  <c r="D784" i="7"/>
  <c r="S784" i="7" s="1"/>
  <c r="C784" i="7"/>
  <c r="R784" i="7" s="1"/>
  <c r="W784" i="7" s="1"/>
  <c r="G783" i="7"/>
  <c r="V783" i="7" s="1"/>
  <c r="F783" i="7"/>
  <c r="U783" i="7" s="1"/>
  <c r="E783" i="7"/>
  <c r="T783" i="7" s="1"/>
  <c r="D783" i="7"/>
  <c r="S783" i="7" s="1"/>
  <c r="C783" i="7"/>
  <c r="G782" i="7"/>
  <c r="V782" i="7" s="1"/>
  <c r="F782" i="7"/>
  <c r="U782" i="7" s="1"/>
  <c r="E782" i="7"/>
  <c r="T782" i="7" s="1"/>
  <c r="D782" i="7"/>
  <c r="S782" i="7" s="1"/>
  <c r="C782" i="7"/>
  <c r="G781" i="7"/>
  <c r="V781" i="7" s="1"/>
  <c r="F781" i="7"/>
  <c r="U781" i="7" s="1"/>
  <c r="E781" i="7"/>
  <c r="D781" i="7"/>
  <c r="S781" i="7" s="1"/>
  <c r="C781" i="7"/>
  <c r="G780" i="7"/>
  <c r="V780" i="7" s="1"/>
  <c r="F780" i="7"/>
  <c r="U780" i="7" s="1"/>
  <c r="E780" i="7"/>
  <c r="T780" i="7" s="1"/>
  <c r="D780" i="7"/>
  <c r="S780" i="7" s="1"/>
  <c r="C780" i="7"/>
  <c r="R780" i="7" s="1"/>
  <c r="W780" i="7" s="1"/>
  <c r="G779" i="7"/>
  <c r="V779" i="7" s="1"/>
  <c r="F779" i="7"/>
  <c r="U779" i="7" s="1"/>
  <c r="E779" i="7"/>
  <c r="T779" i="7" s="1"/>
  <c r="D779" i="7"/>
  <c r="S779" i="7" s="1"/>
  <c r="C779" i="7"/>
  <c r="G778" i="7"/>
  <c r="V778" i="7" s="1"/>
  <c r="F778" i="7"/>
  <c r="U778" i="7" s="1"/>
  <c r="E778" i="7"/>
  <c r="T778" i="7" s="1"/>
  <c r="D778" i="7"/>
  <c r="C778" i="7"/>
  <c r="R778" i="7" s="1"/>
  <c r="W778" i="7" s="1"/>
  <c r="G777" i="7"/>
  <c r="V777" i="7" s="1"/>
  <c r="F777" i="7"/>
  <c r="U777" i="7" s="1"/>
  <c r="E777" i="7"/>
  <c r="T777" i="7" s="1"/>
  <c r="D777" i="7"/>
  <c r="S777" i="7" s="1"/>
  <c r="C777" i="7"/>
  <c r="R777" i="7" s="1"/>
  <c r="W777" i="7" s="1"/>
  <c r="G776" i="7"/>
  <c r="V776" i="7" s="1"/>
  <c r="F776" i="7"/>
  <c r="U776" i="7" s="1"/>
  <c r="E776" i="7"/>
  <c r="T776" i="7" s="1"/>
  <c r="D776" i="7"/>
  <c r="S776" i="7" s="1"/>
  <c r="C776" i="7"/>
  <c r="R776" i="7" s="1"/>
  <c r="W776" i="7" s="1"/>
  <c r="G775" i="7"/>
  <c r="V775" i="7" s="1"/>
  <c r="F775" i="7"/>
  <c r="U775" i="7" s="1"/>
  <c r="E775" i="7"/>
  <c r="T775" i="7" s="1"/>
  <c r="D775" i="7"/>
  <c r="S775" i="7" s="1"/>
  <c r="C775" i="7"/>
  <c r="R775" i="7" s="1"/>
  <c r="W775" i="7" s="1"/>
  <c r="G774" i="7"/>
  <c r="V774" i="7" s="1"/>
  <c r="F774" i="7"/>
  <c r="U774" i="7" s="1"/>
  <c r="E774" i="7"/>
  <c r="T774" i="7" s="1"/>
  <c r="D774" i="7"/>
  <c r="S774" i="7" s="1"/>
  <c r="C774" i="7"/>
  <c r="R774" i="7" s="1"/>
  <c r="W774" i="7" s="1"/>
  <c r="G773" i="7"/>
  <c r="V773" i="7" s="1"/>
  <c r="F773" i="7"/>
  <c r="U773" i="7" s="1"/>
  <c r="E773" i="7"/>
  <c r="T773" i="7" s="1"/>
  <c r="D773" i="7"/>
  <c r="S773" i="7" s="1"/>
  <c r="C773" i="7"/>
  <c r="R773" i="7" s="1"/>
  <c r="W773" i="7" s="1"/>
  <c r="G772" i="7"/>
  <c r="V772" i="7" s="1"/>
  <c r="F772" i="7"/>
  <c r="U772" i="7" s="1"/>
  <c r="E772" i="7"/>
  <c r="D772" i="7"/>
  <c r="S772" i="7" s="1"/>
  <c r="C772" i="7"/>
  <c r="R772" i="7" s="1"/>
  <c r="W772" i="7" s="1"/>
  <c r="G771" i="7"/>
  <c r="V771" i="7" s="1"/>
  <c r="F771" i="7"/>
  <c r="U771" i="7" s="1"/>
  <c r="E771" i="7"/>
  <c r="T771" i="7" s="1"/>
  <c r="D771" i="7"/>
  <c r="S771" i="7" s="1"/>
  <c r="C771" i="7"/>
  <c r="G770" i="7"/>
  <c r="V770" i="7" s="1"/>
  <c r="F770" i="7"/>
  <c r="U770" i="7" s="1"/>
  <c r="E770" i="7"/>
  <c r="T770" i="7" s="1"/>
  <c r="D770" i="7"/>
  <c r="S770" i="7" s="1"/>
  <c r="C770" i="7"/>
  <c r="G769" i="7"/>
  <c r="V769" i="7" s="1"/>
  <c r="F769" i="7"/>
  <c r="U769" i="7" s="1"/>
  <c r="E769" i="7"/>
  <c r="D769" i="7"/>
  <c r="S769" i="7" s="1"/>
  <c r="C769" i="7"/>
  <c r="G768" i="7"/>
  <c r="V768" i="7" s="1"/>
  <c r="F768" i="7"/>
  <c r="U768" i="7" s="1"/>
  <c r="E768" i="7"/>
  <c r="T768" i="7" s="1"/>
  <c r="D768" i="7"/>
  <c r="S768" i="7" s="1"/>
  <c r="C768" i="7"/>
  <c r="R768" i="7" s="1"/>
  <c r="W768" i="7" s="1"/>
  <c r="G767" i="7"/>
  <c r="V767" i="7" s="1"/>
  <c r="F767" i="7"/>
  <c r="U767" i="7" s="1"/>
  <c r="E767" i="7"/>
  <c r="T767" i="7" s="1"/>
  <c r="D767" i="7"/>
  <c r="S767" i="7" s="1"/>
  <c r="C767" i="7"/>
  <c r="G766" i="7"/>
  <c r="V766" i="7" s="1"/>
  <c r="F766" i="7"/>
  <c r="U766" i="7" s="1"/>
  <c r="E766" i="7"/>
  <c r="T766" i="7" s="1"/>
  <c r="D766" i="7"/>
  <c r="C766" i="7"/>
  <c r="R766" i="7" s="1"/>
  <c r="W766" i="7" s="1"/>
  <c r="G765" i="7"/>
  <c r="V765" i="7" s="1"/>
  <c r="F765" i="7"/>
  <c r="U765" i="7" s="1"/>
  <c r="E765" i="7"/>
  <c r="T765" i="7" s="1"/>
  <c r="D765" i="7"/>
  <c r="S765" i="7" s="1"/>
  <c r="C765" i="7"/>
  <c r="R765" i="7" s="1"/>
  <c r="W765" i="7" s="1"/>
  <c r="G764" i="7"/>
  <c r="V764" i="7" s="1"/>
  <c r="F764" i="7"/>
  <c r="U764" i="7" s="1"/>
  <c r="E764" i="7"/>
  <c r="T764" i="7" s="1"/>
  <c r="D764" i="7"/>
  <c r="S764" i="7" s="1"/>
  <c r="C764" i="7"/>
  <c r="R764" i="7" s="1"/>
  <c r="W764" i="7" s="1"/>
  <c r="G763" i="7"/>
  <c r="V763" i="7" s="1"/>
  <c r="F763" i="7"/>
  <c r="U763" i="7" s="1"/>
  <c r="E763" i="7"/>
  <c r="T763" i="7" s="1"/>
  <c r="D763" i="7"/>
  <c r="S763" i="7" s="1"/>
  <c r="C763" i="7"/>
  <c r="R763" i="7" s="1"/>
  <c r="W763" i="7" s="1"/>
  <c r="G762" i="7"/>
  <c r="V762" i="7" s="1"/>
  <c r="F762" i="7"/>
  <c r="U762" i="7" s="1"/>
  <c r="E762" i="7"/>
  <c r="T762" i="7" s="1"/>
  <c r="D762" i="7"/>
  <c r="S762" i="7" s="1"/>
  <c r="C762" i="7"/>
  <c r="R762" i="7" s="1"/>
  <c r="W762" i="7" s="1"/>
  <c r="G761" i="7"/>
  <c r="V761" i="7" s="1"/>
  <c r="F761" i="7"/>
  <c r="U761" i="7" s="1"/>
  <c r="E761" i="7"/>
  <c r="T761" i="7" s="1"/>
  <c r="D761" i="7"/>
  <c r="S761" i="7" s="1"/>
  <c r="C761" i="7"/>
  <c r="R761" i="7" s="1"/>
  <c r="W761" i="7" s="1"/>
  <c r="G760" i="7"/>
  <c r="V760" i="7" s="1"/>
  <c r="F760" i="7"/>
  <c r="U760" i="7" s="1"/>
  <c r="E760" i="7"/>
  <c r="D760" i="7"/>
  <c r="S760" i="7" s="1"/>
  <c r="C760" i="7"/>
  <c r="R760" i="7" s="1"/>
  <c r="W760" i="7" s="1"/>
  <c r="G759" i="7"/>
  <c r="V759" i="7" s="1"/>
  <c r="F759" i="7"/>
  <c r="U759" i="7" s="1"/>
  <c r="E759" i="7"/>
  <c r="T759" i="7" s="1"/>
  <c r="D759" i="7"/>
  <c r="S759" i="7" s="1"/>
  <c r="C759" i="7"/>
  <c r="G758" i="7"/>
  <c r="V758" i="7" s="1"/>
  <c r="F758" i="7"/>
  <c r="U758" i="7" s="1"/>
  <c r="E758" i="7"/>
  <c r="T758" i="7" s="1"/>
  <c r="D758" i="7"/>
  <c r="S758" i="7" s="1"/>
  <c r="C758" i="7"/>
  <c r="G757" i="7"/>
  <c r="V757" i="7" s="1"/>
  <c r="F757" i="7"/>
  <c r="U757" i="7" s="1"/>
  <c r="E757" i="7"/>
  <c r="D757" i="7"/>
  <c r="S757" i="7" s="1"/>
  <c r="C757" i="7"/>
  <c r="G756" i="7"/>
  <c r="V756" i="7" s="1"/>
  <c r="F756" i="7"/>
  <c r="U756" i="7" s="1"/>
  <c r="E756" i="7"/>
  <c r="T756" i="7" s="1"/>
  <c r="D756" i="7"/>
  <c r="S756" i="7" s="1"/>
  <c r="C756" i="7"/>
  <c r="R756" i="7" s="1"/>
  <c r="W756" i="7" s="1"/>
  <c r="G755" i="7"/>
  <c r="V755" i="7" s="1"/>
  <c r="F755" i="7"/>
  <c r="U755" i="7" s="1"/>
  <c r="E755" i="7"/>
  <c r="T755" i="7" s="1"/>
  <c r="D755" i="7"/>
  <c r="S755" i="7" s="1"/>
  <c r="C755" i="7"/>
  <c r="G754" i="7"/>
  <c r="V754" i="7" s="1"/>
  <c r="F754" i="7"/>
  <c r="U754" i="7" s="1"/>
  <c r="E754" i="7"/>
  <c r="T754" i="7" s="1"/>
  <c r="D754" i="7"/>
  <c r="C754" i="7"/>
  <c r="R754" i="7" s="1"/>
  <c r="W754" i="7" s="1"/>
  <c r="G753" i="7"/>
  <c r="V753" i="7" s="1"/>
  <c r="F753" i="7"/>
  <c r="U753" i="7" s="1"/>
  <c r="E753" i="7"/>
  <c r="T753" i="7" s="1"/>
  <c r="D753" i="7"/>
  <c r="S753" i="7" s="1"/>
  <c r="C753" i="7"/>
  <c r="R753" i="7" s="1"/>
  <c r="W753" i="7" s="1"/>
  <c r="G752" i="7"/>
  <c r="V752" i="7" s="1"/>
  <c r="F752" i="7"/>
  <c r="U752" i="7" s="1"/>
  <c r="E752" i="7"/>
  <c r="T752" i="7" s="1"/>
  <c r="D752" i="7"/>
  <c r="S752" i="7" s="1"/>
  <c r="C752" i="7"/>
  <c r="R752" i="7" s="1"/>
  <c r="W752" i="7" s="1"/>
  <c r="G751" i="7"/>
  <c r="V751" i="7" s="1"/>
  <c r="F751" i="7"/>
  <c r="U751" i="7" s="1"/>
  <c r="E751" i="7"/>
  <c r="T751" i="7" s="1"/>
  <c r="D751" i="7"/>
  <c r="S751" i="7" s="1"/>
  <c r="C751" i="7"/>
  <c r="R751" i="7" s="1"/>
  <c r="W751" i="7" s="1"/>
  <c r="G750" i="7"/>
  <c r="V750" i="7" s="1"/>
  <c r="F750" i="7"/>
  <c r="U750" i="7" s="1"/>
  <c r="E750" i="7"/>
  <c r="T750" i="7" s="1"/>
  <c r="D750" i="7"/>
  <c r="S750" i="7" s="1"/>
  <c r="C750" i="7"/>
  <c r="R750" i="7" s="1"/>
  <c r="W750" i="7" s="1"/>
  <c r="G749" i="7"/>
  <c r="V749" i="7" s="1"/>
  <c r="F749" i="7"/>
  <c r="U749" i="7" s="1"/>
  <c r="E749" i="7"/>
  <c r="T749" i="7" s="1"/>
  <c r="D749" i="7"/>
  <c r="S749" i="7" s="1"/>
  <c r="C749" i="7"/>
  <c r="R749" i="7" s="1"/>
  <c r="W749" i="7" s="1"/>
  <c r="G748" i="7"/>
  <c r="V748" i="7" s="1"/>
  <c r="F748" i="7"/>
  <c r="U748" i="7" s="1"/>
  <c r="E748" i="7"/>
  <c r="D748" i="7"/>
  <c r="S748" i="7" s="1"/>
  <c r="C748" i="7"/>
  <c r="R748" i="7" s="1"/>
  <c r="W748" i="7" s="1"/>
  <c r="G747" i="7"/>
  <c r="V747" i="7" s="1"/>
  <c r="F747" i="7"/>
  <c r="U747" i="7" s="1"/>
  <c r="E747" i="7"/>
  <c r="T747" i="7" s="1"/>
  <c r="D747" i="7"/>
  <c r="S747" i="7" s="1"/>
  <c r="C747" i="7"/>
  <c r="G746" i="7"/>
  <c r="V746" i="7" s="1"/>
  <c r="F746" i="7"/>
  <c r="U746" i="7" s="1"/>
  <c r="E746" i="7"/>
  <c r="T746" i="7" s="1"/>
  <c r="D746" i="7"/>
  <c r="S746" i="7" s="1"/>
  <c r="C746" i="7"/>
  <c r="G745" i="7"/>
  <c r="V745" i="7" s="1"/>
  <c r="F745" i="7"/>
  <c r="U745" i="7" s="1"/>
  <c r="E745" i="7"/>
  <c r="D745" i="7"/>
  <c r="S745" i="7" s="1"/>
  <c r="C745" i="7"/>
  <c r="G744" i="7"/>
  <c r="V744" i="7" s="1"/>
  <c r="F744" i="7"/>
  <c r="U744" i="7" s="1"/>
  <c r="E744" i="7"/>
  <c r="T744" i="7" s="1"/>
  <c r="D744" i="7"/>
  <c r="S744" i="7" s="1"/>
  <c r="C744" i="7"/>
  <c r="R744" i="7" s="1"/>
  <c r="W744" i="7" s="1"/>
  <c r="G743" i="7"/>
  <c r="V743" i="7" s="1"/>
  <c r="F743" i="7"/>
  <c r="U743" i="7" s="1"/>
  <c r="E743" i="7"/>
  <c r="T743" i="7" s="1"/>
  <c r="D743" i="7"/>
  <c r="S743" i="7" s="1"/>
  <c r="C743" i="7"/>
  <c r="G742" i="7"/>
  <c r="V742" i="7" s="1"/>
  <c r="F742" i="7"/>
  <c r="U742" i="7" s="1"/>
  <c r="E742" i="7"/>
  <c r="T742" i="7" s="1"/>
  <c r="D742" i="7"/>
  <c r="C742" i="7"/>
  <c r="R742" i="7" s="1"/>
  <c r="W742" i="7" s="1"/>
  <c r="G741" i="7"/>
  <c r="V741" i="7" s="1"/>
  <c r="F741" i="7"/>
  <c r="U741" i="7" s="1"/>
  <c r="E741" i="7"/>
  <c r="T741" i="7" s="1"/>
  <c r="D741" i="7"/>
  <c r="S741" i="7" s="1"/>
  <c r="C741" i="7"/>
  <c r="R741" i="7" s="1"/>
  <c r="W741" i="7" s="1"/>
  <c r="G740" i="7"/>
  <c r="V740" i="7" s="1"/>
  <c r="F740" i="7"/>
  <c r="U740" i="7" s="1"/>
  <c r="E740" i="7"/>
  <c r="T740" i="7" s="1"/>
  <c r="D740" i="7"/>
  <c r="S740" i="7" s="1"/>
  <c r="C740" i="7"/>
  <c r="R740" i="7" s="1"/>
  <c r="W740" i="7" s="1"/>
  <c r="G739" i="7"/>
  <c r="V739" i="7" s="1"/>
  <c r="F739" i="7"/>
  <c r="U739" i="7" s="1"/>
  <c r="E739" i="7"/>
  <c r="T739" i="7" s="1"/>
  <c r="D739" i="7"/>
  <c r="S739" i="7" s="1"/>
  <c r="C739" i="7"/>
  <c r="R739" i="7" s="1"/>
  <c r="W739" i="7" s="1"/>
  <c r="G738" i="7"/>
  <c r="V738" i="7" s="1"/>
  <c r="F738" i="7"/>
  <c r="U738" i="7" s="1"/>
  <c r="E738" i="7"/>
  <c r="T738" i="7" s="1"/>
  <c r="D738" i="7"/>
  <c r="S738" i="7" s="1"/>
  <c r="C738" i="7"/>
  <c r="R738" i="7" s="1"/>
  <c r="W738" i="7" s="1"/>
  <c r="G737" i="7"/>
  <c r="V737" i="7" s="1"/>
  <c r="F737" i="7"/>
  <c r="U737" i="7" s="1"/>
  <c r="E737" i="7"/>
  <c r="T737" i="7" s="1"/>
  <c r="D737" i="7"/>
  <c r="S737" i="7" s="1"/>
  <c r="C737" i="7"/>
  <c r="R737" i="7" s="1"/>
  <c r="W737" i="7" s="1"/>
  <c r="G736" i="7"/>
  <c r="V736" i="7" s="1"/>
  <c r="F736" i="7"/>
  <c r="U736" i="7" s="1"/>
  <c r="E736" i="7"/>
  <c r="D736" i="7"/>
  <c r="S736" i="7" s="1"/>
  <c r="C736" i="7"/>
  <c r="R736" i="7" s="1"/>
  <c r="W736" i="7" s="1"/>
  <c r="G735" i="7"/>
  <c r="V735" i="7" s="1"/>
  <c r="F735" i="7"/>
  <c r="U735" i="7" s="1"/>
  <c r="E735" i="7"/>
  <c r="T735" i="7" s="1"/>
  <c r="D735" i="7"/>
  <c r="S735" i="7" s="1"/>
  <c r="C735" i="7"/>
  <c r="G734" i="7"/>
  <c r="V734" i="7" s="1"/>
  <c r="F734" i="7"/>
  <c r="U734" i="7" s="1"/>
  <c r="E734" i="7"/>
  <c r="T734" i="7" s="1"/>
  <c r="D734" i="7"/>
  <c r="S734" i="7" s="1"/>
  <c r="C734" i="7"/>
  <c r="G733" i="7"/>
  <c r="V733" i="7" s="1"/>
  <c r="F733" i="7"/>
  <c r="U733" i="7" s="1"/>
  <c r="E733" i="7"/>
  <c r="D733" i="7"/>
  <c r="S733" i="7" s="1"/>
  <c r="C733" i="7"/>
  <c r="G732" i="7"/>
  <c r="V732" i="7" s="1"/>
  <c r="F732" i="7"/>
  <c r="U732" i="7" s="1"/>
  <c r="E732" i="7"/>
  <c r="T732" i="7" s="1"/>
  <c r="D732" i="7"/>
  <c r="S732" i="7" s="1"/>
  <c r="C732" i="7"/>
  <c r="R732" i="7" s="1"/>
  <c r="W732" i="7" s="1"/>
  <c r="G731" i="7"/>
  <c r="V731" i="7" s="1"/>
  <c r="F731" i="7"/>
  <c r="U731" i="7" s="1"/>
  <c r="E731" i="7"/>
  <c r="T731" i="7" s="1"/>
  <c r="D731" i="7"/>
  <c r="S731" i="7" s="1"/>
  <c r="C731" i="7"/>
  <c r="G730" i="7"/>
  <c r="V730" i="7" s="1"/>
  <c r="F730" i="7"/>
  <c r="U730" i="7" s="1"/>
  <c r="E730" i="7"/>
  <c r="T730" i="7" s="1"/>
  <c r="D730" i="7"/>
  <c r="C730" i="7"/>
  <c r="R730" i="7" s="1"/>
  <c r="W730" i="7" s="1"/>
  <c r="G729" i="7"/>
  <c r="V729" i="7" s="1"/>
  <c r="F729" i="7"/>
  <c r="U729" i="7" s="1"/>
  <c r="E729" i="7"/>
  <c r="T729" i="7" s="1"/>
  <c r="D729" i="7"/>
  <c r="S729" i="7" s="1"/>
  <c r="C729" i="7"/>
  <c r="R729" i="7" s="1"/>
  <c r="W729" i="7" s="1"/>
  <c r="G728" i="7"/>
  <c r="V728" i="7" s="1"/>
  <c r="F728" i="7"/>
  <c r="U728" i="7" s="1"/>
  <c r="E728" i="7"/>
  <c r="T728" i="7" s="1"/>
  <c r="D728" i="7"/>
  <c r="S728" i="7" s="1"/>
  <c r="C728" i="7"/>
  <c r="R728" i="7" s="1"/>
  <c r="W728" i="7" s="1"/>
  <c r="G727" i="7"/>
  <c r="V727" i="7" s="1"/>
  <c r="F727" i="7"/>
  <c r="U727" i="7" s="1"/>
  <c r="E727" i="7"/>
  <c r="T727" i="7" s="1"/>
  <c r="D727" i="7"/>
  <c r="S727" i="7" s="1"/>
  <c r="C727" i="7"/>
  <c r="R727" i="7" s="1"/>
  <c r="W727" i="7" s="1"/>
  <c r="G726" i="7"/>
  <c r="V726" i="7" s="1"/>
  <c r="F726" i="7"/>
  <c r="U726" i="7" s="1"/>
  <c r="E726" i="7"/>
  <c r="T726" i="7" s="1"/>
  <c r="D726" i="7"/>
  <c r="S726" i="7" s="1"/>
  <c r="C726" i="7"/>
  <c r="R726" i="7" s="1"/>
  <c r="W726" i="7" s="1"/>
  <c r="G725" i="7"/>
  <c r="V725" i="7" s="1"/>
  <c r="F725" i="7"/>
  <c r="U725" i="7" s="1"/>
  <c r="E725" i="7"/>
  <c r="T725" i="7" s="1"/>
  <c r="D725" i="7"/>
  <c r="S725" i="7" s="1"/>
  <c r="C725" i="7"/>
  <c r="R725" i="7" s="1"/>
  <c r="W725" i="7" s="1"/>
  <c r="G724" i="7"/>
  <c r="V724" i="7" s="1"/>
  <c r="F724" i="7"/>
  <c r="U724" i="7" s="1"/>
  <c r="E724" i="7"/>
  <c r="D724" i="7"/>
  <c r="S724" i="7" s="1"/>
  <c r="C724" i="7"/>
  <c r="R724" i="7" s="1"/>
  <c r="W724" i="7" s="1"/>
  <c r="G723" i="7"/>
  <c r="V723" i="7" s="1"/>
  <c r="F723" i="7"/>
  <c r="U723" i="7" s="1"/>
  <c r="E723" i="7"/>
  <c r="T723" i="7" s="1"/>
  <c r="D723" i="7"/>
  <c r="S723" i="7" s="1"/>
  <c r="C723" i="7"/>
  <c r="G722" i="7"/>
  <c r="V722" i="7" s="1"/>
  <c r="F722" i="7"/>
  <c r="U722" i="7" s="1"/>
  <c r="E722" i="7"/>
  <c r="T722" i="7" s="1"/>
  <c r="D722" i="7"/>
  <c r="S722" i="7" s="1"/>
  <c r="C722" i="7"/>
  <c r="G721" i="7"/>
  <c r="V721" i="7" s="1"/>
  <c r="F721" i="7"/>
  <c r="U721" i="7" s="1"/>
  <c r="E721" i="7"/>
  <c r="D721" i="7"/>
  <c r="S721" i="7" s="1"/>
  <c r="C721" i="7"/>
  <c r="G720" i="7"/>
  <c r="V720" i="7" s="1"/>
  <c r="F720" i="7"/>
  <c r="U720" i="7" s="1"/>
  <c r="E720" i="7"/>
  <c r="T720" i="7" s="1"/>
  <c r="D720" i="7"/>
  <c r="S720" i="7" s="1"/>
  <c r="C720" i="7"/>
  <c r="R720" i="7" s="1"/>
  <c r="W720" i="7" s="1"/>
  <c r="G719" i="7"/>
  <c r="V719" i="7" s="1"/>
  <c r="F719" i="7"/>
  <c r="U719" i="7" s="1"/>
  <c r="E719" i="7"/>
  <c r="T719" i="7" s="1"/>
  <c r="D719" i="7"/>
  <c r="S719" i="7" s="1"/>
  <c r="C719" i="7"/>
  <c r="G718" i="7"/>
  <c r="V718" i="7" s="1"/>
  <c r="F718" i="7"/>
  <c r="U718" i="7" s="1"/>
  <c r="E718" i="7"/>
  <c r="T718" i="7" s="1"/>
  <c r="D718" i="7"/>
  <c r="C718" i="7"/>
  <c r="R718" i="7" s="1"/>
  <c r="W718" i="7" s="1"/>
  <c r="G717" i="7"/>
  <c r="V717" i="7" s="1"/>
  <c r="F717" i="7"/>
  <c r="U717" i="7" s="1"/>
  <c r="E717" i="7"/>
  <c r="T717" i="7" s="1"/>
  <c r="D717" i="7"/>
  <c r="S717" i="7" s="1"/>
  <c r="C717" i="7"/>
  <c r="R717" i="7" s="1"/>
  <c r="W717" i="7" s="1"/>
  <c r="G716" i="7"/>
  <c r="V716" i="7" s="1"/>
  <c r="F716" i="7"/>
  <c r="U716" i="7" s="1"/>
  <c r="E716" i="7"/>
  <c r="T716" i="7" s="1"/>
  <c r="D716" i="7"/>
  <c r="S716" i="7" s="1"/>
  <c r="C716" i="7"/>
  <c r="R716" i="7" s="1"/>
  <c r="W716" i="7" s="1"/>
  <c r="G715" i="7"/>
  <c r="V715" i="7" s="1"/>
  <c r="F715" i="7"/>
  <c r="U715" i="7" s="1"/>
  <c r="E715" i="7"/>
  <c r="T715" i="7" s="1"/>
  <c r="D715" i="7"/>
  <c r="S715" i="7" s="1"/>
  <c r="C715" i="7"/>
  <c r="R715" i="7" s="1"/>
  <c r="W715" i="7" s="1"/>
  <c r="G714" i="7"/>
  <c r="V714" i="7" s="1"/>
  <c r="F714" i="7"/>
  <c r="U714" i="7" s="1"/>
  <c r="E714" i="7"/>
  <c r="T714" i="7" s="1"/>
  <c r="D714" i="7"/>
  <c r="S714" i="7" s="1"/>
  <c r="C714" i="7"/>
  <c r="R714" i="7" s="1"/>
  <c r="W714" i="7" s="1"/>
  <c r="G713" i="7"/>
  <c r="V713" i="7" s="1"/>
  <c r="F713" i="7"/>
  <c r="U713" i="7" s="1"/>
  <c r="E713" i="7"/>
  <c r="T713" i="7" s="1"/>
  <c r="D713" i="7"/>
  <c r="S713" i="7" s="1"/>
  <c r="C713" i="7"/>
  <c r="R713" i="7" s="1"/>
  <c r="W713" i="7" s="1"/>
  <c r="G712" i="7"/>
  <c r="V712" i="7" s="1"/>
  <c r="F712" i="7"/>
  <c r="U712" i="7" s="1"/>
  <c r="E712" i="7"/>
  <c r="D712" i="7"/>
  <c r="S712" i="7" s="1"/>
  <c r="C712" i="7"/>
  <c r="R712" i="7" s="1"/>
  <c r="W712" i="7" s="1"/>
  <c r="G711" i="7"/>
  <c r="V711" i="7" s="1"/>
  <c r="F711" i="7"/>
  <c r="U711" i="7" s="1"/>
  <c r="E711" i="7"/>
  <c r="T711" i="7" s="1"/>
  <c r="D711" i="7"/>
  <c r="S711" i="7" s="1"/>
  <c r="C711" i="7"/>
  <c r="G710" i="7"/>
  <c r="V710" i="7" s="1"/>
  <c r="F710" i="7"/>
  <c r="U710" i="7" s="1"/>
  <c r="E710" i="7"/>
  <c r="T710" i="7" s="1"/>
  <c r="D710" i="7"/>
  <c r="S710" i="7" s="1"/>
  <c r="C710" i="7"/>
  <c r="G709" i="7"/>
  <c r="V709" i="7" s="1"/>
  <c r="F709" i="7"/>
  <c r="U709" i="7" s="1"/>
  <c r="E709" i="7"/>
  <c r="D709" i="7"/>
  <c r="S709" i="7" s="1"/>
  <c r="C709" i="7"/>
  <c r="G708" i="7"/>
  <c r="V708" i="7" s="1"/>
  <c r="F708" i="7"/>
  <c r="U708" i="7" s="1"/>
  <c r="E708" i="7"/>
  <c r="T708" i="7" s="1"/>
  <c r="D708" i="7"/>
  <c r="S708" i="7" s="1"/>
  <c r="C708" i="7"/>
  <c r="R708" i="7" s="1"/>
  <c r="W708" i="7" s="1"/>
  <c r="G707" i="7"/>
  <c r="V707" i="7" s="1"/>
  <c r="F707" i="7"/>
  <c r="U707" i="7" s="1"/>
  <c r="E707" i="7"/>
  <c r="T707" i="7" s="1"/>
  <c r="D707" i="7"/>
  <c r="S707" i="7" s="1"/>
  <c r="C707" i="7"/>
  <c r="G706" i="7"/>
  <c r="V706" i="7" s="1"/>
  <c r="F706" i="7"/>
  <c r="U706" i="7" s="1"/>
  <c r="E706" i="7"/>
  <c r="T706" i="7" s="1"/>
  <c r="D706" i="7"/>
  <c r="C706" i="7"/>
  <c r="R706" i="7" s="1"/>
  <c r="W706" i="7" s="1"/>
  <c r="G705" i="7"/>
  <c r="V705" i="7" s="1"/>
  <c r="F705" i="7"/>
  <c r="U705" i="7" s="1"/>
  <c r="E705" i="7"/>
  <c r="T705" i="7" s="1"/>
  <c r="D705" i="7"/>
  <c r="S705" i="7" s="1"/>
  <c r="C705" i="7"/>
  <c r="R705" i="7" s="1"/>
  <c r="W705" i="7" s="1"/>
  <c r="G704" i="7"/>
  <c r="V704" i="7" s="1"/>
  <c r="F704" i="7"/>
  <c r="U704" i="7" s="1"/>
  <c r="E704" i="7"/>
  <c r="T704" i="7" s="1"/>
  <c r="D704" i="7"/>
  <c r="S704" i="7" s="1"/>
  <c r="C704" i="7"/>
  <c r="R704" i="7" s="1"/>
  <c r="W704" i="7" s="1"/>
  <c r="G703" i="7"/>
  <c r="V703" i="7" s="1"/>
  <c r="F703" i="7"/>
  <c r="U703" i="7" s="1"/>
  <c r="E703" i="7"/>
  <c r="T703" i="7" s="1"/>
  <c r="D703" i="7"/>
  <c r="S703" i="7" s="1"/>
  <c r="C703" i="7"/>
  <c r="R703" i="7" s="1"/>
  <c r="W703" i="7" s="1"/>
  <c r="G702" i="7"/>
  <c r="V702" i="7" s="1"/>
  <c r="F702" i="7"/>
  <c r="U702" i="7" s="1"/>
  <c r="E702" i="7"/>
  <c r="T702" i="7" s="1"/>
  <c r="D702" i="7"/>
  <c r="S702" i="7" s="1"/>
  <c r="C702" i="7"/>
  <c r="R702" i="7" s="1"/>
  <c r="W702" i="7" s="1"/>
  <c r="G701" i="7"/>
  <c r="V701" i="7" s="1"/>
  <c r="F701" i="7"/>
  <c r="U701" i="7" s="1"/>
  <c r="E701" i="7"/>
  <c r="T701" i="7" s="1"/>
  <c r="D701" i="7"/>
  <c r="S701" i="7" s="1"/>
  <c r="C701" i="7"/>
  <c r="R701" i="7" s="1"/>
  <c r="W701" i="7" s="1"/>
  <c r="G700" i="7"/>
  <c r="V700" i="7" s="1"/>
  <c r="F700" i="7"/>
  <c r="U700" i="7" s="1"/>
  <c r="E700" i="7"/>
  <c r="D700" i="7"/>
  <c r="S700" i="7" s="1"/>
  <c r="C700" i="7"/>
  <c r="R700" i="7" s="1"/>
  <c r="W700" i="7" s="1"/>
  <c r="G699" i="7"/>
  <c r="V699" i="7" s="1"/>
  <c r="F699" i="7"/>
  <c r="U699" i="7" s="1"/>
  <c r="E699" i="7"/>
  <c r="T699" i="7" s="1"/>
  <c r="D699" i="7"/>
  <c r="S699" i="7" s="1"/>
  <c r="C699" i="7"/>
  <c r="G698" i="7"/>
  <c r="V698" i="7" s="1"/>
  <c r="F698" i="7"/>
  <c r="U698" i="7" s="1"/>
  <c r="E698" i="7"/>
  <c r="T698" i="7" s="1"/>
  <c r="D698" i="7"/>
  <c r="S698" i="7" s="1"/>
  <c r="C698" i="7"/>
  <c r="G697" i="7"/>
  <c r="V697" i="7" s="1"/>
  <c r="F697" i="7"/>
  <c r="U697" i="7" s="1"/>
  <c r="E697" i="7"/>
  <c r="D697" i="7"/>
  <c r="S697" i="7" s="1"/>
  <c r="C697" i="7"/>
  <c r="G696" i="7"/>
  <c r="V696" i="7" s="1"/>
  <c r="F696" i="7"/>
  <c r="U696" i="7" s="1"/>
  <c r="E696" i="7"/>
  <c r="T696" i="7" s="1"/>
  <c r="D696" i="7"/>
  <c r="S696" i="7" s="1"/>
  <c r="C696" i="7"/>
  <c r="R696" i="7" s="1"/>
  <c r="W696" i="7" s="1"/>
  <c r="G695" i="7"/>
  <c r="V695" i="7" s="1"/>
  <c r="F695" i="7"/>
  <c r="U695" i="7" s="1"/>
  <c r="E695" i="7"/>
  <c r="T695" i="7" s="1"/>
  <c r="D695" i="7"/>
  <c r="S695" i="7" s="1"/>
  <c r="C695" i="7"/>
  <c r="G694" i="7"/>
  <c r="V694" i="7" s="1"/>
  <c r="F694" i="7"/>
  <c r="U694" i="7" s="1"/>
  <c r="E694" i="7"/>
  <c r="T694" i="7" s="1"/>
  <c r="D694" i="7"/>
  <c r="C694" i="7"/>
  <c r="R694" i="7" s="1"/>
  <c r="W694" i="7" s="1"/>
  <c r="G693" i="7"/>
  <c r="V693" i="7" s="1"/>
  <c r="F693" i="7"/>
  <c r="U693" i="7" s="1"/>
  <c r="E693" i="7"/>
  <c r="T693" i="7" s="1"/>
  <c r="D693" i="7"/>
  <c r="S693" i="7" s="1"/>
  <c r="C693" i="7"/>
  <c r="R693" i="7" s="1"/>
  <c r="W693" i="7" s="1"/>
  <c r="G692" i="7"/>
  <c r="V692" i="7" s="1"/>
  <c r="F692" i="7"/>
  <c r="U692" i="7" s="1"/>
  <c r="E692" i="7"/>
  <c r="T692" i="7" s="1"/>
  <c r="D692" i="7"/>
  <c r="S692" i="7" s="1"/>
  <c r="C692" i="7"/>
  <c r="R692" i="7" s="1"/>
  <c r="W692" i="7" s="1"/>
  <c r="G691" i="7"/>
  <c r="V691" i="7" s="1"/>
  <c r="F691" i="7"/>
  <c r="U691" i="7" s="1"/>
  <c r="E691" i="7"/>
  <c r="T691" i="7" s="1"/>
  <c r="D691" i="7"/>
  <c r="S691" i="7" s="1"/>
  <c r="C691" i="7"/>
  <c r="R691" i="7" s="1"/>
  <c r="W691" i="7" s="1"/>
  <c r="G690" i="7"/>
  <c r="V690" i="7" s="1"/>
  <c r="F690" i="7"/>
  <c r="U690" i="7" s="1"/>
  <c r="E690" i="7"/>
  <c r="T690" i="7" s="1"/>
  <c r="D690" i="7"/>
  <c r="S690" i="7" s="1"/>
  <c r="C690" i="7"/>
  <c r="R690" i="7" s="1"/>
  <c r="W690" i="7" s="1"/>
  <c r="G689" i="7"/>
  <c r="V689" i="7" s="1"/>
  <c r="F689" i="7"/>
  <c r="U689" i="7" s="1"/>
  <c r="E689" i="7"/>
  <c r="T689" i="7" s="1"/>
  <c r="D689" i="7"/>
  <c r="S689" i="7" s="1"/>
  <c r="C689" i="7"/>
  <c r="R689" i="7" s="1"/>
  <c r="W689" i="7" s="1"/>
  <c r="G688" i="7"/>
  <c r="V688" i="7" s="1"/>
  <c r="F688" i="7"/>
  <c r="U688" i="7" s="1"/>
  <c r="E688" i="7"/>
  <c r="D688" i="7"/>
  <c r="S688" i="7" s="1"/>
  <c r="C688" i="7"/>
  <c r="R688" i="7" s="1"/>
  <c r="W688" i="7" s="1"/>
  <c r="G687" i="7"/>
  <c r="V687" i="7" s="1"/>
  <c r="F687" i="7"/>
  <c r="U687" i="7" s="1"/>
  <c r="E687" i="7"/>
  <c r="T687" i="7" s="1"/>
  <c r="D687" i="7"/>
  <c r="S687" i="7" s="1"/>
  <c r="C687" i="7"/>
  <c r="G686" i="7"/>
  <c r="V686" i="7" s="1"/>
  <c r="F686" i="7"/>
  <c r="U686" i="7" s="1"/>
  <c r="E686" i="7"/>
  <c r="T686" i="7" s="1"/>
  <c r="D686" i="7"/>
  <c r="S686" i="7" s="1"/>
  <c r="C686" i="7"/>
  <c r="G685" i="7"/>
  <c r="V685" i="7" s="1"/>
  <c r="F685" i="7"/>
  <c r="U685" i="7" s="1"/>
  <c r="E685" i="7"/>
  <c r="D685" i="7"/>
  <c r="S685" i="7" s="1"/>
  <c r="C685" i="7"/>
  <c r="G684" i="7"/>
  <c r="V684" i="7" s="1"/>
  <c r="F684" i="7"/>
  <c r="U684" i="7" s="1"/>
  <c r="E684" i="7"/>
  <c r="T684" i="7" s="1"/>
  <c r="D684" i="7"/>
  <c r="S684" i="7" s="1"/>
  <c r="C684" i="7"/>
  <c r="R684" i="7" s="1"/>
  <c r="W684" i="7" s="1"/>
  <c r="G683" i="7"/>
  <c r="V683" i="7" s="1"/>
  <c r="F683" i="7"/>
  <c r="U683" i="7" s="1"/>
  <c r="E683" i="7"/>
  <c r="T683" i="7" s="1"/>
  <c r="D683" i="7"/>
  <c r="S683" i="7" s="1"/>
  <c r="C683" i="7"/>
  <c r="G682" i="7"/>
  <c r="V682" i="7" s="1"/>
  <c r="F682" i="7"/>
  <c r="U682" i="7" s="1"/>
  <c r="E682" i="7"/>
  <c r="T682" i="7" s="1"/>
  <c r="D682" i="7"/>
  <c r="C682" i="7"/>
  <c r="R682" i="7" s="1"/>
  <c r="W682" i="7" s="1"/>
  <c r="G681" i="7"/>
  <c r="V681" i="7" s="1"/>
  <c r="F681" i="7"/>
  <c r="U681" i="7" s="1"/>
  <c r="E681" i="7"/>
  <c r="T681" i="7" s="1"/>
  <c r="D681" i="7"/>
  <c r="S681" i="7" s="1"/>
  <c r="C681" i="7"/>
  <c r="R681" i="7" s="1"/>
  <c r="W681" i="7" s="1"/>
  <c r="G680" i="7"/>
  <c r="V680" i="7" s="1"/>
  <c r="F680" i="7"/>
  <c r="U680" i="7" s="1"/>
  <c r="E680" i="7"/>
  <c r="T680" i="7" s="1"/>
  <c r="D680" i="7"/>
  <c r="S680" i="7" s="1"/>
  <c r="C680" i="7"/>
  <c r="R680" i="7" s="1"/>
  <c r="W680" i="7" s="1"/>
  <c r="G679" i="7"/>
  <c r="V679" i="7" s="1"/>
  <c r="F679" i="7"/>
  <c r="U679" i="7" s="1"/>
  <c r="E679" i="7"/>
  <c r="T679" i="7" s="1"/>
  <c r="D679" i="7"/>
  <c r="S679" i="7" s="1"/>
  <c r="C679" i="7"/>
  <c r="R679" i="7" s="1"/>
  <c r="W679" i="7" s="1"/>
  <c r="G678" i="7"/>
  <c r="V678" i="7" s="1"/>
  <c r="F678" i="7"/>
  <c r="U678" i="7" s="1"/>
  <c r="E678" i="7"/>
  <c r="T678" i="7" s="1"/>
  <c r="D678" i="7"/>
  <c r="S678" i="7" s="1"/>
  <c r="C678" i="7"/>
  <c r="R678" i="7" s="1"/>
  <c r="W678" i="7" s="1"/>
  <c r="G677" i="7"/>
  <c r="V677" i="7" s="1"/>
  <c r="F677" i="7"/>
  <c r="U677" i="7" s="1"/>
  <c r="E677" i="7"/>
  <c r="T677" i="7" s="1"/>
  <c r="D677" i="7"/>
  <c r="S677" i="7" s="1"/>
  <c r="C677" i="7"/>
  <c r="R677" i="7" s="1"/>
  <c r="W677" i="7" s="1"/>
  <c r="G676" i="7"/>
  <c r="V676" i="7" s="1"/>
  <c r="F676" i="7"/>
  <c r="U676" i="7" s="1"/>
  <c r="E676" i="7"/>
  <c r="D676" i="7"/>
  <c r="S676" i="7" s="1"/>
  <c r="C676" i="7"/>
  <c r="R676" i="7" s="1"/>
  <c r="W676" i="7" s="1"/>
  <c r="G675" i="7"/>
  <c r="V675" i="7" s="1"/>
  <c r="F675" i="7"/>
  <c r="U675" i="7" s="1"/>
  <c r="E675" i="7"/>
  <c r="T675" i="7" s="1"/>
  <c r="D675" i="7"/>
  <c r="S675" i="7" s="1"/>
  <c r="C675" i="7"/>
  <c r="G674" i="7"/>
  <c r="V674" i="7" s="1"/>
  <c r="F674" i="7"/>
  <c r="U674" i="7" s="1"/>
  <c r="E674" i="7"/>
  <c r="T674" i="7" s="1"/>
  <c r="D674" i="7"/>
  <c r="S674" i="7" s="1"/>
  <c r="C674" i="7"/>
  <c r="G673" i="7"/>
  <c r="V673" i="7" s="1"/>
  <c r="F673" i="7"/>
  <c r="U673" i="7" s="1"/>
  <c r="E673" i="7"/>
  <c r="D673" i="7"/>
  <c r="S673" i="7" s="1"/>
  <c r="C673" i="7"/>
  <c r="G672" i="7"/>
  <c r="V672" i="7" s="1"/>
  <c r="F672" i="7"/>
  <c r="U672" i="7" s="1"/>
  <c r="E672" i="7"/>
  <c r="T672" i="7" s="1"/>
  <c r="D672" i="7"/>
  <c r="S672" i="7" s="1"/>
  <c r="C672" i="7"/>
  <c r="R672" i="7" s="1"/>
  <c r="W672" i="7" s="1"/>
  <c r="G671" i="7"/>
  <c r="V671" i="7" s="1"/>
  <c r="F671" i="7"/>
  <c r="U671" i="7" s="1"/>
  <c r="E671" i="7"/>
  <c r="T671" i="7" s="1"/>
  <c r="D671" i="7"/>
  <c r="S671" i="7" s="1"/>
  <c r="C671" i="7"/>
  <c r="G670" i="7"/>
  <c r="V670" i="7" s="1"/>
  <c r="F670" i="7"/>
  <c r="U670" i="7" s="1"/>
  <c r="E670" i="7"/>
  <c r="T670" i="7" s="1"/>
  <c r="D670" i="7"/>
  <c r="C670" i="7"/>
  <c r="R670" i="7" s="1"/>
  <c r="W670" i="7" s="1"/>
  <c r="G669" i="7"/>
  <c r="V669" i="7" s="1"/>
  <c r="F669" i="7"/>
  <c r="U669" i="7" s="1"/>
  <c r="E669" i="7"/>
  <c r="T669" i="7" s="1"/>
  <c r="D669" i="7"/>
  <c r="S669" i="7" s="1"/>
  <c r="C669" i="7"/>
  <c r="R669" i="7" s="1"/>
  <c r="W669" i="7" s="1"/>
  <c r="G668" i="7"/>
  <c r="V668" i="7" s="1"/>
  <c r="F668" i="7"/>
  <c r="U668" i="7" s="1"/>
  <c r="E668" i="7"/>
  <c r="T668" i="7" s="1"/>
  <c r="D668" i="7"/>
  <c r="S668" i="7" s="1"/>
  <c r="C668" i="7"/>
  <c r="R668" i="7" s="1"/>
  <c r="W668" i="7" s="1"/>
  <c r="G667" i="7"/>
  <c r="V667" i="7" s="1"/>
  <c r="F667" i="7"/>
  <c r="U667" i="7" s="1"/>
  <c r="E667" i="7"/>
  <c r="T667" i="7" s="1"/>
  <c r="D667" i="7"/>
  <c r="S667" i="7" s="1"/>
  <c r="C667" i="7"/>
  <c r="R667" i="7" s="1"/>
  <c r="W667" i="7" s="1"/>
  <c r="G666" i="7"/>
  <c r="V666" i="7" s="1"/>
  <c r="F666" i="7"/>
  <c r="U666" i="7" s="1"/>
  <c r="E666" i="7"/>
  <c r="T666" i="7" s="1"/>
  <c r="D666" i="7"/>
  <c r="S666" i="7" s="1"/>
  <c r="C666" i="7"/>
  <c r="R666" i="7" s="1"/>
  <c r="W666" i="7" s="1"/>
  <c r="G665" i="7"/>
  <c r="V665" i="7" s="1"/>
  <c r="F665" i="7"/>
  <c r="U665" i="7" s="1"/>
  <c r="E665" i="7"/>
  <c r="T665" i="7" s="1"/>
  <c r="D665" i="7"/>
  <c r="S665" i="7" s="1"/>
  <c r="C665" i="7"/>
  <c r="R665" i="7" s="1"/>
  <c r="W665" i="7" s="1"/>
  <c r="G664" i="7"/>
  <c r="V664" i="7" s="1"/>
  <c r="F664" i="7"/>
  <c r="U664" i="7" s="1"/>
  <c r="E664" i="7"/>
  <c r="D664" i="7"/>
  <c r="S664" i="7" s="1"/>
  <c r="C664" i="7"/>
  <c r="R664" i="7" s="1"/>
  <c r="W664" i="7" s="1"/>
  <c r="G663" i="7"/>
  <c r="V663" i="7" s="1"/>
  <c r="F663" i="7"/>
  <c r="U663" i="7" s="1"/>
  <c r="E663" i="7"/>
  <c r="T663" i="7" s="1"/>
  <c r="D663" i="7"/>
  <c r="S663" i="7" s="1"/>
  <c r="C663" i="7"/>
  <c r="G662" i="7"/>
  <c r="V662" i="7" s="1"/>
  <c r="F662" i="7"/>
  <c r="U662" i="7" s="1"/>
  <c r="E662" i="7"/>
  <c r="T662" i="7" s="1"/>
  <c r="D662" i="7"/>
  <c r="S662" i="7" s="1"/>
  <c r="C662" i="7"/>
  <c r="G661" i="7"/>
  <c r="V661" i="7" s="1"/>
  <c r="F661" i="7"/>
  <c r="U661" i="7" s="1"/>
  <c r="E661" i="7"/>
  <c r="D661" i="7"/>
  <c r="S661" i="7" s="1"/>
  <c r="C661" i="7"/>
  <c r="G660" i="7"/>
  <c r="V660" i="7" s="1"/>
  <c r="F660" i="7"/>
  <c r="U660" i="7" s="1"/>
  <c r="E660" i="7"/>
  <c r="T660" i="7" s="1"/>
  <c r="D660" i="7"/>
  <c r="S660" i="7" s="1"/>
  <c r="C660" i="7"/>
  <c r="R660" i="7" s="1"/>
  <c r="W660" i="7" s="1"/>
  <c r="G659" i="7"/>
  <c r="V659" i="7" s="1"/>
  <c r="F659" i="7"/>
  <c r="U659" i="7" s="1"/>
  <c r="E659" i="7"/>
  <c r="T659" i="7" s="1"/>
  <c r="D659" i="7"/>
  <c r="S659" i="7" s="1"/>
  <c r="C659" i="7"/>
  <c r="G658" i="7"/>
  <c r="V658" i="7" s="1"/>
  <c r="F658" i="7"/>
  <c r="U658" i="7" s="1"/>
  <c r="E658" i="7"/>
  <c r="T658" i="7" s="1"/>
  <c r="D658" i="7"/>
  <c r="C658" i="7"/>
  <c r="R658" i="7" s="1"/>
  <c r="W658" i="7" s="1"/>
  <c r="G657" i="7"/>
  <c r="V657" i="7" s="1"/>
  <c r="F657" i="7"/>
  <c r="U657" i="7" s="1"/>
  <c r="E657" i="7"/>
  <c r="T657" i="7" s="1"/>
  <c r="D657" i="7"/>
  <c r="S657" i="7" s="1"/>
  <c r="C657" i="7"/>
  <c r="R657" i="7" s="1"/>
  <c r="W657" i="7" s="1"/>
  <c r="G656" i="7"/>
  <c r="V656" i="7" s="1"/>
  <c r="F656" i="7"/>
  <c r="U656" i="7" s="1"/>
  <c r="E656" i="7"/>
  <c r="T656" i="7" s="1"/>
  <c r="D656" i="7"/>
  <c r="S656" i="7" s="1"/>
  <c r="C656" i="7"/>
  <c r="R656" i="7" s="1"/>
  <c r="W656" i="7" s="1"/>
  <c r="G655" i="7"/>
  <c r="V655" i="7" s="1"/>
  <c r="F655" i="7"/>
  <c r="U655" i="7" s="1"/>
  <c r="E655" i="7"/>
  <c r="T655" i="7" s="1"/>
  <c r="D655" i="7"/>
  <c r="S655" i="7" s="1"/>
  <c r="C655" i="7"/>
  <c r="R655" i="7" s="1"/>
  <c r="W655" i="7" s="1"/>
  <c r="G654" i="7"/>
  <c r="V654" i="7" s="1"/>
  <c r="F654" i="7"/>
  <c r="U654" i="7" s="1"/>
  <c r="E654" i="7"/>
  <c r="T654" i="7" s="1"/>
  <c r="D654" i="7"/>
  <c r="S654" i="7" s="1"/>
  <c r="C654" i="7"/>
  <c r="R654" i="7" s="1"/>
  <c r="W654" i="7" s="1"/>
  <c r="G653" i="7"/>
  <c r="V653" i="7" s="1"/>
  <c r="F653" i="7"/>
  <c r="U653" i="7" s="1"/>
  <c r="E653" i="7"/>
  <c r="T653" i="7" s="1"/>
  <c r="D653" i="7"/>
  <c r="S653" i="7" s="1"/>
  <c r="C653" i="7"/>
  <c r="R653" i="7" s="1"/>
  <c r="W653" i="7" s="1"/>
  <c r="G652" i="7"/>
  <c r="V652" i="7" s="1"/>
  <c r="F652" i="7"/>
  <c r="U652" i="7" s="1"/>
  <c r="E652" i="7"/>
  <c r="D652" i="7"/>
  <c r="S652" i="7" s="1"/>
  <c r="C652" i="7"/>
  <c r="R652" i="7" s="1"/>
  <c r="W652" i="7" s="1"/>
  <c r="G651" i="7"/>
  <c r="V651" i="7" s="1"/>
  <c r="F651" i="7"/>
  <c r="U651" i="7" s="1"/>
  <c r="E651" i="7"/>
  <c r="T651" i="7" s="1"/>
  <c r="D651" i="7"/>
  <c r="S651" i="7" s="1"/>
  <c r="C651" i="7"/>
  <c r="G650" i="7"/>
  <c r="V650" i="7" s="1"/>
  <c r="F650" i="7"/>
  <c r="U650" i="7" s="1"/>
  <c r="E650" i="7"/>
  <c r="T650" i="7" s="1"/>
  <c r="D650" i="7"/>
  <c r="S650" i="7" s="1"/>
  <c r="C650" i="7"/>
  <c r="G649" i="7"/>
  <c r="V649" i="7" s="1"/>
  <c r="F649" i="7"/>
  <c r="U649" i="7" s="1"/>
  <c r="E649" i="7"/>
  <c r="D649" i="7"/>
  <c r="S649" i="7" s="1"/>
  <c r="C649" i="7"/>
  <c r="G648" i="7"/>
  <c r="V648" i="7" s="1"/>
  <c r="F648" i="7"/>
  <c r="U648" i="7" s="1"/>
  <c r="E648" i="7"/>
  <c r="T648" i="7" s="1"/>
  <c r="D648" i="7"/>
  <c r="S648" i="7" s="1"/>
  <c r="C648" i="7"/>
  <c r="R648" i="7" s="1"/>
  <c r="W648" i="7" s="1"/>
  <c r="G647" i="7"/>
  <c r="V647" i="7" s="1"/>
  <c r="F647" i="7"/>
  <c r="U647" i="7" s="1"/>
  <c r="E647" i="7"/>
  <c r="T647" i="7" s="1"/>
  <c r="D647" i="7"/>
  <c r="S647" i="7" s="1"/>
  <c r="C647" i="7"/>
  <c r="G646" i="7"/>
  <c r="V646" i="7" s="1"/>
  <c r="F646" i="7"/>
  <c r="U646" i="7" s="1"/>
  <c r="E646" i="7"/>
  <c r="T646" i="7" s="1"/>
  <c r="D646" i="7"/>
  <c r="C646" i="7"/>
  <c r="R646" i="7" s="1"/>
  <c r="W646" i="7" s="1"/>
  <c r="G645" i="7"/>
  <c r="V645" i="7" s="1"/>
  <c r="F645" i="7"/>
  <c r="U645" i="7" s="1"/>
  <c r="E645" i="7"/>
  <c r="T645" i="7" s="1"/>
  <c r="D645" i="7"/>
  <c r="S645" i="7" s="1"/>
  <c r="C645" i="7"/>
  <c r="R645" i="7" s="1"/>
  <c r="W645" i="7" s="1"/>
  <c r="G644" i="7"/>
  <c r="V644" i="7" s="1"/>
  <c r="F644" i="7"/>
  <c r="U644" i="7" s="1"/>
  <c r="E644" i="7"/>
  <c r="T644" i="7" s="1"/>
  <c r="D644" i="7"/>
  <c r="S644" i="7" s="1"/>
  <c r="C644" i="7"/>
  <c r="R644" i="7" s="1"/>
  <c r="W644" i="7" s="1"/>
  <c r="G643" i="7"/>
  <c r="V643" i="7" s="1"/>
  <c r="F643" i="7"/>
  <c r="U643" i="7" s="1"/>
  <c r="E643" i="7"/>
  <c r="T643" i="7" s="1"/>
  <c r="D643" i="7"/>
  <c r="S643" i="7" s="1"/>
  <c r="C643" i="7"/>
  <c r="R643" i="7" s="1"/>
  <c r="W643" i="7" s="1"/>
  <c r="G642" i="7"/>
  <c r="V642" i="7" s="1"/>
  <c r="F642" i="7"/>
  <c r="U642" i="7" s="1"/>
  <c r="E642" i="7"/>
  <c r="T642" i="7" s="1"/>
  <c r="D642" i="7"/>
  <c r="S642" i="7" s="1"/>
  <c r="C642" i="7"/>
  <c r="R642" i="7" s="1"/>
  <c r="W642" i="7" s="1"/>
  <c r="G641" i="7"/>
  <c r="V641" i="7" s="1"/>
  <c r="F641" i="7"/>
  <c r="U641" i="7" s="1"/>
  <c r="E641" i="7"/>
  <c r="T641" i="7" s="1"/>
  <c r="D641" i="7"/>
  <c r="S641" i="7" s="1"/>
  <c r="C641" i="7"/>
  <c r="R641" i="7" s="1"/>
  <c r="W641" i="7" s="1"/>
  <c r="G640" i="7"/>
  <c r="V640" i="7" s="1"/>
  <c r="F640" i="7"/>
  <c r="U640" i="7" s="1"/>
  <c r="E640" i="7"/>
  <c r="D640" i="7"/>
  <c r="S640" i="7" s="1"/>
  <c r="C640" i="7"/>
  <c r="R640" i="7" s="1"/>
  <c r="W640" i="7" s="1"/>
  <c r="G639" i="7"/>
  <c r="V639" i="7" s="1"/>
  <c r="F639" i="7"/>
  <c r="U639" i="7" s="1"/>
  <c r="E639" i="7"/>
  <c r="T639" i="7" s="1"/>
  <c r="D639" i="7"/>
  <c r="S639" i="7" s="1"/>
  <c r="C639" i="7"/>
  <c r="G638" i="7"/>
  <c r="V638" i="7" s="1"/>
  <c r="F638" i="7"/>
  <c r="U638" i="7" s="1"/>
  <c r="E638" i="7"/>
  <c r="T638" i="7" s="1"/>
  <c r="D638" i="7"/>
  <c r="S638" i="7" s="1"/>
  <c r="C638" i="7"/>
  <c r="G637" i="7"/>
  <c r="V637" i="7" s="1"/>
  <c r="F637" i="7"/>
  <c r="U637" i="7" s="1"/>
  <c r="E637" i="7"/>
  <c r="D637" i="7"/>
  <c r="S637" i="7" s="1"/>
  <c r="C637" i="7"/>
  <c r="G636" i="7"/>
  <c r="V636" i="7" s="1"/>
  <c r="F636" i="7"/>
  <c r="U636" i="7" s="1"/>
  <c r="E636" i="7"/>
  <c r="T636" i="7" s="1"/>
  <c r="D636" i="7"/>
  <c r="S636" i="7" s="1"/>
  <c r="C636" i="7"/>
  <c r="R636" i="7" s="1"/>
  <c r="W636" i="7" s="1"/>
  <c r="G635" i="7"/>
  <c r="V635" i="7" s="1"/>
  <c r="F635" i="7"/>
  <c r="U635" i="7" s="1"/>
  <c r="E635" i="7"/>
  <c r="T635" i="7" s="1"/>
  <c r="D635" i="7"/>
  <c r="S635" i="7" s="1"/>
  <c r="C635" i="7"/>
  <c r="G634" i="7"/>
  <c r="V634" i="7" s="1"/>
  <c r="F634" i="7"/>
  <c r="U634" i="7" s="1"/>
  <c r="E634" i="7"/>
  <c r="T634" i="7" s="1"/>
  <c r="D634" i="7"/>
  <c r="C634" i="7"/>
  <c r="R634" i="7" s="1"/>
  <c r="W634" i="7" s="1"/>
  <c r="G633" i="7"/>
  <c r="V633" i="7" s="1"/>
  <c r="F633" i="7"/>
  <c r="U633" i="7" s="1"/>
  <c r="E633" i="7"/>
  <c r="T633" i="7" s="1"/>
  <c r="D633" i="7"/>
  <c r="S633" i="7" s="1"/>
  <c r="C633" i="7"/>
  <c r="R633" i="7" s="1"/>
  <c r="W633" i="7" s="1"/>
  <c r="G632" i="7"/>
  <c r="V632" i="7" s="1"/>
  <c r="F632" i="7"/>
  <c r="U632" i="7" s="1"/>
  <c r="E632" i="7"/>
  <c r="T632" i="7" s="1"/>
  <c r="D632" i="7"/>
  <c r="S632" i="7" s="1"/>
  <c r="C632" i="7"/>
  <c r="R632" i="7" s="1"/>
  <c r="W632" i="7" s="1"/>
  <c r="G631" i="7"/>
  <c r="V631" i="7" s="1"/>
  <c r="F631" i="7"/>
  <c r="U631" i="7" s="1"/>
  <c r="E631" i="7"/>
  <c r="T631" i="7" s="1"/>
  <c r="D631" i="7"/>
  <c r="S631" i="7" s="1"/>
  <c r="C631" i="7"/>
  <c r="R631" i="7" s="1"/>
  <c r="W631" i="7" s="1"/>
  <c r="G630" i="7"/>
  <c r="V630" i="7" s="1"/>
  <c r="F630" i="7"/>
  <c r="U630" i="7" s="1"/>
  <c r="E630" i="7"/>
  <c r="T630" i="7" s="1"/>
  <c r="D630" i="7"/>
  <c r="S630" i="7" s="1"/>
  <c r="C630" i="7"/>
  <c r="R630" i="7" s="1"/>
  <c r="W630" i="7" s="1"/>
  <c r="G629" i="7"/>
  <c r="V629" i="7" s="1"/>
  <c r="F629" i="7"/>
  <c r="U629" i="7" s="1"/>
  <c r="E629" i="7"/>
  <c r="T629" i="7" s="1"/>
  <c r="D629" i="7"/>
  <c r="S629" i="7" s="1"/>
  <c r="C629" i="7"/>
  <c r="R629" i="7" s="1"/>
  <c r="W629" i="7" s="1"/>
  <c r="G628" i="7"/>
  <c r="V628" i="7" s="1"/>
  <c r="F628" i="7"/>
  <c r="U628" i="7" s="1"/>
  <c r="E628" i="7"/>
  <c r="D628" i="7"/>
  <c r="S628" i="7" s="1"/>
  <c r="C628" i="7"/>
  <c r="R628" i="7" s="1"/>
  <c r="W628" i="7" s="1"/>
  <c r="G627" i="7"/>
  <c r="V627" i="7" s="1"/>
  <c r="F627" i="7"/>
  <c r="U627" i="7" s="1"/>
  <c r="E627" i="7"/>
  <c r="T627" i="7" s="1"/>
  <c r="D627" i="7"/>
  <c r="S627" i="7" s="1"/>
  <c r="C627" i="7"/>
  <c r="G626" i="7"/>
  <c r="V626" i="7" s="1"/>
  <c r="F626" i="7"/>
  <c r="U626" i="7" s="1"/>
  <c r="E626" i="7"/>
  <c r="T626" i="7" s="1"/>
  <c r="D626" i="7"/>
  <c r="S626" i="7" s="1"/>
  <c r="C626" i="7"/>
  <c r="G625" i="7"/>
  <c r="V625" i="7" s="1"/>
  <c r="F625" i="7"/>
  <c r="U625" i="7" s="1"/>
  <c r="E625" i="7"/>
  <c r="D625" i="7"/>
  <c r="S625" i="7" s="1"/>
  <c r="C625" i="7"/>
  <c r="G624" i="7"/>
  <c r="V624" i="7" s="1"/>
  <c r="F624" i="7"/>
  <c r="U624" i="7" s="1"/>
  <c r="E624" i="7"/>
  <c r="T624" i="7" s="1"/>
  <c r="D624" i="7"/>
  <c r="S624" i="7" s="1"/>
  <c r="C624" i="7"/>
  <c r="R624" i="7" s="1"/>
  <c r="W624" i="7" s="1"/>
  <c r="G623" i="7"/>
  <c r="V623" i="7" s="1"/>
  <c r="F623" i="7"/>
  <c r="U623" i="7" s="1"/>
  <c r="E623" i="7"/>
  <c r="T623" i="7" s="1"/>
  <c r="D623" i="7"/>
  <c r="S623" i="7" s="1"/>
  <c r="C623" i="7"/>
  <c r="G622" i="7"/>
  <c r="V622" i="7" s="1"/>
  <c r="F622" i="7"/>
  <c r="U622" i="7" s="1"/>
  <c r="E622" i="7"/>
  <c r="T622" i="7" s="1"/>
  <c r="D622" i="7"/>
  <c r="C622" i="7"/>
  <c r="R622" i="7" s="1"/>
  <c r="W622" i="7" s="1"/>
  <c r="G621" i="7"/>
  <c r="V621" i="7" s="1"/>
  <c r="F621" i="7"/>
  <c r="U621" i="7" s="1"/>
  <c r="E621" i="7"/>
  <c r="T621" i="7" s="1"/>
  <c r="D621" i="7"/>
  <c r="S621" i="7" s="1"/>
  <c r="C621" i="7"/>
  <c r="R621" i="7" s="1"/>
  <c r="W621" i="7" s="1"/>
  <c r="G620" i="7"/>
  <c r="V620" i="7" s="1"/>
  <c r="F620" i="7"/>
  <c r="U620" i="7" s="1"/>
  <c r="E620" i="7"/>
  <c r="T620" i="7" s="1"/>
  <c r="D620" i="7"/>
  <c r="S620" i="7" s="1"/>
  <c r="C620" i="7"/>
  <c r="R620" i="7" s="1"/>
  <c r="W620" i="7" s="1"/>
  <c r="G619" i="7"/>
  <c r="V619" i="7" s="1"/>
  <c r="F619" i="7"/>
  <c r="U619" i="7" s="1"/>
  <c r="E619" i="7"/>
  <c r="T619" i="7" s="1"/>
  <c r="D619" i="7"/>
  <c r="S619" i="7" s="1"/>
  <c r="C619" i="7"/>
  <c r="R619" i="7" s="1"/>
  <c r="W619" i="7" s="1"/>
  <c r="G618" i="7"/>
  <c r="V618" i="7" s="1"/>
  <c r="F618" i="7"/>
  <c r="U618" i="7" s="1"/>
  <c r="E618" i="7"/>
  <c r="T618" i="7" s="1"/>
  <c r="D618" i="7"/>
  <c r="S618" i="7" s="1"/>
  <c r="C618" i="7"/>
  <c r="R618" i="7" s="1"/>
  <c r="W618" i="7" s="1"/>
  <c r="G617" i="7"/>
  <c r="V617" i="7" s="1"/>
  <c r="F617" i="7"/>
  <c r="U617" i="7" s="1"/>
  <c r="E617" i="7"/>
  <c r="T617" i="7" s="1"/>
  <c r="D617" i="7"/>
  <c r="S617" i="7" s="1"/>
  <c r="C617" i="7"/>
  <c r="R617" i="7" s="1"/>
  <c r="W617" i="7" s="1"/>
  <c r="G616" i="7"/>
  <c r="V616" i="7" s="1"/>
  <c r="F616" i="7"/>
  <c r="U616" i="7" s="1"/>
  <c r="E616" i="7"/>
  <c r="D616" i="7"/>
  <c r="S616" i="7" s="1"/>
  <c r="C616" i="7"/>
  <c r="R616" i="7" s="1"/>
  <c r="W616" i="7" s="1"/>
  <c r="G615" i="7"/>
  <c r="V615" i="7" s="1"/>
  <c r="F615" i="7"/>
  <c r="U615" i="7" s="1"/>
  <c r="E615" i="7"/>
  <c r="T615" i="7" s="1"/>
  <c r="D615" i="7"/>
  <c r="S615" i="7" s="1"/>
  <c r="C615" i="7"/>
  <c r="G614" i="7"/>
  <c r="V614" i="7" s="1"/>
  <c r="F614" i="7"/>
  <c r="U614" i="7" s="1"/>
  <c r="E614" i="7"/>
  <c r="T614" i="7" s="1"/>
  <c r="D614" i="7"/>
  <c r="S614" i="7" s="1"/>
  <c r="C614" i="7"/>
  <c r="G613" i="7"/>
  <c r="V613" i="7" s="1"/>
  <c r="F613" i="7"/>
  <c r="U613" i="7" s="1"/>
  <c r="E613" i="7"/>
  <c r="D613" i="7"/>
  <c r="S613" i="7" s="1"/>
  <c r="C613" i="7"/>
  <c r="G612" i="7"/>
  <c r="V612" i="7" s="1"/>
  <c r="F612" i="7"/>
  <c r="U612" i="7" s="1"/>
  <c r="E612" i="7"/>
  <c r="T612" i="7" s="1"/>
  <c r="D612" i="7"/>
  <c r="S612" i="7" s="1"/>
  <c r="C612" i="7"/>
  <c r="R612" i="7" s="1"/>
  <c r="W612" i="7" s="1"/>
  <c r="G611" i="7"/>
  <c r="V611" i="7" s="1"/>
  <c r="F611" i="7"/>
  <c r="U611" i="7" s="1"/>
  <c r="E611" i="7"/>
  <c r="T611" i="7" s="1"/>
  <c r="D611" i="7"/>
  <c r="S611" i="7" s="1"/>
  <c r="C611" i="7"/>
  <c r="G610" i="7"/>
  <c r="V610" i="7" s="1"/>
  <c r="F610" i="7"/>
  <c r="U610" i="7" s="1"/>
  <c r="E610" i="7"/>
  <c r="T610" i="7" s="1"/>
  <c r="D610" i="7"/>
  <c r="C610" i="7"/>
  <c r="R610" i="7" s="1"/>
  <c r="W610" i="7" s="1"/>
  <c r="G609" i="7"/>
  <c r="V609" i="7" s="1"/>
  <c r="F609" i="7"/>
  <c r="U609" i="7" s="1"/>
  <c r="E609" i="7"/>
  <c r="T609" i="7" s="1"/>
  <c r="D609" i="7"/>
  <c r="S609" i="7" s="1"/>
  <c r="C609" i="7"/>
  <c r="R609" i="7" s="1"/>
  <c r="W609" i="7" s="1"/>
  <c r="G608" i="7"/>
  <c r="V608" i="7" s="1"/>
  <c r="F608" i="7"/>
  <c r="U608" i="7" s="1"/>
  <c r="E608" i="7"/>
  <c r="T608" i="7" s="1"/>
  <c r="D608" i="7"/>
  <c r="S608" i="7" s="1"/>
  <c r="C608" i="7"/>
  <c r="R608" i="7" s="1"/>
  <c r="W608" i="7" s="1"/>
  <c r="G607" i="7"/>
  <c r="V607" i="7" s="1"/>
  <c r="F607" i="7"/>
  <c r="U607" i="7" s="1"/>
  <c r="E607" i="7"/>
  <c r="T607" i="7" s="1"/>
  <c r="D607" i="7"/>
  <c r="S607" i="7" s="1"/>
  <c r="C607" i="7"/>
  <c r="R607" i="7" s="1"/>
  <c r="W607" i="7" s="1"/>
  <c r="G606" i="7"/>
  <c r="V606" i="7" s="1"/>
  <c r="F606" i="7"/>
  <c r="U606" i="7" s="1"/>
  <c r="E606" i="7"/>
  <c r="T606" i="7" s="1"/>
  <c r="D606" i="7"/>
  <c r="S606" i="7" s="1"/>
  <c r="C606" i="7"/>
  <c r="R606" i="7" s="1"/>
  <c r="W606" i="7" s="1"/>
  <c r="G605" i="7"/>
  <c r="V605" i="7" s="1"/>
  <c r="F605" i="7"/>
  <c r="U605" i="7" s="1"/>
  <c r="E605" i="7"/>
  <c r="T605" i="7" s="1"/>
  <c r="D605" i="7"/>
  <c r="S605" i="7" s="1"/>
  <c r="C605" i="7"/>
  <c r="R605" i="7" s="1"/>
  <c r="W605" i="7" s="1"/>
  <c r="G604" i="7"/>
  <c r="V604" i="7" s="1"/>
  <c r="F604" i="7"/>
  <c r="U604" i="7" s="1"/>
  <c r="E604" i="7"/>
  <c r="D604" i="7"/>
  <c r="S604" i="7" s="1"/>
  <c r="C604" i="7"/>
  <c r="R604" i="7" s="1"/>
  <c r="W604" i="7" s="1"/>
  <c r="G603" i="7"/>
  <c r="V603" i="7" s="1"/>
  <c r="F603" i="7"/>
  <c r="U603" i="7" s="1"/>
  <c r="E603" i="7"/>
  <c r="T603" i="7" s="1"/>
  <c r="D603" i="7"/>
  <c r="S603" i="7" s="1"/>
  <c r="C603" i="7"/>
  <c r="G602" i="7"/>
  <c r="V602" i="7" s="1"/>
  <c r="F602" i="7"/>
  <c r="U602" i="7" s="1"/>
  <c r="E602" i="7"/>
  <c r="T602" i="7" s="1"/>
  <c r="D602" i="7"/>
  <c r="S602" i="7" s="1"/>
  <c r="C602" i="7"/>
  <c r="G601" i="7"/>
  <c r="V601" i="7" s="1"/>
  <c r="F601" i="7"/>
  <c r="U601" i="7" s="1"/>
  <c r="E601" i="7"/>
  <c r="D601" i="7"/>
  <c r="S601" i="7" s="1"/>
  <c r="C601" i="7"/>
  <c r="G600" i="7"/>
  <c r="V600" i="7" s="1"/>
  <c r="F600" i="7"/>
  <c r="U600" i="7" s="1"/>
  <c r="E600" i="7"/>
  <c r="T600" i="7" s="1"/>
  <c r="D600" i="7"/>
  <c r="S600" i="7" s="1"/>
  <c r="C600" i="7"/>
  <c r="R600" i="7" s="1"/>
  <c r="W600" i="7" s="1"/>
  <c r="G599" i="7"/>
  <c r="V599" i="7" s="1"/>
  <c r="F599" i="7"/>
  <c r="U599" i="7" s="1"/>
  <c r="E599" i="7"/>
  <c r="T599" i="7" s="1"/>
  <c r="D599" i="7"/>
  <c r="S599" i="7" s="1"/>
  <c r="C599" i="7"/>
  <c r="G598" i="7"/>
  <c r="V598" i="7" s="1"/>
  <c r="F598" i="7"/>
  <c r="U598" i="7" s="1"/>
  <c r="E598" i="7"/>
  <c r="T598" i="7" s="1"/>
  <c r="D598" i="7"/>
  <c r="C598" i="7"/>
  <c r="R598" i="7" s="1"/>
  <c r="W598" i="7" s="1"/>
  <c r="G597" i="7"/>
  <c r="V597" i="7" s="1"/>
  <c r="F597" i="7"/>
  <c r="U597" i="7" s="1"/>
  <c r="E597" i="7"/>
  <c r="T597" i="7" s="1"/>
  <c r="D597" i="7"/>
  <c r="S597" i="7" s="1"/>
  <c r="C597" i="7"/>
  <c r="R597" i="7" s="1"/>
  <c r="W597" i="7" s="1"/>
  <c r="G596" i="7"/>
  <c r="V596" i="7" s="1"/>
  <c r="F596" i="7"/>
  <c r="U596" i="7" s="1"/>
  <c r="E596" i="7"/>
  <c r="T596" i="7" s="1"/>
  <c r="D596" i="7"/>
  <c r="S596" i="7" s="1"/>
  <c r="C596" i="7"/>
  <c r="R596" i="7" s="1"/>
  <c r="W596" i="7" s="1"/>
  <c r="G595" i="7"/>
  <c r="V595" i="7" s="1"/>
  <c r="F595" i="7"/>
  <c r="U595" i="7" s="1"/>
  <c r="E595" i="7"/>
  <c r="T595" i="7" s="1"/>
  <c r="D595" i="7"/>
  <c r="S595" i="7" s="1"/>
  <c r="C595" i="7"/>
  <c r="R595" i="7" s="1"/>
  <c r="W595" i="7" s="1"/>
  <c r="G594" i="7"/>
  <c r="V594" i="7" s="1"/>
  <c r="F594" i="7"/>
  <c r="U594" i="7" s="1"/>
  <c r="E594" i="7"/>
  <c r="T594" i="7" s="1"/>
  <c r="D594" i="7"/>
  <c r="S594" i="7" s="1"/>
  <c r="C594" i="7"/>
  <c r="R594" i="7" s="1"/>
  <c r="W594" i="7" s="1"/>
  <c r="G593" i="7"/>
  <c r="V593" i="7" s="1"/>
  <c r="F593" i="7"/>
  <c r="U593" i="7" s="1"/>
  <c r="E593" i="7"/>
  <c r="T593" i="7" s="1"/>
  <c r="D593" i="7"/>
  <c r="S593" i="7" s="1"/>
  <c r="C593" i="7"/>
  <c r="R593" i="7" s="1"/>
  <c r="W593" i="7" s="1"/>
  <c r="G592" i="7"/>
  <c r="V592" i="7" s="1"/>
  <c r="F592" i="7"/>
  <c r="U592" i="7" s="1"/>
  <c r="E592" i="7"/>
  <c r="D592" i="7"/>
  <c r="S592" i="7" s="1"/>
  <c r="C592" i="7"/>
  <c r="R592" i="7" s="1"/>
  <c r="W592" i="7" s="1"/>
  <c r="G591" i="7"/>
  <c r="V591" i="7" s="1"/>
  <c r="F591" i="7"/>
  <c r="U591" i="7" s="1"/>
  <c r="E591" i="7"/>
  <c r="T591" i="7" s="1"/>
  <c r="D591" i="7"/>
  <c r="S591" i="7" s="1"/>
  <c r="C591" i="7"/>
  <c r="G590" i="7"/>
  <c r="V590" i="7" s="1"/>
  <c r="F590" i="7"/>
  <c r="U590" i="7" s="1"/>
  <c r="E590" i="7"/>
  <c r="T590" i="7" s="1"/>
  <c r="D590" i="7"/>
  <c r="S590" i="7" s="1"/>
  <c r="C590" i="7"/>
  <c r="G589" i="7"/>
  <c r="V589" i="7" s="1"/>
  <c r="F589" i="7"/>
  <c r="U589" i="7" s="1"/>
  <c r="E589" i="7"/>
  <c r="D589" i="7"/>
  <c r="S589" i="7" s="1"/>
  <c r="C589" i="7"/>
  <c r="G588" i="7"/>
  <c r="V588" i="7" s="1"/>
  <c r="F588" i="7"/>
  <c r="U588" i="7" s="1"/>
  <c r="E588" i="7"/>
  <c r="T588" i="7" s="1"/>
  <c r="D588" i="7"/>
  <c r="S588" i="7" s="1"/>
  <c r="C588" i="7"/>
  <c r="R588" i="7" s="1"/>
  <c r="W588" i="7" s="1"/>
  <c r="G587" i="7"/>
  <c r="V587" i="7" s="1"/>
  <c r="F587" i="7"/>
  <c r="U587" i="7" s="1"/>
  <c r="E587" i="7"/>
  <c r="T587" i="7" s="1"/>
  <c r="D587" i="7"/>
  <c r="S587" i="7" s="1"/>
  <c r="C587" i="7"/>
  <c r="G586" i="7"/>
  <c r="V586" i="7" s="1"/>
  <c r="F586" i="7"/>
  <c r="U586" i="7" s="1"/>
  <c r="E586" i="7"/>
  <c r="T586" i="7" s="1"/>
  <c r="D586" i="7"/>
  <c r="C586" i="7"/>
  <c r="R586" i="7" s="1"/>
  <c r="W586" i="7" s="1"/>
  <c r="G585" i="7"/>
  <c r="V585" i="7" s="1"/>
  <c r="F585" i="7"/>
  <c r="U585" i="7" s="1"/>
  <c r="E585" i="7"/>
  <c r="T585" i="7" s="1"/>
  <c r="D585" i="7"/>
  <c r="S585" i="7" s="1"/>
  <c r="C585" i="7"/>
  <c r="R585" i="7" s="1"/>
  <c r="W585" i="7" s="1"/>
  <c r="G584" i="7"/>
  <c r="V584" i="7" s="1"/>
  <c r="F584" i="7"/>
  <c r="U584" i="7" s="1"/>
  <c r="E584" i="7"/>
  <c r="T584" i="7" s="1"/>
  <c r="D584" i="7"/>
  <c r="S584" i="7" s="1"/>
  <c r="C584" i="7"/>
  <c r="R584" i="7" s="1"/>
  <c r="W584" i="7" s="1"/>
  <c r="G583" i="7"/>
  <c r="V583" i="7" s="1"/>
  <c r="F583" i="7"/>
  <c r="U583" i="7" s="1"/>
  <c r="E583" i="7"/>
  <c r="T583" i="7" s="1"/>
  <c r="D583" i="7"/>
  <c r="S583" i="7" s="1"/>
  <c r="C583" i="7"/>
  <c r="R583" i="7" s="1"/>
  <c r="W583" i="7" s="1"/>
  <c r="G582" i="7"/>
  <c r="V582" i="7" s="1"/>
  <c r="F582" i="7"/>
  <c r="U582" i="7" s="1"/>
  <c r="E582" i="7"/>
  <c r="T582" i="7" s="1"/>
  <c r="D582" i="7"/>
  <c r="S582" i="7" s="1"/>
  <c r="C582" i="7"/>
  <c r="R582" i="7" s="1"/>
  <c r="W582" i="7" s="1"/>
  <c r="G581" i="7"/>
  <c r="V581" i="7" s="1"/>
  <c r="F581" i="7"/>
  <c r="U581" i="7" s="1"/>
  <c r="E581" i="7"/>
  <c r="T581" i="7" s="1"/>
  <c r="D581" i="7"/>
  <c r="S581" i="7" s="1"/>
  <c r="C581" i="7"/>
  <c r="R581" i="7" s="1"/>
  <c r="W581" i="7" s="1"/>
  <c r="G580" i="7"/>
  <c r="V580" i="7" s="1"/>
  <c r="F580" i="7"/>
  <c r="U580" i="7" s="1"/>
  <c r="E580" i="7"/>
  <c r="D580" i="7"/>
  <c r="S580" i="7" s="1"/>
  <c r="C580" i="7"/>
  <c r="R580" i="7" s="1"/>
  <c r="W580" i="7" s="1"/>
  <c r="G579" i="7"/>
  <c r="V579" i="7" s="1"/>
  <c r="F579" i="7"/>
  <c r="U579" i="7" s="1"/>
  <c r="E579" i="7"/>
  <c r="T579" i="7" s="1"/>
  <c r="D579" i="7"/>
  <c r="S579" i="7" s="1"/>
  <c r="C579" i="7"/>
  <c r="G578" i="7"/>
  <c r="V578" i="7" s="1"/>
  <c r="F578" i="7"/>
  <c r="U578" i="7" s="1"/>
  <c r="E578" i="7"/>
  <c r="T578" i="7" s="1"/>
  <c r="D578" i="7"/>
  <c r="S578" i="7" s="1"/>
  <c r="C578" i="7"/>
  <c r="G577" i="7"/>
  <c r="V577" i="7" s="1"/>
  <c r="F577" i="7"/>
  <c r="U577" i="7" s="1"/>
  <c r="E577" i="7"/>
  <c r="D577" i="7"/>
  <c r="S577" i="7" s="1"/>
  <c r="C577" i="7"/>
  <c r="G576" i="7"/>
  <c r="V576" i="7" s="1"/>
  <c r="F576" i="7"/>
  <c r="U576" i="7" s="1"/>
  <c r="E576" i="7"/>
  <c r="T576" i="7" s="1"/>
  <c r="D576" i="7"/>
  <c r="S576" i="7" s="1"/>
  <c r="C576" i="7"/>
  <c r="R576" i="7" s="1"/>
  <c r="W576" i="7" s="1"/>
  <c r="G575" i="7"/>
  <c r="V575" i="7" s="1"/>
  <c r="F575" i="7"/>
  <c r="U575" i="7" s="1"/>
  <c r="E575" i="7"/>
  <c r="T575" i="7" s="1"/>
  <c r="D575" i="7"/>
  <c r="S575" i="7" s="1"/>
  <c r="C575" i="7"/>
  <c r="G574" i="7"/>
  <c r="V574" i="7" s="1"/>
  <c r="F574" i="7"/>
  <c r="U574" i="7" s="1"/>
  <c r="E574" i="7"/>
  <c r="T574" i="7" s="1"/>
  <c r="D574" i="7"/>
  <c r="C574" i="7"/>
  <c r="R574" i="7" s="1"/>
  <c r="W574" i="7" s="1"/>
  <c r="G573" i="7"/>
  <c r="V573" i="7" s="1"/>
  <c r="F573" i="7"/>
  <c r="U573" i="7" s="1"/>
  <c r="E573" i="7"/>
  <c r="T573" i="7" s="1"/>
  <c r="D573" i="7"/>
  <c r="S573" i="7" s="1"/>
  <c r="C573" i="7"/>
  <c r="R573" i="7" s="1"/>
  <c r="W573" i="7" s="1"/>
  <c r="G572" i="7"/>
  <c r="V572" i="7" s="1"/>
  <c r="F572" i="7"/>
  <c r="U572" i="7" s="1"/>
  <c r="E572" i="7"/>
  <c r="T572" i="7" s="1"/>
  <c r="D572" i="7"/>
  <c r="S572" i="7" s="1"/>
  <c r="C572" i="7"/>
  <c r="R572" i="7" s="1"/>
  <c r="W572" i="7" s="1"/>
  <c r="G571" i="7"/>
  <c r="V571" i="7" s="1"/>
  <c r="F571" i="7"/>
  <c r="U571" i="7" s="1"/>
  <c r="E571" i="7"/>
  <c r="T571" i="7" s="1"/>
  <c r="D571" i="7"/>
  <c r="S571" i="7" s="1"/>
  <c r="C571" i="7"/>
  <c r="R571" i="7" s="1"/>
  <c r="W571" i="7" s="1"/>
  <c r="G570" i="7"/>
  <c r="V570" i="7" s="1"/>
  <c r="F570" i="7"/>
  <c r="U570" i="7" s="1"/>
  <c r="E570" i="7"/>
  <c r="T570" i="7" s="1"/>
  <c r="D570" i="7"/>
  <c r="S570" i="7" s="1"/>
  <c r="C570" i="7"/>
  <c r="R570" i="7" s="1"/>
  <c r="W570" i="7" s="1"/>
  <c r="G569" i="7"/>
  <c r="V569" i="7" s="1"/>
  <c r="F569" i="7"/>
  <c r="U569" i="7" s="1"/>
  <c r="E569" i="7"/>
  <c r="T569" i="7" s="1"/>
  <c r="D569" i="7"/>
  <c r="S569" i="7" s="1"/>
  <c r="C569" i="7"/>
  <c r="R569" i="7" s="1"/>
  <c r="W569" i="7" s="1"/>
  <c r="G568" i="7"/>
  <c r="V568" i="7" s="1"/>
  <c r="F568" i="7"/>
  <c r="U568" i="7" s="1"/>
  <c r="E568" i="7"/>
  <c r="D568" i="7"/>
  <c r="S568" i="7" s="1"/>
  <c r="C568" i="7"/>
  <c r="R568" i="7" s="1"/>
  <c r="W568" i="7" s="1"/>
  <c r="G567" i="7"/>
  <c r="V567" i="7" s="1"/>
  <c r="F567" i="7"/>
  <c r="U567" i="7" s="1"/>
  <c r="E567" i="7"/>
  <c r="T567" i="7" s="1"/>
  <c r="D567" i="7"/>
  <c r="S567" i="7" s="1"/>
  <c r="C567" i="7"/>
  <c r="G566" i="7"/>
  <c r="V566" i="7" s="1"/>
  <c r="F566" i="7"/>
  <c r="U566" i="7" s="1"/>
  <c r="E566" i="7"/>
  <c r="T566" i="7" s="1"/>
  <c r="D566" i="7"/>
  <c r="S566" i="7" s="1"/>
  <c r="C566" i="7"/>
  <c r="G565" i="7"/>
  <c r="V565" i="7" s="1"/>
  <c r="F565" i="7"/>
  <c r="U565" i="7" s="1"/>
  <c r="E565" i="7"/>
  <c r="D565" i="7"/>
  <c r="S565" i="7" s="1"/>
  <c r="C565" i="7"/>
  <c r="G564" i="7"/>
  <c r="V564" i="7" s="1"/>
  <c r="F564" i="7"/>
  <c r="U564" i="7" s="1"/>
  <c r="E564" i="7"/>
  <c r="T564" i="7" s="1"/>
  <c r="D564" i="7"/>
  <c r="S564" i="7" s="1"/>
  <c r="C564" i="7"/>
  <c r="R564" i="7" s="1"/>
  <c r="W564" i="7" s="1"/>
  <c r="G563" i="7"/>
  <c r="V563" i="7" s="1"/>
  <c r="F563" i="7"/>
  <c r="U563" i="7" s="1"/>
  <c r="E563" i="7"/>
  <c r="T563" i="7" s="1"/>
  <c r="D563" i="7"/>
  <c r="S563" i="7" s="1"/>
  <c r="C563" i="7"/>
  <c r="G562" i="7"/>
  <c r="V562" i="7" s="1"/>
  <c r="F562" i="7"/>
  <c r="U562" i="7" s="1"/>
  <c r="E562" i="7"/>
  <c r="T562" i="7" s="1"/>
  <c r="D562" i="7"/>
  <c r="C562" i="7"/>
  <c r="R562" i="7" s="1"/>
  <c r="W562" i="7" s="1"/>
  <c r="G561" i="7"/>
  <c r="V561" i="7" s="1"/>
  <c r="F561" i="7"/>
  <c r="U561" i="7" s="1"/>
  <c r="E561" i="7"/>
  <c r="T561" i="7" s="1"/>
  <c r="D561" i="7"/>
  <c r="S561" i="7" s="1"/>
  <c r="C561" i="7"/>
  <c r="R561" i="7" s="1"/>
  <c r="W561" i="7" s="1"/>
  <c r="G560" i="7"/>
  <c r="V560" i="7" s="1"/>
  <c r="F560" i="7"/>
  <c r="U560" i="7" s="1"/>
  <c r="E560" i="7"/>
  <c r="T560" i="7" s="1"/>
  <c r="D560" i="7"/>
  <c r="S560" i="7" s="1"/>
  <c r="C560" i="7"/>
  <c r="R560" i="7" s="1"/>
  <c r="W560" i="7" s="1"/>
  <c r="G559" i="7"/>
  <c r="V559" i="7" s="1"/>
  <c r="F559" i="7"/>
  <c r="U559" i="7" s="1"/>
  <c r="E559" i="7"/>
  <c r="T559" i="7" s="1"/>
  <c r="D559" i="7"/>
  <c r="S559" i="7" s="1"/>
  <c r="C559" i="7"/>
  <c r="R559" i="7" s="1"/>
  <c r="W559" i="7" s="1"/>
  <c r="G558" i="7"/>
  <c r="V558" i="7" s="1"/>
  <c r="F558" i="7"/>
  <c r="U558" i="7" s="1"/>
  <c r="E558" i="7"/>
  <c r="T558" i="7" s="1"/>
  <c r="D558" i="7"/>
  <c r="S558" i="7" s="1"/>
  <c r="C558" i="7"/>
  <c r="R558" i="7" s="1"/>
  <c r="W558" i="7" s="1"/>
  <c r="G557" i="7"/>
  <c r="V557" i="7" s="1"/>
  <c r="F557" i="7"/>
  <c r="U557" i="7" s="1"/>
  <c r="E557" i="7"/>
  <c r="T557" i="7" s="1"/>
  <c r="D557" i="7"/>
  <c r="S557" i="7" s="1"/>
  <c r="C557" i="7"/>
  <c r="R557" i="7" s="1"/>
  <c r="W557" i="7" s="1"/>
  <c r="G556" i="7"/>
  <c r="V556" i="7" s="1"/>
  <c r="F556" i="7"/>
  <c r="U556" i="7" s="1"/>
  <c r="E556" i="7"/>
  <c r="D556" i="7"/>
  <c r="S556" i="7" s="1"/>
  <c r="C556" i="7"/>
  <c r="R556" i="7" s="1"/>
  <c r="W556" i="7" s="1"/>
  <c r="G555" i="7"/>
  <c r="V555" i="7" s="1"/>
  <c r="F555" i="7"/>
  <c r="U555" i="7" s="1"/>
  <c r="E555" i="7"/>
  <c r="T555" i="7" s="1"/>
  <c r="D555" i="7"/>
  <c r="S555" i="7" s="1"/>
  <c r="C555" i="7"/>
  <c r="G554" i="7"/>
  <c r="V554" i="7" s="1"/>
  <c r="F554" i="7"/>
  <c r="U554" i="7" s="1"/>
  <c r="E554" i="7"/>
  <c r="T554" i="7" s="1"/>
  <c r="D554" i="7"/>
  <c r="S554" i="7" s="1"/>
  <c r="C554" i="7"/>
  <c r="G553" i="7"/>
  <c r="V553" i="7" s="1"/>
  <c r="F553" i="7"/>
  <c r="U553" i="7" s="1"/>
  <c r="E553" i="7"/>
  <c r="D553" i="7"/>
  <c r="S553" i="7" s="1"/>
  <c r="C553" i="7"/>
  <c r="G552" i="7"/>
  <c r="V552" i="7" s="1"/>
  <c r="F552" i="7"/>
  <c r="U552" i="7" s="1"/>
  <c r="E552" i="7"/>
  <c r="T552" i="7" s="1"/>
  <c r="D552" i="7"/>
  <c r="S552" i="7" s="1"/>
  <c r="C552" i="7"/>
  <c r="R552" i="7" s="1"/>
  <c r="W552" i="7" s="1"/>
  <c r="G551" i="7"/>
  <c r="V551" i="7" s="1"/>
  <c r="F551" i="7"/>
  <c r="U551" i="7" s="1"/>
  <c r="E551" i="7"/>
  <c r="T551" i="7" s="1"/>
  <c r="D551" i="7"/>
  <c r="S551" i="7" s="1"/>
  <c r="C551" i="7"/>
  <c r="G550" i="7"/>
  <c r="V550" i="7" s="1"/>
  <c r="F550" i="7"/>
  <c r="U550" i="7" s="1"/>
  <c r="E550" i="7"/>
  <c r="T550" i="7" s="1"/>
  <c r="D550" i="7"/>
  <c r="C550" i="7"/>
  <c r="R550" i="7" s="1"/>
  <c r="W550" i="7" s="1"/>
  <c r="G549" i="7"/>
  <c r="V549" i="7" s="1"/>
  <c r="F549" i="7"/>
  <c r="U549" i="7" s="1"/>
  <c r="E549" i="7"/>
  <c r="T549" i="7" s="1"/>
  <c r="D549" i="7"/>
  <c r="S549" i="7" s="1"/>
  <c r="C549" i="7"/>
  <c r="R549" i="7" s="1"/>
  <c r="W549" i="7" s="1"/>
  <c r="G548" i="7"/>
  <c r="V548" i="7" s="1"/>
  <c r="F548" i="7"/>
  <c r="U548" i="7" s="1"/>
  <c r="E548" i="7"/>
  <c r="T548" i="7" s="1"/>
  <c r="D548" i="7"/>
  <c r="S548" i="7" s="1"/>
  <c r="C548" i="7"/>
  <c r="R548" i="7" s="1"/>
  <c r="W548" i="7" s="1"/>
  <c r="G547" i="7"/>
  <c r="V547" i="7" s="1"/>
  <c r="F547" i="7"/>
  <c r="U547" i="7" s="1"/>
  <c r="E547" i="7"/>
  <c r="T547" i="7" s="1"/>
  <c r="D547" i="7"/>
  <c r="S547" i="7" s="1"/>
  <c r="C547" i="7"/>
  <c r="R547" i="7" s="1"/>
  <c r="W547" i="7" s="1"/>
  <c r="G546" i="7"/>
  <c r="V546" i="7" s="1"/>
  <c r="F546" i="7"/>
  <c r="U546" i="7" s="1"/>
  <c r="E546" i="7"/>
  <c r="T546" i="7" s="1"/>
  <c r="D546" i="7"/>
  <c r="S546" i="7" s="1"/>
  <c r="C546" i="7"/>
  <c r="R546" i="7" s="1"/>
  <c r="W546" i="7" s="1"/>
  <c r="G545" i="7"/>
  <c r="V545" i="7" s="1"/>
  <c r="F545" i="7"/>
  <c r="U545" i="7" s="1"/>
  <c r="E545" i="7"/>
  <c r="T545" i="7" s="1"/>
  <c r="D545" i="7"/>
  <c r="S545" i="7" s="1"/>
  <c r="C545" i="7"/>
  <c r="R545" i="7" s="1"/>
  <c r="W545" i="7" s="1"/>
  <c r="G544" i="7"/>
  <c r="V544" i="7" s="1"/>
  <c r="F544" i="7"/>
  <c r="U544" i="7" s="1"/>
  <c r="E544" i="7"/>
  <c r="D544" i="7"/>
  <c r="S544" i="7" s="1"/>
  <c r="C544" i="7"/>
  <c r="R544" i="7" s="1"/>
  <c r="W544" i="7" s="1"/>
  <c r="G543" i="7"/>
  <c r="V543" i="7" s="1"/>
  <c r="F543" i="7"/>
  <c r="U543" i="7" s="1"/>
  <c r="E543" i="7"/>
  <c r="T543" i="7" s="1"/>
  <c r="D543" i="7"/>
  <c r="S543" i="7" s="1"/>
  <c r="C543" i="7"/>
  <c r="G542" i="7"/>
  <c r="V542" i="7" s="1"/>
  <c r="F542" i="7"/>
  <c r="U542" i="7" s="1"/>
  <c r="E542" i="7"/>
  <c r="T542" i="7" s="1"/>
  <c r="D542" i="7"/>
  <c r="S542" i="7" s="1"/>
  <c r="C542" i="7"/>
  <c r="G541" i="7"/>
  <c r="V541" i="7" s="1"/>
  <c r="F541" i="7"/>
  <c r="U541" i="7" s="1"/>
  <c r="E541" i="7"/>
  <c r="D541" i="7"/>
  <c r="S541" i="7" s="1"/>
  <c r="C541" i="7"/>
  <c r="G540" i="7"/>
  <c r="V540" i="7" s="1"/>
  <c r="F540" i="7"/>
  <c r="U540" i="7" s="1"/>
  <c r="E540" i="7"/>
  <c r="T540" i="7" s="1"/>
  <c r="D540" i="7"/>
  <c r="S540" i="7" s="1"/>
  <c r="C540" i="7"/>
  <c r="R540" i="7" s="1"/>
  <c r="W540" i="7" s="1"/>
  <c r="G539" i="7"/>
  <c r="V539" i="7" s="1"/>
  <c r="F539" i="7"/>
  <c r="U539" i="7" s="1"/>
  <c r="E539" i="7"/>
  <c r="T539" i="7" s="1"/>
  <c r="D539" i="7"/>
  <c r="S539" i="7" s="1"/>
  <c r="C539" i="7"/>
  <c r="G538" i="7"/>
  <c r="V538" i="7" s="1"/>
  <c r="F538" i="7"/>
  <c r="U538" i="7" s="1"/>
  <c r="E538" i="7"/>
  <c r="T538" i="7" s="1"/>
  <c r="D538" i="7"/>
  <c r="C538" i="7"/>
  <c r="R538" i="7" s="1"/>
  <c r="W538" i="7" s="1"/>
  <c r="G537" i="7"/>
  <c r="V537" i="7" s="1"/>
  <c r="F537" i="7"/>
  <c r="U537" i="7" s="1"/>
  <c r="E537" i="7"/>
  <c r="T537" i="7" s="1"/>
  <c r="D537" i="7"/>
  <c r="S537" i="7" s="1"/>
  <c r="C537" i="7"/>
  <c r="R537" i="7" s="1"/>
  <c r="W537" i="7" s="1"/>
  <c r="G536" i="7"/>
  <c r="V536" i="7" s="1"/>
  <c r="F536" i="7"/>
  <c r="U536" i="7" s="1"/>
  <c r="E536" i="7"/>
  <c r="T536" i="7" s="1"/>
  <c r="D536" i="7"/>
  <c r="S536" i="7" s="1"/>
  <c r="C536" i="7"/>
  <c r="R536" i="7" s="1"/>
  <c r="W536" i="7" s="1"/>
  <c r="G535" i="7"/>
  <c r="V535" i="7" s="1"/>
  <c r="F535" i="7"/>
  <c r="U535" i="7" s="1"/>
  <c r="E535" i="7"/>
  <c r="T535" i="7" s="1"/>
  <c r="D535" i="7"/>
  <c r="S535" i="7" s="1"/>
  <c r="C535" i="7"/>
  <c r="R535" i="7" s="1"/>
  <c r="W535" i="7" s="1"/>
  <c r="G534" i="7"/>
  <c r="V534" i="7" s="1"/>
  <c r="F534" i="7"/>
  <c r="U534" i="7" s="1"/>
  <c r="E534" i="7"/>
  <c r="T534" i="7" s="1"/>
  <c r="D534" i="7"/>
  <c r="S534" i="7" s="1"/>
  <c r="C534" i="7"/>
  <c r="R534" i="7" s="1"/>
  <c r="W534" i="7" s="1"/>
  <c r="G533" i="7"/>
  <c r="V533" i="7" s="1"/>
  <c r="F533" i="7"/>
  <c r="U533" i="7" s="1"/>
  <c r="E533" i="7"/>
  <c r="T533" i="7" s="1"/>
  <c r="D533" i="7"/>
  <c r="S533" i="7" s="1"/>
  <c r="C533" i="7"/>
  <c r="R533" i="7" s="1"/>
  <c r="W533" i="7" s="1"/>
  <c r="G532" i="7"/>
  <c r="V532" i="7" s="1"/>
  <c r="F532" i="7"/>
  <c r="U532" i="7" s="1"/>
  <c r="E532" i="7"/>
  <c r="D532" i="7"/>
  <c r="S532" i="7" s="1"/>
  <c r="C532" i="7"/>
  <c r="R532" i="7" s="1"/>
  <c r="W532" i="7" s="1"/>
  <c r="G531" i="7"/>
  <c r="V531" i="7" s="1"/>
  <c r="F531" i="7"/>
  <c r="U531" i="7" s="1"/>
  <c r="E531" i="7"/>
  <c r="T531" i="7" s="1"/>
  <c r="D531" i="7"/>
  <c r="S531" i="7" s="1"/>
  <c r="C531" i="7"/>
  <c r="G530" i="7"/>
  <c r="V530" i="7" s="1"/>
  <c r="F530" i="7"/>
  <c r="U530" i="7" s="1"/>
  <c r="E530" i="7"/>
  <c r="T530" i="7" s="1"/>
  <c r="D530" i="7"/>
  <c r="S530" i="7" s="1"/>
  <c r="C530" i="7"/>
  <c r="G529" i="7"/>
  <c r="V529" i="7" s="1"/>
  <c r="F529" i="7"/>
  <c r="U529" i="7" s="1"/>
  <c r="E529" i="7"/>
  <c r="D529" i="7"/>
  <c r="S529" i="7" s="1"/>
  <c r="C529" i="7"/>
  <c r="G528" i="7"/>
  <c r="V528" i="7" s="1"/>
  <c r="F528" i="7"/>
  <c r="U528" i="7" s="1"/>
  <c r="E528" i="7"/>
  <c r="T528" i="7" s="1"/>
  <c r="D528" i="7"/>
  <c r="S528" i="7" s="1"/>
  <c r="C528" i="7"/>
  <c r="R528" i="7" s="1"/>
  <c r="W528" i="7" s="1"/>
  <c r="G527" i="7"/>
  <c r="V527" i="7" s="1"/>
  <c r="F527" i="7"/>
  <c r="U527" i="7" s="1"/>
  <c r="E527" i="7"/>
  <c r="T527" i="7" s="1"/>
  <c r="D527" i="7"/>
  <c r="S527" i="7" s="1"/>
  <c r="C527" i="7"/>
  <c r="G526" i="7"/>
  <c r="V526" i="7" s="1"/>
  <c r="F526" i="7"/>
  <c r="U526" i="7" s="1"/>
  <c r="E526" i="7"/>
  <c r="T526" i="7" s="1"/>
  <c r="D526" i="7"/>
  <c r="C526" i="7"/>
  <c r="R526" i="7" s="1"/>
  <c r="W526" i="7" s="1"/>
  <c r="G525" i="7"/>
  <c r="V525" i="7" s="1"/>
  <c r="F525" i="7"/>
  <c r="U525" i="7" s="1"/>
  <c r="E525" i="7"/>
  <c r="T525" i="7" s="1"/>
  <c r="D525" i="7"/>
  <c r="S525" i="7" s="1"/>
  <c r="C525" i="7"/>
  <c r="R525" i="7" s="1"/>
  <c r="W525" i="7" s="1"/>
  <c r="G524" i="7"/>
  <c r="V524" i="7" s="1"/>
  <c r="F524" i="7"/>
  <c r="U524" i="7" s="1"/>
  <c r="E524" i="7"/>
  <c r="T524" i="7" s="1"/>
  <c r="D524" i="7"/>
  <c r="S524" i="7" s="1"/>
  <c r="C524" i="7"/>
  <c r="R524" i="7" s="1"/>
  <c r="W524" i="7" s="1"/>
  <c r="G523" i="7"/>
  <c r="V523" i="7" s="1"/>
  <c r="F523" i="7"/>
  <c r="U523" i="7" s="1"/>
  <c r="E523" i="7"/>
  <c r="T523" i="7" s="1"/>
  <c r="D523" i="7"/>
  <c r="S523" i="7" s="1"/>
  <c r="C523" i="7"/>
  <c r="R523" i="7" s="1"/>
  <c r="W523" i="7" s="1"/>
  <c r="G522" i="7"/>
  <c r="V522" i="7" s="1"/>
  <c r="F522" i="7"/>
  <c r="U522" i="7" s="1"/>
  <c r="E522" i="7"/>
  <c r="T522" i="7" s="1"/>
  <c r="D522" i="7"/>
  <c r="S522" i="7" s="1"/>
  <c r="C522" i="7"/>
  <c r="R522" i="7" s="1"/>
  <c r="W522" i="7" s="1"/>
  <c r="G521" i="7"/>
  <c r="V521" i="7" s="1"/>
  <c r="F521" i="7"/>
  <c r="U521" i="7" s="1"/>
  <c r="E521" i="7"/>
  <c r="T521" i="7" s="1"/>
  <c r="D521" i="7"/>
  <c r="S521" i="7" s="1"/>
  <c r="C521" i="7"/>
  <c r="R521" i="7" s="1"/>
  <c r="W521" i="7" s="1"/>
  <c r="G520" i="7"/>
  <c r="V520" i="7" s="1"/>
  <c r="F520" i="7"/>
  <c r="U520" i="7" s="1"/>
  <c r="E520" i="7"/>
  <c r="D520" i="7"/>
  <c r="S520" i="7" s="1"/>
  <c r="C520" i="7"/>
  <c r="R520" i="7" s="1"/>
  <c r="W520" i="7" s="1"/>
  <c r="G519" i="7"/>
  <c r="V519" i="7" s="1"/>
  <c r="F519" i="7"/>
  <c r="U519" i="7" s="1"/>
  <c r="E519" i="7"/>
  <c r="T519" i="7" s="1"/>
  <c r="D519" i="7"/>
  <c r="S519" i="7" s="1"/>
  <c r="C519" i="7"/>
  <c r="G518" i="7"/>
  <c r="V518" i="7" s="1"/>
  <c r="F518" i="7"/>
  <c r="U518" i="7" s="1"/>
  <c r="E518" i="7"/>
  <c r="T518" i="7" s="1"/>
  <c r="D518" i="7"/>
  <c r="S518" i="7" s="1"/>
  <c r="C518" i="7"/>
  <c r="G517" i="7"/>
  <c r="V517" i="7" s="1"/>
  <c r="F517" i="7"/>
  <c r="U517" i="7" s="1"/>
  <c r="E517" i="7"/>
  <c r="D517" i="7"/>
  <c r="S517" i="7" s="1"/>
  <c r="C517" i="7"/>
  <c r="G516" i="7"/>
  <c r="V516" i="7" s="1"/>
  <c r="F516" i="7"/>
  <c r="U516" i="7" s="1"/>
  <c r="E516" i="7"/>
  <c r="T516" i="7" s="1"/>
  <c r="D516" i="7"/>
  <c r="S516" i="7" s="1"/>
  <c r="C516" i="7"/>
  <c r="R516" i="7" s="1"/>
  <c r="W516" i="7" s="1"/>
  <c r="G515" i="7"/>
  <c r="V515" i="7" s="1"/>
  <c r="F515" i="7"/>
  <c r="U515" i="7" s="1"/>
  <c r="E515" i="7"/>
  <c r="T515" i="7" s="1"/>
  <c r="D515" i="7"/>
  <c r="S515" i="7" s="1"/>
  <c r="C515" i="7"/>
  <c r="G514" i="7"/>
  <c r="V514" i="7" s="1"/>
  <c r="F514" i="7"/>
  <c r="U514" i="7" s="1"/>
  <c r="E514" i="7"/>
  <c r="T514" i="7" s="1"/>
  <c r="D514" i="7"/>
  <c r="C514" i="7"/>
  <c r="R514" i="7" s="1"/>
  <c r="W514" i="7" s="1"/>
  <c r="G513" i="7"/>
  <c r="V513" i="7" s="1"/>
  <c r="F513" i="7"/>
  <c r="U513" i="7" s="1"/>
  <c r="E513" i="7"/>
  <c r="T513" i="7" s="1"/>
  <c r="D513" i="7"/>
  <c r="S513" i="7" s="1"/>
  <c r="C513" i="7"/>
  <c r="R513" i="7" s="1"/>
  <c r="W513" i="7" s="1"/>
  <c r="G512" i="7"/>
  <c r="V512" i="7" s="1"/>
  <c r="F512" i="7"/>
  <c r="U512" i="7" s="1"/>
  <c r="E512" i="7"/>
  <c r="T512" i="7" s="1"/>
  <c r="D512" i="7"/>
  <c r="S512" i="7" s="1"/>
  <c r="C512" i="7"/>
  <c r="R512" i="7" s="1"/>
  <c r="W512" i="7" s="1"/>
  <c r="G511" i="7"/>
  <c r="V511" i="7" s="1"/>
  <c r="F511" i="7"/>
  <c r="U511" i="7" s="1"/>
  <c r="E511" i="7"/>
  <c r="T511" i="7" s="1"/>
  <c r="D511" i="7"/>
  <c r="S511" i="7" s="1"/>
  <c r="C511" i="7"/>
  <c r="R511" i="7" s="1"/>
  <c r="W511" i="7" s="1"/>
  <c r="G510" i="7"/>
  <c r="V510" i="7" s="1"/>
  <c r="F510" i="7"/>
  <c r="U510" i="7" s="1"/>
  <c r="E510" i="7"/>
  <c r="T510" i="7" s="1"/>
  <c r="D510" i="7"/>
  <c r="S510" i="7" s="1"/>
  <c r="C510" i="7"/>
  <c r="R510" i="7" s="1"/>
  <c r="W510" i="7" s="1"/>
  <c r="G509" i="7"/>
  <c r="V509" i="7" s="1"/>
  <c r="F509" i="7"/>
  <c r="U509" i="7" s="1"/>
  <c r="E509" i="7"/>
  <c r="T509" i="7" s="1"/>
  <c r="D509" i="7"/>
  <c r="S509" i="7" s="1"/>
  <c r="C509" i="7"/>
  <c r="R509" i="7" s="1"/>
  <c r="W509" i="7" s="1"/>
  <c r="G508" i="7"/>
  <c r="V508" i="7" s="1"/>
  <c r="F508" i="7"/>
  <c r="U508" i="7" s="1"/>
  <c r="E508" i="7"/>
  <c r="D508" i="7"/>
  <c r="S508" i="7" s="1"/>
  <c r="C508" i="7"/>
  <c r="R508" i="7" s="1"/>
  <c r="W508" i="7" s="1"/>
  <c r="G507" i="7"/>
  <c r="V507" i="7" s="1"/>
  <c r="F507" i="7"/>
  <c r="U507" i="7" s="1"/>
  <c r="E507" i="7"/>
  <c r="T507" i="7" s="1"/>
  <c r="D507" i="7"/>
  <c r="S507" i="7" s="1"/>
  <c r="C507" i="7"/>
  <c r="G506" i="7"/>
  <c r="V506" i="7" s="1"/>
  <c r="F506" i="7"/>
  <c r="U506" i="7" s="1"/>
  <c r="E506" i="7"/>
  <c r="T506" i="7" s="1"/>
  <c r="D506" i="7"/>
  <c r="S506" i="7" s="1"/>
  <c r="C506" i="7"/>
  <c r="G505" i="7"/>
  <c r="V505" i="7" s="1"/>
  <c r="F505" i="7"/>
  <c r="U505" i="7" s="1"/>
  <c r="E505" i="7"/>
  <c r="D505" i="7"/>
  <c r="S505" i="7" s="1"/>
  <c r="C505" i="7"/>
  <c r="G504" i="7"/>
  <c r="V504" i="7" s="1"/>
  <c r="F504" i="7"/>
  <c r="U504" i="7" s="1"/>
  <c r="E504" i="7"/>
  <c r="T504" i="7" s="1"/>
  <c r="D504" i="7"/>
  <c r="S504" i="7" s="1"/>
  <c r="C504" i="7"/>
  <c r="R504" i="7" s="1"/>
  <c r="W504" i="7" s="1"/>
  <c r="G503" i="7"/>
  <c r="V503" i="7" s="1"/>
  <c r="F503" i="7"/>
  <c r="U503" i="7" s="1"/>
  <c r="E503" i="7"/>
  <c r="T503" i="7" s="1"/>
  <c r="D503" i="7"/>
  <c r="S503" i="7" s="1"/>
  <c r="C503" i="7"/>
  <c r="G502" i="7"/>
  <c r="V502" i="7" s="1"/>
  <c r="F502" i="7"/>
  <c r="U502" i="7" s="1"/>
  <c r="E502" i="7"/>
  <c r="T502" i="7" s="1"/>
  <c r="D502" i="7"/>
  <c r="C502" i="7"/>
  <c r="R502" i="7" s="1"/>
  <c r="W502" i="7" s="1"/>
  <c r="G501" i="7"/>
  <c r="V501" i="7" s="1"/>
  <c r="F501" i="7"/>
  <c r="U501" i="7" s="1"/>
  <c r="E501" i="7"/>
  <c r="T501" i="7" s="1"/>
  <c r="D501" i="7"/>
  <c r="S501" i="7" s="1"/>
  <c r="C501" i="7"/>
  <c r="R501" i="7" s="1"/>
  <c r="W501" i="7" s="1"/>
  <c r="G500" i="7"/>
  <c r="V500" i="7" s="1"/>
  <c r="F500" i="7"/>
  <c r="U500" i="7" s="1"/>
  <c r="E500" i="7"/>
  <c r="T500" i="7" s="1"/>
  <c r="D500" i="7"/>
  <c r="S500" i="7" s="1"/>
  <c r="C500" i="7"/>
  <c r="R500" i="7" s="1"/>
  <c r="W500" i="7" s="1"/>
  <c r="G499" i="7"/>
  <c r="V499" i="7" s="1"/>
  <c r="F499" i="7"/>
  <c r="U499" i="7" s="1"/>
  <c r="E499" i="7"/>
  <c r="T499" i="7" s="1"/>
  <c r="D499" i="7"/>
  <c r="S499" i="7" s="1"/>
  <c r="C499" i="7"/>
  <c r="R499" i="7" s="1"/>
  <c r="W499" i="7" s="1"/>
  <c r="G498" i="7"/>
  <c r="V498" i="7" s="1"/>
  <c r="F498" i="7"/>
  <c r="U498" i="7" s="1"/>
  <c r="E498" i="7"/>
  <c r="T498" i="7" s="1"/>
  <c r="D498" i="7"/>
  <c r="S498" i="7" s="1"/>
  <c r="C498" i="7"/>
  <c r="R498" i="7" s="1"/>
  <c r="W498" i="7" s="1"/>
  <c r="G497" i="7"/>
  <c r="V497" i="7" s="1"/>
  <c r="F497" i="7"/>
  <c r="U497" i="7" s="1"/>
  <c r="E497" i="7"/>
  <c r="T497" i="7" s="1"/>
  <c r="D497" i="7"/>
  <c r="S497" i="7" s="1"/>
  <c r="C497" i="7"/>
  <c r="R497" i="7" s="1"/>
  <c r="W497" i="7" s="1"/>
  <c r="G496" i="7"/>
  <c r="V496" i="7" s="1"/>
  <c r="F496" i="7"/>
  <c r="U496" i="7" s="1"/>
  <c r="E496" i="7"/>
  <c r="D496" i="7"/>
  <c r="S496" i="7" s="1"/>
  <c r="C496" i="7"/>
  <c r="R496" i="7" s="1"/>
  <c r="W496" i="7" s="1"/>
  <c r="G495" i="7"/>
  <c r="V495" i="7" s="1"/>
  <c r="F495" i="7"/>
  <c r="U495" i="7" s="1"/>
  <c r="E495" i="7"/>
  <c r="T495" i="7" s="1"/>
  <c r="D495" i="7"/>
  <c r="S495" i="7" s="1"/>
  <c r="C495" i="7"/>
  <c r="G494" i="7"/>
  <c r="V494" i="7" s="1"/>
  <c r="F494" i="7"/>
  <c r="U494" i="7" s="1"/>
  <c r="E494" i="7"/>
  <c r="T494" i="7" s="1"/>
  <c r="D494" i="7"/>
  <c r="S494" i="7" s="1"/>
  <c r="C494" i="7"/>
  <c r="G493" i="7"/>
  <c r="V493" i="7" s="1"/>
  <c r="F493" i="7"/>
  <c r="U493" i="7" s="1"/>
  <c r="E493" i="7"/>
  <c r="D493" i="7"/>
  <c r="S493" i="7" s="1"/>
  <c r="C493" i="7"/>
  <c r="G492" i="7"/>
  <c r="V492" i="7" s="1"/>
  <c r="F492" i="7"/>
  <c r="U492" i="7" s="1"/>
  <c r="E492" i="7"/>
  <c r="T492" i="7" s="1"/>
  <c r="D492" i="7"/>
  <c r="S492" i="7" s="1"/>
  <c r="C492" i="7"/>
  <c r="R492" i="7" s="1"/>
  <c r="W492" i="7" s="1"/>
  <c r="G491" i="7"/>
  <c r="V491" i="7" s="1"/>
  <c r="F491" i="7"/>
  <c r="U491" i="7" s="1"/>
  <c r="E491" i="7"/>
  <c r="T491" i="7" s="1"/>
  <c r="D491" i="7"/>
  <c r="S491" i="7" s="1"/>
  <c r="C491" i="7"/>
  <c r="G490" i="7"/>
  <c r="V490" i="7" s="1"/>
  <c r="F490" i="7"/>
  <c r="U490" i="7" s="1"/>
  <c r="E490" i="7"/>
  <c r="T490" i="7" s="1"/>
  <c r="D490" i="7"/>
  <c r="C490" i="7"/>
  <c r="R490" i="7" s="1"/>
  <c r="W490" i="7" s="1"/>
  <c r="G489" i="7"/>
  <c r="V489" i="7" s="1"/>
  <c r="F489" i="7"/>
  <c r="U489" i="7" s="1"/>
  <c r="E489" i="7"/>
  <c r="T489" i="7" s="1"/>
  <c r="D489" i="7"/>
  <c r="S489" i="7" s="1"/>
  <c r="C489" i="7"/>
  <c r="R489" i="7" s="1"/>
  <c r="W489" i="7" s="1"/>
  <c r="G488" i="7"/>
  <c r="V488" i="7" s="1"/>
  <c r="F488" i="7"/>
  <c r="U488" i="7" s="1"/>
  <c r="E488" i="7"/>
  <c r="T488" i="7" s="1"/>
  <c r="D488" i="7"/>
  <c r="S488" i="7" s="1"/>
  <c r="C488" i="7"/>
  <c r="R488" i="7" s="1"/>
  <c r="W488" i="7" s="1"/>
  <c r="G487" i="7"/>
  <c r="V487" i="7" s="1"/>
  <c r="F487" i="7"/>
  <c r="U487" i="7" s="1"/>
  <c r="E487" i="7"/>
  <c r="T487" i="7" s="1"/>
  <c r="D487" i="7"/>
  <c r="S487" i="7" s="1"/>
  <c r="C487" i="7"/>
  <c r="R487" i="7" s="1"/>
  <c r="W487" i="7" s="1"/>
  <c r="G486" i="7"/>
  <c r="V486" i="7" s="1"/>
  <c r="F486" i="7"/>
  <c r="U486" i="7" s="1"/>
  <c r="E486" i="7"/>
  <c r="T486" i="7" s="1"/>
  <c r="D486" i="7"/>
  <c r="S486" i="7" s="1"/>
  <c r="C486" i="7"/>
  <c r="R486" i="7" s="1"/>
  <c r="W486" i="7" s="1"/>
  <c r="G485" i="7"/>
  <c r="V485" i="7" s="1"/>
  <c r="F485" i="7"/>
  <c r="U485" i="7" s="1"/>
  <c r="E485" i="7"/>
  <c r="T485" i="7" s="1"/>
  <c r="D485" i="7"/>
  <c r="S485" i="7" s="1"/>
  <c r="C485" i="7"/>
  <c r="R485" i="7" s="1"/>
  <c r="W485" i="7" s="1"/>
  <c r="G484" i="7"/>
  <c r="V484" i="7" s="1"/>
  <c r="F484" i="7"/>
  <c r="U484" i="7" s="1"/>
  <c r="E484" i="7"/>
  <c r="D484" i="7"/>
  <c r="S484" i="7" s="1"/>
  <c r="C484" i="7"/>
  <c r="R484" i="7" s="1"/>
  <c r="W484" i="7" s="1"/>
  <c r="G483" i="7"/>
  <c r="V483" i="7" s="1"/>
  <c r="F483" i="7"/>
  <c r="U483" i="7" s="1"/>
  <c r="E483" i="7"/>
  <c r="T483" i="7" s="1"/>
  <c r="D483" i="7"/>
  <c r="S483" i="7" s="1"/>
  <c r="C483" i="7"/>
  <c r="G482" i="7"/>
  <c r="V482" i="7" s="1"/>
  <c r="F482" i="7"/>
  <c r="U482" i="7" s="1"/>
  <c r="E482" i="7"/>
  <c r="T482" i="7" s="1"/>
  <c r="D482" i="7"/>
  <c r="S482" i="7" s="1"/>
  <c r="C482" i="7"/>
  <c r="G481" i="7"/>
  <c r="V481" i="7" s="1"/>
  <c r="F481" i="7"/>
  <c r="U481" i="7" s="1"/>
  <c r="E481" i="7"/>
  <c r="D481" i="7"/>
  <c r="S481" i="7" s="1"/>
  <c r="C481" i="7"/>
  <c r="G480" i="7"/>
  <c r="V480" i="7" s="1"/>
  <c r="F480" i="7"/>
  <c r="U480" i="7" s="1"/>
  <c r="E480" i="7"/>
  <c r="T480" i="7" s="1"/>
  <c r="D480" i="7"/>
  <c r="S480" i="7" s="1"/>
  <c r="C480" i="7"/>
  <c r="R480" i="7" s="1"/>
  <c r="W480" i="7" s="1"/>
  <c r="G479" i="7"/>
  <c r="V479" i="7" s="1"/>
  <c r="F479" i="7"/>
  <c r="U479" i="7" s="1"/>
  <c r="E479" i="7"/>
  <c r="T479" i="7" s="1"/>
  <c r="D479" i="7"/>
  <c r="S479" i="7" s="1"/>
  <c r="C479" i="7"/>
  <c r="G478" i="7"/>
  <c r="V478" i="7" s="1"/>
  <c r="F478" i="7"/>
  <c r="U478" i="7" s="1"/>
  <c r="E478" i="7"/>
  <c r="T478" i="7" s="1"/>
  <c r="D478" i="7"/>
  <c r="C478" i="7"/>
  <c r="R478" i="7" s="1"/>
  <c r="W478" i="7" s="1"/>
  <c r="G477" i="7"/>
  <c r="V477" i="7" s="1"/>
  <c r="F477" i="7"/>
  <c r="U477" i="7" s="1"/>
  <c r="E477" i="7"/>
  <c r="T477" i="7" s="1"/>
  <c r="D477" i="7"/>
  <c r="S477" i="7" s="1"/>
  <c r="C477" i="7"/>
  <c r="R477" i="7" s="1"/>
  <c r="W477" i="7" s="1"/>
  <c r="G476" i="7"/>
  <c r="V476" i="7" s="1"/>
  <c r="F476" i="7"/>
  <c r="U476" i="7" s="1"/>
  <c r="E476" i="7"/>
  <c r="T476" i="7" s="1"/>
  <c r="D476" i="7"/>
  <c r="S476" i="7" s="1"/>
  <c r="C476" i="7"/>
  <c r="R476" i="7" s="1"/>
  <c r="W476" i="7" s="1"/>
  <c r="G475" i="7"/>
  <c r="V475" i="7" s="1"/>
  <c r="F475" i="7"/>
  <c r="U475" i="7" s="1"/>
  <c r="E475" i="7"/>
  <c r="T475" i="7" s="1"/>
  <c r="D475" i="7"/>
  <c r="S475" i="7" s="1"/>
  <c r="C475" i="7"/>
  <c r="R475" i="7" s="1"/>
  <c r="W475" i="7" s="1"/>
  <c r="G474" i="7"/>
  <c r="V474" i="7" s="1"/>
  <c r="F474" i="7"/>
  <c r="U474" i="7" s="1"/>
  <c r="E474" i="7"/>
  <c r="T474" i="7" s="1"/>
  <c r="D474" i="7"/>
  <c r="S474" i="7" s="1"/>
  <c r="C474" i="7"/>
  <c r="R474" i="7" s="1"/>
  <c r="W474" i="7" s="1"/>
  <c r="G473" i="7"/>
  <c r="V473" i="7" s="1"/>
  <c r="F473" i="7"/>
  <c r="U473" i="7" s="1"/>
  <c r="E473" i="7"/>
  <c r="T473" i="7" s="1"/>
  <c r="D473" i="7"/>
  <c r="S473" i="7" s="1"/>
  <c r="C473" i="7"/>
  <c r="R473" i="7" s="1"/>
  <c r="W473" i="7" s="1"/>
  <c r="G472" i="7"/>
  <c r="V472" i="7" s="1"/>
  <c r="F472" i="7"/>
  <c r="U472" i="7" s="1"/>
  <c r="E472" i="7"/>
  <c r="T472" i="7" s="1"/>
  <c r="D472" i="7"/>
  <c r="S472" i="7" s="1"/>
  <c r="C472" i="7"/>
  <c r="R472" i="7" s="1"/>
  <c r="W472" i="7" s="1"/>
  <c r="G471" i="7"/>
  <c r="V471" i="7" s="1"/>
  <c r="F471" i="7"/>
  <c r="U471" i="7" s="1"/>
  <c r="E471" i="7"/>
  <c r="T471" i="7" s="1"/>
  <c r="D471" i="7"/>
  <c r="S471" i="7" s="1"/>
  <c r="C471" i="7"/>
  <c r="G470" i="7"/>
  <c r="V470" i="7" s="1"/>
  <c r="F470" i="7"/>
  <c r="U470" i="7" s="1"/>
  <c r="E470" i="7"/>
  <c r="T470" i="7" s="1"/>
  <c r="D470" i="7"/>
  <c r="S470" i="7" s="1"/>
  <c r="C470" i="7"/>
  <c r="G469" i="7"/>
  <c r="V469" i="7" s="1"/>
  <c r="F469" i="7"/>
  <c r="U469" i="7" s="1"/>
  <c r="E469" i="7"/>
  <c r="T469" i="7" s="1"/>
  <c r="D469" i="7"/>
  <c r="S469" i="7" s="1"/>
  <c r="C469" i="7"/>
  <c r="G468" i="7"/>
  <c r="V468" i="7" s="1"/>
  <c r="F468" i="7"/>
  <c r="E468" i="7"/>
  <c r="T468" i="7" s="1"/>
  <c r="D468" i="7"/>
  <c r="S468" i="7" s="1"/>
  <c r="C468" i="7"/>
  <c r="R468" i="7" s="1"/>
  <c r="W468" i="7" s="1"/>
  <c r="G467" i="7"/>
  <c r="V467" i="7" s="1"/>
  <c r="F467" i="7"/>
  <c r="E467" i="7"/>
  <c r="T467" i="7" s="1"/>
  <c r="D467" i="7"/>
  <c r="S467" i="7" s="1"/>
  <c r="C467" i="7"/>
  <c r="G466" i="7"/>
  <c r="V466" i="7" s="1"/>
  <c r="F466" i="7"/>
  <c r="U466" i="7" s="1"/>
  <c r="E466" i="7"/>
  <c r="T466" i="7" s="1"/>
  <c r="D466" i="7"/>
  <c r="S466" i="7" s="1"/>
  <c r="C466" i="7"/>
  <c r="R466" i="7" s="1"/>
  <c r="W466" i="7" s="1"/>
  <c r="G465" i="7"/>
  <c r="V465" i="7" s="1"/>
  <c r="F465" i="7"/>
  <c r="U465" i="7" s="1"/>
  <c r="E465" i="7"/>
  <c r="T465" i="7" s="1"/>
  <c r="D465" i="7"/>
  <c r="S465" i="7" s="1"/>
  <c r="C465" i="7"/>
  <c r="R465" i="7" s="1"/>
  <c r="W465" i="7" s="1"/>
  <c r="G464" i="7"/>
  <c r="V464" i="7" s="1"/>
  <c r="F464" i="7"/>
  <c r="U464" i="7" s="1"/>
  <c r="E464" i="7"/>
  <c r="T464" i="7" s="1"/>
  <c r="D464" i="7"/>
  <c r="S464" i="7" s="1"/>
  <c r="C464" i="7"/>
  <c r="R464" i="7" s="1"/>
  <c r="W464" i="7" s="1"/>
  <c r="G463" i="7"/>
  <c r="V463" i="7" s="1"/>
  <c r="F463" i="7"/>
  <c r="U463" i="7" s="1"/>
  <c r="E463" i="7"/>
  <c r="T463" i="7" s="1"/>
  <c r="D463" i="7"/>
  <c r="S463" i="7" s="1"/>
  <c r="C463" i="7"/>
  <c r="R463" i="7" s="1"/>
  <c r="W463" i="7" s="1"/>
  <c r="G462" i="7"/>
  <c r="V462" i="7" s="1"/>
  <c r="F462" i="7"/>
  <c r="U462" i="7" s="1"/>
  <c r="E462" i="7"/>
  <c r="T462" i="7" s="1"/>
  <c r="D462" i="7"/>
  <c r="S462" i="7" s="1"/>
  <c r="C462" i="7"/>
  <c r="R462" i="7" s="1"/>
  <c r="W462" i="7" s="1"/>
  <c r="G461" i="7"/>
  <c r="V461" i="7" s="1"/>
  <c r="F461" i="7"/>
  <c r="U461" i="7" s="1"/>
  <c r="E461" i="7"/>
  <c r="T461" i="7" s="1"/>
  <c r="D461" i="7"/>
  <c r="S461" i="7" s="1"/>
  <c r="C461" i="7"/>
  <c r="R461" i="7" s="1"/>
  <c r="W461" i="7" s="1"/>
  <c r="G460" i="7"/>
  <c r="V460" i="7" s="1"/>
  <c r="F460" i="7"/>
  <c r="U460" i="7" s="1"/>
  <c r="E460" i="7"/>
  <c r="T460" i="7" s="1"/>
  <c r="D460" i="7"/>
  <c r="S460" i="7" s="1"/>
  <c r="C460" i="7"/>
  <c r="R460" i="7" s="1"/>
  <c r="W460" i="7" s="1"/>
  <c r="G459" i="7"/>
  <c r="V459" i="7" s="1"/>
  <c r="F459" i="7"/>
  <c r="U459" i="7" s="1"/>
  <c r="E459" i="7"/>
  <c r="T459" i="7" s="1"/>
  <c r="D459" i="7"/>
  <c r="S459" i="7" s="1"/>
  <c r="C459" i="7"/>
  <c r="G458" i="7"/>
  <c r="V458" i="7" s="1"/>
  <c r="F458" i="7"/>
  <c r="U458" i="7" s="1"/>
  <c r="E458" i="7"/>
  <c r="T458" i="7" s="1"/>
  <c r="D458" i="7"/>
  <c r="S458" i="7" s="1"/>
  <c r="C458" i="7"/>
  <c r="G457" i="7"/>
  <c r="V457" i="7" s="1"/>
  <c r="F457" i="7"/>
  <c r="U457" i="7" s="1"/>
  <c r="E457" i="7"/>
  <c r="T457" i="7" s="1"/>
  <c r="D457" i="7"/>
  <c r="S457" i="7" s="1"/>
  <c r="C457" i="7"/>
  <c r="G456" i="7"/>
  <c r="V456" i="7" s="1"/>
  <c r="F456" i="7"/>
  <c r="U456" i="7" s="1"/>
  <c r="E456" i="7"/>
  <c r="T456" i="7" s="1"/>
  <c r="D456" i="7"/>
  <c r="S456" i="7" s="1"/>
  <c r="C456" i="7"/>
  <c r="R456" i="7" s="1"/>
  <c r="W456" i="7" s="1"/>
  <c r="G455" i="7"/>
  <c r="V455" i="7" s="1"/>
  <c r="F455" i="7"/>
  <c r="U455" i="7" s="1"/>
  <c r="E455" i="7"/>
  <c r="T455" i="7" s="1"/>
  <c r="D455" i="7"/>
  <c r="S455" i="7" s="1"/>
  <c r="C455" i="7"/>
  <c r="G454" i="7"/>
  <c r="V454" i="7" s="1"/>
  <c r="F454" i="7"/>
  <c r="U454" i="7" s="1"/>
  <c r="E454" i="7"/>
  <c r="T454" i="7" s="1"/>
  <c r="D454" i="7"/>
  <c r="S454" i="7" s="1"/>
  <c r="C454" i="7"/>
  <c r="R454" i="7" s="1"/>
  <c r="W454" i="7" s="1"/>
  <c r="G453" i="7"/>
  <c r="V453" i="7" s="1"/>
  <c r="F453" i="7"/>
  <c r="U453" i="7" s="1"/>
  <c r="E453" i="7"/>
  <c r="T453" i="7" s="1"/>
  <c r="D453" i="7"/>
  <c r="S453" i="7" s="1"/>
  <c r="C453" i="7"/>
  <c r="R453" i="7" s="1"/>
  <c r="W453" i="7" s="1"/>
  <c r="G452" i="7"/>
  <c r="V452" i="7" s="1"/>
  <c r="F452" i="7"/>
  <c r="U452" i="7" s="1"/>
  <c r="E452" i="7"/>
  <c r="T452" i="7" s="1"/>
  <c r="D452" i="7"/>
  <c r="S452" i="7" s="1"/>
  <c r="C452" i="7"/>
  <c r="R452" i="7" s="1"/>
  <c r="W452" i="7" s="1"/>
  <c r="G451" i="7"/>
  <c r="V451" i="7" s="1"/>
  <c r="F451" i="7"/>
  <c r="U451" i="7" s="1"/>
  <c r="E451" i="7"/>
  <c r="T451" i="7" s="1"/>
  <c r="D451" i="7"/>
  <c r="S451" i="7" s="1"/>
  <c r="C451" i="7"/>
  <c r="R451" i="7" s="1"/>
  <c r="W451" i="7" s="1"/>
  <c r="G450" i="7"/>
  <c r="V450" i="7" s="1"/>
  <c r="F450" i="7"/>
  <c r="U450" i="7" s="1"/>
  <c r="E450" i="7"/>
  <c r="T450" i="7" s="1"/>
  <c r="D450" i="7"/>
  <c r="S450" i="7" s="1"/>
  <c r="C450" i="7"/>
  <c r="R450" i="7" s="1"/>
  <c r="W450" i="7" s="1"/>
  <c r="G449" i="7"/>
  <c r="V449" i="7" s="1"/>
  <c r="F449" i="7"/>
  <c r="U449" i="7" s="1"/>
  <c r="E449" i="7"/>
  <c r="T449" i="7" s="1"/>
  <c r="D449" i="7"/>
  <c r="S449" i="7" s="1"/>
  <c r="C449" i="7"/>
  <c r="R449" i="7" s="1"/>
  <c r="W449" i="7" s="1"/>
  <c r="G448" i="7"/>
  <c r="V448" i="7" s="1"/>
  <c r="F448" i="7"/>
  <c r="U448" i="7" s="1"/>
  <c r="E448" i="7"/>
  <c r="T448" i="7" s="1"/>
  <c r="D448" i="7"/>
  <c r="S448" i="7" s="1"/>
  <c r="C448" i="7"/>
  <c r="R448" i="7" s="1"/>
  <c r="W448" i="7" s="1"/>
  <c r="G447" i="7"/>
  <c r="V447" i="7" s="1"/>
  <c r="F447" i="7"/>
  <c r="U447" i="7" s="1"/>
  <c r="E447" i="7"/>
  <c r="T447" i="7" s="1"/>
  <c r="D447" i="7"/>
  <c r="S447" i="7" s="1"/>
  <c r="C447" i="7"/>
  <c r="G446" i="7"/>
  <c r="V446" i="7" s="1"/>
  <c r="F446" i="7"/>
  <c r="U446" i="7" s="1"/>
  <c r="E446" i="7"/>
  <c r="T446" i="7" s="1"/>
  <c r="D446" i="7"/>
  <c r="S446" i="7" s="1"/>
  <c r="C446" i="7"/>
  <c r="G445" i="7"/>
  <c r="V445" i="7" s="1"/>
  <c r="F445" i="7"/>
  <c r="U445" i="7" s="1"/>
  <c r="E445" i="7"/>
  <c r="T445" i="7" s="1"/>
  <c r="D445" i="7"/>
  <c r="S445" i="7" s="1"/>
  <c r="C445" i="7"/>
  <c r="G444" i="7"/>
  <c r="V444" i="7" s="1"/>
  <c r="F444" i="7"/>
  <c r="U444" i="7" s="1"/>
  <c r="E444" i="7"/>
  <c r="T444" i="7" s="1"/>
  <c r="D444" i="7"/>
  <c r="S444" i="7" s="1"/>
  <c r="C444" i="7"/>
  <c r="R444" i="7" s="1"/>
  <c r="W444" i="7" s="1"/>
  <c r="G443" i="7"/>
  <c r="V443" i="7" s="1"/>
  <c r="F443" i="7"/>
  <c r="U443" i="7" s="1"/>
  <c r="E443" i="7"/>
  <c r="T443" i="7" s="1"/>
  <c r="D443" i="7"/>
  <c r="S443" i="7" s="1"/>
  <c r="C443" i="7"/>
  <c r="G442" i="7"/>
  <c r="V442" i="7" s="1"/>
  <c r="F442" i="7"/>
  <c r="U442" i="7" s="1"/>
  <c r="E442" i="7"/>
  <c r="T442" i="7" s="1"/>
  <c r="D442" i="7"/>
  <c r="S442" i="7" s="1"/>
  <c r="C442" i="7"/>
  <c r="R442" i="7" s="1"/>
  <c r="W442" i="7" s="1"/>
  <c r="G441" i="7"/>
  <c r="V441" i="7" s="1"/>
  <c r="F441" i="7"/>
  <c r="U441" i="7" s="1"/>
  <c r="E441" i="7"/>
  <c r="T441" i="7" s="1"/>
  <c r="D441" i="7"/>
  <c r="S441" i="7" s="1"/>
  <c r="C441" i="7"/>
  <c r="R441" i="7" s="1"/>
  <c r="W441" i="7" s="1"/>
  <c r="G440" i="7"/>
  <c r="V440" i="7" s="1"/>
  <c r="F440" i="7"/>
  <c r="U440" i="7" s="1"/>
  <c r="E440" i="7"/>
  <c r="T440" i="7" s="1"/>
  <c r="D440" i="7"/>
  <c r="S440" i="7" s="1"/>
  <c r="C440" i="7"/>
  <c r="R440" i="7" s="1"/>
  <c r="W440" i="7" s="1"/>
  <c r="G439" i="7"/>
  <c r="V439" i="7" s="1"/>
  <c r="F439" i="7"/>
  <c r="U439" i="7" s="1"/>
  <c r="E439" i="7"/>
  <c r="T439" i="7" s="1"/>
  <c r="D439" i="7"/>
  <c r="S439" i="7" s="1"/>
  <c r="C439" i="7"/>
  <c r="R439" i="7" s="1"/>
  <c r="W439" i="7" s="1"/>
  <c r="G438" i="7"/>
  <c r="V438" i="7" s="1"/>
  <c r="F438" i="7"/>
  <c r="U438" i="7" s="1"/>
  <c r="E438" i="7"/>
  <c r="T438" i="7" s="1"/>
  <c r="D438" i="7"/>
  <c r="S438" i="7" s="1"/>
  <c r="C438" i="7"/>
  <c r="R438" i="7" s="1"/>
  <c r="W438" i="7" s="1"/>
  <c r="G437" i="7"/>
  <c r="V437" i="7" s="1"/>
  <c r="F437" i="7"/>
  <c r="U437" i="7" s="1"/>
  <c r="E437" i="7"/>
  <c r="T437" i="7" s="1"/>
  <c r="D437" i="7"/>
  <c r="S437" i="7" s="1"/>
  <c r="C437" i="7"/>
  <c r="R437" i="7" s="1"/>
  <c r="W437" i="7" s="1"/>
  <c r="G436" i="7"/>
  <c r="V436" i="7" s="1"/>
  <c r="F436" i="7"/>
  <c r="U436" i="7" s="1"/>
  <c r="E436" i="7"/>
  <c r="T436" i="7" s="1"/>
  <c r="D436" i="7"/>
  <c r="S436" i="7" s="1"/>
  <c r="C436" i="7"/>
  <c r="R436" i="7" s="1"/>
  <c r="W436" i="7" s="1"/>
  <c r="G435" i="7"/>
  <c r="V435" i="7" s="1"/>
  <c r="F435" i="7"/>
  <c r="U435" i="7" s="1"/>
  <c r="E435" i="7"/>
  <c r="T435" i="7" s="1"/>
  <c r="D435" i="7"/>
  <c r="S435" i="7" s="1"/>
  <c r="C435" i="7"/>
  <c r="G434" i="7"/>
  <c r="V434" i="7" s="1"/>
  <c r="F434" i="7"/>
  <c r="U434" i="7" s="1"/>
  <c r="E434" i="7"/>
  <c r="T434" i="7" s="1"/>
  <c r="D434" i="7"/>
  <c r="S434" i="7" s="1"/>
  <c r="C434" i="7"/>
  <c r="G433" i="7"/>
  <c r="V433" i="7" s="1"/>
  <c r="F433" i="7"/>
  <c r="U433" i="7" s="1"/>
  <c r="E433" i="7"/>
  <c r="T433" i="7" s="1"/>
  <c r="D433" i="7"/>
  <c r="S433" i="7" s="1"/>
  <c r="C433" i="7"/>
  <c r="G432" i="7"/>
  <c r="V432" i="7" s="1"/>
  <c r="F432" i="7"/>
  <c r="E432" i="7"/>
  <c r="T432" i="7" s="1"/>
  <c r="D432" i="7"/>
  <c r="S432" i="7" s="1"/>
  <c r="C432" i="7"/>
  <c r="R432" i="7" s="1"/>
  <c r="W432" i="7" s="1"/>
  <c r="G431" i="7"/>
  <c r="V431" i="7" s="1"/>
  <c r="F431" i="7"/>
  <c r="E431" i="7"/>
  <c r="T431" i="7" s="1"/>
  <c r="D431" i="7"/>
  <c r="S431" i="7" s="1"/>
  <c r="C431" i="7"/>
  <c r="G430" i="7"/>
  <c r="V430" i="7" s="1"/>
  <c r="F430" i="7"/>
  <c r="U430" i="7" s="1"/>
  <c r="E430" i="7"/>
  <c r="T430" i="7" s="1"/>
  <c r="D430" i="7"/>
  <c r="S430" i="7" s="1"/>
  <c r="C430" i="7"/>
  <c r="R430" i="7" s="1"/>
  <c r="W430" i="7" s="1"/>
  <c r="G429" i="7"/>
  <c r="V429" i="7" s="1"/>
  <c r="F429" i="7"/>
  <c r="U429" i="7" s="1"/>
  <c r="E429" i="7"/>
  <c r="T429" i="7" s="1"/>
  <c r="D429" i="7"/>
  <c r="S429" i="7" s="1"/>
  <c r="C429" i="7"/>
  <c r="R429" i="7" s="1"/>
  <c r="W429" i="7" s="1"/>
  <c r="G428" i="7"/>
  <c r="V428" i="7" s="1"/>
  <c r="F428" i="7"/>
  <c r="U428" i="7" s="1"/>
  <c r="E428" i="7"/>
  <c r="T428" i="7" s="1"/>
  <c r="D428" i="7"/>
  <c r="S428" i="7" s="1"/>
  <c r="C428" i="7"/>
  <c r="R428" i="7" s="1"/>
  <c r="W428" i="7" s="1"/>
  <c r="G427" i="7"/>
  <c r="V427" i="7" s="1"/>
  <c r="F427" i="7"/>
  <c r="U427" i="7" s="1"/>
  <c r="E427" i="7"/>
  <c r="T427" i="7" s="1"/>
  <c r="D427" i="7"/>
  <c r="S427" i="7" s="1"/>
  <c r="C427" i="7"/>
  <c r="R427" i="7" s="1"/>
  <c r="W427" i="7" s="1"/>
  <c r="G426" i="7"/>
  <c r="V426" i="7" s="1"/>
  <c r="F426" i="7"/>
  <c r="U426" i="7" s="1"/>
  <c r="E426" i="7"/>
  <c r="T426" i="7" s="1"/>
  <c r="D426" i="7"/>
  <c r="S426" i="7" s="1"/>
  <c r="C426" i="7"/>
  <c r="R426" i="7" s="1"/>
  <c r="W426" i="7" s="1"/>
  <c r="G425" i="7"/>
  <c r="V425" i="7" s="1"/>
  <c r="F425" i="7"/>
  <c r="U425" i="7" s="1"/>
  <c r="E425" i="7"/>
  <c r="T425" i="7" s="1"/>
  <c r="D425" i="7"/>
  <c r="S425" i="7" s="1"/>
  <c r="C425" i="7"/>
  <c r="R425" i="7" s="1"/>
  <c r="W425" i="7" s="1"/>
  <c r="G424" i="7"/>
  <c r="V424" i="7" s="1"/>
  <c r="F424" i="7"/>
  <c r="U424" i="7" s="1"/>
  <c r="E424" i="7"/>
  <c r="T424" i="7" s="1"/>
  <c r="D424" i="7"/>
  <c r="S424" i="7" s="1"/>
  <c r="C424" i="7"/>
  <c r="R424" i="7" s="1"/>
  <c r="W424" i="7" s="1"/>
  <c r="G423" i="7"/>
  <c r="V423" i="7" s="1"/>
  <c r="F423" i="7"/>
  <c r="U423" i="7" s="1"/>
  <c r="E423" i="7"/>
  <c r="T423" i="7" s="1"/>
  <c r="D423" i="7"/>
  <c r="S423" i="7" s="1"/>
  <c r="C423" i="7"/>
  <c r="G422" i="7"/>
  <c r="V422" i="7" s="1"/>
  <c r="F422" i="7"/>
  <c r="U422" i="7" s="1"/>
  <c r="E422" i="7"/>
  <c r="T422" i="7" s="1"/>
  <c r="D422" i="7"/>
  <c r="S422" i="7" s="1"/>
  <c r="C422" i="7"/>
  <c r="G421" i="7"/>
  <c r="V421" i="7" s="1"/>
  <c r="F421" i="7"/>
  <c r="U421" i="7" s="1"/>
  <c r="E421" i="7"/>
  <c r="T421" i="7" s="1"/>
  <c r="D421" i="7"/>
  <c r="S421" i="7" s="1"/>
  <c r="C421" i="7"/>
  <c r="G420" i="7"/>
  <c r="V420" i="7" s="1"/>
  <c r="F420" i="7"/>
  <c r="U420" i="7" s="1"/>
  <c r="E420" i="7"/>
  <c r="T420" i="7" s="1"/>
  <c r="D420" i="7"/>
  <c r="S420" i="7" s="1"/>
  <c r="C420" i="7"/>
  <c r="R420" i="7" s="1"/>
  <c r="W420" i="7" s="1"/>
  <c r="G419" i="7"/>
  <c r="V419" i="7" s="1"/>
  <c r="F419" i="7"/>
  <c r="U419" i="7" s="1"/>
  <c r="E419" i="7"/>
  <c r="T419" i="7" s="1"/>
  <c r="D419" i="7"/>
  <c r="S419" i="7" s="1"/>
  <c r="C419" i="7"/>
  <c r="G418" i="7"/>
  <c r="V418" i="7" s="1"/>
  <c r="F418" i="7"/>
  <c r="U418" i="7" s="1"/>
  <c r="E418" i="7"/>
  <c r="T418" i="7" s="1"/>
  <c r="D418" i="7"/>
  <c r="S418" i="7" s="1"/>
  <c r="C418" i="7"/>
  <c r="R418" i="7" s="1"/>
  <c r="W418" i="7" s="1"/>
  <c r="G417" i="7"/>
  <c r="V417" i="7" s="1"/>
  <c r="F417" i="7"/>
  <c r="U417" i="7" s="1"/>
  <c r="E417" i="7"/>
  <c r="T417" i="7" s="1"/>
  <c r="D417" i="7"/>
  <c r="S417" i="7" s="1"/>
  <c r="C417" i="7"/>
  <c r="R417" i="7" s="1"/>
  <c r="W417" i="7" s="1"/>
  <c r="G416" i="7"/>
  <c r="V416" i="7" s="1"/>
  <c r="F416" i="7"/>
  <c r="U416" i="7" s="1"/>
  <c r="E416" i="7"/>
  <c r="T416" i="7" s="1"/>
  <c r="D416" i="7"/>
  <c r="S416" i="7" s="1"/>
  <c r="C416" i="7"/>
  <c r="R416" i="7" s="1"/>
  <c r="W416" i="7" s="1"/>
  <c r="G415" i="7"/>
  <c r="V415" i="7" s="1"/>
  <c r="F415" i="7"/>
  <c r="U415" i="7" s="1"/>
  <c r="E415" i="7"/>
  <c r="T415" i="7" s="1"/>
  <c r="D415" i="7"/>
  <c r="S415" i="7" s="1"/>
  <c r="C415" i="7"/>
  <c r="R415" i="7" s="1"/>
  <c r="W415" i="7" s="1"/>
  <c r="G414" i="7"/>
  <c r="V414" i="7" s="1"/>
  <c r="F414" i="7"/>
  <c r="U414" i="7" s="1"/>
  <c r="E414" i="7"/>
  <c r="T414" i="7" s="1"/>
  <c r="D414" i="7"/>
  <c r="S414" i="7" s="1"/>
  <c r="C414" i="7"/>
  <c r="R414" i="7" s="1"/>
  <c r="W414" i="7" s="1"/>
  <c r="G413" i="7"/>
  <c r="V413" i="7" s="1"/>
  <c r="F413" i="7"/>
  <c r="U413" i="7" s="1"/>
  <c r="E413" i="7"/>
  <c r="T413" i="7" s="1"/>
  <c r="D413" i="7"/>
  <c r="S413" i="7" s="1"/>
  <c r="C413" i="7"/>
  <c r="R413" i="7" s="1"/>
  <c r="W413" i="7" s="1"/>
  <c r="G412" i="7"/>
  <c r="V412" i="7" s="1"/>
  <c r="F412" i="7"/>
  <c r="U412" i="7" s="1"/>
  <c r="E412" i="7"/>
  <c r="T412" i="7" s="1"/>
  <c r="D412" i="7"/>
  <c r="S412" i="7" s="1"/>
  <c r="C412" i="7"/>
  <c r="R412" i="7" s="1"/>
  <c r="W412" i="7" s="1"/>
  <c r="G411" i="7"/>
  <c r="V411" i="7" s="1"/>
  <c r="F411" i="7"/>
  <c r="U411" i="7" s="1"/>
  <c r="E411" i="7"/>
  <c r="T411" i="7" s="1"/>
  <c r="D411" i="7"/>
  <c r="S411" i="7" s="1"/>
  <c r="C411" i="7"/>
  <c r="G410" i="7"/>
  <c r="V410" i="7" s="1"/>
  <c r="F410" i="7"/>
  <c r="U410" i="7" s="1"/>
  <c r="E410" i="7"/>
  <c r="T410" i="7" s="1"/>
  <c r="D410" i="7"/>
  <c r="S410" i="7" s="1"/>
  <c r="C410" i="7"/>
  <c r="R410" i="7" s="1"/>
  <c r="W410" i="7" s="1"/>
  <c r="G409" i="7"/>
  <c r="V409" i="7" s="1"/>
  <c r="F409" i="7"/>
  <c r="U409" i="7" s="1"/>
  <c r="E409" i="7"/>
  <c r="T409" i="7" s="1"/>
  <c r="D409" i="7"/>
  <c r="S409" i="7" s="1"/>
  <c r="C409" i="7"/>
  <c r="G408" i="7"/>
  <c r="V408" i="7" s="1"/>
  <c r="F408" i="7"/>
  <c r="U408" i="7" s="1"/>
  <c r="E408" i="7"/>
  <c r="T408" i="7" s="1"/>
  <c r="D408" i="7"/>
  <c r="S408" i="7" s="1"/>
  <c r="C408" i="7"/>
  <c r="R408" i="7" s="1"/>
  <c r="W408" i="7" s="1"/>
  <c r="G407" i="7"/>
  <c r="V407" i="7" s="1"/>
  <c r="F407" i="7"/>
  <c r="U407" i="7" s="1"/>
  <c r="E407" i="7"/>
  <c r="T407" i="7" s="1"/>
  <c r="D407" i="7"/>
  <c r="S407" i="7" s="1"/>
  <c r="C407" i="7"/>
  <c r="G406" i="7"/>
  <c r="V406" i="7" s="1"/>
  <c r="F406" i="7"/>
  <c r="U406" i="7" s="1"/>
  <c r="E406" i="7"/>
  <c r="T406" i="7" s="1"/>
  <c r="D406" i="7"/>
  <c r="S406" i="7" s="1"/>
  <c r="C406" i="7"/>
  <c r="R406" i="7" s="1"/>
  <c r="W406" i="7" s="1"/>
  <c r="G405" i="7"/>
  <c r="V405" i="7" s="1"/>
  <c r="F405" i="7"/>
  <c r="U405" i="7" s="1"/>
  <c r="E405" i="7"/>
  <c r="T405" i="7" s="1"/>
  <c r="D405" i="7"/>
  <c r="S405" i="7" s="1"/>
  <c r="C405" i="7"/>
  <c r="R405" i="7" s="1"/>
  <c r="W405" i="7" s="1"/>
  <c r="G404" i="7"/>
  <c r="V404" i="7" s="1"/>
  <c r="F404" i="7"/>
  <c r="U404" i="7" s="1"/>
  <c r="E404" i="7"/>
  <c r="T404" i="7" s="1"/>
  <c r="D404" i="7"/>
  <c r="S404" i="7" s="1"/>
  <c r="C404" i="7"/>
  <c r="R404" i="7" s="1"/>
  <c r="W404" i="7" s="1"/>
  <c r="G403" i="7"/>
  <c r="V403" i="7" s="1"/>
  <c r="F403" i="7"/>
  <c r="U403" i="7" s="1"/>
  <c r="E403" i="7"/>
  <c r="T403" i="7" s="1"/>
  <c r="D403" i="7"/>
  <c r="S403" i="7" s="1"/>
  <c r="C403" i="7"/>
  <c r="R403" i="7" s="1"/>
  <c r="W403" i="7" s="1"/>
  <c r="G402" i="7"/>
  <c r="V402" i="7" s="1"/>
  <c r="F402" i="7"/>
  <c r="U402" i="7" s="1"/>
  <c r="E402" i="7"/>
  <c r="T402" i="7" s="1"/>
  <c r="D402" i="7"/>
  <c r="S402" i="7" s="1"/>
  <c r="C402" i="7"/>
  <c r="R402" i="7" s="1"/>
  <c r="W402" i="7" s="1"/>
  <c r="G401" i="7"/>
  <c r="V401" i="7" s="1"/>
  <c r="F401" i="7"/>
  <c r="U401" i="7" s="1"/>
  <c r="E401" i="7"/>
  <c r="T401" i="7" s="1"/>
  <c r="D401" i="7"/>
  <c r="S401" i="7" s="1"/>
  <c r="C401" i="7"/>
  <c r="R401" i="7" s="1"/>
  <c r="W401" i="7" s="1"/>
  <c r="G400" i="7"/>
  <c r="V400" i="7" s="1"/>
  <c r="F400" i="7"/>
  <c r="U400" i="7" s="1"/>
  <c r="E400" i="7"/>
  <c r="T400" i="7" s="1"/>
  <c r="D400" i="7"/>
  <c r="S400" i="7" s="1"/>
  <c r="C400" i="7"/>
  <c r="R400" i="7" s="1"/>
  <c r="W400" i="7" s="1"/>
  <c r="G399" i="7"/>
  <c r="V399" i="7" s="1"/>
  <c r="F399" i="7"/>
  <c r="U399" i="7" s="1"/>
  <c r="E399" i="7"/>
  <c r="T399" i="7" s="1"/>
  <c r="D399" i="7"/>
  <c r="S399" i="7" s="1"/>
  <c r="C399" i="7"/>
  <c r="G398" i="7"/>
  <c r="V398" i="7" s="1"/>
  <c r="F398" i="7"/>
  <c r="U398" i="7" s="1"/>
  <c r="E398" i="7"/>
  <c r="T398" i="7" s="1"/>
  <c r="D398" i="7"/>
  <c r="S398" i="7" s="1"/>
  <c r="C398" i="7"/>
  <c r="R398" i="7" s="1"/>
  <c r="W398" i="7" s="1"/>
  <c r="G397" i="7"/>
  <c r="V397" i="7" s="1"/>
  <c r="F397" i="7"/>
  <c r="U397" i="7" s="1"/>
  <c r="E397" i="7"/>
  <c r="T397" i="7" s="1"/>
  <c r="D397" i="7"/>
  <c r="S397" i="7" s="1"/>
  <c r="C397" i="7"/>
  <c r="G396" i="7"/>
  <c r="V396" i="7" s="1"/>
  <c r="F396" i="7"/>
  <c r="E396" i="7"/>
  <c r="T396" i="7" s="1"/>
  <c r="D396" i="7"/>
  <c r="S396" i="7" s="1"/>
  <c r="C396" i="7"/>
  <c r="R396" i="7" s="1"/>
  <c r="W396" i="7" s="1"/>
  <c r="G395" i="7"/>
  <c r="V395" i="7" s="1"/>
  <c r="F395" i="7"/>
  <c r="U395" i="7" s="1"/>
  <c r="E395" i="7"/>
  <c r="T395" i="7" s="1"/>
  <c r="D395" i="7"/>
  <c r="S395" i="7" s="1"/>
  <c r="C395" i="7"/>
  <c r="G394" i="7"/>
  <c r="V394" i="7" s="1"/>
  <c r="F394" i="7"/>
  <c r="U394" i="7" s="1"/>
  <c r="E394" i="7"/>
  <c r="T394" i="7" s="1"/>
  <c r="D394" i="7"/>
  <c r="S394" i="7" s="1"/>
  <c r="C394" i="7"/>
  <c r="R394" i="7" s="1"/>
  <c r="W394" i="7" s="1"/>
  <c r="G393" i="7"/>
  <c r="V393" i="7" s="1"/>
  <c r="F393" i="7"/>
  <c r="U393" i="7" s="1"/>
  <c r="E393" i="7"/>
  <c r="T393" i="7" s="1"/>
  <c r="D393" i="7"/>
  <c r="S393" i="7" s="1"/>
  <c r="C393" i="7"/>
  <c r="R393" i="7" s="1"/>
  <c r="W393" i="7" s="1"/>
  <c r="G392" i="7"/>
  <c r="V392" i="7" s="1"/>
  <c r="F392" i="7"/>
  <c r="U392" i="7" s="1"/>
  <c r="E392" i="7"/>
  <c r="T392" i="7" s="1"/>
  <c r="D392" i="7"/>
  <c r="S392" i="7" s="1"/>
  <c r="C392" i="7"/>
  <c r="R392" i="7" s="1"/>
  <c r="W392" i="7" s="1"/>
  <c r="G391" i="7"/>
  <c r="V391" i="7" s="1"/>
  <c r="F391" i="7"/>
  <c r="U391" i="7" s="1"/>
  <c r="E391" i="7"/>
  <c r="T391" i="7" s="1"/>
  <c r="D391" i="7"/>
  <c r="S391" i="7" s="1"/>
  <c r="C391" i="7"/>
  <c r="R391" i="7" s="1"/>
  <c r="W391" i="7" s="1"/>
  <c r="G390" i="7"/>
  <c r="V390" i="7" s="1"/>
  <c r="F390" i="7"/>
  <c r="U390" i="7" s="1"/>
  <c r="E390" i="7"/>
  <c r="T390" i="7" s="1"/>
  <c r="D390" i="7"/>
  <c r="S390" i="7" s="1"/>
  <c r="C390" i="7"/>
  <c r="R390" i="7" s="1"/>
  <c r="W390" i="7" s="1"/>
  <c r="G389" i="7"/>
  <c r="V389" i="7" s="1"/>
  <c r="F389" i="7"/>
  <c r="U389" i="7" s="1"/>
  <c r="E389" i="7"/>
  <c r="T389" i="7" s="1"/>
  <c r="D389" i="7"/>
  <c r="S389" i="7" s="1"/>
  <c r="C389" i="7"/>
  <c r="R389" i="7" s="1"/>
  <c r="W389" i="7" s="1"/>
  <c r="G388" i="7"/>
  <c r="V388" i="7" s="1"/>
  <c r="F388" i="7"/>
  <c r="U388" i="7" s="1"/>
  <c r="E388" i="7"/>
  <c r="T388" i="7" s="1"/>
  <c r="D388" i="7"/>
  <c r="S388" i="7" s="1"/>
  <c r="C388" i="7"/>
  <c r="R388" i="7" s="1"/>
  <c r="W388" i="7" s="1"/>
  <c r="G387" i="7"/>
  <c r="V387" i="7" s="1"/>
  <c r="F387" i="7"/>
  <c r="U387" i="7" s="1"/>
  <c r="E387" i="7"/>
  <c r="T387" i="7" s="1"/>
  <c r="D387" i="7"/>
  <c r="S387" i="7" s="1"/>
  <c r="C387" i="7"/>
  <c r="G386" i="7"/>
  <c r="V386" i="7" s="1"/>
  <c r="F386" i="7"/>
  <c r="U386" i="7" s="1"/>
  <c r="E386" i="7"/>
  <c r="T386" i="7" s="1"/>
  <c r="D386" i="7"/>
  <c r="S386" i="7" s="1"/>
  <c r="C386" i="7"/>
  <c r="R386" i="7" s="1"/>
  <c r="W386" i="7" s="1"/>
  <c r="G385" i="7"/>
  <c r="V385" i="7" s="1"/>
  <c r="F385" i="7"/>
  <c r="U385" i="7" s="1"/>
  <c r="E385" i="7"/>
  <c r="T385" i="7" s="1"/>
  <c r="D385" i="7"/>
  <c r="S385" i="7" s="1"/>
  <c r="C385" i="7"/>
  <c r="G384" i="7"/>
  <c r="V384" i="7" s="1"/>
  <c r="F384" i="7"/>
  <c r="U384" i="7" s="1"/>
  <c r="E384" i="7"/>
  <c r="T384" i="7" s="1"/>
  <c r="D384" i="7"/>
  <c r="S384" i="7" s="1"/>
  <c r="C384" i="7"/>
  <c r="R384" i="7" s="1"/>
  <c r="W384" i="7" s="1"/>
  <c r="G383" i="7"/>
  <c r="V383" i="7" s="1"/>
  <c r="F383" i="7"/>
  <c r="U383" i="7" s="1"/>
  <c r="E383" i="7"/>
  <c r="T383" i="7" s="1"/>
  <c r="D383" i="7"/>
  <c r="S383" i="7" s="1"/>
  <c r="C383" i="7"/>
  <c r="G382" i="7"/>
  <c r="V382" i="7" s="1"/>
  <c r="F382" i="7"/>
  <c r="U382" i="7" s="1"/>
  <c r="E382" i="7"/>
  <c r="T382" i="7" s="1"/>
  <c r="D382" i="7"/>
  <c r="S382" i="7" s="1"/>
  <c r="C382" i="7"/>
  <c r="R382" i="7" s="1"/>
  <c r="W382" i="7" s="1"/>
  <c r="G381" i="7"/>
  <c r="V381" i="7" s="1"/>
  <c r="F381" i="7"/>
  <c r="U381" i="7" s="1"/>
  <c r="E381" i="7"/>
  <c r="T381" i="7" s="1"/>
  <c r="D381" i="7"/>
  <c r="S381" i="7" s="1"/>
  <c r="C381" i="7"/>
  <c r="R381" i="7" s="1"/>
  <c r="W381" i="7" s="1"/>
  <c r="G380" i="7"/>
  <c r="V380" i="7" s="1"/>
  <c r="F380" i="7"/>
  <c r="U380" i="7" s="1"/>
  <c r="E380" i="7"/>
  <c r="T380" i="7" s="1"/>
  <c r="D380" i="7"/>
  <c r="S380" i="7" s="1"/>
  <c r="C380" i="7"/>
  <c r="R380" i="7" s="1"/>
  <c r="W380" i="7" s="1"/>
  <c r="G379" i="7"/>
  <c r="V379" i="7" s="1"/>
  <c r="F379" i="7"/>
  <c r="U379" i="7" s="1"/>
  <c r="E379" i="7"/>
  <c r="T379" i="7" s="1"/>
  <c r="D379" i="7"/>
  <c r="S379" i="7" s="1"/>
  <c r="C379" i="7"/>
  <c r="R379" i="7" s="1"/>
  <c r="W379" i="7" s="1"/>
  <c r="G378" i="7"/>
  <c r="V378" i="7" s="1"/>
  <c r="F378" i="7"/>
  <c r="U378" i="7" s="1"/>
  <c r="E378" i="7"/>
  <c r="T378" i="7" s="1"/>
  <c r="D378" i="7"/>
  <c r="S378" i="7" s="1"/>
  <c r="C378" i="7"/>
  <c r="R378" i="7" s="1"/>
  <c r="W378" i="7" s="1"/>
  <c r="G377" i="7"/>
  <c r="V377" i="7" s="1"/>
  <c r="F377" i="7"/>
  <c r="U377" i="7" s="1"/>
  <c r="E377" i="7"/>
  <c r="T377" i="7" s="1"/>
  <c r="D377" i="7"/>
  <c r="S377" i="7" s="1"/>
  <c r="C377" i="7"/>
  <c r="R377" i="7" s="1"/>
  <c r="W377" i="7" s="1"/>
  <c r="G376" i="7"/>
  <c r="V376" i="7" s="1"/>
  <c r="F376" i="7"/>
  <c r="U376" i="7" s="1"/>
  <c r="E376" i="7"/>
  <c r="T376" i="7" s="1"/>
  <c r="D376" i="7"/>
  <c r="S376" i="7" s="1"/>
  <c r="C376" i="7"/>
  <c r="R376" i="7" s="1"/>
  <c r="W376" i="7" s="1"/>
  <c r="G375" i="7"/>
  <c r="V375" i="7" s="1"/>
  <c r="F375" i="7"/>
  <c r="U375" i="7" s="1"/>
  <c r="E375" i="7"/>
  <c r="T375" i="7" s="1"/>
  <c r="D375" i="7"/>
  <c r="S375" i="7" s="1"/>
  <c r="C375" i="7"/>
  <c r="G374" i="7"/>
  <c r="V374" i="7" s="1"/>
  <c r="F374" i="7"/>
  <c r="U374" i="7" s="1"/>
  <c r="E374" i="7"/>
  <c r="T374" i="7" s="1"/>
  <c r="D374" i="7"/>
  <c r="S374" i="7" s="1"/>
  <c r="C374" i="7"/>
  <c r="R374" i="7" s="1"/>
  <c r="W374" i="7" s="1"/>
  <c r="G373" i="7"/>
  <c r="V373" i="7" s="1"/>
  <c r="F373" i="7"/>
  <c r="U373" i="7" s="1"/>
  <c r="E373" i="7"/>
  <c r="T373" i="7" s="1"/>
  <c r="D373" i="7"/>
  <c r="S373" i="7" s="1"/>
  <c r="C373" i="7"/>
  <c r="G372" i="7"/>
  <c r="V372" i="7" s="1"/>
  <c r="F372" i="7"/>
  <c r="U372" i="7" s="1"/>
  <c r="E372" i="7"/>
  <c r="T372" i="7" s="1"/>
  <c r="D372" i="7"/>
  <c r="S372" i="7" s="1"/>
  <c r="C372" i="7"/>
  <c r="R372" i="7" s="1"/>
  <c r="W372" i="7" s="1"/>
  <c r="G371" i="7"/>
  <c r="V371" i="7" s="1"/>
  <c r="F371" i="7"/>
  <c r="U371" i="7" s="1"/>
  <c r="E371" i="7"/>
  <c r="T371" i="7" s="1"/>
  <c r="D371" i="7"/>
  <c r="S371" i="7" s="1"/>
  <c r="C371" i="7"/>
  <c r="G370" i="7"/>
  <c r="V370" i="7" s="1"/>
  <c r="F370" i="7"/>
  <c r="U370" i="7" s="1"/>
  <c r="E370" i="7"/>
  <c r="T370" i="7" s="1"/>
  <c r="D370" i="7"/>
  <c r="S370" i="7" s="1"/>
  <c r="C370" i="7"/>
  <c r="R370" i="7" s="1"/>
  <c r="W370" i="7" s="1"/>
  <c r="G369" i="7"/>
  <c r="V369" i="7" s="1"/>
  <c r="F369" i="7"/>
  <c r="U369" i="7" s="1"/>
  <c r="E369" i="7"/>
  <c r="T369" i="7" s="1"/>
  <c r="D369" i="7"/>
  <c r="S369" i="7" s="1"/>
  <c r="C369" i="7"/>
  <c r="R369" i="7" s="1"/>
  <c r="W369" i="7" s="1"/>
  <c r="G368" i="7"/>
  <c r="V368" i="7" s="1"/>
  <c r="F368" i="7"/>
  <c r="U368" i="7" s="1"/>
  <c r="E368" i="7"/>
  <c r="T368" i="7" s="1"/>
  <c r="D368" i="7"/>
  <c r="S368" i="7" s="1"/>
  <c r="C368" i="7"/>
  <c r="R368" i="7" s="1"/>
  <c r="W368" i="7" s="1"/>
  <c r="G367" i="7"/>
  <c r="V367" i="7" s="1"/>
  <c r="F367" i="7"/>
  <c r="U367" i="7" s="1"/>
  <c r="E367" i="7"/>
  <c r="T367" i="7" s="1"/>
  <c r="D367" i="7"/>
  <c r="S367" i="7" s="1"/>
  <c r="C367" i="7"/>
  <c r="R367" i="7" s="1"/>
  <c r="W367" i="7" s="1"/>
  <c r="G366" i="7"/>
  <c r="V366" i="7" s="1"/>
  <c r="F366" i="7"/>
  <c r="U366" i="7" s="1"/>
  <c r="E366" i="7"/>
  <c r="T366" i="7" s="1"/>
  <c r="D366" i="7"/>
  <c r="S366" i="7" s="1"/>
  <c r="C366" i="7"/>
  <c r="R366" i="7" s="1"/>
  <c r="W366" i="7" s="1"/>
  <c r="G365" i="7"/>
  <c r="V365" i="7" s="1"/>
  <c r="F365" i="7"/>
  <c r="U365" i="7" s="1"/>
  <c r="E365" i="7"/>
  <c r="T365" i="7" s="1"/>
  <c r="D365" i="7"/>
  <c r="S365" i="7" s="1"/>
  <c r="C365" i="7"/>
  <c r="R365" i="7" s="1"/>
  <c r="W365" i="7" s="1"/>
  <c r="G364" i="7"/>
  <c r="V364" i="7" s="1"/>
  <c r="F364" i="7"/>
  <c r="U364" i="7" s="1"/>
  <c r="E364" i="7"/>
  <c r="T364" i="7" s="1"/>
  <c r="D364" i="7"/>
  <c r="S364" i="7" s="1"/>
  <c r="C364" i="7"/>
  <c r="R364" i="7" s="1"/>
  <c r="W364" i="7" s="1"/>
  <c r="G363" i="7"/>
  <c r="V363" i="7" s="1"/>
  <c r="F363" i="7"/>
  <c r="U363" i="7" s="1"/>
  <c r="E363" i="7"/>
  <c r="T363" i="7" s="1"/>
  <c r="D363" i="7"/>
  <c r="S363" i="7" s="1"/>
  <c r="C363" i="7"/>
  <c r="G362" i="7"/>
  <c r="V362" i="7" s="1"/>
  <c r="F362" i="7"/>
  <c r="U362" i="7" s="1"/>
  <c r="E362" i="7"/>
  <c r="T362" i="7" s="1"/>
  <c r="D362" i="7"/>
  <c r="S362" i="7" s="1"/>
  <c r="C362" i="7"/>
  <c r="R362" i="7" s="1"/>
  <c r="W362" i="7" s="1"/>
  <c r="G361" i="7"/>
  <c r="V361" i="7" s="1"/>
  <c r="F361" i="7"/>
  <c r="U361" i="7" s="1"/>
  <c r="E361" i="7"/>
  <c r="T361" i="7" s="1"/>
  <c r="D361" i="7"/>
  <c r="S361" i="7" s="1"/>
  <c r="C361" i="7"/>
  <c r="G360" i="7"/>
  <c r="V360" i="7" s="1"/>
  <c r="F360" i="7"/>
  <c r="E360" i="7"/>
  <c r="T360" i="7" s="1"/>
  <c r="D360" i="7"/>
  <c r="S360" i="7" s="1"/>
  <c r="C360" i="7"/>
  <c r="R360" i="7" s="1"/>
  <c r="W360" i="7" s="1"/>
  <c r="G359" i="7"/>
  <c r="V359" i="7" s="1"/>
  <c r="F359" i="7"/>
  <c r="U359" i="7" s="1"/>
  <c r="E359" i="7"/>
  <c r="T359" i="7" s="1"/>
  <c r="D359" i="7"/>
  <c r="S359" i="7" s="1"/>
  <c r="C359" i="7"/>
  <c r="G358" i="7"/>
  <c r="V358" i="7" s="1"/>
  <c r="F358" i="7"/>
  <c r="U358" i="7" s="1"/>
  <c r="E358" i="7"/>
  <c r="T358" i="7" s="1"/>
  <c r="D358" i="7"/>
  <c r="S358" i="7" s="1"/>
  <c r="C358" i="7"/>
  <c r="R358" i="7" s="1"/>
  <c r="W358" i="7" s="1"/>
  <c r="G357" i="7"/>
  <c r="V357" i="7" s="1"/>
  <c r="F357" i="7"/>
  <c r="U357" i="7" s="1"/>
  <c r="E357" i="7"/>
  <c r="T357" i="7" s="1"/>
  <c r="D357" i="7"/>
  <c r="S357" i="7" s="1"/>
  <c r="C357" i="7"/>
  <c r="R357" i="7" s="1"/>
  <c r="W357" i="7" s="1"/>
  <c r="G356" i="7"/>
  <c r="V356" i="7" s="1"/>
  <c r="F356" i="7"/>
  <c r="U356" i="7" s="1"/>
  <c r="E356" i="7"/>
  <c r="T356" i="7" s="1"/>
  <c r="D356" i="7"/>
  <c r="S356" i="7" s="1"/>
  <c r="C356" i="7"/>
  <c r="R356" i="7" s="1"/>
  <c r="W356" i="7" s="1"/>
  <c r="G355" i="7"/>
  <c r="V355" i="7" s="1"/>
  <c r="F355" i="7"/>
  <c r="U355" i="7" s="1"/>
  <c r="E355" i="7"/>
  <c r="T355" i="7" s="1"/>
  <c r="D355" i="7"/>
  <c r="S355" i="7" s="1"/>
  <c r="C355" i="7"/>
  <c r="R355" i="7" s="1"/>
  <c r="W355" i="7" s="1"/>
  <c r="G354" i="7"/>
  <c r="V354" i="7" s="1"/>
  <c r="F354" i="7"/>
  <c r="U354" i="7" s="1"/>
  <c r="E354" i="7"/>
  <c r="T354" i="7" s="1"/>
  <c r="D354" i="7"/>
  <c r="S354" i="7" s="1"/>
  <c r="C354" i="7"/>
  <c r="R354" i="7" s="1"/>
  <c r="W354" i="7" s="1"/>
  <c r="G353" i="7"/>
  <c r="V353" i="7" s="1"/>
  <c r="F353" i="7"/>
  <c r="U353" i="7" s="1"/>
  <c r="E353" i="7"/>
  <c r="T353" i="7" s="1"/>
  <c r="D353" i="7"/>
  <c r="S353" i="7" s="1"/>
  <c r="C353" i="7"/>
  <c r="R353" i="7" s="1"/>
  <c r="W353" i="7" s="1"/>
  <c r="G352" i="7"/>
  <c r="V352" i="7" s="1"/>
  <c r="F352" i="7"/>
  <c r="U352" i="7" s="1"/>
  <c r="E352" i="7"/>
  <c r="T352" i="7" s="1"/>
  <c r="D352" i="7"/>
  <c r="S352" i="7" s="1"/>
  <c r="C352" i="7"/>
  <c r="R352" i="7" s="1"/>
  <c r="W352" i="7" s="1"/>
  <c r="G351" i="7"/>
  <c r="V351" i="7" s="1"/>
  <c r="F351" i="7"/>
  <c r="U351" i="7" s="1"/>
  <c r="E351" i="7"/>
  <c r="T351" i="7" s="1"/>
  <c r="D351" i="7"/>
  <c r="S351" i="7" s="1"/>
  <c r="C351" i="7"/>
  <c r="G350" i="7"/>
  <c r="V350" i="7" s="1"/>
  <c r="F350" i="7"/>
  <c r="U350" i="7" s="1"/>
  <c r="E350" i="7"/>
  <c r="T350" i="7" s="1"/>
  <c r="D350" i="7"/>
  <c r="S350" i="7" s="1"/>
  <c r="C350" i="7"/>
  <c r="R350" i="7" s="1"/>
  <c r="W350" i="7" s="1"/>
  <c r="G349" i="7"/>
  <c r="V349" i="7" s="1"/>
  <c r="F349" i="7"/>
  <c r="U349" i="7" s="1"/>
  <c r="E349" i="7"/>
  <c r="T349" i="7" s="1"/>
  <c r="D349" i="7"/>
  <c r="S349" i="7" s="1"/>
  <c r="C349" i="7"/>
  <c r="G348" i="7"/>
  <c r="V348" i="7" s="1"/>
  <c r="F348" i="7"/>
  <c r="U348" i="7" s="1"/>
  <c r="E348" i="7"/>
  <c r="T348" i="7" s="1"/>
  <c r="D348" i="7"/>
  <c r="S348" i="7" s="1"/>
  <c r="C348" i="7"/>
  <c r="R348" i="7" s="1"/>
  <c r="W348" i="7" s="1"/>
  <c r="G347" i="7"/>
  <c r="V347" i="7" s="1"/>
  <c r="F347" i="7"/>
  <c r="U347" i="7" s="1"/>
  <c r="E347" i="7"/>
  <c r="T347" i="7" s="1"/>
  <c r="D347" i="7"/>
  <c r="S347" i="7" s="1"/>
  <c r="C347" i="7"/>
  <c r="G346" i="7"/>
  <c r="V346" i="7" s="1"/>
  <c r="F346" i="7"/>
  <c r="U346" i="7" s="1"/>
  <c r="E346" i="7"/>
  <c r="T346" i="7" s="1"/>
  <c r="D346" i="7"/>
  <c r="S346" i="7" s="1"/>
  <c r="C346" i="7"/>
  <c r="R346" i="7" s="1"/>
  <c r="W346" i="7" s="1"/>
  <c r="G345" i="7"/>
  <c r="V345" i="7" s="1"/>
  <c r="F345" i="7"/>
  <c r="U345" i="7" s="1"/>
  <c r="E345" i="7"/>
  <c r="T345" i="7" s="1"/>
  <c r="D345" i="7"/>
  <c r="S345" i="7" s="1"/>
  <c r="C345" i="7"/>
  <c r="R345" i="7" s="1"/>
  <c r="W345" i="7" s="1"/>
  <c r="G344" i="7"/>
  <c r="V344" i="7" s="1"/>
  <c r="F344" i="7"/>
  <c r="U344" i="7" s="1"/>
  <c r="E344" i="7"/>
  <c r="T344" i="7" s="1"/>
  <c r="D344" i="7"/>
  <c r="S344" i="7" s="1"/>
  <c r="C344" i="7"/>
  <c r="R344" i="7" s="1"/>
  <c r="W344" i="7" s="1"/>
  <c r="G343" i="7"/>
  <c r="V343" i="7" s="1"/>
  <c r="F343" i="7"/>
  <c r="U343" i="7" s="1"/>
  <c r="E343" i="7"/>
  <c r="T343" i="7" s="1"/>
  <c r="D343" i="7"/>
  <c r="S343" i="7" s="1"/>
  <c r="C343" i="7"/>
  <c r="R343" i="7" s="1"/>
  <c r="W343" i="7" s="1"/>
  <c r="G342" i="7"/>
  <c r="V342" i="7" s="1"/>
  <c r="F342" i="7"/>
  <c r="U342" i="7" s="1"/>
  <c r="E342" i="7"/>
  <c r="T342" i="7" s="1"/>
  <c r="D342" i="7"/>
  <c r="S342" i="7" s="1"/>
  <c r="C342" i="7"/>
  <c r="R342" i="7" s="1"/>
  <c r="W342" i="7" s="1"/>
  <c r="G341" i="7"/>
  <c r="V341" i="7" s="1"/>
  <c r="F341" i="7"/>
  <c r="U341" i="7" s="1"/>
  <c r="E341" i="7"/>
  <c r="T341" i="7" s="1"/>
  <c r="D341" i="7"/>
  <c r="S341" i="7" s="1"/>
  <c r="C341" i="7"/>
  <c r="R341" i="7" s="1"/>
  <c r="W341" i="7" s="1"/>
  <c r="G340" i="7"/>
  <c r="V340" i="7" s="1"/>
  <c r="F340" i="7"/>
  <c r="U340" i="7" s="1"/>
  <c r="E340" i="7"/>
  <c r="T340" i="7" s="1"/>
  <c r="D340" i="7"/>
  <c r="S340" i="7" s="1"/>
  <c r="C340" i="7"/>
  <c r="R340" i="7" s="1"/>
  <c r="W340" i="7" s="1"/>
  <c r="G339" i="7"/>
  <c r="V339" i="7" s="1"/>
  <c r="F339" i="7"/>
  <c r="U339" i="7" s="1"/>
  <c r="E339" i="7"/>
  <c r="T339" i="7" s="1"/>
  <c r="D339" i="7"/>
  <c r="S339" i="7" s="1"/>
  <c r="C339" i="7"/>
  <c r="G338" i="7"/>
  <c r="V338" i="7" s="1"/>
  <c r="F338" i="7"/>
  <c r="U338" i="7" s="1"/>
  <c r="E338" i="7"/>
  <c r="T338" i="7" s="1"/>
  <c r="D338" i="7"/>
  <c r="S338" i="7" s="1"/>
  <c r="C338" i="7"/>
  <c r="R338" i="7" s="1"/>
  <c r="W338" i="7" s="1"/>
  <c r="G337" i="7"/>
  <c r="V337" i="7" s="1"/>
  <c r="F337" i="7"/>
  <c r="U337" i="7" s="1"/>
  <c r="E337" i="7"/>
  <c r="T337" i="7" s="1"/>
  <c r="D337" i="7"/>
  <c r="S337" i="7" s="1"/>
  <c r="C337" i="7"/>
  <c r="G336" i="7"/>
  <c r="V336" i="7" s="1"/>
  <c r="F336" i="7"/>
  <c r="U336" i="7" s="1"/>
  <c r="E336" i="7"/>
  <c r="T336" i="7" s="1"/>
  <c r="D336" i="7"/>
  <c r="S336" i="7" s="1"/>
  <c r="C336" i="7"/>
  <c r="R336" i="7" s="1"/>
  <c r="W336" i="7" s="1"/>
  <c r="G335" i="7"/>
  <c r="V335" i="7" s="1"/>
  <c r="F335" i="7"/>
  <c r="U335" i="7" s="1"/>
  <c r="E335" i="7"/>
  <c r="T335" i="7" s="1"/>
  <c r="D335" i="7"/>
  <c r="S335" i="7" s="1"/>
  <c r="C335" i="7"/>
  <c r="G334" i="7"/>
  <c r="V334" i="7" s="1"/>
  <c r="F334" i="7"/>
  <c r="U334" i="7" s="1"/>
  <c r="E334" i="7"/>
  <c r="T334" i="7" s="1"/>
  <c r="D334" i="7"/>
  <c r="S334" i="7" s="1"/>
  <c r="C334" i="7"/>
  <c r="R334" i="7" s="1"/>
  <c r="W334" i="7" s="1"/>
  <c r="G333" i="7"/>
  <c r="V333" i="7" s="1"/>
  <c r="F333" i="7"/>
  <c r="U333" i="7" s="1"/>
  <c r="E333" i="7"/>
  <c r="T333" i="7" s="1"/>
  <c r="D333" i="7"/>
  <c r="S333" i="7" s="1"/>
  <c r="C333" i="7"/>
  <c r="R333" i="7" s="1"/>
  <c r="W333" i="7" s="1"/>
  <c r="G332" i="7"/>
  <c r="V332" i="7" s="1"/>
  <c r="F332" i="7"/>
  <c r="U332" i="7" s="1"/>
  <c r="E332" i="7"/>
  <c r="T332" i="7" s="1"/>
  <c r="D332" i="7"/>
  <c r="S332" i="7" s="1"/>
  <c r="C332" i="7"/>
  <c r="R332" i="7" s="1"/>
  <c r="W332" i="7" s="1"/>
  <c r="G331" i="7"/>
  <c r="V331" i="7" s="1"/>
  <c r="F331" i="7"/>
  <c r="U331" i="7" s="1"/>
  <c r="E331" i="7"/>
  <c r="T331" i="7" s="1"/>
  <c r="D331" i="7"/>
  <c r="S331" i="7" s="1"/>
  <c r="C331" i="7"/>
  <c r="R331" i="7" s="1"/>
  <c r="W331" i="7" s="1"/>
  <c r="G330" i="7"/>
  <c r="V330" i="7" s="1"/>
  <c r="F330" i="7"/>
  <c r="U330" i="7" s="1"/>
  <c r="E330" i="7"/>
  <c r="T330" i="7" s="1"/>
  <c r="D330" i="7"/>
  <c r="S330" i="7" s="1"/>
  <c r="C330" i="7"/>
  <c r="R330" i="7" s="1"/>
  <c r="W330" i="7" s="1"/>
  <c r="G329" i="7"/>
  <c r="V329" i="7" s="1"/>
  <c r="F329" i="7"/>
  <c r="U329" i="7" s="1"/>
  <c r="E329" i="7"/>
  <c r="T329" i="7" s="1"/>
  <c r="D329" i="7"/>
  <c r="S329" i="7" s="1"/>
  <c r="C329" i="7"/>
  <c r="R329" i="7" s="1"/>
  <c r="W329" i="7" s="1"/>
  <c r="G328" i="7"/>
  <c r="V328" i="7" s="1"/>
  <c r="F328" i="7"/>
  <c r="U328" i="7" s="1"/>
  <c r="E328" i="7"/>
  <c r="T328" i="7" s="1"/>
  <c r="D328" i="7"/>
  <c r="S328" i="7" s="1"/>
  <c r="C328" i="7"/>
  <c r="R328" i="7" s="1"/>
  <c r="W328" i="7" s="1"/>
  <c r="G327" i="7"/>
  <c r="V327" i="7" s="1"/>
  <c r="F327" i="7"/>
  <c r="U327" i="7" s="1"/>
  <c r="E327" i="7"/>
  <c r="T327" i="7" s="1"/>
  <c r="D327" i="7"/>
  <c r="S327" i="7" s="1"/>
  <c r="C327" i="7"/>
  <c r="G326" i="7"/>
  <c r="V326" i="7" s="1"/>
  <c r="F326" i="7"/>
  <c r="U326" i="7" s="1"/>
  <c r="E326" i="7"/>
  <c r="T326" i="7" s="1"/>
  <c r="D326" i="7"/>
  <c r="S326" i="7" s="1"/>
  <c r="C326" i="7"/>
  <c r="R326" i="7" s="1"/>
  <c r="W326" i="7" s="1"/>
  <c r="G325" i="7"/>
  <c r="V325" i="7" s="1"/>
  <c r="F325" i="7"/>
  <c r="U325" i="7" s="1"/>
  <c r="E325" i="7"/>
  <c r="T325" i="7" s="1"/>
  <c r="D325" i="7"/>
  <c r="S325" i="7" s="1"/>
  <c r="C325" i="7"/>
  <c r="G324" i="7"/>
  <c r="V324" i="7" s="1"/>
  <c r="F324" i="7"/>
  <c r="E324" i="7"/>
  <c r="T324" i="7" s="1"/>
  <c r="D324" i="7"/>
  <c r="S324" i="7" s="1"/>
  <c r="C324" i="7"/>
  <c r="R324" i="7" s="1"/>
  <c r="W324" i="7" s="1"/>
  <c r="G323" i="7"/>
  <c r="V323" i="7" s="1"/>
  <c r="F323" i="7"/>
  <c r="U323" i="7" s="1"/>
  <c r="E323" i="7"/>
  <c r="T323" i="7" s="1"/>
  <c r="D323" i="7"/>
  <c r="S323" i="7" s="1"/>
  <c r="C323" i="7"/>
  <c r="G322" i="7"/>
  <c r="V322" i="7" s="1"/>
  <c r="F322" i="7"/>
  <c r="U322" i="7" s="1"/>
  <c r="E322" i="7"/>
  <c r="T322" i="7" s="1"/>
  <c r="D322" i="7"/>
  <c r="S322" i="7" s="1"/>
  <c r="C322" i="7"/>
  <c r="R322" i="7" s="1"/>
  <c r="W322" i="7" s="1"/>
  <c r="G321" i="7"/>
  <c r="V321" i="7" s="1"/>
  <c r="F321" i="7"/>
  <c r="U321" i="7" s="1"/>
  <c r="E321" i="7"/>
  <c r="T321" i="7" s="1"/>
  <c r="D321" i="7"/>
  <c r="S321" i="7" s="1"/>
  <c r="C321" i="7"/>
  <c r="R321" i="7" s="1"/>
  <c r="W321" i="7" s="1"/>
  <c r="G320" i="7"/>
  <c r="V320" i="7" s="1"/>
  <c r="F320" i="7"/>
  <c r="U320" i="7" s="1"/>
  <c r="E320" i="7"/>
  <c r="T320" i="7" s="1"/>
  <c r="D320" i="7"/>
  <c r="S320" i="7" s="1"/>
  <c r="C320" i="7"/>
  <c r="R320" i="7" s="1"/>
  <c r="W320" i="7" s="1"/>
  <c r="G319" i="7"/>
  <c r="V319" i="7" s="1"/>
  <c r="F319" i="7"/>
  <c r="U319" i="7" s="1"/>
  <c r="E319" i="7"/>
  <c r="T319" i="7" s="1"/>
  <c r="D319" i="7"/>
  <c r="S319" i="7" s="1"/>
  <c r="C319" i="7"/>
  <c r="R319" i="7" s="1"/>
  <c r="W319" i="7" s="1"/>
  <c r="G318" i="7"/>
  <c r="V318" i="7" s="1"/>
  <c r="F318" i="7"/>
  <c r="U318" i="7" s="1"/>
  <c r="E318" i="7"/>
  <c r="T318" i="7" s="1"/>
  <c r="D318" i="7"/>
  <c r="S318" i="7" s="1"/>
  <c r="C318" i="7"/>
  <c r="R318" i="7" s="1"/>
  <c r="W318" i="7" s="1"/>
  <c r="G317" i="7"/>
  <c r="V317" i="7" s="1"/>
  <c r="F317" i="7"/>
  <c r="U317" i="7" s="1"/>
  <c r="E317" i="7"/>
  <c r="T317" i="7" s="1"/>
  <c r="D317" i="7"/>
  <c r="S317" i="7" s="1"/>
  <c r="C317" i="7"/>
  <c r="R317" i="7" s="1"/>
  <c r="W317" i="7" s="1"/>
  <c r="G316" i="7"/>
  <c r="V316" i="7" s="1"/>
  <c r="F316" i="7"/>
  <c r="U316" i="7" s="1"/>
  <c r="E316" i="7"/>
  <c r="T316" i="7" s="1"/>
  <c r="D316" i="7"/>
  <c r="S316" i="7" s="1"/>
  <c r="C316" i="7"/>
  <c r="R316" i="7" s="1"/>
  <c r="W316" i="7" s="1"/>
  <c r="G315" i="7"/>
  <c r="V315" i="7" s="1"/>
  <c r="F315" i="7"/>
  <c r="U315" i="7" s="1"/>
  <c r="E315" i="7"/>
  <c r="T315" i="7" s="1"/>
  <c r="D315" i="7"/>
  <c r="S315" i="7" s="1"/>
  <c r="C315" i="7"/>
  <c r="G314" i="7"/>
  <c r="V314" i="7" s="1"/>
  <c r="F314" i="7"/>
  <c r="U314" i="7" s="1"/>
  <c r="E314" i="7"/>
  <c r="T314" i="7" s="1"/>
  <c r="D314" i="7"/>
  <c r="S314" i="7" s="1"/>
  <c r="C314" i="7"/>
  <c r="R314" i="7" s="1"/>
  <c r="W314" i="7" s="1"/>
  <c r="G313" i="7"/>
  <c r="V313" i="7" s="1"/>
  <c r="F313" i="7"/>
  <c r="U313" i="7" s="1"/>
  <c r="E313" i="7"/>
  <c r="T313" i="7" s="1"/>
  <c r="D313" i="7"/>
  <c r="S313" i="7" s="1"/>
  <c r="C313" i="7"/>
  <c r="G312" i="7"/>
  <c r="V312" i="7" s="1"/>
  <c r="F312" i="7"/>
  <c r="U312" i="7" s="1"/>
  <c r="E312" i="7"/>
  <c r="T312" i="7" s="1"/>
  <c r="D312" i="7"/>
  <c r="S312" i="7" s="1"/>
  <c r="C312" i="7"/>
  <c r="R312" i="7" s="1"/>
  <c r="W312" i="7" s="1"/>
  <c r="G311" i="7"/>
  <c r="V311" i="7" s="1"/>
  <c r="F311" i="7"/>
  <c r="U311" i="7" s="1"/>
  <c r="E311" i="7"/>
  <c r="T311" i="7" s="1"/>
  <c r="D311" i="7"/>
  <c r="S311" i="7" s="1"/>
  <c r="C311" i="7"/>
  <c r="G310" i="7"/>
  <c r="V310" i="7" s="1"/>
  <c r="F310" i="7"/>
  <c r="U310" i="7" s="1"/>
  <c r="E310" i="7"/>
  <c r="T310" i="7" s="1"/>
  <c r="D310" i="7"/>
  <c r="S310" i="7" s="1"/>
  <c r="C310" i="7"/>
  <c r="R310" i="7" s="1"/>
  <c r="W310" i="7" s="1"/>
  <c r="G309" i="7"/>
  <c r="V309" i="7" s="1"/>
  <c r="F309" i="7"/>
  <c r="U309" i="7" s="1"/>
  <c r="E309" i="7"/>
  <c r="T309" i="7" s="1"/>
  <c r="D309" i="7"/>
  <c r="S309" i="7" s="1"/>
  <c r="C309" i="7"/>
  <c r="R309" i="7" s="1"/>
  <c r="W309" i="7" s="1"/>
  <c r="G308" i="7"/>
  <c r="V308" i="7" s="1"/>
  <c r="F308" i="7"/>
  <c r="U308" i="7" s="1"/>
  <c r="E308" i="7"/>
  <c r="T308" i="7" s="1"/>
  <c r="D308" i="7"/>
  <c r="S308" i="7" s="1"/>
  <c r="C308" i="7"/>
  <c r="R308" i="7" s="1"/>
  <c r="W308" i="7" s="1"/>
  <c r="G307" i="7"/>
  <c r="V307" i="7" s="1"/>
  <c r="F307" i="7"/>
  <c r="U307" i="7" s="1"/>
  <c r="E307" i="7"/>
  <c r="T307" i="7" s="1"/>
  <c r="D307" i="7"/>
  <c r="S307" i="7" s="1"/>
  <c r="C307" i="7"/>
  <c r="R307" i="7" s="1"/>
  <c r="W307" i="7" s="1"/>
  <c r="G306" i="7"/>
  <c r="V306" i="7" s="1"/>
  <c r="F306" i="7"/>
  <c r="U306" i="7" s="1"/>
  <c r="E306" i="7"/>
  <c r="T306" i="7" s="1"/>
  <c r="D306" i="7"/>
  <c r="S306" i="7" s="1"/>
  <c r="C306" i="7"/>
  <c r="R306" i="7" s="1"/>
  <c r="W306" i="7" s="1"/>
  <c r="G305" i="7"/>
  <c r="V305" i="7" s="1"/>
  <c r="F305" i="7"/>
  <c r="U305" i="7" s="1"/>
  <c r="E305" i="7"/>
  <c r="T305" i="7" s="1"/>
  <c r="D305" i="7"/>
  <c r="S305" i="7" s="1"/>
  <c r="C305" i="7"/>
  <c r="R305" i="7" s="1"/>
  <c r="W305" i="7" s="1"/>
  <c r="G304" i="7"/>
  <c r="V304" i="7" s="1"/>
  <c r="F304" i="7"/>
  <c r="U304" i="7" s="1"/>
  <c r="E304" i="7"/>
  <c r="T304" i="7" s="1"/>
  <c r="D304" i="7"/>
  <c r="S304" i="7" s="1"/>
  <c r="C304" i="7"/>
  <c r="R304" i="7" s="1"/>
  <c r="W304" i="7" s="1"/>
  <c r="G303" i="7"/>
  <c r="V303" i="7" s="1"/>
  <c r="F303" i="7"/>
  <c r="U303" i="7" s="1"/>
  <c r="E303" i="7"/>
  <c r="T303" i="7" s="1"/>
  <c r="D303" i="7"/>
  <c r="S303" i="7" s="1"/>
  <c r="C303" i="7"/>
  <c r="G302" i="7"/>
  <c r="V302" i="7" s="1"/>
  <c r="F302" i="7"/>
  <c r="U302" i="7" s="1"/>
  <c r="E302" i="7"/>
  <c r="T302" i="7" s="1"/>
  <c r="D302" i="7"/>
  <c r="S302" i="7" s="1"/>
  <c r="C302" i="7"/>
  <c r="R302" i="7" s="1"/>
  <c r="W302" i="7" s="1"/>
  <c r="G301" i="7"/>
  <c r="V301" i="7" s="1"/>
  <c r="F301" i="7"/>
  <c r="U301" i="7" s="1"/>
  <c r="E301" i="7"/>
  <c r="T301" i="7" s="1"/>
  <c r="D301" i="7"/>
  <c r="S301" i="7" s="1"/>
  <c r="C301" i="7"/>
  <c r="G300" i="7"/>
  <c r="V300" i="7" s="1"/>
  <c r="F300" i="7"/>
  <c r="U300" i="7" s="1"/>
  <c r="E300" i="7"/>
  <c r="T300" i="7" s="1"/>
  <c r="D300" i="7"/>
  <c r="S300" i="7" s="1"/>
  <c r="C300" i="7"/>
  <c r="R300" i="7" s="1"/>
  <c r="W300" i="7" s="1"/>
  <c r="G299" i="7"/>
  <c r="V299" i="7" s="1"/>
  <c r="F299" i="7"/>
  <c r="U299" i="7" s="1"/>
  <c r="E299" i="7"/>
  <c r="T299" i="7" s="1"/>
  <c r="D299" i="7"/>
  <c r="S299" i="7" s="1"/>
  <c r="C299" i="7"/>
  <c r="G298" i="7"/>
  <c r="V298" i="7" s="1"/>
  <c r="F298" i="7"/>
  <c r="U298" i="7" s="1"/>
  <c r="E298" i="7"/>
  <c r="T298" i="7" s="1"/>
  <c r="D298" i="7"/>
  <c r="S298" i="7" s="1"/>
  <c r="C298" i="7"/>
  <c r="R298" i="7" s="1"/>
  <c r="W298" i="7" s="1"/>
  <c r="G297" i="7"/>
  <c r="V297" i="7" s="1"/>
  <c r="F297" i="7"/>
  <c r="U297" i="7" s="1"/>
  <c r="E297" i="7"/>
  <c r="T297" i="7" s="1"/>
  <c r="D297" i="7"/>
  <c r="S297" i="7" s="1"/>
  <c r="C297" i="7"/>
  <c r="R297" i="7" s="1"/>
  <c r="W297" i="7" s="1"/>
  <c r="G296" i="7"/>
  <c r="V296" i="7" s="1"/>
  <c r="F296" i="7"/>
  <c r="U296" i="7" s="1"/>
  <c r="E296" i="7"/>
  <c r="T296" i="7" s="1"/>
  <c r="D296" i="7"/>
  <c r="S296" i="7" s="1"/>
  <c r="C296" i="7"/>
  <c r="R296" i="7" s="1"/>
  <c r="W296" i="7" s="1"/>
  <c r="G295" i="7"/>
  <c r="V295" i="7" s="1"/>
  <c r="F295" i="7"/>
  <c r="U295" i="7" s="1"/>
  <c r="E295" i="7"/>
  <c r="T295" i="7" s="1"/>
  <c r="D295" i="7"/>
  <c r="S295" i="7" s="1"/>
  <c r="C295" i="7"/>
  <c r="R295" i="7" s="1"/>
  <c r="W295" i="7" s="1"/>
  <c r="G294" i="7"/>
  <c r="V294" i="7" s="1"/>
  <c r="F294" i="7"/>
  <c r="U294" i="7" s="1"/>
  <c r="E294" i="7"/>
  <c r="T294" i="7" s="1"/>
  <c r="D294" i="7"/>
  <c r="S294" i="7" s="1"/>
  <c r="C294" i="7"/>
  <c r="R294" i="7" s="1"/>
  <c r="W294" i="7" s="1"/>
  <c r="G293" i="7"/>
  <c r="V293" i="7" s="1"/>
  <c r="F293" i="7"/>
  <c r="U293" i="7" s="1"/>
  <c r="E293" i="7"/>
  <c r="T293" i="7" s="1"/>
  <c r="D293" i="7"/>
  <c r="S293" i="7" s="1"/>
  <c r="C293" i="7"/>
  <c r="R293" i="7" s="1"/>
  <c r="W293" i="7" s="1"/>
  <c r="G292" i="7"/>
  <c r="V292" i="7" s="1"/>
  <c r="F292" i="7"/>
  <c r="U292" i="7" s="1"/>
  <c r="E292" i="7"/>
  <c r="T292" i="7" s="1"/>
  <c r="D292" i="7"/>
  <c r="S292" i="7" s="1"/>
  <c r="C292" i="7"/>
  <c r="R292" i="7" s="1"/>
  <c r="W292" i="7" s="1"/>
  <c r="G291" i="7"/>
  <c r="V291" i="7" s="1"/>
  <c r="F291" i="7"/>
  <c r="U291" i="7" s="1"/>
  <c r="E291" i="7"/>
  <c r="T291" i="7" s="1"/>
  <c r="D291" i="7"/>
  <c r="S291" i="7" s="1"/>
  <c r="C291" i="7"/>
  <c r="G290" i="7"/>
  <c r="V290" i="7" s="1"/>
  <c r="F290" i="7"/>
  <c r="U290" i="7" s="1"/>
  <c r="E290" i="7"/>
  <c r="T290" i="7" s="1"/>
  <c r="D290" i="7"/>
  <c r="S290" i="7" s="1"/>
  <c r="C290" i="7"/>
  <c r="R290" i="7" s="1"/>
  <c r="W290" i="7" s="1"/>
  <c r="G289" i="7"/>
  <c r="V289" i="7" s="1"/>
  <c r="F289" i="7"/>
  <c r="U289" i="7" s="1"/>
  <c r="E289" i="7"/>
  <c r="T289" i="7" s="1"/>
  <c r="D289" i="7"/>
  <c r="S289" i="7" s="1"/>
  <c r="C289" i="7"/>
  <c r="G288" i="7"/>
  <c r="V288" i="7" s="1"/>
  <c r="F288" i="7"/>
  <c r="E288" i="7"/>
  <c r="T288" i="7" s="1"/>
  <c r="D288" i="7"/>
  <c r="S288" i="7" s="1"/>
  <c r="C288" i="7"/>
  <c r="R288" i="7" s="1"/>
  <c r="W288" i="7" s="1"/>
  <c r="G287" i="7"/>
  <c r="V287" i="7" s="1"/>
  <c r="F287" i="7"/>
  <c r="U287" i="7" s="1"/>
  <c r="E287" i="7"/>
  <c r="T287" i="7" s="1"/>
  <c r="D287" i="7"/>
  <c r="S287" i="7" s="1"/>
  <c r="C287" i="7"/>
  <c r="G286" i="7"/>
  <c r="V286" i="7" s="1"/>
  <c r="F286" i="7"/>
  <c r="U286" i="7" s="1"/>
  <c r="E286" i="7"/>
  <c r="T286" i="7" s="1"/>
  <c r="D286" i="7"/>
  <c r="S286" i="7" s="1"/>
  <c r="C286" i="7"/>
  <c r="R286" i="7" s="1"/>
  <c r="W286" i="7" s="1"/>
  <c r="G285" i="7"/>
  <c r="V285" i="7" s="1"/>
  <c r="F285" i="7"/>
  <c r="U285" i="7" s="1"/>
  <c r="E285" i="7"/>
  <c r="T285" i="7" s="1"/>
  <c r="D285" i="7"/>
  <c r="S285" i="7" s="1"/>
  <c r="C285" i="7"/>
  <c r="R285" i="7" s="1"/>
  <c r="W285" i="7" s="1"/>
  <c r="G284" i="7"/>
  <c r="V284" i="7" s="1"/>
  <c r="F284" i="7"/>
  <c r="U284" i="7" s="1"/>
  <c r="E284" i="7"/>
  <c r="T284" i="7" s="1"/>
  <c r="D284" i="7"/>
  <c r="S284" i="7" s="1"/>
  <c r="C284" i="7"/>
  <c r="R284" i="7" s="1"/>
  <c r="W284" i="7" s="1"/>
  <c r="G283" i="7"/>
  <c r="V283" i="7" s="1"/>
  <c r="F283" i="7"/>
  <c r="U283" i="7" s="1"/>
  <c r="E283" i="7"/>
  <c r="T283" i="7" s="1"/>
  <c r="D283" i="7"/>
  <c r="S283" i="7" s="1"/>
  <c r="C283" i="7"/>
  <c r="R283" i="7" s="1"/>
  <c r="W283" i="7" s="1"/>
  <c r="G282" i="7"/>
  <c r="V282" i="7" s="1"/>
  <c r="F282" i="7"/>
  <c r="U282" i="7" s="1"/>
  <c r="E282" i="7"/>
  <c r="T282" i="7" s="1"/>
  <c r="D282" i="7"/>
  <c r="S282" i="7" s="1"/>
  <c r="C282" i="7"/>
  <c r="R282" i="7" s="1"/>
  <c r="W282" i="7" s="1"/>
  <c r="G281" i="7"/>
  <c r="V281" i="7" s="1"/>
  <c r="F281" i="7"/>
  <c r="U281" i="7" s="1"/>
  <c r="E281" i="7"/>
  <c r="T281" i="7" s="1"/>
  <c r="D281" i="7"/>
  <c r="S281" i="7" s="1"/>
  <c r="C281" i="7"/>
  <c r="R281" i="7" s="1"/>
  <c r="W281" i="7" s="1"/>
  <c r="G280" i="7"/>
  <c r="V280" i="7" s="1"/>
  <c r="F280" i="7"/>
  <c r="U280" i="7" s="1"/>
  <c r="E280" i="7"/>
  <c r="T280" i="7" s="1"/>
  <c r="D280" i="7"/>
  <c r="S280" i="7" s="1"/>
  <c r="C280" i="7"/>
  <c r="R280" i="7" s="1"/>
  <c r="W280" i="7" s="1"/>
  <c r="G279" i="7"/>
  <c r="V279" i="7" s="1"/>
  <c r="F279" i="7"/>
  <c r="U279" i="7" s="1"/>
  <c r="E279" i="7"/>
  <c r="T279" i="7" s="1"/>
  <c r="D279" i="7"/>
  <c r="S279" i="7" s="1"/>
  <c r="C279" i="7"/>
  <c r="G278" i="7"/>
  <c r="V278" i="7" s="1"/>
  <c r="F278" i="7"/>
  <c r="U278" i="7" s="1"/>
  <c r="E278" i="7"/>
  <c r="T278" i="7" s="1"/>
  <c r="D278" i="7"/>
  <c r="S278" i="7" s="1"/>
  <c r="C278" i="7"/>
  <c r="R278" i="7" s="1"/>
  <c r="W278" i="7" s="1"/>
  <c r="G277" i="7"/>
  <c r="V277" i="7" s="1"/>
  <c r="F277" i="7"/>
  <c r="U277" i="7" s="1"/>
  <c r="E277" i="7"/>
  <c r="T277" i="7" s="1"/>
  <c r="D277" i="7"/>
  <c r="S277" i="7" s="1"/>
  <c r="C277" i="7"/>
  <c r="G276" i="7"/>
  <c r="V276" i="7" s="1"/>
  <c r="F276" i="7"/>
  <c r="U276" i="7" s="1"/>
  <c r="E276" i="7"/>
  <c r="T276" i="7" s="1"/>
  <c r="D276" i="7"/>
  <c r="S276" i="7" s="1"/>
  <c r="C276" i="7"/>
  <c r="R276" i="7" s="1"/>
  <c r="W276" i="7" s="1"/>
  <c r="G275" i="7"/>
  <c r="V275" i="7" s="1"/>
  <c r="F275" i="7"/>
  <c r="U275" i="7" s="1"/>
  <c r="E275" i="7"/>
  <c r="T275" i="7" s="1"/>
  <c r="D275" i="7"/>
  <c r="S275" i="7" s="1"/>
  <c r="C275" i="7"/>
  <c r="G274" i="7"/>
  <c r="V274" i="7" s="1"/>
  <c r="F274" i="7"/>
  <c r="U274" i="7" s="1"/>
  <c r="E274" i="7"/>
  <c r="T274" i="7" s="1"/>
  <c r="D274" i="7"/>
  <c r="S274" i="7" s="1"/>
  <c r="C274" i="7"/>
  <c r="R274" i="7" s="1"/>
  <c r="W274" i="7" s="1"/>
  <c r="G273" i="7"/>
  <c r="V273" i="7" s="1"/>
  <c r="F273" i="7"/>
  <c r="U273" i="7" s="1"/>
  <c r="E273" i="7"/>
  <c r="T273" i="7" s="1"/>
  <c r="D273" i="7"/>
  <c r="S273" i="7" s="1"/>
  <c r="C273" i="7"/>
  <c r="R273" i="7" s="1"/>
  <c r="W273" i="7" s="1"/>
  <c r="G272" i="7"/>
  <c r="V272" i="7" s="1"/>
  <c r="F272" i="7"/>
  <c r="U272" i="7" s="1"/>
  <c r="E272" i="7"/>
  <c r="T272" i="7" s="1"/>
  <c r="D272" i="7"/>
  <c r="S272" i="7" s="1"/>
  <c r="C272" i="7"/>
  <c r="R272" i="7" s="1"/>
  <c r="W272" i="7" s="1"/>
  <c r="G271" i="7"/>
  <c r="V271" i="7" s="1"/>
  <c r="F271" i="7"/>
  <c r="U271" i="7" s="1"/>
  <c r="E271" i="7"/>
  <c r="T271" i="7" s="1"/>
  <c r="D271" i="7"/>
  <c r="S271" i="7" s="1"/>
  <c r="C271" i="7"/>
  <c r="R271" i="7" s="1"/>
  <c r="W271" i="7" s="1"/>
  <c r="G270" i="7"/>
  <c r="V270" i="7" s="1"/>
  <c r="F270" i="7"/>
  <c r="U270" i="7" s="1"/>
  <c r="E270" i="7"/>
  <c r="T270" i="7" s="1"/>
  <c r="D270" i="7"/>
  <c r="S270" i="7" s="1"/>
  <c r="C270" i="7"/>
  <c r="R270" i="7" s="1"/>
  <c r="W270" i="7" s="1"/>
  <c r="G269" i="7"/>
  <c r="V269" i="7" s="1"/>
  <c r="F269" i="7"/>
  <c r="U269" i="7" s="1"/>
  <c r="E269" i="7"/>
  <c r="T269" i="7" s="1"/>
  <c r="D269" i="7"/>
  <c r="S269" i="7" s="1"/>
  <c r="C269" i="7"/>
  <c r="R269" i="7" s="1"/>
  <c r="W269" i="7" s="1"/>
  <c r="G268" i="7"/>
  <c r="V268" i="7" s="1"/>
  <c r="F268" i="7"/>
  <c r="U268" i="7" s="1"/>
  <c r="E268" i="7"/>
  <c r="T268" i="7" s="1"/>
  <c r="D268" i="7"/>
  <c r="S268" i="7" s="1"/>
  <c r="C268" i="7"/>
  <c r="R268" i="7" s="1"/>
  <c r="W268" i="7" s="1"/>
  <c r="G267" i="7"/>
  <c r="V267" i="7" s="1"/>
  <c r="F267" i="7"/>
  <c r="U267" i="7" s="1"/>
  <c r="E267" i="7"/>
  <c r="T267" i="7" s="1"/>
  <c r="D267" i="7"/>
  <c r="S267" i="7" s="1"/>
  <c r="C267" i="7"/>
  <c r="G266" i="7"/>
  <c r="V266" i="7" s="1"/>
  <c r="F266" i="7"/>
  <c r="U266" i="7" s="1"/>
  <c r="E266" i="7"/>
  <c r="T266" i="7" s="1"/>
  <c r="D266" i="7"/>
  <c r="S266" i="7" s="1"/>
  <c r="C266" i="7"/>
  <c r="R266" i="7" s="1"/>
  <c r="W266" i="7" s="1"/>
  <c r="G265" i="7"/>
  <c r="V265" i="7" s="1"/>
  <c r="F265" i="7"/>
  <c r="U265" i="7" s="1"/>
  <c r="E265" i="7"/>
  <c r="T265" i="7" s="1"/>
  <c r="D265" i="7"/>
  <c r="S265" i="7" s="1"/>
  <c r="C265" i="7"/>
  <c r="G264" i="7"/>
  <c r="V264" i="7" s="1"/>
  <c r="F264" i="7"/>
  <c r="U264" i="7" s="1"/>
  <c r="E264" i="7"/>
  <c r="T264" i="7" s="1"/>
  <c r="D264" i="7"/>
  <c r="S264" i="7" s="1"/>
  <c r="C264" i="7"/>
  <c r="R264" i="7" s="1"/>
  <c r="W264" i="7" s="1"/>
  <c r="G263" i="7"/>
  <c r="V263" i="7" s="1"/>
  <c r="F263" i="7"/>
  <c r="U263" i="7" s="1"/>
  <c r="E263" i="7"/>
  <c r="T263" i="7" s="1"/>
  <c r="D263" i="7"/>
  <c r="S263" i="7" s="1"/>
  <c r="C263" i="7"/>
  <c r="G262" i="7"/>
  <c r="V262" i="7" s="1"/>
  <c r="F262" i="7"/>
  <c r="U262" i="7" s="1"/>
  <c r="E262" i="7"/>
  <c r="T262" i="7" s="1"/>
  <c r="D262" i="7"/>
  <c r="S262" i="7" s="1"/>
  <c r="C262" i="7"/>
  <c r="R262" i="7" s="1"/>
  <c r="W262" i="7" s="1"/>
  <c r="G261" i="7"/>
  <c r="V261" i="7" s="1"/>
  <c r="F261" i="7"/>
  <c r="U261" i="7" s="1"/>
  <c r="E261" i="7"/>
  <c r="T261" i="7" s="1"/>
  <c r="D261" i="7"/>
  <c r="S261" i="7" s="1"/>
  <c r="C261" i="7"/>
  <c r="R261" i="7" s="1"/>
  <c r="W261" i="7" s="1"/>
  <c r="G260" i="7"/>
  <c r="V260" i="7" s="1"/>
  <c r="F260" i="7"/>
  <c r="U260" i="7" s="1"/>
  <c r="E260" i="7"/>
  <c r="T260" i="7" s="1"/>
  <c r="D260" i="7"/>
  <c r="S260" i="7" s="1"/>
  <c r="C260" i="7"/>
  <c r="R260" i="7" s="1"/>
  <c r="W260" i="7" s="1"/>
  <c r="G259" i="7"/>
  <c r="V259" i="7" s="1"/>
  <c r="F259" i="7"/>
  <c r="U259" i="7" s="1"/>
  <c r="E259" i="7"/>
  <c r="T259" i="7" s="1"/>
  <c r="D259" i="7"/>
  <c r="S259" i="7" s="1"/>
  <c r="C259" i="7"/>
  <c r="R259" i="7" s="1"/>
  <c r="W259" i="7" s="1"/>
  <c r="G258" i="7"/>
  <c r="V258" i="7" s="1"/>
  <c r="F258" i="7"/>
  <c r="U258" i="7" s="1"/>
  <c r="E258" i="7"/>
  <c r="T258" i="7" s="1"/>
  <c r="D258" i="7"/>
  <c r="S258" i="7" s="1"/>
  <c r="C258" i="7"/>
  <c r="R258" i="7" s="1"/>
  <c r="W258" i="7" s="1"/>
  <c r="G257" i="7"/>
  <c r="V257" i="7" s="1"/>
  <c r="F257" i="7"/>
  <c r="U257" i="7" s="1"/>
  <c r="E257" i="7"/>
  <c r="T257" i="7" s="1"/>
  <c r="D257" i="7"/>
  <c r="S257" i="7" s="1"/>
  <c r="C257" i="7"/>
  <c r="R257" i="7" s="1"/>
  <c r="W257" i="7" s="1"/>
  <c r="G256" i="7"/>
  <c r="V256" i="7" s="1"/>
  <c r="F256" i="7"/>
  <c r="U256" i="7" s="1"/>
  <c r="E256" i="7"/>
  <c r="T256" i="7" s="1"/>
  <c r="D256" i="7"/>
  <c r="S256" i="7" s="1"/>
  <c r="C256" i="7"/>
  <c r="R256" i="7" s="1"/>
  <c r="W256" i="7" s="1"/>
  <c r="G255" i="7"/>
  <c r="V255" i="7" s="1"/>
  <c r="F255" i="7"/>
  <c r="U255" i="7" s="1"/>
  <c r="E255" i="7"/>
  <c r="T255" i="7" s="1"/>
  <c r="D255" i="7"/>
  <c r="S255" i="7" s="1"/>
  <c r="C255" i="7"/>
  <c r="G254" i="7"/>
  <c r="V254" i="7" s="1"/>
  <c r="F254" i="7"/>
  <c r="U254" i="7" s="1"/>
  <c r="E254" i="7"/>
  <c r="T254" i="7" s="1"/>
  <c r="D254" i="7"/>
  <c r="S254" i="7" s="1"/>
  <c r="C254" i="7"/>
  <c r="R254" i="7" s="1"/>
  <c r="W254" i="7" s="1"/>
  <c r="G253" i="7"/>
  <c r="V253" i="7" s="1"/>
  <c r="F253" i="7"/>
  <c r="U253" i="7" s="1"/>
  <c r="E253" i="7"/>
  <c r="T253" i="7" s="1"/>
  <c r="D253" i="7"/>
  <c r="S253" i="7" s="1"/>
  <c r="C253" i="7"/>
  <c r="G252" i="7"/>
  <c r="V252" i="7" s="1"/>
  <c r="F252" i="7"/>
  <c r="U252" i="7" s="1"/>
  <c r="E252" i="7"/>
  <c r="T252" i="7" s="1"/>
  <c r="D252" i="7"/>
  <c r="S252" i="7" s="1"/>
  <c r="C252" i="7"/>
  <c r="R252" i="7" s="1"/>
  <c r="W252" i="7" s="1"/>
  <c r="G251" i="7"/>
  <c r="V251" i="7" s="1"/>
  <c r="F251" i="7"/>
  <c r="U251" i="7" s="1"/>
  <c r="E251" i="7"/>
  <c r="T251" i="7" s="1"/>
  <c r="D251" i="7"/>
  <c r="S251" i="7" s="1"/>
  <c r="C251" i="7"/>
  <c r="G250" i="7"/>
  <c r="V250" i="7" s="1"/>
  <c r="F250" i="7"/>
  <c r="U250" i="7" s="1"/>
  <c r="E250" i="7"/>
  <c r="T250" i="7" s="1"/>
  <c r="D250" i="7"/>
  <c r="S250" i="7" s="1"/>
  <c r="C250" i="7"/>
  <c r="R250" i="7" s="1"/>
  <c r="W250" i="7" s="1"/>
  <c r="G249" i="7"/>
  <c r="V249" i="7" s="1"/>
  <c r="F249" i="7"/>
  <c r="U249" i="7" s="1"/>
  <c r="E249" i="7"/>
  <c r="T249" i="7" s="1"/>
  <c r="D249" i="7"/>
  <c r="S249" i="7" s="1"/>
  <c r="C249" i="7"/>
  <c r="R249" i="7" s="1"/>
  <c r="W249" i="7" s="1"/>
  <c r="G248" i="7"/>
  <c r="V248" i="7" s="1"/>
  <c r="F248" i="7"/>
  <c r="U248" i="7" s="1"/>
  <c r="E248" i="7"/>
  <c r="T248" i="7" s="1"/>
  <c r="D248" i="7"/>
  <c r="S248" i="7" s="1"/>
  <c r="C248" i="7"/>
  <c r="R248" i="7" s="1"/>
  <c r="W248" i="7" s="1"/>
  <c r="G247" i="7"/>
  <c r="V247" i="7" s="1"/>
  <c r="F247" i="7"/>
  <c r="U247" i="7" s="1"/>
  <c r="E247" i="7"/>
  <c r="T247" i="7" s="1"/>
  <c r="D247" i="7"/>
  <c r="S247" i="7" s="1"/>
  <c r="C247" i="7"/>
  <c r="R247" i="7" s="1"/>
  <c r="W247" i="7" s="1"/>
  <c r="G246" i="7"/>
  <c r="V246" i="7" s="1"/>
  <c r="F246" i="7"/>
  <c r="U246" i="7" s="1"/>
  <c r="E246" i="7"/>
  <c r="T246" i="7" s="1"/>
  <c r="D246" i="7"/>
  <c r="S246" i="7" s="1"/>
  <c r="C246" i="7"/>
  <c r="R246" i="7" s="1"/>
  <c r="W246" i="7" s="1"/>
  <c r="G245" i="7"/>
  <c r="V245" i="7" s="1"/>
  <c r="F245" i="7"/>
  <c r="U245" i="7" s="1"/>
  <c r="E245" i="7"/>
  <c r="T245" i="7" s="1"/>
  <c r="D245" i="7"/>
  <c r="S245" i="7" s="1"/>
  <c r="C245" i="7"/>
  <c r="R245" i="7" s="1"/>
  <c r="W245" i="7" s="1"/>
  <c r="G244" i="7"/>
  <c r="V244" i="7" s="1"/>
  <c r="F244" i="7"/>
  <c r="U244" i="7" s="1"/>
  <c r="E244" i="7"/>
  <c r="T244" i="7" s="1"/>
  <c r="D244" i="7"/>
  <c r="S244" i="7" s="1"/>
  <c r="C244" i="7"/>
  <c r="R244" i="7" s="1"/>
  <c r="W244" i="7" s="1"/>
  <c r="G243" i="7"/>
  <c r="V243" i="7" s="1"/>
  <c r="F243" i="7"/>
  <c r="U243" i="7" s="1"/>
  <c r="E243" i="7"/>
  <c r="T243" i="7" s="1"/>
  <c r="D243" i="7"/>
  <c r="S243" i="7" s="1"/>
  <c r="C243" i="7"/>
  <c r="G242" i="7"/>
  <c r="V242" i="7" s="1"/>
  <c r="F242" i="7"/>
  <c r="U242" i="7" s="1"/>
  <c r="E242" i="7"/>
  <c r="T242" i="7" s="1"/>
  <c r="D242" i="7"/>
  <c r="S242" i="7" s="1"/>
  <c r="C242" i="7"/>
  <c r="R242" i="7" s="1"/>
  <c r="W242" i="7" s="1"/>
  <c r="G241" i="7"/>
  <c r="V241" i="7" s="1"/>
  <c r="F241" i="7"/>
  <c r="U241" i="7" s="1"/>
  <c r="E241" i="7"/>
  <c r="T241" i="7" s="1"/>
  <c r="D241" i="7"/>
  <c r="S241" i="7" s="1"/>
  <c r="C241" i="7"/>
  <c r="G240" i="7"/>
  <c r="V240" i="7" s="1"/>
  <c r="F240" i="7"/>
  <c r="U240" i="7" s="1"/>
  <c r="E240" i="7"/>
  <c r="T240" i="7" s="1"/>
  <c r="D240" i="7"/>
  <c r="S240" i="7" s="1"/>
  <c r="C240" i="7"/>
  <c r="R240" i="7" s="1"/>
  <c r="W240" i="7" s="1"/>
  <c r="G239" i="7"/>
  <c r="V239" i="7" s="1"/>
  <c r="F239" i="7"/>
  <c r="U239" i="7" s="1"/>
  <c r="E239" i="7"/>
  <c r="T239" i="7" s="1"/>
  <c r="D239" i="7"/>
  <c r="S239" i="7" s="1"/>
  <c r="C239" i="7"/>
  <c r="G238" i="7"/>
  <c r="V238" i="7" s="1"/>
  <c r="F238" i="7"/>
  <c r="U238" i="7" s="1"/>
  <c r="E238" i="7"/>
  <c r="T238" i="7" s="1"/>
  <c r="D238" i="7"/>
  <c r="S238" i="7" s="1"/>
  <c r="C238" i="7"/>
  <c r="R238" i="7" s="1"/>
  <c r="W238" i="7" s="1"/>
  <c r="G237" i="7"/>
  <c r="V237" i="7" s="1"/>
  <c r="F237" i="7"/>
  <c r="U237" i="7" s="1"/>
  <c r="E237" i="7"/>
  <c r="T237" i="7" s="1"/>
  <c r="D237" i="7"/>
  <c r="S237" i="7" s="1"/>
  <c r="C237" i="7"/>
  <c r="R237" i="7" s="1"/>
  <c r="W237" i="7" s="1"/>
  <c r="G236" i="7"/>
  <c r="V236" i="7" s="1"/>
  <c r="F236" i="7"/>
  <c r="U236" i="7" s="1"/>
  <c r="E236" i="7"/>
  <c r="T236" i="7" s="1"/>
  <c r="D236" i="7"/>
  <c r="S236" i="7" s="1"/>
  <c r="C236" i="7"/>
  <c r="R236" i="7" s="1"/>
  <c r="W236" i="7" s="1"/>
  <c r="G235" i="7"/>
  <c r="V235" i="7" s="1"/>
  <c r="F235" i="7"/>
  <c r="U235" i="7" s="1"/>
  <c r="E235" i="7"/>
  <c r="T235" i="7" s="1"/>
  <c r="D235" i="7"/>
  <c r="S235" i="7" s="1"/>
  <c r="C235" i="7"/>
  <c r="R235" i="7" s="1"/>
  <c r="W235" i="7" s="1"/>
  <c r="G234" i="7"/>
  <c r="V234" i="7" s="1"/>
  <c r="F234" i="7"/>
  <c r="U234" i="7" s="1"/>
  <c r="E234" i="7"/>
  <c r="T234" i="7" s="1"/>
  <c r="D234" i="7"/>
  <c r="S234" i="7" s="1"/>
  <c r="C234" i="7"/>
  <c r="R234" i="7" s="1"/>
  <c r="W234" i="7" s="1"/>
  <c r="G233" i="7"/>
  <c r="V233" i="7" s="1"/>
  <c r="F233" i="7"/>
  <c r="U233" i="7" s="1"/>
  <c r="E233" i="7"/>
  <c r="T233" i="7" s="1"/>
  <c r="D233" i="7"/>
  <c r="S233" i="7" s="1"/>
  <c r="C233" i="7"/>
  <c r="R233" i="7" s="1"/>
  <c r="W233" i="7" s="1"/>
  <c r="G232" i="7"/>
  <c r="V232" i="7" s="1"/>
  <c r="F232" i="7"/>
  <c r="U232" i="7" s="1"/>
  <c r="E232" i="7"/>
  <c r="T232" i="7" s="1"/>
  <c r="D232" i="7"/>
  <c r="S232" i="7" s="1"/>
  <c r="C232" i="7"/>
  <c r="R232" i="7" s="1"/>
  <c r="W232" i="7" s="1"/>
  <c r="G231" i="7"/>
  <c r="V231" i="7" s="1"/>
  <c r="F231" i="7"/>
  <c r="U231" i="7" s="1"/>
  <c r="E231" i="7"/>
  <c r="T231" i="7" s="1"/>
  <c r="D231" i="7"/>
  <c r="S231" i="7" s="1"/>
  <c r="C231" i="7"/>
  <c r="G230" i="7"/>
  <c r="V230" i="7" s="1"/>
  <c r="F230" i="7"/>
  <c r="U230" i="7" s="1"/>
  <c r="E230" i="7"/>
  <c r="T230" i="7" s="1"/>
  <c r="D230" i="7"/>
  <c r="S230" i="7" s="1"/>
  <c r="C230" i="7"/>
  <c r="R230" i="7" s="1"/>
  <c r="W230" i="7" s="1"/>
  <c r="G229" i="7"/>
  <c r="V229" i="7" s="1"/>
  <c r="F229" i="7"/>
  <c r="U229" i="7" s="1"/>
  <c r="E229" i="7"/>
  <c r="T229" i="7" s="1"/>
  <c r="D229" i="7"/>
  <c r="S229" i="7" s="1"/>
  <c r="C229" i="7"/>
  <c r="G228" i="7"/>
  <c r="V228" i="7" s="1"/>
  <c r="F228" i="7"/>
  <c r="U228" i="7" s="1"/>
  <c r="E228" i="7"/>
  <c r="T228" i="7" s="1"/>
  <c r="D228" i="7"/>
  <c r="S228" i="7" s="1"/>
  <c r="C228" i="7"/>
  <c r="R228" i="7" s="1"/>
  <c r="W228" i="7" s="1"/>
  <c r="G227" i="7"/>
  <c r="V227" i="7" s="1"/>
  <c r="F227" i="7"/>
  <c r="U227" i="7" s="1"/>
  <c r="E227" i="7"/>
  <c r="T227" i="7" s="1"/>
  <c r="D227" i="7"/>
  <c r="S227" i="7" s="1"/>
  <c r="C227" i="7"/>
  <c r="G226" i="7"/>
  <c r="V226" i="7" s="1"/>
  <c r="F226" i="7"/>
  <c r="U226" i="7" s="1"/>
  <c r="E226" i="7"/>
  <c r="T226" i="7" s="1"/>
  <c r="D226" i="7"/>
  <c r="S226" i="7" s="1"/>
  <c r="C226" i="7"/>
  <c r="R226" i="7" s="1"/>
  <c r="W226" i="7" s="1"/>
  <c r="G225" i="7"/>
  <c r="V225" i="7" s="1"/>
  <c r="F225" i="7"/>
  <c r="U225" i="7" s="1"/>
  <c r="E225" i="7"/>
  <c r="T225" i="7" s="1"/>
  <c r="D225" i="7"/>
  <c r="S225" i="7" s="1"/>
  <c r="C225" i="7"/>
  <c r="R225" i="7" s="1"/>
  <c r="W225" i="7" s="1"/>
  <c r="G224" i="7"/>
  <c r="V224" i="7" s="1"/>
  <c r="F224" i="7"/>
  <c r="U224" i="7" s="1"/>
  <c r="E224" i="7"/>
  <c r="T224" i="7" s="1"/>
  <c r="D224" i="7"/>
  <c r="S224" i="7" s="1"/>
  <c r="C224" i="7"/>
  <c r="R224" i="7" s="1"/>
  <c r="W224" i="7" s="1"/>
  <c r="G223" i="7"/>
  <c r="V223" i="7" s="1"/>
  <c r="F223" i="7"/>
  <c r="U223" i="7" s="1"/>
  <c r="E223" i="7"/>
  <c r="T223" i="7" s="1"/>
  <c r="D223" i="7"/>
  <c r="S223" i="7" s="1"/>
  <c r="C223" i="7"/>
  <c r="R223" i="7" s="1"/>
  <c r="W223" i="7" s="1"/>
  <c r="G222" i="7"/>
  <c r="V222" i="7" s="1"/>
  <c r="F222" i="7"/>
  <c r="U222" i="7" s="1"/>
  <c r="E222" i="7"/>
  <c r="T222" i="7" s="1"/>
  <c r="D222" i="7"/>
  <c r="S222" i="7" s="1"/>
  <c r="C222" i="7"/>
  <c r="R222" i="7" s="1"/>
  <c r="W222" i="7" s="1"/>
  <c r="G221" i="7"/>
  <c r="V221" i="7" s="1"/>
  <c r="F221" i="7"/>
  <c r="U221" i="7" s="1"/>
  <c r="E221" i="7"/>
  <c r="T221" i="7" s="1"/>
  <c r="D221" i="7"/>
  <c r="S221" i="7" s="1"/>
  <c r="C221" i="7"/>
  <c r="R221" i="7" s="1"/>
  <c r="W221" i="7" s="1"/>
  <c r="G220" i="7"/>
  <c r="V220" i="7" s="1"/>
  <c r="F220" i="7"/>
  <c r="U220" i="7" s="1"/>
  <c r="E220" i="7"/>
  <c r="T220" i="7" s="1"/>
  <c r="D220" i="7"/>
  <c r="S220" i="7" s="1"/>
  <c r="C220" i="7"/>
  <c r="R220" i="7" s="1"/>
  <c r="W220" i="7" s="1"/>
  <c r="G219" i="7"/>
  <c r="V219" i="7" s="1"/>
  <c r="F219" i="7"/>
  <c r="U219" i="7" s="1"/>
  <c r="E219" i="7"/>
  <c r="T219" i="7" s="1"/>
  <c r="D219" i="7"/>
  <c r="S219" i="7" s="1"/>
  <c r="C219" i="7"/>
  <c r="G218" i="7"/>
  <c r="V218" i="7" s="1"/>
  <c r="F218" i="7"/>
  <c r="U218" i="7" s="1"/>
  <c r="E218" i="7"/>
  <c r="T218" i="7" s="1"/>
  <c r="D218" i="7"/>
  <c r="S218" i="7" s="1"/>
  <c r="C218" i="7"/>
  <c r="R218" i="7" s="1"/>
  <c r="W218" i="7" s="1"/>
  <c r="G217" i="7"/>
  <c r="V217" i="7" s="1"/>
  <c r="F217" i="7"/>
  <c r="U217" i="7" s="1"/>
  <c r="E217" i="7"/>
  <c r="T217" i="7" s="1"/>
  <c r="D217" i="7"/>
  <c r="S217" i="7" s="1"/>
  <c r="C217" i="7"/>
  <c r="G216" i="7"/>
  <c r="V216" i="7" s="1"/>
  <c r="F216" i="7"/>
  <c r="U216" i="7" s="1"/>
  <c r="E216" i="7"/>
  <c r="T216" i="7" s="1"/>
  <c r="D216" i="7"/>
  <c r="S216" i="7" s="1"/>
  <c r="C216" i="7"/>
  <c r="R216" i="7" s="1"/>
  <c r="W216" i="7" s="1"/>
  <c r="G215" i="7"/>
  <c r="V215" i="7" s="1"/>
  <c r="F215" i="7"/>
  <c r="U215" i="7" s="1"/>
  <c r="E215" i="7"/>
  <c r="T215" i="7" s="1"/>
  <c r="D215" i="7"/>
  <c r="S215" i="7" s="1"/>
  <c r="C215" i="7"/>
  <c r="G214" i="7"/>
  <c r="V214" i="7" s="1"/>
  <c r="F214" i="7"/>
  <c r="U214" i="7" s="1"/>
  <c r="E214" i="7"/>
  <c r="T214" i="7" s="1"/>
  <c r="D214" i="7"/>
  <c r="S214" i="7" s="1"/>
  <c r="C214" i="7"/>
  <c r="R214" i="7" s="1"/>
  <c r="W214" i="7" s="1"/>
  <c r="G213" i="7"/>
  <c r="V213" i="7" s="1"/>
  <c r="F213" i="7"/>
  <c r="U213" i="7" s="1"/>
  <c r="E213" i="7"/>
  <c r="T213" i="7" s="1"/>
  <c r="D213" i="7"/>
  <c r="S213" i="7" s="1"/>
  <c r="C213" i="7"/>
  <c r="R213" i="7" s="1"/>
  <c r="W213" i="7" s="1"/>
  <c r="G212" i="7"/>
  <c r="V212" i="7" s="1"/>
  <c r="F212" i="7"/>
  <c r="U212" i="7" s="1"/>
  <c r="E212" i="7"/>
  <c r="T212" i="7" s="1"/>
  <c r="D212" i="7"/>
  <c r="S212" i="7" s="1"/>
  <c r="C212" i="7"/>
  <c r="R212" i="7" s="1"/>
  <c r="W212" i="7" s="1"/>
  <c r="G211" i="7"/>
  <c r="V211" i="7" s="1"/>
  <c r="F211" i="7"/>
  <c r="U211" i="7" s="1"/>
  <c r="E211" i="7"/>
  <c r="T211" i="7" s="1"/>
  <c r="D211" i="7"/>
  <c r="S211" i="7" s="1"/>
  <c r="C211" i="7"/>
  <c r="R211" i="7" s="1"/>
  <c r="W211" i="7" s="1"/>
  <c r="G210" i="7"/>
  <c r="V210" i="7" s="1"/>
  <c r="F210" i="7"/>
  <c r="U210" i="7" s="1"/>
  <c r="E210" i="7"/>
  <c r="T210" i="7" s="1"/>
  <c r="D210" i="7"/>
  <c r="S210" i="7" s="1"/>
  <c r="C210" i="7"/>
  <c r="R210" i="7" s="1"/>
  <c r="W210" i="7" s="1"/>
  <c r="G209" i="7"/>
  <c r="V209" i="7" s="1"/>
  <c r="F209" i="7"/>
  <c r="U209" i="7" s="1"/>
  <c r="E209" i="7"/>
  <c r="T209" i="7" s="1"/>
  <c r="D209" i="7"/>
  <c r="S209" i="7" s="1"/>
  <c r="C209" i="7"/>
  <c r="R209" i="7" s="1"/>
  <c r="W209" i="7" s="1"/>
  <c r="G208" i="7"/>
  <c r="V208" i="7" s="1"/>
  <c r="F208" i="7"/>
  <c r="U208" i="7" s="1"/>
  <c r="E208" i="7"/>
  <c r="T208" i="7" s="1"/>
  <c r="D208" i="7"/>
  <c r="S208" i="7" s="1"/>
  <c r="C208" i="7"/>
  <c r="R208" i="7" s="1"/>
  <c r="W208" i="7" s="1"/>
  <c r="G207" i="7"/>
  <c r="V207" i="7" s="1"/>
  <c r="F207" i="7"/>
  <c r="U207" i="7" s="1"/>
  <c r="E207" i="7"/>
  <c r="T207" i="7" s="1"/>
  <c r="D207" i="7"/>
  <c r="S207" i="7" s="1"/>
  <c r="C207" i="7"/>
  <c r="G206" i="7"/>
  <c r="V206" i="7" s="1"/>
  <c r="F206" i="7"/>
  <c r="U206" i="7" s="1"/>
  <c r="E206" i="7"/>
  <c r="T206" i="7" s="1"/>
  <c r="D206" i="7"/>
  <c r="S206" i="7" s="1"/>
  <c r="C206" i="7"/>
  <c r="R206" i="7" s="1"/>
  <c r="W206" i="7" s="1"/>
  <c r="G205" i="7"/>
  <c r="V205" i="7" s="1"/>
  <c r="F205" i="7"/>
  <c r="U205" i="7" s="1"/>
  <c r="E205" i="7"/>
  <c r="T205" i="7" s="1"/>
  <c r="D205" i="7"/>
  <c r="S205" i="7" s="1"/>
  <c r="C205" i="7"/>
  <c r="G204" i="7"/>
  <c r="V204" i="7" s="1"/>
  <c r="F204" i="7"/>
  <c r="U204" i="7" s="1"/>
  <c r="E204" i="7"/>
  <c r="T204" i="7" s="1"/>
  <c r="D204" i="7"/>
  <c r="S204" i="7" s="1"/>
  <c r="C204" i="7"/>
  <c r="R204" i="7" s="1"/>
  <c r="W204" i="7" s="1"/>
  <c r="G203" i="7"/>
  <c r="V203" i="7" s="1"/>
  <c r="F203" i="7"/>
  <c r="U203" i="7" s="1"/>
  <c r="E203" i="7"/>
  <c r="T203" i="7" s="1"/>
  <c r="D203" i="7"/>
  <c r="S203" i="7" s="1"/>
  <c r="C203" i="7"/>
  <c r="G202" i="7"/>
  <c r="V202" i="7" s="1"/>
  <c r="F202" i="7"/>
  <c r="U202" i="7" s="1"/>
  <c r="E202" i="7"/>
  <c r="T202" i="7" s="1"/>
  <c r="D202" i="7"/>
  <c r="S202" i="7" s="1"/>
  <c r="C202" i="7"/>
  <c r="R202" i="7" s="1"/>
  <c r="W202" i="7" s="1"/>
  <c r="G201" i="7"/>
  <c r="V201" i="7" s="1"/>
  <c r="F201" i="7"/>
  <c r="U201" i="7" s="1"/>
  <c r="E201" i="7"/>
  <c r="T201" i="7" s="1"/>
  <c r="D201" i="7"/>
  <c r="S201" i="7" s="1"/>
  <c r="C201" i="7"/>
  <c r="R201" i="7" s="1"/>
  <c r="W201" i="7" s="1"/>
  <c r="G200" i="7"/>
  <c r="V200" i="7" s="1"/>
  <c r="F200" i="7"/>
  <c r="U200" i="7" s="1"/>
  <c r="E200" i="7"/>
  <c r="T200" i="7" s="1"/>
  <c r="D200" i="7"/>
  <c r="S200" i="7" s="1"/>
  <c r="C200" i="7"/>
  <c r="R200" i="7" s="1"/>
  <c r="W200" i="7" s="1"/>
  <c r="G199" i="7"/>
  <c r="V199" i="7" s="1"/>
  <c r="F199" i="7"/>
  <c r="U199" i="7" s="1"/>
  <c r="E199" i="7"/>
  <c r="T199" i="7" s="1"/>
  <c r="D199" i="7"/>
  <c r="S199" i="7" s="1"/>
  <c r="C199" i="7"/>
  <c r="R199" i="7" s="1"/>
  <c r="W199" i="7" s="1"/>
  <c r="G198" i="7"/>
  <c r="V198" i="7" s="1"/>
  <c r="F198" i="7"/>
  <c r="U198" i="7" s="1"/>
  <c r="E198" i="7"/>
  <c r="T198" i="7" s="1"/>
  <c r="D198" i="7"/>
  <c r="S198" i="7" s="1"/>
  <c r="C198" i="7"/>
  <c r="R198" i="7" s="1"/>
  <c r="W198" i="7" s="1"/>
  <c r="G197" i="7"/>
  <c r="V197" i="7" s="1"/>
  <c r="F197" i="7"/>
  <c r="U197" i="7" s="1"/>
  <c r="E197" i="7"/>
  <c r="T197" i="7" s="1"/>
  <c r="D197" i="7"/>
  <c r="S197" i="7" s="1"/>
  <c r="C197" i="7"/>
  <c r="R197" i="7" s="1"/>
  <c r="W197" i="7" s="1"/>
  <c r="G196" i="7"/>
  <c r="V196" i="7" s="1"/>
  <c r="F196" i="7"/>
  <c r="U196" i="7" s="1"/>
  <c r="E196" i="7"/>
  <c r="T196" i="7" s="1"/>
  <c r="D196" i="7"/>
  <c r="S196" i="7" s="1"/>
  <c r="C196" i="7"/>
  <c r="R196" i="7" s="1"/>
  <c r="W196" i="7" s="1"/>
  <c r="G195" i="7"/>
  <c r="V195" i="7" s="1"/>
  <c r="F195" i="7"/>
  <c r="U195" i="7" s="1"/>
  <c r="E195" i="7"/>
  <c r="T195" i="7" s="1"/>
  <c r="D195" i="7"/>
  <c r="S195" i="7" s="1"/>
  <c r="C195" i="7"/>
  <c r="G194" i="7"/>
  <c r="V194" i="7" s="1"/>
  <c r="F194" i="7"/>
  <c r="U194" i="7" s="1"/>
  <c r="E194" i="7"/>
  <c r="T194" i="7" s="1"/>
  <c r="D194" i="7"/>
  <c r="S194" i="7" s="1"/>
  <c r="C194" i="7"/>
  <c r="R194" i="7" s="1"/>
  <c r="W194" i="7" s="1"/>
  <c r="G193" i="7"/>
  <c r="V193" i="7" s="1"/>
  <c r="F193" i="7"/>
  <c r="U193" i="7" s="1"/>
  <c r="E193" i="7"/>
  <c r="T193" i="7" s="1"/>
  <c r="D193" i="7"/>
  <c r="S193" i="7" s="1"/>
  <c r="C193" i="7"/>
  <c r="G192" i="7"/>
  <c r="V192" i="7" s="1"/>
  <c r="F192" i="7"/>
  <c r="U192" i="7" s="1"/>
  <c r="E192" i="7"/>
  <c r="T192" i="7" s="1"/>
  <c r="D192" i="7"/>
  <c r="S192" i="7" s="1"/>
  <c r="C192" i="7"/>
  <c r="R192" i="7" s="1"/>
  <c r="W192" i="7" s="1"/>
  <c r="G191" i="7"/>
  <c r="V191" i="7" s="1"/>
  <c r="F191" i="7"/>
  <c r="U191" i="7" s="1"/>
  <c r="E191" i="7"/>
  <c r="T191" i="7" s="1"/>
  <c r="D191" i="7"/>
  <c r="S191" i="7" s="1"/>
  <c r="C191" i="7"/>
  <c r="G190" i="7"/>
  <c r="V190" i="7" s="1"/>
  <c r="F190" i="7"/>
  <c r="U190" i="7" s="1"/>
  <c r="E190" i="7"/>
  <c r="T190" i="7" s="1"/>
  <c r="D190" i="7"/>
  <c r="S190" i="7" s="1"/>
  <c r="C190" i="7"/>
  <c r="R190" i="7" s="1"/>
  <c r="W190" i="7" s="1"/>
  <c r="G189" i="7"/>
  <c r="V189" i="7" s="1"/>
  <c r="F189" i="7"/>
  <c r="U189" i="7" s="1"/>
  <c r="E189" i="7"/>
  <c r="T189" i="7" s="1"/>
  <c r="D189" i="7"/>
  <c r="S189" i="7" s="1"/>
  <c r="C189" i="7"/>
  <c r="R189" i="7" s="1"/>
  <c r="W189" i="7" s="1"/>
  <c r="G188" i="7"/>
  <c r="V188" i="7" s="1"/>
  <c r="F188" i="7"/>
  <c r="U188" i="7" s="1"/>
  <c r="E188" i="7"/>
  <c r="T188" i="7" s="1"/>
  <c r="D188" i="7"/>
  <c r="S188" i="7" s="1"/>
  <c r="C188" i="7"/>
  <c r="R188" i="7" s="1"/>
  <c r="W188" i="7" s="1"/>
  <c r="G187" i="7"/>
  <c r="V187" i="7" s="1"/>
  <c r="F187" i="7"/>
  <c r="U187" i="7" s="1"/>
  <c r="E187" i="7"/>
  <c r="T187" i="7" s="1"/>
  <c r="D187" i="7"/>
  <c r="S187" i="7" s="1"/>
  <c r="C187" i="7"/>
  <c r="R187" i="7" s="1"/>
  <c r="W187" i="7" s="1"/>
  <c r="G186" i="7"/>
  <c r="V186" i="7" s="1"/>
  <c r="F186" i="7"/>
  <c r="U186" i="7" s="1"/>
  <c r="E186" i="7"/>
  <c r="T186" i="7" s="1"/>
  <c r="D186" i="7"/>
  <c r="S186" i="7" s="1"/>
  <c r="C186" i="7"/>
  <c r="R186" i="7" s="1"/>
  <c r="W186" i="7" s="1"/>
  <c r="G185" i="7"/>
  <c r="V185" i="7" s="1"/>
  <c r="F185" i="7"/>
  <c r="U185" i="7" s="1"/>
  <c r="E185" i="7"/>
  <c r="T185" i="7" s="1"/>
  <c r="D185" i="7"/>
  <c r="S185" i="7" s="1"/>
  <c r="C185" i="7"/>
  <c r="R185" i="7" s="1"/>
  <c r="W185" i="7" s="1"/>
  <c r="G184" i="7"/>
  <c r="V184" i="7" s="1"/>
  <c r="F184" i="7"/>
  <c r="U184" i="7" s="1"/>
  <c r="E184" i="7"/>
  <c r="T184" i="7" s="1"/>
  <c r="D184" i="7"/>
  <c r="S184" i="7" s="1"/>
  <c r="C184" i="7"/>
  <c r="R184" i="7" s="1"/>
  <c r="W184" i="7" s="1"/>
  <c r="G183" i="7"/>
  <c r="V183" i="7" s="1"/>
  <c r="F183" i="7"/>
  <c r="U183" i="7" s="1"/>
  <c r="E183" i="7"/>
  <c r="T183" i="7" s="1"/>
  <c r="D183" i="7"/>
  <c r="S183" i="7" s="1"/>
  <c r="C183" i="7"/>
  <c r="G182" i="7"/>
  <c r="V182" i="7" s="1"/>
  <c r="F182" i="7"/>
  <c r="U182" i="7" s="1"/>
  <c r="E182" i="7"/>
  <c r="T182" i="7" s="1"/>
  <c r="D182" i="7"/>
  <c r="S182" i="7" s="1"/>
  <c r="C182" i="7"/>
  <c r="R182" i="7" s="1"/>
  <c r="W182" i="7" s="1"/>
  <c r="G181" i="7"/>
  <c r="V181" i="7" s="1"/>
  <c r="F181" i="7"/>
  <c r="U181" i="7" s="1"/>
  <c r="E181" i="7"/>
  <c r="T181" i="7" s="1"/>
  <c r="D181" i="7"/>
  <c r="S181" i="7" s="1"/>
  <c r="C181" i="7"/>
  <c r="G180" i="7"/>
  <c r="V180" i="7" s="1"/>
  <c r="F180" i="7"/>
  <c r="U180" i="7" s="1"/>
  <c r="E180" i="7"/>
  <c r="T180" i="7" s="1"/>
  <c r="D180" i="7"/>
  <c r="S180" i="7" s="1"/>
  <c r="C180" i="7"/>
  <c r="R180" i="7" s="1"/>
  <c r="W180" i="7" s="1"/>
  <c r="G179" i="7"/>
  <c r="V179" i="7" s="1"/>
  <c r="F179" i="7"/>
  <c r="U179" i="7" s="1"/>
  <c r="E179" i="7"/>
  <c r="T179" i="7" s="1"/>
  <c r="D179" i="7"/>
  <c r="S179" i="7" s="1"/>
  <c r="C179" i="7"/>
  <c r="G178" i="7"/>
  <c r="V178" i="7" s="1"/>
  <c r="F178" i="7"/>
  <c r="U178" i="7" s="1"/>
  <c r="E178" i="7"/>
  <c r="T178" i="7" s="1"/>
  <c r="D178" i="7"/>
  <c r="S178" i="7" s="1"/>
  <c r="C178" i="7"/>
  <c r="R178" i="7" s="1"/>
  <c r="W178" i="7" s="1"/>
  <c r="G177" i="7"/>
  <c r="V177" i="7" s="1"/>
  <c r="F177" i="7"/>
  <c r="U177" i="7" s="1"/>
  <c r="E177" i="7"/>
  <c r="T177" i="7" s="1"/>
  <c r="D177" i="7"/>
  <c r="S177" i="7" s="1"/>
  <c r="C177" i="7"/>
  <c r="R177" i="7" s="1"/>
  <c r="W177" i="7" s="1"/>
  <c r="G176" i="7"/>
  <c r="V176" i="7" s="1"/>
  <c r="F176" i="7"/>
  <c r="U176" i="7" s="1"/>
  <c r="E176" i="7"/>
  <c r="T176" i="7" s="1"/>
  <c r="D176" i="7"/>
  <c r="S176" i="7" s="1"/>
  <c r="C176" i="7"/>
  <c r="R176" i="7" s="1"/>
  <c r="W176" i="7" s="1"/>
  <c r="G175" i="7"/>
  <c r="V175" i="7" s="1"/>
  <c r="F175" i="7"/>
  <c r="U175" i="7" s="1"/>
  <c r="E175" i="7"/>
  <c r="T175" i="7" s="1"/>
  <c r="D175" i="7"/>
  <c r="S175" i="7" s="1"/>
  <c r="C175" i="7"/>
  <c r="R175" i="7" s="1"/>
  <c r="W175" i="7" s="1"/>
  <c r="G174" i="7"/>
  <c r="V174" i="7" s="1"/>
  <c r="F174" i="7"/>
  <c r="U174" i="7" s="1"/>
  <c r="E174" i="7"/>
  <c r="T174" i="7" s="1"/>
  <c r="D174" i="7"/>
  <c r="S174" i="7" s="1"/>
  <c r="C174" i="7"/>
  <c r="R174" i="7" s="1"/>
  <c r="W174" i="7" s="1"/>
  <c r="G173" i="7"/>
  <c r="V173" i="7" s="1"/>
  <c r="F173" i="7"/>
  <c r="U173" i="7" s="1"/>
  <c r="E173" i="7"/>
  <c r="T173" i="7" s="1"/>
  <c r="D173" i="7"/>
  <c r="S173" i="7" s="1"/>
  <c r="C173" i="7"/>
  <c r="R173" i="7" s="1"/>
  <c r="W173" i="7" s="1"/>
  <c r="G172" i="7"/>
  <c r="V172" i="7" s="1"/>
  <c r="F172" i="7"/>
  <c r="U172" i="7" s="1"/>
  <c r="E172" i="7"/>
  <c r="T172" i="7" s="1"/>
  <c r="D172" i="7"/>
  <c r="S172" i="7" s="1"/>
  <c r="C172" i="7"/>
  <c r="R172" i="7" s="1"/>
  <c r="W172" i="7" s="1"/>
  <c r="G171" i="7"/>
  <c r="V171" i="7" s="1"/>
  <c r="F171" i="7"/>
  <c r="U171" i="7" s="1"/>
  <c r="E171" i="7"/>
  <c r="T171" i="7" s="1"/>
  <c r="D171" i="7"/>
  <c r="S171" i="7" s="1"/>
  <c r="C171" i="7"/>
  <c r="G170" i="7"/>
  <c r="V170" i="7" s="1"/>
  <c r="F170" i="7"/>
  <c r="U170" i="7" s="1"/>
  <c r="E170" i="7"/>
  <c r="T170" i="7" s="1"/>
  <c r="D170" i="7"/>
  <c r="S170" i="7" s="1"/>
  <c r="C170" i="7"/>
  <c r="R170" i="7" s="1"/>
  <c r="W170" i="7" s="1"/>
  <c r="G169" i="7"/>
  <c r="V169" i="7" s="1"/>
  <c r="F169" i="7"/>
  <c r="U169" i="7" s="1"/>
  <c r="E169" i="7"/>
  <c r="T169" i="7" s="1"/>
  <c r="D169" i="7"/>
  <c r="S169" i="7" s="1"/>
  <c r="C169" i="7"/>
  <c r="G168" i="7"/>
  <c r="V168" i="7" s="1"/>
  <c r="F168" i="7"/>
  <c r="U168" i="7" s="1"/>
  <c r="E168" i="7"/>
  <c r="T168" i="7" s="1"/>
  <c r="D168" i="7"/>
  <c r="S168" i="7" s="1"/>
  <c r="C168" i="7"/>
  <c r="R168" i="7" s="1"/>
  <c r="W168" i="7" s="1"/>
  <c r="G167" i="7"/>
  <c r="V167" i="7" s="1"/>
  <c r="F167" i="7"/>
  <c r="U167" i="7" s="1"/>
  <c r="E167" i="7"/>
  <c r="T167" i="7" s="1"/>
  <c r="D167" i="7"/>
  <c r="S167" i="7" s="1"/>
  <c r="C167" i="7"/>
  <c r="G166" i="7"/>
  <c r="V166" i="7" s="1"/>
  <c r="F166" i="7"/>
  <c r="U166" i="7" s="1"/>
  <c r="E166" i="7"/>
  <c r="T166" i="7" s="1"/>
  <c r="D166" i="7"/>
  <c r="S166" i="7" s="1"/>
  <c r="C166" i="7"/>
  <c r="R166" i="7" s="1"/>
  <c r="W166" i="7" s="1"/>
  <c r="G165" i="7"/>
  <c r="V165" i="7" s="1"/>
  <c r="F165" i="7"/>
  <c r="U165" i="7" s="1"/>
  <c r="E165" i="7"/>
  <c r="T165" i="7" s="1"/>
  <c r="D165" i="7"/>
  <c r="S165" i="7" s="1"/>
  <c r="C165" i="7"/>
  <c r="R165" i="7" s="1"/>
  <c r="W165" i="7" s="1"/>
  <c r="G164" i="7"/>
  <c r="V164" i="7" s="1"/>
  <c r="F164" i="7"/>
  <c r="U164" i="7" s="1"/>
  <c r="E164" i="7"/>
  <c r="T164" i="7" s="1"/>
  <c r="D164" i="7"/>
  <c r="S164" i="7" s="1"/>
  <c r="C164" i="7"/>
  <c r="R164" i="7" s="1"/>
  <c r="W164" i="7" s="1"/>
  <c r="G163" i="7"/>
  <c r="V163" i="7" s="1"/>
  <c r="F163" i="7"/>
  <c r="U163" i="7" s="1"/>
  <c r="E163" i="7"/>
  <c r="T163" i="7" s="1"/>
  <c r="D163" i="7"/>
  <c r="S163" i="7" s="1"/>
  <c r="C163" i="7"/>
  <c r="R163" i="7" s="1"/>
  <c r="W163" i="7" s="1"/>
  <c r="G162" i="7"/>
  <c r="V162" i="7" s="1"/>
  <c r="F162" i="7"/>
  <c r="U162" i="7" s="1"/>
  <c r="E162" i="7"/>
  <c r="T162" i="7" s="1"/>
  <c r="D162" i="7"/>
  <c r="S162" i="7" s="1"/>
  <c r="C162" i="7"/>
  <c r="R162" i="7" s="1"/>
  <c r="W162" i="7" s="1"/>
  <c r="G161" i="7"/>
  <c r="V161" i="7" s="1"/>
  <c r="F161" i="7"/>
  <c r="U161" i="7" s="1"/>
  <c r="E161" i="7"/>
  <c r="T161" i="7" s="1"/>
  <c r="D161" i="7"/>
  <c r="S161" i="7" s="1"/>
  <c r="C161" i="7"/>
  <c r="R161" i="7" s="1"/>
  <c r="W161" i="7" s="1"/>
  <c r="G160" i="7"/>
  <c r="V160" i="7" s="1"/>
  <c r="F160" i="7"/>
  <c r="U160" i="7" s="1"/>
  <c r="E160" i="7"/>
  <c r="T160" i="7" s="1"/>
  <c r="D160" i="7"/>
  <c r="S160" i="7" s="1"/>
  <c r="C160" i="7"/>
  <c r="R160" i="7" s="1"/>
  <c r="W160" i="7" s="1"/>
  <c r="G159" i="7"/>
  <c r="V159" i="7" s="1"/>
  <c r="F159" i="7"/>
  <c r="U159" i="7" s="1"/>
  <c r="E159" i="7"/>
  <c r="T159" i="7" s="1"/>
  <c r="D159" i="7"/>
  <c r="S159" i="7" s="1"/>
  <c r="C159" i="7"/>
  <c r="G158" i="7"/>
  <c r="V158" i="7" s="1"/>
  <c r="F158" i="7"/>
  <c r="U158" i="7" s="1"/>
  <c r="E158" i="7"/>
  <c r="T158" i="7" s="1"/>
  <c r="D158" i="7"/>
  <c r="S158" i="7" s="1"/>
  <c r="C158" i="7"/>
  <c r="R158" i="7" s="1"/>
  <c r="W158" i="7" s="1"/>
  <c r="G157" i="7"/>
  <c r="V157" i="7" s="1"/>
  <c r="F157" i="7"/>
  <c r="U157" i="7" s="1"/>
  <c r="E157" i="7"/>
  <c r="T157" i="7" s="1"/>
  <c r="D157" i="7"/>
  <c r="S157" i="7" s="1"/>
  <c r="C157" i="7"/>
  <c r="G156" i="7"/>
  <c r="V156" i="7" s="1"/>
  <c r="F156" i="7"/>
  <c r="U156" i="7" s="1"/>
  <c r="E156" i="7"/>
  <c r="T156" i="7" s="1"/>
  <c r="D156" i="7"/>
  <c r="S156" i="7" s="1"/>
  <c r="C156" i="7"/>
  <c r="R156" i="7" s="1"/>
  <c r="W156" i="7" s="1"/>
  <c r="G155" i="7"/>
  <c r="V155" i="7" s="1"/>
  <c r="F155" i="7"/>
  <c r="U155" i="7" s="1"/>
  <c r="E155" i="7"/>
  <c r="T155" i="7" s="1"/>
  <c r="D155" i="7"/>
  <c r="S155" i="7" s="1"/>
  <c r="C155" i="7"/>
  <c r="G154" i="7"/>
  <c r="V154" i="7" s="1"/>
  <c r="F154" i="7"/>
  <c r="U154" i="7" s="1"/>
  <c r="E154" i="7"/>
  <c r="T154" i="7" s="1"/>
  <c r="D154" i="7"/>
  <c r="S154" i="7" s="1"/>
  <c r="C154" i="7"/>
  <c r="R154" i="7" s="1"/>
  <c r="W154" i="7" s="1"/>
  <c r="G153" i="7"/>
  <c r="V153" i="7" s="1"/>
  <c r="F153" i="7"/>
  <c r="U153" i="7" s="1"/>
  <c r="E153" i="7"/>
  <c r="T153" i="7" s="1"/>
  <c r="D153" i="7"/>
  <c r="S153" i="7" s="1"/>
  <c r="C153" i="7"/>
  <c r="R153" i="7" s="1"/>
  <c r="W153" i="7" s="1"/>
  <c r="G152" i="7"/>
  <c r="V152" i="7" s="1"/>
  <c r="F152" i="7"/>
  <c r="U152" i="7" s="1"/>
  <c r="E152" i="7"/>
  <c r="T152" i="7" s="1"/>
  <c r="D152" i="7"/>
  <c r="S152" i="7" s="1"/>
  <c r="C152" i="7"/>
  <c r="R152" i="7" s="1"/>
  <c r="W152" i="7" s="1"/>
  <c r="G151" i="7"/>
  <c r="V151" i="7" s="1"/>
  <c r="F151" i="7"/>
  <c r="U151" i="7" s="1"/>
  <c r="E151" i="7"/>
  <c r="T151" i="7" s="1"/>
  <c r="D151" i="7"/>
  <c r="S151" i="7" s="1"/>
  <c r="C151" i="7"/>
  <c r="R151" i="7" s="1"/>
  <c r="W151" i="7" s="1"/>
  <c r="G150" i="7"/>
  <c r="V150" i="7" s="1"/>
  <c r="F150" i="7"/>
  <c r="U150" i="7" s="1"/>
  <c r="E150" i="7"/>
  <c r="T150" i="7" s="1"/>
  <c r="D150" i="7"/>
  <c r="S150" i="7" s="1"/>
  <c r="C150" i="7"/>
  <c r="R150" i="7" s="1"/>
  <c r="W150" i="7" s="1"/>
  <c r="G149" i="7"/>
  <c r="V149" i="7" s="1"/>
  <c r="F149" i="7"/>
  <c r="U149" i="7" s="1"/>
  <c r="E149" i="7"/>
  <c r="T149" i="7" s="1"/>
  <c r="D149" i="7"/>
  <c r="S149" i="7" s="1"/>
  <c r="C149" i="7"/>
  <c r="R149" i="7" s="1"/>
  <c r="W149" i="7" s="1"/>
  <c r="G148" i="7"/>
  <c r="V148" i="7" s="1"/>
  <c r="F148" i="7"/>
  <c r="U148" i="7" s="1"/>
  <c r="E148" i="7"/>
  <c r="T148" i="7" s="1"/>
  <c r="D148" i="7"/>
  <c r="S148" i="7" s="1"/>
  <c r="C148" i="7"/>
  <c r="R148" i="7" s="1"/>
  <c r="W148" i="7" s="1"/>
  <c r="G147" i="7"/>
  <c r="V147" i="7" s="1"/>
  <c r="F147" i="7"/>
  <c r="U147" i="7" s="1"/>
  <c r="E147" i="7"/>
  <c r="T147" i="7" s="1"/>
  <c r="D147" i="7"/>
  <c r="S147" i="7" s="1"/>
  <c r="C147" i="7"/>
  <c r="G146" i="7"/>
  <c r="V146" i="7" s="1"/>
  <c r="F146" i="7"/>
  <c r="U146" i="7" s="1"/>
  <c r="E146" i="7"/>
  <c r="T146" i="7" s="1"/>
  <c r="D146" i="7"/>
  <c r="S146" i="7" s="1"/>
  <c r="C146" i="7"/>
  <c r="R146" i="7" s="1"/>
  <c r="W146" i="7" s="1"/>
  <c r="G145" i="7"/>
  <c r="V145" i="7" s="1"/>
  <c r="F145" i="7"/>
  <c r="U145" i="7" s="1"/>
  <c r="E145" i="7"/>
  <c r="T145" i="7" s="1"/>
  <c r="D145" i="7"/>
  <c r="S145" i="7" s="1"/>
  <c r="C145" i="7"/>
  <c r="G144" i="7"/>
  <c r="V144" i="7" s="1"/>
  <c r="F144" i="7"/>
  <c r="U144" i="7" s="1"/>
  <c r="E144" i="7"/>
  <c r="T144" i="7" s="1"/>
  <c r="D144" i="7"/>
  <c r="S144" i="7" s="1"/>
  <c r="C144" i="7"/>
  <c r="R144" i="7" s="1"/>
  <c r="W144" i="7" s="1"/>
  <c r="G143" i="7"/>
  <c r="V143" i="7" s="1"/>
  <c r="F143" i="7"/>
  <c r="U143" i="7" s="1"/>
  <c r="E143" i="7"/>
  <c r="T143" i="7" s="1"/>
  <c r="D143" i="7"/>
  <c r="S143" i="7" s="1"/>
  <c r="C143" i="7"/>
  <c r="G142" i="7"/>
  <c r="V142" i="7" s="1"/>
  <c r="F142" i="7"/>
  <c r="U142" i="7" s="1"/>
  <c r="E142" i="7"/>
  <c r="T142" i="7" s="1"/>
  <c r="D142" i="7"/>
  <c r="S142" i="7" s="1"/>
  <c r="C142" i="7"/>
  <c r="R142" i="7" s="1"/>
  <c r="W142" i="7" s="1"/>
  <c r="G141" i="7"/>
  <c r="V141" i="7" s="1"/>
  <c r="F141" i="7"/>
  <c r="U141" i="7" s="1"/>
  <c r="E141" i="7"/>
  <c r="T141" i="7" s="1"/>
  <c r="D141" i="7"/>
  <c r="S141" i="7" s="1"/>
  <c r="C141" i="7"/>
  <c r="R141" i="7" s="1"/>
  <c r="W141" i="7" s="1"/>
  <c r="G140" i="7"/>
  <c r="V140" i="7" s="1"/>
  <c r="F140" i="7"/>
  <c r="U140" i="7" s="1"/>
  <c r="E140" i="7"/>
  <c r="T140" i="7" s="1"/>
  <c r="D140" i="7"/>
  <c r="S140" i="7" s="1"/>
  <c r="C140" i="7"/>
  <c r="R140" i="7" s="1"/>
  <c r="W140" i="7" s="1"/>
  <c r="G139" i="7"/>
  <c r="V139" i="7" s="1"/>
  <c r="F139" i="7"/>
  <c r="U139" i="7" s="1"/>
  <c r="E139" i="7"/>
  <c r="T139" i="7" s="1"/>
  <c r="D139" i="7"/>
  <c r="S139" i="7" s="1"/>
  <c r="C139" i="7"/>
  <c r="R139" i="7" s="1"/>
  <c r="W139" i="7" s="1"/>
  <c r="G138" i="7"/>
  <c r="V138" i="7" s="1"/>
  <c r="F138" i="7"/>
  <c r="U138" i="7" s="1"/>
  <c r="E138" i="7"/>
  <c r="T138" i="7" s="1"/>
  <c r="D138" i="7"/>
  <c r="S138" i="7" s="1"/>
  <c r="C138" i="7"/>
  <c r="R138" i="7" s="1"/>
  <c r="W138" i="7" s="1"/>
  <c r="G137" i="7"/>
  <c r="V137" i="7" s="1"/>
  <c r="F137" i="7"/>
  <c r="U137" i="7" s="1"/>
  <c r="E137" i="7"/>
  <c r="T137" i="7" s="1"/>
  <c r="D137" i="7"/>
  <c r="S137" i="7" s="1"/>
  <c r="C137" i="7"/>
  <c r="R137" i="7" s="1"/>
  <c r="W137" i="7" s="1"/>
  <c r="G136" i="7"/>
  <c r="V136" i="7" s="1"/>
  <c r="F136" i="7"/>
  <c r="U136" i="7" s="1"/>
  <c r="E136" i="7"/>
  <c r="T136" i="7" s="1"/>
  <c r="D136" i="7"/>
  <c r="S136" i="7" s="1"/>
  <c r="C136" i="7"/>
  <c r="R136" i="7" s="1"/>
  <c r="W136" i="7" s="1"/>
  <c r="G135" i="7"/>
  <c r="V135" i="7" s="1"/>
  <c r="F135" i="7"/>
  <c r="U135" i="7" s="1"/>
  <c r="E135" i="7"/>
  <c r="T135" i="7" s="1"/>
  <c r="D135" i="7"/>
  <c r="S135" i="7" s="1"/>
  <c r="C135" i="7"/>
  <c r="G134" i="7"/>
  <c r="V134" i="7" s="1"/>
  <c r="F134" i="7"/>
  <c r="U134" i="7" s="1"/>
  <c r="E134" i="7"/>
  <c r="T134" i="7" s="1"/>
  <c r="D134" i="7"/>
  <c r="S134" i="7" s="1"/>
  <c r="C134" i="7"/>
  <c r="R134" i="7" s="1"/>
  <c r="W134" i="7" s="1"/>
  <c r="G133" i="7"/>
  <c r="V133" i="7" s="1"/>
  <c r="F133" i="7"/>
  <c r="U133" i="7" s="1"/>
  <c r="E133" i="7"/>
  <c r="T133" i="7" s="1"/>
  <c r="D133" i="7"/>
  <c r="S133" i="7" s="1"/>
  <c r="C133" i="7"/>
  <c r="G132" i="7"/>
  <c r="V132" i="7" s="1"/>
  <c r="F132" i="7"/>
  <c r="U132" i="7" s="1"/>
  <c r="E132" i="7"/>
  <c r="T132" i="7" s="1"/>
  <c r="D132" i="7"/>
  <c r="S132" i="7" s="1"/>
  <c r="C132" i="7"/>
  <c r="R132" i="7" s="1"/>
  <c r="W132" i="7" s="1"/>
  <c r="G131" i="7"/>
  <c r="V131" i="7" s="1"/>
  <c r="F131" i="7"/>
  <c r="U131" i="7" s="1"/>
  <c r="E131" i="7"/>
  <c r="T131" i="7" s="1"/>
  <c r="D131" i="7"/>
  <c r="S131" i="7" s="1"/>
  <c r="C131" i="7"/>
  <c r="G130" i="7"/>
  <c r="V130" i="7" s="1"/>
  <c r="F130" i="7"/>
  <c r="U130" i="7" s="1"/>
  <c r="E130" i="7"/>
  <c r="T130" i="7" s="1"/>
  <c r="D130" i="7"/>
  <c r="S130" i="7" s="1"/>
  <c r="C130" i="7"/>
  <c r="R130" i="7" s="1"/>
  <c r="W130" i="7" s="1"/>
  <c r="G129" i="7"/>
  <c r="V129" i="7" s="1"/>
  <c r="F129" i="7"/>
  <c r="U129" i="7" s="1"/>
  <c r="E129" i="7"/>
  <c r="T129" i="7" s="1"/>
  <c r="D129" i="7"/>
  <c r="S129" i="7" s="1"/>
  <c r="C129" i="7"/>
  <c r="R129" i="7" s="1"/>
  <c r="W129" i="7" s="1"/>
  <c r="G128" i="7"/>
  <c r="V128" i="7" s="1"/>
  <c r="F128" i="7"/>
  <c r="U128" i="7" s="1"/>
  <c r="E128" i="7"/>
  <c r="T128" i="7" s="1"/>
  <c r="D128" i="7"/>
  <c r="S128" i="7" s="1"/>
  <c r="C128" i="7"/>
  <c r="R128" i="7" s="1"/>
  <c r="W128" i="7" s="1"/>
  <c r="G127" i="7"/>
  <c r="V127" i="7" s="1"/>
  <c r="F127" i="7"/>
  <c r="U127" i="7" s="1"/>
  <c r="E127" i="7"/>
  <c r="T127" i="7" s="1"/>
  <c r="D127" i="7"/>
  <c r="S127" i="7" s="1"/>
  <c r="C127" i="7"/>
  <c r="R127" i="7" s="1"/>
  <c r="W127" i="7" s="1"/>
  <c r="G126" i="7"/>
  <c r="V126" i="7" s="1"/>
  <c r="F126" i="7"/>
  <c r="U126" i="7" s="1"/>
  <c r="E126" i="7"/>
  <c r="T126" i="7" s="1"/>
  <c r="D126" i="7"/>
  <c r="S126" i="7" s="1"/>
  <c r="C126" i="7"/>
  <c r="R126" i="7" s="1"/>
  <c r="W126" i="7" s="1"/>
  <c r="G125" i="7"/>
  <c r="V125" i="7" s="1"/>
  <c r="F125" i="7"/>
  <c r="U125" i="7" s="1"/>
  <c r="E125" i="7"/>
  <c r="T125" i="7" s="1"/>
  <c r="D125" i="7"/>
  <c r="S125" i="7" s="1"/>
  <c r="C125" i="7"/>
  <c r="R125" i="7" s="1"/>
  <c r="W125" i="7" s="1"/>
  <c r="G124" i="7"/>
  <c r="V124" i="7" s="1"/>
  <c r="F124" i="7"/>
  <c r="U124" i="7" s="1"/>
  <c r="E124" i="7"/>
  <c r="T124" i="7" s="1"/>
  <c r="D124" i="7"/>
  <c r="S124" i="7" s="1"/>
  <c r="C124" i="7"/>
  <c r="R124" i="7" s="1"/>
  <c r="W124" i="7" s="1"/>
  <c r="G123" i="7"/>
  <c r="V123" i="7" s="1"/>
  <c r="F123" i="7"/>
  <c r="U123" i="7" s="1"/>
  <c r="E123" i="7"/>
  <c r="T123" i="7" s="1"/>
  <c r="D123" i="7"/>
  <c r="S123" i="7" s="1"/>
  <c r="C123" i="7"/>
  <c r="G122" i="7"/>
  <c r="V122" i="7" s="1"/>
  <c r="F122" i="7"/>
  <c r="U122" i="7" s="1"/>
  <c r="E122" i="7"/>
  <c r="T122" i="7" s="1"/>
  <c r="D122" i="7"/>
  <c r="S122" i="7" s="1"/>
  <c r="C122" i="7"/>
  <c r="R122" i="7" s="1"/>
  <c r="W122" i="7" s="1"/>
  <c r="G121" i="7"/>
  <c r="V121" i="7" s="1"/>
  <c r="F121" i="7"/>
  <c r="U121" i="7" s="1"/>
  <c r="E121" i="7"/>
  <c r="T121" i="7" s="1"/>
  <c r="D121" i="7"/>
  <c r="S121" i="7" s="1"/>
  <c r="C121" i="7"/>
  <c r="G120" i="7"/>
  <c r="V120" i="7" s="1"/>
  <c r="F120" i="7"/>
  <c r="U120" i="7" s="1"/>
  <c r="E120" i="7"/>
  <c r="T120" i="7" s="1"/>
  <c r="D120" i="7"/>
  <c r="S120" i="7" s="1"/>
  <c r="C120" i="7"/>
  <c r="R120" i="7" s="1"/>
  <c r="W120" i="7" s="1"/>
  <c r="G119" i="7"/>
  <c r="V119" i="7" s="1"/>
  <c r="F119" i="7"/>
  <c r="U119" i="7" s="1"/>
  <c r="E119" i="7"/>
  <c r="T119" i="7" s="1"/>
  <c r="D119" i="7"/>
  <c r="S119" i="7" s="1"/>
  <c r="C119" i="7"/>
  <c r="G118" i="7"/>
  <c r="V118" i="7" s="1"/>
  <c r="F118" i="7"/>
  <c r="U118" i="7" s="1"/>
  <c r="E118" i="7"/>
  <c r="T118" i="7" s="1"/>
  <c r="D118" i="7"/>
  <c r="S118" i="7" s="1"/>
  <c r="C118" i="7"/>
  <c r="R118" i="7" s="1"/>
  <c r="W118" i="7" s="1"/>
  <c r="G117" i="7"/>
  <c r="V117" i="7" s="1"/>
  <c r="F117" i="7"/>
  <c r="U117" i="7" s="1"/>
  <c r="E117" i="7"/>
  <c r="T117" i="7" s="1"/>
  <c r="D117" i="7"/>
  <c r="S117" i="7" s="1"/>
  <c r="C117" i="7"/>
  <c r="R117" i="7" s="1"/>
  <c r="W117" i="7" s="1"/>
  <c r="G116" i="7"/>
  <c r="V116" i="7" s="1"/>
  <c r="F116" i="7"/>
  <c r="U116" i="7" s="1"/>
  <c r="E116" i="7"/>
  <c r="T116" i="7" s="1"/>
  <c r="D116" i="7"/>
  <c r="S116" i="7" s="1"/>
  <c r="C116" i="7"/>
  <c r="R116" i="7" s="1"/>
  <c r="W116" i="7" s="1"/>
  <c r="G115" i="7"/>
  <c r="V115" i="7" s="1"/>
  <c r="F115" i="7"/>
  <c r="U115" i="7" s="1"/>
  <c r="E115" i="7"/>
  <c r="T115" i="7" s="1"/>
  <c r="D115" i="7"/>
  <c r="S115" i="7" s="1"/>
  <c r="C115" i="7"/>
  <c r="R115" i="7" s="1"/>
  <c r="W115" i="7" s="1"/>
  <c r="G114" i="7"/>
  <c r="V114" i="7" s="1"/>
  <c r="F114" i="7"/>
  <c r="U114" i="7" s="1"/>
  <c r="E114" i="7"/>
  <c r="T114" i="7" s="1"/>
  <c r="D114" i="7"/>
  <c r="S114" i="7" s="1"/>
  <c r="C114" i="7"/>
  <c r="R114" i="7" s="1"/>
  <c r="W114" i="7" s="1"/>
  <c r="G113" i="7"/>
  <c r="V113" i="7" s="1"/>
  <c r="F113" i="7"/>
  <c r="U113" i="7" s="1"/>
  <c r="E113" i="7"/>
  <c r="T113" i="7" s="1"/>
  <c r="D113" i="7"/>
  <c r="S113" i="7" s="1"/>
  <c r="C113" i="7"/>
  <c r="R113" i="7" s="1"/>
  <c r="W113" i="7" s="1"/>
  <c r="G112" i="7"/>
  <c r="V112" i="7" s="1"/>
  <c r="F112" i="7"/>
  <c r="U112" i="7" s="1"/>
  <c r="E112" i="7"/>
  <c r="T112" i="7" s="1"/>
  <c r="D112" i="7"/>
  <c r="S112" i="7" s="1"/>
  <c r="C112" i="7"/>
  <c r="R112" i="7" s="1"/>
  <c r="W112" i="7" s="1"/>
  <c r="G111" i="7"/>
  <c r="V111" i="7" s="1"/>
  <c r="F111" i="7"/>
  <c r="U111" i="7" s="1"/>
  <c r="E111" i="7"/>
  <c r="T111" i="7" s="1"/>
  <c r="D111" i="7"/>
  <c r="S111" i="7" s="1"/>
  <c r="C111" i="7"/>
  <c r="G110" i="7"/>
  <c r="V110" i="7" s="1"/>
  <c r="F110" i="7"/>
  <c r="U110" i="7" s="1"/>
  <c r="E110" i="7"/>
  <c r="T110" i="7" s="1"/>
  <c r="D110" i="7"/>
  <c r="S110" i="7" s="1"/>
  <c r="C110" i="7"/>
  <c r="R110" i="7" s="1"/>
  <c r="W110" i="7" s="1"/>
  <c r="G109" i="7"/>
  <c r="V109" i="7" s="1"/>
  <c r="F109" i="7"/>
  <c r="U109" i="7" s="1"/>
  <c r="E109" i="7"/>
  <c r="T109" i="7" s="1"/>
  <c r="D109" i="7"/>
  <c r="S109" i="7" s="1"/>
  <c r="C109" i="7"/>
  <c r="R109" i="7" s="1"/>
  <c r="W109" i="7" s="1"/>
  <c r="G108" i="7"/>
  <c r="V108" i="7" s="1"/>
  <c r="F108" i="7"/>
  <c r="U108" i="7" s="1"/>
  <c r="E108" i="7"/>
  <c r="T108" i="7" s="1"/>
  <c r="D108" i="7"/>
  <c r="S108" i="7" s="1"/>
  <c r="C108" i="7"/>
  <c r="R108" i="7" s="1"/>
  <c r="W108" i="7" s="1"/>
  <c r="G107" i="7"/>
  <c r="V107" i="7" s="1"/>
  <c r="F107" i="7"/>
  <c r="U107" i="7" s="1"/>
  <c r="E107" i="7"/>
  <c r="T107" i="7" s="1"/>
  <c r="D107" i="7"/>
  <c r="S107" i="7" s="1"/>
  <c r="C107" i="7"/>
  <c r="G106" i="7"/>
  <c r="V106" i="7" s="1"/>
  <c r="F106" i="7"/>
  <c r="U106" i="7" s="1"/>
  <c r="E106" i="7"/>
  <c r="T106" i="7" s="1"/>
  <c r="D106" i="7"/>
  <c r="S106" i="7" s="1"/>
  <c r="C106" i="7"/>
  <c r="R106" i="7" s="1"/>
  <c r="W106" i="7" s="1"/>
  <c r="G105" i="7"/>
  <c r="V105" i="7" s="1"/>
  <c r="F105" i="7"/>
  <c r="U105" i="7" s="1"/>
  <c r="E105" i="7"/>
  <c r="T105" i="7" s="1"/>
  <c r="D105" i="7"/>
  <c r="S105" i="7" s="1"/>
  <c r="C105" i="7"/>
  <c r="R105" i="7" s="1"/>
  <c r="W105" i="7" s="1"/>
  <c r="G104" i="7"/>
  <c r="V104" i="7" s="1"/>
  <c r="F104" i="7"/>
  <c r="U104" i="7" s="1"/>
  <c r="E104" i="7"/>
  <c r="T104" i="7" s="1"/>
  <c r="D104" i="7"/>
  <c r="S104" i="7" s="1"/>
  <c r="C104" i="7"/>
  <c r="R104" i="7" s="1"/>
  <c r="W104" i="7" s="1"/>
  <c r="G103" i="7"/>
  <c r="V103" i="7" s="1"/>
  <c r="F103" i="7"/>
  <c r="U103" i="7" s="1"/>
  <c r="E103" i="7"/>
  <c r="T103" i="7" s="1"/>
  <c r="D103" i="7"/>
  <c r="S103" i="7" s="1"/>
  <c r="C103" i="7"/>
  <c r="R103" i="7" s="1"/>
  <c r="W103" i="7" s="1"/>
  <c r="G102" i="7"/>
  <c r="V102" i="7" s="1"/>
  <c r="F102" i="7"/>
  <c r="U102" i="7" s="1"/>
  <c r="E102" i="7"/>
  <c r="T102" i="7" s="1"/>
  <c r="D102" i="7"/>
  <c r="S102" i="7" s="1"/>
  <c r="C102" i="7"/>
  <c r="R102" i="7" s="1"/>
  <c r="W102" i="7" s="1"/>
  <c r="G101" i="7"/>
  <c r="V101" i="7" s="1"/>
  <c r="F101" i="7"/>
  <c r="U101" i="7" s="1"/>
  <c r="E101" i="7"/>
  <c r="T101" i="7" s="1"/>
  <c r="D101" i="7"/>
  <c r="S101" i="7" s="1"/>
  <c r="C101" i="7"/>
  <c r="R101" i="7" s="1"/>
  <c r="W101" i="7" s="1"/>
  <c r="G100" i="7"/>
  <c r="V100" i="7" s="1"/>
  <c r="F100" i="7"/>
  <c r="U100" i="7" s="1"/>
  <c r="E100" i="7"/>
  <c r="T100" i="7" s="1"/>
  <c r="D100" i="7"/>
  <c r="S100" i="7" s="1"/>
  <c r="C100" i="7"/>
  <c r="R100" i="7" s="1"/>
  <c r="W100" i="7" s="1"/>
  <c r="G99" i="7"/>
  <c r="V99" i="7" s="1"/>
  <c r="F99" i="7"/>
  <c r="U99" i="7" s="1"/>
  <c r="E99" i="7"/>
  <c r="T99" i="7" s="1"/>
  <c r="D99" i="7"/>
  <c r="S99" i="7" s="1"/>
  <c r="C99" i="7"/>
  <c r="G98" i="7"/>
  <c r="V98" i="7" s="1"/>
  <c r="F98" i="7"/>
  <c r="U98" i="7" s="1"/>
  <c r="E98" i="7"/>
  <c r="T98" i="7" s="1"/>
  <c r="D98" i="7"/>
  <c r="S98" i="7" s="1"/>
  <c r="C98" i="7"/>
  <c r="R98" i="7" s="1"/>
  <c r="W98" i="7" s="1"/>
  <c r="G97" i="7"/>
  <c r="V97" i="7" s="1"/>
  <c r="F97" i="7"/>
  <c r="U97" i="7" s="1"/>
  <c r="E97" i="7"/>
  <c r="T97" i="7" s="1"/>
  <c r="D97" i="7"/>
  <c r="S97" i="7" s="1"/>
  <c r="C97" i="7"/>
  <c r="R97" i="7" s="1"/>
  <c r="W97" i="7" s="1"/>
  <c r="G96" i="7"/>
  <c r="V96" i="7" s="1"/>
  <c r="F96" i="7"/>
  <c r="U96" i="7" s="1"/>
  <c r="E96" i="7"/>
  <c r="T96" i="7" s="1"/>
  <c r="D96" i="7"/>
  <c r="S96" i="7" s="1"/>
  <c r="C96" i="7"/>
  <c r="R96" i="7" s="1"/>
  <c r="W96" i="7" s="1"/>
  <c r="G95" i="7"/>
  <c r="V95" i="7" s="1"/>
  <c r="F95" i="7"/>
  <c r="U95" i="7" s="1"/>
  <c r="E95" i="7"/>
  <c r="T95" i="7" s="1"/>
  <c r="D95" i="7"/>
  <c r="S95" i="7" s="1"/>
  <c r="C95" i="7"/>
  <c r="G94" i="7"/>
  <c r="V94" i="7" s="1"/>
  <c r="F94" i="7"/>
  <c r="U94" i="7" s="1"/>
  <c r="E94" i="7"/>
  <c r="T94" i="7" s="1"/>
  <c r="D94" i="7"/>
  <c r="S94" i="7" s="1"/>
  <c r="C94" i="7"/>
  <c r="R94" i="7" s="1"/>
  <c r="W94" i="7" s="1"/>
  <c r="G93" i="7"/>
  <c r="V93" i="7" s="1"/>
  <c r="F93" i="7"/>
  <c r="U93" i="7" s="1"/>
  <c r="E93" i="7"/>
  <c r="T93" i="7" s="1"/>
  <c r="D93" i="7"/>
  <c r="S93" i="7" s="1"/>
  <c r="C93" i="7"/>
  <c r="R93" i="7" s="1"/>
  <c r="W93" i="7" s="1"/>
  <c r="G92" i="7"/>
  <c r="V92" i="7" s="1"/>
  <c r="F92" i="7"/>
  <c r="U92" i="7" s="1"/>
  <c r="E92" i="7"/>
  <c r="T92" i="7" s="1"/>
  <c r="D92" i="7"/>
  <c r="S92" i="7" s="1"/>
  <c r="C92" i="7"/>
  <c r="R92" i="7" s="1"/>
  <c r="W92" i="7" s="1"/>
  <c r="G91" i="7"/>
  <c r="V91" i="7" s="1"/>
  <c r="F91" i="7"/>
  <c r="U91" i="7" s="1"/>
  <c r="E91" i="7"/>
  <c r="T91" i="7" s="1"/>
  <c r="D91" i="7"/>
  <c r="S91" i="7" s="1"/>
  <c r="C91" i="7"/>
  <c r="R91" i="7" s="1"/>
  <c r="W91" i="7" s="1"/>
  <c r="G90" i="7"/>
  <c r="V90" i="7" s="1"/>
  <c r="F90" i="7"/>
  <c r="U90" i="7" s="1"/>
  <c r="E90" i="7"/>
  <c r="T90" i="7" s="1"/>
  <c r="D90" i="7"/>
  <c r="S90" i="7" s="1"/>
  <c r="C90" i="7"/>
  <c r="R90" i="7" s="1"/>
  <c r="W90" i="7" s="1"/>
  <c r="G89" i="7"/>
  <c r="V89" i="7" s="1"/>
  <c r="F89" i="7"/>
  <c r="U89" i="7" s="1"/>
  <c r="E89" i="7"/>
  <c r="T89" i="7" s="1"/>
  <c r="D89" i="7"/>
  <c r="S89" i="7" s="1"/>
  <c r="C89" i="7"/>
  <c r="R89" i="7" s="1"/>
  <c r="W89" i="7" s="1"/>
  <c r="G88" i="7"/>
  <c r="V88" i="7" s="1"/>
  <c r="F88" i="7"/>
  <c r="U88" i="7" s="1"/>
  <c r="E88" i="7"/>
  <c r="T88" i="7" s="1"/>
  <c r="D88" i="7"/>
  <c r="S88" i="7" s="1"/>
  <c r="C88" i="7"/>
  <c r="R88" i="7" s="1"/>
  <c r="W88" i="7" s="1"/>
  <c r="G87" i="7"/>
  <c r="V87" i="7" s="1"/>
  <c r="F87" i="7"/>
  <c r="U87" i="7" s="1"/>
  <c r="E87" i="7"/>
  <c r="T87" i="7" s="1"/>
  <c r="D87" i="7"/>
  <c r="S87" i="7" s="1"/>
  <c r="C87" i="7"/>
  <c r="G86" i="7"/>
  <c r="V86" i="7" s="1"/>
  <c r="F86" i="7"/>
  <c r="U86" i="7" s="1"/>
  <c r="E86" i="7"/>
  <c r="T86" i="7" s="1"/>
  <c r="D86" i="7"/>
  <c r="S86" i="7" s="1"/>
  <c r="C86" i="7"/>
  <c r="R86" i="7" s="1"/>
  <c r="W86" i="7" s="1"/>
  <c r="G85" i="7"/>
  <c r="V85" i="7" s="1"/>
  <c r="F85" i="7"/>
  <c r="U85" i="7" s="1"/>
  <c r="E85" i="7"/>
  <c r="T85" i="7" s="1"/>
  <c r="D85" i="7"/>
  <c r="S85" i="7" s="1"/>
  <c r="C85" i="7"/>
  <c r="R85" i="7" s="1"/>
  <c r="W85" i="7" s="1"/>
  <c r="G84" i="7"/>
  <c r="V84" i="7" s="1"/>
  <c r="F84" i="7"/>
  <c r="U84" i="7" s="1"/>
  <c r="E84" i="7"/>
  <c r="T84" i="7" s="1"/>
  <c r="D84" i="7"/>
  <c r="S84" i="7" s="1"/>
  <c r="C84" i="7"/>
  <c r="R84" i="7" s="1"/>
  <c r="W84" i="7" s="1"/>
  <c r="G83" i="7"/>
  <c r="V83" i="7" s="1"/>
  <c r="F83" i="7"/>
  <c r="U83" i="7" s="1"/>
  <c r="E83" i="7"/>
  <c r="T83" i="7" s="1"/>
  <c r="D83" i="7"/>
  <c r="S83" i="7" s="1"/>
  <c r="C83" i="7"/>
  <c r="G82" i="7"/>
  <c r="V82" i="7" s="1"/>
  <c r="F82" i="7"/>
  <c r="U82" i="7" s="1"/>
  <c r="E82" i="7"/>
  <c r="T82" i="7" s="1"/>
  <c r="D82" i="7"/>
  <c r="S82" i="7" s="1"/>
  <c r="C82" i="7"/>
  <c r="R82" i="7" s="1"/>
  <c r="W82" i="7" s="1"/>
  <c r="G81" i="7"/>
  <c r="V81" i="7" s="1"/>
  <c r="F81" i="7"/>
  <c r="U81" i="7" s="1"/>
  <c r="E81" i="7"/>
  <c r="T81" i="7" s="1"/>
  <c r="D81" i="7"/>
  <c r="S81" i="7" s="1"/>
  <c r="C81" i="7"/>
  <c r="R81" i="7" s="1"/>
  <c r="W81" i="7" s="1"/>
  <c r="G80" i="7"/>
  <c r="V80" i="7" s="1"/>
  <c r="F80" i="7"/>
  <c r="U80" i="7" s="1"/>
  <c r="E80" i="7"/>
  <c r="T80" i="7" s="1"/>
  <c r="D80" i="7"/>
  <c r="S80" i="7" s="1"/>
  <c r="C80" i="7"/>
  <c r="R80" i="7" s="1"/>
  <c r="W80" i="7" s="1"/>
  <c r="G79" i="7"/>
  <c r="V79" i="7" s="1"/>
  <c r="F79" i="7"/>
  <c r="U79" i="7" s="1"/>
  <c r="E79" i="7"/>
  <c r="T79" i="7" s="1"/>
  <c r="D79" i="7"/>
  <c r="S79" i="7" s="1"/>
  <c r="C79" i="7"/>
  <c r="R79" i="7" s="1"/>
  <c r="W79" i="7" s="1"/>
  <c r="G78" i="7"/>
  <c r="V78" i="7" s="1"/>
  <c r="F78" i="7"/>
  <c r="U78" i="7" s="1"/>
  <c r="E78" i="7"/>
  <c r="T78" i="7" s="1"/>
  <c r="D78" i="7"/>
  <c r="S78" i="7" s="1"/>
  <c r="C78" i="7"/>
  <c r="R78" i="7" s="1"/>
  <c r="W78" i="7" s="1"/>
  <c r="G77" i="7"/>
  <c r="V77" i="7" s="1"/>
  <c r="F77" i="7"/>
  <c r="U77" i="7" s="1"/>
  <c r="E77" i="7"/>
  <c r="T77" i="7" s="1"/>
  <c r="D77" i="7"/>
  <c r="S77" i="7" s="1"/>
  <c r="C77" i="7"/>
  <c r="R77" i="7" s="1"/>
  <c r="W77" i="7" s="1"/>
  <c r="G76" i="7"/>
  <c r="V76" i="7" s="1"/>
  <c r="F76" i="7"/>
  <c r="U76" i="7" s="1"/>
  <c r="E76" i="7"/>
  <c r="T76" i="7" s="1"/>
  <c r="D76" i="7"/>
  <c r="S76" i="7" s="1"/>
  <c r="C76" i="7"/>
  <c r="R76" i="7" s="1"/>
  <c r="W76" i="7" s="1"/>
  <c r="G75" i="7"/>
  <c r="V75" i="7" s="1"/>
  <c r="F75" i="7"/>
  <c r="U75" i="7" s="1"/>
  <c r="E75" i="7"/>
  <c r="T75" i="7" s="1"/>
  <c r="D75" i="7"/>
  <c r="S75" i="7" s="1"/>
  <c r="C75" i="7"/>
  <c r="G74" i="7"/>
  <c r="V74" i="7" s="1"/>
  <c r="F74" i="7"/>
  <c r="U74" i="7" s="1"/>
  <c r="E74" i="7"/>
  <c r="T74" i="7" s="1"/>
  <c r="D74" i="7"/>
  <c r="S74" i="7" s="1"/>
  <c r="C74" i="7"/>
  <c r="R74" i="7" s="1"/>
  <c r="W74" i="7" s="1"/>
  <c r="G73" i="7"/>
  <c r="V73" i="7" s="1"/>
  <c r="F73" i="7"/>
  <c r="U73" i="7" s="1"/>
  <c r="E73" i="7"/>
  <c r="T73" i="7" s="1"/>
  <c r="D73" i="7"/>
  <c r="S73" i="7" s="1"/>
  <c r="C73" i="7"/>
  <c r="R73" i="7" s="1"/>
  <c r="W73" i="7" s="1"/>
  <c r="G72" i="7"/>
  <c r="V72" i="7" s="1"/>
  <c r="F72" i="7"/>
  <c r="U72" i="7" s="1"/>
  <c r="E72" i="7"/>
  <c r="T72" i="7" s="1"/>
  <c r="D72" i="7"/>
  <c r="S72" i="7" s="1"/>
  <c r="C72" i="7"/>
  <c r="R72" i="7" s="1"/>
  <c r="W72" i="7" s="1"/>
  <c r="G71" i="7"/>
  <c r="V71" i="7" s="1"/>
  <c r="F71" i="7"/>
  <c r="U71" i="7" s="1"/>
  <c r="E71" i="7"/>
  <c r="T71" i="7" s="1"/>
  <c r="D71" i="7"/>
  <c r="S71" i="7" s="1"/>
  <c r="C71" i="7"/>
  <c r="G70" i="7"/>
  <c r="V70" i="7" s="1"/>
  <c r="F70" i="7"/>
  <c r="U70" i="7" s="1"/>
  <c r="E70" i="7"/>
  <c r="T70" i="7" s="1"/>
  <c r="D70" i="7"/>
  <c r="S70" i="7" s="1"/>
  <c r="C70" i="7"/>
  <c r="R70" i="7" s="1"/>
  <c r="W70" i="7" s="1"/>
  <c r="G69" i="7"/>
  <c r="V69" i="7" s="1"/>
  <c r="F69" i="7"/>
  <c r="U69" i="7" s="1"/>
  <c r="E69" i="7"/>
  <c r="T69" i="7" s="1"/>
  <c r="D69" i="7"/>
  <c r="S69" i="7" s="1"/>
  <c r="C69" i="7"/>
  <c r="R69" i="7" s="1"/>
  <c r="W69" i="7" s="1"/>
  <c r="G68" i="7"/>
  <c r="V68" i="7" s="1"/>
  <c r="F68" i="7"/>
  <c r="U68" i="7" s="1"/>
  <c r="E68" i="7"/>
  <c r="T68" i="7" s="1"/>
  <c r="D68" i="7"/>
  <c r="S68" i="7" s="1"/>
  <c r="C68" i="7"/>
  <c r="R68" i="7" s="1"/>
  <c r="W68" i="7" s="1"/>
  <c r="G67" i="7"/>
  <c r="V67" i="7" s="1"/>
  <c r="F67" i="7"/>
  <c r="U67" i="7" s="1"/>
  <c r="E67" i="7"/>
  <c r="T67" i="7" s="1"/>
  <c r="D67" i="7"/>
  <c r="S67" i="7" s="1"/>
  <c r="C67" i="7"/>
  <c r="R67" i="7" s="1"/>
  <c r="W67" i="7" s="1"/>
  <c r="G66" i="7"/>
  <c r="V66" i="7" s="1"/>
  <c r="F66" i="7"/>
  <c r="U66" i="7" s="1"/>
  <c r="E66" i="7"/>
  <c r="T66" i="7" s="1"/>
  <c r="D66" i="7"/>
  <c r="S66" i="7" s="1"/>
  <c r="C66" i="7"/>
  <c r="R66" i="7" s="1"/>
  <c r="W66" i="7" s="1"/>
  <c r="G65" i="7"/>
  <c r="V65" i="7" s="1"/>
  <c r="F65" i="7"/>
  <c r="U65" i="7" s="1"/>
  <c r="E65" i="7"/>
  <c r="T65" i="7" s="1"/>
  <c r="D65" i="7"/>
  <c r="S65" i="7" s="1"/>
  <c r="C65" i="7"/>
  <c r="R65" i="7" s="1"/>
  <c r="W65" i="7" s="1"/>
  <c r="G64" i="7"/>
  <c r="V64" i="7" s="1"/>
  <c r="F64" i="7"/>
  <c r="U64" i="7" s="1"/>
  <c r="E64" i="7"/>
  <c r="T64" i="7" s="1"/>
  <c r="D64" i="7"/>
  <c r="S64" i="7" s="1"/>
  <c r="C64" i="7"/>
  <c r="R64" i="7" s="1"/>
  <c r="W64" i="7" s="1"/>
  <c r="G63" i="7"/>
  <c r="V63" i="7" s="1"/>
  <c r="F63" i="7"/>
  <c r="U63" i="7" s="1"/>
  <c r="E63" i="7"/>
  <c r="T63" i="7" s="1"/>
  <c r="D63" i="7"/>
  <c r="S63" i="7" s="1"/>
  <c r="C63" i="7"/>
  <c r="G62" i="7"/>
  <c r="V62" i="7" s="1"/>
  <c r="F62" i="7"/>
  <c r="U62" i="7" s="1"/>
  <c r="E62" i="7"/>
  <c r="T62" i="7" s="1"/>
  <c r="D62" i="7"/>
  <c r="S62" i="7" s="1"/>
  <c r="C62" i="7"/>
  <c r="R62" i="7" s="1"/>
  <c r="W62" i="7" s="1"/>
  <c r="G61" i="7"/>
  <c r="V61" i="7" s="1"/>
  <c r="F61" i="7"/>
  <c r="U61" i="7" s="1"/>
  <c r="E61" i="7"/>
  <c r="T61" i="7" s="1"/>
  <c r="D61" i="7"/>
  <c r="S61" i="7" s="1"/>
  <c r="C61" i="7"/>
  <c r="R61" i="7" s="1"/>
  <c r="W61" i="7" s="1"/>
  <c r="G60" i="7"/>
  <c r="V60" i="7" s="1"/>
  <c r="F60" i="7"/>
  <c r="U60" i="7" s="1"/>
  <c r="E60" i="7"/>
  <c r="T60" i="7" s="1"/>
  <c r="D60" i="7"/>
  <c r="S60" i="7" s="1"/>
  <c r="C60" i="7"/>
  <c r="R60" i="7" s="1"/>
  <c r="W60" i="7" s="1"/>
  <c r="G59" i="7"/>
  <c r="V59" i="7" s="1"/>
  <c r="F59" i="7"/>
  <c r="U59" i="7" s="1"/>
  <c r="E59" i="7"/>
  <c r="T59" i="7" s="1"/>
  <c r="D59" i="7"/>
  <c r="S59" i="7" s="1"/>
  <c r="C59" i="7"/>
  <c r="G58" i="7"/>
  <c r="V58" i="7" s="1"/>
  <c r="F58" i="7"/>
  <c r="U58" i="7" s="1"/>
  <c r="E58" i="7"/>
  <c r="T58" i="7" s="1"/>
  <c r="D58" i="7"/>
  <c r="S58" i="7" s="1"/>
  <c r="C58" i="7"/>
  <c r="R58" i="7" s="1"/>
  <c r="W58" i="7" s="1"/>
  <c r="G57" i="7"/>
  <c r="V57" i="7" s="1"/>
  <c r="F57" i="7"/>
  <c r="U57" i="7" s="1"/>
  <c r="E57" i="7"/>
  <c r="T57" i="7" s="1"/>
  <c r="D57" i="7"/>
  <c r="S57" i="7" s="1"/>
  <c r="C57" i="7"/>
  <c r="R57" i="7" s="1"/>
  <c r="W57" i="7" s="1"/>
  <c r="G56" i="7"/>
  <c r="V56" i="7" s="1"/>
  <c r="F56" i="7"/>
  <c r="U56" i="7" s="1"/>
  <c r="E56" i="7"/>
  <c r="T56" i="7" s="1"/>
  <c r="D56" i="7"/>
  <c r="S56" i="7" s="1"/>
  <c r="C56" i="7"/>
  <c r="R56" i="7" s="1"/>
  <c r="W56" i="7" s="1"/>
  <c r="G55" i="7"/>
  <c r="V55" i="7" s="1"/>
  <c r="F55" i="7"/>
  <c r="U55" i="7" s="1"/>
  <c r="E55" i="7"/>
  <c r="T55" i="7" s="1"/>
  <c r="D55" i="7"/>
  <c r="S55" i="7" s="1"/>
  <c r="C55" i="7"/>
  <c r="R55" i="7" s="1"/>
  <c r="W55" i="7" s="1"/>
  <c r="G54" i="7"/>
  <c r="V54" i="7" s="1"/>
  <c r="F54" i="7"/>
  <c r="U54" i="7" s="1"/>
  <c r="E54" i="7"/>
  <c r="T54" i="7" s="1"/>
  <c r="D54" i="7"/>
  <c r="S54" i="7" s="1"/>
  <c r="C54" i="7"/>
  <c r="R54" i="7" s="1"/>
  <c r="W54" i="7" s="1"/>
  <c r="G53" i="7"/>
  <c r="V53" i="7" s="1"/>
  <c r="F53" i="7"/>
  <c r="U53" i="7" s="1"/>
  <c r="E53" i="7"/>
  <c r="T53" i="7" s="1"/>
  <c r="D53" i="7"/>
  <c r="S53" i="7" s="1"/>
  <c r="C53" i="7"/>
  <c r="R53" i="7" s="1"/>
  <c r="W53" i="7" s="1"/>
  <c r="G52" i="7"/>
  <c r="V52" i="7" s="1"/>
  <c r="F52" i="7"/>
  <c r="U52" i="7" s="1"/>
  <c r="E52" i="7"/>
  <c r="T52" i="7" s="1"/>
  <c r="D52" i="7"/>
  <c r="S52" i="7" s="1"/>
  <c r="C52" i="7"/>
  <c r="R52" i="7" s="1"/>
  <c r="W52" i="7" s="1"/>
  <c r="G51" i="7"/>
  <c r="V51" i="7" s="1"/>
  <c r="F51" i="7"/>
  <c r="U51" i="7" s="1"/>
  <c r="E51" i="7"/>
  <c r="T51" i="7" s="1"/>
  <c r="D51" i="7"/>
  <c r="S51" i="7" s="1"/>
  <c r="C51" i="7"/>
  <c r="G50" i="7"/>
  <c r="V50" i="7" s="1"/>
  <c r="F50" i="7"/>
  <c r="U50" i="7" s="1"/>
  <c r="E50" i="7"/>
  <c r="T50" i="7" s="1"/>
  <c r="D50" i="7"/>
  <c r="S50" i="7" s="1"/>
  <c r="C50" i="7"/>
  <c r="R50" i="7" s="1"/>
  <c r="W50" i="7" s="1"/>
  <c r="G49" i="7"/>
  <c r="V49" i="7" s="1"/>
  <c r="F49" i="7"/>
  <c r="U49" i="7" s="1"/>
  <c r="E49" i="7"/>
  <c r="T49" i="7" s="1"/>
  <c r="D49" i="7"/>
  <c r="S49" i="7" s="1"/>
  <c r="C49" i="7"/>
  <c r="R49" i="7" s="1"/>
  <c r="W49" i="7" s="1"/>
  <c r="G48" i="7"/>
  <c r="V48" i="7" s="1"/>
  <c r="F48" i="7"/>
  <c r="U48" i="7" s="1"/>
  <c r="E48" i="7"/>
  <c r="T48" i="7" s="1"/>
  <c r="D48" i="7"/>
  <c r="S48" i="7" s="1"/>
  <c r="C48" i="7"/>
  <c r="R48" i="7" s="1"/>
  <c r="W48" i="7" s="1"/>
  <c r="G47" i="7"/>
  <c r="V47" i="7" s="1"/>
  <c r="F47" i="7"/>
  <c r="U47" i="7" s="1"/>
  <c r="E47" i="7"/>
  <c r="T47" i="7" s="1"/>
  <c r="D47" i="7"/>
  <c r="S47" i="7" s="1"/>
  <c r="C47" i="7"/>
  <c r="G46" i="7"/>
  <c r="V46" i="7" s="1"/>
  <c r="F46" i="7"/>
  <c r="U46" i="7" s="1"/>
  <c r="E46" i="7"/>
  <c r="T46" i="7" s="1"/>
  <c r="D46" i="7"/>
  <c r="S46" i="7" s="1"/>
  <c r="C46" i="7"/>
  <c r="R46" i="7" s="1"/>
  <c r="W46" i="7" s="1"/>
  <c r="Z123" i="1"/>
  <c r="W123" i="1"/>
  <c r="J129" i="1"/>
  <c r="I129" i="1"/>
  <c r="J128" i="1"/>
  <c r="I128" i="1"/>
  <c r="J127" i="1"/>
  <c r="I127" i="1"/>
  <c r="J126" i="1"/>
  <c r="I126" i="1"/>
  <c r="J125" i="1"/>
  <c r="I125" i="1"/>
  <c r="J124" i="1"/>
  <c r="I124" i="1"/>
  <c r="J123" i="1"/>
  <c r="I123" i="1"/>
  <c r="A123" i="1"/>
  <c r="J122" i="1"/>
  <c r="I122" i="1"/>
  <c r="Z115" i="1"/>
  <c r="J121" i="1"/>
  <c r="I121" i="1"/>
  <c r="J120" i="1"/>
  <c r="I120" i="1"/>
  <c r="J119" i="1"/>
  <c r="I119" i="1"/>
  <c r="J118" i="1"/>
  <c r="I118" i="1"/>
  <c r="J117" i="1"/>
  <c r="I117" i="1"/>
  <c r="J116" i="1"/>
  <c r="I116" i="1"/>
  <c r="J115" i="1"/>
  <c r="I115" i="1"/>
  <c r="A115" i="1"/>
  <c r="A116" i="1" s="1"/>
  <c r="J114" i="1"/>
  <c r="I114" i="1"/>
  <c r="K7" i="8"/>
  <c r="K17" i="8"/>
  <c r="J12" i="8"/>
  <c r="J16" i="8"/>
  <c r="J20" i="8"/>
  <c r="K20" i="8"/>
  <c r="J18" i="8"/>
  <c r="J9" i="8"/>
  <c r="J13" i="8"/>
  <c r="J14" i="8"/>
  <c r="J21" i="8"/>
  <c r="K10" i="8"/>
  <c r="K16" i="8"/>
  <c r="F18" i="8"/>
  <c r="F16" i="8"/>
  <c r="F15" i="8"/>
  <c r="F14" i="8"/>
  <c r="F13" i="8"/>
  <c r="F12" i="8"/>
  <c r="F21" i="8"/>
  <c r="F20" i="8"/>
  <c r="E31" i="5"/>
  <c r="E7" i="5"/>
  <c r="E69" i="5"/>
  <c r="E66" i="5"/>
  <c r="E63" i="5"/>
  <c r="E60" i="5"/>
  <c r="E57" i="5"/>
  <c r="E68" i="5"/>
  <c r="E65" i="5"/>
  <c r="E62" i="5"/>
  <c r="E59" i="5"/>
  <c r="E56" i="5"/>
  <c r="E67" i="5"/>
  <c r="E61" i="5"/>
  <c r="E58" i="5"/>
  <c r="E55" i="5"/>
  <c r="E34" i="5"/>
  <c r="E37" i="5"/>
  <c r="E40" i="5"/>
  <c r="E43" i="5"/>
  <c r="E46" i="5"/>
  <c r="E49" i="5"/>
  <c r="E52" i="5"/>
  <c r="E32" i="5"/>
  <c r="E35" i="5"/>
  <c r="E38" i="5"/>
  <c r="E41" i="5"/>
  <c r="E44" i="5"/>
  <c r="E47" i="5"/>
  <c r="E50" i="5"/>
  <c r="E53" i="5"/>
  <c r="E33" i="5"/>
  <c r="E36" i="5"/>
  <c r="E39" i="5"/>
  <c r="E42" i="5"/>
  <c r="E45" i="5"/>
  <c r="E48" i="5"/>
  <c r="E51" i="5"/>
  <c r="E10" i="5"/>
  <c r="E13" i="5"/>
  <c r="E16" i="5"/>
  <c r="E19" i="5"/>
  <c r="E22" i="5"/>
  <c r="E25" i="5"/>
  <c r="E28" i="5"/>
  <c r="E8" i="5"/>
  <c r="E11" i="5"/>
  <c r="E14" i="5"/>
  <c r="E17" i="5"/>
  <c r="E20" i="5"/>
  <c r="E23" i="5"/>
  <c r="E26" i="5"/>
  <c r="E29" i="5"/>
  <c r="E9" i="5"/>
  <c r="E12" i="5"/>
  <c r="E15" i="5"/>
  <c r="E18" i="5"/>
  <c r="E21" i="5"/>
  <c r="E24" i="5"/>
  <c r="E27" i="5"/>
  <c r="F8" i="3"/>
  <c r="D16" i="3"/>
  <c r="D25" i="3"/>
  <c r="C11" i="3"/>
  <c r="C14" i="3"/>
  <c r="C17" i="3"/>
  <c r="C20" i="3"/>
  <c r="C23" i="3"/>
  <c r="C26" i="3"/>
  <c r="D11" i="3"/>
  <c r="D17" i="3"/>
  <c r="D23" i="3"/>
  <c r="E11" i="3"/>
  <c r="E14" i="3"/>
  <c r="E17" i="3"/>
  <c r="E20" i="3"/>
  <c r="E23" i="3"/>
  <c r="E26" i="3"/>
  <c r="F11" i="3"/>
  <c r="F17" i="3"/>
  <c r="F26" i="3"/>
  <c r="C12" i="3"/>
  <c r="C18" i="3"/>
  <c r="C24" i="3"/>
  <c r="D9" i="3"/>
  <c r="D12" i="3"/>
  <c r="D18" i="3"/>
  <c r="D24" i="3"/>
  <c r="E9" i="3"/>
  <c r="E12" i="3"/>
  <c r="E15" i="3"/>
  <c r="E18" i="3"/>
  <c r="E21" i="3"/>
  <c r="E24" i="3"/>
  <c r="E27" i="3"/>
  <c r="E8" i="3"/>
  <c r="F14" i="3"/>
  <c r="F20" i="3"/>
  <c r="F23" i="3"/>
  <c r="C9" i="3"/>
  <c r="C15" i="3"/>
  <c r="C21" i="3"/>
  <c r="C27" i="3"/>
  <c r="D15" i="3"/>
  <c r="D21" i="3"/>
  <c r="D27" i="3"/>
  <c r="F9" i="3"/>
  <c r="F12" i="3"/>
  <c r="F15" i="3"/>
  <c r="F18" i="3"/>
  <c r="F21" i="3"/>
  <c r="F24" i="3"/>
  <c r="F27" i="3"/>
  <c r="C8" i="3"/>
  <c r="D14" i="3"/>
  <c r="D20" i="3"/>
  <c r="D26" i="3"/>
  <c r="D8" i="3"/>
  <c r="C10" i="3"/>
  <c r="C13" i="3"/>
  <c r="C16" i="3"/>
  <c r="C19" i="3"/>
  <c r="C22" i="3"/>
  <c r="C25" i="3"/>
  <c r="C28" i="3"/>
  <c r="D10" i="3"/>
  <c r="D13" i="3"/>
  <c r="D19" i="3"/>
  <c r="D22" i="3"/>
  <c r="D28" i="3"/>
  <c r="E10" i="3"/>
  <c r="E13" i="3"/>
  <c r="E16" i="3"/>
  <c r="E19" i="3"/>
  <c r="E22" i="3"/>
  <c r="E25" i="3"/>
  <c r="E28" i="3"/>
  <c r="F10" i="3"/>
  <c r="F13" i="3"/>
  <c r="F16" i="3"/>
  <c r="F19" i="3"/>
  <c r="F22" i="3"/>
  <c r="F25" i="3"/>
  <c r="F28" i="3"/>
  <c r="F29" i="3"/>
  <c r="E29" i="3"/>
  <c r="D29" i="3"/>
  <c r="C29" i="3"/>
  <c r="G7" i="8" l="1"/>
  <c r="H7" i="8" s="1"/>
  <c r="L6" i="8"/>
  <c r="L2" i="8"/>
  <c r="G20" i="8"/>
  <c r="H20" i="8" s="1"/>
  <c r="G21" i="8"/>
  <c r="H21" i="8" s="1"/>
  <c r="G12" i="8"/>
  <c r="H12" i="8" s="1"/>
  <c r="G13" i="8"/>
  <c r="H13" i="8" s="1"/>
  <c r="G14" i="8"/>
  <c r="H14" i="8" s="1"/>
  <c r="G15" i="8"/>
  <c r="H15" i="8" s="1"/>
  <c r="G16" i="8"/>
  <c r="H16" i="8" s="1"/>
  <c r="G18" i="8"/>
  <c r="H18" i="8" s="1"/>
  <c r="F2" i="5"/>
  <c r="F6" i="5"/>
  <c r="B29" i="3"/>
  <c r="AI380" i="1"/>
  <c r="K383" i="1"/>
  <c r="AH381" i="1"/>
  <c r="M381" i="1"/>
  <c r="N381" i="1" s="1"/>
  <c r="AI382" i="1"/>
  <c r="AJ382" i="1" s="1"/>
  <c r="M348" i="1"/>
  <c r="AH371" i="1"/>
  <c r="K373" i="1"/>
  <c r="M371" i="1"/>
  <c r="K349" i="1"/>
  <c r="AH349" i="1" s="1"/>
  <c r="AH357" i="1"/>
  <c r="K363" i="1"/>
  <c r="AH372" i="1" s="1"/>
  <c r="M361" i="1"/>
  <c r="N315" i="1"/>
  <c r="AI315" i="1" s="1"/>
  <c r="AJ315" i="1" s="1"/>
  <c r="M342" i="1"/>
  <c r="K341" i="1"/>
  <c r="M340" i="1"/>
  <c r="AH327" i="1"/>
  <c r="K328" i="1"/>
  <c r="AH337" i="1" s="1"/>
  <c r="M327" i="1"/>
  <c r="AH325" i="1"/>
  <c r="M325" i="1"/>
  <c r="N325" i="1" s="1"/>
  <c r="K319" i="1"/>
  <c r="AH318" i="1"/>
  <c r="M318" i="1"/>
  <c r="M312" i="1"/>
  <c r="K311" i="1"/>
  <c r="M310" i="1"/>
  <c r="M302" i="1"/>
  <c r="K301" i="1"/>
  <c r="AH310" i="1" s="1"/>
  <c r="M300" i="1"/>
  <c r="AH277" i="1"/>
  <c r="AH286" i="1"/>
  <c r="K291" i="1"/>
  <c r="AH300" i="1" s="1"/>
  <c r="M290" i="1"/>
  <c r="M292" i="1"/>
  <c r="AH275" i="1"/>
  <c r="K278" i="1"/>
  <c r="AH287" i="1" s="1"/>
  <c r="M277" i="1"/>
  <c r="M275" i="1"/>
  <c r="N285" i="1" s="1"/>
  <c r="AI285" i="1" s="1"/>
  <c r="AJ285" i="1" s="1"/>
  <c r="B27" i="5"/>
  <c r="B28" i="5"/>
  <c r="J7" i="3"/>
  <c r="B27" i="3"/>
  <c r="B28" i="3"/>
  <c r="AH266" i="1"/>
  <c r="M266" i="1"/>
  <c r="AH268" i="1"/>
  <c r="K269" i="1"/>
  <c r="M268" i="1"/>
  <c r="AH247" i="1"/>
  <c r="K261" i="1"/>
  <c r="M260" i="1"/>
  <c r="AH249" i="1"/>
  <c r="K248" i="1"/>
  <c r="AH256" i="1" s="1"/>
  <c r="K250" i="1"/>
  <c r="M249" i="1"/>
  <c r="AH230" i="1"/>
  <c r="AH241" i="1"/>
  <c r="K242" i="1"/>
  <c r="AH239" i="1"/>
  <c r="AH231" i="1"/>
  <c r="AH232" i="1"/>
  <c r="K233" i="1"/>
  <c r="M230" i="1"/>
  <c r="M232" i="1"/>
  <c r="AH162" i="1"/>
  <c r="AH154" i="1"/>
  <c r="AH138" i="1"/>
  <c r="M213" i="1"/>
  <c r="AH221" i="1"/>
  <c r="K147" i="1"/>
  <c r="AA147" i="1" s="1"/>
  <c r="AH146" i="1"/>
  <c r="K131" i="1"/>
  <c r="M131" i="1" s="1"/>
  <c r="AH130" i="1"/>
  <c r="K195" i="1"/>
  <c r="K196" i="1" s="1"/>
  <c r="AH194" i="1"/>
  <c r="K123" i="1"/>
  <c r="M123" i="1" s="1"/>
  <c r="AH122" i="1"/>
  <c r="K203" i="1"/>
  <c r="AH211" i="1" s="1"/>
  <c r="AH202" i="1"/>
  <c r="K115" i="1"/>
  <c r="AA115" i="1" s="1"/>
  <c r="AH114" i="1"/>
  <c r="AH178" i="1"/>
  <c r="AH186" i="1"/>
  <c r="AH170" i="1"/>
  <c r="AH222" i="1"/>
  <c r="A225" i="1"/>
  <c r="AH223" i="1"/>
  <c r="K224" i="1"/>
  <c r="R99" i="7"/>
  <c r="R123" i="7"/>
  <c r="R291" i="7"/>
  <c r="S835" i="7"/>
  <c r="AC835" i="7" s="1"/>
  <c r="AH835" i="7" s="1"/>
  <c r="R840" i="7"/>
  <c r="S847" i="7"/>
  <c r="AC847" i="7" s="1"/>
  <c r="AH847" i="7" s="1"/>
  <c r="R852" i="7"/>
  <c r="S859" i="7"/>
  <c r="AC859" i="7" s="1"/>
  <c r="AH859" i="7" s="1"/>
  <c r="R864" i="7"/>
  <c r="S871" i="7"/>
  <c r="AC871" i="7" s="1"/>
  <c r="AH871" i="7" s="1"/>
  <c r="R876" i="7"/>
  <c r="S883" i="7"/>
  <c r="AC883" i="7" s="1"/>
  <c r="AH883" i="7" s="1"/>
  <c r="R888" i="7"/>
  <c r="S895" i="7"/>
  <c r="AC895" i="7" s="1"/>
  <c r="AH895" i="7" s="1"/>
  <c r="R900" i="7"/>
  <c r="S907" i="7"/>
  <c r="AC907" i="7" s="1"/>
  <c r="AH907" i="7" s="1"/>
  <c r="R912" i="7"/>
  <c r="S919" i="7"/>
  <c r="AC919" i="7" s="1"/>
  <c r="AH919" i="7" s="1"/>
  <c r="R924" i="7"/>
  <c r="S931" i="7"/>
  <c r="AC931" i="7" s="1"/>
  <c r="AH931" i="7" s="1"/>
  <c r="R936" i="7"/>
  <c r="S943" i="7"/>
  <c r="AC943" i="7" s="1"/>
  <c r="AH943" i="7" s="1"/>
  <c r="R948" i="7"/>
  <c r="T950" i="7"/>
  <c r="AD950" i="7" s="1"/>
  <c r="AI950" i="7" s="1"/>
  <c r="V952" i="7"/>
  <c r="AF952" i="7" s="1"/>
  <c r="AK952" i="7" s="1"/>
  <c r="S955" i="7"/>
  <c r="AC955" i="7" s="1"/>
  <c r="AH955" i="7" s="1"/>
  <c r="U957" i="7"/>
  <c r="AE957" i="7" s="1"/>
  <c r="AJ957" i="7" s="1"/>
  <c r="R960" i="7"/>
  <c r="T962" i="7"/>
  <c r="AD962" i="7" s="1"/>
  <c r="AI962" i="7" s="1"/>
  <c r="V964" i="7"/>
  <c r="AF964" i="7" s="1"/>
  <c r="AK964" i="7" s="1"/>
  <c r="S967" i="7"/>
  <c r="AC967" i="7" s="1"/>
  <c r="AH967" i="7" s="1"/>
  <c r="U969" i="7"/>
  <c r="AE969" i="7" s="1"/>
  <c r="AJ969" i="7" s="1"/>
  <c r="R972" i="7"/>
  <c r="T974" i="7"/>
  <c r="AD974" i="7" s="1"/>
  <c r="AI974" i="7" s="1"/>
  <c r="V976" i="7"/>
  <c r="AF976" i="7" s="1"/>
  <c r="AK976" i="7" s="1"/>
  <c r="S979" i="7"/>
  <c r="AC979" i="7" s="1"/>
  <c r="AH979" i="7" s="1"/>
  <c r="U981" i="7"/>
  <c r="AE981" i="7" s="1"/>
  <c r="AJ981" i="7" s="1"/>
  <c r="R984" i="7"/>
  <c r="T986" i="7"/>
  <c r="AD986" i="7" s="1"/>
  <c r="AI986" i="7" s="1"/>
  <c r="V988" i="7"/>
  <c r="AF988" i="7" s="1"/>
  <c r="AK988" i="7" s="1"/>
  <c r="R267" i="7"/>
  <c r="R279" i="7"/>
  <c r="R809" i="7"/>
  <c r="T811" i="7"/>
  <c r="AD811" i="7" s="1"/>
  <c r="AI811" i="7" s="1"/>
  <c r="R821" i="7"/>
  <c r="T823" i="7"/>
  <c r="AD823" i="7" s="1"/>
  <c r="AI823" i="7" s="1"/>
  <c r="R833" i="7"/>
  <c r="T835" i="7"/>
  <c r="AD835" i="7" s="1"/>
  <c r="AI835" i="7" s="1"/>
  <c r="R845" i="7"/>
  <c r="T847" i="7"/>
  <c r="AD847" i="7" s="1"/>
  <c r="AI847" i="7" s="1"/>
  <c r="R857" i="7"/>
  <c r="T859" i="7"/>
  <c r="AD859" i="7" s="1"/>
  <c r="AI859" i="7" s="1"/>
  <c r="R869" i="7"/>
  <c r="T871" i="7"/>
  <c r="AD871" i="7" s="1"/>
  <c r="AI871" i="7" s="1"/>
  <c r="R881" i="7"/>
  <c r="T883" i="7"/>
  <c r="AD883" i="7" s="1"/>
  <c r="AI883" i="7" s="1"/>
  <c r="R893" i="7"/>
  <c r="T895" i="7"/>
  <c r="AD895" i="7" s="1"/>
  <c r="AI895" i="7" s="1"/>
  <c r="R905" i="7"/>
  <c r="T907" i="7"/>
  <c r="AD907" i="7" s="1"/>
  <c r="AI907" i="7" s="1"/>
  <c r="R917" i="7"/>
  <c r="T919" i="7"/>
  <c r="AD919" i="7" s="1"/>
  <c r="AI919" i="7" s="1"/>
  <c r="R929" i="7"/>
  <c r="T931" i="7"/>
  <c r="AD931" i="7" s="1"/>
  <c r="AI931" i="7" s="1"/>
  <c r="R941" i="7"/>
  <c r="T943" i="7"/>
  <c r="AD943" i="7" s="1"/>
  <c r="AI943" i="7" s="1"/>
  <c r="S948" i="7"/>
  <c r="AC948" i="7" s="1"/>
  <c r="AH948" i="7" s="1"/>
  <c r="U950" i="7"/>
  <c r="AE950" i="7" s="1"/>
  <c r="AJ950" i="7" s="1"/>
  <c r="R953" i="7"/>
  <c r="T955" i="7"/>
  <c r="AD955" i="7" s="1"/>
  <c r="AI955" i="7" s="1"/>
  <c r="V957" i="7"/>
  <c r="AF957" i="7" s="1"/>
  <c r="AK957" i="7" s="1"/>
  <c r="S960" i="7"/>
  <c r="AC960" i="7" s="1"/>
  <c r="AH960" i="7" s="1"/>
  <c r="U962" i="7"/>
  <c r="AE962" i="7" s="1"/>
  <c r="AJ962" i="7" s="1"/>
  <c r="R965" i="7"/>
  <c r="T967" i="7"/>
  <c r="AD967" i="7" s="1"/>
  <c r="AI967" i="7" s="1"/>
  <c r="V969" i="7"/>
  <c r="AF969" i="7" s="1"/>
  <c r="AK969" i="7" s="1"/>
  <c r="S972" i="7"/>
  <c r="AC972" i="7" s="1"/>
  <c r="AH972" i="7" s="1"/>
  <c r="U974" i="7"/>
  <c r="AE974" i="7" s="1"/>
  <c r="AJ974" i="7" s="1"/>
  <c r="R977" i="7"/>
  <c r="T979" i="7"/>
  <c r="AD979" i="7" s="1"/>
  <c r="AI979" i="7" s="1"/>
  <c r="V981" i="7"/>
  <c r="AF981" i="7" s="1"/>
  <c r="AK981" i="7" s="1"/>
  <c r="S984" i="7"/>
  <c r="AC984" i="7" s="1"/>
  <c r="AH984" i="7" s="1"/>
  <c r="U986" i="7"/>
  <c r="AE986" i="7" s="1"/>
  <c r="AJ986" i="7" s="1"/>
  <c r="R989" i="7"/>
  <c r="R111" i="7"/>
  <c r="R159" i="7"/>
  <c r="R171" i="7"/>
  <c r="U288" i="7"/>
  <c r="AE288" i="7" s="1"/>
  <c r="AJ288" i="7" s="1"/>
  <c r="R315" i="7"/>
  <c r="U324" i="7"/>
  <c r="AE324" i="7" s="1"/>
  <c r="AJ324" i="7" s="1"/>
  <c r="R327" i="7"/>
  <c r="R339" i="7"/>
  <c r="R351" i="7"/>
  <c r="U360" i="7"/>
  <c r="AE360" i="7" s="1"/>
  <c r="AJ360" i="7" s="1"/>
  <c r="R363" i="7"/>
  <c r="R375" i="7"/>
  <c r="R387" i="7"/>
  <c r="U396" i="7"/>
  <c r="AE396" i="7" s="1"/>
  <c r="AJ396" i="7" s="1"/>
  <c r="R399" i="7"/>
  <c r="R411" i="7"/>
  <c r="R423" i="7"/>
  <c r="U432" i="7"/>
  <c r="AE432" i="7" s="1"/>
  <c r="AJ432" i="7" s="1"/>
  <c r="R435" i="7"/>
  <c r="R447" i="7"/>
  <c r="R459" i="7"/>
  <c r="U468" i="7"/>
  <c r="AE468" i="7" s="1"/>
  <c r="AJ468" i="7" s="1"/>
  <c r="R471" i="7"/>
  <c r="S478" i="7"/>
  <c r="AC478" i="7" s="1"/>
  <c r="AH478" i="7" s="1"/>
  <c r="R483" i="7"/>
  <c r="S490" i="7"/>
  <c r="AC490" i="7" s="1"/>
  <c r="AH490" i="7" s="1"/>
  <c r="R495" i="7"/>
  <c r="S502" i="7"/>
  <c r="AC502" i="7" s="1"/>
  <c r="AH502" i="7" s="1"/>
  <c r="R507" i="7"/>
  <c r="S514" i="7"/>
  <c r="AC514" i="7" s="1"/>
  <c r="AH514" i="7" s="1"/>
  <c r="R519" i="7"/>
  <c r="S526" i="7"/>
  <c r="AC526" i="7" s="1"/>
  <c r="AH526" i="7" s="1"/>
  <c r="R531" i="7"/>
  <c r="S538" i="7"/>
  <c r="AC538" i="7" s="1"/>
  <c r="AH538" i="7" s="1"/>
  <c r="R543" i="7"/>
  <c r="S550" i="7"/>
  <c r="AC550" i="7" s="1"/>
  <c r="AH550" i="7" s="1"/>
  <c r="R555" i="7"/>
  <c r="S562" i="7"/>
  <c r="AC562" i="7" s="1"/>
  <c r="AH562" i="7" s="1"/>
  <c r="R567" i="7"/>
  <c r="S574" i="7"/>
  <c r="AC574" i="7" s="1"/>
  <c r="AH574" i="7" s="1"/>
  <c r="R579" i="7"/>
  <c r="S586" i="7"/>
  <c r="AC586" i="7" s="1"/>
  <c r="AH586" i="7" s="1"/>
  <c r="R591" i="7"/>
  <c r="S598" i="7"/>
  <c r="AC598" i="7" s="1"/>
  <c r="AH598" i="7" s="1"/>
  <c r="R603" i="7"/>
  <c r="S610" i="7"/>
  <c r="AC610" i="7" s="1"/>
  <c r="AH610" i="7" s="1"/>
  <c r="R615" i="7"/>
  <c r="S622" i="7"/>
  <c r="R627" i="7"/>
  <c r="S634" i="7"/>
  <c r="AC634" i="7" s="1"/>
  <c r="AH634" i="7" s="1"/>
  <c r="R639" i="7"/>
  <c r="S646" i="7"/>
  <c r="AC646" i="7" s="1"/>
  <c r="AH646" i="7" s="1"/>
  <c r="R651" i="7"/>
  <c r="S658" i="7"/>
  <c r="AC658" i="7" s="1"/>
  <c r="AH658" i="7" s="1"/>
  <c r="R663" i="7"/>
  <c r="S670" i="7"/>
  <c r="AC670" i="7" s="1"/>
  <c r="AH670" i="7" s="1"/>
  <c r="R675" i="7"/>
  <c r="S682" i="7"/>
  <c r="AC682" i="7" s="1"/>
  <c r="AH682" i="7" s="1"/>
  <c r="R687" i="7"/>
  <c r="S694" i="7"/>
  <c r="AC694" i="7" s="1"/>
  <c r="AH694" i="7" s="1"/>
  <c r="R699" i="7"/>
  <c r="S706" i="7"/>
  <c r="AC706" i="7" s="1"/>
  <c r="AH706" i="7" s="1"/>
  <c r="R711" i="7"/>
  <c r="S718" i="7"/>
  <c r="AC718" i="7" s="1"/>
  <c r="AH718" i="7" s="1"/>
  <c r="R723" i="7"/>
  <c r="S730" i="7"/>
  <c r="AC730" i="7" s="1"/>
  <c r="AH730" i="7" s="1"/>
  <c r="R735" i="7"/>
  <c r="S742" i="7"/>
  <c r="AC742" i="7" s="1"/>
  <c r="AH742" i="7" s="1"/>
  <c r="R747" i="7"/>
  <c r="S754" i="7"/>
  <c r="AC754" i="7" s="1"/>
  <c r="AH754" i="7" s="1"/>
  <c r="R759" i="7"/>
  <c r="S766" i="7"/>
  <c r="AC766" i="7" s="1"/>
  <c r="AH766" i="7" s="1"/>
  <c r="R771" i="7"/>
  <c r="S778" i="7"/>
  <c r="AC778" i="7" s="1"/>
  <c r="AH778" i="7" s="1"/>
  <c r="R783" i="7"/>
  <c r="S790" i="7"/>
  <c r="AC790" i="7" s="1"/>
  <c r="AH790" i="7" s="1"/>
  <c r="R795" i="7"/>
  <c r="S802" i="7"/>
  <c r="AC802" i="7" s="1"/>
  <c r="AH802" i="7" s="1"/>
  <c r="R807" i="7"/>
  <c r="S814" i="7"/>
  <c r="AC814" i="7" s="1"/>
  <c r="AH814" i="7" s="1"/>
  <c r="R819" i="7"/>
  <c r="S826" i="7"/>
  <c r="AC826" i="7" s="1"/>
  <c r="AH826" i="7" s="1"/>
  <c r="R831" i="7"/>
  <c r="S838" i="7"/>
  <c r="R843" i="7"/>
  <c r="W843" i="7" s="1"/>
  <c r="S850" i="7"/>
  <c r="AC850" i="7" s="1"/>
  <c r="AH850" i="7" s="1"/>
  <c r="R855" i="7"/>
  <c r="S862" i="7"/>
  <c r="AC862" i="7" s="1"/>
  <c r="AH862" i="7" s="1"/>
  <c r="R867" i="7"/>
  <c r="S874" i="7"/>
  <c r="AC874" i="7" s="1"/>
  <c r="AH874" i="7" s="1"/>
  <c r="R879" i="7"/>
  <c r="S886" i="7"/>
  <c r="AC886" i="7" s="1"/>
  <c r="AH886" i="7" s="1"/>
  <c r="R891" i="7"/>
  <c r="S898" i="7"/>
  <c r="AC898" i="7" s="1"/>
  <c r="AH898" i="7" s="1"/>
  <c r="R903" i="7"/>
  <c r="S910" i="7"/>
  <c r="AC910" i="7" s="1"/>
  <c r="AH910" i="7" s="1"/>
  <c r="R915" i="7"/>
  <c r="S922" i="7"/>
  <c r="AC922" i="7" s="1"/>
  <c r="AH922" i="7" s="1"/>
  <c r="R927" i="7"/>
  <c r="S934" i="7"/>
  <c r="AC934" i="7" s="1"/>
  <c r="AH934" i="7" s="1"/>
  <c r="R939" i="7"/>
  <c r="S946" i="7"/>
  <c r="AC946" i="7" s="1"/>
  <c r="AH946" i="7" s="1"/>
  <c r="U948" i="7"/>
  <c r="AE948" i="7" s="1"/>
  <c r="AJ948" i="7" s="1"/>
  <c r="R951" i="7"/>
  <c r="T953" i="7"/>
  <c r="AD953" i="7" s="1"/>
  <c r="AI953" i="7" s="1"/>
  <c r="V955" i="7"/>
  <c r="AF955" i="7" s="1"/>
  <c r="AK955" i="7" s="1"/>
  <c r="S958" i="7"/>
  <c r="AC958" i="7" s="1"/>
  <c r="AH958" i="7" s="1"/>
  <c r="U960" i="7"/>
  <c r="AE960" i="7" s="1"/>
  <c r="AJ960" i="7" s="1"/>
  <c r="R963" i="7"/>
  <c r="T965" i="7"/>
  <c r="AD965" i="7" s="1"/>
  <c r="AI965" i="7" s="1"/>
  <c r="V967" i="7"/>
  <c r="AF967" i="7" s="1"/>
  <c r="AK967" i="7" s="1"/>
  <c r="S970" i="7"/>
  <c r="AC970" i="7" s="1"/>
  <c r="AH970" i="7" s="1"/>
  <c r="U972" i="7"/>
  <c r="AE972" i="7" s="1"/>
  <c r="AJ972" i="7" s="1"/>
  <c r="R975" i="7"/>
  <c r="T977" i="7"/>
  <c r="AD977" i="7" s="1"/>
  <c r="AI977" i="7" s="1"/>
  <c r="V979" i="7"/>
  <c r="AF979" i="7" s="1"/>
  <c r="AK979" i="7" s="1"/>
  <c r="S982" i="7"/>
  <c r="AC982" i="7" s="1"/>
  <c r="AH982" i="7" s="1"/>
  <c r="U984" i="7"/>
  <c r="AE984" i="7" s="1"/>
  <c r="AJ984" i="7" s="1"/>
  <c r="R987" i="7"/>
  <c r="T989" i="7"/>
  <c r="AD989" i="7" s="1"/>
  <c r="AI989" i="7" s="1"/>
  <c r="R51" i="7"/>
  <c r="R75" i="7"/>
  <c r="R812" i="7"/>
  <c r="T814" i="7"/>
  <c r="AD814" i="7" s="1"/>
  <c r="AI814" i="7" s="1"/>
  <c r="R824" i="7"/>
  <c r="T826" i="7"/>
  <c r="AD826" i="7" s="1"/>
  <c r="AI826" i="7" s="1"/>
  <c r="T850" i="7"/>
  <c r="AD850" i="7" s="1"/>
  <c r="AI850" i="7" s="1"/>
  <c r="T898" i="7"/>
  <c r="AD898" i="7" s="1"/>
  <c r="AI898" i="7" s="1"/>
  <c r="T922" i="7"/>
  <c r="AD922" i="7" s="1"/>
  <c r="AI922" i="7" s="1"/>
  <c r="T934" i="7"/>
  <c r="AD934" i="7" s="1"/>
  <c r="AI934" i="7" s="1"/>
  <c r="R944" i="7"/>
  <c r="V948" i="7"/>
  <c r="AF948" i="7" s="1"/>
  <c r="AK948" i="7" s="1"/>
  <c r="U953" i="7"/>
  <c r="AE953" i="7" s="1"/>
  <c r="AJ953" i="7" s="1"/>
  <c r="T958" i="7"/>
  <c r="AD958" i="7" s="1"/>
  <c r="AI958" i="7" s="1"/>
  <c r="S963" i="7"/>
  <c r="AC963" i="7" s="1"/>
  <c r="AH963" i="7" s="1"/>
  <c r="U965" i="7"/>
  <c r="AE965" i="7" s="1"/>
  <c r="AJ965" i="7" s="1"/>
  <c r="R968" i="7"/>
  <c r="T970" i="7"/>
  <c r="AD970" i="7" s="1"/>
  <c r="AI970" i="7" s="1"/>
  <c r="V972" i="7"/>
  <c r="AF972" i="7" s="1"/>
  <c r="AK972" i="7" s="1"/>
  <c r="S975" i="7"/>
  <c r="AC975" i="7" s="1"/>
  <c r="AH975" i="7" s="1"/>
  <c r="R980" i="7"/>
  <c r="W980" i="7" s="1"/>
  <c r="T982" i="7"/>
  <c r="AD982" i="7" s="1"/>
  <c r="AI982" i="7" s="1"/>
  <c r="V984" i="7"/>
  <c r="AF984" i="7" s="1"/>
  <c r="AK984" i="7" s="1"/>
  <c r="S987" i="7"/>
  <c r="AC987" i="7" s="1"/>
  <c r="AH987" i="7" s="1"/>
  <c r="U989" i="7"/>
  <c r="AE989" i="7" s="1"/>
  <c r="AJ989" i="7" s="1"/>
  <c r="R63" i="7"/>
  <c r="R147" i="7"/>
  <c r="R836" i="7"/>
  <c r="T838" i="7"/>
  <c r="AD838" i="7" s="1"/>
  <c r="AI838" i="7" s="1"/>
  <c r="R848" i="7"/>
  <c r="R860" i="7"/>
  <c r="T862" i="7"/>
  <c r="AD862" i="7" s="1"/>
  <c r="AI862" i="7" s="1"/>
  <c r="R872" i="7"/>
  <c r="T874" i="7"/>
  <c r="AD874" i="7" s="1"/>
  <c r="AI874" i="7" s="1"/>
  <c r="R884" i="7"/>
  <c r="T886" i="7"/>
  <c r="AD886" i="7" s="1"/>
  <c r="AI886" i="7" s="1"/>
  <c r="R896" i="7"/>
  <c r="R908" i="7"/>
  <c r="T910" i="7"/>
  <c r="AD910" i="7" s="1"/>
  <c r="AI910" i="7" s="1"/>
  <c r="R920" i="7"/>
  <c r="R932" i="7"/>
  <c r="T946" i="7"/>
  <c r="AD946" i="7" s="1"/>
  <c r="AI946" i="7" s="1"/>
  <c r="S951" i="7"/>
  <c r="AC951" i="7" s="1"/>
  <c r="AH951" i="7" s="1"/>
  <c r="R956" i="7"/>
  <c r="V960" i="7"/>
  <c r="AF960" i="7" s="1"/>
  <c r="AK960" i="7" s="1"/>
  <c r="U977" i="7"/>
  <c r="AE977" i="7" s="1"/>
  <c r="AJ977" i="7" s="1"/>
  <c r="R121" i="7"/>
  <c r="R133" i="7"/>
  <c r="R145" i="7"/>
  <c r="R157" i="7"/>
  <c r="R169" i="7"/>
  <c r="R181" i="7"/>
  <c r="R193" i="7"/>
  <c r="R205" i="7"/>
  <c r="R217" i="7"/>
  <c r="R229" i="7"/>
  <c r="R241" i="7"/>
  <c r="R253" i="7"/>
  <c r="W253" i="7" s="1"/>
  <c r="R265" i="7"/>
  <c r="R277" i="7"/>
  <c r="R289" i="7"/>
  <c r="R301" i="7"/>
  <c r="R313" i="7"/>
  <c r="R325" i="7"/>
  <c r="R337" i="7"/>
  <c r="R349" i="7"/>
  <c r="R361" i="7"/>
  <c r="R373" i="7"/>
  <c r="R385" i="7"/>
  <c r="R397" i="7"/>
  <c r="W397" i="7" s="1"/>
  <c r="R409" i="7"/>
  <c r="R421" i="7"/>
  <c r="R433" i="7"/>
  <c r="R445" i="7"/>
  <c r="R457" i="7"/>
  <c r="R469" i="7"/>
  <c r="R481" i="7"/>
  <c r="R493" i="7"/>
  <c r="R505" i="7"/>
  <c r="R517" i="7"/>
  <c r="R529" i="7"/>
  <c r="R541" i="7"/>
  <c r="R553" i="7"/>
  <c r="R565" i="7"/>
  <c r="R577" i="7"/>
  <c r="R589" i="7"/>
  <c r="R601" i="7"/>
  <c r="R613" i="7"/>
  <c r="R625" i="7"/>
  <c r="R637" i="7"/>
  <c r="R649" i="7"/>
  <c r="W649" i="7" s="1"/>
  <c r="R661" i="7"/>
  <c r="R673" i="7"/>
  <c r="R685" i="7"/>
  <c r="R697" i="7"/>
  <c r="R709" i="7"/>
  <c r="R721" i="7"/>
  <c r="R733" i="7"/>
  <c r="R745" i="7"/>
  <c r="R757" i="7"/>
  <c r="R769" i="7"/>
  <c r="R781" i="7"/>
  <c r="R793" i="7"/>
  <c r="R805" i="7"/>
  <c r="R817" i="7"/>
  <c r="R829" i="7"/>
  <c r="W829" i="7" s="1"/>
  <c r="R841" i="7"/>
  <c r="R853" i="7"/>
  <c r="R865" i="7"/>
  <c r="R877" i="7"/>
  <c r="R889" i="7"/>
  <c r="R901" i="7"/>
  <c r="R913" i="7"/>
  <c r="R925" i="7"/>
  <c r="R937" i="7"/>
  <c r="W937" i="7" s="1"/>
  <c r="U946" i="7"/>
  <c r="AE946" i="7" s="1"/>
  <c r="AJ946" i="7" s="1"/>
  <c r="R949" i="7"/>
  <c r="T951" i="7"/>
  <c r="AD951" i="7" s="1"/>
  <c r="AI951" i="7" s="1"/>
  <c r="V953" i="7"/>
  <c r="AF953" i="7" s="1"/>
  <c r="AK953" i="7" s="1"/>
  <c r="S956" i="7"/>
  <c r="AC956" i="7" s="1"/>
  <c r="AH956" i="7" s="1"/>
  <c r="U958" i="7"/>
  <c r="AE958" i="7" s="1"/>
  <c r="AJ958" i="7" s="1"/>
  <c r="R961" i="7"/>
  <c r="T963" i="7"/>
  <c r="AD963" i="7" s="1"/>
  <c r="AI963" i="7" s="1"/>
  <c r="V965" i="7"/>
  <c r="AF965" i="7" s="1"/>
  <c r="AK965" i="7" s="1"/>
  <c r="S968" i="7"/>
  <c r="AC968" i="7" s="1"/>
  <c r="AH968" i="7" s="1"/>
  <c r="U970" i="7"/>
  <c r="AE970" i="7" s="1"/>
  <c r="AJ970" i="7" s="1"/>
  <c r="R973" i="7"/>
  <c r="T975" i="7"/>
  <c r="AD975" i="7" s="1"/>
  <c r="AI975" i="7" s="1"/>
  <c r="V977" i="7"/>
  <c r="AF977" i="7" s="1"/>
  <c r="AK977" i="7" s="1"/>
  <c r="S980" i="7"/>
  <c r="U982" i="7"/>
  <c r="AE982" i="7" s="1"/>
  <c r="AJ982" i="7" s="1"/>
  <c r="R985" i="7"/>
  <c r="T987" i="7"/>
  <c r="AD987" i="7" s="1"/>
  <c r="AI987" i="7" s="1"/>
  <c r="V989" i="7"/>
  <c r="AF989" i="7" s="1"/>
  <c r="AK989" i="7" s="1"/>
  <c r="R135" i="7"/>
  <c r="R183" i="7"/>
  <c r="R207" i="7"/>
  <c r="R219" i="7"/>
  <c r="R303" i="7"/>
  <c r="S817" i="7"/>
  <c r="AC817" i="7" s="1"/>
  <c r="AH817" i="7" s="1"/>
  <c r="R822" i="7"/>
  <c r="S829" i="7"/>
  <c r="AC829" i="7" s="1"/>
  <c r="AH829" i="7" s="1"/>
  <c r="R834" i="7"/>
  <c r="W834" i="7" s="1"/>
  <c r="S841" i="7"/>
  <c r="X841" i="7" s="1"/>
  <c r="R846" i="7"/>
  <c r="S853" i="7"/>
  <c r="AC853" i="7" s="1"/>
  <c r="AH853" i="7" s="1"/>
  <c r="R858" i="7"/>
  <c r="S865" i="7"/>
  <c r="AC865" i="7" s="1"/>
  <c r="AH865" i="7" s="1"/>
  <c r="R870" i="7"/>
  <c r="S877" i="7"/>
  <c r="X877" i="7" s="1"/>
  <c r="R882" i="7"/>
  <c r="S889" i="7"/>
  <c r="AC889" i="7" s="1"/>
  <c r="AH889" i="7" s="1"/>
  <c r="R894" i="7"/>
  <c r="S901" i="7"/>
  <c r="AC901" i="7" s="1"/>
  <c r="AH901" i="7" s="1"/>
  <c r="R906" i="7"/>
  <c r="W906" i="7" s="1"/>
  <c r="S913" i="7"/>
  <c r="X913" i="7" s="1"/>
  <c r="R918" i="7"/>
  <c r="S925" i="7"/>
  <c r="AC925" i="7" s="1"/>
  <c r="AH925" i="7" s="1"/>
  <c r="R930" i="7"/>
  <c r="S937" i="7"/>
  <c r="AC937" i="7" s="1"/>
  <c r="AH937" i="7" s="1"/>
  <c r="R942" i="7"/>
  <c r="V946" i="7"/>
  <c r="AF946" i="7" s="1"/>
  <c r="AK946" i="7" s="1"/>
  <c r="S949" i="7"/>
  <c r="AC949" i="7" s="1"/>
  <c r="AH949" i="7" s="1"/>
  <c r="U951" i="7"/>
  <c r="AE951" i="7" s="1"/>
  <c r="AJ951" i="7" s="1"/>
  <c r="R954" i="7"/>
  <c r="T956" i="7"/>
  <c r="AD956" i="7" s="1"/>
  <c r="AI956" i="7" s="1"/>
  <c r="V958" i="7"/>
  <c r="AF958" i="7" s="1"/>
  <c r="AK958" i="7" s="1"/>
  <c r="S961" i="7"/>
  <c r="AC961" i="7" s="1"/>
  <c r="AH961" i="7" s="1"/>
  <c r="U963" i="7"/>
  <c r="AE963" i="7" s="1"/>
  <c r="AJ963" i="7" s="1"/>
  <c r="R966" i="7"/>
  <c r="T968" i="7"/>
  <c r="AD968" i="7" s="1"/>
  <c r="AI968" i="7" s="1"/>
  <c r="V970" i="7"/>
  <c r="AA970" i="7" s="1"/>
  <c r="S973" i="7"/>
  <c r="AC973" i="7" s="1"/>
  <c r="AH973" i="7" s="1"/>
  <c r="U975" i="7"/>
  <c r="Z975" i="7" s="1"/>
  <c r="R978" i="7"/>
  <c r="T980" i="7"/>
  <c r="AD980" i="7" s="1"/>
  <c r="AI980" i="7" s="1"/>
  <c r="V982" i="7"/>
  <c r="AF982" i="7" s="1"/>
  <c r="AK982" i="7" s="1"/>
  <c r="S985" i="7"/>
  <c r="AC985" i="7" s="1"/>
  <c r="AH985" i="7" s="1"/>
  <c r="U987" i="7"/>
  <c r="Z987" i="7" s="1"/>
  <c r="R47" i="7"/>
  <c r="R59" i="7"/>
  <c r="R71" i="7"/>
  <c r="R83" i="7"/>
  <c r="R95" i="7"/>
  <c r="R107" i="7"/>
  <c r="W107" i="7" s="1"/>
  <c r="R119" i="7"/>
  <c r="R131" i="7"/>
  <c r="R143" i="7"/>
  <c r="R155" i="7"/>
  <c r="R167" i="7"/>
  <c r="W167" i="7" s="1"/>
  <c r="R179" i="7"/>
  <c r="W179" i="7" s="1"/>
  <c r="R191" i="7"/>
  <c r="R203" i="7"/>
  <c r="R215" i="7"/>
  <c r="R227" i="7"/>
  <c r="R239" i="7"/>
  <c r="R251" i="7"/>
  <c r="W251" i="7" s="1"/>
  <c r="R263" i="7"/>
  <c r="R275" i="7"/>
  <c r="R287" i="7"/>
  <c r="W287" i="7" s="1"/>
  <c r="R299" i="7"/>
  <c r="R311" i="7"/>
  <c r="R323" i="7"/>
  <c r="W323" i="7" s="1"/>
  <c r="R335" i="7"/>
  <c r="R347" i="7"/>
  <c r="R359" i="7"/>
  <c r="R371" i="7"/>
  <c r="R383" i="7"/>
  <c r="R395" i="7"/>
  <c r="W395" i="7" s="1"/>
  <c r="R407" i="7"/>
  <c r="R419" i="7"/>
  <c r="R431" i="7"/>
  <c r="R443" i="7"/>
  <c r="R455" i="7"/>
  <c r="R467" i="7"/>
  <c r="W467" i="7" s="1"/>
  <c r="R479" i="7"/>
  <c r="T481" i="7"/>
  <c r="AD481" i="7" s="1"/>
  <c r="AI481" i="7" s="1"/>
  <c r="R491" i="7"/>
  <c r="T493" i="7"/>
  <c r="AD493" i="7" s="1"/>
  <c r="AI493" i="7" s="1"/>
  <c r="R503" i="7"/>
  <c r="T505" i="7"/>
  <c r="Y505" i="7" s="1"/>
  <c r="R515" i="7"/>
  <c r="T517" i="7"/>
  <c r="AD517" i="7" s="1"/>
  <c r="AI517" i="7" s="1"/>
  <c r="R527" i="7"/>
  <c r="T529" i="7"/>
  <c r="AD529" i="7" s="1"/>
  <c r="AI529" i="7" s="1"/>
  <c r="R539" i="7"/>
  <c r="W539" i="7" s="1"/>
  <c r="T541" i="7"/>
  <c r="Y541" i="7" s="1"/>
  <c r="R551" i="7"/>
  <c r="T553" i="7"/>
  <c r="AD553" i="7" s="1"/>
  <c r="AI553" i="7" s="1"/>
  <c r="R563" i="7"/>
  <c r="T565" i="7"/>
  <c r="AD565" i="7" s="1"/>
  <c r="AI565" i="7" s="1"/>
  <c r="R575" i="7"/>
  <c r="T577" i="7"/>
  <c r="Y577" i="7" s="1"/>
  <c r="R587" i="7"/>
  <c r="T589" i="7"/>
  <c r="AD589" i="7" s="1"/>
  <c r="AI589" i="7" s="1"/>
  <c r="R599" i="7"/>
  <c r="T601" i="7"/>
  <c r="AD601" i="7" s="1"/>
  <c r="AI601" i="7" s="1"/>
  <c r="R611" i="7"/>
  <c r="T613" i="7"/>
  <c r="AD613" i="7" s="1"/>
  <c r="AI613" i="7" s="1"/>
  <c r="R623" i="7"/>
  <c r="T625" i="7"/>
  <c r="AD625" i="7" s="1"/>
  <c r="AI625" i="7" s="1"/>
  <c r="R635" i="7"/>
  <c r="T637" i="7"/>
  <c r="AD637" i="7" s="1"/>
  <c r="AI637" i="7" s="1"/>
  <c r="R647" i="7"/>
  <c r="T649" i="7"/>
  <c r="Y649" i="7" s="1"/>
  <c r="R659" i="7"/>
  <c r="T661" i="7"/>
  <c r="AD661" i="7" s="1"/>
  <c r="AI661" i="7" s="1"/>
  <c r="R671" i="7"/>
  <c r="T673" i="7"/>
  <c r="AD673" i="7" s="1"/>
  <c r="AI673" i="7" s="1"/>
  <c r="R683" i="7"/>
  <c r="T685" i="7"/>
  <c r="Y685" i="7" s="1"/>
  <c r="R695" i="7"/>
  <c r="T697" i="7"/>
  <c r="AD697" i="7" s="1"/>
  <c r="AI697" i="7" s="1"/>
  <c r="R707" i="7"/>
  <c r="T709" i="7"/>
  <c r="AD709" i="7" s="1"/>
  <c r="AI709" i="7" s="1"/>
  <c r="R719" i="7"/>
  <c r="T721" i="7"/>
  <c r="Y721" i="7" s="1"/>
  <c r="R731" i="7"/>
  <c r="T733" i="7"/>
  <c r="AD733" i="7" s="1"/>
  <c r="AI733" i="7" s="1"/>
  <c r="R743" i="7"/>
  <c r="T745" i="7"/>
  <c r="AD745" i="7" s="1"/>
  <c r="AI745" i="7" s="1"/>
  <c r="R755" i="7"/>
  <c r="T757" i="7"/>
  <c r="Y757" i="7" s="1"/>
  <c r="R767" i="7"/>
  <c r="T769" i="7"/>
  <c r="AD769" i="7" s="1"/>
  <c r="AI769" i="7" s="1"/>
  <c r="R779" i="7"/>
  <c r="T781" i="7"/>
  <c r="AD781" i="7" s="1"/>
  <c r="AI781" i="7" s="1"/>
  <c r="R791" i="7"/>
  <c r="T793" i="7"/>
  <c r="Y793" i="7" s="1"/>
  <c r="R803" i="7"/>
  <c r="T805" i="7"/>
  <c r="AD805" i="7" s="1"/>
  <c r="AI805" i="7" s="1"/>
  <c r="R815" i="7"/>
  <c r="T817" i="7"/>
  <c r="AD817" i="7" s="1"/>
  <c r="AI817" i="7" s="1"/>
  <c r="R827" i="7"/>
  <c r="T829" i="7"/>
  <c r="Y829" i="7" s="1"/>
  <c r="R839" i="7"/>
  <c r="T841" i="7"/>
  <c r="AD841" i="7" s="1"/>
  <c r="AI841" i="7" s="1"/>
  <c r="R851" i="7"/>
  <c r="T853" i="7"/>
  <c r="AD853" i="7" s="1"/>
  <c r="AI853" i="7" s="1"/>
  <c r="R863" i="7"/>
  <c r="T865" i="7"/>
  <c r="AD865" i="7" s="1"/>
  <c r="AI865" i="7" s="1"/>
  <c r="R875" i="7"/>
  <c r="T877" i="7"/>
  <c r="AD877" i="7" s="1"/>
  <c r="AI877" i="7" s="1"/>
  <c r="R887" i="7"/>
  <c r="W887" i="7" s="1"/>
  <c r="T889" i="7"/>
  <c r="AD889" i="7" s="1"/>
  <c r="AI889" i="7" s="1"/>
  <c r="R899" i="7"/>
  <c r="T901" i="7"/>
  <c r="Y901" i="7" s="1"/>
  <c r="R911" i="7"/>
  <c r="T913" i="7"/>
  <c r="AD913" i="7" s="1"/>
  <c r="AI913" i="7" s="1"/>
  <c r="R923" i="7"/>
  <c r="T925" i="7"/>
  <c r="AD925" i="7" s="1"/>
  <c r="AI925" i="7" s="1"/>
  <c r="R935" i="7"/>
  <c r="T937" i="7"/>
  <c r="Y937" i="7" s="1"/>
  <c r="R947" i="7"/>
  <c r="T949" i="7"/>
  <c r="AD949" i="7" s="1"/>
  <c r="AI949" i="7" s="1"/>
  <c r="V951" i="7"/>
  <c r="AF951" i="7" s="1"/>
  <c r="AK951" i="7" s="1"/>
  <c r="S954" i="7"/>
  <c r="AC954" i="7" s="1"/>
  <c r="AH954" i="7" s="1"/>
  <c r="U956" i="7"/>
  <c r="AE956" i="7" s="1"/>
  <c r="AJ956" i="7" s="1"/>
  <c r="R959" i="7"/>
  <c r="T961" i="7"/>
  <c r="AD961" i="7" s="1"/>
  <c r="AI961" i="7" s="1"/>
  <c r="V963" i="7"/>
  <c r="AF963" i="7" s="1"/>
  <c r="AK963" i="7" s="1"/>
  <c r="S966" i="7"/>
  <c r="AC966" i="7" s="1"/>
  <c r="AH966" i="7" s="1"/>
  <c r="U968" i="7"/>
  <c r="AE968" i="7" s="1"/>
  <c r="AJ968" i="7" s="1"/>
  <c r="R971" i="7"/>
  <c r="T973" i="7"/>
  <c r="AD973" i="7" s="1"/>
  <c r="AI973" i="7" s="1"/>
  <c r="V975" i="7"/>
  <c r="AF975" i="7" s="1"/>
  <c r="AK975" i="7" s="1"/>
  <c r="S978" i="7"/>
  <c r="AC978" i="7" s="1"/>
  <c r="AH978" i="7" s="1"/>
  <c r="U980" i="7"/>
  <c r="AE980" i="7" s="1"/>
  <c r="AJ980" i="7" s="1"/>
  <c r="R983" i="7"/>
  <c r="T985" i="7"/>
  <c r="AD985" i="7" s="1"/>
  <c r="AI985" i="7" s="1"/>
  <c r="V987" i="7"/>
  <c r="AA987" i="7" s="1"/>
  <c r="R820" i="7"/>
  <c r="R832" i="7"/>
  <c r="R844" i="7"/>
  <c r="R856" i="7"/>
  <c r="R868" i="7"/>
  <c r="R880" i="7"/>
  <c r="R892" i="7"/>
  <c r="R904" i="7"/>
  <c r="R916" i="7"/>
  <c r="R928" i="7"/>
  <c r="R940" i="7"/>
  <c r="S947" i="7"/>
  <c r="AC947" i="7" s="1"/>
  <c r="AH947" i="7" s="1"/>
  <c r="U949" i="7"/>
  <c r="AE949" i="7" s="1"/>
  <c r="AJ949" i="7" s="1"/>
  <c r="R952" i="7"/>
  <c r="T954" i="7"/>
  <c r="AD954" i="7" s="1"/>
  <c r="AI954" i="7" s="1"/>
  <c r="V956" i="7"/>
  <c r="AF956" i="7" s="1"/>
  <c r="AK956" i="7" s="1"/>
  <c r="S959" i="7"/>
  <c r="AC959" i="7" s="1"/>
  <c r="AH959" i="7" s="1"/>
  <c r="U961" i="7"/>
  <c r="AE961" i="7" s="1"/>
  <c r="AJ961" i="7" s="1"/>
  <c r="R964" i="7"/>
  <c r="T966" i="7"/>
  <c r="AD966" i="7" s="1"/>
  <c r="AI966" i="7" s="1"/>
  <c r="V968" i="7"/>
  <c r="AF968" i="7" s="1"/>
  <c r="AK968" i="7" s="1"/>
  <c r="S971" i="7"/>
  <c r="AC971" i="7" s="1"/>
  <c r="AH971" i="7" s="1"/>
  <c r="U973" i="7"/>
  <c r="AE973" i="7" s="1"/>
  <c r="AJ973" i="7" s="1"/>
  <c r="R976" i="7"/>
  <c r="T978" i="7"/>
  <c r="AD978" i="7" s="1"/>
  <c r="AI978" i="7" s="1"/>
  <c r="V980" i="7"/>
  <c r="AF980" i="7" s="1"/>
  <c r="AK980" i="7" s="1"/>
  <c r="S983" i="7"/>
  <c r="AC983" i="7" s="1"/>
  <c r="AH983" i="7" s="1"/>
  <c r="U985" i="7"/>
  <c r="AE985" i="7" s="1"/>
  <c r="AJ985" i="7" s="1"/>
  <c r="R988" i="7"/>
  <c r="R87" i="7"/>
  <c r="R195" i="7"/>
  <c r="R243" i="7"/>
  <c r="R255" i="7"/>
  <c r="R231" i="7"/>
  <c r="R422" i="7"/>
  <c r="U431" i="7"/>
  <c r="AE431" i="7" s="1"/>
  <c r="AJ431" i="7" s="1"/>
  <c r="R434" i="7"/>
  <c r="R446" i="7"/>
  <c r="R458" i="7"/>
  <c r="U467" i="7"/>
  <c r="AE467" i="7" s="1"/>
  <c r="AJ467" i="7" s="1"/>
  <c r="R470" i="7"/>
  <c r="R482" i="7"/>
  <c r="T484" i="7"/>
  <c r="AD484" i="7" s="1"/>
  <c r="AI484" i="7" s="1"/>
  <c r="R494" i="7"/>
  <c r="T496" i="7"/>
  <c r="AD496" i="7" s="1"/>
  <c r="AI496" i="7" s="1"/>
  <c r="R506" i="7"/>
  <c r="T508" i="7"/>
  <c r="AD508" i="7" s="1"/>
  <c r="AI508" i="7" s="1"/>
  <c r="R518" i="7"/>
  <c r="T520" i="7"/>
  <c r="AD520" i="7" s="1"/>
  <c r="AI520" i="7" s="1"/>
  <c r="R530" i="7"/>
  <c r="T532" i="7"/>
  <c r="AD532" i="7" s="1"/>
  <c r="AI532" i="7" s="1"/>
  <c r="R542" i="7"/>
  <c r="T544" i="7"/>
  <c r="AD544" i="7" s="1"/>
  <c r="AI544" i="7" s="1"/>
  <c r="R554" i="7"/>
  <c r="T556" i="7"/>
  <c r="AD556" i="7" s="1"/>
  <c r="AI556" i="7" s="1"/>
  <c r="R566" i="7"/>
  <c r="T568" i="7"/>
  <c r="AD568" i="7" s="1"/>
  <c r="AI568" i="7" s="1"/>
  <c r="R578" i="7"/>
  <c r="T580" i="7"/>
  <c r="AD580" i="7" s="1"/>
  <c r="AI580" i="7" s="1"/>
  <c r="R590" i="7"/>
  <c r="T592" i="7"/>
  <c r="AD592" i="7" s="1"/>
  <c r="AI592" i="7" s="1"/>
  <c r="R602" i="7"/>
  <c r="T604" i="7"/>
  <c r="AD604" i="7" s="1"/>
  <c r="AI604" i="7" s="1"/>
  <c r="R614" i="7"/>
  <c r="T616" i="7"/>
  <c r="AD616" i="7" s="1"/>
  <c r="AI616" i="7" s="1"/>
  <c r="R626" i="7"/>
  <c r="T628" i="7"/>
  <c r="AD628" i="7" s="1"/>
  <c r="AI628" i="7" s="1"/>
  <c r="R638" i="7"/>
  <c r="T640" i="7"/>
  <c r="AD640" i="7" s="1"/>
  <c r="AI640" i="7" s="1"/>
  <c r="R650" i="7"/>
  <c r="T652" i="7"/>
  <c r="AD652" i="7" s="1"/>
  <c r="AI652" i="7" s="1"/>
  <c r="R662" i="7"/>
  <c r="T664" i="7"/>
  <c r="AD664" i="7" s="1"/>
  <c r="AI664" i="7" s="1"/>
  <c r="R674" i="7"/>
  <c r="T676" i="7"/>
  <c r="AD676" i="7" s="1"/>
  <c r="AI676" i="7" s="1"/>
  <c r="R686" i="7"/>
  <c r="T688" i="7"/>
  <c r="AD688" i="7" s="1"/>
  <c r="AI688" i="7" s="1"/>
  <c r="R698" i="7"/>
  <c r="T700" i="7"/>
  <c r="AD700" i="7" s="1"/>
  <c r="AI700" i="7" s="1"/>
  <c r="R710" i="7"/>
  <c r="T712" i="7"/>
  <c r="Y712" i="7" s="1"/>
  <c r="R722" i="7"/>
  <c r="T724" i="7"/>
  <c r="AD724" i="7" s="1"/>
  <c r="AI724" i="7" s="1"/>
  <c r="R734" i="7"/>
  <c r="T736" i="7"/>
  <c r="AD736" i="7" s="1"/>
  <c r="AI736" i="7" s="1"/>
  <c r="R746" i="7"/>
  <c r="T748" i="7"/>
  <c r="AD748" i="7" s="1"/>
  <c r="AI748" i="7" s="1"/>
  <c r="R758" i="7"/>
  <c r="T760" i="7"/>
  <c r="AD760" i="7" s="1"/>
  <c r="AI760" i="7" s="1"/>
  <c r="R770" i="7"/>
  <c r="T772" i="7"/>
  <c r="AD772" i="7" s="1"/>
  <c r="AI772" i="7" s="1"/>
  <c r="R782" i="7"/>
  <c r="T784" i="7"/>
  <c r="AD784" i="7" s="1"/>
  <c r="AI784" i="7" s="1"/>
  <c r="R794" i="7"/>
  <c r="T796" i="7"/>
  <c r="AD796" i="7" s="1"/>
  <c r="AI796" i="7" s="1"/>
  <c r="R806" i="7"/>
  <c r="T808" i="7"/>
  <c r="AD808" i="7" s="1"/>
  <c r="AI808" i="7" s="1"/>
  <c r="R818" i="7"/>
  <c r="T820" i="7"/>
  <c r="Y820" i="7" s="1"/>
  <c r="R830" i="7"/>
  <c r="T832" i="7"/>
  <c r="AD832" i="7" s="1"/>
  <c r="AI832" i="7" s="1"/>
  <c r="R842" i="7"/>
  <c r="T844" i="7"/>
  <c r="AD844" i="7" s="1"/>
  <c r="AI844" i="7" s="1"/>
  <c r="R854" i="7"/>
  <c r="T856" i="7"/>
  <c r="AD856" i="7" s="1"/>
  <c r="AI856" i="7" s="1"/>
  <c r="R866" i="7"/>
  <c r="T868" i="7"/>
  <c r="AD868" i="7" s="1"/>
  <c r="AI868" i="7" s="1"/>
  <c r="R878" i="7"/>
  <c r="T880" i="7"/>
  <c r="AD880" i="7" s="1"/>
  <c r="AI880" i="7" s="1"/>
  <c r="R890" i="7"/>
  <c r="T892" i="7"/>
  <c r="AD892" i="7" s="1"/>
  <c r="AI892" i="7" s="1"/>
  <c r="R902" i="7"/>
  <c r="T904" i="7"/>
  <c r="AD904" i="7" s="1"/>
  <c r="AI904" i="7" s="1"/>
  <c r="R914" i="7"/>
  <c r="T916" i="7"/>
  <c r="AD916" i="7" s="1"/>
  <c r="AI916" i="7" s="1"/>
  <c r="R926" i="7"/>
  <c r="T928" i="7"/>
  <c r="AD928" i="7" s="1"/>
  <c r="AI928" i="7" s="1"/>
  <c r="R938" i="7"/>
  <c r="T940" i="7"/>
  <c r="AD940" i="7" s="1"/>
  <c r="AI940" i="7" s="1"/>
  <c r="U947" i="7"/>
  <c r="AE947" i="7" s="1"/>
  <c r="AJ947" i="7" s="1"/>
  <c r="R950" i="7"/>
  <c r="T952" i="7"/>
  <c r="AD952" i="7" s="1"/>
  <c r="AI952" i="7" s="1"/>
  <c r="V954" i="7"/>
  <c r="AA954" i="7" s="1"/>
  <c r="S957" i="7"/>
  <c r="AC957" i="7" s="1"/>
  <c r="AH957" i="7" s="1"/>
  <c r="U959" i="7"/>
  <c r="AE959" i="7" s="1"/>
  <c r="AJ959" i="7" s="1"/>
  <c r="R962" i="7"/>
  <c r="T964" i="7"/>
  <c r="AD964" i="7" s="1"/>
  <c r="AI964" i="7" s="1"/>
  <c r="V966" i="7"/>
  <c r="AF966" i="7" s="1"/>
  <c r="AK966" i="7" s="1"/>
  <c r="S969" i="7"/>
  <c r="AC969" i="7" s="1"/>
  <c r="AH969" i="7" s="1"/>
  <c r="U971" i="7"/>
  <c r="AE971" i="7" s="1"/>
  <c r="AJ971" i="7" s="1"/>
  <c r="R974" i="7"/>
  <c r="T976" i="7"/>
  <c r="AD976" i="7" s="1"/>
  <c r="AI976" i="7" s="1"/>
  <c r="V978" i="7"/>
  <c r="AF978" i="7" s="1"/>
  <c r="AK978" i="7" s="1"/>
  <c r="S981" i="7"/>
  <c r="AC981" i="7" s="1"/>
  <c r="AH981" i="7" s="1"/>
  <c r="U983" i="7"/>
  <c r="AE983" i="7" s="1"/>
  <c r="AJ983" i="7" s="1"/>
  <c r="R986" i="7"/>
  <c r="T988" i="7"/>
  <c r="AD988" i="7" s="1"/>
  <c r="AI988" i="7" s="1"/>
  <c r="K215" i="1"/>
  <c r="A204" i="1"/>
  <c r="N365" i="1" s="1"/>
  <c r="AI365" i="1" s="1"/>
  <c r="AJ365" i="1" s="1"/>
  <c r="L204" i="1"/>
  <c r="M202" i="1"/>
  <c r="AC107" i="7"/>
  <c r="AH107" i="7" s="1"/>
  <c r="AE121" i="7"/>
  <c r="AJ121" i="7" s="1"/>
  <c r="AC131" i="7"/>
  <c r="AH131" i="7" s="1"/>
  <c r="AC143" i="7"/>
  <c r="AH143" i="7" s="1"/>
  <c r="AF152" i="7"/>
  <c r="AK152" i="7" s="1"/>
  <c r="AB160" i="7"/>
  <c r="AG160" i="7" s="1"/>
  <c r="AE169" i="7"/>
  <c r="AJ169" i="7" s="1"/>
  <c r="AC179" i="7"/>
  <c r="AH179" i="7" s="1"/>
  <c r="AC191" i="7"/>
  <c r="AH191" i="7" s="1"/>
  <c r="AC203" i="7"/>
  <c r="AH203" i="7" s="1"/>
  <c r="AC215" i="7"/>
  <c r="AH215" i="7" s="1"/>
  <c r="AC227" i="7"/>
  <c r="AH227" i="7" s="1"/>
  <c r="AF236" i="7"/>
  <c r="AK236" i="7" s="1"/>
  <c r="AC251" i="7"/>
  <c r="AH251" i="7" s="1"/>
  <c r="AF260" i="7"/>
  <c r="AK260" i="7" s="1"/>
  <c r="AC275" i="7"/>
  <c r="AH275" i="7" s="1"/>
  <c r="AC287" i="7"/>
  <c r="AH287" i="7" s="1"/>
  <c r="AF296" i="7"/>
  <c r="AK296" i="7" s="1"/>
  <c r="AF308" i="7"/>
  <c r="AK308" i="7" s="1"/>
  <c r="AC323" i="7"/>
  <c r="AH323" i="7" s="1"/>
  <c r="AF332" i="7"/>
  <c r="AK332" i="7" s="1"/>
  <c r="AF344" i="7"/>
  <c r="AK344" i="7" s="1"/>
  <c r="AC359" i="7"/>
  <c r="AH359" i="7" s="1"/>
  <c r="AB364" i="7"/>
  <c r="AG364" i="7" s="1"/>
  <c r="AB376" i="7"/>
  <c r="AG376" i="7" s="1"/>
  <c r="AB388" i="7"/>
  <c r="AG388" i="7" s="1"/>
  <c r="AC395" i="7"/>
  <c r="AH395" i="7" s="1"/>
  <c r="AF404" i="7"/>
  <c r="AK404" i="7" s="1"/>
  <c r="AC419" i="7"/>
  <c r="AH419" i="7" s="1"/>
  <c r="AC431" i="7"/>
  <c r="AH431" i="7" s="1"/>
  <c r="AF440" i="7"/>
  <c r="AK440" i="7" s="1"/>
  <c r="AF452" i="7"/>
  <c r="AK452" i="7" s="1"/>
  <c r="AE469" i="7"/>
  <c r="AJ469" i="7" s="1"/>
  <c r="AF488" i="7"/>
  <c r="AK488" i="7" s="1"/>
  <c r="AF536" i="7"/>
  <c r="AK536" i="7" s="1"/>
  <c r="AD570" i="7"/>
  <c r="AI570" i="7" s="1"/>
  <c r="AF49" i="7"/>
  <c r="AK49" i="7" s="1"/>
  <c r="AF61" i="7"/>
  <c r="AK61" i="7" s="1"/>
  <c r="AE66" i="7"/>
  <c r="AJ66" i="7" s="1"/>
  <c r="AF73" i="7"/>
  <c r="AK73" i="7" s="1"/>
  <c r="AF85" i="7"/>
  <c r="AK85" i="7" s="1"/>
  <c r="AD95" i="7"/>
  <c r="AI95" i="7" s="1"/>
  <c r="AE102" i="7"/>
  <c r="AJ102" i="7" s="1"/>
  <c r="AE114" i="7"/>
  <c r="AJ114" i="7" s="1"/>
  <c r="AE126" i="7"/>
  <c r="AJ126" i="7" s="1"/>
  <c r="AE138" i="7"/>
  <c r="AJ138" i="7" s="1"/>
  <c r="AF145" i="7"/>
  <c r="AK145" i="7" s="1"/>
  <c r="AF157" i="7"/>
  <c r="AK157" i="7" s="1"/>
  <c r="AD167" i="7"/>
  <c r="AI167" i="7" s="1"/>
  <c r="AB177" i="7"/>
  <c r="AG177" i="7" s="1"/>
  <c r="AE186" i="7"/>
  <c r="AJ186" i="7" s="1"/>
  <c r="AE198" i="7"/>
  <c r="AJ198" i="7" s="1"/>
  <c r="AC208" i="7"/>
  <c r="AH208" i="7" s="1"/>
  <c r="AF217" i="7"/>
  <c r="AK217" i="7" s="1"/>
  <c r="AD227" i="7"/>
  <c r="AI227" i="7" s="1"/>
  <c r="AD239" i="7"/>
  <c r="AI239" i="7" s="1"/>
  <c r="AB249" i="7"/>
  <c r="AG249" i="7" s="1"/>
  <c r="AB261" i="7"/>
  <c r="AG261" i="7" s="1"/>
  <c r="AE270" i="7"/>
  <c r="AJ270" i="7" s="1"/>
  <c r="AB285" i="7"/>
  <c r="AG285" i="7" s="1"/>
  <c r="AE294" i="7"/>
  <c r="AJ294" i="7" s="1"/>
  <c r="AE306" i="7"/>
  <c r="AJ306" i="7" s="1"/>
  <c r="AF313" i="7"/>
  <c r="AK313" i="7" s="1"/>
  <c r="AB321" i="7"/>
  <c r="AG321" i="7" s="1"/>
  <c r="AE330" i="7"/>
  <c r="AJ330" i="7" s="1"/>
  <c r="AE342" i="7"/>
  <c r="AJ342" i="7" s="1"/>
  <c r="AE354" i="7"/>
  <c r="AJ354" i="7" s="1"/>
  <c r="AC364" i="7"/>
  <c r="AH364" i="7" s="1"/>
  <c r="AC376" i="7"/>
  <c r="AH376" i="7" s="1"/>
  <c r="AF385" i="7"/>
  <c r="AK385" i="7" s="1"/>
  <c r="AD395" i="7"/>
  <c r="AI395" i="7" s="1"/>
  <c r="AD407" i="7"/>
  <c r="AI407" i="7" s="1"/>
  <c r="AB417" i="7"/>
  <c r="AG417" i="7" s="1"/>
  <c r="AE426" i="7"/>
  <c r="AJ426" i="7" s="1"/>
  <c r="AC436" i="7"/>
  <c r="AH436" i="7" s="1"/>
  <c r="AC448" i="7"/>
  <c r="AH448" i="7" s="1"/>
  <c r="AF457" i="7"/>
  <c r="AK457" i="7" s="1"/>
  <c r="AC472" i="7"/>
  <c r="AH472" i="7" s="1"/>
  <c r="AE486" i="7"/>
  <c r="AJ486" i="7" s="1"/>
  <c r="AB501" i="7"/>
  <c r="AG501" i="7" s="1"/>
  <c r="AE510" i="7"/>
  <c r="AJ510" i="7" s="1"/>
  <c r="AC520" i="7"/>
  <c r="AH520" i="7" s="1"/>
  <c r="AC532" i="7"/>
  <c r="AH532" i="7" s="1"/>
  <c r="AF541" i="7"/>
  <c r="AK541" i="7" s="1"/>
  <c r="AF553" i="7"/>
  <c r="AK553" i="7" s="1"/>
  <c r="AF565" i="7"/>
  <c r="AK565" i="7" s="1"/>
  <c r="AF577" i="7"/>
  <c r="AK577" i="7" s="1"/>
  <c r="AD587" i="7"/>
  <c r="AI587" i="7" s="1"/>
  <c r="AD599" i="7"/>
  <c r="AI599" i="7" s="1"/>
  <c r="AB609" i="7"/>
  <c r="AG609" i="7" s="1"/>
  <c r="AE618" i="7"/>
  <c r="AJ618" i="7" s="1"/>
  <c r="AE630" i="7"/>
  <c r="AJ630" i="7" s="1"/>
  <c r="AE642" i="7"/>
  <c r="AJ642" i="7" s="1"/>
  <c r="AE654" i="7"/>
  <c r="AJ654" i="7" s="1"/>
  <c r="AC664" i="7"/>
  <c r="AH664" i="7" s="1"/>
  <c r="AC676" i="7"/>
  <c r="AH676" i="7" s="1"/>
  <c r="AC688" i="7"/>
  <c r="AH688" i="7" s="1"/>
  <c r="AF697" i="7"/>
  <c r="AK697" i="7" s="1"/>
  <c r="AF709" i="7"/>
  <c r="AK709" i="7" s="1"/>
  <c r="AD719" i="7"/>
  <c r="AI719" i="7" s="1"/>
  <c r="AE726" i="7"/>
  <c r="AJ726" i="7" s="1"/>
  <c r="AF733" i="7"/>
  <c r="AK733" i="7" s="1"/>
  <c r="AD743" i="7"/>
  <c r="AI743" i="7" s="1"/>
  <c r="AD755" i="7"/>
  <c r="AI755" i="7" s="1"/>
  <c r="AB765" i="7"/>
  <c r="AG765" i="7" s="1"/>
  <c r="AD779" i="7"/>
  <c r="AI779" i="7" s="1"/>
  <c r="AD791" i="7"/>
  <c r="AI791" i="7" s="1"/>
  <c r="AB801" i="7"/>
  <c r="AG801" i="7" s="1"/>
  <c r="AB813" i="7"/>
  <c r="AG813" i="7" s="1"/>
  <c r="AB825" i="7"/>
  <c r="AG825" i="7" s="1"/>
  <c r="AC832" i="7"/>
  <c r="AH832" i="7" s="1"/>
  <c r="AF841" i="7"/>
  <c r="AK841" i="7" s="1"/>
  <c r="AF853" i="7"/>
  <c r="AK853" i="7" s="1"/>
  <c r="AF865" i="7"/>
  <c r="AK865" i="7" s="1"/>
  <c r="AB873" i="7"/>
  <c r="AG873" i="7" s="1"/>
  <c r="AC880" i="7"/>
  <c r="AH880" i="7" s="1"/>
  <c r="AD887" i="7"/>
  <c r="AI887" i="7" s="1"/>
  <c r="AD899" i="7"/>
  <c r="AI899" i="7" s="1"/>
  <c r="AD911" i="7"/>
  <c r="AI911" i="7" s="1"/>
  <c r="AD923" i="7"/>
  <c r="AI923" i="7" s="1"/>
  <c r="AE930" i="7"/>
  <c r="AJ930" i="7" s="1"/>
  <c r="AC940" i="7"/>
  <c r="AH940" i="7" s="1"/>
  <c r="AC952" i="7"/>
  <c r="AH952" i="7" s="1"/>
  <c r="AF961" i="7"/>
  <c r="AK961" i="7" s="1"/>
  <c r="AD971" i="7"/>
  <c r="AI971" i="7" s="1"/>
  <c r="AF985" i="7"/>
  <c r="AK985" i="7" s="1"/>
  <c r="AB50" i="7"/>
  <c r="AG50" i="7" s="1"/>
  <c r="AE59" i="7"/>
  <c r="AJ59" i="7" s="1"/>
  <c r="AB74" i="7"/>
  <c r="AG74" i="7" s="1"/>
  <c r="AE83" i="7"/>
  <c r="AJ83" i="7" s="1"/>
  <c r="AE95" i="7"/>
  <c r="AJ95" i="7" s="1"/>
  <c r="AC105" i="7"/>
  <c r="AH105" i="7" s="1"/>
  <c r="AF114" i="7"/>
  <c r="AK114" i="7" s="1"/>
  <c r="AD124" i="7"/>
  <c r="AI124" i="7" s="1"/>
  <c r="AF138" i="7"/>
  <c r="AK138" i="7" s="1"/>
  <c r="AF150" i="7"/>
  <c r="AK150" i="7" s="1"/>
  <c r="AF162" i="7"/>
  <c r="AK162" i="7" s="1"/>
  <c r="AF174" i="7"/>
  <c r="AK174" i="7" s="1"/>
  <c r="AF186" i="7"/>
  <c r="AK186" i="7" s="1"/>
  <c r="AD196" i="7"/>
  <c r="AI196" i="7" s="1"/>
  <c r="AD208" i="7"/>
  <c r="AI208" i="7" s="1"/>
  <c r="AB218" i="7"/>
  <c r="AG218" i="7" s="1"/>
  <c r="AE227" i="7"/>
  <c r="AJ227" i="7" s="1"/>
  <c r="AC237" i="7"/>
  <c r="AH237" i="7" s="1"/>
  <c r="AD244" i="7"/>
  <c r="AI244" i="7" s="1"/>
  <c r="AB254" i="7"/>
  <c r="AG254" i="7" s="1"/>
  <c r="AD268" i="7"/>
  <c r="AI268" i="7" s="1"/>
  <c r="AC285" i="7"/>
  <c r="AH285" i="7" s="1"/>
  <c r="AC50" i="7"/>
  <c r="AH50" i="7" s="1"/>
  <c r="AC62" i="7"/>
  <c r="AH62" i="7" s="1"/>
  <c r="AF71" i="7"/>
  <c r="AK71" i="7" s="1"/>
  <c r="AD81" i="7"/>
  <c r="AI81" i="7" s="1"/>
  <c r="AB91" i="7"/>
  <c r="AG91" i="7" s="1"/>
  <c r="AC98" i="7"/>
  <c r="AH98" i="7" s="1"/>
  <c r="AF107" i="7"/>
  <c r="AK107" i="7" s="1"/>
  <c r="AF119" i="7"/>
  <c r="AK119" i="7" s="1"/>
  <c r="AF131" i="7"/>
  <c r="AK131" i="7" s="1"/>
  <c r="AB163" i="7"/>
  <c r="AG163" i="7" s="1"/>
  <c r="AB48" i="7"/>
  <c r="AG48" i="7" s="1"/>
  <c r="AC55" i="7"/>
  <c r="AH55" i="7" s="1"/>
  <c r="AD62" i="7"/>
  <c r="AI62" i="7" s="1"/>
  <c r="AE69" i="7"/>
  <c r="AJ69" i="7" s="1"/>
  <c r="AF76" i="7"/>
  <c r="AK76" i="7" s="1"/>
  <c r="AD86" i="7"/>
  <c r="AI86" i="7" s="1"/>
  <c r="AC91" i="7"/>
  <c r="AH91" i="7" s="1"/>
  <c r="AD98" i="7"/>
  <c r="AI98" i="7" s="1"/>
  <c r="AE105" i="7"/>
  <c r="AJ105" i="7" s="1"/>
  <c r="AC115" i="7"/>
  <c r="AH115" i="7" s="1"/>
  <c r="AB120" i="7"/>
  <c r="AG120" i="7" s="1"/>
  <c r="AC127" i="7"/>
  <c r="AH127" i="7" s="1"/>
  <c r="AD134" i="7"/>
  <c r="AI134" i="7" s="1"/>
  <c r="AE141" i="7"/>
  <c r="AJ141" i="7" s="1"/>
  <c r="AF148" i="7"/>
  <c r="AK148" i="7" s="1"/>
  <c r="AE153" i="7"/>
  <c r="AJ153" i="7" s="1"/>
  <c r="AC163" i="7"/>
  <c r="AH163" i="7" s="1"/>
  <c r="AB168" i="7"/>
  <c r="AG168" i="7" s="1"/>
  <c r="AE177" i="7"/>
  <c r="AJ177" i="7" s="1"/>
  <c r="AF184" i="7"/>
  <c r="AK184" i="7" s="1"/>
  <c r="AB192" i="7"/>
  <c r="AG192" i="7" s="1"/>
  <c r="AC199" i="7"/>
  <c r="AH199" i="7" s="1"/>
  <c r="AE201" i="7"/>
  <c r="AJ201" i="7" s="1"/>
  <c r="AF208" i="7"/>
  <c r="AK208" i="7" s="1"/>
  <c r="AB216" i="7"/>
  <c r="AG216" i="7" s="1"/>
  <c r="AC223" i="7"/>
  <c r="AH223" i="7" s="1"/>
  <c r="AD230" i="7"/>
  <c r="AI230" i="7" s="1"/>
  <c r="AE237" i="7"/>
  <c r="AJ237" i="7" s="1"/>
  <c r="AF244" i="7"/>
  <c r="AK244" i="7" s="1"/>
  <c r="AB252" i="7"/>
  <c r="AG252" i="7" s="1"/>
  <c r="AB264" i="7"/>
  <c r="AG264" i="7" s="1"/>
  <c r="AC271" i="7"/>
  <c r="AH271" i="7" s="1"/>
  <c r="AF280" i="7"/>
  <c r="AK280" i="7" s="1"/>
  <c r="AD290" i="7"/>
  <c r="AI290" i="7" s="1"/>
  <c r="AE297" i="7"/>
  <c r="AJ297" i="7" s="1"/>
  <c r="AC307" i="7"/>
  <c r="AH307" i="7" s="1"/>
  <c r="AF316" i="7"/>
  <c r="AK316" i="7" s="1"/>
  <c r="AD326" i="7"/>
  <c r="AI326" i="7" s="1"/>
  <c r="AB336" i="7"/>
  <c r="AG336" i="7" s="1"/>
  <c r="AC343" i="7"/>
  <c r="AH343" i="7" s="1"/>
  <c r="AD350" i="7"/>
  <c r="AI350" i="7" s="1"/>
  <c r="AE357" i="7"/>
  <c r="AJ357" i="7" s="1"/>
  <c r="AF364" i="7"/>
  <c r="AK364" i="7" s="1"/>
  <c r="AE369" i="7"/>
  <c r="AJ369" i="7" s="1"/>
  <c r="AF376" i="7"/>
  <c r="AK376" i="7" s="1"/>
  <c r="AC379" i="7"/>
  <c r="AH379" i="7" s="1"/>
  <c r="AD386" i="7"/>
  <c r="AI386" i="7" s="1"/>
  <c r="AE393" i="7"/>
  <c r="AJ393" i="7" s="1"/>
  <c r="AC403" i="7"/>
  <c r="AH403" i="7" s="1"/>
  <c r="AD410" i="7"/>
  <c r="AI410" i="7" s="1"/>
  <c r="AE417" i="7"/>
  <c r="AJ417" i="7" s="1"/>
  <c r="AC427" i="7"/>
  <c r="AH427" i="7" s="1"/>
  <c r="AD434" i="7"/>
  <c r="AI434" i="7" s="1"/>
  <c r="AC439" i="7"/>
  <c r="AH439" i="7" s="1"/>
  <c r="AD446" i="7"/>
  <c r="AI446" i="7" s="1"/>
  <c r="AB456" i="7"/>
  <c r="AG456" i="7" s="1"/>
  <c r="AF460" i="7"/>
  <c r="AK460" i="7" s="1"/>
  <c r="AE465" i="7"/>
  <c r="AJ465" i="7" s="1"/>
  <c r="AC475" i="7"/>
  <c r="AH475" i="7" s="1"/>
  <c r="AD482" i="7"/>
  <c r="AI482" i="7" s="1"/>
  <c r="AE489" i="7"/>
  <c r="AJ489" i="7" s="1"/>
  <c r="AB492" i="7"/>
  <c r="AG492" i="7" s="1"/>
  <c r="AE501" i="7"/>
  <c r="AJ501" i="7" s="1"/>
  <c r="AD506" i="7"/>
  <c r="AI506" i="7" s="1"/>
  <c r="AE513" i="7"/>
  <c r="AJ513" i="7" s="1"/>
  <c r="AF520" i="7"/>
  <c r="AK520" i="7" s="1"/>
  <c r="AB528" i="7"/>
  <c r="AG528" i="7" s="1"/>
  <c r="AC535" i="7"/>
  <c r="AH535" i="7" s="1"/>
  <c r="AB540" i="7"/>
  <c r="AG540" i="7" s="1"/>
  <c r="AF544" i="7"/>
  <c r="AK544" i="7" s="1"/>
  <c r="AB552" i="7"/>
  <c r="AG552" i="7" s="1"/>
  <c r="AC559" i="7"/>
  <c r="AH559" i="7" s="1"/>
  <c r="AB564" i="7"/>
  <c r="AG564" i="7" s="1"/>
  <c r="AC571" i="7"/>
  <c r="AH571" i="7" s="1"/>
  <c r="AB576" i="7"/>
  <c r="AG576" i="7" s="1"/>
  <c r="AC583" i="7"/>
  <c r="AH583" i="7" s="1"/>
  <c r="AC595" i="7"/>
  <c r="AH595" i="7" s="1"/>
  <c r="AC607" i="7"/>
  <c r="AH607" i="7" s="1"/>
  <c r="AF616" i="7"/>
  <c r="AK616" i="7" s="1"/>
  <c r="AE621" i="7"/>
  <c r="AJ621" i="7" s="1"/>
  <c r="AC631" i="7"/>
  <c r="AH631" i="7" s="1"/>
  <c r="AD638" i="7"/>
  <c r="AI638" i="7" s="1"/>
  <c r="AE645" i="7"/>
  <c r="AJ645" i="7" s="1"/>
  <c r="AF652" i="7"/>
  <c r="AK652" i="7" s="1"/>
  <c r="AE657" i="7"/>
  <c r="AJ657" i="7" s="1"/>
  <c r="AF664" i="7"/>
  <c r="AK664" i="7" s="1"/>
  <c r="AB672" i="7"/>
  <c r="AG672" i="7" s="1"/>
  <c r="AE681" i="7"/>
  <c r="AJ681" i="7" s="1"/>
  <c r="AF688" i="7"/>
  <c r="AK688" i="7" s="1"/>
  <c r="AB696" i="7"/>
  <c r="AG696" i="7" s="1"/>
  <c r="AB720" i="7"/>
  <c r="AG720" i="7" s="1"/>
  <c r="AD55" i="7"/>
  <c r="AI55" i="7" s="1"/>
  <c r="AE62" i="7"/>
  <c r="AJ62" i="7" s="1"/>
  <c r="AC72" i="7"/>
  <c r="AH72" i="7" s="1"/>
  <c r="AF81" i="7"/>
  <c r="AK81" i="7" s="1"/>
  <c r="AB89" i="7"/>
  <c r="AG89" i="7" s="1"/>
  <c r="AC96" i="7"/>
  <c r="AH96" i="7" s="1"/>
  <c r="AD103" i="7"/>
  <c r="AI103" i="7" s="1"/>
  <c r="AB113" i="7"/>
  <c r="AG113" i="7" s="1"/>
  <c r="AC120" i="7"/>
  <c r="AH120" i="7" s="1"/>
  <c r="AD127" i="7"/>
  <c r="AI127" i="7" s="1"/>
  <c r="AE134" i="7"/>
  <c r="AJ134" i="7" s="1"/>
  <c r="AC144" i="7"/>
  <c r="AH144" i="7" s="1"/>
  <c r="AD151" i="7"/>
  <c r="AI151" i="7" s="1"/>
  <c r="AB161" i="7"/>
  <c r="AG161" i="7" s="1"/>
  <c r="AE170" i="7"/>
  <c r="AJ170" i="7" s="1"/>
  <c r="AF177" i="7"/>
  <c r="AK177" i="7" s="1"/>
  <c r="AD187" i="7"/>
  <c r="AI187" i="7" s="1"/>
  <c r="AE194" i="7"/>
  <c r="AJ194" i="7" s="1"/>
  <c r="AF201" i="7"/>
  <c r="AK201" i="7" s="1"/>
  <c r="AB209" i="7"/>
  <c r="AG209" i="7" s="1"/>
  <c r="AC216" i="7"/>
  <c r="AH216" i="7" s="1"/>
  <c r="AB221" i="7"/>
  <c r="AG221" i="7" s="1"/>
  <c r="AE230" i="7"/>
  <c r="AJ230" i="7" s="1"/>
  <c r="AF237" i="7"/>
  <c r="AK237" i="7" s="1"/>
  <c r="AB245" i="7"/>
  <c r="AG245" i="7" s="1"/>
  <c r="AC252" i="7"/>
  <c r="AH252" i="7" s="1"/>
  <c r="AD259" i="7"/>
  <c r="AI259" i="7" s="1"/>
  <c r="AB269" i="7"/>
  <c r="AG269" i="7" s="1"/>
  <c r="AE278" i="7"/>
  <c r="AJ278" i="7" s="1"/>
  <c r="AE290" i="7"/>
  <c r="AJ290" i="7" s="1"/>
  <c r="AC312" i="7"/>
  <c r="AH312" i="7" s="1"/>
  <c r="AE350" i="7"/>
  <c r="AJ350" i="7" s="1"/>
  <c r="AB353" i="7"/>
  <c r="AG353" i="7" s="1"/>
  <c r="AC360" i="7"/>
  <c r="AH360" i="7" s="1"/>
  <c r="AD367" i="7"/>
  <c r="AI367" i="7" s="1"/>
  <c r="AC372" i="7"/>
  <c r="AH372" i="7" s="1"/>
  <c r="AB377" i="7"/>
  <c r="AG377" i="7" s="1"/>
  <c r="AF381" i="7"/>
  <c r="AK381" i="7" s="1"/>
  <c r="AB389" i="7"/>
  <c r="AG389" i="7" s="1"/>
  <c r="AF393" i="7"/>
  <c r="AK393" i="7" s="1"/>
  <c r="AE398" i="7"/>
  <c r="AJ398" i="7" s="1"/>
  <c r="AD403" i="7"/>
  <c r="AI403" i="7" s="1"/>
  <c r="AC408" i="7"/>
  <c r="AH408" i="7" s="1"/>
  <c r="AD415" i="7"/>
  <c r="AI415" i="7" s="1"/>
  <c r="AC420" i="7"/>
  <c r="AH420" i="7" s="1"/>
  <c r="AB425" i="7"/>
  <c r="AG425" i="7" s="1"/>
  <c r="AF429" i="7"/>
  <c r="AK429" i="7" s="1"/>
  <c r="AB437" i="7"/>
  <c r="AG437" i="7" s="1"/>
  <c r="AE446" i="7"/>
  <c r="AJ446" i="7" s="1"/>
  <c r="AD451" i="7"/>
  <c r="AI451" i="7" s="1"/>
  <c r="AC456" i="7"/>
  <c r="AH456" i="7" s="1"/>
  <c r="AD463" i="7"/>
  <c r="AI463" i="7" s="1"/>
  <c r="AE470" i="7"/>
  <c r="AJ470" i="7" s="1"/>
  <c r="AF477" i="7"/>
  <c r="AK477" i="7" s="1"/>
  <c r="AE482" i="7"/>
  <c r="AJ482" i="7" s="1"/>
  <c r="AD487" i="7"/>
  <c r="AI487" i="7" s="1"/>
  <c r="AF489" i="7"/>
  <c r="AK489" i="7" s="1"/>
  <c r="AE494" i="7"/>
  <c r="AJ494" i="7" s="1"/>
  <c r="AD499" i="7"/>
  <c r="AI499" i="7" s="1"/>
  <c r="AC504" i="7"/>
  <c r="AH504" i="7" s="1"/>
  <c r="AB509" i="7"/>
  <c r="AG509" i="7" s="1"/>
  <c r="AC516" i="7"/>
  <c r="AH516" i="7" s="1"/>
  <c r="AB521" i="7"/>
  <c r="AG521" i="7" s="1"/>
  <c r="AF525" i="7"/>
  <c r="AK525" i="7" s="1"/>
  <c r="AB533" i="7"/>
  <c r="AG533" i="7" s="1"/>
  <c r="AF537" i="7"/>
  <c r="AK537" i="7" s="1"/>
  <c r="AB545" i="7"/>
  <c r="AG545" i="7" s="1"/>
  <c r="AF549" i="7"/>
  <c r="AK549" i="7" s="1"/>
  <c r="AC552" i="7"/>
  <c r="AH552" i="7" s="1"/>
  <c r="AB557" i="7"/>
  <c r="AG557" i="7" s="1"/>
  <c r="AF561" i="7"/>
  <c r="AK561" i="7" s="1"/>
  <c r="AE566" i="7"/>
  <c r="AJ566" i="7" s="1"/>
  <c r="AD571" i="7"/>
  <c r="AI571" i="7" s="1"/>
  <c r="AC576" i="7"/>
  <c r="AH576" i="7" s="1"/>
  <c r="AB581" i="7"/>
  <c r="AG581" i="7" s="1"/>
  <c r="AC588" i="7"/>
  <c r="AH588" i="7" s="1"/>
  <c r="AB593" i="7"/>
  <c r="AG593" i="7" s="1"/>
  <c r="AD595" i="7"/>
  <c r="AI595" i="7" s="1"/>
  <c r="AC600" i="7"/>
  <c r="AH600" i="7" s="1"/>
  <c r="AB605" i="7"/>
  <c r="AG605" i="7" s="1"/>
  <c r="AF609" i="7"/>
  <c r="AK609" i="7" s="1"/>
  <c r="AE614" i="7"/>
  <c r="AJ614" i="7" s="1"/>
  <c r="AD619" i="7"/>
  <c r="AI619" i="7" s="1"/>
  <c r="AE626" i="7"/>
  <c r="AJ626" i="7" s="1"/>
  <c r="AD631" i="7"/>
  <c r="AI631" i="7" s="1"/>
  <c r="AC636" i="7"/>
  <c r="AH636" i="7" s="1"/>
  <c r="AD643" i="7"/>
  <c r="AI643" i="7" s="1"/>
  <c r="AC648" i="7"/>
  <c r="AH648" i="7" s="1"/>
  <c r="AB653" i="7"/>
  <c r="AG653" i="7" s="1"/>
  <c r="AD655" i="7"/>
  <c r="AI655" i="7" s="1"/>
  <c r="AC660" i="7"/>
  <c r="AH660" i="7" s="1"/>
  <c r="AE662" i="7"/>
  <c r="AJ662" i="7" s="1"/>
  <c r="AD667" i="7"/>
  <c r="AI667" i="7" s="1"/>
  <c r="AE674" i="7"/>
  <c r="AJ674" i="7" s="1"/>
  <c r="AD679" i="7"/>
  <c r="AI679" i="7" s="1"/>
  <c r="AF681" i="7"/>
  <c r="AK681" i="7" s="1"/>
  <c r="AC684" i="7"/>
  <c r="AH684" i="7" s="1"/>
  <c r="AE686" i="7"/>
  <c r="AJ686" i="7" s="1"/>
  <c r="AB689" i="7"/>
  <c r="AG689" i="7" s="1"/>
  <c r="AF693" i="7"/>
  <c r="AK693" i="7" s="1"/>
  <c r="AD715" i="7"/>
  <c r="AI715" i="7" s="1"/>
  <c r="AC53" i="7"/>
  <c r="AH53" i="7" s="1"/>
  <c r="AD60" i="7"/>
  <c r="AI60" i="7" s="1"/>
  <c r="AE67" i="7"/>
  <c r="AJ67" i="7" s="1"/>
  <c r="AF74" i="7"/>
  <c r="AK74" i="7" s="1"/>
  <c r="AB82" i="7"/>
  <c r="AG82" i="7" s="1"/>
  <c r="AC89" i="7"/>
  <c r="AH89" i="7" s="1"/>
  <c r="AD96" i="7"/>
  <c r="AI96" i="7" s="1"/>
  <c r="AE103" i="7"/>
  <c r="AJ103" i="7" s="1"/>
  <c r="AC113" i="7"/>
  <c r="AH113" i="7" s="1"/>
  <c r="AD120" i="7"/>
  <c r="AI120" i="7" s="1"/>
  <c r="AE127" i="7"/>
  <c r="AJ127" i="7" s="1"/>
  <c r="AF134" i="7"/>
  <c r="AK134" i="7" s="1"/>
  <c r="AB142" i="7"/>
  <c r="AG142" i="7" s="1"/>
  <c r="AC149" i="7"/>
  <c r="AH149" i="7" s="1"/>
  <c r="AB154" i="7"/>
  <c r="AG154" i="7" s="1"/>
  <c r="AC161" i="7"/>
  <c r="AH161" i="7" s="1"/>
  <c r="AD168" i="7"/>
  <c r="AI168" i="7" s="1"/>
  <c r="AB178" i="7"/>
  <c r="AG178" i="7" s="1"/>
  <c r="AF182" i="7"/>
  <c r="AK182" i="7" s="1"/>
  <c r="AB190" i="7"/>
  <c r="AG190" i="7" s="1"/>
  <c r="AC197" i="7"/>
  <c r="AH197" i="7" s="1"/>
  <c r="AD204" i="7"/>
  <c r="AI204" i="7" s="1"/>
  <c r="AC209" i="7"/>
  <c r="AH209" i="7" s="1"/>
  <c r="AD216" i="7"/>
  <c r="AI216" i="7" s="1"/>
  <c r="AC221" i="7"/>
  <c r="AH221" i="7" s="1"/>
  <c r="AD228" i="7"/>
  <c r="AI228" i="7" s="1"/>
  <c r="AE235" i="7"/>
  <c r="AJ235" i="7" s="1"/>
  <c r="AF242" i="7"/>
  <c r="AK242" i="7" s="1"/>
  <c r="AD252" i="7"/>
  <c r="AI252" i="7" s="1"/>
  <c r="AB262" i="7"/>
  <c r="AG262" i="7" s="1"/>
  <c r="AC269" i="7"/>
  <c r="AH269" i="7" s="1"/>
  <c r="AC281" i="7"/>
  <c r="AH281" i="7" s="1"/>
  <c r="AD288" i="7"/>
  <c r="AI288" i="7" s="1"/>
  <c r="AC293" i="7"/>
  <c r="AH293" i="7" s="1"/>
  <c r="AD300" i="7"/>
  <c r="AI300" i="7" s="1"/>
  <c r="AE307" i="7"/>
  <c r="AJ307" i="7" s="1"/>
  <c r="AF314" i="7"/>
  <c r="AK314" i="7" s="1"/>
  <c r="AB322" i="7"/>
  <c r="AG322" i="7" s="1"/>
  <c r="AE331" i="7"/>
  <c r="AJ331" i="7" s="1"/>
  <c r="AC341" i="7"/>
  <c r="AH341" i="7" s="1"/>
  <c r="AD348" i="7"/>
  <c r="AI348" i="7" s="1"/>
  <c r="AC353" i="7"/>
  <c r="AH353" i="7" s="1"/>
  <c r="AD360" i="7"/>
  <c r="AI360" i="7" s="1"/>
  <c r="AC365" i="7"/>
  <c r="AH365" i="7" s="1"/>
  <c r="AD372" i="7"/>
  <c r="AI372" i="7" s="1"/>
  <c r="AE379" i="7"/>
  <c r="AJ379" i="7" s="1"/>
  <c r="AF386" i="7"/>
  <c r="AK386" i="7" s="1"/>
  <c r="AE391" i="7"/>
  <c r="AJ391" i="7" s="1"/>
  <c r="AF398" i="7"/>
  <c r="AK398" i="7" s="1"/>
  <c r="AE403" i="7"/>
  <c r="AJ403" i="7" s="1"/>
  <c r="AD408" i="7"/>
  <c r="AI408" i="7" s="1"/>
  <c r="AE415" i="7"/>
  <c r="AJ415" i="7" s="1"/>
  <c r="AD420" i="7"/>
  <c r="AI420" i="7" s="1"/>
  <c r="AE427" i="7"/>
  <c r="AJ427" i="7" s="1"/>
  <c r="AF434" i="7"/>
  <c r="AK434" i="7" s="1"/>
  <c r="AB442" i="7"/>
  <c r="AG442" i="7" s="1"/>
  <c r="AC449" i="7"/>
  <c r="AH449" i="7" s="1"/>
  <c r="AF458" i="7"/>
  <c r="AK458" i="7" s="1"/>
  <c r="AB466" i="7"/>
  <c r="AG466" i="7" s="1"/>
  <c r="AE475" i="7"/>
  <c r="AJ475" i="7" s="1"/>
  <c r="AD480" i="7"/>
  <c r="AI480" i="7" s="1"/>
  <c r="AE487" i="7"/>
  <c r="AJ487" i="7" s="1"/>
  <c r="AC497" i="7"/>
  <c r="AH497" i="7" s="1"/>
  <c r="AD504" i="7"/>
  <c r="AI504" i="7" s="1"/>
  <c r="AB514" i="7"/>
  <c r="AG514" i="7" s="1"/>
  <c r="AE523" i="7"/>
  <c r="AJ523" i="7" s="1"/>
  <c r="AD528" i="7"/>
  <c r="AI528" i="7" s="1"/>
  <c r="AE535" i="7"/>
  <c r="AJ535" i="7" s="1"/>
  <c r="AF542" i="7"/>
  <c r="AK542" i="7" s="1"/>
  <c r="AB550" i="7"/>
  <c r="AG550" i="7" s="1"/>
  <c r="AC557" i="7"/>
  <c r="AH557" i="7" s="1"/>
  <c r="AD564" i="7"/>
  <c r="AI564" i="7" s="1"/>
  <c r="AE571" i="7"/>
  <c r="AJ571" i="7" s="1"/>
  <c r="AC581" i="7"/>
  <c r="AH581" i="7" s="1"/>
  <c r="AD588" i="7"/>
  <c r="AI588" i="7" s="1"/>
  <c r="AE595" i="7"/>
  <c r="AJ595" i="7" s="1"/>
  <c r="AF602" i="7"/>
  <c r="AK602" i="7" s="1"/>
  <c r="AB610" i="7"/>
  <c r="AG610" i="7" s="1"/>
  <c r="AF614" i="7"/>
  <c r="AK614" i="7" s="1"/>
  <c r="AE619" i="7"/>
  <c r="AJ619" i="7" s="1"/>
  <c r="AF626" i="7"/>
  <c r="AK626" i="7" s="1"/>
  <c r="AB634" i="7"/>
  <c r="AG634" i="7" s="1"/>
  <c r="AF638" i="7"/>
  <c r="AK638" i="7" s="1"/>
  <c r="AE643" i="7"/>
  <c r="AJ643" i="7" s="1"/>
  <c r="AB646" i="7"/>
  <c r="AG646" i="7" s="1"/>
  <c r="AF650" i="7"/>
  <c r="AK650" i="7" s="1"/>
  <c r="AC653" i="7"/>
  <c r="AH653" i="7" s="1"/>
  <c r="AB658" i="7"/>
  <c r="AG658" i="7" s="1"/>
  <c r="AD660" i="7"/>
  <c r="AI660" i="7" s="1"/>
  <c r="AF662" i="7"/>
  <c r="AK662" i="7" s="1"/>
  <c r="AE667" i="7"/>
  <c r="AJ667" i="7" s="1"/>
  <c r="AD672" i="7"/>
  <c r="AI672" i="7" s="1"/>
  <c r="AF674" i="7"/>
  <c r="AK674" i="7" s="1"/>
  <c r="AC677" i="7"/>
  <c r="AH677" i="7" s="1"/>
  <c r="AE679" i="7"/>
  <c r="AJ679" i="7" s="1"/>
  <c r="AB682" i="7"/>
  <c r="AG682" i="7" s="1"/>
  <c r="AF686" i="7"/>
  <c r="AK686" i="7" s="1"/>
  <c r="AE691" i="7"/>
  <c r="AJ691" i="7" s="1"/>
  <c r="AD696" i="7"/>
  <c r="AI696" i="7" s="1"/>
  <c r="AC701" i="7"/>
  <c r="AH701" i="7" s="1"/>
  <c r="AF710" i="7"/>
  <c r="AK710" i="7" s="1"/>
  <c r="AC737" i="7"/>
  <c r="AH737" i="7" s="1"/>
  <c r="AD900" i="7"/>
  <c r="AI900" i="7" s="1"/>
  <c r="AD46" i="7"/>
  <c r="AI46" i="7" s="1"/>
  <c r="AF48" i="7"/>
  <c r="AK48" i="7" s="1"/>
  <c r="AC51" i="7"/>
  <c r="AH51" i="7" s="1"/>
  <c r="AE53" i="7"/>
  <c r="AJ53" i="7" s="1"/>
  <c r="AB56" i="7"/>
  <c r="AG56" i="7" s="1"/>
  <c r="AD58" i="7"/>
  <c r="AI58" i="7" s="1"/>
  <c r="AF60" i="7"/>
  <c r="AK60" i="7" s="1"/>
  <c r="AC63" i="7"/>
  <c r="AH63" i="7" s="1"/>
  <c r="AE65" i="7"/>
  <c r="AJ65" i="7" s="1"/>
  <c r="AB68" i="7"/>
  <c r="AG68" i="7" s="1"/>
  <c r="AD70" i="7"/>
  <c r="AI70" i="7" s="1"/>
  <c r="AF72" i="7"/>
  <c r="AK72" i="7" s="1"/>
  <c r="AC75" i="7"/>
  <c r="AH75" i="7" s="1"/>
  <c r="AE77" i="7"/>
  <c r="AJ77" i="7" s="1"/>
  <c r="AB80" i="7"/>
  <c r="AG80" i="7" s="1"/>
  <c r="AD82" i="7"/>
  <c r="AI82" i="7" s="1"/>
  <c r="AF84" i="7"/>
  <c r="AK84" i="7" s="1"/>
  <c r="AC87" i="7"/>
  <c r="AH87" i="7" s="1"/>
  <c r="AE89" i="7"/>
  <c r="AJ89" i="7" s="1"/>
  <c r="AB92" i="7"/>
  <c r="AG92" i="7" s="1"/>
  <c r="AD94" i="7"/>
  <c r="AI94" i="7" s="1"/>
  <c r="AF96" i="7"/>
  <c r="AK96" i="7" s="1"/>
  <c r="AC99" i="7"/>
  <c r="AH99" i="7" s="1"/>
  <c r="AE101" i="7"/>
  <c r="AJ101" i="7" s="1"/>
  <c r="AB104" i="7"/>
  <c r="AG104" i="7" s="1"/>
  <c r="AD106" i="7"/>
  <c r="AI106" i="7" s="1"/>
  <c r="AF108" i="7"/>
  <c r="AK108" i="7" s="1"/>
  <c r="AC111" i="7"/>
  <c r="AH111" i="7" s="1"/>
  <c r="AE113" i="7"/>
  <c r="AJ113" i="7" s="1"/>
  <c r="AB116" i="7"/>
  <c r="AG116" i="7" s="1"/>
  <c r="AD118" i="7"/>
  <c r="AI118" i="7" s="1"/>
  <c r="AF120" i="7"/>
  <c r="AK120" i="7" s="1"/>
  <c r="AC123" i="7"/>
  <c r="AH123" i="7" s="1"/>
  <c r="AE125" i="7"/>
  <c r="AJ125" i="7" s="1"/>
  <c r="AB128" i="7"/>
  <c r="AG128" i="7" s="1"/>
  <c r="AD130" i="7"/>
  <c r="AI130" i="7" s="1"/>
  <c r="AF132" i="7"/>
  <c r="AK132" i="7" s="1"/>
  <c r="AC135" i="7"/>
  <c r="AH135" i="7" s="1"/>
  <c r="AE137" i="7"/>
  <c r="AJ137" i="7" s="1"/>
  <c r="AB140" i="7"/>
  <c r="AG140" i="7" s="1"/>
  <c r="AD142" i="7"/>
  <c r="AI142" i="7" s="1"/>
  <c r="AF144" i="7"/>
  <c r="AK144" i="7" s="1"/>
  <c r="AC147" i="7"/>
  <c r="AH147" i="7" s="1"/>
  <c r="AE149" i="7"/>
  <c r="AJ149" i="7" s="1"/>
  <c r="AB152" i="7"/>
  <c r="AG152" i="7" s="1"/>
  <c r="AD154" i="7"/>
  <c r="AI154" i="7" s="1"/>
  <c r="AF156" i="7"/>
  <c r="AK156" i="7" s="1"/>
  <c r="AC159" i="7"/>
  <c r="AH159" i="7" s="1"/>
  <c r="AE161" i="7"/>
  <c r="AJ161" i="7" s="1"/>
  <c r="AB164" i="7"/>
  <c r="AG164" i="7" s="1"/>
  <c r="AD166" i="7"/>
  <c r="AI166" i="7" s="1"/>
  <c r="AF168" i="7"/>
  <c r="AK168" i="7" s="1"/>
  <c r="AC171" i="7"/>
  <c r="AH171" i="7" s="1"/>
  <c r="AE173" i="7"/>
  <c r="AJ173" i="7" s="1"/>
  <c r="AB176" i="7"/>
  <c r="AG176" i="7" s="1"/>
  <c r="AD178" i="7"/>
  <c r="AI178" i="7" s="1"/>
  <c r="AF180" i="7"/>
  <c r="AK180" i="7" s="1"/>
  <c r="AC183" i="7"/>
  <c r="AH183" i="7" s="1"/>
  <c r="AE185" i="7"/>
  <c r="AJ185" i="7" s="1"/>
  <c r="AB188" i="7"/>
  <c r="AG188" i="7" s="1"/>
  <c r="AD190" i="7"/>
  <c r="AI190" i="7" s="1"/>
  <c r="AF192" i="7"/>
  <c r="AK192" i="7" s="1"/>
  <c r="AC195" i="7"/>
  <c r="AH195" i="7" s="1"/>
  <c r="AE197" i="7"/>
  <c r="AJ197" i="7" s="1"/>
  <c r="AB200" i="7"/>
  <c r="AG200" i="7" s="1"/>
  <c r="AD202" i="7"/>
  <c r="AI202" i="7" s="1"/>
  <c r="AF204" i="7"/>
  <c r="AK204" i="7" s="1"/>
  <c r="AC207" i="7"/>
  <c r="AH207" i="7" s="1"/>
  <c r="AE209" i="7"/>
  <c r="AJ209" i="7" s="1"/>
  <c r="AB212" i="7"/>
  <c r="AG212" i="7" s="1"/>
  <c r="AD214" i="7"/>
  <c r="AI214" i="7" s="1"/>
  <c r="AF216" i="7"/>
  <c r="AK216" i="7" s="1"/>
  <c r="AC219" i="7"/>
  <c r="AH219" i="7" s="1"/>
  <c r="AE221" i="7"/>
  <c r="AJ221" i="7" s="1"/>
  <c r="AB224" i="7"/>
  <c r="AG224" i="7" s="1"/>
  <c r="AD226" i="7"/>
  <c r="AI226" i="7" s="1"/>
  <c r="AF228" i="7"/>
  <c r="AK228" i="7" s="1"/>
  <c r="AC231" i="7"/>
  <c r="AH231" i="7" s="1"/>
  <c r="AE233" i="7"/>
  <c r="AJ233" i="7" s="1"/>
  <c r="AB236" i="7"/>
  <c r="AG236" i="7" s="1"/>
  <c r="AD238" i="7"/>
  <c r="AI238" i="7" s="1"/>
  <c r="AF240" i="7"/>
  <c r="AK240" i="7" s="1"/>
  <c r="AC243" i="7"/>
  <c r="AH243" i="7" s="1"/>
  <c r="AE245" i="7"/>
  <c r="AJ245" i="7" s="1"/>
  <c r="AB248" i="7"/>
  <c r="AG248" i="7" s="1"/>
  <c r="AD250" i="7"/>
  <c r="AI250" i="7" s="1"/>
  <c r="AF252" i="7"/>
  <c r="AK252" i="7" s="1"/>
  <c r="AC255" i="7"/>
  <c r="AH255" i="7" s="1"/>
  <c r="AE257" i="7"/>
  <c r="AJ257" i="7" s="1"/>
  <c r="AB260" i="7"/>
  <c r="AG260" i="7" s="1"/>
  <c r="AD262" i="7"/>
  <c r="AI262" i="7" s="1"/>
  <c r="AF264" i="7"/>
  <c r="AK264" i="7" s="1"/>
  <c r="AC267" i="7"/>
  <c r="AH267" i="7" s="1"/>
  <c r="AE269" i="7"/>
  <c r="AJ269" i="7" s="1"/>
  <c r="AB272" i="7"/>
  <c r="AG272" i="7" s="1"/>
  <c r="AD274" i="7"/>
  <c r="AI274" i="7" s="1"/>
  <c r="AF276" i="7"/>
  <c r="AK276" i="7" s="1"/>
  <c r="AC279" i="7"/>
  <c r="AH279" i="7" s="1"/>
  <c r="AE281" i="7"/>
  <c r="AJ281" i="7" s="1"/>
  <c r="AB284" i="7"/>
  <c r="AG284" i="7" s="1"/>
  <c r="AD286" i="7"/>
  <c r="AI286" i="7" s="1"/>
  <c r="AF288" i="7"/>
  <c r="AK288" i="7" s="1"/>
  <c r="AC291" i="7"/>
  <c r="AH291" i="7" s="1"/>
  <c r="AE293" i="7"/>
  <c r="AJ293" i="7" s="1"/>
  <c r="AB296" i="7"/>
  <c r="AG296" i="7" s="1"/>
  <c r="AD298" i="7"/>
  <c r="AI298" i="7" s="1"/>
  <c r="AF300" i="7"/>
  <c r="AK300" i="7" s="1"/>
  <c r="AC303" i="7"/>
  <c r="AH303" i="7" s="1"/>
  <c r="AE305" i="7"/>
  <c r="AJ305" i="7" s="1"/>
  <c r="AB308" i="7"/>
  <c r="AG308" i="7" s="1"/>
  <c r="AD310" i="7"/>
  <c r="AI310" i="7" s="1"/>
  <c r="AF312" i="7"/>
  <c r="AK312" i="7" s="1"/>
  <c r="AC315" i="7"/>
  <c r="AH315" i="7" s="1"/>
  <c r="AE317" i="7"/>
  <c r="AJ317" i="7" s="1"/>
  <c r="AB320" i="7"/>
  <c r="AG320" i="7" s="1"/>
  <c r="AD322" i="7"/>
  <c r="AI322" i="7" s="1"/>
  <c r="AF324" i="7"/>
  <c r="AK324" i="7" s="1"/>
  <c r="AC327" i="7"/>
  <c r="AH327" i="7" s="1"/>
  <c r="AE329" i="7"/>
  <c r="AJ329" i="7" s="1"/>
  <c r="AB332" i="7"/>
  <c r="AG332" i="7" s="1"/>
  <c r="AD334" i="7"/>
  <c r="AI334" i="7" s="1"/>
  <c r="AF336" i="7"/>
  <c r="AK336" i="7" s="1"/>
  <c r="AC339" i="7"/>
  <c r="AH339" i="7" s="1"/>
  <c r="AE341" i="7"/>
  <c r="AJ341" i="7" s="1"/>
  <c r="AB344" i="7"/>
  <c r="AG344" i="7" s="1"/>
  <c r="AD346" i="7"/>
  <c r="AI346" i="7" s="1"/>
  <c r="AF348" i="7"/>
  <c r="AK348" i="7" s="1"/>
  <c r="AC351" i="7"/>
  <c r="AH351" i="7" s="1"/>
  <c r="AE353" i="7"/>
  <c r="AJ353" i="7" s="1"/>
  <c r="AB356" i="7"/>
  <c r="AG356" i="7" s="1"/>
  <c r="AD358" i="7"/>
  <c r="AI358" i="7" s="1"/>
  <c r="AF360" i="7"/>
  <c r="AK360" i="7" s="1"/>
  <c r="AC363" i="7"/>
  <c r="AH363" i="7" s="1"/>
  <c r="AE365" i="7"/>
  <c r="AJ365" i="7" s="1"/>
  <c r="AB368" i="7"/>
  <c r="AG368" i="7" s="1"/>
  <c r="AD370" i="7"/>
  <c r="AI370" i="7" s="1"/>
  <c r="AF372" i="7"/>
  <c r="AK372" i="7" s="1"/>
  <c r="AC375" i="7"/>
  <c r="AH375" i="7" s="1"/>
  <c r="AE377" i="7"/>
  <c r="AJ377" i="7" s="1"/>
  <c r="AB380" i="7"/>
  <c r="AG380" i="7" s="1"/>
  <c r="AD382" i="7"/>
  <c r="AI382" i="7" s="1"/>
  <c r="AF384" i="7"/>
  <c r="AK384" i="7" s="1"/>
  <c r="AC387" i="7"/>
  <c r="AH387" i="7" s="1"/>
  <c r="AE389" i="7"/>
  <c r="AJ389" i="7" s="1"/>
  <c r="AB392" i="7"/>
  <c r="AG392" i="7" s="1"/>
  <c r="AD394" i="7"/>
  <c r="AI394" i="7" s="1"/>
  <c r="AF396" i="7"/>
  <c r="AK396" i="7" s="1"/>
  <c r="AC399" i="7"/>
  <c r="AH399" i="7" s="1"/>
  <c r="AE401" i="7"/>
  <c r="AJ401" i="7" s="1"/>
  <c r="AB404" i="7"/>
  <c r="AG404" i="7" s="1"/>
  <c r="AD406" i="7"/>
  <c r="AI406" i="7" s="1"/>
  <c r="AF408" i="7"/>
  <c r="AK408" i="7" s="1"/>
  <c r="AC411" i="7"/>
  <c r="AH411" i="7" s="1"/>
  <c r="AE413" i="7"/>
  <c r="AJ413" i="7" s="1"/>
  <c r="AB416" i="7"/>
  <c r="AG416" i="7" s="1"/>
  <c r="AD418" i="7"/>
  <c r="AI418" i="7" s="1"/>
  <c r="AF420" i="7"/>
  <c r="AK420" i="7" s="1"/>
  <c r="AC423" i="7"/>
  <c r="AH423" i="7" s="1"/>
  <c r="AE425" i="7"/>
  <c r="AJ425" i="7" s="1"/>
  <c r="AB428" i="7"/>
  <c r="AG428" i="7" s="1"/>
  <c r="AD430" i="7"/>
  <c r="AI430" i="7" s="1"/>
  <c r="AF432" i="7"/>
  <c r="AK432" i="7" s="1"/>
  <c r="AC435" i="7"/>
  <c r="AH435" i="7" s="1"/>
  <c r="AE437" i="7"/>
  <c r="AJ437" i="7" s="1"/>
  <c r="AB440" i="7"/>
  <c r="AG440" i="7" s="1"/>
  <c r="AD442" i="7"/>
  <c r="AI442" i="7" s="1"/>
  <c r="AF444" i="7"/>
  <c r="AK444" i="7" s="1"/>
  <c r="AC447" i="7"/>
  <c r="AH447" i="7" s="1"/>
  <c r="AE449" i="7"/>
  <c r="AJ449" i="7" s="1"/>
  <c r="AB452" i="7"/>
  <c r="AG452" i="7" s="1"/>
  <c r="AD454" i="7"/>
  <c r="AI454" i="7" s="1"/>
  <c r="AF456" i="7"/>
  <c r="AK456" i="7" s="1"/>
  <c r="AC459" i="7"/>
  <c r="AH459" i="7" s="1"/>
  <c r="AE461" i="7"/>
  <c r="AJ461" i="7" s="1"/>
  <c r="AB464" i="7"/>
  <c r="AG464" i="7" s="1"/>
  <c r="AD466" i="7"/>
  <c r="AI466" i="7" s="1"/>
  <c r="AF468" i="7"/>
  <c r="AK468" i="7" s="1"/>
  <c r="AC471" i="7"/>
  <c r="AH471" i="7" s="1"/>
  <c r="AE473" i="7"/>
  <c r="AJ473" i="7" s="1"/>
  <c r="AB476" i="7"/>
  <c r="AG476" i="7" s="1"/>
  <c r="AD478" i="7"/>
  <c r="AI478" i="7" s="1"/>
  <c r="AF480" i="7"/>
  <c r="AK480" i="7" s="1"/>
  <c r="AC483" i="7"/>
  <c r="AH483" i="7" s="1"/>
  <c r="AE485" i="7"/>
  <c r="AJ485" i="7" s="1"/>
  <c r="AB488" i="7"/>
  <c r="AG488" i="7" s="1"/>
  <c r="AD490" i="7"/>
  <c r="AI490" i="7" s="1"/>
  <c r="AF492" i="7"/>
  <c r="AK492" i="7" s="1"/>
  <c r="AC495" i="7"/>
  <c r="AH495" i="7" s="1"/>
  <c r="AE497" i="7"/>
  <c r="AJ497" i="7" s="1"/>
  <c r="AB500" i="7"/>
  <c r="AG500" i="7" s="1"/>
  <c r="AD502" i="7"/>
  <c r="AI502" i="7" s="1"/>
  <c r="AF504" i="7"/>
  <c r="AK504" i="7" s="1"/>
  <c r="AC507" i="7"/>
  <c r="AH507" i="7" s="1"/>
  <c r="AE509" i="7"/>
  <c r="AJ509" i="7" s="1"/>
  <c r="AB512" i="7"/>
  <c r="AG512" i="7" s="1"/>
  <c r="AD514" i="7"/>
  <c r="AI514" i="7" s="1"/>
  <c r="AF516" i="7"/>
  <c r="AK516" i="7" s="1"/>
  <c r="AC519" i="7"/>
  <c r="AH519" i="7" s="1"/>
  <c r="AE521" i="7"/>
  <c r="AJ521" i="7" s="1"/>
  <c r="AB524" i="7"/>
  <c r="AG524" i="7" s="1"/>
  <c r="AD526" i="7"/>
  <c r="AI526" i="7" s="1"/>
  <c r="AF528" i="7"/>
  <c r="AK528" i="7" s="1"/>
  <c r="AC531" i="7"/>
  <c r="AH531" i="7" s="1"/>
  <c r="AE533" i="7"/>
  <c r="AJ533" i="7" s="1"/>
  <c r="AB536" i="7"/>
  <c r="AG536" i="7" s="1"/>
  <c r="AD538" i="7"/>
  <c r="AI538" i="7" s="1"/>
  <c r="AF540" i="7"/>
  <c r="AK540" i="7" s="1"/>
  <c r="AC543" i="7"/>
  <c r="AH543" i="7" s="1"/>
  <c r="AE545" i="7"/>
  <c r="AJ545" i="7" s="1"/>
  <c r="AB548" i="7"/>
  <c r="AG548" i="7" s="1"/>
  <c r="AD550" i="7"/>
  <c r="AI550" i="7" s="1"/>
  <c r="AF552" i="7"/>
  <c r="AK552" i="7" s="1"/>
  <c r="AC555" i="7"/>
  <c r="AH555" i="7" s="1"/>
  <c r="AE557" i="7"/>
  <c r="AJ557" i="7" s="1"/>
  <c r="AB560" i="7"/>
  <c r="AG560" i="7" s="1"/>
  <c r="AD562" i="7"/>
  <c r="AI562" i="7" s="1"/>
  <c r="AF564" i="7"/>
  <c r="AK564" i="7" s="1"/>
  <c r="AC567" i="7"/>
  <c r="AH567" i="7" s="1"/>
  <c r="AE569" i="7"/>
  <c r="AJ569" i="7" s="1"/>
  <c r="AB572" i="7"/>
  <c r="AG572" i="7" s="1"/>
  <c r="AD574" i="7"/>
  <c r="AI574" i="7" s="1"/>
  <c r="AF576" i="7"/>
  <c r="AK576" i="7" s="1"/>
  <c r="AC579" i="7"/>
  <c r="AH579" i="7" s="1"/>
  <c r="AE581" i="7"/>
  <c r="AJ581" i="7" s="1"/>
  <c r="AB584" i="7"/>
  <c r="AG584" i="7" s="1"/>
  <c r="AD586" i="7"/>
  <c r="AI586" i="7" s="1"/>
  <c r="AF588" i="7"/>
  <c r="AK588" i="7" s="1"/>
  <c r="AC591" i="7"/>
  <c r="AH591" i="7" s="1"/>
  <c r="AE593" i="7"/>
  <c r="AJ593" i="7" s="1"/>
  <c r="AB596" i="7"/>
  <c r="AG596" i="7" s="1"/>
  <c r="AD598" i="7"/>
  <c r="AI598" i="7" s="1"/>
  <c r="AF600" i="7"/>
  <c r="AK600" i="7" s="1"/>
  <c r="AC603" i="7"/>
  <c r="AH603" i="7" s="1"/>
  <c r="AE605" i="7"/>
  <c r="AJ605" i="7" s="1"/>
  <c r="AB608" i="7"/>
  <c r="AG608" i="7" s="1"/>
  <c r="AD610" i="7"/>
  <c r="AI610" i="7" s="1"/>
  <c r="AF612" i="7"/>
  <c r="AK612" i="7" s="1"/>
  <c r="AC615" i="7"/>
  <c r="AH615" i="7" s="1"/>
  <c r="AE617" i="7"/>
  <c r="AJ617" i="7" s="1"/>
  <c r="AB620" i="7"/>
  <c r="AG620" i="7" s="1"/>
  <c r="AD622" i="7"/>
  <c r="AI622" i="7" s="1"/>
  <c r="AF624" i="7"/>
  <c r="AK624" i="7" s="1"/>
  <c r="AC627" i="7"/>
  <c r="AH627" i="7" s="1"/>
  <c r="AE629" i="7"/>
  <c r="AJ629" i="7" s="1"/>
  <c r="AB632" i="7"/>
  <c r="AG632" i="7" s="1"/>
  <c r="AD634" i="7"/>
  <c r="AI634" i="7" s="1"/>
  <c r="AF636" i="7"/>
  <c r="AK636" i="7" s="1"/>
  <c r="AC639" i="7"/>
  <c r="AH639" i="7" s="1"/>
  <c r="AE641" i="7"/>
  <c r="AJ641" i="7" s="1"/>
  <c r="AB644" i="7"/>
  <c r="AG644" i="7" s="1"/>
  <c r="AD646" i="7"/>
  <c r="AI646" i="7" s="1"/>
  <c r="AF648" i="7"/>
  <c r="AK648" i="7" s="1"/>
  <c r="AC651" i="7"/>
  <c r="AH651" i="7" s="1"/>
  <c r="AE653" i="7"/>
  <c r="AJ653" i="7" s="1"/>
  <c r="AB656" i="7"/>
  <c r="AG656" i="7" s="1"/>
  <c r="AD658" i="7"/>
  <c r="AI658" i="7" s="1"/>
  <c r="AF660" i="7"/>
  <c r="AK660" i="7" s="1"/>
  <c r="AC663" i="7"/>
  <c r="AH663" i="7" s="1"/>
  <c r="AE665" i="7"/>
  <c r="AJ665" i="7" s="1"/>
  <c r="AB668" i="7"/>
  <c r="AG668" i="7" s="1"/>
  <c r="AD670" i="7"/>
  <c r="AI670" i="7" s="1"/>
  <c r="AF672" i="7"/>
  <c r="AK672" i="7" s="1"/>
  <c r="AC675" i="7"/>
  <c r="AH675" i="7" s="1"/>
  <c r="AE677" i="7"/>
  <c r="AJ677" i="7" s="1"/>
  <c r="AB680" i="7"/>
  <c r="AG680" i="7" s="1"/>
  <c r="AD682" i="7"/>
  <c r="AI682" i="7" s="1"/>
  <c r="AF684" i="7"/>
  <c r="AK684" i="7" s="1"/>
  <c r="AC687" i="7"/>
  <c r="AH687" i="7" s="1"/>
  <c r="AE689" i="7"/>
  <c r="AJ689" i="7" s="1"/>
  <c r="AB692" i="7"/>
  <c r="AG692" i="7" s="1"/>
  <c r="AD694" i="7"/>
  <c r="AI694" i="7" s="1"/>
  <c r="AF696" i="7"/>
  <c r="AK696" i="7" s="1"/>
  <c r="AC699" i="7"/>
  <c r="AH699" i="7" s="1"/>
  <c r="AE701" i="7"/>
  <c r="AJ701" i="7" s="1"/>
  <c r="AB704" i="7"/>
  <c r="AG704" i="7" s="1"/>
  <c r="AD706" i="7"/>
  <c r="AI706" i="7" s="1"/>
  <c r="AF708" i="7"/>
  <c r="AK708" i="7" s="1"/>
  <c r="AC711" i="7"/>
  <c r="AH711" i="7" s="1"/>
  <c r="AE713" i="7"/>
  <c r="AJ713" i="7" s="1"/>
  <c r="AB716" i="7"/>
  <c r="AG716" i="7" s="1"/>
  <c r="AD718" i="7"/>
  <c r="AI718" i="7" s="1"/>
  <c r="AF720" i="7"/>
  <c r="AK720" i="7" s="1"/>
  <c r="AC723" i="7"/>
  <c r="AH723" i="7" s="1"/>
  <c r="AE725" i="7"/>
  <c r="AJ725" i="7" s="1"/>
  <c r="AB728" i="7"/>
  <c r="AG728" i="7" s="1"/>
  <c r="AD730" i="7"/>
  <c r="AI730" i="7" s="1"/>
  <c r="AF732" i="7"/>
  <c r="AK732" i="7" s="1"/>
  <c r="AC735" i="7"/>
  <c r="AH735" i="7" s="1"/>
  <c r="AE737" i="7"/>
  <c r="AJ737" i="7" s="1"/>
  <c r="AB740" i="7"/>
  <c r="AG740" i="7" s="1"/>
  <c r="AD742" i="7"/>
  <c r="AI742" i="7" s="1"/>
  <c r="AF744" i="7"/>
  <c r="AK744" i="7" s="1"/>
  <c r="AC747" i="7"/>
  <c r="AH747" i="7" s="1"/>
  <c r="AE749" i="7"/>
  <c r="AJ749" i="7" s="1"/>
  <c r="AB752" i="7"/>
  <c r="AG752" i="7" s="1"/>
  <c r="AD754" i="7"/>
  <c r="AI754" i="7" s="1"/>
  <c r="AF756" i="7"/>
  <c r="AK756" i="7" s="1"/>
  <c r="AC759" i="7"/>
  <c r="AH759" i="7" s="1"/>
  <c r="AE761" i="7"/>
  <c r="AJ761" i="7" s="1"/>
  <c r="AB764" i="7"/>
  <c r="AG764" i="7" s="1"/>
  <c r="AD766" i="7"/>
  <c r="AI766" i="7" s="1"/>
  <c r="AF768" i="7"/>
  <c r="AK768" i="7" s="1"/>
  <c r="AC771" i="7"/>
  <c r="AH771" i="7" s="1"/>
  <c r="AE773" i="7"/>
  <c r="AJ773" i="7" s="1"/>
  <c r="AB776" i="7"/>
  <c r="AG776" i="7" s="1"/>
  <c r="AD778" i="7"/>
  <c r="AI778" i="7" s="1"/>
  <c r="AF780" i="7"/>
  <c r="AK780" i="7" s="1"/>
  <c r="AC783" i="7"/>
  <c r="AH783" i="7" s="1"/>
  <c r="AE785" i="7"/>
  <c r="AJ785" i="7" s="1"/>
  <c r="AB788" i="7"/>
  <c r="AG788" i="7" s="1"/>
  <c r="AD790" i="7"/>
  <c r="AI790" i="7" s="1"/>
  <c r="AF792" i="7"/>
  <c r="AK792" i="7" s="1"/>
  <c r="AC795" i="7"/>
  <c r="AH795" i="7" s="1"/>
  <c r="AE797" i="7"/>
  <c r="AJ797" i="7" s="1"/>
  <c r="AB800" i="7"/>
  <c r="AG800" i="7" s="1"/>
  <c r="AD802" i="7"/>
  <c r="AI802" i="7" s="1"/>
  <c r="AF804" i="7"/>
  <c r="AK804" i="7" s="1"/>
  <c r="AB100" i="7"/>
  <c r="AG100" i="7" s="1"/>
  <c r="AE265" i="7"/>
  <c r="AJ265" i="7" s="1"/>
  <c r="AE385" i="7"/>
  <c r="AJ385" i="7" s="1"/>
  <c r="AF500" i="7"/>
  <c r="AK500" i="7" s="1"/>
  <c r="AC563" i="7"/>
  <c r="AH563" i="7" s="1"/>
  <c r="AB153" i="7"/>
  <c r="AG153" i="7" s="1"/>
  <c r="AD299" i="7"/>
  <c r="AI299" i="7" s="1"/>
  <c r="AE498" i="7"/>
  <c r="AJ498" i="7" s="1"/>
  <c r="AB669" i="7"/>
  <c r="AG669" i="7" s="1"/>
  <c r="AD803" i="7"/>
  <c r="AI803" i="7" s="1"/>
  <c r="AC916" i="7"/>
  <c r="AH916" i="7" s="1"/>
  <c r="AE71" i="7"/>
  <c r="AJ71" i="7" s="1"/>
  <c r="AD292" i="7"/>
  <c r="AI292" i="7" s="1"/>
  <c r="AC79" i="7"/>
  <c r="AH79" i="7" s="1"/>
  <c r="AE213" i="7"/>
  <c r="AJ213" i="7" s="1"/>
  <c r="AE333" i="7"/>
  <c r="AJ333" i="7" s="1"/>
  <c r="AF472" i="7"/>
  <c r="AK472" i="7" s="1"/>
  <c r="AC703" i="7"/>
  <c r="AH703" i="7" s="1"/>
  <c r="AF141" i="7"/>
  <c r="AK141" i="7" s="1"/>
  <c r="AC432" i="7"/>
  <c r="AH432" i="7" s="1"/>
  <c r="AC173" i="7"/>
  <c r="AH173" i="7" s="1"/>
  <c r="AD324" i="7"/>
  <c r="AI324" i="7" s="1"/>
  <c r="AD516" i="7"/>
  <c r="AI516" i="7" s="1"/>
  <c r="AC785" i="7"/>
  <c r="AH785" i="7" s="1"/>
  <c r="AE94" i="7"/>
  <c r="AJ94" i="7" s="1"/>
  <c r="AC104" i="7"/>
  <c r="AH104" i="7" s="1"/>
  <c r="AE106" i="7"/>
  <c r="AJ106" i="7" s="1"/>
  <c r="AB109" i="7"/>
  <c r="AG109" i="7" s="1"/>
  <c r="AD111" i="7"/>
  <c r="AI111" i="7" s="1"/>
  <c r="AF113" i="7"/>
  <c r="AK113" i="7" s="1"/>
  <c r="AC116" i="7"/>
  <c r="AH116" i="7" s="1"/>
  <c r="AE118" i="7"/>
  <c r="AJ118" i="7" s="1"/>
  <c r="AD102" i="7"/>
  <c r="AI102" i="7" s="1"/>
  <c r="AD114" i="7"/>
  <c r="AI114" i="7" s="1"/>
  <c r="AD126" i="7"/>
  <c r="AI126" i="7" s="1"/>
  <c r="AB136" i="7"/>
  <c r="AG136" i="7" s="1"/>
  <c r="AB148" i="7"/>
  <c r="AG148" i="7" s="1"/>
  <c r="AE157" i="7"/>
  <c r="AJ157" i="7" s="1"/>
  <c r="AC167" i="7"/>
  <c r="AH167" i="7" s="1"/>
  <c r="AF176" i="7"/>
  <c r="AK176" i="7" s="1"/>
  <c r="AB184" i="7"/>
  <c r="AG184" i="7" s="1"/>
  <c r="AD198" i="7"/>
  <c r="AI198" i="7" s="1"/>
  <c r="AB208" i="7"/>
  <c r="AG208" i="7" s="1"/>
  <c r="AE217" i="7"/>
  <c r="AJ217" i="7" s="1"/>
  <c r="AE229" i="7"/>
  <c r="AJ229" i="7" s="1"/>
  <c r="AC239" i="7"/>
  <c r="AH239" i="7" s="1"/>
  <c r="AE253" i="7"/>
  <c r="AJ253" i="7" s="1"/>
  <c r="AC263" i="7"/>
  <c r="AH263" i="7" s="1"/>
  <c r="AF272" i="7"/>
  <c r="AK272" i="7" s="1"/>
  <c r="AD282" i="7"/>
  <c r="AI282" i="7" s="1"/>
  <c r="AE289" i="7"/>
  <c r="AJ289" i="7" s="1"/>
  <c r="AC299" i="7"/>
  <c r="AH299" i="7" s="1"/>
  <c r="AD306" i="7"/>
  <c r="AI306" i="7" s="1"/>
  <c r="AD318" i="7"/>
  <c r="AI318" i="7" s="1"/>
  <c r="AD330" i="7"/>
  <c r="AI330" i="7" s="1"/>
  <c r="AD342" i="7"/>
  <c r="AI342" i="7" s="1"/>
  <c r="AF356" i="7"/>
  <c r="AK356" i="7" s="1"/>
  <c r="AF368" i="7"/>
  <c r="AK368" i="7" s="1"/>
  <c r="AC383" i="7"/>
  <c r="AH383" i="7" s="1"/>
  <c r="AE397" i="7"/>
  <c r="AJ397" i="7" s="1"/>
  <c r="AC407" i="7"/>
  <c r="AH407" i="7" s="1"/>
  <c r="AF416" i="7"/>
  <c r="AK416" i="7" s="1"/>
  <c r="AD426" i="7"/>
  <c r="AI426" i="7" s="1"/>
  <c r="AE433" i="7"/>
  <c r="AJ433" i="7" s="1"/>
  <c r="AC443" i="7"/>
  <c r="AH443" i="7" s="1"/>
  <c r="AD450" i="7"/>
  <c r="AI450" i="7" s="1"/>
  <c r="AB460" i="7"/>
  <c r="AG460" i="7" s="1"/>
  <c r="AD462" i="7"/>
  <c r="AI462" i="7" s="1"/>
  <c r="AB472" i="7"/>
  <c r="AG472" i="7" s="1"/>
  <c r="AE481" i="7"/>
  <c r="AJ481" i="7" s="1"/>
  <c r="AE493" i="7"/>
  <c r="AJ493" i="7" s="1"/>
  <c r="AC503" i="7"/>
  <c r="AH503" i="7" s="1"/>
  <c r="AD510" i="7"/>
  <c r="AI510" i="7" s="1"/>
  <c r="AB520" i="7"/>
  <c r="AG520" i="7" s="1"/>
  <c r="AD534" i="7"/>
  <c r="AI534" i="7" s="1"/>
  <c r="AC575" i="7"/>
  <c r="AH575" i="7" s="1"/>
  <c r="AC52" i="7"/>
  <c r="AH52" i="7" s="1"/>
  <c r="AC64" i="7"/>
  <c r="AH64" i="7" s="1"/>
  <c r="AC76" i="7"/>
  <c r="AH76" i="7" s="1"/>
  <c r="AC88" i="7"/>
  <c r="AH88" i="7" s="1"/>
  <c r="AC100" i="7"/>
  <c r="AH100" i="7" s="1"/>
  <c r="AD107" i="7"/>
  <c r="AI107" i="7" s="1"/>
  <c r="AB117" i="7"/>
  <c r="AG117" i="7" s="1"/>
  <c r="AB129" i="7"/>
  <c r="AG129" i="7" s="1"/>
  <c r="AB141" i="7"/>
  <c r="AG141" i="7" s="1"/>
  <c r="AE150" i="7"/>
  <c r="AJ150" i="7" s="1"/>
  <c r="AE162" i="7"/>
  <c r="AJ162" i="7" s="1"/>
  <c r="AC172" i="7"/>
  <c r="AH172" i="7" s="1"/>
  <c r="AF181" i="7"/>
  <c r="AK181" i="7" s="1"/>
  <c r="AB189" i="7"/>
  <c r="AG189" i="7" s="1"/>
  <c r="AB201" i="7"/>
  <c r="AG201" i="7" s="1"/>
  <c r="AE210" i="7"/>
  <c r="AJ210" i="7" s="1"/>
  <c r="AE222" i="7"/>
  <c r="AJ222" i="7" s="1"/>
  <c r="AC232" i="7"/>
  <c r="AH232" i="7" s="1"/>
  <c r="AF241" i="7"/>
  <c r="AK241" i="7" s="1"/>
  <c r="AF253" i="7"/>
  <c r="AK253" i="7" s="1"/>
  <c r="AD263" i="7"/>
  <c r="AI263" i="7" s="1"/>
  <c r="AF277" i="7"/>
  <c r="AK277" i="7" s="1"/>
  <c r="AC292" i="7"/>
  <c r="AH292" i="7" s="1"/>
  <c r="AC304" i="7"/>
  <c r="AH304" i="7" s="1"/>
  <c r="AE318" i="7"/>
  <c r="AJ318" i="7" s="1"/>
  <c r="AC328" i="7"/>
  <c r="AH328" i="7" s="1"/>
  <c r="AC340" i="7"/>
  <c r="AH340" i="7" s="1"/>
  <c r="AC352" i="7"/>
  <c r="AH352" i="7" s="1"/>
  <c r="AD359" i="7"/>
  <c r="AI359" i="7" s="1"/>
  <c r="AB369" i="7"/>
  <c r="AG369" i="7" s="1"/>
  <c r="AB381" i="7"/>
  <c r="AG381" i="7" s="1"/>
  <c r="AE390" i="7"/>
  <c r="AJ390" i="7" s="1"/>
  <c r="AC400" i="7"/>
  <c r="AH400" i="7" s="1"/>
  <c r="AC412" i="7"/>
  <c r="AH412" i="7" s="1"/>
  <c r="AD419" i="7"/>
  <c r="AI419" i="7" s="1"/>
  <c r="AD431" i="7"/>
  <c r="AI431" i="7" s="1"/>
  <c r="AD443" i="7"/>
  <c r="AI443" i="7" s="1"/>
  <c r="AB453" i="7"/>
  <c r="AG453" i="7" s="1"/>
  <c r="AB465" i="7"/>
  <c r="AG465" i="7" s="1"/>
  <c r="AB477" i="7"/>
  <c r="AG477" i="7" s="1"/>
  <c r="AF481" i="7"/>
  <c r="AK481" i="7" s="1"/>
  <c r="AD491" i="7"/>
  <c r="AI491" i="7" s="1"/>
  <c r="AD503" i="7"/>
  <c r="AI503" i="7" s="1"/>
  <c r="AB513" i="7"/>
  <c r="AG513" i="7" s="1"/>
  <c r="AB525" i="7"/>
  <c r="AG525" i="7" s="1"/>
  <c r="AE534" i="7"/>
  <c r="AJ534" i="7" s="1"/>
  <c r="AC544" i="7"/>
  <c r="AH544" i="7" s="1"/>
  <c r="AD551" i="7"/>
  <c r="AI551" i="7" s="1"/>
  <c r="AB561" i="7"/>
  <c r="AG561" i="7" s="1"/>
  <c r="AB573" i="7"/>
  <c r="AG573" i="7" s="1"/>
  <c r="AE582" i="7"/>
  <c r="AJ582" i="7" s="1"/>
  <c r="AE594" i="7"/>
  <c r="AJ594" i="7" s="1"/>
  <c r="AC604" i="7"/>
  <c r="AH604" i="7" s="1"/>
  <c r="AF613" i="7"/>
  <c r="AK613" i="7" s="1"/>
  <c r="AF625" i="7"/>
  <c r="AK625" i="7" s="1"/>
  <c r="AF637" i="7"/>
  <c r="AK637" i="7" s="1"/>
  <c r="AF649" i="7"/>
  <c r="AK649" i="7" s="1"/>
  <c r="AB657" i="7"/>
  <c r="AG657" i="7" s="1"/>
  <c r="AE666" i="7"/>
  <c r="AJ666" i="7" s="1"/>
  <c r="AE678" i="7"/>
  <c r="AJ678" i="7" s="1"/>
  <c r="AF685" i="7"/>
  <c r="AK685" i="7" s="1"/>
  <c r="AD695" i="7"/>
  <c r="AI695" i="7" s="1"/>
  <c r="AC712" i="7"/>
  <c r="AH712" i="7" s="1"/>
  <c r="AC724" i="7"/>
  <c r="AH724" i="7" s="1"/>
  <c r="AC736" i="7"/>
  <c r="AH736" i="7" s="1"/>
  <c r="AF745" i="7"/>
  <c r="AK745" i="7" s="1"/>
  <c r="AF757" i="7"/>
  <c r="AK757" i="7" s="1"/>
  <c r="AD767" i="7"/>
  <c r="AI767" i="7" s="1"/>
  <c r="AB777" i="7"/>
  <c r="AG777" i="7" s="1"/>
  <c r="AE786" i="7"/>
  <c r="AJ786" i="7" s="1"/>
  <c r="AE798" i="7"/>
  <c r="AJ798" i="7" s="1"/>
  <c r="AE810" i="7"/>
  <c r="AJ810" i="7" s="1"/>
  <c r="AF817" i="7"/>
  <c r="AK817" i="7" s="1"/>
  <c r="AF829" i="7"/>
  <c r="AK829" i="7" s="1"/>
  <c r="AC844" i="7"/>
  <c r="AH844" i="7" s="1"/>
  <c r="AE858" i="7"/>
  <c r="AJ858" i="7" s="1"/>
  <c r="AE870" i="7"/>
  <c r="AJ870" i="7" s="1"/>
  <c r="AE882" i="7"/>
  <c r="AJ882" i="7" s="1"/>
  <c r="AE894" i="7"/>
  <c r="AJ894" i="7" s="1"/>
  <c r="AC904" i="7"/>
  <c r="AH904" i="7" s="1"/>
  <c r="AE918" i="7"/>
  <c r="AJ918" i="7" s="1"/>
  <c r="AB933" i="7"/>
  <c r="AG933" i="7" s="1"/>
  <c r="AF949" i="7"/>
  <c r="AK949" i="7" s="1"/>
  <c r="AF973" i="7"/>
  <c r="AK973" i="7" s="1"/>
  <c r="AD52" i="7"/>
  <c r="AI52" i="7" s="1"/>
  <c r="AB62" i="7"/>
  <c r="AG62" i="7" s="1"/>
  <c r="AD76" i="7"/>
  <c r="AI76" i="7" s="1"/>
  <c r="AD88" i="7"/>
  <c r="AI88" i="7" s="1"/>
  <c r="AB98" i="7"/>
  <c r="AG98" i="7" s="1"/>
  <c r="AE107" i="7"/>
  <c r="AJ107" i="7" s="1"/>
  <c r="AE119" i="7"/>
  <c r="AJ119" i="7" s="1"/>
  <c r="AF126" i="7"/>
  <c r="AK126" i="7" s="1"/>
  <c r="AD136" i="7"/>
  <c r="AI136" i="7" s="1"/>
  <c r="AB146" i="7"/>
  <c r="AG146" i="7" s="1"/>
  <c r="AC153" i="7"/>
  <c r="AH153" i="7" s="1"/>
  <c r="AC165" i="7"/>
  <c r="AH165" i="7" s="1"/>
  <c r="AD172" i="7"/>
  <c r="AI172" i="7" s="1"/>
  <c r="AD184" i="7"/>
  <c r="AI184" i="7" s="1"/>
  <c r="AB194" i="7"/>
  <c r="AG194" i="7" s="1"/>
  <c r="AE203" i="7"/>
  <c r="AJ203" i="7" s="1"/>
  <c r="AC213" i="7"/>
  <c r="AH213" i="7" s="1"/>
  <c r="AF222" i="7"/>
  <c r="AK222" i="7" s="1"/>
  <c r="AF234" i="7"/>
  <c r="AK234" i="7" s="1"/>
  <c r="AF246" i="7"/>
  <c r="AK246" i="7" s="1"/>
  <c r="AB266" i="7"/>
  <c r="AG266" i="7" s="1"/>
  <c r="AF294" i="7"/>
  <c r="AK294" i="7" s="1"/>
  <c r="AD57" i="7"/>
  <c r="AI57" i="7" s="1"/>
  <c r="AB67" i="7"/>
  <c r="AG67" i="7" s="1"/>
  <c r="AE76" i="7"/>
  <c r="AJ76" i="7" s="1"/>
  <c r="AF83" i="7"/>
  <c r="AK83" i="7" s="1"/>
  <c r="AD93" i="7"/>
  <c r="AI93" i="7" s="1"/>
  <c r="AB103" i="7"/>
  <c r="AG103" i="7" s="1"/>
  <c r="AC110" i="7"/>
  <c r="AH110" i="7" s="1"/>
  <c r="AB115" i="7"/>
  <c r="AG115" i="7" s="1"/>
  <c r="AC122" i="7"/>
  <c r="AH122" i="7" s="1"/>
  <c r="AD129" i="7"/>
  <c r="AI129" i="7" s="1"/>
  <c r="AB139" i="7"/>
  <c r="AG139" i="7" s="1"/>
  <c r="AC158" i="7"/>
  <c r="AH158" i="7" s="1"/>
  <c r="AF52" i="7"/>
  <c r="AK52" i="7" s="1"/>
  <c r="AB60" i="7"/>
  <c r="AG60" i="7" s="1"/>
  <c r="AC67" i="7"/>
  <c r="AH67" i="7" s="1"/>
  <c r="AD74" i="7"/>
  <c r="AI74" i="7" s="1"/>
  <c r="AB84" i="7"/>
  <c r="AG84" i="7" s="1"/>
  <c r="AE93" i="7"/>
  <c r="AJ93" i="7" s="1"/>
  <c r="AF100" i="7"/>
  <c r="AK100" i="7" s="1"/>
  <c r="AB108" i="7"/>
  <c r="AG108" i="7" s="1"/>
  <c r="AE117" i="7"/>
  <c r="AJ117" i="7" s="1"/>
  <c r="AF124" i="7"/>
  <c r="AK124" i="7" s="1"/>
  <c r="AF136" i="7"/>
  <c r="AK136" i="7" s="1"/>
  <c r="AD146" i="7"/>
  <c r="AI146" i="7" s="1"/>
  <c r="AB156" i="7"/>
  <c r="AG156" i="7" s="1"/>
  <c r="AE165" i="7"/>
  <c r="AJ165" i="7" s="1"/>
  <c r="AF172" i="7"/>
  <c r="AK172" i="7" s="1"/>
  <c r="AD182" i="7"/>
  <c r="AI182" i="7" s="1"/>
  <c r="AE189" i="7"/>
  <c r="AJ189" i="7" s="1"/>
  <c r="AF196" i="7"/>
  <c r="AK196" i="7" s="1"/>
  <c r="AB204" i="7"/>
  <c r="AG204" i="7" s="1"/>
  <c r="AC211" i="7"/>
  <c r="AH211" i="7" s="1"/>
  <c r="AF220" i="7"/>
  <c r="AK220" i="7" s="1"/>
  <c r="AB228" i="7"/>
  <c r="AG228" i="7" s="1"/>
  <c r="AF232" i="7"/>
  <c r="AK232" i="7" s="1"/>
  <c r="AB240" i="7"/>
  <c r="AG240" i="7" s="1"/>
  <c r="AC247" i="7"/>
  <c r="AH247" i="7" s="1"/>
  <c r="AD254" i="7"/>
  <c r="AI254" i="7" s="1"/>
  <c r="AC259" i="7"/>
  <c r="AH259" i="7" s="1"/>
  <c r="AD266" i="7"/>
  <c r="AI266" i="7" s="1"/>
  <c r="AE273" i="7"/>
  <c r="AJ273" i="7" s="1"/>
  <c r="AE285" i="7"/>
  <c r="AJ285" i="7" s="1"/>
  <c r="AF292" i="7"/>
  <c r="AK292" i="7" s="1"/>
  <c r="AB300" i="7"/>
  <c r="AG300" i="7" s="1"/>
  <c r="AE309" i="7"/>
  <c r="AJ309" i="7" s="1"/>
  <c r="AD314" i="7"/>
  <c r="AI314" i="7" s="1"/>
  <c r="AE321" i="7"/>
  <c r="AJ321" i="7" s="1"/>
  <c r="AC331" i="7"/>
  <c r="AH331" i="7" s="1"/>
  <c r="AF340" i="7"/>
  <c r="AK340" i="7" s="1"/>
  <c r="AB348" i="7"/>
  <c r="AG348" i="7" s="1"/>
  <c r="AC355" i="7"/>
  <c r="AH355" i="7" s="1"/>
  <c r="AD362" i="7"/>
  <c r="AI362" i="7" s="1"/>
  <c r="AB372" i="7"/>
  <c r="AG372" i="7" s="1"/>
  <c r="AB384" i="7"/>
  <c r="AG384" i="7" s="1"/>
  <c r="AC391" i="7"/>
  <c r="AH391" i="7" s="1"/>
  <c r="AD398" i="7"/>
  <c r="AI398" i="7" s="1"/>
  <c r="AB408" i="7"/>
  <c r="AG408" i="7" s="1"/>
  <c r="AC415" i="7"/>
  <c r="AH415" i="7" s="1"/>
  <c r="AF424" i="7"/>
  <c r="AK424" i="7" s="1"/>
  <c r="AF436" i="7"/>
  <c r="AK436" i="7" s="1"/>
  <c r="AB444" i="7"/>
  <c r="AG444" i="7" s="1"/>
  <c r="AC451" i="7"/>
  <c r="AH451" i="7" s="1"/>
  <c r="AD458" i="7"/>
  <c r="AI458" i="7" s="1"/>
  <c r="AB468" i="7"/>
  <c r="AG468" i="7" s="1"/>
  <c r="AE477" i="7"/>
  <c r="AJ477" i="7" s="1"/>
  <c r="AC487" i="7"/>
  <c r="AH487" i="7" s="1"/>
  <c r="AC499" i="7"/>
  <c r="AH499" i="7" s="1"/>
  <c r="AF508" i="7"/>
  <c r="AK508" i="7" s="1"/>
  <c r="AD518" i="7"/>
  <c r="AI518" i="7" s="1"/>
  <c r="AD530" i="7"/>
  <c r="AI530" i="7" s="1"/>
  <c r="AE549" i="7"/>
  <c r="AJ549" i="7" s="1"/>
  <c r="AD554" i="7"/>
  <c r="AI554" i="7" s="1"/>
  <c r="AD566" i="7"/>
  <c r="AI566" i="7" s="1"/>
  <c r="AE573" i="7"/>
  <c r="AJ573" i="7" s="1"/>
  <c r="AF580" i="7"/>
  <c r="AK580" i="7" s="1"/>
  <c r="AD590" i="7"/>
  <c r="AI590" i="7" s="1"/>
  <c r="AF592" i="7"/>
  <c r="AK592" i="7" s="1"/>
  <c r="AB600" i="7"/>
  <c r="AG600" i="7" s="1"/>
  <c r="AF604" i="7"/>
  <c r="AK604" i="7" s="1"/>
  <c r="AB612" i="7"/>
  <c r="AG612" i="7" s="1"/>
  <c r="AC619" i="7"/>
  <c r="AH619" i="7" s="1"/>
  <c r="AD626" i="7"/>
  <c r="AI626" i="7" s="1"/>
  <c r="AE633" i="7"/>
  <c r="AJ633" i="7" s="1"/>
  <c r="AF640" i="7"/>
  <c r="AK640" i="7" s="1"/>
  <c r="AB648" i="7"/>
  <c r="AG648" i="7" s="1"/>
  <c r="AC655" i="7"/>
  <c r="AH655" i="7" s="1"/>
  <c r="AD662" i="7"/>
  <c r="AI662" i="7" s="1"/>
  <c r="AE669" i="7"/>
  <c r="AJ669" i="7" s="1"/>
  <c r="AD674" i="7"/>
  <c r="AI674" i="7" s="1"/>
  <c r="AB684" i="7"/>
  <c r="AG684" i="7" s="1"/>
  <c r="AD686" i="7"/>
  <c r="AI686" i="7" s="1"/>
  <c r="AE693" i="7"/>
  <c r="AJ693" i="7" s="1"/>
  <c r="AE717" i="7"/>
  <c r="AJ717" i="7" s="1"/>
  <c r="AE50" i="7"/>
  <c r="AJ50" i="7" s="1"/>
  <c r="AF57" i="7"/>
  <c r="AK57" i="7" s="1"/>
  <c r="AB65" i="7"/>
  <c r="AG65" i="7" s="1"/>
  <c r="AE74" i="7"/>
  <c r="AJ74" i="7" s="1"/>
  <c r="AD79" i="7"/>
  <c r="AI79" i="7" s="1"/>
  <c r="AE86" i="7"/>
  <c r="AJ86" i="7" s="1"/>
  <c r="AF93" i="7"/>
  <c r="AK93" i="7" s="1"/>
  <c r="AB101" i="7"/>
  <c r="AG101" i="7" s="1"/>
  <c r="AC108" i="7"/>
  <c r="AH108" i="7" s="1"/>
  <c r="AF117" i="7"/>
  <c r="AK117" i="7" s="1"/>
  <c r="AB125" i="7"/>
  <c r="AG125" i="7" s="1"/>
  <c r="AC132" i="7"/>
  <c r="AH132" i="7" s="1"/>
  <c r="AD139" i="7"/>
  <c r="AI139" i="7" s="1"/>
  <c r="AB149" i="7"/>
  <c r="AG149" i="7" s="1"/>
  <c r="AC156" i="7"/>
  <c r="AH156" i="7" s="1"/>
  <c r="AF165" i="7"/>
  <c r="AK165" i="7" s="1"/>
  <c r="AB173" i="7"/>
  <c r="AG173" i="7" s="1"/>
  <c r="AC180" i="7"/>
  <c r="AH180" i="7" s="1"/>
  <c r="AF189" i="7"/>
  <c r="AK189" i="7" s="1"/>
  <c r="AB197" i="7"/>
  <c r="AG197" i="7" s="1"/>
  <c r="AC204" i="7"/>
  <c r="AH204" i="7" s="1"/>
  <c r="AF213" i="7"/>
  <c r="AK213" i="7" s="1"/>
  <c r="AD223" i="7"/>
  <c r="AI223" i="7" s="1"/>
  <c r="AD235" i="7"/>
  <c r="AI235" i="7" s="1"/>
  <c r="AE242" i="7"/>
  <c r="AJ242" i="7" s="1"/>
  <c r="AF249" i="7"/>
  <c r="AK249" i="7" s="1"/>
  <c r="AB257" i="7"/>
  <c r="AG257" i="7" s="1"/>
  <c r="AF261" i="7"/>
  <c r="AK261" i="7" s="1"/>
  <c r="AE266" i="7"/>
  <c r="AJ266" i="7" s="1"/>
  <c r="AF273" i="7"/>
  <c r="AK273" i="7" s="1"/>
  <c r="AB281" i="7"/>
  <c r="AG281" i="7" s="1"/>
  <c r="AC288" i="7"/>
  <c r="AH288" i="7" s="1"/>
  <c r="AD295" i="7"/>
  <c r="AI295" i="7" s="1"/>
  <c r="AC300" i="7"/>
  <c r="AH300" i="7" s="1"/>
  <c r="AB305" i="7"/>
  <c r="AG305" i="7" s="1"/>
  <c r="AF309" i="7"/>
  <c r="AK309" i="7" s="1"/>
  <c r="AB317" i="7"/>
  <c r="AG317" i="7" s="1"/>
  <c r="AC324" i="7"/>
  <c r="AH324" i="7" s="1"/>
  <c r="AB329" i="7"/>
  <c r="AG329" i="7" s="1"/>
  <c r="AF333" i="7"/>
  <c r="AK333" i="7" s="1"/>
  <c r="AC336" i="7"/>
  <c r="AH336" i="7" s="1"/>
  <c r="AB341" i="7"/>
  <c r="AG341" i="7" s="1"/>
  <c r="AC348" i="7"/>
  <c r="AH348" i="7" s="1"/>
  <c r="AD355" i="7"/>
  <c r="AI355" i="7" s="1"/>
  <c r="AB365" i="7"/>
  <c r="AG365" i="7" s="1"/>
  <c r="AF369" i="7"/>
  <c r="AK369" i="7" s="1"/>
  <c r="AE374" i="7"/>
  <c r="AJ374" i="7" s="1"/>
  <c r="AD379" i="7"/>
  <c r="AI379" i="7" s="1"/>
  <c r="AE386" i="7"/>
  <c r="AJ386" i="7" s="1"/>
  <c r="AD391" i="7"/>
  <c r="AI391" i="7" s="1"/>
  <c r="AC396" i="7"/>
  <c r="AH396" i="7" s="1"/>
  <c r="AB401" i="7"/>
  <c r="AG401" i="7" s="1"/>
  <c r="AF405" i="7"/>
  <c r="AK405" i="7" s="1"/>
  <c r="AE410" i="7"/>
  <c r="AJ410" i="7" s="1"/>
  <c r="AF417" i="7"/>
  <c r="AK417" i="7" s="1"/>
  <c r="AE422" i="7"/>
  <c r="AJ422" i="7" s="1"/>
  <c r="AD427" i="7"/>
  <c r="AI427" i="7" s="1"/>
  <c r="AE434" i="7"/>
  <c r="AJ434" i="7" s="1"/>
  <c r="AD439" i="7"/>
  <c r="AI439" i="7" s="1"/>
  <c r="AC444" i="7"/>
  <c r="AH444" i="7" s="1"/>
  <c r="AB449" i="7"/>
  <c r="AG449" i="7" s="1"/>
  <c r="AF453" i="7"/>
  <c r="AK453" i="7" s="1"/>
  <c r="AB461" i="7"/>
  <c r="AG461" i="7" s="1"/>
  <c r="AC468" i="7"/>
  <c r="AH468" i="7" s="1"/>
  <c r="AB473" i="7"/>
  <c r="AG473" i="7" s="1"/>
  <c r="AD475" i="7"/>
  <c r="AI475" i="7" s="1"/>
  <c r="AC480" i="7"/>
  <c r="AH480" i="7" s="1"/>
  <c r="AB485" i="7"/>
  <c r="AG485" i="7" s="1"/>
  <c r="AC492" i="7"/>
  <c r="AH492" i="7" s="1"/>
  <c r="AB497" i="7"/>
  <c r="AG497" i="7" s="1"/>
  <c r="AF501" i="7"/>
  <c r="AK501" i="7" s="1"/>
  <c r="AE506" i="7"/>
  <c r="AJ506" i="7" s="1"/>
  <c r="AF513" i="7"/>
  <c r="AK513" i="7" s="1"/>
  <c r="AE518" i="7"/>
  <c r="AJ518" i="7" s="1"/>
  <c r="AD523" i="7"/>
  <c r="AI523" i="7" s="1"/>
  <c r="AC528" i="7"/>
  <c r="AH528" i="7" s="1"/>
  <c r="AD535" i="7"/>
  <c r="AI535" i="7" s="1"/>
  <c r="AE542" i="7"/>
  <c r="AJ542" i="7" s="1"/>
  <c r="AD547" i="7"/>
  <c r="AI547" i="7" s="1"/>
  <c r="AE554" i="7"/>
  <c r="AJ554" i="7" s="1"/>
  <c r="AD559" i="7"/>
  <c r="AI559" i="7" s="1"/>
  <c r="AC564" i="7"/>
  <c r="AH564" i="7" s="1"/>
  <c r="AB569" i="7"/>
  <c r="AG569" i="7" s="1"/>
  <c r="AF573" i="7"/>
  <c r="AK573" i="7" s="1"/>
  <c r="AE578" i="7"/>
  <c r="AJ578" i="7" s="1"/>
  <c r="AD583" i="7"/>
  <c r="AI583" i="7" s="1"/>
  <c r="AF585" i="7"/>
  <c r="AK585" i="7" s="1"/>
  <c r="AE590" i="7"/>
  <c r="AJ590" i="7" s="1"/>
  <c r="AF597" i="7"/>
  <c r="AK597" i="7" s="1"/>
  <c r="AE602" i="7"/>
  <c r="AJ602" i="7" s="1"/>
  <c r="AC612" i="7"/>
  <c r="AH612" i="7" s="1"/>
  <c r="AB617" i="7"/>
  <c r="AG617" i="7" s="1"/>
  <c r="AC624" i="7"/>
  <c r="AH624" i="7" s="1"/>
  <c r="AB629" i="7"/>
  <c r="AG629" i="7" s="1"/>
  <c r="AF633" i="7"/>
  <c r="AK633" i="7" s="1"/>
  <c r="AB641" i="7"/>
  <c r="AG641" i="7" s="1"/>
  <c r="AF645" i="7"/>
  <c r="AK645" i="7" s="1"/>
  <c r="AE650" i="7"/>
  <c r="AJ650" i="7" s="1"/>
  <c r="AF657" i="7"/>
  <c r="AK657" i="7" s="1"/>
  <c r="AB665" i="7"/>
  <c r="AG665" i="7" s="1"/>
  <c r="AB677" i="7"/>
  <c r="AG677" i="7" s="1"/>
  <c r="AD691" i="7"/>
  <c r="AI691" i="7" s="1"/>
  <c r="AB713" i="7"/>
  <c r="AG713" i="7" s="1"/>
  <c r="AD48" i="7"/>
  <c r="AI48" i="7" s="1"/>
  <c r="AE55" i="7"/>
  <c r="AJ55" i="7" s="1"/>
  <c r="AB58" i="7"/>
  <c r="AG58" i="7" s="1"/>
  <c r="AC65" i="7"/>
  <c r="AH65" i="7" s="1"/>
  <c r="AD72" i="7"/>
  <c r="AI72" i="7" s="1"/>
  <c r="AC77" i="7"/>
  <c r="AH77" i="7" s="1"/>
  <c r="AD84" i="7"/>
  <c r="AI84" i="7" s="1"/>
  <c r="AE91" i="7"/>
  <c r="AJ91" i="7" s="1"/>
  <c r="AF98" i="7"/>
  <c r="AK98" i="7" s="1"/>
  <c r="AB106" i="7"/>
  <c r="AG106" i="7" s="1"/>
  <c r="AF110" i="7"/>
  <c r="AK110" i="7" s="1"/>
  <c r="AB118" i="7"/>
  <c r="AG118" i="7" s="1"/>
  <c r="AF122" i="7"/>
  <c r="AK122" i="7" s="1"/>
  <c r="AB130" i="7"/>
  <c r="AG130" i="7" s="1"/>
  <c r="AC137" i="7"/>
  <c r="AH137" i="7" s="1"/>
  <c r="AE139" i="7"/>
  <c r="AJ139" i="7" s="1"/>
  <c r="AF146" i="7"/>
  <c r="AK146" i="7" s="1"/>
  <c r="AE151" i="7"/>
  <c r="AJ151" i="7" s="1"/>
  <c r="AD156" i="7"/>
  <c r="AI156" i="7" s="1"/>
  <c r="AE163" i="7"/>
  <c r="AJ163" i="7" s="1"/>
  <c r="AF170" i="7"/>
  <c r="AK170" i="7" s="1"/>
  <c r="AD180" i="7"/>
  <c r="AI180" i="7" s="1"/>
  <c r="AE187" i="7"/>
  <c r="AJ187" i="7" s="1"/>
  <c r="AE199" i="7"/>
  <c r="AJ199" i="7" s="1"/>
  <c r="AF206" i="7"/>
  <c r="AK206" i="7" s="1"/>
  <c r="AB214" i="7"/>
  <c r="AG214" i="7" s="1"/>
  <c r="AE223" i="7"/>
  <c r="AJ223" i="7" s="1"/>
  <c r="AF230" i="7"/>
  <c r="AK230" i="7" s="1"/>
  <c r="AB238" i="7"/>
  <c r="AG238" i="7" s="1"/>
  <c r="AC245" i="7"/>
  <c r="AH245" i="7" s="1"/>
  <c r="AF254" i="7"/>
  <c r="AK254" i="7" s="1"/>
  <c r="AE259" i="7"/>
  <c r="AJ259" i="7" s="1"/>
  <c r="AD264" i="7"/>
  <c r="AI264" i="7" s="1"/>
  <c r="AE271" i="7"/>
  <c r="AJ271" i="7" s="1"/>
  <c r="AD276" i="7"/>
  <c r="AI276" i="7" s="1"/>
  <c r="AE283" i="7"/>
  <c r="AJ283" i="7" s="1"/>
  <c r="AF290" i="7"/>
  <c r="AK290" i="7" s="1"/>
  <c r="AB298" i="7"/>
  <c r="AG298" i="7" s="1"/>
  <c r="AC305" i="7"/>
  <c r="AH305" i="7" s="1"/>
  <c r="AD312" i="7"/>
  <c r="AI312" i="7" s="1"/>
  <c r="AE319" i="7"/>
  <c r="AJ319" i="7" s="1"/>
  <c r="AC329" i="7"/>
  <c r="AH329" i="7" s="1"/>
  <c r="AD336" i="7"/>
  <c r="AI336" i="7" s="1"/>
  <c r="AB346" i="7"/>
  <c r="AG346" i="7" s="1"/>
  <c r="AE355" i="7"/>
  <c r="AJ355" i="7" s="1"/>
  <c r="AE367" i="7"/>
  <c r="AJ367" i="7" s="1"/>
  <c r="AF374" i="7"/>
  <c r="AK374" i="7" s="1"/>
  <c r="AB382" i="7"/>
  <c r="AG382" i="7" s="1"/>
  <c r="AC389" i="7"/>
  <c r="AH389" i="7" s="1"/>
  <c r="AD396" i="7"/>
  <c r="AI396" i="7" s="1"/>
  <c r="AB406" i="7"/>
  <c r="AG406" i="7" s="1"/>
  <c r="AC413" i="7"/>
  <c r="AH413" i="7" s="1"/>
  <c r="AF422" i="7"/>
  <c r="AK422" i="7" s="1"/>
  <c r="AD432" i="7"/>
  <c r="AI432" i="7" s="1"/>
  <c r="AE439" i="7"/>
  <c r="AJ439" i="7" s="1"/>
  <c r="AF446" i="7"/>
  <c r="AK446" i="7" s="1"/>
  <c r="AE451" i="7"/>
  <c r="AJ451" i="7" s="1"/>
  <c r="AD456" i="7"/>
  <c r="AI456" i="7" s="1"/>
  <c r="AE463" i="7"/>
  <c r="AJ463" i="7" s="1"/>
  <c r="AD468" i="7"/>
  <c r="AI468" i="7" s="1"/>
  <c r="AB478" i="7"/>
  <c r="AG478" i="7" s="1"/>
  <c r="AC485" i="7"/>
  <c r="AH485" i="7" s="1"/>
  <c r="AF494" i="7"/>
  <c r="AK494" i="7" s="1"/>
  <c r="AE499" i="7"/>
  <c r="AJ499" i="7" s="1"/>
  <c r="AF506" i="7"/>
  <c r="AK506" i="7" s="1"/>
  <c r="AE511" i="7"/>
  <c r="AJ511" i="7" s="1"/>
  <c r="AF518" i="7"/>
  <c r="AK518" i="7" s="1"/>
  <c r="AB526" i="7"/>
  <c r="AG526" i="7" s="1"/>
  <c r="AC533" i="7"/>
  <c r="AH533" i="7" s="1"/>
  <c r="AD540" i="7"/>
  <c r="AI540" i="7" s="1"/>
  <c r="AE547" i="7"/>
  <c r="AJ547" i="7" s="1"/>
  <c r="AF554" i="7"/>
  <c r="AK554" i="7" s="1"/>
  <c r="AB562" i="7"/>
  <c r="AG562" i="7" s="1"/>
  <c r="AC569" i="7"/>
  <c r="AH569" i="7" s="1"/>
  <c r="AD576" i="7"/>
  <c r="AI576" i="7" s="1"/>
  <c r="AF578" i="7"/>
  <c r="AK578" i="7" s="1"/>
  <c r="AB586" i="7"/>
  <c r="AG586" i="7" s="1"/>
  <c r="AC593" i="7"/>
  <c r="AH593" i="7" s="1"/>
  <c r="AB598" i="7"/>
  <c r="AG598" i="7" s="1"/>
  <c r="AC605" i="7"/>
  <c r="AH605" i="7" s="1"/>
  <c r="AD612" i="7"/>
  <c r="AI612" i="7" s="1"/>
  <c r="AB622" i="7"/>
  <c r="AG622" i="7" s="1"/>
  <c r="AD636" i="7"/>
  <c r="AI636" i="7" s="1"/>
  <c r="AB670" i="7"/>
  <c r="AG670" i="7" s="1"/>
  <c r="AB826" i="7"/>
  <c r="AG826" i="7" s="1"/>
  <c r="AE46" i="7"/>
  <c r="AJ46" i="7" s="1"/>
  <c r="AB49" i="7"/>
  <c r="AG49" i="7" s="1"/>
  <c r="AD51" i="7"/>
  <c r="AI51" i="7" s="1"/>
  <c r="AF53" i="7"/>
  <c r="AK53" i="7" s="1"/>
  <c r="AC56" i="7"/>
  <c r="AH56" i="7" s="1"/>
  <c r="AE58" i="7"/>
  <c r="AJ58" i="7" s="1"/>
  <c r="AB61" i="7"/>
  <c r="AG61" i="7" s="1"/>
  <c r="AD63" i="7"/>
  <c r="AI63" i="7" s="1"/>
  <c r="AF65" i="7"/>
  <c r="AK65" i="7" s="1"/>
  <c r="AC68" i="7"/>
  <c r="AH68" i="7" s="1"/>
  <c r="AE70" i="7"/>
  <c r="AJ70" i="7" s="1"/>
  <c r="AB73" i="7"/>
  <c r="AG73" i="7" s="1"/>
  <c r="AD75" i="7"/>
  <c r="AI75" i="7" s="1"/>
  <c r="AF77" i="7"/>
  <c r="AK77" i="7" s="1"/>
  <c r="AC80" i="7"/>
  <c r="AH80" i="7" s="1"/>
  <c r="AE82" i="7"/>
  <c r="AJ82" i="7" s="1"/>
  <c r="AB85" i="7"/>
  <c r="AG85" i="7" s="1"/>
  <c r="AD87" i="7"/>
  <c r="AI87" i="7" s="1"/>
  <c r="AF89" i="7"/>
  <c r="AK89" i="7" s="1"/>
  <c r="AC92" i="7"/>
  <c r="AH92" i="7" s="1"/>
  <c r="AB97" i="7"/>
  <c r="AG97" i="7" s="1"/>
  <c r="AD99" i="7"/>
  <c r="AI99" i="7" s="1"/>
  <c r="AF101" i="7"/>
  <c r="AK101" i="7" s="1"/>
  <c r="AF46" i="7"/>
  <c r="AK46" i="7" s="1"/>
  <c r="AC49" i="7"/>
  <c r="AH49" i="7" s="1"/>
  <c r="AE51" i="7"/>
  <c r="AJ51" i="7" s="1"/>
  <c r="AB54" i="7"/>
  <c r="AG54" i="7" s="1"/>
  <c r="AD56" i="7"/>
  <c r="AI56" i="7" s="1"/>
  <c r="AF58" i="7"/>
  <c r="AK58" i="7" s="1"/>
  <c r="AC61" i="7"/>
  <c r="AH61" i="7" s="1"/>
  <c r="AE63" i="7"/>
  <c r="AJ63" i="7" s="1"/>
  <c r="AB66" i="7"/>
  <c r="AG66" i="7" s="1"/>
  <c r="AD68" i="7"/>
  <c r="AI68" i="7" s="1"/>
  <c r="AF70" i="7"/>
  <c r="AK70" i="7" s="1"/>
  <c r="AC73" i="7"/>
  <c r="AH73" i="7" s="1"/>
  <c r="AE75" i="7"/>
  <c r="AJ75" i="7" s="1"/>
  <c r="AB78" i="7"/>
  <c r="AG78" i="7" s="1"/>
  <c r="AD80" i="7"/>
  <c r="AI80" i="7" s="1"/>
  <c r="AF82" i="7"/>
  <c r="AK82" i="7" s="1"/>
  <c r="AC85" i="7"/>
  <c r="AH85" i="7" s="1"/>
  <c r="AE87" i="7"/>
  <c r="AJ87" i="7" s="1"/>
  <c r="AB90" i="7"/>
  <c r="AG90" i="7" s="1"/>
  <c r="AD92" i="7"/>
  <c r="AI92" i="7" s="1"/>
  <c r="AF94" i="7"/>
  <c r="AK94" i="7" s="1"/>
  <c r="AC97" i="7"/>
  <c r="AH97" i="7" s="1"/>
  <c r="AE99" i="7"/>
  <c r="AJ99" i="7" s="1"/>
  <c r="AB102" i="7"/>
  <c r="AG102" i="7" s="1"/>
  <c r="AD104" i="7"/>
  <c r="AI104" i="7" s="1"/>
  <c r="AF106" i="7"/>
  <c r="AK106" i="7" s="1"/>
  <c r="AC109" i="7"/>
  <c r="AH109" i="7" s="1"/>
  <c r="AE111" i="7"/>
  <c r="AJ111" i="7" s="1"/>
  <c r="AB114" i="7"/>
  <c r="AG114" i="7" s="1"/>
  <c r="AD116" i="7"/>
  <c r="AI116" i="7" s="1"/>
  <c r="AF118" i="7"/>
  <c r="AK118" i="7" s="1"/>
  <c r="AC121" i="7"/>
  <c r="AH121" i="7" s="1"/>
  <c r="AE123" i="7"/>
  <c r="AJ123" i="7" s="1"/>
  <c r="AB126" i="7"/>
  <c r="AG126" i="7" s="1"/>
  <c r="AD128" i="7"/>
  <c r="AI128" i="7" s="1"/>
  <c r="AC133" i="7"/>
  <c r="AH133" i="7" s="1"/>
  <c r="AE135" i="7"/>
  <c r="AJ135" i="7" s="1"/>
  <c r="AB138" i="7"/>
  <c r="AG138" i="7" s="1"/>
  <c r="AD140" i="7"/>
  <c r="AI140" i="7" s="1"/>
  <c r="AF142" i="7"/>
  <c r="AK142" i="7" s="1"/>
  <c r="AC145" i="7"/>
  <c r="AH145" i="7" s="1"/>
  <c r="AE147" i="7"/>
  <c r="AJ147" i="7" s="1"/>
  <c r="AB150" i="7"/>
  <c r="AG150" i="7" s="1"/>
  <c r="AD152" i="7"/>
  <c r="AI152" i="7" s="1"/>
  <c r="AF154" i="7"/>
  <c r="AK154" i="7" s="1"/>
  <c r="AC157" i="7"/>
  <c r="AH157" i="7" s="1"/>
  <c r="AE159" i="7"/>
  <c r="AJ159" i="7" s="1"/>
  <c r="AB162" i="7"/>
  <c r="AG162" i="7" s="1"/>
  <c r="AD164" i="7"/>
  <c r="AI164" i="7" s="1"/>
  <c r="AF166" i="7"/>
  <c r="AK166" i="7" s="1"/>
  <c r="AC169" i="7"/>
  <c r="AH169" i="7" s="1"/>
  <c r="AE171" i="7"/>
  <c r="AJ171" i="7" s="1"/>
  <c r="AB174" i="7"/>
  <c r="AG174" i="7" s="1"/>
  <c r="AD176" i="7"/>
  <c r="AI176" i="7" s="1"/>
  <c r="AF178" i="7"/>
  <c r="AK178" i="7" s="1"/>
  <c r="AC181" i="7"/>
  <c r="AH181" i="7" s="1"/>
  <c r="AE183" i="7"/>
  <c r="AJ183" i="7" s="1"/>
  <c r="AB186" i="7"/>
  <c r="AG186" i="7" s="1"/>
  <c r="AD188" i="7"/>
  <c r="AI188" i="7" s="1"/>
  <c r="AF190" i="7"/>
  <c r="AK190" i="7" s="1"/>
  <c r="AC193" i="7"/>
  <c r="AH193" i="7" s="1"/>
  <c r="AE195" i="7"/>
  <c r="AJ195" i="7" s="1"/>
  <c r="AB198" i="7"/>
  <c r="AG198" i="7" s="1"/>
  <c r="AD200" i="7"/>
  <c r="AI200" i="7" s="1"/>
  <c r="AF202" i="7"/>
  <c r="AK202" i="7" s="1"/>
  <c r="AC205" i="7"/>
  <c r="AH205" i="7" s="1"/>
  <c r="AE207" i="7"/>
  <c r="AJ207" i="7" s="1"/>
  <c r="AB210" i="7"/>
  <c r="AG210" i="7" s="1"/>
  <c r="AD212" i="7"/>
  <c r="AI212" i="7" s="1"/>
  <c r="AF214" i="7"/>
  <c r="AK214" i="7" s="1"/>
  <c r="AC217" i="7"/>
  <c r="AH217" i="7" s="1"/>
  <c r="AE219" i="7"/>
  <c r="AJ219" i="7" s="1"/>
  <c r="AB222" i="7"/>
  <c r="AG222" i="7" s="1"/>
  <c r="AD224" i="7"/>
  <c r="AI224" i="7" s="1"/>
  <c r="AF226" i="7"/>
  <c r="AK226" i="7" s="1"/>
  <c r="AC229" i="7"/>
  <c r="AH229" i="7" s="1"/>
  <c r="AB234" i="7"/>
  <c r="AG234" i="7" s="1"/>
  <c r="AD236" i="7"/>
  <c r="AI236" i="7" s="1"/>
  <c r="AF238" i="7"/>
  <c r="AK238" i="7" s="1"/>
  <c r="AC241" i="7"/>
  <c r="AH241" i="7" s="1"/>
  <c r="AE243" i="7"/>
  <c r="AJ243" i="7" s="1"/>
  <c r="AB246" i="7"/>
  <c r="AG246" i="7" s="1"/>
  <c r="AD248" i="7"/>
  <c r="AI248" i="7" s="1"/>
  <c r="AF250" i="7"/>
  <c r="AK250" i="7" s="1"/>
  <c r="AC253" i="7"/>
  <c r="AH253" i="7" s="1"/>
  <c r="AE255" i="7"/>
  <c r="AJ255" i="7" s="1"/>
  <c r="AB258" i="7"/>
  <c r="AG258" i="7" s="1"/>
  <c r="AD260" i="7"/>
  <c r="AI260" i="7" s="1"/>
  <c r="AF262" i="7"/>
  <c r="AK262" i="7" s="1"/>
  <c r="AC265" i="7"/>
  <c r="AH265" i="7" s="1"/>
  <c r="AE267" i="7"/>
  <c r="AJ267" i="7" s="1"/>
  <c r="AB270" i="7"/>
  <c r="AG270" i="7" s="1"/>
  <c r="AD272" i="7"/>
  <c r="AI272" i="7" s="1"/>
  <c r="AF274" i="7"/>
  <c r="AK274" i="7" s="1"/>
  <c r="AC277" i="7"/>
  <c r="AH277" i="7" s="1"/>
  <c r="AE279" i="7"/>
  <c r="AJ279" i="7" s="1"/>
  <c r="AB282" i="7"/>
  <c r="AG282" i="7" s="1"/>
  <c r="AD284" i="7"/>
  <c r="AI284" i="7" s="1"/>
  <c r="AF286" i="7"/>
  <c r="AK286" i="7" s="1"/>
  <c r="AC289" i="7"/>
  <c r="AH289" i="7" s="1"/>
  <c r="AE291" i="7"/>
  <c r="AJ291" i="7" s="1"/>
  <c r="AB294" i="7"/>
  <c r="AG294" i="7" s="1"/>
  <c r="AD296" i="7"/>
  <c r="AI296" i="7" s="1"/>
  <c r="AF298" i="7"/>
  <c r="AK298" i="7" s="1"/>
  <c r="AC301" i="7"/>
  <c r="AH301" i="7" s="1"/>
  <c r="AE303" i="7"/>
  <c r="AJ303" i="7" s="1"/>
  <c r="AB306" i="7"/>
  <c r="AG306" i="7" s="1"/>
  <c r="AD308" i="7"/>
  <c r="AI308" i="7" s="1"/>
  <c r="AF310" i="7"/>
  <c r="AK310" i="7" s="1"/>
  <c r="AC313" i="7"/>
  <c r="AH313" i="7" s="1"/>
  <c r="AE315" i="7"/>
  <c r="AJ315" i="7" s="1"/>
  <c r="AB318" i="7"/>
  <c r="AG318" i="7" s="1"/>
  <c r="AD320" i="7"/>
  <c r="AI320" i="7" s="1"/>
  <c r="AF322" i="7"/>
  <c r="AK322" i="7" s="1"/>
  <c r="AC325" i="7"/>
  <c r="AH325" i="7" s="1"/>
  <c r="AE327" i="7"/>
  <c r="AJ327" i="7" s="1"/>
  <c r="AD332" i="7"/>
  <c r="AI332" i="7" s="1"/>
  <c r="AF334" i="7"/>
  <c r="AK334" i="7" s="1"/>
  <c r="AC337" i="7"/>
  <c r="AH337" i="7" s="1"/>
  <c r="AE339" i="7"/>
  <c r="AJ339" i="7" s="1"/>
  <c r="AB342" i="7"/>
  <c r="AG342" i="7" s="1"/>
  <c r="AD344" i="7"/>
  <c r="AI344" i="7" s="1"/>
  <c r="AF346" i="7"/>
  <c r="AK346" i="7" s="1"/>
  <c r="AC349" i="7"/>
  <c r="AH349" i="7" s="1"/>
  <c r="AE351" i="7"/>
  <c r="AJ351" i="7" s="1"/>
  <c r="AB354" i="7"/>
  <c r="AG354" i="7" s="1"/>
  <c r="AD356" i="7"/>
  <c r="AI356" i="7" s="1"/>
  <c r="AF358" i="7"/>
  <c r="AK358" i="7" s="1"/>
  <c r="AC361" i="7"/>
  <c r="AH361" i="7" s="1"/>
  <c r="AE363" i="7"/>
  <c r="AJ363" i="7" s="1"/>
  <c r="AB366" i="7"/>
  <c r="AG366" i="7" s="1"/>
  <c r="AD368" i="7"/>
  <c r="AI368" i="7" s="1"/>
  <c r="AF370" i="7"/>
  <c r="AK370" i="7" s="1"/>
  <c r="AC373" i="7"/>
  <c r="AH373" i="7" s="1"/>
  <c r="AE375" i="7"/>
  <c r="AJ375" i="7" s="1"/>
  <c r="AB378" i="7"/>
  <c r="AG378" i="7" s="1"/>
  <c r="AD380" i="7"/>
  <c r="AI380" i="7" s="1"/>
  <c r="AF382" i="7"/>
  <c r="AK382" i="7" s="1"/>
  <c r="AC385" i="7"/>
  <c r="AH385" i="7" s="1"/>
  <c r="AB390" i="7"/>
  <c r="AG390" i="7" s="1"/>
  <c r="AD392" i="7"/>
  <c r="AI392" i="7" s="1"/>
  <c r="AF394" i="7"/>
  <c r="AK394" i="7" s="1"/>
  <c r="AC397" i="7"/>
  <c r="AH397" i="7" s="1"/>
  <c r="AE399" i="7"/>
  <c r="AJ399" i="7" s="1"/>
  <c r="AB402" i="7"/>
  <c r="AG402" i="7" s="1"/>
  <c r="AD404" i="7"/>
  <c r="AI404" i="7" s="1"/>
  <c r="AF406" i="7"/>
  <c r="AK406" i="7" s="1"/>
  <c r="AC409" i="7"/>
  <c r="AH409" i="7" s="1"/>
  <c r="AE411" i="7"/>
  <c r="AJ411" i="7" s="1"/>
  <c r="AB414" i="7"/>
  <c r="AG414" i="7" s="1"/>
  <c r="AD416" i="7"/>
  <c r="AI416" i="7" s="1"/>
  <c r="AF418" i="7"/>
  <c r="AK418" i="7" s="1"/>
  <c r="AC421" i="7"/>
  <c r="AH421" i="7" s="1"/>
  <c r="AE423" i="7"/>
  <c r="AJ423" i="7" s="1"/>
  <c r="AB426" i="7"/>
  <c r="AG426" i="7" s="1"/>
  <c r="AD428" i="7"/>
  <c r="AI428" i="7" s="1"/>
  <c r="AF430" i="7"/>
  <c r="AK430" i="7" s="1"/>
  <c r="AC433" i="7"/>
  <c r="AH433" i="7" s="1"/>
  <c r="AE435" i="7"/>
  <c r="AJ435" i="7" s="1"/>
  <c r="AB438" i="7"/>
  <c r="AG438" i="7" s="1"/>
  <c r="AD440" i="7"/>
  <c r="AI440" i="7" s="1"/>
  <c r="AF442" i="7"/>
  <c r="AK442" i="7" s="1"/>
  <c r="AC445" i="7"/>
  <c r="AH445" i="7" s="1"/>
  <c r="AE447" i="7"/>
  <c r="AJ447" i="7" s="1"/>
  <c r="AB450" i="7"/>
  <c r="AG450" i="7" s="1"/>
  <c r="AD452" i="7"/>
  <c r="AI452" i="7" s="1"/>
  <c r="AC457" i="7"/>
  <c r="AH457" i="7" s="1"/>
  <c r="AE459" i="7"/>
  <c r="AJ459" i="7" s="1"/>
  <c r="AB462" i="7"/>
  <c r="AG462" i="7" s="1"/>
  <c r="AD464" i="7"/>
  <c r="AI464" i="7" s="1"/>
  <c r="AF466" i="7"/>
  <c r="AK466" i="7" s="1"/>
  <c r="AC469" i="7"/>
  <c r="AH469" i="7" s="1"/>
  <c r="AE471" i="7"/>
  <c r="AJ471" i="7" s="1"/>
  <c r="AB474" i="7"/>
  <c r="AG474" i="7" s="1"/>
  <c r="AD476" i="7"/>
  <c r="AI476" i="7" s="1"/>
  <c r="AF478" i="7"/>
  <c r="AK478" i="7" s="1"/>
  <c r="AC481" i="7"/>
  <c r="AH481" i="7" s="1"/>
  <c r="AE483" i="7"/>
  <c r="AJ483" i="7" s="1"/>
  <c r="AB486" i="7"/>
  <c r="AG486" i="7" s="1"/>
  <c r="AD488" i="7"/>
  <c r="AI488" i="7" s="1"/>
  <c r="AF490" i="7"/>
  <c r="AK490" i="7" s="1"/>
  <c r="AC493" i="7"/>
  <c r="AH493" i="7" s="1"/>
  <c r="AE495" i="7"/>
  <c r="AJ495" i="7" s="1"/>
  <c r="AB498" i="7"/>
  <c r="AG498" i="7" s="1"/>
  <c r="AD500" i="7"/>
  <c r="AI500" i="7" s="1"/>
  <c r="AF502" i="7"/>
  <c r="AK502" i="7" s="1"/>
  <c r="AC505" i="7"/>
  <c r="AH505" i="7" s="1"/>
  <c r="AE507" i="7"/>
  <c r="AJ507" i="7" s="1"/>
  <c r="AB510" i="7"/>
  <c r="AG510" i="7" s="1"/>
  <c r="AD512" i="7"/>
  <c r="AI512" i="7" s="1"/>
  <c r="AF514" i="7"/>
  <c r="AK514" i="7" s="1"/>
  <c r="AC517" i="7"/>
  <c r="AH517" i="7" s="1"/>
  <c r="AE519" i="7"/>
  <c r="AJ519" i="7" s="1"/>
  <c r="AB522" i="7"/>
  <c r="AG522" i="7" s="1"/>
  <c r="AD524" i="7"/>
  <c r="AI524" i="7" s="1"/>
  <c r="AF526" i="7"/>
  <c r="AK526" i="7" s="1"/>
  <c r="AC529" i="7"/>
  <c r="AH529" i="7" s="1"/>
  <c r="AE531" i="7"/>
  <c r="AJ531" i="7" s="1"/>
  <c r="AB534" i="7"/>
  <c r="AG534" i="7" s="1"/>
  <c r="AD536" i="7"/>
  <c r="AI536" i="7" s="1"/>
  <c r="AF538" i="7"/>
  <c r="AK538" i="7" s="1"/>
  <c r="AC541" i="7"/>
  <c r="AH541" i="7" s="1"/>
  <c r="AE543" i="7"/>
  <c r="AJ543" i="7" s="1"/>
  <c r="AB546" i="7"/>
  <c r="AG546" i="7" s="1"/>
  <c r="AD548" i="7"/>
  <c r="AI548" i="7" s="1"/>
  <c r="AF550" i="7"/>
  <c r="AK550" i="7" s="1"/>
  <c r="AC553" i="7"/>
  <c r="AH553" i="7" s="1"/>
  <c r="AE555" i="7"/>
  <c r="AJ555" i="7" s="1"/>
  <c r="AB558" i="7"/>
  <c r="AG558" i="7" s="1"/>
  <c r="AD560" i="7"/>
  <c r="AI560" i="7" s="1"/>
  <c r="AF562" i="7"/>
  <c r="AK562" i="7" s="1"/>
  <c r="AC565" i="7"/>
  <c r="AH565" i="7" s="1"/>
  <c r="AE567" i="7"/>
  <c r="AJ567" i="7" s="1"/>
  <c r="AB570" i="7"/>
  <c r="AG570" i="7" s="1"/>
  <c r="AD572" i="7"/>
  <c r="AI572" i="7" s="1"/>
  <c r="AF574" i="7"/>
  <c r="AK574" i="7" s="1"/>
  <c r="AC577" i="7"/>
  <c r="AH577" i="7" s="1"/>
  <c r="AE579" i="7"/>
  <c r="AJ579" i="7" s="1"/>
  <c r="AB582" i="7"/>
  <c r="AG582" i="7" s="1"/>
  <c r="AD584" i="7"/>
  <c r="AI584" i="7" s="1"/>
  <c r="AF586" i="7"/>
  <c r="AK586" i="7" s="1"/>
  <c r="AE591" i="7"/>
  <c r="AJ591" i="7" s="1"/>
  <c r="AB594" i="7"/>
  <c r="AG594" i="7" s="1"/>
  <c r="AD596" i="7"/>
  <c r="AI596" i="7" s="1"/>
  <c r="AF598" i="7"/>
  <c r="AK598" i="7" s="1"/>
  <c r="AC601" i="7"/>
  <c r="AH601" i="7" s="1"/>
  <c r="AE603" i="7"/>
  <c r="AJ603" i="7" s="1"/>
  <c r="AB606" i="7"/>
  <c r="AG606" i="7" s="1"/>
  <c r="AD608" i="7"/>
  <c r="AI608" i="7" s="1"/>
  <c r="AF610" i="7"/>
  <c r="AK610" i="7" s="1"/>
  <c r="AC613" i="7"/>
  <c r="AH613" i="7" s="1"/>
  <c r="AE615" i="7"/>
  <c r="AJ615" i="7" s="1"/>
  <c r="AB618" i="7"/>
  <c r="AG618" i="7" s="1"/>
  <c r="AD620" i="7"/>
  <c r="AI620" i="7" s="1"/>
  <c r="AF622" i="7"/>
  <c r="AK622" i="7" s="1"/>
  <c r="AC625" i="7"/>
  <c r="AH625" i="7" s="1"/>
  <c r="AE627" i="7"/>
  <c r="AJ627" i="7" s="1"/>
  <c r="AB630" i="7"/>
  <c r="AG630" i="7" s="1"/>
  <c r="AD632" i="7"/>
  <c r="AI632" i="7" s="1"/>
  <c r="AF634" i="7"/>
  <c r="AK634" i="7" s="1"/>
  <c r="AC637" i="7"/>
  <c r="AH637" i="7" s="1"/>
  <c r="AE639" i="7"/>
  <c r="AJ639" i="7" s="1"/>
  <c r="AB642" i="7"/>
  <c r="AG642" i="7" s="1"/>
  <c r="AD644" i="7"/>
  <c r="AI644" i="7" s="1"/>
  <c r="AF646" i="7"/>
  <c r="AK646" i="7" s="1"/>
  <c r="AC649" i="7"/>
  <c r="AH649" i="7" s="1"/>
  <c r="AE651" i="7"/>
  <c r="AJ651" i="7" s="1"/>
  <c r="AB654" i="7"/>
  <c r="AG654" i="7" s="1"/>
  <c r="AD656" i="7"/>
  <c r="AI656" i="7" s="1"/>
  <c r="AF658" i="7"/>
  <c r="AK658" i="7" s="1"/>
  <c r="AC661" i="7"/>
  <c r="AH661" i="7" s="1"/>
  <c r="AE663" i="7"/>
  <c r="AJ663" i="7" s="1"/>
  <c r="AB666" i="7"/>
  <c r="AG666" i="7" s="1"/>
  <c r="AD668" i="7"/>
  <c r="AI668" i="7" s="1"/>
  <c r="AF670" i="7"/>
  <c r="AK670" i="7" s="1"/>
  <c r="AC673" i="7"/>
  <c r="AH673" i="7" s="1"/>
  <c r="AE675" i="7"/>
  <c r="AJ675" i="7" s="1"/>
  <c r="AB678" i="7"/>
  <c r="AG678" i="7" s="1"/>
  <c r="AD680" i="7"/>
  <c r="AI680" i="7" s="1"/>
  <c r="AF682" i="7"/>
  <c r="AK682" i="7" s="1"/>
  <c r="AC685" i="7"/>
  <c r="AH685" i="7" s="1"/>
  <c r="AE687" i="7"/>
  <c r="AJ687" i="7" s="1"/>
  <c r="AB690" i="7"/>
  <c r="AG690" i="7" s="1"/>
  <c r="AD692" i="7"/>
  <c r="AI692" i="7" s="1"/>
  <c r="AF694" i="7"/>
  <c r="AK694" i="7" s="1"/>
  <c r="AC697" i="7"/>
  <c r="AH697" i="7" s="1"/>
  <c r="AE699" i="7"/>
  <c r="AJ699" i="7" s="1"/>
  <c r="AB702" i="7"/>
  <c r="AG702" i="7" s="1"/>
  <c r="AD704" i="7"/>
  <c r="AI704" i="7" s="1"/>
  <c r="AF706" i="7"/>
  <c r="AK706" i="7" s="1"/>
  <c r="AC709" i="7"/>
  <c r="AH709" i="7" s="1"/>
  <c r="AE711" i="7"/>
  <c r="AJ711" i="7" s="1"/>
  <c r="AB714" i="7"/>
  <c r="AG714" i="7" s="1"/>
  <c r="AD716" i="7"/>
  <c r="AI716" i="7" s="1"/>
  <c r="AF718" i="7"/>
  <c r="AK718" i="7" s="1"/>
  <c r="AC721" i="7"/>
  <c r="AH721" i="7" s="1"/>
  <c r="AE723" i="7"/>
  <c r="AJ723" i="7" s="1"/>
  <c r="AB726" i="7"/>
  <c r="AG726" i="7" s="1"/>
  <c r="AD728" i="7"/>
  <c r="AI728" i="7" s="1"/>
  <c r="AF730" i="7"/>
  <c r="AK730" i="7" s="1"/>
  <c r="AC733" i="7"/>
  <c r="AH733" i="7" s="1"/>
  <c r="AE735" i="7"/>
  <c r="AJ735" i="7" s="1"/>
  <c r="AB738" i="7"/>
  <c r="AG738" i="7" s="1"/>
  <c r="AD740" i="7"/>
  <c r="AI740" i="7" s="1"/>
  <c r="AF742" i="7"/>
  <c r="AK742" i="7" s="1"/>
  <c r="AC745" i="7"/>
  <c r="AH745" i="7" s="1"/>
  <c r="AE747" i="7"/>
  <c r="AJ747" i="7" s="1"/>
  <c r="AB750" i="7"/>
  <c r="AG750" i="7" s="1"/>
  <c r="AD752" i="7"/>
  <c r="AI752" i="7" s="1"/>
  <c r="AF754" i="7"/>
  <c r="AK754" i="7" s="1"/>
  <c r="AC757" i="7"/>
  <c r="AH757" i="7" s="1"/>
  <c r="AE759" i="7"/>
  <c r="AJ759" i="7" s="1"/>
  <c r="AB762" i="7"/>
  <c r="AG762" i="7" s="1"/>
  <c r="AD764" i="7"/>
  <c r="AI764" i="7" s="1"/>
  <c r="AF766" i="7"/>
  <c r="AK766" i="7" s="1"/>
  <c r="AC769" i="7"/>
  <c r="AH769" i="7" s="1"/>
  <c r="AE771" i="7"/>
  <c r="AJ771" i="7" s="1"/>
  <c r="AB774" i="7"/>
  <c r="AG774" i="7" s="1"/>
  <c r="AD776" i="7"/>
  <c r="AI776" i="7" s="1"/>
  <c r="AF778" i="7"/>
  <c r="AK778" i="7" s="1"/>
  <c r="AC781" i="7"/>
  <c r="AH781" i="7" s="1"/>
  <c r="AE783" i="7"/>
  <c r="AJ783" i="7" s="1"/>
  <c r="AB786" i="7"/>
  <c r="AG786" i="7" s="1"/>
  <c r="AD788" i="7"/>
  <c r="AI788" i="7" s="1"/>
  <c r="AF790" i="7"/>
  <c r="AK790" i="7" s="1"/>
  <c r="AC793" i="7"/>
  <c r="AH793" i="7" s="1"/>
  <c r="AE795" i="7"/>
  <c r="AJ795" i="7" s="1"/>
  <c r="AB798" i="7"/>
  <c r="AG798" i="7" s="1"/>
  <c r="AD800" i="7"/>
  <c r="AI800" i="7" s="1"/>
  <c r="AF802" i="7"/>
  <c r="AK802" i="7" s="1"/>
  <c r="AC805" i="7"/>
  <c r="AH805" i="7" s="1"/>
  <c r="AE807" i="7"/>
  <c r="AJ807" i="7" s="1"/>
  <c r="AB810" i="7"/>
  <c r="AG810" i="7" s="1"/>
  <c r="AD812" i="7"/>
  <c r="AI812" i="7" s="1"/>
  <c r="AF814" i="7"/>
  <c r="AK814" i="7" s="1"/>
  <c r="AC47" i="7"/>
  <c r="AH47" i="7" s="1"/>
  <c r="AB52" i="7"/>
  <c r="AG52" i="7" s="1"/>
  <c r="AE61" i="7"/>
  <c r="AJ61" i="7" s="1"/>
  <c r="AC71" i="7"/>
  <c r="AH71" i="7" s="1"/>
  <c r="AC83" i="7"/>
  <c r="AH83" i="7" s="1"/>
  <c r="AF140" i="7"/>
  <c r="AK140" i="7" s="1"/>
  <c r="AB316" i="7"/>
  <c r="AG316" i="7" s="1"/>
  <c r="AB556" i="7"/>
  <c r="AG556" i="7" s="1"/>
  <c r="AB81" i="7"/>
  <c r="AG81" i="7" s="1"/>
  <c r="AB273" i="7"/>
  <c r="AG273" i="7" s="1"/>
  <c r="AB429" i="7"/>
  <c r="AG429" i="7" s="1"/>
  <c r="AD563" i="7"/>
  <c r="AI563" i="7" s="1"/>
  <c r="AE714" i="7"/>
  <c r="AJ714" i="7" s="1"/>
  <c r="AE846" i="7"/>
  <c r="AJ846" i="7" s="1"/>
  <c r="AB981" i="7"/>
  <c r="AG981" i="7" s="1"/>
  <c r="AD64" i="7"/>
  <c r="AI64" i="7" s="1"/>
  <c r="AE263" i="7"/>
  <c r="AJ263" i="7" s="1"/>
  <c r="AB55" i="7"/>
  <c r="AG55" i="7" s="1"/>
  <c r="AC175" i="7"/>
  <c r="AH175" i="7" s="1"/>
  <c r="AB324" i="7"/>
  <c r="AG324" i="7" s="1"/>
  <c r="AF448" i="7"/>
  <c r="AK448" i="7" s="1"/>
  <c r="AE525" i="7"/>
  <c r="AJ525" i="7" s="1"/>
  <c r="AE609" i="7"/>
  <c r="AJ609" i="7" s="1"/>
  <c r="AF712" i="7"/>
  <c r="AK712" i="7" s="1"/>
  <c r="AE110" i="7"/>
  <c r="AJ110" i="7" s="1"/>
  <c r="AC228" i="7"/>
  <c r="AH228" i="7" s="1"/>
  <c r="AD343" i="7"/>
  <c r="AI343" i="7" s="1"/>
  <c r="AE458" i="7"/>
  <c r="AJ458" i="7" s="1"/>
  <c r="AE530" i="7"/>
  <c r="AJ530" i="7" s="1"/>
  <c r="AE638" i="7"/>
  <c r="AJ638" i="7" s="1"/>
  <c r="AC708" i="7"/>
  <c r="AH708" i="7" s="1"/>
  <c r="AB250" i="7"/>
  <c r="AG250" i="7" s="1"/>
  <c r="AC473" i="7"/>
  <c r="AH473" i="7" s="1"/>
  <c r="AB790" i="7"/>
  <c r="AG790" i="7" s="1"/>
  <c r="AF130" i="7"/>
  <c r="AK130" i="7" s="1"/>
  <c r="AE231" i="7"/>
  <c r="AJ231" i="7" s="1"/>
  <c r="AB330" i="7"/>
  <c r="AG330" i="7" s="1"/>
  <c r="AE387" i="7"/>
  <c r="AJ387" i="7" s="1"/>
  <c r="AF454" i="7"/>
  <c r="AK454" i="7" s="1"/>
  <c r="AC589" i="7"/>
  <c r="AH589" i="7" s="1"/>
  <c r="AE109" i="7"/>
  <c r="AJ109" i="7" s="1"/>
  <c r="AE241" i="7"/>
  <c r="AJ241" i="7" s="1"/>
  <c r="AE337" i="7"/>
  <c r="AJ337" i="7" s="1"/>
  <c r="AC479" i="7"/>
  <c r="AH479" i="7" s="1"/>
  <c r="AB544" i="7"/>
  <c r="AG544" i="7" s="1"/>
  <c r="AD546" i="7"/>
  <c r="AI546" i="7" s="1"/>
  <c r="AE553" i="7"/>
  <c r="AJ553" i="7" s="1"/>
  <c r="AE577" i="7"/>
  <c r="AJ577" i="7" s="1"/>
  <c r="AB580" i="7"/>
  <c r="AG580" i="7" s="1"/>
  <c r="AD582" i="7"/>
  <c r="AI582" i="7" s="1"/>
  <c r="AF584" i="7"/>
  <c r="AK584" i="7" s="1"/>
  <c r="AC587" i="7"/>
  <c r="AH587" i="7" s="1"/>
  <c r="AE589" i="7"/>
  <c r="AJ589" i="7" s="1"/>
  <c r="AB592" i="7"/>
  <c r="AG592" i="7" s="1"/>
  <c r="AD594" i="7"/>
  <c r="AI594" i="7" s="1"/>
  <c r="AF596" i="7"/>
  <c r="AK596" i="7" s="1"/>
  <c r="AC599" i="7"/>
  <c r="AH599" i="7" s="1"/>
  <c r="AE601" i="7"/>
  <c r="AJ601" i="7" s="1"/>
  <c r="AB604" i="7"/>
  <c r="AG604" i="7" s="1"/>
  <c r="AD606" i="7"/>
  <c r="AI606" i="7" s="1"/>
  <c r="AF608" i="7"/>
  <c r="AK608" i="7" s="1"/>
  <c r="AC611" i="7"/>
  <c r="AH611" i="7" s="1"/>
  <c r="AE613" i="7"/>
  <c r="AJ613" i="7" s="1"/>
  <c r="AB616" i="7"/>
  <c r="AG616" i="7" s="1"/>
  <c r="AD618" i="7"/>
  <c r="AI618" i="7" s="1"/>
  <c r="AF620" i="7"/>
  <c r="AK620" i="7" s="1"/>
  <c r="AC623" i="7"/>
  <c r="AH623" i="7" s="1"/>
  <c r="AE625" i="7"/>
  <c r="AJ625" i="7" s="1"/>
  <c r="AB628" i="7"/>
  <c r="AG628" i="7" s="1"/>
  <c r="AD630" i="7"/>
  <c r="AI630" i="7" s="1"/>
  <c r="AF632" i="7"/>
  <c r="AK632" i="7" s="1"/>
  <c r="AC635" i="7"/>
  <c r="AH635" i="7" s="1"/>
  <c r="AE637" i="7"/>
  <c r="AJ637" i="7" s="1"/>
  <c r="AB640" i="7"/>
  <c r="AG640" i="7" s="1"/>
  <c r="AD642" i="7"/>
  <c r="AI642" i="7" s="1"/>
  <c r="AF644" i="7"/>
  <c r="AK644" i="7" s="1"/>
  <c r="AC647" i="7"/>
  <c r="AH647" i="7" s="1"/>
  <c r="AE649" i="7"/>
  <c r="AJ649" i="7" s="1"/>
  <c r="AB652" i="7"/>
  <c r="AG652" i="7" s="1"/>
  <c r="AD654" i="7"/>
  <c r="AI654" i="7" s="1"/>
  <c r="AF656" i="7"/>
  <c r="AK656" i="7" s="1"/>
  <c r="AC659" i="7"/>
  <c r="AH659" i="7" s="1"/>
  <c r="AE661" i="7"/>
  <c r="AJ661" i="7" s="1"/>
  <c r="AB664" i="7"/>
  <c r="AG664" i="7" s="1"/>
  <c r="AD666" i="7"/>
  <c r="AI666" i="7" s="1"/>
  <c r="AF668" i="7"/>
  <c r="AK668" i="7" s="1"/>
  <c r="AC671" i="7"/>
  <c r="AH671" i="7" s="1"/>
  <c r="AE673" i="7"/>
  <c r="AJ673" i="7" s="1"/>
  <c r="AB676" i="7"/>
  <c r="AG676" i="7" s="1"/>
  <c r="AD678" i="7"/>
  <c r="AI678" i="7" s="1"/>
  <c r="AF680" i="7"/>
  <c r="AK680" i="7" s="1"/>
  <c r="AC683" i="7"/>
  <c r="AH683" i="7" s="1"/>
  <c r="AE685" i="7"/>
  <c r="AJ685" i="7" s="1"/>
  <c r="AB688" i="7"/>
  <c r="AG688" i="7" s="1"/>
  <c r="AD690" i="7"/>
  <c r="AI690" i="7" s="1"/>
  <c r="AF692" i="7"/>
  <c r="AK692" i="7" s="1"/>
  <c r="AC695" i="7"/>
  <c r="AH695" i="7" s="1"/>
  <c r="AE697" i="7"/>
  <c r="AJ697" i="7" s="1"/>
  <c r="AB700" i="7"/>
  <c r="AG700" i="7" s="1"/>
  <c r="AD702" i="7"/>
  <c r="AI702" i="7" s="1"/>
  <c r="AF704" i="7"/>
  <c r="AK704" i="7" s="1"/>
  <c r="AC707" i="7"/>
  <c r="AH707" i="7" s="1"/>
  <c r="AE709" i="7"/>
  <c r="AJ709" i="7" s="1"/>
  <c r="AB712" i="7"/>
  <c r="AG712" i="7" s="1"/>
  <c r="AD714" i="7"/>
  <c r="AI714" i="7" s="1"/>
  <c r="AF716" i="7"/>
  <c r="AK716" i="7" s="1"/>
  <c r="AC719" i="7"/>
  <c r="AH719" i="7" s="1"/>
  <c r="AE721" i="7"/>
  <c r="AJ721" i="7" s="1"/>
  <c r="AB724" i="7"/>
  <c r="AG724" i="7" s="1"/>
  <c r="AD726" i="7"/>
  <c r="AI726" i="7" s="1"/>
  <c r="AF728" i="7"/>
  <c r="AK728" i="7" s="1"/>
  <c r="AC731" i="7"/>
  <c r="AH731" i="7" s="1"/>
  <c r="AE733" i="7"/>
  <c r="AJ733" i="7" s="1"/>
  <c r="AB736" i="7"/>
  <c r="AG736" i="7" s="1"/>
  <c r="AD738" i="7"/>
  <c r="AI738" i="7" s="1"/>
  <c r="AF740" i="7"/>
  <c r="AK740" i="7" s="1"/>
  <c r="AC743" i="7"/>
  <c r="AH743" i="7" s="1"/>
  <c r="AE745" i="7"/>
  <c r="AJ745" i="7" s="1"/>
  <c r="AB748" i="7"/>
  <c r="AG748" i="7" s="1"/>
  <c r="AD750" i="7"/>
  <c r="AI750" i="7" s="1"/>
  <c r="AF752" i="7"/>
  <c r="AK752" i="7" s="1"/>
  <c r="AC755" i="7"/>
  <c r="AH755" i="7" s="1"/>
  <c r="AE757" i="7"/>
  <c r="AJ757" i="7" s="1"/>
  <c r="AB760" i="7"/>
  <c r="AG760" i="7" s="1"/>
  <c r="AD762" i="7"/>
  <c r="AI762" i="7" s="1"/>
  <c r="AF764" i="7"/>
  <c r="AK764" i="7" s="1"/>
  <c r="AC767" i="7"/>
  <c r="AH767" i="7" s="1"/>
  <c r="AE769" i="7"/>
  <c r="AJ769" i="7" s="1"/>
  <c r="AB772" i="7"/>
  <c r="AG772" i="7" s="1"/>
  <c r="AD774" i="7"/>
  <c r="AI774" i="7" s="1"/>
  <c r="AF776" i="7"/>
  <c r="AK776" i="7" s="1"/>
  <c r="AC779" i="7"/>
  <c r="AH779" i="7" s="1"/>
  <c r="AE781" i="7"/>
  <c r="AJ781" i="7" s="1"/>
  <c r="AB784" i="7"/>
  <c r="AG784" i="7" s="1"/>
  <c r="AD786" i="7"/>
  <c r="AI786" i="7" s="1"/>
  <c r="AF788" i="7"/>
  <c r="AK788" i="7" s="1"/>
  <c r="AC791" i="7"/>
  <c r="AH791" i="7" s="1"/>
  <c r="AE793" i="7"/>
  <c r="AJ793" i="7" s="1"/>
  <c r="AB796" i="7"/>
  <c r="AG796" i="7" s="1"/>
  <c r="AD798" i="7"/>
  <c r="AI798" i="7" s="1"/>
  <c r="AF800" i="7"/>
  <c r="AK800" i="7" s="1"/>
  <c r="AC803" i="7"/>
  <c r="AH803" i="7" s="1"/>
  <c r="AE805" i="7"/>
  <c r="AJ805" i="7" s="1"/>
  <c r="AB808" i="7"/>
  <c r="AG808" i="7" s="1"/>
  <c r="AD810" i="7"/>
  <c r="AI810" i="7" s="1"/>
  <c r="AF812" i="7"/>
  <c r="AK812" i="7" s="1"/>
  <c r="AE49" i="7"/>
  <c r="AJ49" i="7" s="1"/>
  <c r="AD54" i="7"/>
  <c r="AI54" i="7" s="1"/>
  <c r="AF56" i="7"/>
  <c r="AK56" i="7" s="1"/>
  <c r="AB64" i="7"/>
  <c r="AG64" i="7" s="1"/>
  <c r="AD66" i="7"/>
  <c r="AI66" i="7" s="1"/>
  <c r="AF68" i="7"/>
  <c r="AK68" i="7" s="1"/>
  <c r="AE73" i="7"/>
  <c r="AJ73" i="7" s="1"/>
  <c r="AF80" i="7"/>
  <c r="AK80" i="7" s="1"/>
  <c r="AE97" i="7"/>
  <c r="AJ97" i="7" s="1"/>
  <c r="AF224" i="7"/>
  <c r="AK224" i="7" s="1"/>
  <c r="AD354" i="7"/>
  <c r="AI354" i="7" s="1"/>
  <c r="AC551" i="7"/>
  <c r="AH551" i="7" s="1"/>
  <c r="AB57" i="7"/>
  <c r="AG57" i="7" s="1"/>
  <c r="AC196" i="7"/>
  <c r="AH196" i="7" s="1"/>
  <c r="AB309" i="7"/>
  <c r="AG309" i="7" s="1"/>
  <c r="AB441" i="7"/>
  <c r="AG441" i="7" s="1"/>
  <c r="AE570" i="7"/>
  <c r="AJ570" i="7" s="1"/>
  <c r="AB705" i="7"/>
  <c r="AG705" i="7" s="1"/>
  <c r="AD839" i="7"/>
  <c r="AI839" i="7" s="1"/>
  <c r="AB957" i="7"/>
  <c r="AG957" i="7" s="1"/>
  <c r="AD90" i="7"/>
  <c r="AI90" i="7" s="1"/>
  <c r="AD378" i="7"/>
  <c r="AI378" i="7" s="1"/>
  <c r="AD486" i="7"/>
  <c r="AI486" i="7" s="1"/>
  <c r="AE565" i="7"/>
  <c r="AJ565" i="7" s="1"/>
  <c r="AD131" i="7"/>
  <c r="AI131" i="7" s="1"/>
  <c r="AD251" i="7"/>
  <c r="AI251" i="7" s="1"/>
  <c r="AF373" i="7"/>
  <c r="AK373" i="7" s="1"/>
  <c r="AB489" i="7"/>
  <c r="AG489" i="7" s="1"/>
  <c r="AD623" i="7"/>
  <c r="AI623" i="7" s="1"/>
  <c r="AC748" i="7"/>
  <c r="AH748" i="7" s="1"/>
  <c r="AC856" i="7"/>
  <c r="AH856" i="7" s="1"/>
  <c r="AE966" i="7"/>
  <c r="AJ966" i="7" s="1"/>
  <c r="AE47" i="7"/>
  <c r="AJ47" i="7" s="1"/>
  <c r="AB158" i="7"/>
  <c r="AG158" i="7" s="1"/>
  <c r="AD256" i="7"/>
  <c r="AI256" i="7" s="1"/>
  <c r="AF282" i="7"/>
  <c r="AK282" i="7" s="1"/>
  <c r="AC297" i="7"/>
  <c r="AH297" i="7" s="1"/>
  <c r="AE299" i="7"/>
  <c r="AJ299" i="7" s="1"/>
  <c r="AB302" i="7"/>
  <c r="AG302" i="7" s="1"/>
  <c r="AD304" i="7"/>
  <c r="AI304" i="7" s="1"/>
  <c r="AF306" i="7"/>
  <c r="AK306" i="7" s="1"/>
  <c r="AC309" i="7"/>
  <c r="AH309" i="7" s="1"/>
  <c r="AE311" i="7"/>
  <c r="AJ311" i="7" s="1"/>
  <c r="AB314" i="7"/>
  <c r="AG314" i="7" s="1"/>
  <c r="AD316" i="7"/>
  <c r="AI316" i="7" s="1"/>
  <c r="AF318" i="7"/>
  <c r="AK318" i="7" s="1"/>
  <c r="AC321" i="7"/>
  <c r="AH321" i="7" s="1"/>
  <c r="AE323" i="7"/>
  <c r="AJ323" i="7" s="1"/>
  <c r="AB326" i="7"/>
  <c r="AG326" i="7" s="1"/>
  <c r="AD328" i="7"/>
  <c r="AI328" i="7" s="1"/>
  <c r="AF330" i="7"/>
  <c r="AK330" i="7" s="1"/>
  <c r="AC333" i="7"/>
  <c r="AH333" i="7" s="1"/>
  <c r="AE335" i="7"/>
  <c r="AJ335" i="7" s="1"/>
  <c r="AB338" i="7"/>
  <c r="AG338" i="7" s="1"/>
  <c r="AD340" i="7"/>
  <c r="AI340" i="7" s="1"/>
  <c r="AF342" i="7"/>
  <c r="AK342" i="7" s="1"/>
  <c r="AC345" i="7"/>
  <c r="AH345" i="7" s="1"/>
  <c r="AE347" i="7"/>
  <c r="AJ347" i="7" s="1"/>
  <c r="AB350" i="7"/>
  <c r="AG350" i="7" s="1"/>
  <c r="AD352" i="7"/>
  <c r="AI352" i="7" s="1"/>
  <c r="AF354" i="7"/>
  <c r="AK354" i="7" s="1"/>
  <c r="AC357" i="7"/>
  <c r="AH357" i="7" s="1"/>
  <c r="AE359" i="7"/>
  <c r="AJ359" i="7" s="1"/>
  <c r="AB362" i="7"/>
  <c r="AG362" i="7" s="1"/>
  <c r="AD364" i="7"/>
  <c r="AI364" i="7" s="1"/>
  <c r="AF366" i="7"/>
  <c r="AK366" i="7" s="1"/>
  <c r="AC369" i="7"/>
  <c r="AH369" i="7" s="1"/>
  <c r="AE371" i="7"/>
  <c r="AJ371" i="7" s="1"/>
  <c r="AB374" i="7"/>
  <c r="AG374" i="7" s="1"/>
  <c r="AD376" i="7"/>
  <c r="AI376" i="7" s="1"/>
  <c r="AF378" i="7"/>
  <c r="AK378" i="7" s="1"/>
  <c r="AC381" i="7"/>
  <c r="AH381" i="7" s="1"/>
  <c r="AE383" i="7"/>
  <c r="AJ383" i="7" s="1"/>
  <c r="AB386" i="7"/>
  <c r="AG386" i="7" s="1"/>
  <c r="AD388" i="7"/>
  <c r="AI388" i="7" s="1"/>
  <c r="AF390" i="7"/>
  <c r="AK390" i="7" s="1"/>
  <c r="AC393" i="7"/>
  <c r="AH393" i="7" s="1"/>
  <c r="AE395" i="7"/>
  <c r="AJ395" i="7" s="1"/>
  <c r="AB398" i="7"/>
  <c r="AG398" i="7" s="1"/>
  <c r="AD400" i="7"/>
  <c r="AI400" i="7" s="1"/>
  <c r="AF402" i="7"/>
  <c r="AK402" i="7" s="1"/>
  <c r="AC405" i="7"/>
  <c r="AH405" i="7" s="1"/>
  <c r="AE407" i="7"/>
  <c r="AJ407" i="7" s="1"/>
  <c r="AB410" i="7"/>
  <c r="AG410" i="7" s="1"/>
  <c r="AD412" i="7"/>
  <c r="AI412" i="7" s="1"/>
  <c r="AF414" i="7"/>
  <c r="AK414" i="7" s="1"/>
  <c r="AC417" i="7"/>
  <c r="AH417" i="7" s="1"/>
  <c r="AC59" i="7"/>
  <c r="AH59" i="7" s="1"/>
  <c r="AB88" i="7"/>
  <c r="AG88" i="7" s="1"/>
  <c r="AC119" i="7"/>
  <c r="AH119" i="7" s="1"/>
  <c r="AF128" i="7"/>
  <c r="AK128" i="7" s="1"/>
  <c r="AD138" i="7"/>
  <c r="AI138" i="7" s="1"/>
  <c r="AD150" i="7"/>
  <c r="AI150" i="7" s="1"/>
  <c r="AD162" i="7"/>
  <c r="AI162" i="7" s="1"/>
  <c r="AB172" i="7"/>
  <c r="AG172" i="7" s="1"/>
  <c r="AE181" i="7"/>
  <c r="AJ181" i="7" s="1"/>
  <c r="AF188" i="7"/>
  <c r="AK188" i="7" s="1"/>
  <c r="AF200" i="7"/>
  <c r="AK200" i="7" s="1"/>
  <c r="AD210" i="7"/>
  <c r="AI210" i="7" s="1"/>
  <c r="AB220" i="7"/>
  <c r="AG220" i="7" s="1"/>
  <c r="AD234" i="7"/>
  <c r="AI234" i="7" s="1"/>
  <c r="AF248" i="7"/>
  <c r="AK248" i="7" s="1"/>
  <c r="AD258" i="7"/>
  <c r="AI258" i="7" s="1"/>
  <c r="AB268" i="7"/>
  <c r="AG268" i="7" s="1"/>
  <c r="AB280" i="7"/>
  <c r="AG280" i="7" s="1"/>
  <c r="AB292" i="7"/>
  <c r="AG292" i="7" s="1"/>
  <c r="AE301" i="7"/>
  <c r="AJ301" i="7" s="1"/>
  <c r="AE313" i="7"/>
  <c r="AJ313" i="7" s="1"/>
  <c r="AE325" i="7"/>
  <c r="AJ325" i="7" s="1"/>
  <c r="AC335" i="7"/>
  <c r="AH335" i="7" s="1"/>
  <c r="AC347" i="7"/>
  <c r="AH347" i="7" s="1"/>
  <c r="AE361" i="7"/>
  <c r="AJ361" i="7" s="1"/>
  <c r="AE373" i="7"/>
  <c r="AJ373" i="7" s="1"/>
  <c r="AD390" i="7"/>
  <c r="AI390" i="7" s="1"/>
  <c r="AB400" i="7"/>
  <c r="AG400" i="7" s="1"/>
  <c r="AE409" i="7"/>
  <c r="AJ409" i="7" s="1"/>
  <c r="AE421" i="7"/>
  <c r="AJ421" i="7" s="1"/>
  <c r="AF428" i="7"/>
  <c r="AK428" i="7" s="1"/>
  <c r="AD438" i="7"/>
  <c r="AI438" i="7" s="1"/>
  <c r="AB448" i="7"/>
  <c r="AG448" i="7" s="1"/>
  <c r="AE457" i="7"/>
  <c r="AJ457" i="7" s="1"/>
  <c r="AC467" i="7"/>
  <c r="AH467" i="7" s="1"/>
  <c r="AD474" i="7"/>
  <c r="AI474" i="7" s="1"/>
  <c r="AB484" i="7"/>
  <c r="AG484" i="7" s="1"/>
  <c r="AB496" i="7"/>
  <c r="AG496" i="7" s="1"/>
  <c r="AE505" i="7"/>
  <c r="AJ505" i="7" s="1"/>
  <c r="AF512" i="7"/>
  <c r="AK512" i="7" s="1"/>
  <c r="AE517" i="7"/>
  <c r="AJ517" i="7" s="1"/>
  <c r="AF524" i="7"/>
  <c r="AK524" i="7" s="1"/>
  <c r="AE529" i="7"/>
  <c r="AJ529" i="7" s="1"/>
  <c r="AE541" i="7"/>
  <c r="AJ541" i="7" s="1"/>
  <c r="AF572" i="7"/>
  <c r="AK572" i="7" s="1"/>
  <c r="AD47" i="7"/>
  <c r="AI47" i="7" s="1"/>
  <c r="AD59" i="7"/>
  <c r="AI59" i="7" s="1"/>
  <c r="AD71" i="7"/>
  <c r="AI71" i="7" s="1"/>
  <c r="AD83" i="7"/>
  <c r="AI83" i="7" s="1"/>
  <c r="AF97" i="7"/>
  <c r="AK97" i="7" s="1"/>
  <c r="AF109" i="7"/>
  <c r="AK109" i="7" s="1"/>
  <c r="AC124" i="7"/>
  <c r="AH124" i="7" s="1"/>
  <c r="AC136" i="7"/>
  <c r="AH136" i="7" s="1"/>
  <c r="AC148" i="7"/>
  <c r="AH148" i="7" s="1"/>
  <c r="AC160" i="7"/>
  <c r="AH160" i="7" s="1"/>
  <c r="AF169" i="7"/>
  <c r="AK169" i="7" s="1"/>
  <c r="AD179" i="7"/>
  <c r="AI179" i="7" s="1"/>
  <c r="AD191" i="7"/>
  <c r="AI191" i="7" s="1"/>
  <c r="AF205" i="7"/>
  <c r="AK205" i="7" s="1"/>
  <c r="AC220" i="7"/>
  <c r="AH220" i="7" s="1"/>
  <c r="AE234" i="7"/>
  <c r="AJ234" i="7" s="1"/>
  <c r="AC244" i="7"/>
  <c r="AH244" i="7" s="1"/>
  <c r="AC256" i="7"/>
  <c r="AH256" i="7" s="1"/>
  <c r="AC268" i="7"/>
  <c r="AH268" i="7" s="1"/>
  <c r="AC280" i="7"/>
  <c r="AH280" i="7" s="1"/>
  <c r="AF289" i="7"/>
  <c r="AK289" i="7" s="1"/>
  <c r="AF301" i="7"/>
  <c r="AK301" i="7" s="1"/>
  <c r="AC316" i="7"/>
  <c r="AH316" i="7" s="1"/>
  <c r="AF325" i="7"/>
  <c r="AK325" i="7" s="1"/>
  <c r="AB333" i="7"/>
  <c r="AG333" i="7" s="1"/>
  <c r="AB345" i="7"/>
  <c r="AG345" i="7" s="1"/>
  <c r="AB357" i="7"/>
  <c r="AG357" i="7" s="1"/>
  <c r="AE366" i="7"/>
  <c r="AJ366" i="7" s="1"/>
  <c r="AE378" i="7"/>
  <c r="AJ378" i="7" s="1"/>
  <c r="AC388" i="7"/>
  <c r="AH388" i="7" s="1"/>
  <c r="AE402" i="7"/>
  <c r="AJ402" i="7" s="1"/>
  <c r="AC424" i="7"/>
  <c r="AH424" i="7" s="1"/>
  <c r="AE438" i="7"/>
  <c r="AJ438" i="7" s="1"/>
  <c r="AE450" i="7"/>
  <c r="AJ450" i="7" s="1"/>
  <c r="AC460" i="7"/>
  <c r="AH460" i="7" s="1"/>
  <c r="AE474" i="7"/>
  <c r="AJ474" i="7" s="1"/>
  <c r="AC484" i="7"/>
  <c r="AH484" i="7" s="1"/>
  <c r="AC496" i="7"/>
  <c r="AH496" i="7" s="1"/>
  <c r="AC508" i="7"/>
  <c r="AH508" i="7" s="1"/>
  <c r="AF517" i="7"/>
  <c r="AK517" i="7" s="1"/>
  <c r="AF529" i="7"/>
  <c r="AK529" i="7" s="1"/>
  <c r="AD539" i="7"/>
  <c r="AI539" i="7" s="1"/>
  <c r="AB549" i="7"/>
  <c r="AG549" i="7" s="1"/>
  <c r="AC556" i="7"/>
  <c r="AH556" i="7" s="1"/>
  <c r="AC568" i="7"/>
  <c r="AH568" i="7" s="1"/>
  <c r="AC580" i="7"/>
  <c r="AH580" i="7" s="1"/>
  <c r="AF589" i="7"/>
  <c r="AK589" i="7" s="1"/>
  <c r="AF601" i="7"/>
  <c r="AK601" i="7" s="1"/>
  <c r="AD611" i="7"/>
  <c r="AI611" i="7" s="1"/>
  <c r="AB621" i="7"/>
  <c r="AG621" i="7" s="1"/>
  <c r="AB633" i="7"/>
  <c r="AG633" i="7" s="1"/>
  <c r="AB645" i="7"/>
  <c r="AG645" i="7" s="1"/>
  <c r="AD659" i="7"/>
  <c r="AI659" i="7" s="1"/>
  <c r="AD671" i="7"/>
  <c r="AI671" i="7" s="1"/>
  <c r="AB681" i="7"/>
  <c r="AG681" i="7" s="1"/>
  <c r="AE690" i="7"/>
  <c r="AJ690" i="7" s="1"/>
  <c r="AE702" i="7"/>
  <c r="AJ702" i="7" s="1"/>
  <c r="AB717" i="7"/>
  <c r="AG717" i="7" s="1"/>
  <c r="AB729" i="7"/>
  <c r="AG729" i="7" s="1"/>
  <c r="AB741" i="7"/>
  <c r="AG741" i="7" s="1"/>
  <c r="AB753" i="7"/>
  <c r="AG753" i="7" s="1"/>
  <c r="AE762" i="7"/>
  <c r="AJ762" i="7" s="1"/>
  <c r="AE774" i="7"/>
  <c r="AJ774" i="7" s="1"/>
  <c r="AC784" i="7"/>
  <c r="AH784" i="7" s="1"/>
  <c r="AF793" i="7"/>
  <c r="AK793" i="7" s="1"/>
  <c r="AF805" i="7"/>
  <c r="AK805" i="7" s="1"/>
  <c r="AD815" i="7"/>
  <c r="AI815" i="7" s="1"/>
  <c r="AD827" i="7"/>
  <c r="AI827" i="7" s="1"/>
  <c r="AB837" i="7"/>
  <c r="AG837" i="7" s="1"/>
  <c r="AD851" i="7"/>
  <c r="AI851" i="7" s="1"/>
  <c r="AB861" i="7"/>
  <c r="AG861" i="7" s="1"/>
  <c r="AC868" i="7"/>
  <c r="AH868" i="7" s="1"/>
  <c r="AF877" i="7"/>
  <c r="AK877" i="7" s="1"/>
  <c r="AB885" i="7"/>
  <c r="AG885" i="7" s="1"/>
  <c r="AB897" i="7"/>
  <c r="AG897" i="7" s="1"/>
  <c r="AE906" i="7"/>
  <c r="AJ906" i="7" s="1"/>
  <c r="AB921" i="7"/>
  <c r="AG921" i="7" s="1"/>
  <c r="AC928" i="7"/>
  <c r="AH928" i="7" s="1"/>
  <c r="AF937" i="7"/>
  <c r="AK937" i="7" s="1"/>
  <c r="AD947" i="7"/>
  <c r="AI947" i="7" s="1"/>
  <c r="AD959" i="7"/>
  <c r="AI959" i="7" s="1"/>
  <c r="AB969" i="7"/>
  <c r="AG969" i="7" s="1"/>
  <c r="AD983" i="7"/>
  <c r="AI983" i="7" s="1"/>
  <c r="AF54" i="7"/>
  <c r="AK54" i="7" s="1"/>
  <c r="AF66" i="7"/>
  <c r="AK66" i="7" s="1"/>
  <c r="AF78" i="7"/>
  <c r="AK78" i="7" s="1"/>
  <c r="AB86" i="7"/>
  <c r="AG86" i="7" s="1"/>
  <c r="AC93" i="7"/>
  <c r="AH93" i="7" s="1"/>
  <c r="AD100" i="7"/>
  <c r="AI100" i="7" s="1"/>
  <c r="AC117" i="7"/>
  <c r="AH117" i="7" s="1"/>
  <c r="AC129" i="7"/>
  <c r="AH129" i="7" s="1"/>
  <c r="AC141" i="7"/>
  <c r="AH141" i="7" s="1"/>
  <c r="AD148" i="7"/>
  <c r="AI148" i="7" s="1"/>
  <c r="AD160" i="7"/>
  <c r="AI160" i="7" s="1"/>
  <c r="AB170" i="7"/>
  <c r="AG170" i="7" s="1"/>
  <c r="AE179" i="7"/>
  <c r="AJ179" i="7" s="1"/>
  <c r="AC189" i="7"/>
  <c r="AH189" i="7" s="1"/>
  <c r="AF198" i="7"/>
  <c r="AK198" i="7" s="1"/>
  <c r="AB206" i="7"/>
  <c r="AG206" i="7" s="1"/>
  <c r="AE215" i="7"/>
  <c r="AJ215" i="7" s="1"/>
  <c r="AC225" i="7"/>
  <c r="AH225" i="7" s="1"/>
  <c r="AD232" i="7"/>
  <c r="AI232" i="7" s="1"/>
  <c r="AB242" i="7"/>
  <c r="AG242" i="7" s="1"/>
  <c r="AE251" i="7"/>
  <c r="AJ251" i="7" s="1"/>
  <c r="AF258" i="7"/>
  <c r="AK258" i="7" s="1"/>
  <c r="AF270" i="7"/>
  <c r="AK270" i="7" s="1"/>
  <c r="AC273" i="7"/>
  <c r="AH273" i="7" s="1"/>
  <c r="AB290" i="7"/>
  <c r="AG290" i="7" s="1"/>
  <c r="AE64" i="7"/>
  <c r="AJ64" i="7" s="1"/>
  <c r="AC74" i="7"/>
  <c r="AH74" i="7" s="1"/>
  <c r="AC86" i="7"/>
  <c r="AH86" i="7" s="1"/>
  <c r="AE100" i="7"/>
  <c r="AJ100" i="7" s="1"/>
  <c r="AD117" i="7"/>
  <c r="AI117" i="7" s="1"/>
  <c r="AB127" i="7"/>
  <c r="AG127" i="7" s="1"/>
  <c r="AC134" i="7"/>
  <c r="AH134" i="7" s="1"/>
  <c r="AD141" i="7"/>
  <c r="AI141" i="7" s="1"/>
  <c r="AF143" i="7"/>
  <c r="AK143" i="7" s="1"/>
  <c r="AC146" i="7"/>
  <c r="AH146" i="7" s="1"/>
  <c r="AE148" i="7"/>
  <c r="AJ148" i="7" s="1"/>
  <c r="AB151" i="7"/>
  <c r="AG151" i="7" s="1"/>
  <c r="AD153" i="7"/>
  <c r="AI153" i="7" s="1"/>
  <c r="AE160" i="7"/>
  <c r="AJ160" i="7" s="1"/>
  <c r="AD165" i="7"/>
  <c r="AI165" i="7" s="1"/>
  <c r="AF167" i="7"/>
  <c r="AK167" i="7" s="1"/>
  <c r="AC170" i="7"/>
  <c r="AH170" i="7" s="1"/>
  <c r="AE172" i="7"/>
  <c r="AJ172" i="7" s="1"/>
  <c r="AB175" i="7"/>
  <c r="AG175" i="7" s="1"/>
  <c r="AD177" i="7"/>
  <c r="AI177" i="7" s="1"/>
  <c r="AF179" i="7"/>
  <c r="AK179" i="7" s="1"/>
  <c r="AC182" i="7"/>
  <c r="AH182" i="7" s="1"/>
  <c r="AE184" i="7"/>
  <c r="AJ184" i="7" s="1"/>
  <c r="AB187" i="7"/>
  <c r="AG187" i="7" s="1"/>
  <c r="AD189" i="7"/>
  <c r="AI189" i="7" s="1"/>
  <c r="AF191" i="7"/>
  <c r="AK191" i="7" s="1"/>
  <c r="AC194" i="7"/>
  <c r="AH194" i="7" s="1"/>
  <c r="AE196" i="7"/>
  <c r="AJ196" i="7" s="1"/>
  <c r="AB199" i="7"/>
  <c r="AG199" i="7" s="1"/>
  <c r="AD201" i="7"/>
  <c r="AI201" i="7" s="1"/>
  <c r="AF203" i="7"/>
  <c r="AK203" i="7" s="1"/>
  <c r="AC206" i="7"/>
  <c r="AH206" i="7" s="1"/>
  <c r="AE208" i="7"/>
  <c r="AJ208" i="7" s="1"/>
  <c r="AB211" i="7"/>
  <c r="AG211" i="7" s="1"/>
  <c r="AD213" i="7"/>
  <c r="AI213" i="7" s="1"/>
  <c r="AF215" i="7"/>
  <c r="AK215" i="7" s="1"/>
  <c r="AC218" i="7"/>
  <c r="AH218" i="7" s="1"/>
  <c r="AE220" i="7"/>
  <c r="AJ220" i="7" s="1"/>
  <c r="AB223" i="7"/>
  <c r="AG223" i="7" s="1"/>
  <c r="AD225" i="7"/>
  <c r="AI225" i="7" s="1"/>
  <c r="AF227" i="7"/>
  <c r="AK227" i="7" s="1"/>
  <c r="AC230" i="7"/>
  <c r="AH230" i="7" s="1"/>
  <c r="AE232" i="7"/>
  <c r="AJ232" i="7" s="1"/>
  <c r="AB235" i="7"/>
  <c r="AG235" i="7" s="1"/>
  <c r="AD237" i="7"/>
  <c r="AI237" i="7" s="1"/>
  <c r="AF239" i="7"/>
  <c r="AK239" i="7" s="1"/>
  <c r="AC242" i="7"/>
  <c r="AH242" i="7" s="1"/>
  <c r="AE244" i="7"/>
  <c r="AJ244" i="7" s="1"/>
  <c r="AB247" i="7"/>
  <c r="AG247" i="7" s="1"/>
  <c r="AD249" i="7"/>
  <c r="AI249" i="7" s="1"/>
  <c r="AF251" i="7"/>
  <c r="AK251" i="7" s="1"/>
  <c r="AC254" i="7"/>
  <c r="AH254" i="7" s="1"/>
  <c r="AE256" i="7"/>
  <c r="AJ256" i="7" s="1"/>
  <c r="AB259" i="7"/>
  <c r="AG259" i="7" s="1"/>
  <c r="AD261" i="7"/>
  <c r="AI261" i="7" s="1"/>
  <c r="AF263" i="7"/>
  <c r="AK263" i="7" s="1"/>
  <c r="AC266" i="7"/>
  <c r="AH266" i="7" s="1"/>
  <c r="AE268" i="7"/>
  <c r="AJ268" i="7" s="1"/>
  <c r="AB271" i="7"/>
  <c r="AG271" i="7" s="1"/>
  <c r="AD273" i="7"/>
  <c r="AI273" i="7" s="1"/>
  <c r="AF275" i="7"/>
  <c r="AK275" i="7" s="1"/>
  <c r="AC278" i="7"/>
  <c r="AH278" i="7" s="1"/>
  <c r="AE280" i="7"/>
  <c r="AJ280" i="7" s="1"/>
  <c r="AB283" i="7"/>
  <c r="AG283" i="7" s="1"/>
  <c r="AD285" i="7"/>
  <c r="AI285" i="7" s="1"/>
  <c r="AF287" i="7"/>
  <c r="AK287" i="7" s="1"/>
  <c r="AC290" i="7"/>
  <c r="AH290" i="7" s="1"/>
  <c r="AE292" i="7"/>
  <c r="AJ292" i="7" s="1"/>
  <c r="AB295" i="7"/>
  <c r="AG295" i="7" s="1"/>
  <c r="AD297" i="7"/>
  <c r="AI297" i="7" s="1"/>
  <c r="AF299" i="7"/>
  <c r="AK299" i="7" s="1"/>
  <c r="AC302" i="7"/>
  <c r="AH302" i="7" s="1"/>
  <c r="AE304" i="7"/>
  <c r="AJ304" i="7" s="1"/>
  <c r="AB307" i="7"/>
  <c r="AG307" i="7" s="1"/>
  <c r="AD309" i="7"/>
  <c r="AI309" i="7" s="1"/>
  <c r="AF311" i="7"/>
  <c r="AK311" i="7" s="1"/>
  <c r="AC314" i="7"/>
  <c r="AH314" i="7" s="1"/>
  <c r="AE316" i="7"/>
  <c r="AJ316" i="7" s="1"/>
  <c r="AB319" i="7"/>
  <c r="AG319" i="7" s="1"/>
  <c r="AD321" i="7"/>
  <c r="AI321" i="7" s="1"/>
  <c r="AF323" i="7"/>
  <c r="AK323" i="7" s="1"/>
  <c r="AC326" i="7"/>
  <c r="AH326" i="7" s="1"/>
  <c r="AE328" i="7"/>
  <c r="AJ328" i="7" s="1"/>
  <c r="AB331" i="7"/>
  <c r="AG331" i="7" s="1"/>
  <c r="AD333" i="7"/>
  <c r="AI333" i="7" s="1"/>
  <c r="AF335" i="7"/>
  <c r="AK335" i="7" s="1"/>
  <c r="AC338" i="7"/>
  <c r="AH338" i="7" s="1"/>
  <c r="AE340" i="7"/>
  <c r="AJ340" i="7" s="1"/>
  <c r="AB343" i="7"/>
  <c r="AG343" i="7" s="1"/>
  <c r="AD345" i="7"/>
  <c r="AI345" i="7" s="1"/>
  <c r="AF347" i="7"/>
  <c r="AK347" i="7" s="1"/>
  <c r="AC350" i="7"/>
  <c r="AH350" i="7" s="1"/>
  <c r="AE352" i="7"/>
  <c r="AJ352" i="7" s="1"/>
  <c r="AB355" i="7"/>
  <c r="AG355" i="7" s="1"/>
  <c r="AD357" i="7"/>
  <c r="AI357" i="7" s="1"/>
  <c r="AF359" i="7"/>
  <c r="AK359" i="7" s="1"/>
  <c r="AC362" i="7"/>
  <c r="AH362" i="7" s="1"/>
  <c r="AE364" i="7"/>
  <c r="AJ364" i="7" s="1"/>
  <c r="AB367" i="7"/>
  <c r="AG367" i="7" s="1"/>
  <c r="AD369" i="7"/>
  <c r="AI369" i="7" s="1"/>
  <c r="AF371" i="7"/>
  <c r="AK371" i="7" s="1"/>
  <c r="AC374" i="7"/>
  <c r="AH374" i="7" s="1"/>
  <c r="AE376" i="7"/>
  <c r="AJ376" i="7" s="1"/>
  <c r="AB379" i="7"/>
  <c r="AG379" i="7" s="1"/>
  <c r="AD381" i="7"/>
  <c r="AI381" i="7" s="1"/>
  <c r="AF383" i="7"/>
  <c r="AK383" i="7" s="1"/>
  <c r="AC386" i="7"/>
  <c r="AH386" i="7" s="1"/>
  <c r="AE388" i="7"/>
  <c r="AJ388" i="7" s="1"/>
  <c r="AB391" i="7"/>
  <c r="AG391" i="7" s="1"/>
  <c r="AD393" i="7"/>
  <c r="AI393" i="7" s="1"/>
  <c r="AF395" i="7"/>
  <c r="AK395" i="7" s="1"/>
  <c r="AC398" i="7"/>
  <c r="AH398" i="7" s="1"/>
  <c r="AE400" i="7"/>
  <c r="AJ400" i="7" s="1"/>
  <c r="AB403" i="7"/>
  <c r="AG403" i="7" s="1"/>
  <c r="AD405" i="7"/>
  <c r="AI405" i="7" s="1"/>
  <c r="AF407" i="7"/>
  <c r="AK407" i="7" s="1"/>
  <c r="AC410" i="7"/>
  <c r="AH410" i="7" s="1"/>
  <c r="AE412" i="7"/>
  <c r="AJ412" i="7" s="1"/>
  <c r="AB415" i="7"/>
  <c r="AG415" i="7" s="1"/>
  <c r="AD417" i="7"/>
  <c r="AI417" i="7" s="1"/>
  <c r="AF419" i="7"/>
  <c r="AK419" i="7" s="1"/>
  <c r="AC422" i="7"/>
  <c r="AH422" i="7" s="1"/>
  <c r="AE424" i="7"/>
  <c r="AJ424" i="7" s="1"/>
  <c r="AB427" i="7"/>
  <c r="AG427" i="7" s="1"/>
  <c r="AD429" i="7"/>
  <c r="AI429" i="7" s="1"/>
  <c r="AF431" i="7"/>
  <c r="AK431" i="7" s="1"/>
  <c r="AC434" i="7"/>
  <c r="AH434" i="7" s="1"/>
  <c r="AE436" i="7"/>
  <c r="AJ436" i="7" s="1"/>
  <c r="AB439" i="7"/>
  <c r="AG439" i="7" s="1"/>
  <c r="AD441" i="7"/>
  <c r="AI441" i="7" s="1"/>
  <c r="AF443" i="7"/>
  <c r="AK443" i="7" s="1"/>
  <c r="AC446" i="7"/>
  <c r="AH446" i="7" s="1"/>
  <c r="AE448" i="7"/>
  <c r="AJ448" i="7" s="1"/>
  <c r="AB451" i="7"/>
  <c r="AG451" i="7" s="1"/>
  <c r="AD453" i="7"/>
  <c r="AI453" i="7" s="1"/>
  <c r="AF455" i="7"/>
  <c r="AK455" i="7" s="1"/>
  <c r="AC458" i="7"/>
  <c r="AH458" i="7" s="1"/>
  <c r="AE460" i="7"/>
  <c r="AJ460" i="7" s="1"/>
  <c r="AB463" i="7"/>
  <c r="AG463" i="7" s="1"/>
  <c r="AD465" i="7"/>
  <c r="AI465" i="7" s="1"/>
  <c r="AF467" i="7"/>
  <c r="AK467" i="7" s="1"/>
  <c r="AC470" i="7"/>
  <c r="AH470" i="7" s="1"/>
  <c r="AE472" i="7"/>
  <c r="AJ472" i="7" s="1"/>
  <c r="AB475" i="7"/>
  <c r="AG475" i="7" s="1"/>
  <c r="AD477" i="7"/>
  <c r="AI477" i="7" s="1"/>
  <c r="AF479" i="7"/>
  <c r="AK479" i="7" s="1"/>
  <c r="AC482" i="7"/>
  <c r="AH482" i="7" s="1"/>
  <c r="AE484" i="7"/>
  <c r="AJ484" i="7" s="1"/>
  <c r="AB487" i="7"/>
  <c r="AG487" i="7" s="1"/>
  <c r="AD489" i="7"/>
  <c r="AI489" i="7" s="1"/>
  <c r="AF491" i="7"/>
  <c r="AK491" i="7" s="1"/>
  <c r="AC494" i="7"/>
  <c r="AH494" i="7" s="1"/>
  <c r="AE496" i="7"/>
  <c r="AJ496" i="7" s="1"/>
  <c r="AB499" i="7"/>
  <c r="AG499" i="7" s="1"/>
  <c r="AD501" i="7"/>
  <c r="AI501" i="7" s="1"/>
  <c r="AF503" i="7"/>
  <c r="AK503" i="7" s="1"/>
  <c r="AC506" i="7"/>
  <c r="AH506" i="7" s="1"/>
  <c r="AE508" i="7"/>
  <c r="AJ508" i="7" s="1"/>
  <c r="AB511" i="7"/>
  <c r="AG511" i="7" s="1"/>
  <c r="AD513" i="7"/>
  <c r="AI513" i="7" s="1"/>
  <c r="AF515" i="7"/>
  <c r="AK515" i="7" s="1"/>
  <c r="AC518" i="7"/>
  <c r="AH518" i="7" s="1"/>
  <c r="AE520" i="7"/>
  <c r="AJ520" i="7" s="1"/>
  <c r="AB523" i="7"/>
  <c r="AG523" i="7" s="1"/>
  <c r="AD525" i="7"/>
  <c r="AI525" i="7" s="1"/>
  <c r="AF527" i="7"/>
  <c r="AK527" i="7" s="1"/>
  <c r="AC530" i="7"/>
  <c r="AH530" i="7" s="1"/>
  <c r="AE532" i="7"/>
  <c r="AJ532" i="7" s="1"/>
  <c r="AB535" i="7"/>
  <c r="AG535" i="7" s="1"/>
  <c r="AD537" i="7"/>
  <c r="AI537" i="7" s="1"/>
  <c r="AF539" i="7"/>
  <c r="AK539" i="7" s="1"/>
  <c r="AC542" i="7"/>
  <c r="AH542" i="7" s="1"/>
  <c r="AE544" i="7"/>
  <c r="AJ544" i="7" s="1"/>
  <c r="AB547" i="7"/>
  <c r="AG547" i="7" s="1"/>
  <c r="AD549" i="7"/>
  <c r="AI549" i="7" s="1"/>
  <c r="AF551" i="7"/>
  <c r="AK551" i="7" s="1"/>
  <c r="AC554" i="7"/>
  <c r="AH554" i="7" s="1"/>
  <c r="AE556" i="7"/>
  <c r="AJ556" i="7" s="1"/>
  <c r="AB559" i="7"/>
  <c r="AG559" i="7" s="1"/>
  <c r="AD561" i="7"/>
  <c r="AI561" i="7" s="1"/>
  <c r="AF563" i="7"/>
  <c r="AK563" i="7" s="1"/>
  <c r="AC566" i="7"/>
  <c r="AH566" i="7" s="1"/>
  <c r="AE568" i="7"/>
  <c r="AJ568" i="7" s="1"/>
  <c r="AB571" i="7"/>
  <c r="AG571" i="7" s="1"/>
  <c r="AD573" i="7"/>
  <c r="AI573" i="7" s="1"/>
  <c r="AF575" i="7"/>
  <c r="AK575" i="7" s="1"/>
  <c r="AC578" i="7"/>
  <c r="AH578" i="7" s="1"/>
  <c r="AE580" i="7"/>
  <c r="AJ580" i="7" s="1"/>
  <c r="AB583" i="7"/>
  <c r="AG583" i="7" s="1"/>
  <c r="AD585" i="7"/>
  <c r="AI585" i="7" s="1"/>
  <c r="AF587" i="7"/>
  <c r="AK587" i="7" s="1"/>
  <c r="AC590" i="7"/>
  <c r="AH590" i="7" s="1"/>
  <c r="AE592" i="7"/>
  <c r="AJ592" i="7" s="1"/>
  <c r="AB595" i="7"/>
  <c r="AG595" i="7" s="1"/>
  <c r="AD597" i="7"/>
  <c r="AI597" i="7" s="1"/>
  <c r="AF599" i="7"/>
  <c r="AK599" i="7" s="1"/>
  <c r="AC602" i="7"/>
  <c r="AH602" i="7" s="1"/>
  <c r="AE604" i="7"/>
  <c r="AJ604" i="7" s="1"/>
  <c r="AB607" i="7"/>
  <c r="AG607" i="7" s="1"/>
  <c r="AD609" i="7"/>
  <c r="AI609" i="7" s="1"/>
  <c r="AF611" i="7"/>
  <c r="AK611" i="7" s="1"/>
  <c r="AC614" i="7"/>
  <c r="AH614" i="7" s="1"/>
  <c r="AE616" i="7"/>
  <c r="AJ616" i="7" s="1"/>
  <c r="AB619" i="7"/>
  <c r="AG619" i="7" s="1"/>
  <c r="AD621" i="7"/>
  <c r="AI621" i="7" s="1"/>
  <c r="AF623" i="7"/>
  <c r="AK623" i="7" s="1"/>
  <c r="AC626" i="7"/>
  <c r="AH626" i="7" s="1"/>
  <c r="AE628" i="7"/>
  <c r="AJ628" i="7" s="1"/>
  <c r="AB631" i="7"/>
  <c r="AG631" i="7" s="1"/>
  <c r="AD633" i="7"/>
  <c r="AI633" i="7" s="1"/>
  <c r="AF635" i="7"/>
  <c r="AK635" i="7" s="1"/>
  <c r="AC638" i="7"/>
  <c r="AH638" i="7" s="1"/>
  <c r="AE640" i="7"/>
  <c r="AJ640" i="7" s="1"/>
  <c r="AB643" i="7"/>
  <c r="AG643" i="7" s="1"/>
  <c r="AD645" i="7"/>
  <c r="AI645" i="7" s="1"/>
  <c r="AF647" i="7"/>
  <c r="AK647" i="7" s="1"/>
  <c r="AC650" i="7"/>
  <c r="AH650" i="7" s="1"/>
  <c r="AE652" i="7"/>
  <c r="AJ652" i="7" s="1"/>
  <c r="AB655" i="7"/>
  <c r="AG655" i="7" s="1"/>
  <c r="AD657" i="7"/>
  <c r="AI657" i="7" s="1"/>
  <c r="AF659" i="7"/>
  <c r="AK659" i="7" s="1"/>
  <c r="AC662" i="7"/>
  <c r="AH662" i="7" s="1"/>
  <c r="AE664" i="7"/>
  <c r="AJ664" i="7" s="1"/>
  <c r="AB667" i="7"/>
  <c r="AG667" i="7" s="1"/>
  <c r="AD669" i="7"/>
  <c r="AI669" i="7" s="1"/>
  <c r="AF671" i="7"/>
  <c r="AK671" i="7" s="1"/>
  <c r="AC674" i="7"/>
  <c r="AH674" i="7" s="1"/>
  <c r="AE676" i="7"/>
  <c r="AJ676" i="7" s="1"/>
  <c r="AB679" i="7"/>
  <c r="AG679" i="7" s="1"/>
  <c r="AD681" i="7"/>
  <c r="AI681" i="7" s="1"/>
  <c r="AF683" i="7"/>
  <c r="AK683" i="7" s="1"/>
  <c r="AC686" i="7"/>
  <c r="AH686" i="7" s="1"/>
  <c r="AE688" i="7"/>
  <c r="AJ688" i="7" s="1"/>
  <c r="AB691" i="7"/>
  <c r="AG691" i="7" s="1"/>
  <c r="AD693" i="7"/>
  <c r="AI693" i="7" s="1"/>
  <c r="AF695" i="7"/>
  <c r="AK695" i="7" s="1"/>
  <c r="AC698" i="7"/>
  <c r="AH698" i="7" s="1"/>
  <c r="AE700" i="7"/>
  <c r="AJ700" i="7" s="1"/>
  <c r="AB703" i="7"/>
  <c r="AG703" i="7" s="1"/>
  <c r="AD705" i="7"/>
  <c r="AI705" i="7" s="1"/>
  <c r="AF707" i="7"/>
  <c r="AK707" i="7" s="1"/>
  <c r="AC710" i="7"/>
  <c r="AH710" i="7" s="1"/>
  <c r="AE712" i="7"/>
  <c r="AJ712" i="7" s="1"/>
  <c r="AB715" i="7"/>
  <c r="AG715" i="7" s="1"/>
  <c r="AD717" i="7"/>
  <c r="AI717" i="7" s="1"/>
  <c r="AF719" i="7"/>
  <c r="AK719" i="7" s="1"/>
  <c r="AC722" i="7"/>
  <c r="AH722" i="7" s="1"/>
  <c r="AE724" i="7"/>
  <c r="AJ724" i="7" s="1"/>
  <c r="AB727" i="7"/>
  <c r="AG727" i="7" s="1"/>
  <c r="AD729" i="7"/>
  <c r="AI729" i="7" s="1"/>
  <c r="AF731" i="7"/>
  <c r="AK731" i="7" s="1"/>
  <c r="AC734" i="7"/>
  <c r="AH734" i="7" s="1"/>
  <c r="AE736" i="7"/>
  <c r="AJ736" i="7" s="1"/>
  <c r="AB739" i="7"/>
  <c r="AG739" i="7" s="1"/>
  <c r="AD741" i="7"/>
  <c r="AI741" i="7" s="1"/>
  <c r="AF743" i="7"/>
  <c r="AK743" i="7" s="1"/>
  <c r="AC746" i="7"/>
  <c r="AH746" i="7" s="1"/>
  <c r="AE748" i="7"/>
  <c r="AJ748" i="7" s="1"/>
  <c r="AB751" i="7"/>
  <c r="AG751" i="7" s="1"/>
  <c r="AD753" i="7"/>
  <c r="AI753" i="7" s="1"/>
  <c r="AF755" i="7"/>
  <c r="AK755" i="7" s="1"/>
  <c r="AC758" i="7"/>
  <c r="AH758" i="7" s="1"/>
  <c r="AE760" i="7"/>
  <c r="AJ760" i="7" s="1"/>
  <c r="AB763" i="7"/>
  <c r="AG763" i="7" s="1"/>
  <c r="AD765" i="7"/>
  <c r="AI765" i="7" s="1"/>
  <c r="AF767" i="7"/>
  <c r="AK767" i="7" s="1"/>
  <c r="AC770" i="7"/>
  <c r="AH770" i="7" s="1"/>
  <c r="AE772" i="7"/>
  <c r="AJ772" i="7" s="1"/>
  <c r="AB775" i="7"/>
  <c r="AG775" i="7" s="1"/>
  <c r="AD777" i="7"/>
  <c r="AI777" i="7" s="1"/>
  <c r="AF779" i="7"/>
  <c r="AK779" i="7" s="1"/>
  <c r="AC782" i="7"/>
  <c r="AH782" i="7" s="1"/>
  <c r="AE784" i="7"/>
  <c r="AJ784" i="7" s="1"/>
  <c r="AB787" i="7"/>
  <c r="AG787" i="7" s="1"/>
  <c r="AD789" i="7"/>
  <c r="AI789" i="7" s="1"/>
  <c r="AF791" i="7"/>
  <c r="AK791" i="7" s="1"/>
  <c r="AC794" i="7"/>
  <c r="AH794" i="7" s="1"/>
  <c r="AE796" i="7"/>
  <c r="AJ796" i="7" s="1"/>
  <c r="AB799" i="7"/>
  <c r="AG799" i="7" s="1"/>
  <c r="AD801" i="7"/>
  <c r="AI801" i="7" s="1"/>
  <c r="AF803" i="7"/>
  <c r="AK803" i="7" s="1"/>
  <c r="AC806" i="7"/>
  <c r="AH806" i="7" s="1"/>
  <c r="AE808" i="7"/>
  <c r="AJ808" i="7" s="1"/>
  <c r="AB811" i="7"/>
  <c r="AG811" i="7" s="1"/>
  <c r="AD813" i="7"/>
  <c r="AI813" i="7" s="1"/>
  <c r="AF815" i="7"/>
  <c r="AK815" i="7" s="1"/>
  <c r="AC818" i="7"/>
  <c r="AH818" i="7" s="1"/>
  <c r="AE820" i="7"/>
  <c r="AJ820" i="7" s="1"/>
  <c r="AB823" i="7"/>
  <c r="AG823" i="7" s="1"/>
  <c r="AD825" i="7"/>
  <c r="AI825" i="7" s="1"/>
  <c r="AF827" i="7"/>
  <c r="AK827" i="7" s="1"/>
  <c r="AC830" i="7"/>
  <c r="AH830" i="7" s="1"/>
  <c r="AE832" i="7"/>
  <c r="AJ832" i="7" s="1"/>
  <c r="AB835" i="7"/>
  <c r="AG835" i="7" s="1"/>
  <c r="AD837" i="7"/>
  <c r="AI837" i="7" s="1"/>
  <c r="AF839" i="7"/>
  <c r="AK839" i="7" s="1"/>
  <c r="AC842" i="7"/>
  <c r="AH842" i="7" s="1"/>
  <c r="AE844" i="7"/>
  <c r="AJ844" i="7" s="1"/>
  <c r="AB847" i="7"/>
  <c r="AG847" i="7" s="1"/>
  <c r="AD849" i="7"/>
  <c r="AI849" i="7" s="1"/>
  <c r="AF851" i="7"/>
  <c r="AK851" i="7" s="1"/>
  <c r="AC854" i="7"/>
  <c r="AH854" i="7" s="1"/>
  <c r="AE856" i="7"/>
  <c r="AJ856" i="7" s="1"/>
  <c r="AB859" i="7"/>
  <c r="AG859" i="7" s="1"/>
  <c r="AD861" i="7"/>
  <c r="AI861" i="7" s="1"/>
  <c r="AF863" i="7"/>
  <c r="AK863" i="7" s="1"/>
  <c r="AC866" i="7"/>
  <c r="AH866" i="7" s="1"/>
  <c r="AE868" i="7"/>
  <c r="AJ868" i="7" s="1"/>
  <c r="AB871" i="7"/>
  <c r="AG871" i="7" s="1"/>
  <c r="AD873" i="7"/>
  <c r="AI873" i="7" s="1"/>
  <c r="AF875" i="7"/>
  <c r="AK875" i="7" s="1"/>
  <c r="AC878" i="7"/>
  <c r="AH878" i="7" s="1"/>
  <c r="AE880" i="7"/>
  <c r="AJ880" i="7" s="1"/>
  <c r="AB883" i="7"/>
  <c r="AG883" i="7" s="1"/>
  <c r="AD885" i="7"/>
  <c r="AI885" i="7" s="1"/>
  <c r="AF887" i="7"/>
  <c r="AK887" i="7" s="1"/>
  <c r="AC890" i="7"/>
  <c r="AH890" i="7" s="1"/>
  <c r="AE892" i="7"/>
  <c r="AJ892" i="7" s="1"/>
  <c r="AB895" i="7"/>
  <c r="AG895" i="7" s="1"/>
  <c r="AD897" i="7"/>
  <c r="AI897" i="7" s="1"/>
  <c r="AF899" i="7"/>
  <c r="AK899" i="7" s="1"/>
  <c r="AC902" i="7"/>
  <c r="AH902" i="7" s="1"/>
  <c r="AE904" i="7"/>
  <c r="AJ904" i="7" s="1"/>
  <c r="AB907" i="7"/>
  <c r="AG907" i="7" s="1"/>
  <c r="AD909" i="7"/>
  <c r="AI909" i="7" s="1"/>
  <c r="AF911" i="7"/>
  <c r="AK911" i="7" s="1"/>
  <c r="AC914" i="7"/>
  <c r="AH914" i="7" s="1"/>
  <c r="AE916" i="7"/>
  <c r="AJ916" i="7" s="1"/>
  <c r="AB919" i="7"/>
  <c r="AG919" i="7" s="1"/>
  <c r="AD921" i="7"/>
  <c r="AI921" i="7" s="1"/>
  <c r="AF923" i="7"/>
  <c r="AK923" i="7" s="1"/>
  <c r="AC926" i="7"/>
  <c r="AH926" i="7" s="1"/>
  <c r="AE928" i="7"/>
  <c r="AJ928" i="7" s="1"/>
  <c r="AB931" i="7"/>
  <c r="AG931" i="7" s="1"/>
  <c r="AD933" i="7"/>
  <c r="AI933" i="7" s="1"/>
  <c r="AF935" i="7"/>
  <c r="AK935" i="7" s="1"/>
  <c r="AC938" i="7"/>
  <c r="AH938" i="7" s="1"/>
  <c r="AE940" i="7"/>
  <c r="AJ940" i="7" s="1"/>
  <c r="AB943" i="7"/>
  <c r="AG943" i="7" s="1"/>
  <c r="AD945" i="7"/>
  <c r="AI945" i="7" s="1"/>
  <c r="AF947" i="7"/>
  <c r="AK947" i="7" s="1"/>
  <c r="AC950" i="7"/>
  <c r="AH950" i="7" s="1"/>
  <c r="AE952" i="7"/>
  <c r="AJ952" i="7" s="1"/>
  <c r="AB955" i="7"/>
  <c r="AG955" i="7" s="1"/>
  <c r="AD957" i="7"/>
  <c r="AI957" i="7" s="1"/>
  <c r="AF959" i="7"/>
  <c r="AK959" i="7" s="1"/>
  <c r="AC962" i="7"/>
  <c r="AH962" i="7" s="1"/>
  <c r="AE964" i="7"/>
  <c r="AJ964" i="7" s="1"/>
  <c r="AB967" i="7"/>
  <c r="AG967" i="7" s="1"/>
  <c r="AD969" i="7"/>
  <c r="AI969" i="7" s="1"/>
  <c r="AF971" i="7"/>
  <c r="AK971" i="7" s="1"/>
  <c r="AC974" i="7"/>
  <c r="AH974" i="7" s="1"/>
  <c r="AE976" i="7"/>
  <c r="AJ976" i="7" s="1"/>
  <c r="AB979" i="7"/>
  <c r="AG979" i="7" s="1"/>
  <c r="AD981" i="7"/>
  <c r="AI981" i="7" s="1"/>
  <c r="AF983" i="7"/>
  <c r="AK983" i="7" s="1"/>
  <c r="AC986" i="7"/>
  <c r="AH986" i="7" s="1"/>
  <c r="AE988" i="7"/>
  <c r="AJ988" i="7" s="1"/>
  <c r="AD78" i="7"/>
  <c r="AI78" i="7" s="1"/>
  <c r="AF116" i="7"/>
  <c r="AK116" i="7" s="1"/>
  <c r="AE277" i="7"/>
  <c r="AJ277" i="7" s="1"/>
  <c r="AB412" i="7"/>
  <c r="AG412" i="7" s="1"/>
  <c r="AF560" i="7"/>
  <c r="AK560" i="7" s="1"/>
  <c r="AB93" i="7"/>
  <c r="AG93" i="7" s="1"/>
  <c r="AB213" i="7"/>
  <c r="AG213" i="7" s="1"/>
  <c r="AF337" i="7"/>
  <c r="AK337" i="7" s="1"/>
  <c r="AF469" i="7"/>
  <c r="AK469" i="7" s="1"/>
  <c r="AD635" i="7"/>
  <c r="AI635" i="7" s="1"/>
  <c r="AF769" i="7"/>
  <c r="AK769" i="7" s="1"/>
  <c r="AB909" i="7"/>
  <c r="AG909" i="7" s="1"/>
  <c r="AD112" i="7"/>
  <c r="AI112" i="7" s="1"/>
  <c r="AD280" i="7"/>
  <c r="AI280" i="7" s="1"/>
  <c r="AD158" i="7"/>
  <c r="AI158" i="7" s="1"/>
  <c r="AC283" i="7"/>
  <c r="AH283" i="7" s="1"/>
  <c r="AF400" i="7"/>
  <c r="AK400" i="7" s="1"/>
  <c r="AF496" i="7"/>
  <c r="AK496" i="7" s="1"/>
  <c r="AE585" i="7"/>
  <c r="AJ585" i="7" s="1"/>
  <c r="AF676" i="7"/>
  <c r="AK676" i="7" s="1"/>
  <c r="AD698" i="7"/>
  <c r="AI698" i="7" s="1"/>
  <c r="AF700" i="7"/>
  <c r="AK700" i="7" s="1"/>
  <c r="AE705" i="7"/>
  <c r="AJ705" i="7" s="1"/>
  <c r="AC715" i="7"/>
  <c r="AH715" i="7" s="1"/>
  <c r="AF724" i="7"/>
  <c r="AK724" i="7" s="1"/>
  <c r="AC727" i="7"/>
  <c r="AH727" i="7" s="1"/>
  <c r="AE729" i="7"/>
  <c r="AJ729" i="7" s="1"/>
  <c r="AB732" i="7"/>
  <c r="AG732" i="7" s="1"/>
  <c r="AD734" i="7"/>
  <c r="AI734" i="7" s="1"/>
  <c r="AF736" i="7"/>
  <c r="AK736" i="7" s="1"/>
  <c r="AC739" i="7"/>
  <c r="AH739" i="7" s="1"/>
  <c r="AE741" i="7"/>
  <c r="AJ741" i="7" s="1"/>
  <c r="AB744" i="7"/>
  <c r="AG744" i="7" s="1"/>
  <c r="AD746" i="7"/>
  <c r="AI746" i="7" s="1"/>
  <c r="AF748" i="7"/>
  <c r="AK748" i="7" s="1"/>
  <c r="AC751" i="7"/>
  <c r="AH751" i="7" s="1"/>
  <c r="AE753" i="7"/>
  <c r="AJ753" i="7" s="1"/>
  <c r="AB756" i="7"/>
  <c r="AG756" i="7" s="1"/>
  <c r="AD758" i="7"/>
  <c r="AI758" i="7" s="1"/>
  <c r="AF760" i="7"/>
  <c r="AK760" i="7" s="1"/>
  <c r="AC763" i="7"/>
  <c r="AH763" i="7" s="1"/>
  <c r="AE765" i="7"/>
  <c r="AJ765" i="7" s="1"/>
  <c r="AB768" i="7"/>
  <c r="AG768" i="7" s="1"/>
  <c r="AD770" i="7"/>
  <c r="AI770" i="7" s="1"/>
  <c r="AF772" i="7"/>
  <c r="AK772" i="7" s="1"/>
  <c r="AC775" i="7"/>
  <c r="AH775" i="7" s="1"/>
  <c r="AE777" i="7"/>
  <c r="AJ777" i="7" s="1"/>
  <c r="AB780" i="7"/>
  <c r="AG780" i="7" s="1"/>
  <c r="AD782" i="7"/>
  <c r="AI782" i="7" s="1"/>
  <c r="AF784" i="7"/>
  <c r="AK784" i="7" s="1"/>
  <c r="AC787" i="7"/>
  <c r="AH787" i="7" s="1"/>
  <c r="AE789" i="7"/>
  <c r="AJ789" i="7" s="1"/>
  <c r="AB792" i="7"/>
  <c r="AG792" i="7" s="1"/>
  <c r="AD794" i="7"/>
  <c r="AI794" i="7" s="1"/>
  <c r="AF796" i="7"/>
  <c r="AK796" i="7" s="1"/>
  <c r="AC799" i="7"/>
  <c r="AH799" i="7" s="1"/>
  <c r="AE801" i="7"/>
  <c r="AJ801" i="7" s="1"/>
  <c r="AB804" i="7"/>
  <c r="AG804" i="7" s="1"/>
  <c r="AD806" i="7"/>
  <c r="AI806" i="7" s="1"/>
  <c r="AF808" i="7"/>
  <c r="AK808" i="7" s="1"/>
  <c r="AC811" i="7"/>
  <c r="AH811" i="7" s="1"/>
  <c r="AE813" i="7"/>
  <c r="AJ813" i="7" s="1"/>
  <c r="AB816" i="7"/>
  <c r="AG816" i="7" s="1"/>
  <c r="AD818" i="7"/>
  <c r="AI818" i="7" s="1"/>
  <c r="AF820" i="7"/>
  <c r="AK820" i="7" s="1"/>
  <c r="AC823" i="7"/>
  <c r="AH823" i="7" s="1"/>
  <c r="AE825" i="7"/>
  <c r="AJ825" i="7" s="1"/>
  <c r="AB828" i="7"/>
  <c r="AG828" i="7" s="1"/>
  <c r="AF92" i="7"/>
  <c r="AK92" i="7" s="1"/>
  <c r="AE193" i="7"/>
  <c r="AJ193" i="7" s="1"/>
  <c r="AE349" i="7"/>
  <c r="AJ349" i="7" s="1"/>
  <c r="AD558" i="7"/>
  <c r="AI558" i="7" s="1"/>
  <c r="AC112" i="7"/>
  <c r="AH112" i="7" s="1"/>
  <c r="AF229" i="7"/>
  <c r="AK229" i="7" s="1"/>
  <c r="AD347" i="7"/>
  <c r="AI347" i="7" s="1"/>
  <c r="AE462" i="7"/>
  <c r="AJ462" i="7" s="1"/>
  <c r="AC592" i="7"/>
  <c r="AH592" i="7" s="1"/>
  <c r="AC700" i="7"/>
  <c r="AH700" i="7" s="1"/>
  <c r="AE822" i="7"/>
  <c r="AJ822" i="7" s="1"/>
  <c r="AB945" i="7"/>
  <c r="AG945" i="7" s="1"/>
  <c r="AB110" i="7"/>
  <c r="AG110" i="7" s="1"/>
  <c r="AB278" i="7"/>
  <c r="AG278" i="7" s="1"/>
  <c r="AE136" i="7"/>
  <c r="AJ136" i="7" s="1"/>
  <c r="AD110" i="7"/>
  <c r="AI110" i="7" s="1"/>
  <c r="AD302" i="7"/>
  <c r="AI302" i="7" s="1"/>
  <c r="AB420" i="7"/>
  <c r="AG420" i="7" s="1"/>
  <c r="AE537" i="7"/>
  <c r="AJ537" i="7" s="1"/>
  <c r="AF628" i="7"/>
  <c r="AK628" i="7" s="1"/>
  <c r="AD710" i="7"/>
  <c r="AI710" i="7" s="1"/>
  <c r="AF69" i="7"/>
  <c r="AK69" i="7" s="1"/>
  <c r="AE182" i="7"/>
  <c r="AJ182" i="7" s="1"/>
  <c r="AF357" i="7"/>
  <c r="AK357" i="7" s="1"/>
  <c r="AF465" i="7"/>
  <c r="AK465" i="7" s="1"/>
  <c r="AC540" i="7"/>
  <c r="AH540" i="7" s="1"/>
  <c r="AD607" i="7"/>
  <c r="AI607" i="7" s="1"/>
  <c r="AF669" i="7"/>
  <c r="AK669" i="7" s="1"/>
  <c r="AC696" i="7"/>
  <c r="AH696" i="7" s="1"/>
  <c r="AE698" i="7"/>
  <c r="AJ698" i="7" s="1"/>
  <c r="AB701" i="7"/>
  <c r="AG701" i="7" s="1"/>
  <c r="AD703" i="7"/>
  <c r="AI703" i="7" s="1"/>
  <c r="AE710" i="7"/>
  <c r="AJ710" i="7" s="1"/>
  <c r="AF717" i="7"/>
  <c r="AK717" i="7" s="1"/>
  <c r="AC720" i="7"/>
  <c r="AH720" i="7" s="1"/>
  <c r="AE722" i="7"/>
  <c r="AJ722" i="7" s="1"/>
  <c r="AB725" i="7"/>
  <c r="AG725" i="7" s="1"/>
  <c r="AD727" i="7"/>
  <c r="AI727" i="7" s="1"/>
  <c r="AF729" i="7"/>
  <c r="AK729" i="7" s="1"/>
  <c r="AC732" i="7"/>
  <c r="AH732" i="7" s="1"/>
  <c r="AE734" i="7"/>
  <c r="AJ734" i="7" s="1"/>
  <c r="AB737" i="7"/>
  <c r="AG737" i="7" s="1"/>
  <c r="AD739" i="7"/>
  <c r="AI739" i="7" s="1"/>
  <c r="AF741" i="7"/>
  <c r="AK741" i="7" s="1"/>
  <c r="AC744" i="7"/>
  <c r="AH744" i="7" s="1"/>
  <c r="AE746" i="7"/>
  <c r="AJ746" i="7" s="1"/>
  <c r="AB749" i="7"/>
  <c r="AG749" i="7" s="1"/>
  <c r="AD751" i="7"/>
  <c r="AI751" i="7" s="1"/>
  <c r="AF753" i="7"/>
  <c r="AK753" i="7" s="1"/>
  <c r="AC756" i="7"/>
  <c r="AH756" i="7" s="1"/>
  <c r="AE758" i="7"/>
  <c r="AJ758" i="7" s="1"/>
  <c r="AB761" i="7"/>
  <c r="AG761" i="7" s="1"/>
  <c r="AD763" i="7"/>
  <c r="AI763" i="7" s="1"/>
  <c r="AF765" i="7"/>
  <c r="AK765" i="7" s="1"/>
  <c r="AC768" i="7"/>
  <c r="AH768" i="7" s="1"/>
  <c r="AE770" i="7"/>
  <c r="AJ770" i="7" s="1"/>
  <c r="AB773" i="7"/>
  <c r="AG773" i="7" s="1"/>
  <c r="AD775" i="7"/>
  <c r="AI775" i="7" s="1"/>
  <c r="AF777" i="7"/>
  <c r="AK777" i="7" s="1"/>
  <c r="AC780" i="7"/>
  <c r="AH780" i="7" s="1"/>
  <c r="AE782" i="7"/>
  <c r="AJ782" i="7" s="1"/>
  <c r="AB785" i="7"/>
  <c r="AG785" i="7" s="1"/>
  <c r="AD787" i="7"/>
  <c r="AI787" i="7" s="1"/>
  <c r="AF789" i="7"/>
  <c r="AK789" i="7" s="1"/>
  <c r="AC792" i="7"/>
  <c r="AH792" i="7" s="1"/>
  <c r="AE794" i="7"/>
  <c r="AJ794" i="7" s="1"/>
  <c r="AB797" i="7"/>
  <c r="AG797" i="7" s="1"/>
  <c r="AD799" i="7"/>
  <c r="AI799" i="7" s="1"/>
  <c r="AF801" i="7"/>
  <c r="AK801" i="7" s="1"/>
  <c r="AF104" i="7"/>
  <c r="AK104" i="7" s="1"/>
  <c r="AB112" i="7"/>
  <c r="AG112" i="7" s="1"/>
  <c r="AB124" i="7"/>
  <c r="AG124" i="7" s="1"/>
  <c r="AE133" i="7"/>
  <c r="AJ133" i="7" s="1"/>
  <c r="AE145" i="7"/>
  <c r="AJ145" i="7" s="1"/>
  <c r="AC155" i="7"/>
  <c r="AH155" i="7" s="1"/>
  <c r="AF164" i="7"/>
  <c r="AK164" i="7" s="1"/>
  <c r="AD174" i="7"/>
  <c r="AI174" i="7" s="1"/>
  <c r="AD186" i="7"/>
  <c r="AI186" i="7" s="1"/>
  <c r="AB196" i="7"/>
  <c r="AG196" i="7" s="1"/>
  <c r="AE205" i="7"/>
  <c r="AJ205" i="7" s="1"/>
  <c r="AF212" i="7"/>
  <c r="AK212" i="7" s="1"/>
  <c r="AD222" i="7"/>
  <c r="AI222" i="7" s="1"/>
  <c r="AB232" i="7"/>
  <c r="AG232" i="7" s="1"/>
  <c r="AB244" i="7"/>
  <c r="AG244" i="7" s="1"/>
  <c r="AB256" i="7"/>
  <c r="AG256" i="7" s="1"/>
  <c r="AD270" i="7"/>
  <c r="AI270" i="7" s="1"/>
  <c r="AF284" i="7"/>
  <c r="AK284" i="7" s="1"/>
  <c r="AD294" i="7"/>
  <c r="AI294" i="7" s="1"/>
  <c r="AB304" i="7"/>
  <c r="AG304" i="7" s="1"/>
  <c r="AC311" i="7"/>
  <c r="AH311" i="7" s="1"/>
  <c r="AF320" i="7"/>
  <c r="AK320" i="7" s="1"/>
  <c r="AB328" i="7"/>
  <c r="AG328" i="7" s="1"/>
  <c r="AB340" i="7"/>
  <c r="AG340" i="7" s="1"/>
  <c r="AB352" i="7"/>
  <c r="AG352" i="7" s="1"/>
  <c r="AD366" i="7"/>
  <c r="AI366" i="7" s="1"/>
  <c r="AF380" i="7"/>
  <c r="AK380" i="7" s="1"/>
  <c r="AF392" i="7"/>
  <c r="AK392" i="7" s="1"/>
  <c r="AD402" i="7"/>
  <c r="AI402" i="7" s="1"/>
  <c r="AD414" i="7"/>
  <c r="AI414" i="7" s="1"/>
  <c r="AB424" i="7"/>
  <c r="AG424" i="7" s="1"/>
  <c r="AB436" i="7"/>
  <c r="AG436" i="7" s="1"/>
  <c r="AE445" i="7"/>
  <c r="AJ445" i="7" s="1"/>
  <c r="AC455" i="7"/>
  <c r="AH455" i="7" s="1"/>
  <c r="AF464" i="7"/>
  <c r="AK464" i="7" s="1"/>
  <c r="AF476" i="7"/>
  <c r="AK476" i="7" s="1"/>
  <c r="AC491" i="7"/>
  <c r="AH491" i="7" s="1"/>
  <c r="AD498" i="7"/>
  <c r="AI498" i="7" s="1"/>
  <c r="AB508" i="7"/>
  <c r="AG508" i="7" s="1"/>
  <c r="AC515" i="7"/>
  <c r="AH515" i="7" s="1"/>
  <c r="AD522" i="7"/>
  <c r="AI522" i="7" s="1"/>
  <c r="AC527" i="7"/>
  <c r="AH527" i="7" s="1"/>
  <c r="AB532" i="7"/>
  <c r="AG532" i="7" s="1"/>
  <c r="AC539" i="7"/>
  <c r="AH539" i="7" s="1"/>
  <c r="AB568" i="7"/>
  <c r="AG568" i="7" s="1"/>
  <c r="AE54" i="7"/>
  <c r="AJ54" i="7" s="1"/>
  <c r="AB69" i="7"/>
  <c r="AG69" i="7" s="1"/>
  <c r="AE78" i="7"/>
  <c r="AJ78" i="7" s="1"/>
  <c r="AE90" i="7"/>
  <c r="AJ90" i="7" s="1"/>
  <c r="AB105" i="7"/>
  <c r="AG105" i="7" s="1"/>
  <c r="AF121" i="7"/>
  <c r="AK121" i="7" s="1"/>
  <c r="AF133" i="7"/>
  <c r="AK133" i="7" s="1"/>
  <c r="AD143" i="7"/>
  <c r="AI143" i="7" s="1"/>
  <c r="AD155" i="7"/>
  <c r="AI155" i="7" s="1"/>
  <c r="AB165" i="7"/>
  <c r="AG165" i="7" s="1"/>
  <c r="AE174" i="7"/>
  <c r="AJ174" i="7" s="1"/>
  <c r="AC184" i="7"/>
  <c r="AH184" i="7" s="1"/>
  <c r="AF193" i="7"/>
  <c r="AK193" i="7" s="1"/>
  <c r="AD203" i="7"/>
  <c r="AI203" i="7" s="1"/>
  <c r="AD215" i="7"/>
  <c r="AI215" i="7" s="1"/>
  <c r="AB225" i="7"/>
  <c r="AG225" i="7" s="1"/>
  <c r="AB237" i="7"/>
  <c r="AG237" i="7" s="1"/>
  <c r="AE246" i="7"/>
  <c r="AJ246" i="7" s="1"/>
  <c r="AE258" i="7"/>
  <c r="AJ258" i="7" s="1"/>
  <c r="AF265" i="7"/>
  <c r="AK265" i="7" s="1"/>
  <c r="AD275" i="7"/>
  <c r="AI275" i="7" s="1"/>
  <c r="AD287" i="7"/>
  <c r="AI287" i="7" s="1"/>
  <c r="AB297" i="7"/>
  <c r="AG297" i="7" s="1"/>
  <c r="AD311" i="7"/>
  <c r="AI311" i="7" s="1"/>
  <c r="AD323" i="7"/>
  <c r="AI323" i="7" s="1"/>
  <c r="AD335" i="7"/>
  <c r="AI335" i="7" s="1"/>
  <c r="AF349" i="7"/>
  <c r="AK349" i="7" s="1"/>
  <c r="AF361" i="7"/>
  <c r="AK361" i="7" s="1"/>
  <c r="AD371" i="7"/>
  <c r="AI371" i="7" s="1"/>
  <c r="AD383" i="7"/>
  <c r="AI383" i="7" s="1"/>
  <c r="AB393" i="7"/>
  <c r="AG393" i="7" s="1"/>
  <c r="AF397" i="7"/>
  <c r="AK397" i="7" s="1"/>
  <c r="AB405" i="7"/>
  <c r="AG405" i="7" s="1"/>
  <c r="AE414" i="7"/>
  <c r="AJ414" i="7" s="1"/>
  <c r="AF421" i="7"/>
  <c r="AK421" i="7" s="1"/>
  <c r="AF433" i="7"/>
  <c r="AK433" i="7" s="1"/>
  <c r="AF445" i="7"/>
  <c r="AK445" i="7" s="1"/>
  <c r="AD455" i="7"/>
  <c r="AI455" i="7" s="1"/>
  <c r="AD467" i="7"/>
  <c r="AI467" i="7" s="1"/>
  <c r="AD479" i="7"/>
  <c r="AI479" i="7" s="1"/>
  <c r="AF493" i="7"/>
  <c r="AK493" i="7" s="1"/>
  <c r="AF505" i="7"/>
  <c r="AK505" i="7" s="1"/>
  <c r="AD515" i="7"/>
  <c r="AI515" i="7" s="1"/>
  <c r="AD527" i="7"/>
  <c r="AI527" i="7" s="1"/>
  <c r="AB537" i="7"/>
  <c r="AG537" i="7" s="1"/>
  <c r="AE546" i="7"/>
  <c r="AJ546" i="7" s="1"/>
  <c r="AE558" i="7"/>
  <c r="AJ558" i="7" s="1"/>
  <c r="AD575" i="7"/>
  <c r="AI575" i="7" s="1"/>
  <c r="AB585" i="7"/>
  <c r="AG585" i="7" s="1"/>
  <c r="AB597" i="7"/>
  <c r="AG597" i="7" s="1"/>
  <c r="AE606" i="7"/>
  <c r="AJ606" i="7" s="1"/>
  <c r="AC616" i="7"/>
  <c r="AH616" i="7" s="1"/>
  <c r="AC628" i="7"/>
  <c r="AH628" i="7" s="1"/>
  <c r="AC640" i="7"/>
  <c r="AH640" i="7" s="1"/>
  <c r="AC652" i="7"/>
  <c r="AH652" i="7" s="1"/>
  <c r="AF661" i="7"/>
  <c r="AK661" i="7" s="1"/>
  <c r="AF673" i="7"/>
  <c r="AK673" i="7" s="1"/>
  <c r="AD683" i="7"/>
  <c r="AI683" i="7" s="1"/>
  <c r="AB693" i="7"/>
  <c r="AG693" i="7" s="1"/>
  <c r="AD707" i="7"/>
  <c r="AI707" i="7" s="1"/>
  <c r="AF721" i="7"/>
  <c r="AK721" i="7" s="1"/>
  <c r="AD731" i="7"/>
  <c r="AI731" i="7" s="1"/>
  <c r="AE738" i="7"/>
  <c r="AJ738" i="7" s="1"/>
  <c r="AE750" i="7"/>
  <c r="AJ750" i="7" s="1"/>
  <c r="AC760" i="7"/>
  <c r="AH760" i="7" s="1"/>
  <c r="AC772" i="7"/>
  <c r="AH772" i="7" s="1"/>
  <c r="AF781" i="7"/>
  <c r="AK781" i="7" s="1"/>
  <c r="AC796" i="7"/>
  <c r="AH796" i="7" s="1"/>
  <c r="AC808" i="7"/>
  <c r="AH808" i="7" s="1"/>
  <c r="AC820" i="7"/>
  <c r="AH820" i="7" s="1"/>
  <c r="AE834" i="7"/>
  <c r="AJ834" i="7" s="1"/>
  <c r="AB849" i="7"/>
  <c r="AG849" i="7" s="1"/>
  <c r="AD863" i="7"/>
  <c r="AI863" i="7" s="1"/>
  <c r="AD875" i="7"/>
  <c r="AI875" i="7" s="1"/>
  <c r="AC892" i="7"/>
  <c r="AH892" i="7" s="1"/>
  <c r="AF901" i="7"/>
  <c r="AK901" i="7" s="1"/>
  <c r="AF913" i="7"/>
  <c r="AK913" i="7" s="1"/>
  <c r="AF925" i="7"/>
  <c r="AK925" i="7" s="1"/>
  <c r="AD935" i="7"/>
  <c r="AI935" i="7" s="1"/>
  <c r="AE942" i="7"/>
  <c r="AJ942" i="7" s="1"/>
  <c r="AE954" i="7"/>
  <c r="AJ954" i="7" s="1"/>
  <c r="AC964" i="7"/>
  <c r="AH964" i="7" s="1"/>
  <c r="AC976" i="7"/>
  <c r="AH976" i="7" s="1"/>
  <c r="AC988" i="7"/>
  <c r="AH988" i="7" s="1"/>
  <c r="AC57" i="7"/>
  <c r="AH57" i="7" s="1"/>
  <c r="AC69" i="7"/>
  <c r="AH69" i="7" s="1"/>
  <c r="AC81" i="7"/>
  <c r="AH81" i="7" s="1"/>
  <c r="AF90" i="7"/>
  <c r="AK90" i="7" s="1"/>
  <c r="AF102" i="7"/>
  <c r="AK102" i="7" s="1"/>
  <c r="AB122" i="7"/>
  <c r="AG122" i="7" s="1"/>
  <c r="AE131" i="7"/>
  <c r="AJ131" i="7" s="1"/>
  <c r="AE143" i="7"/>
  <c r="AJ143" i="7" s="1"/>
  <c r="AE155" i="7"/>
  <c r="AJ155" i="7" s="1"/>
  <c r="AE167" i="7"/>
  <c r="AJ167" i="7" s="1"/>
  <c r="AC177" i="7"/>
  <c r="AH177" i="7" s="1"/>
  <c r="AB182" i="7"/>
  <c r="AG182" i="7" s="1"/>
  <c r="AE191" i="7"/>
  <c r="AJ191" i="7" s="1"/>
  <c r="AC201" i="7"/>
  <c r="AH201" i="7" s="1"/>
  <c r="AF210" i="7"/>
  <c r="AK210" i="7" s="1"/>
  <c r="AD220" i="7"/>
  <c r="AI220" i="7" s="1"/>
  <c r="AB230" i="7"/>
  <c r="AG230" i="7" s="1"/>
  <c r="AE239" i="7"/>
  <c r="AJ239" i="7" s="1"/>
  <c r="AC249" i="7"/>
  <c r="AH249" i="7" s="1"/>
  <c r="AC261" i="7"/>
  <c r="AH261" i="7" s="1"/>
  <c r="AE287" i="7"/>
  <c r="AJ287" i="7" s="1"/>
  <c r="AF47" i="7"/>
  <c r="AK47" i="7" s="1"/>
  <c r="AF59" i="7"/>
  <c r="AK59" i="7" s="1"/>
  <c r="AD69" i="7"/>
  <c r="AI69" i="7" s="1"/>
  <c r="AB79" i="7"/>
  <c r="AG79" i="7" s="1"/>
  <c r="AE88" i="7"/>
  <c r="AJ88" i="7" s="1"/>
  <c r="AF95" i="7"/>
  <c r="AK95" i="7" s="1"/>
  <c r="AD105" i="7"/>
  <c r="AI105" i="7" s="1"/>
  <c r="AE112" i="7"/>
  <c r="AJ112" i="7" s="1"/>
  <c r="AE124" i="7"/>
  <c r="AJ124" i="7" s="1"/>
  <c r="AF155" i="7"/>
  <c r="AK155" i="7" s="1"/>
  <c r="AD50" i="7"/>
  <c r="AI50" i="7" s="1"/>
  <c r="AE57" i="7"/>
  <c r="AJ57" i="7" s="1"/>
  <c r="AF64" i="7"/>
  <c r="AK64" i="7" s="1"/>
  <c r="AB72" i="7"/>
  <c r="AG72" i="7" s="1"/>
  <c r="AE81" i="7"/>
  <c r="AJ81" i="7" s="1"/>
  <c r="AF88" i="7"/>
  <c r="AK88" i="7" s="1"/>
  <c r="AB96" i="7"/>
  <c r="AG96" i="7" s="1"/>
  <c r="AC103" i="7"/>
  <c r="AH103" i="7" s="1"/>
  <c r="AF112" i="7"/>
  <c r="AK112" i="7" s="1"/>
  <c r="AD122" i="7"/>
  <c r="AI122" i="7" s="1"/>
  <c r="AE129" i="7"/>
  <c r="AJ129" i="7" s="1"/>
  <c r="AC139" i="7"/>
  <c r="AH139" i="7" s="1"/>
  <c r="AB144" i="7"/>
  <c r="AG144" i="7" s="1"/>
  <c r="AC151" i="7"/>
  <c r="AH151" i="7" s="1"/>
  <c r="AF160" i="7"/>
  <c r="AK160" i="7" s="1"/>
  <c r="AD170" i="7"/>
  <c r="AI170" i="7" s="1"/>
  <c r="AB180" i="7"/>
  <c r="AG180" i="7" s="1"/>
  <c r="AC187" i="7"/>
  <c r="AH187" i="7" s="1"/>
  <c r="AD194" i="7"/>
  <c r="AI194" i="7" s="1"/>
  <c r="AD206" i="7"/>
  <c r="AI206" i="7" s="1"/>
  <c r="AD218" i="7"/>
  <c r="AI218" i="7" s="1"/>
  <c r="AE225" i="7"/>
  <c r="AJ225" i="7" s="1"/>
  <c r="AC235" i="7"/>
  <c r="AH235" i="7" s="1"/>
  <c r="AD242" i="7"/>
  <c r="AI242" i="7" s="1"/>
  <c r="AE249" i="7"/>
  <c r="AJ249" i="7" s="1"/>
  <c r="AF256" i="7"/>
  <c r="AK256" i="7" s="1"/>
  <c r="AE261" i="7"/>
  <c r="AJ261" i="7" s="1"/>
  <c r="AF268" i="7"/>
  <c r="AK268" i="7" s="1"/>
  <c r="AB276" i="7"/>
  <c r="AG276" i="7" s="1"/>
  <c r="AB288" i="7"/>
  <c r="AG288" i="7" s="1"/>
  <c r="AC295" i="7"/>
  <c r="AH295" i="7" s="1"/>
  <c r="AF304" i="7"/>
  <c r="AK304" i="7" s="1"/>
  <c r="AB312" i="7"/>
  <c r="AG312" i="7" s="1"/>
  <c r="AC319" i="7"/>
  <c r="AH319" i="7" s="1"/>
  <c r="AF328" i="7"/>
  <c r="AK328" i="7" s="1"/>
  <c r="AD338" i="7"/>
  <c r="AI338" i="7" s="1"/>
  <c r="AE345" i="7"/>
  <c r="AJ345" i="7" s="1"/>
  <c r="AF352" i="7"/>
  <c r="AK352" i="7" s="1"/>
  <c r="AB360" i="7"/>
  <c r="AG360" i="7" s="1"/>
  <c r="AC367" i="7"/>
  <c r="AH367" i="7" s="1"/>
  <c r="AD374" i="7"/>
  <c r="AI374" i="7" s="1"/>
  <c r="AE381" i="7"/>
  <c r="AJ381" i="7" s="1"/>
  <c r="AF388" i="7"/>
  <c r="AK388" i="7" s="1"/>
  <c r="AB396" i="7"/>
  <c r="AG396" i="7" s="1"/>
  <c r="AE405" i="7"/>
  <c r="AJ405" i="7" s="1"/>
  <c r="AF412" i="7"/>
  <c r="AK412" i="7" s="1"/>
  <c r="AD422" i="7"/>
  <c r="AI422" i="7" s="1"/>
  <c r="AB432" i="7"/>
  <c r="AG432" i="7" s="1"/>
  <c r="AE441" i="7"/>
  <c r="AJ441" i="7" s="1"/>
  <c r="AE453" i="7"/>
  <c r="AJ453" i="7" s="1"/>
  <c r="AC463" i="7"/>
  <c r="AH463" i="7" s="1"/>
  <c r="AD470" i="7"/>
  <c r="AI470" i="7" s="1"/>
  <c r="AB480" i="7"/>
  <c r="AG480" i="7" s="1"/>
  <c r="AF484" i="7"/>
  <c r="AK484" i="7" s="1"/>
  <c r="AD494" i="7"/>
  <c r="AI494" i="7" s="1"/>
  <c r="AB504" i="7"/>
  <c r="AG504" i="7" s="1"/>
  <c r="AC511" i="7"/>
  <c r="AH511" i="7" s="1"/>
  <c r="AB516" i="7"/>
  <c r="AG516" i="7" s="1"/>
  <c r="AC523" i="7"/>
  <c r="AH523" i="7" s="1"/>
  <c r="AF532" i="7"/>
  <c r="AK532" i="7" s="1"/>
  <c r="AD542" i="7"/>
  <c r="AI542" i="7" s="1"/>
  <c r="AC547" i="7"/>
  <c r="AH547" i="7" s="1"/>
  <c r="AF556" i="7"/>
  <c r="AK556" i="7" s="1"/>
  <c r="AF568" i="7"/>
  <c r="AK568" i="7" s="1"/>
  <c r="AD578" i="7"/>
  <c r="AI578" i="7" s="1"/>
  <c r="AB588" i="7"/>
  <c r="AG588" i="7" s="1"/>
  <c r="AE597" i="7"/>
  <c r="AJ597" i="7" s="1"/>
  <c r="AD602" i="7"/>
  <c r="AI602" i="7" s="1"/>
  <c r="AD614" i="7"/>
  <c r="AI614" i="7" s="1"/>
  <c r="AB624" i="7"/>
  <c r="AG624" i="7" s="1"/>
  <c r="AB636" i="7"/>
  <c r="AG636" i="7" s="1"/>
  <c r="AC643" i="7"/>
  <c r="AH643" i="7" s="1"/>
  <c r="AD650" i="7"/>
  <c r="AI650" i="7" s="1"/>
  <c r="AB660" i="7"/>
  <c r="AG660" i="7" s="1"/>
  <c r="AC667" i="7"/>
  <c r="AH667" i="7" s="1"/>
  <c r="AC679" i="7"/>
  <c r="AH679" i="7" s="1"/>
  <c r="AC691" i="7"/>
  <c r="AH691" i="7" s="1"/>
  <c r="AD722" i="7"/>
  <c r="AI722" i="7" s="1"/>
  <c r="AC48" i="7"/>
  <c r="AH48" i="7" s="1"/>
  <c r="AB53" i="7"/>
  <c r="AG53" i="7" s="1"/>
  <c r="AC60" i="7"/>
  <c r="AH60" i="7" s="1"/>
  <c r="AD67" i="7"/>
  <c r="AI67" i="7" s="1"/>
  <c r="AB77" i="7"/>
  <c r="AG77" i="7" s="1"/>
  <c r="AC84" i="7"/>
  <c r="AH84" i="7" s="1"/>
  <c r="AD91" i="7"/>
  <c r="AI91" i="7" s="1"/>
  <c r="AE98" i="7"/>
  <c r="AJ98" i="7" s="1"/>
  <c r="AF105" i="7"/>
  <c r="AK105" i="7" s="1"/>
  <c r="AD115" i="7"/>
  <c r="AI115" i="7" s="1"/>
  <c r="AE122" i="7"/>
  <c r="AJ122" i="7" s="1"/>
  <c r="AF129" i="7"/>
  <c r="AK129" i="7" s="1"/>
  <c r="AB137" i="7"/>
  <c r="AG137" i="7" s="1"/>
  <c r="AE146" i="7"/>
  <c r="AJ146" i="7" s="1"/>
  <c r="AF153" i="7"/>
  <c r="AK153" i="7" s="1"/>
  <c r="AD163" i="7"/>
  <c r="AI163" i="7" s="1"/>
  <c r="AC168" i="7"/>
  <c r="AH168" i="7" s="1"/>
  <c r="AD175" i="7"/>
  <c r="AI175" i="7" s="1"/>
  <c r="AB185" i="7"/>
  <c r="AG185" i="7" s="1"/>
  <c r="AC192" i="7"/>
  <c r="AH192" i="7" s="1"/>
  <c r="AD199" i="7"/>
  <c r="AI199" i="7" s="1"/>
  <c r="AE206" i="7"/>
  <c r="AJ206" i="7" s="1"/>
  <c r="AD211" i="7"/>
  <c r="AI211" i="7" s="1"/>
  <c r="AE218" i="7"/>
  <c r="AJ218" i="7" s="1"/>
  <c r="AF225" i="7"/>
  <c r="AK225" i="7" s="1"/>
  <c r="AB233" i="7"/>
  <c r="AG233" i="7" s="1"/>
  <c r="AC240" i="7"/>
  <c r="AH240" i="7" s="1"/>
  <c r="AD247" i="7"/>
  <c r="AI247" i="7" s="1"/>
  <c r="AE254" i="7"/>
  <c r="AJ254" i="7" s="1"/>
  <c r="AC264" i="7"/>
  <c r="AH264" i="7" s="1"/>
  <c r="AD271" i="7"/>
  <c r="AI271" i="7" s="1"/>
  <c r="AC276" i="7"/>
  <c r="AH276" i="7" s="1"/>
  <c r="AD283" i="7"/>
  <c r="AI283" i="7" s="1"/>
  <c r="AF285" i="7"/>
  <c r="AK285" i="7" s="1"/>
  <c r="AB293" i="7"/>
  <c r="AG293" i="7" s="1"/>
  <c r="AF297" i="7"/>
  <c r="AK297" i="7" s="1"/>
  <c r="AE302" i="7"/>
  <c r="AJ302" i="7" s="1"/>
  <c r="AD307" i="7"/>
  <c r="AI307" i="7" s="1"/>
  <c r="AE314" i="7"/>
  <c r="AJ314" i="7" s="1"/>
  <c r="AD319" i="7"/>
  <c r="AI319" i="7" s="1"/>
  <c r="AE326" i="7"/>
  <c r="AJ326" i="7" s="1"/>
  <c r="AD331" i="7"/>
  <c r="AI331" i="7" s="1"/>
  <c r="AE338" i="7"/>
  <c r="AJ338" i="7" s="1"/>
  <c r="AF345" i="7"/>
  <c r="AK345" i="7" s="1"/>
  <c r="AE362" i="7"/>
  <c r="AJ362" i="7" s="1"/>
  <c r="AC384" i="7"/>
  <c r="AH384" i="7" s="1"/>
  <c r="AF441" i="7"/>
  <c r="AK441" i="7" s="1"/>
  <c r="AC672" i="7"/>
  <c r="AH672" i="7" s="1"/>
  <c r="AF50" i="7"/>
  <c r="AK50" i="7" s="1"/>
  <c r="AF62" i="7"/>
  <c r="AK62" i="7" s="1"/>
  <c r="AB70" i="7"/>
  <c r="AG70" i="7" s="1"/>
  <c r="AE79" i="7"/>
  <c r="AJ79" i="7" s="1"/>
  <c r="AF86" i="7"/>
  <c r="AK86" i="7" s="1"/>
  <c r="AB94" i="7"/>
  <c r="AG94" i="7" s="1"/>
  <c r="AC101" i="7"/>
  <c r="AH101" i="7" s="1"/>
  <c r="AD108" i="7"/>
  <c r="AI108" i="7" s="1"/>
  <c r="AE115" i="7"/>
  <c r="AJ115" i="7" s="1"/>
  <c r="AC125" i="7"/>
  <c r="AH125" i="7" s="1"/>
  <c r="AD132" i="7"/>
  <c r="AI132" i="7" s="1"/>
  <c r="AD144" i="7"/>
  <c r="AI144" i="7" s="1"/>
  <c r="AF158" i="7"/>
  <c r="AK158" i="7" s="1"/>
  <c r="AB166" i="7"/>
  <c r="AG166" i="7" s="1"/>
  <c r="AE175" i="7"/>
  <c r="AJ175" i="7" s="1"/>
  <c r="AC185" i="7"/>
  <c r="AH185" i="7" s="1"/>
  <c r="AD192" i="7"/>
  <c r="AI192" i="7" s="1"/>
  <c r="AB202" i="7"/>
  <c r="AG202" i="7" s="1"/>
  <c r="AE211" i="7"/>
  <c r="AJ211" i="7" s="1"/>
  <c r="AF218" i="7"/>
  <c r="AK218" i="7" s="1"/>
  <c r="AB226" i="7"/>
  <c r="AG226" i="7" s="1"/>
  <c r="AC233" i="7"/>
  <c r="AH233" i="7" s="1"/>
  <c r="AD240" i="7"/>
  <c r="AI240" i="7" s="1"/>
  <c r="AE247" i="7"/>
  <c r="AJ247" i="7" s="1"/>
  <c r="AC257" i="7"/>
  <c r="AH257" i="7" s="1"/>
  <c r="AF266" i="7"/>
  <c r="AK266" i="7" s="1"/>
  <c r="AB274" i="7"/>
  <c r="AG274" i="7" s="1"/>
  <c r="AF278" i="7"/>
  <c r="AK278" i="7" s="1"/>
  <c r="AB286" i="7"/>
  <c r="AG286" i="7" s="1"/>
  <c r="AE295" i="7"/>
  <c r="AJ295" i="7" s="1"/>
  <c r="AF302" i="7"/>
  <c r="AK302" i="7" s="1"/>
  <c r="AB310" i="7"/>
  <c r="AG310" i="7" s="1"/>
  <c r="AC317" i="7"/>
  <c r="AH317" i="7" s="1"/>
  <c r="AF326" i="7"/>
  <c r="AK326" i="7" s="1"/>
  <c r="AB334" i="7"/>
  <c r="AG334" i="7" s="1"/>
  <c r="AE343" i="7"/>
  <c r="AJ343" i="7" s="1"/>
  <c r="AF350" i="7"/>
  <c r="AK350" i="7" s="1"/>
  <c r="AB358" i="7"/>
  <c r="AG358" i="7" s="1"/>
  <c r="AF362" i="7"/>
  <c r="AK362" i="7" s="1"/>
  <c r="AB370" i="7"/>
  <c r="AG370" i="7" s="1"/>
  <c r="AC377" i="7"/>
  <c r="AH377" i="7" s="1"/>
  <c r="AD384" i="7"/>
  <c r="AI384" i="7" s="1"/>
  <c r="AB394" i="7"/>
  <c r="AG394" i="7" s="1"/>
  <c r="AC401" i="7"/>
  <c r="AH401" i="7" s="1"/>
  <c r="AF410" i="7"/>
  <c r="AK410" i="7" s="1"/>
  <c r="AB418" i="7"/>
  <c r="AG418" i="7" s="1"/>
  <c r="AC425" i="7"/>
  <c r="AH425" i="7" s="1"/>
  <c r="AB430" i="7"/>
  <c r="AG430" i="7" s="1"/>
  <c r="AC437" i="7"/>
  <c r="AH437" i="7" s="1"/>
  <c r="AD444" i="7"/>
  <c r="AI444" i="7" s="1"/>
  <c r="AB454" i="7"/>
  <c r="AG454" i="7" s="1"/>
  <c r="AC461" i="7"/>
  <c r="AH461" i="7" s="1"/>
  <c r="AF470" i="7"/>
  <c r="AK470" i="7" s="1"/>
  <c r="AF482" i="7"/>
  <c r="AK482" i="7" s="1"/>
  <c r="AD492" i="7"/>
  <c r="AI492" i="7" s="1"/>
  <c r="AB502" i="7"/>
  <c r="AG502" i="7" s="1"/>
  <c r="AC509" i="7"/>
  <c r="AH509" i="7" s="1"/>
  <c r="AC521" i="7"/>
  <c r="AH521" i="7" s="1"/>
  <c r="AF530" i="7"/>
  <c r="AK530" i="7" s="1"/>
  <c r="AB538" i="7"/>
  <c r="AG538" i="7" s="1"/>
  <c r="AC545" i="7"/>
  <c r="AH545" i="7" s="1"/>
  <c r="AD552" i="7"/>
  <c r="AI552" i="7" s="1"/>
  <c r="AE559" i="7"/>
  <c r="AJ559" i="7" s="1"/>
  <c r="AF566" i="7"/>
  <c r="AK566" i="7" s="1"/>
  <c r="AB574" i="7"/>
  <c r="AG574" i="7" s="1"/>
  <c r="AE583" i="7"/>
  <c r="AJ583" i="7" s="1"/>
  <c r="AF590" i="7"/>
  <c r="AK590" i="7" s="1"/>
  <c r="AD600" i="7"/>
  <c r="AI600" i="7" s="1"/>
  <c r="AE607" i="7"/>
  <c r="AJ607" i="7" s="1"/>
  <c r="AC617" i="7"/>
  <c r="AH617" i="7" s="1"/>
  <c r="AD624" i="7"/>
  <c r="AI624" i="7" s="1"/>
  <c r="AC629" i="7"/>
  <c r="AH629" i="7" s="1"/>
  <c r="AC641" i="7"/>
  <c r="AH641" i="7" s="1"/>
  <c r="AD648" i="7"/>
  <c r="AI648" i="7" s="1"/>
  <c r="AE655" i="7"/>
  <c r="AJ655" i="7" s="1"/>
  <c r="AC665" i="7"/>
  <c r="AH665" i="7" s="1"/>
  <c r="AD684" i="7"/>
  <c r="AI684" i="7" s="1"/>
  <c r="AC689" i="7"/>
  <c r="AH689" i="7" s="1"/>
  <c r="AB694" i="7"/>
  <c r="AG694" i="7" s="1"/>
  <c r="AF698" i="7"/>
  <c r="AK698" i="7" s="1"/>
  <c r="AE703" i="7"/>
  <c r="AJ703" i="7" s="1"/>
  <c r="AB706" i="7"/>
  <c r="AG706" i="7" s="1"/>
  <c r="AD708" i="7"/>
  <c r="AI708" i="7" s="1"/>
  <c r="AC713" i="7"/>
  <c r="AH713" i="7" s="1"/>
  <c r="AB718" i="7"/>
  <c r="AG718" i="7" s="1"/>
  <c r="AD720" i="7"/>
  <c r="AI720" i="7" s="1"/>
  <c r="AF722" i="7"/>
  <c r="AK722" i="7" s="1"/>
  <c r="AC725" i="7"/>
  <c r="AH725" i="7" s="1"/>
  <c r="AE727" i="7"/>
  <c r="AJ727" i="7" s="1"/>
  <c r="AB730" i="7"/>
  <c r="AG730" i="7" s="1"/>
  <c r="AD732" i="7"/>
  <c r="AI732" i="7" s="1"/>
  <c r="AF734" i="7"/>
  <c r="AK734" i="7" s="1"/>
  <c r="AE739" i="7"/>
  <c r="AJ739" i="7" s="1"/>
  <c r="AB742" i="7"/>
  <c r="AG742" i="7" s="1"/>
  <c r="AD744" i="7"/>
  <c r="AI744" i="7" s="1"/>
  <c r="AF746" i="7"/>
  <c r="AK746" i="7" s="1"/>
  <c r="AC749" i="7"/>
  <c r="AH749" i="7" s="1"/>
  <c r="AE751" i="7"/>
  <c r="AJ751" i="7" s="1"/>
  <c r="AB754" i="7"/>
  <c r="AG754" i="7" s="1"/>
  <c r="AD756" i="7"/>
  <c r="AI756" i="7" s="1"/>
  <c r="AC761" i="7"/>
  <c r="AH761" i="7" s="1"/>
  <c r="AE763" i="7"/>
  <c r="AJ763" i="7" s="1"/>
  <c r="AB766" i="7"/>
  <c r="AG766" i="7" s="1"/>
  <c r="AD768" i="7"/>
  <c r="AI768" i="7" s="1"/>
  <c r="AF770" i="7"/>
  <c r="AK770" i="7" s="1"/>
  <c r="AC773" i="7"/>
  <c r="AH773" i="7" s="1"/>
  <c r="AE775" i="7"/>
  <c r="AJ775" i="7" s="1"/>
  <c r="AB778" i="7"/>
  <c r="AG778" i="7" s="1"/>
  <c r="AD780" i="7"/>
  <c r="AI780" i="7" s="1"/>
  <c r="AF782" i="7"/>
  <c r="AK782" i="7" s="1"/>
  <c r="AE787" i="7"/>
  <c r="AJ787" i="7" s="1"/>
  <c r="AD792" i="7"/>
  <c r="AI792" i="7" s="1"/>
  <c r="AF794" i="7"/>
  <c r="AK794" i="7" s="1"/>
  <c r="AC797" i="7"/>
  <c r="AH797" i="7" s="1"/>
  <c r="AE799" i="7"/>
  <c r="AJ799" i="7" s="1"/>
  <c r="AB802" i="7"/>
  <c r="AG802" i="7" s="1"/>
  <c r="AD804" i="7"/>
  <c r="AI804" i="7" s="1"/>
  <c r="AF806" i="7"/>
  <c r="AK806" i="7" s="1"/>
  <c r="AC809" i="7"/>
  <c r="AH809" i="7" s="1"/>
  <c r="AE811" i="7"/>
  <c r="AJ811" i="7" s="1"/>
  <c r="AD816" i="7"/>
  <c r="AI816" i="7" s="1"/>
  <c r="AF818" i="7"/>
  <c r="AK818" i="7" s="1"/>
  <c r="AC821" i="7"/>
  <c r="AH821" i="7" s="1"/>
  <c r="AE823" i="7"/>
  <c r="AJ823" i="7" s="1"/>
  <c r="AD828" i="7"/>
  <c r="AI828" i="7" s="1"/>
  <c r="AF830" i="7"/>
  <c r="AK830" i="7" s="1"/>
  <c r="AC833" i="7"/>
  <c r="AH833" i="7" s="1"/>
  <c r="AE835" i="7"/>
  <c r="AJ835" i="7" s="1"/>
  <c r="AB838" i="7"/>
  <c r="AG838" i="7" s="1"/>
  <c r="AD840" i="7"/>
  <c r="AI840" i="7" s="1"/>
  <c r="AF842" i="7"/>
  <c r="AK842" i="7" s="1"/>
  <c r="AC845" i="7"/>
  <c r="AH845" i="7" s="1"/>
  <c r="AE847" i="7"/>
  <c r="AJ847" i="7" s="1"/>
  <c r="AB850" i="7"/>
  <c r="AG850" i="7" s="1"/>
  <c r="AD852" i="7"/>
  <c r="AI852" i="7" s="1"/>
  <c r="AF854" i="7"/>
  <c r="AK854" i="7" s="1"/>
  <c r="AC857" i="7"/>
  <c r="AH857" i="7" s="1"/>
  <c r="AE859" i="7"/>
  <c r="AJ859" i="7" s="1"/>
  <c r="AB862" i="7"/>
  <c r="AG862" i="7" s="1"/>
  <c r="AD864" i="7"/>
  <c r="AI864" i="7" s="1"/>
  <c r="AF866" i="7"/>
  <c r="AK866" i="7" s="1"/>
  <c r="AC869" i="7"/>
  <c r="AH869" i="7" s="1"/>
  <c r="AE871" i="7"/>
  <c r="AJ871" i="7" s="1"/>
  <c r="AB874" i="7"/>
  <c r="AG874" i="7" s="1"/>
  <c r="AD876" i="7"/>
  <c r="AI876" i="7" s="1"/>
  <c r="AF878" i="7"/>
  <c r="AK878" i="7" s="1"/>
  <c r="AC881" i="7"/>
  <c r="AH881" i="7" s="1"/>
  <c r="AE883" i="7"/>
  <c r="AJ883" i="7" s="1"/>
  <c r="AB886" i="7"/>
  <c r="AG886" i="7" s="1"/>
  <c r="AF890" i="7"/>
  <c r="AK890" i="7" s="1"/>
  <c r="AC893" i="7"/>
  <c r="AH893" i="7" s="1"/>
  <c r="AE895" i="7"/>
  <c r="AJ895" i="7" s="1"/>
  <c r="AB898" i="7"/>
  <c r="AG898" i="7" s="1"/>
  <c r="AF902" i="7"/>
  <c r="AK902" i="7" s="1"/>
  <c r="AC905" i="7"/>
  <c r="AH905" i="7" s="1"/>
  <c r="AE907" i="7"/>
  <c r="AJ907" i="7" s="1"/>
  <c r="AB910" i="7"/>
  <c r="AG910" i="7" s="1"/>
  <c r="AD912" i="7"/>
  <c r="AI912" i="7" s="1"/>
  <c r="AF914" i="7"/>
  <c r="AK914" i="7" s="1"/>
  <c r="AC917" i="7"/>
  <c r="AH917" i="7" s="1"/>
  <c r="AE919" i="7"/>
  <c r="AJ919" i="7" s="1"/>
  <c r="AB922" i="7"/>
  <c r="AG922" i="7" s="1"/>
  <c r="AD924" i="7"/>
  <c r="AI924" i="7" s="1"/>
  <c r="AF926" i="7"/>
  <c r="AK926" i="7" s="1"/>
  <c r="AC929" i="7"/>
  <c r="AH929" i="7" s="1"/>
  <c r="AE931" i="7"/>
  <c r="AJ931" i="7" s="1"/>
  <c r="AB934" i="7"/>
  <c r="AG934" i="7" s="1"/>
  <c r="AD936" i="7"/>
  <c r="AI936" i="7" s="1"/>
  <c r="AF938" i="7"/>
  <c r="AK938" i="7" s="1"/>
  <c r="AC941" i="7"/>
  <c r="AH941" i="7" s="1"/>
  <c r="AE943" i="7"/>
  <c r="AJ943" i="7" s="1"/>
  <c r="AB946" i="7"/>
  <c r="AG946" i="7" s="1"/>
  <c r="AD948" i="7"/>
  <c r="AI948" i="7" s="1"/>
  <c r="AC953" i="7"/>
  <c r="AH953" i="7" s="1"/>
  <c r="AE955" i="7"/>
  <c r="AJ955" i="7" s="1"/>
  <c r="AB958" i="7"/>
  <c r="AG958" i="7" s="1"/>
  <c r="AD960" i="7"/>
  <c r="AI960" i="7" s="1"/>
  <c r="AF962" i="7"/>
  <c r="AK962" i="7" s="1"/>
  <c r="AC965" i="7"/>
  <c r="AH965" i="7" s="1"/>
  <c r="AE967" i="7"/>
  <c r="AJ967" i="7" s="1"/>
  <c r="AB970" i="7"/>
  <c r="AG970" i="7" s="1"/>
  <c r="AD972" i="7"/>
  <c r="AI972" i="7" s="1"/>
  <c r="AF974" i="7"/>
  <c r="AK974" i="7" s="1"/>
  <c r="AC977" i="7"/>
  <c r="AH977" i="7" s="1"/>
  <c r="AE979" i="7"/>
  <c r="AJ979" i="7" s="1"/>
  <c r="AB982" i="7"/>
  <c r="AG982" i="7" s="1"/>
  <c r="AD984" i="7"/>
  <c r="AI984" i="7" s="1"/>
  <c r="AC989" i="7"/>
  <c r="AH989" i="7" s="1"/>
  <c r="AB76" i="7"/>
  <c r="AG76" i="7" s="1"/>
  <c r="AE85" i="7"/>
  <c r="AJ85" i="7" s="1"/>
  <c r="AC95" i="7"/>
  <c r="AH95" i="7" s="1"/>
  <c r="AD246" i="7"/>
  <c r="AI246" i="7" s="1"/>
  <c r="AC371" i="7"/>
  <c r="AH371" i="7" s="1"/>
  <c r="AF548" i="7"/>
  <c r="AK548" i="7" s="1"/>
  <c r="AD119" i="7"/>
  <c r="AI119" i="7" s="1"/>
  <c r="AE282" i="7"/>
  <c r="AJ282" i="7" s="1"/>
  <c r="AF409" i="7"/>
  <c r="AK409" i="7" s="1"/>
  <c r="AE522" i="7"/>
  <c r="AJ522" i="7" s="1"/>
  <c r="AD647" i="7"/>
  <c r="AI647" i="7" s="1"/>
  <c r="AB789" i="7"/>
  <c r="AG789" i="7" s="1"/>
  <c r="AF889" i="7"/>
  <c r="AK889" i="7" s="1"/>
  <c r="AE978" i="7"/>
  <c r="AJ978" i="7" s="1"/>
  <c r="AB134" i="7"/>
  <c r="AG134" i="7" s="1"/>
  <c r="AE275" i="7"/>
  <c r="AJ275" i="7" s="1"/>
  <c r="AE52" i="7"/>
  <c r="AJ52" i="7" s="1"/>
  <c r="AB132" i="7"/>
  <c r="AG132" i="7" s="1"/>
  <c r="AD278" i="7"/>
  <c r="AI278" i="7" s="1"/>
  <c r="AE429" i="7"/>
  <c r="AJ429" i="7" s="1"/>
  <c r="AE561" i="7"/>
  <c r="AJ561" i="7" s="1"/>
  <c r="AB708" i="7"/>
  <c r="AG708" i="7" s="1"/>
  <c r="AE158" i="7"/>
  <c r="AJ158" i="7" s="1"/>
  <c r="AF321" i="7"/>
  <c r="AK321" i="7" s="1"/>
  <c r="AB413" i="7"/>
  <c r="AG413" i="7" s="1"/>
  <c r="AD511" i="7"/>
  <c r="AI511" i="7" s="1"/>
  <c r="AF621" i="7"/>
  <c r="AK621" i="7" s="1"/>
  <c r="AF705" i="7"/>
  <c r="AK705" i="7" s="1"/>
  <c r="AB46" i="7"/>
  <c r="AG46" i="7" s="1"/>
  <c r="AF194" i="7"/>
  <c r="AK194" i="7" s="1"/>
  <c r="AF338" i="7"/>
  <c r="AK338" i="7" s="1"/>
  <c r="AB490" i="7"/>
  <c r="AG490" i="7" s="1"/>
  <c r="AE631" i="7"/>
  <c r="AJ631" i="7" s="1"/>
  <c r="AE715" i="7"/>
  <c r="AJ715" i="7" s="1"/>
  <c r="AF758" i="7"/>
  <c r="AK758" i="7" s="1"/>
  <c r="AB814" i="7"/>
  <c r="AG814" i="7" s="1"/>
  <c r="AD888" i="7"/>
  <c r="AI888" i="7" s="1"/>
  <c r="AF950" i="7"/>
  <c r="AK950" i="7" s="1"/>
  <c r="AF986" i="7"/>
  <c r="AK986" i="7" s="1"/>
  <c r="AE419" i="7"/>
  <c r="AJ419" i="7" s="1"/>
  <c r="AD424" i="7"/>
  <c r="AI424" i="7" s="1"/>
  <c r="AF426" i="7"/>
  <c r="AK426" i="7" s="1"/>
  <c r="AC429" i="7"/>
  <c r="AH429" i="7" s="1"/>
  <c r="AD436" i="7"/>
  <c r="AI436" i="7" s="1"/>
  <c r="AF438" i="7"/>
  <c r="AK438" i="7" s="1"/>
  <c r="AC441" i="7"/>
  <c r="AH441" i="7" s="1"/>
  <c r="AE443" i="7"/>
  <c r="AJ443" i="7" s="1"/>
  <c r="AD448" i="7"/>
  <c r="AI448" i="7" s="1"/>
  <c r="AF450" i="7"/>
  <c r="AK450" i="7" s="1"/>
  <c r="AC453" i="7"/>
  <c r="AH453" i="7" s="1"/>
  <c r="AE455" i="7"/>
  <c r="AJ455" i="7" s="1"/>
  <c r="AD460" i="7"/>
  <c r="AI460" i="7" s="1"/>
  <c r="AF462" i="7"/>
  <c r="AK462" i="7" s="1"/>
  <c r="AC465" i="7"/>
  <c r="AH465" i="7" s="1"/>
  <c r="AD472" i="7"/>
  <c r="AI472" i="7" s="1"/>
  <c r="AF474" i="7"/>
  <c r="AK474" i="7" s="1"/>
  <c r="AC477" i="7"/>
  <c r="AH477" i="7" s="1"/>
  <c r="AE479" i="7"/>
  <c r="AJ479" i="7" s="1"/>
  <c r="AF486" i="7"/>
  <c r="AK486" i="7" s="1"/>
  <c r="AC489" i="7"/>
  <c r="AH489" i="7" s="1"/>
  <c r="AE491" i="7"/>
  <c r="AJ491" i="7" s="1"/>
  <c r="AF498" i="7"/>
  <c r="AK498" i="7" s="1"/>
  <c r="AC501" i="7"/>
  <c r="AH501" i="7" s="1"/>
  <c r="AE503" i="7"/>
  <c r="AJ503" i="7" s="1"/>
  <c r="AF510" i="7"/>
  <c r="AK510" i="7" s="1"/>
  <c r="AC513" i="7"/>
  <c r="AH513" i="7" s="1"/>
  <c r="AE515" i="7"/>
  <c r="AJ515" i="7" s="1"/>
  <c r="AF522" i="7"/>
  <c r="AK522" i="7" s="1"/>
  <c r="AC525" i="7"/>
  <c r="AH525" i="7" s="1"/>
  <c r="AE527" i="7"/>
  <c r="AJ527" i="7" s="1"/>
  <c r="AF534" i="7"/>
  <c r="AK534" i="7" s="1"/>
  <c r="AC537" i="7"/>
  <c r="AH537" i="7" s="1"/>
  <c r="AE539" i="7"/>
  <c r="AJ539" i="7" s="1"/>
  <c r="AF546" i="7"/>
  <c r="AK546" i="7" s="1"/>
  <c r="AC549" i="7"/>
  <c r="AH549" i="7" s="1"/>
  <c r="AE551" i="7"/>
  <c r="AJ551" i="7" s="1"/>
  <c r="AF558" i="7"/>
  <c r="AK558" i="7" s="1"/>
  <c r="AC561" i="7"/>
  <c r="AH561" i="7" s="1"/>
  <c r="AE563" i="7"/>
  <c r="AJ563" i="7" s="1"/>
  <c r="AF570" i="7"/>
  <c r="AK570" i="7" s="1"/>
  <c r="AC573" i="7"/>
  <c r="AH573" i="7" s="1"/>
  <c r="AE575" i="7"/>
  <c r="AJ575" i="7" s="1"/>
  <c r="AF582" i="7"/>
  <c r="AK582" i="7" s="1"/>
  <c r="AC585" i="7"/>
  <c r="AH585" i="7" s="1"/>
  <c r="AE587" i="7"/>
  <c r="AJ587" i="7" s="1"/>
  <c r="AF594" i="7"/>
  <c r="AK594" i="7" s="1"/>
  <c r="AC597" i="7"/>
  <c r="AH597" i="7" s="1"/>
  <c r="AE599" i="7"/>
  <c r="AJ599" i="7" s="1"/>
  <c r="AF606" i="7"/>
  <c r="AK606" i="7" s="1"/>
  <c r="AC609" i="7"/>
  <c r="AH609" i="7" s="1"/>
  <c r="AE611" i="7"/>
  <c r="AJ611" i="7" s="1"/>
  <c r="AF618" i="7"/>
  <c r="AK618" i="7" s="1"/>
  <c r="AC621" i="7"/>
  <c r="AH621" i="7" s="1"/>
  <c r="AE623" i="7"/>
  <c r="AJ623" i="7" s="1"/>
  <c r="AF630" i="7"/>
  <c r="AK630" i="7" s="1"/>
  <c r="AC633" i="7"/>
  <c r="AH633" i="7" s="1"/>
  <c r="AE635" i="7"/>
  <c r="AJ635" i="7" s="1"/>
  <c r="AF642" i="7"/>
  <c r="AK642" i="7" s="1"/>
  <c r="AC645" i="7"/>
  <c r="AH645" i="7" s="1"/>
  <c r="AE647" i="7"/>
  <c r="AJ647" i="7" s="1"/>
  <c r="AF654" i="7"/>
  <c r="AK654" i="7" s="1"/>
  <c r="AC657" i="7"/>
  <c r="AH657" i="7" s="1"/>
  <c r="AE659" i="7"/>
  <c r="AJ659" i="7" s="1"/>
  <c r="AF666" i="7"/>
  <c r="AK666" i="7" s="1"/>
  <c r="AC669" i="7"/>
  <c r="AH669" i="7" s="1"/>
  <c r="AE671" i="7"/>
  <c r="AJ671" i="7" s="1"/>
  <c r="AF678" i="7"/>
  <c r="AK678" i="7" s="1"/>
  <c r="AC681" i="7"/>
  <c r="AH681" i="7" s="1"/>
  <c r="AE683" i="7"/>
  <c r="AJ683" i="7" s="1"/>
  <c r="AF690" i="7"/>
  <c r="AK690" i="7" s="1"/>
  <c r="AC693" i="7"/>
  <c r="AH693" i="7" s="1"/>
  <c r="AE695" i="7"/>
  <c r="AJ695" i="7" s="1"/>
  <c r="AF702" i="7"/>
  <c r="AK702" i="7" s="1"/>
  <c r="AC705" i="7"/>
  <c r="AH705" i="7" s="1"/>
  <c r="AE707" i="7"/>
  <c r="AJ707" i="7" s="1"/>
  <c r="AF714" i="7"/>
  <c r="AK714" i="7" s="1"/>
  <c r="AC717" i="7"/>
  <c r="AH717" i="7" s="1"/>
  <c r="AE719" i="7"/>
  <c r="AJ719" i="7" s="1"/>
  <c r="AF726" i="7"/>
  <c r="AK726" i="7" s="1"/>
  <c r="AC729" i="7"/>
  <c r="AH729" i="7" s="1"/>
  <c r="AE731" i="7"/>
  <c r="AJ731" i="7" s="1"/>
  <c r="AF738" i="7"/>
  <c r="AK738" i="7" s="1"/>
  <c r="AC741" i="7"/>
  <c r="AH741" i="7" s="1"/>
  <c r="AE743" i="7"/>
  <c r="AJ743" i="7" s="1"/>
  <c r="AF750" i="7"/>
  <c r="AK750" i="7" s="1"/>
  <c r="AC753" i="7"/>
  <c r="AH753" i="7" s="1"/>
  <c r="AE755" i="7"/>
  <c r="AJ755" i="7" s="1"/>
  <c r="AF762" i="7"/>
  <c r="AK762" i="7" s="1"/>
  <c r="AC765" i="7"/>
  <c r="AH765" i="7" s="1"/>
  <c r="AE767" i="7"/>
  <c r="AJ767" i="7" s="1"/>
  <c r="AF774" i="7"/>
  <c r="AK774" i="7" s="1"/>
  <c r="AC777" i="7"/>
  <c r="AH777" i="7" s="1"/>
  <c r="AE779" i="7"/>
  <c r="AJ779" i="7" s="1"/>
  <c r="AF786" i="7"/>
  <c r="AK786" i="7" s="1"/>
  <c r="AC789" i="7"/>
  <c r="AH789" i="7" s="1"/>
  <c r="AE791" i="7"/>
  <c r="AJ791" i="7" s="1"/>
  <c r="AF798" i="7"/>
  <c r="AK798" i="7" s="1"/>
  <c r="AC801" i="7"/>
  <c r="AH801" i="7" s="1"/>
  <c r="AE803" i="7"/>
  <c r="AJ803" i="7" s="1"/>
  <c r="AF810" i="7"/>
  <c r="AK810" i="7" s="1"/>
  <c r="AC813" i="7"/>
  <c r="AH813" i="7" s="1"/>
  <c r="AE815" i="7"/>
  <c r="AJ815" i="7" s="1"/>
  <c r="AF822" i="7"/>
  <c r="AK822" i="7" s="1"/>
  <c r="AC825" i="7"/>
  <c r="AH825" i="7" s="1"/>
  <c r="AE827" i="7"/>
  <c r="AJ827" i="7" s="1"/>
  <c r="AF834" i="7"/>
  <c r="AK834" i="7" s="1"/>
  <c r="AC837" i="7"/>
  <c r="AH837" i="7" s="1"/>
  <c r="AE839" i="7"/>
  <c r="AJ839" i="7" s="1"/>
  <c r="AF846" i="7"/>
  <c r="AK846" i="7" s="1"/>
  <c r="AC849" i="7"/>
  <c r="AH849" i="7" s="1"/>
  <c r="AE851" i="7"/>
  <c r="AJ851" i="7" s="1"/>
  <c r="AF858" i="7"/>
  <c r="AK858" i="7" s="1"/>
  <c r="AC861" i="7"/>
  <c r="AH861" i="7" s="1"/>
  <c r="AE863" i="7"/>
  <c r="AJ863" i="7" s="1"/>
  <c r="AF870" i="7"/>
  <c r="AK870" i="7" s="1"/>
  <c r="AC873" i="7"/>
  <c r="AH873" i="7" s="1"/>
  <c r="AE875" i="7"/>
  <c r="AJ875" i="7" s="1"/>
  <c r="AF882" i="7"/>
  <c r="AK882" i="7" s="1"/>
  <c r="AC885" i="7"/>
  <c r="AH885" i="7" s="1"/>
  <c r="AE887" i="7"/>
  <c r="AJ887" i="7" s="1"/>
  <c r="AF894" i="7"/>
  <c r="AK894" i="7" s="1"/>
  <c r="AC897" i="7"/>
  <c r="AH897" i="7" s="1"/>
  <c r="AE899" i="7"/>
  <c r="AJ899" i="7" s="1"/>
  <c r="AF906" i="7"/>
  <c r="AK906" i="7" s="1"/>
  <c r="AC909" i="7"/>
  <c r="AH909" i="7" s="1"/>
  <c r="AE911" i="7"/>
  <c r="AJ911" i="7" s="1"/>
  <c r="AF918" i="7"/>
  <c r="AK918" i="7" s="1"/>
  <c r="AC921" i="7"/>
  <c r="AH921" i="7" s="1"/>
  <c r="AE923" i="7"/>
  <c r="AJ923" i="7" s="1"/>
  <c r="AF930" i="7"/>
  <c r="AK930" i="7" s="1"/>
  <c r="AC933" i="7"/>
  <c r="AH933" i="7" s="1"/>
  <c r="AE935" i="7"/>
  <c r="AJ935" i="7" s="1"/>
  <c r="AF942" i="7"/>
  <c r="AK942" i="7" s="1"/>
  <c r="AC945" i="7"/>
  <c r="AH945" i="7" s="1"/>
  <c r="AD830" i="7"/>
  <c r="AI830" i="7" s="1"/>
  <c r="AF832" i="7"/>
  <c r="AK832" i="7" s="1"/>
  <c r="AE837" i="7"/>
  <c r="AJ837" i="7" s="1"/>
  <c r="AD842" i="7"/>
  <c r="AI842" i="7" s="1"/>
  <c r="AF844" i="7"/>
  <c r="AK844" i="7" s="1"/>
  <c r="AE849" i="7"/>
  <c r="AJ849" i="7" s="1"/>
  <c r="AD854" i="7"/>
  <c r="AI854" i="7" s="1"/>
  <c r="AF856" i="7"/>
  <c r="AK856" i="7" s="1"/>
  <c r="AE861" i="7"/>
  <c r="AJ861" i="7" s="1"/>
  <c r="AD866" i="7"/>
  <c r="AI866" i="7" s="1"/>
  <c r="AF868" i="7"/>
  <c r="AK868" i="7" s="1"/>
  <c r="AE873" i="7"/>
  <c r="AJ873" i="7" s="1"/>
  <c r="AD878" i="7"/>
  <c r="AI878" i="7" s="1"/>
  <c r="AF880" i="7"/>
  <c r="AK880" i="7" s="1"/>
  <c r="AE885" i="7"/>
  <c r="AJ885" i="7" s="1"/>
  <c r="AD890" i="7"/>
  <c r="AI890" i="7" s="1"/>
  <c r="AF892" i="7"/>
  <c r="AK892" i="7" s="1"/>
  <c r="AE897" i="7"/>
  <c r="AJ897" i="7" s="1"/>
  <c r="AD902" i="7"/>
  <c r="AI902" i="7" s="1"/>
  <c r="AF904" i="7"/>
  <c r="AK904" i="7" s="1"/>
  <c r="AE909" i="7"/>
  <c r="AJ909" i="7" s="1"/>
  <c r="AD914" i="7"/>
  <c r="AI914" i="7" s="1"/>
  <c r="AF916" i="7"/>
  <c r="AK916" i="7" s="1"/>
  <c r="AE921" i="7"/>
  <c r="AJ921" i="7" s="1"/>
  <c r="AD926" i="7"/>
  <c r="AI926" i="7" s="1"/>
  <c r="AF928" i="7"/>
  <c r="AK928" i="7" s="1"/>
  <c r="AE933" i="7"/>
  <c r="AJ933" i="7" s="1"/>
  <c r="AD938" i="7"/>
  <c r="AI938" i="7" s="1"/>
  <c r="AF940" i="7"/>
  <c r="AK940" i="7" s="1"/>
  <c r="AE945" i="7"/>
  <c r="AJ945" i="7" s="1"/>
  <c r="AC804" i="7"/>
  <c r="AH804" i="7" s="1"/>
  <c r="AE806" i="7"/>
  <c r="AJ806" i="7" s="1"/>
  <c r="AF813" i="7"/>
  <c r="AK813" i="7" s="1"/>
  <c r="AC816" i="7"/>
  <c r="AH816" i="7" s="1"/>
  <c r="AE818" i="7"/>
  <c r="AJ818" i="7" s="1"/>
  <c r="AF825" i="7"/>
  <c r="AK825" i="7" s="1"/>
  <c r="AC828" i="7"/>
  <c r="AH828" i="7" s="1"/>
  <c r="AE830" i="7"/>
  <c r="AJ830" i="7" s="1"/>
  <c r="AF837" i="7"/>
  <c r="AK837" i="7" s="1"/>
  <c r="AC840" i="7"/>
  <c r="AH840" i="7" s="1"/>
  <c r="AE842" i="7"/>
  <c r="AJ842" i="7" s="1"/>
  <c r="AF849" i="7"/>
  <c r="AK849" i="7" s="1"/>
  <c r="AC852" i="7"/>
  <c r="AH852" i="7" s="1"/>
  <c r="AE854" i="7"/>
  <c r="AJ854" i="7" s="1"/>
  <c r="AF861" i="7"/>
  <c r="AK861" i="7" s="1"/>
  <c r="AC864" i="7"/>
  <c r="AH864" i="7" s="1"/>
  <c r="AE866" i="7"/>
  <c r="AJ866" i="7" s="1"/>
  <c r="AF873" i="7"/>
  <c r="AK873" i="7" s="1"/>
  <c r="AC876" i="7"/>
  <c r="AH876" i="7" s="1"/>
  <c r="AE878" i="7"/>
  <c r="AJ878" i="7" s="1"/>
  <c r="AF885" i="7"/>
  <c r="AK885" i="7" s="1"/>
  <c r="AC888" i="7"/>
  <c r="AH888" i="7" s="1"/>
  <c r="AE890" i="7"/>
  <c r="AJ890" i="7" s="1"/>
  <c r="AF897" i="7"/>
  <c r="AK897" i="7" s="1"/>
  <c r="AC900" i="7"/>
  <c r="AH900" i="7" s="1"/>
  <c r="AE902" i="7"/>
  <c r="AJ902" i="7" s="1"/>
  <c r="AF909" i="7"/>
  <c r="AK909" i="7" s="1"/>
  <c r="AC912" i="7"/>
  <c r="AH912" i="7" s="1"/>
  <c r="AE914" i="7"/>
  <c r="AJ914" i="7" s="1"/>
  <c r="AF921" i="7"/>
  <c r="AK921" i="7" s="1"/>
  <c r="AC924" i="7"/>
  <c r="AH924" i="7" s="1"/>
  <c r="AE926" i="7"/>
  <c r="AJ926" i="7" s="1"/>
  <c r="AF933" i="7"/>
  <c r="AK933" i="7" s="1"/>
  <c r="AC936" i="7"/>
  <c r="AH936" i="7" s="1"/>
  <c r="AE938" i="7"/>
  <c r="AJ938" i="7" s="1"/>
  <c r="AF945" i="7"/>
  <c r="AK945" i="7" s="1"/>
  <c r="AC46" i="7"/>
  <c r="AH46" i="7" s="1"/>
  <c r="AE48" i="7"/>
  <c r="AJ48" i="7" s="1"/>
  <c r="AD53" i="7"/>
  <c r="AI53" i="7" s="1"/>
  <c r="AF55" i="7"/>
  <c r="AK55" i="7" s="1"/>
  <c r="AC58" i="7"/>
  <c r="AH58" i="7" s="1"/>
  <c r="AE60" i="7"/>
  <c r="AJ60" i="7" s="1"/>
  <c r="AD65" i="7"/>
  <c r="AI65" i="7" s="1"/>
  <c r="AF67" i="7"/>
  <c r="AK67" i="7" s="1"/>
  <c r="AC70" i="7"/>
  <c r="AH70" i="7" s="1"/>
  <c r="AE72" i="7"/>
  <c r="AJ72" i="7" s="1"/>
  <c r="AD77" i="7"/>
  <c r="AI77" i="7" s="1"/>
  <c r="AF79" i="7"/>
  <c r="AK79" i="7" s="1"/>
  <c r="AC82" i="7"/>
  <c r="AH82" i="7" s="1"/>
  <c r="AE84" i="7"/>
  <c r="AJ84" i="7" s="1"/>
  <c r="AD89" i="7"/>
  <c r="AI89" i="7" s="1"/>
  <c r="AF91" i="7"/>
  <c r="AK91" i="7" s="1"/>
  <c r="AC94" i="7"/>
  <c r="AH94" i="7" s="1"/>
  <c r="AE96" i="7"/>
  <c r="AJ96" i="7" s="1"/>
  <c r="AD101" i="7"/>
  <c r="AI101" i="7" s="1"/>
  <c r="AF103" i="7"/>
  <c r="AK103" i="7" s="1"/>
  <c r="AC106" i="7"/>
  <c r="AH106" i="7" s="1"/>
  <c r="AE108" i="7"/>
  <c r="AJ108" i="7" s="1"/>
  <c r="AD113" i="7"/>
  <c r="AI113" i="7" s="1"/>
  <c r="AF115" i="7"/>
  <c r="AK115" i="7" s="1"/>
  <c r="AC118" i="7"/>
  <c r="AH118" i="7" s="1"/>
  <c r="AE120" i="7"/>
  <c r="AJ120" i="7" s="1"/>
  <c r="AD125" i="7"/>
  <c r="AI125" i="7" s="1"/>
  <c r="AF127" i="7"/>
  <c r="AK127" i="7" s="1"/>
  <c r="AC130" i="7"/>
  <c r="AH130" i="7" s="1"/>
  <c r="AE132" i="7"/>
  <c r="AJ132" i="7" s="1"/>
  <c r="AD137" i="7"/>
  <c r="AI137" i="7" s="1"/>
  <c r="AF139" i="7"/>
  <c r="AK139" i="7" s="1"/>
  <c r="AC142" i="7"/>
  <c r="AH142" i="7" s="1"/>
  <c r="AE144" i="7"/>
  <c r="AJ144" i="7" s="1"/>
  <c r="AD149" i="7"/>
  <c r="AI149" i="7" s="1"/>
  <c r="AF151" i="7"/>
  <c r="AK151" i="7" s="1"/>
  <c r="AC154" i="7"/>
  <c r="AH154" i="7" s="1"/>
  <c r="AE156" i="7"/>
  <c r="AJ156" i="7" s="1"/>
  <c r="AD161" i="7"/>
  <c r="AI161" i="7" s="1"/>
  <c r="AF163" i="7"/>
  <c r="AK163" i="7" s="1"/>
  <c r="AC166" i="7"/>
  <c r="AH166" i="7" s="1"/>
  <c r="AE168" i="7"/>
  <c r="AJ168" i="7" s="1"/>
  <c r="AD173" i="7"/>
  <c r="AI173" i="7" s="1"/>
  <c r="AF175" i="7"/>
  <c r="AK175" i="7" s="1"/>
  <c r="AC178" i="7"/>
  <c r="AH178" i="7" s="1"/>
  <c r="AE180" i="7"/>
  <c r="AJ180" i="7" s="1"/>
  <c r="AD185" i="7"/>
  <c r="AI185" i="7" s="1"/>
  <c r="AF187" i="7"/>
  <c r="AK187" i="7" s="1"/>
  <c r="AC190" i="7"/>
  <c r="AH190" i="7" s="1"/>
  <c r="AE192" i="7"/>
  <c r="AJ192" i="7" s="1"/>
  <c r="AD197" i="7"/>
  <c r="AI197" i="7" s="1"/>
  <c r="AF199" i="7"/>
  <c r="AK199" i="7" s="1"/>
  <c r="AC202" i="7"/>
  <c r="AH202" i="7" s="1"/>
  <c r="AE204" i="7"/>
  <c r="AJ204" i="7" s="1"/>
  <c r="AD209" i="7"/>
  <c r="AI209" i="7" s="1"/>
  <c r="AF211" i="7"/>
  <c r="AK211" i="7" s="1"/>
  <c r="AC214" i="7"/>
  <c r="AH214" i="7" s="1"/>
  <c r="AE216" i="7"/>
  <c r="AJ216" i="7" s="1"/>
  <c r="AD221" i="7"/>
  <c r="AI221" i="7" s="1"/>
  <c r="AF223" i="7"/>
  <c r="AK223" i="7" s="1"/>
  <c r="AC226" i="7"/>
  <c r="AH226" i="7" s="1"/>
  <c r="AE228" i="7"/>
  <c r="AJ228" i="7" s="1"/>
  <c r="AD233" i="7"/>
  <c r="AI233" i="7" s="1"/>
  <c r="AF235" i="7"/>
  <c r="AK235" i="7" s="1"/>
  <c r="AC238" i="7"/>
  <c r="AH238" i="7" s="1"/>
  <c r="AE240" i="7"/>
  <c r="AJ240" i="7" s="1"/>
  <c r="AD245" i="7"/>
  <c r="AI245" i="7" s="1"/>
  <c r="AF247" i="7"/>
  <c r="AK247" i="7" s="1"/>
  <c r="AC250" i="7"/>
  <c r="AH250" i="7" s="1"/>
  <c r="AE252" i="7"/>
  <c r="AJ252" i="7" s="1"/>
  <c r="AD257" i="7"/>
  <c r="AI257" i="7" s="1"/>
  <c r="AF259" i="7"/>
  <c r="AK259" i="7" s="1"/>
  <c r="AC262" i="7"/>
  <c r="AH262" i="7" s="1"/>
  <c r="AE264" i="7"/>
  <c r="AJ264" i="7" s="1"/>
  <c r="AD269" i="7"/>
  <c r="AI269" i="7" s="1"/>
  <c r="AF271" i="7"/>
  <c r="AK271" i="7" s="1"/>
  <c r="AC274" i="7"/>
  <c r="AH274" i="7" s="1"/>
  <c r="AE276" i="7"/>
  <c r="AJ276" i="7" s="1"/>
  <c r="AD281" i="7"/>
  <c r="AI281" i="7" s="1"/>
  <c r="AF283" i="7"/>
  <c r="AK283" i="7" s="1"/>
  <c r="AC286" i="7"/>
  <c r="AH286" i="7" s="1"/>
  <c r="AD293" i="7"/>
  <c r="AI293" i="7" s="1"/>
  <c r="AF295" i="7"/>
  <c r="AK295" i="7" s="1"/>
  <c r="AC298" i="7"/>
  <c r="AH298" i="7" s="1"/>
  <c r="AE300" i="7"/>
  <c r="AJ300" i="7" s="1"/>
  <c r="AD305" i="7"/>
  <c r="AI305" i="7" s="1"/>
  <c r="AF307" i="7"/>
  <c r="AK307" i="7" s="1"/>
  <c r="AC310" i="7"/>
  <c r="AH310" i="7" s="1"/>
  <c r="AE312" i="7"/>
  <c r="AJ312" i="7" s="1"/>
  <c r="AD317" i="7"/>
  <c r="AI317" i="7" s="1"/>
  <c r="AF319" i="7"/>
  <c r="AK319" i="7" s="1"/>
  <c r="AC322" i="7"/>
  <c r="AH322" i="7" s="1"/>
  <c r="AD329" i="7"/>
  <c r="AI329" i="7" s="1"/>
  <c r="AF331" i="7"/>
  <c r="AK331" i="7" s="1"/>
  <c r="AC334" i="7"/>
  <c r="AH334" i="7" s="1"/>
  <c r="AE336" i="7"/>
  <c r="AJ336" i="7" s="1"/>
  <c r="AD341" i="7"/>
  <c r="AI341" i="7" s="1"/>
  <c r="AF343" i="7"/>
  <c r="AK343" i="7" s="1"/>
  <c r="AC346" i="7"/>
  <c r="AH346" i="7" s="1"/>
  <c r="AE348" i="7"/>
  <c r="AJ348" i="7" s="1"/>
  <c r="AD353" i="7"/>
  <c r="AI353" i="7" s="1"/>
  <c r="AF355" i="7"/>
  <c r="AK355" i="7" s="1"/>
  <c r="AC358" i="7"/>
  <c r="AH358" i="7" s="1"/>
  <c r="AD365" i="7"/>
  <c r="AI365" i="7" s="1"/>
  <c r="AF367" i="7"/>
  <c r="AK367" i="7" s="1"/>
  <c r="AC370" i="7"/>
  <c r="AH370" i="7" s="1"/>
  <c r="AE372" i="7"/>
  <c r="AJ372" i="7" s="1"/>
  <c r="AD377" i="7"/>
  <c r="AI377" i="7" s="1"/>
  <c r="AF379" i="7"/>
  <c r="AK379" i="7" s="1"/>
  <c r="AC382" i="7"/>
  <c r="AH382" i="7" s="1"/>
  <c r="AE384" i="7"/>
  <c r="AJ384" i="7" s="1"/>
  <c r="AD389" i="7"/>
  <c r="AI389" i="7" s="1"/>
  <c r="AF391" i="7"/>
  <c r="AK391" i="7" s="1"/>
  <c r="AC394" i="7"/>
  <c r="AH394" i="7" s="1"/>
  <c r="AD401" i="7"/>
  <c r="AI401" i="7" s="1"/>
  <c r="AF403" i="7"/>
  <c r="AK403" i="7" s="1"/>
  <c r="AC406" i="7"/>
  <c r="AH406" i="7" s="1"/>
  <c r="AE408" i="7"/>
  <c r="AJ408" i="7" s="1"/>
  <c r="AD413" i="7"/>
  <c r="AI413" i="7" s="1"/>
  <c r="AF415" i="7"/>
  <c r="AK415" i="7" s="1"/>
  <c r="AC418" i="7"/>
  <c r="AH418" i="7" s="1"/>
  <c r="AE420" i="7"/>
  <c r="AJ420" i="7" s="1"/>
  <c r="AD425" i="7"/>
  <c r="AI425" i="7" s="1"/>
  <c r="AF427" i="7"/>
  <c r="AK427" i="7" s="1"/>
  <c r="AC430" i="7"/>
  <c r="AH430" i="7" s="1"/>
  <c r="AD437" i="7"/>
  <c r="AI437" i="7" s="1"/>
  <c r="AF439" i="7"/>
  <c r="AK439" i="7" s="1"/>
  <c r="AC442" i="7"/>
  <c r="AH442" i="7" s="1"/>
  <c r="AE444" i="7"/>
  <c r="AJ444" i="7" s="1"/>
  <c r="AD449" i="7"/>
  <c r="AI449" i="7" s="1"/>
  <c r="AF451" i="7"/>
  <c r="AK451" i="7" s="1"/>
  <c r="AC454" i="7"/>
  <c r="AH454" i="7" s="1"/>
  <c r="AE456" i="7"/>
  <c r="AJ456" i="7" s="1"/>
  <c r="AD461" i="7"/>
  <c r="AI461" i="7" s="1"/>
  <c r="AF463" i="7"/>
  <c r="AK463" i="7" s="1"/>
  <c r="AC466" i="7"/>
  <c r="AH466" i="7" s="1"/>
  <c r="AD473" i="7"/>
  <c r="AI473" i="7" s="1"/>
  <c r="AF475" i="7"/>
  <c r="AK475" i="7" s="1"/>
  <c r="AE480" i="7"/>
  <c r="AJ480" i="7" s="1"/>
  <c r="AD485" i="7"/>
  <c r="AI485" i="7" s="1"/>
  <c r="AF487" i="7"/>
  <c r="AK487" i="7" s="1"/>
  <c r="AE492" i="7"/>
  <c r="AJ492" i="7" s="1"/>
  <c r="AD497" i="7"/>
  <c r="AI497" i="7" s="1"/>
  <c r="AF499" i="7"/>
  <c r="AK499" i="7" s="1"/>
  <c r="AE504" i="7"/>
  <c r="AJ504" i="7" s="1"/>
  <c r="AD509" i="7"/>
  <c r="AI509" i="7" s="1"/>
  <c r="AF511" i="7"/>
  <c r="AK511" i="7" s="1"/>
  <c r="AE516" i="7"/>
  <c r="AJ516" i="7" s="1"/>
  <c r="AD521" i="7"/>
  <c r="AI521" i="7" s="1"/>
  <c r="AF523" i="7"/>
  <c r="AK523" i="7" s="1"/>
  <c r="AE528" i="7"/>
  <c r="AJ528" i="7" s="1"/>
  <c r="AD533" i="7"/>
  <c r="AI533" i="7" s="1"/>
  <c r="AF535" i="7"/>
  <c r="AK535" i="7" s="1"/>
  <c r="AE540" i="7"/>
  <c r="AJ540" i="7" s="1"/>
  <c r="AD545" i="7"/>
  <c r="AI545" i="7" s="1"/>
  <c r="AF547" i="7"/>
  <c r="AK547" i="7" s="1"/>
  <c r="AE552" i="7"/>
  <c r="AJ552" i="7" s="1"/>
  <c r="AD557" i="7"/>
  <c r="AI557" i="7" s="1"/>
  <c r="AF559" i="7"/>
  <c r="AK559" i="7" s="1"/>
  <c r="AE564" i="7"/>
  <c r="AJ564" i="7" s="1"/>
  <c r="AD569" i="7"/>
  <c r="AI569" i="7" s="1"/>
  <c r="AF571" i="7"/>
  <c r="AK571" i="7" s="1"/>
  <c r="AE576" i="7"/>
  <c r="AJ576" i="7" s="1"/>
  <c r="AD581" i="7"/>
  <c r="AI581" i="7" s="1"/>
  <c r="AF583" i="7"/>
  <c r="AK583" i="7" s="1"/>
  <c r="AE588" i="7"/>
  <c r="AJ588" i="7" s="1"/>
  <c r="AD593" i="7"/>
  <c r="AI593" i="7" s="1"/>
  <c r="AF595" i="7"/>
  <c r="AK595" i="7" s="1"/>
  <c r="AE600" i="7"/>
  <c r="AJ600" i="7" s="1"/>
  <c r="AD605" i="7"/>
  <c r="AI605" i="7" s="1"/>
  <c r="AF607" i="7"/>
  <c r="AK607" i="7" s="1"/>
  <c r="AE612" i="7"/>
  <c r="AJ612" i="7" s="1"/>
  <c r="AD617" i="7"/>
  <c r="AI617" i="7" s="1"/>
  <c r="AF619" i="7"/>
  <c r="AK619" i="7" s="1"/>
  <c r="AE624" i="7"/>
  <c r="AJ624" i="7" s="1"/>
  <c r="AD629" i="7"/>
  <c r="AI629" i="7" s="1"/>
  <c r="AF631" i="7"/>
  <c r="AK631" i="7" s="1"/>
  <c r="AE636" i="7"/>
  <c r="AJ636" i="7" s="1"/>
  <c r="AD641" i="7"/>
  <c r="AI641" i="7" s="1"/>
  <c r="AF643" i="7"/>
  <c r="AK643" i="7" s="1"/>
  <c r="AE648" i="7"/>
  <c r="AJ648" i="7" s="1"/>
  <c r="AD653" i="7"/>
  <c r="AI653" i="7" s="1"/>
  <c r="AF655" i="7"/>
  <c r="AK655" i="7" s="1"/>
  <c r="AE660" i="7"/>
  <c r="AJ660" i="7" s="1"/>
  <c r="AD665" i="7"/>
  <c r="AI665" i="7" s="1"/>
  <c r="AF667" i="7"/>
  <c r="AK667" i="7" s="1"/>
  <c r="AE672" i="7"/>
  <c r="AJ672" i="7" s="1"/>
  <c r="AD677" i="7"/>
  <c r="AI677" i="7" s="1"/>
  <c r="AF679" i="7"/>
  <c r="AK679" i="7" s="1"/>
  <c r="AE684" i="7"/>
  <c r="AJ684" i="7" s="1"/>
  <c r="AD689" i="7"/>
  <c r="AI689" i="7" s="1"/>
  <c r="AF691" i="7"/>
  <c r="AK691" i="7" s="1"/>
  <c r="AE696" i="7"/>
  <c r="AJ696" i="7" s="1"/>
  <c r="AD701" i="7"/>
  <c r="AI701" i="7" s="1"/>
  <c r="AF703" i="7"/>
  <c r="AK703" i="7" s="1"/>
  <c r="AE708" i="7"/>
  <c r="AJ708" i="7" s="1"/>
  <c r="AD713" i="7"/>
  <c r="AI713" i="7" s="1"/>
  <c r="AF715" i="7"/>
  <c r="AK715" i="7" s="1"/>
  <c r="AE720" i="7"/>
  <c r="AJ720" i="7" s="1"/>
  <c r="AD725" i="7"/>
  <c r="AI725" i="7" s="1"/>
  <c r="AF727" i="7"/>
  <c r="AK727" i="7" s="1"/>
  <c r="AE732" i="7"/>
  <c r="AJ732" i="7" s="1"/>
  <c r="AD737" i="7"/>
  <c r="AI737" i="7" s="1"/>
  <c r="AF739" i="7"/>
  <c r="AK739" i="7" s="1"/>
  <c r="AE744" i="7"/>
  <c r="AJ744" i="7" s="1"/>
  <c r="AD749" i="7"/>
  <c r="AI749" i="7" s="1"/>
  <c r="AF751" i="7"/>
  <c r="AK751" i="7" s="1"/>
  <c r="AE756" i="7"/>
  <c r="AJ756" i="7" s="1"/>
  <c r="AD761" i="7"/>
  <c r="AI761" i="7" s="1"/>
  <c r="AF763" i="7"/>
  <c r="AK763" i="7" s="1"/>
  <c r="AE768" i="7"/>
  <c r="AJ768" i="7" s="1"/>
  <c r="AD773" i="7"/>
  <c r="AI773" i="7" s="1"/>
  <c r="AF775" i="7"/>
  <c r="AK775" i="7" s="1"/>
  <c r="AE780" i="7"/>
  <c r="AJ780" i="7" s="1"/>
  <c r="AD785" i="7"/>
  <c r="AI785" i="7" s="1"/>
  <c r="AF787" i="7"/>
  <c r="AK787" i="7" s="1"/>
  <c r="AE792" i="7"/>
  <c r="AJ792" i="7" s="1"/>
  <c r="AD797" i="7"/>
  <c r="AI797" i="7" s="1"/>
  <c r="AF799" i="7"/>
  <c r="AK799" i="7" s="1"/>
  <c r="AE804" i="7"/>
  <c r="AJ804" i="7" s="1"/>
  <c r="AD809" i="7"/>
  <c r="AI809" i="7" s="1"/>
  <c r="AF811" i="7"/>
  <c r="AK811" i="7" s="1"/>
  <c r="AE816" i="7"/>
  <c r="AJ816" i="7" s="1"/>
  <c r="AD821" i="7"/>
  <c r="AI821" i="7" s="1"/>
  <c r="AF823" i="7"/>
  <c r="AK823" i="7" s="1"/>
  <c r="AE828" i="7"/>
  <c r="AJ828" i="7" s="1"/>
  <c r="AD833" i="7"/>
  <c r="AI833" i="7" s="1"/>
  <c r="AF835" i="7"/>
  <c r="AK835" i="7" s="1"/>
  <c r="AE840" i="7"/>
  <c r="AJ840" i="7" s="1"/>
  <c r="AD845" i="7"/>
  <c r="AI845" i="7" s="1"/>
  <c r="AF847" i="7"/>
  <c r="AK847" i="7" s="1"/>
  <c r="AE852" i="7"/>
  <c r="AJ852" i="7" s="1"/>
  <c r="AD857" i="7"/>
  <c r="AI857" i="7" s="1"/>
  <c r="AF859" i="7"/>
  <c r="AK859" i="7" s="1"/>
  <c r="AE864" i="7"/>
  <c r="AJ864" i="7" s="1"/>
  <c r="AD869" i="7"/>
  <c r="AI869" i="7" s="1"/>
  <c r="AF871" i="7"/>
  <c r="AK871" i="7" s="1"/>
  <c r="AE876" i="7"/>
  <c r="AJ876" i="7" s="1"/>
  <c r="AD881" i="7"/>
  <c r="AI881" i="7" s="1"/>
  <c r="AF883" i="7"/>
  <c r="AK883" i="7" s="1"/>
  <c r="AE888" i="7"/>
  <c r="AJ888" i="7" s="1"/>
  <c r="AD893" i="7"/>
  <c r="AI893" i="7" s="1"/>
  <c r="AF895" i="7"/>
  <c r="AK895" i="7" s="1"/>
  <c r="AE900" i="7"/>
  <c r="AJ900" i="7" s="1"/>
  <c r="AD905" i="7"/>
  <c r="AI905" i="7" s="1"/>
  <c r="AF907" i="7"/>
  <c r="AK907" i="7" s="1"/>
  <c r="AE912" i="7"/>
  <c r="AJ912" i="7" s="1"/>
  <c r="AD917" i="7"/>
  <c r="AI917" i="7" s="1"/>
  <c r="AF919" i="7"/>
  <c r="AK919" i="7" s="1"/>
  <c r="AE924" i="7"/>
  <c r="AJ924" i="7" s="1"/>
  <c r="AD929" i="7"/>
  <c r="AI929" i="7" s="1"/>
  <c r="AF931" i="7"/>
  <c r="AK931" i="7" s="1"/>
  <c r="AE936" i="7"/>
  <c r="AJ936" i="7" s="1"/>
  <c r="AD941" i="7"/>
  <c r="AI941" i="7" s="1"/>
  <c r="AF943" i="7"/>
  <c r="AK943" i="7" s="1"/>
  <c r="AC807" i="7"/>
  <c r="AH807" i="7" s="1"/>
  <c r="AE809" i="7"/>
  <c r="AJ809" i="7" s="1"/>
  <c r="AF816" i="7"/>
  <c r="AK816" i="7" s="1"/>
  <c r="AC819" i="7"/>
  <c r="AH819" i="7" s="1"/>
  <c r="AE821" i="7"/>
  <c r="AJ821" i="7" s="1"/>
  <c r="AF828" i="7"/>
  <c r="AK828" i="7" s="1"/>
  <c r="AC831" i="7"/>
  <c r="AH831" i="7" s="1"/>
  <c r="AE833" i="7"/>
  <c r="AJ833" i="7" s="1"/>
  <c r="AF840" i="7"/>
  <c r="AK840" i="7" s="1"/>
  <c r="AC843" i="7"/>
  <c r="AH843" i="7" s="1"/>
  <c r="AE845" i="7"/>
  <c r="AJ845" i="7" s="1"/>
  <c r="AF852" i="7"/>
  <c r="AK852" i="7" s="1"/>
  <c r="AC855" i="7"/>
  <c r="AH855" i="7" s="1"/>
  <c r="AE857" i="7"/>
  <c r="AJ857" i="7" s="1"/>
  <c r="AF864" i="7"/>
  <c r="AK864" i="7" s="1"/>
  <c r="AC867" i="7"/>
  <c r="AH867" i="7" s="1"/>
  <c r="AE869" i="7"/>
  <c r="AJ869" i="7" s="1"/>
  <c r="AF876" i="7"/>
  <c r="AK876" i="7" s="1"/>
  <c r="AC879" i="7"/>
  <c r="AH879" i="7" s="1"/>
  <c r="AE881" i="7"/>
  <c r="AJ881" i="7" s="1"/>
  <c r="AF888" i="7"/>
  <c r="AK888" i="7" s="1"/>
  <c r="AC891" i="7"/>
  <c r="AH891" i="7" s="1"/>
  <c r="AE893" i="7"/>
  <c r="AJ893" i="7" s="1"/>
  <c r="AF900" i="7"/>
  <c r="AK900" i="7" s="1"/>
  <c r="AC903" i="7"/>
  <c r="AH903" i="7" s="1"/>
  <c r="AE905" i="7"/>
  <c r="AJ905" i="7" s="1"/>
  <c r="AF912" i="7"/>
  <c r="AK912" i="7" s="1"/>
  <c r="AC915" i="7"/>
  <c r="AH915" i="7" s="1"/>
  <c r="AE917" i="7"/>
  <c r="AJ917" i="7" s="1"/>
  <c r="AF924" i="7"/>
  <c r="AK924" i="7" s="1"/>
  <c r="AC927" i="7"/>
  <c r="AH927" i="7" s="1"/>
  <c r="AE929" i="7"/>
  <c r="AJ929" i="7" s="1"/>
  <c r="AF936" i="7"/>
  <c r="AK936" i="7" s="1"/>
  <c r="AC939" i="7"/>
  <c r="AH939" i="7" s="1"/>
  <c r="AE941" i="7"/>
  <c r="AJ941" i="7" s="1"/>
  <c r="AD123" i="7"/>
  <c r="AI123" i="7" s="1"/>
  <c r="AF125" i="7"/>
  <c r="AK125" i="7" s="1"/>
  <c r="AC128" i="7"/>
  <c r="AH128" i="7" s="1"/>
  <c r="AE130" i="7"/>
  <c r="AJ130" i="7" s="1"/>
  <c r="AD135" i="7"/>
  <c r="AI135" i="7" s="1"/>
  <c r="AF137" i="7"/>
  <c r="AK137" i="7" s="1"/>
  <c r="AC140" i="7"/>
  <c r="AH140" i="7" s="1"/>
  <c r="AE142" i="7"/>
  <c r="AJ142" i="7" s="1"/>
  <c r="AD147" i="7"/>
  <c r="AI147" i="7" s="1"/>
  <c r="AF149" i="7"/>
  <c r="AK149" i="7" s="1"/>
  <c r="AC152" i="7"/>
  <c r="AH152" i="7" s="1"/>
  <c r="AE154" i="7"/>
  <c r="AJ154" i="7" s="1"/>
  <c r="AD159" i="7"/>
  <c r="AI159" i="7" s="1"/>
  <c r="AF161" i="7"/>
  <c r="AK161" i="7" s="1"/>
  <c r="AC164" i="7"/>
  <c r="AH164" i="7" s="1"/>
  <c r="AE166" i="7"/>
  <c r="AJ166" i="7" s="1"/>
  <c r="AD171" i="7"/>
  <c r="AI171" i="7" s="1"/>
  <c r="AF173" i="7"/>
  <c r="AK173" i="7" s="1"/>
  <c r="AC176" i="7"/>
  <c r="AH176" i="7" s="1"/>
  <c r="AE178" i="7"/>
  <c r="AJ178" i="7" s="1"/>
  <c r="AD183" i="7"/>
  <c r="AI183" i="7" s="1"/>
  <c r="AF185" i="7"/>
  <c r="AK185" i="7" s="1"/>
  <c r="AC188" i="7"/>
  <c r="AH188" i="7" s="1"/>
  <c r="AE190" i="7"/>
  <c r="AJ190" i="7" s="1"/>
  <c r="AD195" i="7"/>
  <c r="AI195" i="7" s="1"/>
  <c r="AF197" i="7"/>
  <c r="AK197" i="7" s="1"/>
  <c r="AC200" i="7"/>
  <c r="AH200" i="7" s="1"/>
  <c r="AE202" i="7"/>
  <c r="AJ202" i="7" s="1"/>
  <c r="AD207" i="7"/>
  <c r="AI207" i="7" s="1"/>
  <c r="AF209" i="7"/>
  <c r="AK209" i="7" s="1"/>
  <c r="AC212" i="7"/>
  <c r="AH212" i="7" s="1"/>
  <c r="AE214" i="7"/>
  <c r="AJ214" i="7" s="1"/>
  <c r="AD219" i="7"/>
  <c r="AI219" i="7" s="1"/>
  <c r="AF221" i="7"/>
  <c r="AK221" i="7" s="1"/>
  <c r="AC224" i="7"/>
  <c r="AH224" i="7" s="1"/>
  <c r="AE226" i="7"/>
  <c r="AJ226" i="7" s="1"/>
  <c r="AD231" i="7"/>
  <c r="AI231" i="7" s="1"/>
  <c r="AF233" i="7"/>
  <c r="AK233" i="7" s="1"/>
  <c r="AC236" i="7"/>
  <c r="AH236" i="7" s="1"/>
  <c r="AE238" i="7"/>
  <c r="AJ238" i="7" s="1"/>
  <c r="AD243" i="7"/>
  <c r="AI243" i="7" s="1"/>
  <c r="AF245" i="7"/>
  <c r="AK245" i="7" s="1"/>
  <c r="AC248" i="7"/>
  <c r="AH248" i="7" s="1"/>
  <c r="AE250" i="7"/>
  <c r="AJ250" i="7" s="1"/>
  <c r="AD255" i="7"/>
  <c r="AI255" i="7" s="1"/>
  <c r="AF257" i="7"/>
  <c r="AK257" i="7" s="1"/>
  <c r="AC260" i="7"/>
  <c r="AH260" i="7" s="1"/>
  <c r="AE262" i="7"/>
  <c r="AJ262" i="7" s="1"/>
  <c r="AD267" i="7"/>
  <c r="AI267" i="7" s="1"/>
  <c r="AF269" i="7"/>
  <c r="AK269" i="7" s="1"/>
  <c r="AC272" i="7"/>
  <c r="AH272" i="7" s="1"/>
  <c r="AE274" i="7"/>
  <c r="AJ274" i="7" s="1"/>
  <c r="AD279" i="7"/>
  <c r="AI279" i="7" s="1"/>
  <c r="AF281" i="7"/>
  <c r="AK281" i="7" s="1"/>
  <c r="AC284" i="7"/>
  <c r="AH284" i="7" s="1"/>
  <c r="AE286" i="7"/>
  <c r="AJ286" i="7" s="1"/>
  <c r="AD291" i="7"/>
  <c r="AI291" i="7" s="1"/>
  <c r="AF293" i="7"/>
  <c r="AK293" i="7" s="1"/>
  <c r="AC296" i="7"/>
  <c r="AH296" i="7" s="1"/>
  <c r="AE298" i="7"/>
  <c r="AJ298" i="7" s="1"/>
  <c r="AD303" i="7"/>
  <c r="AI303" i="7" s="1"/>
  <c r="AF305" i="7"/>
  <c r="AK305" i="7" s="1"/>
  <c r="AC308" i="7"/>
  <c r="AH308" i="7" s="1"/>
  <c r="AE310" i="7"/>
  <c r="AJ310" i="7" s="1"/>
  <c r="AD315" i="7"/>
  <c r="AI315" i="7" s="1"/>
  <c r="AF317" i="7"/>
  <c r="AK317" i="7" s="1"/>
  <c r="AC320" i="7"/>
  <c r="AH320" i="7" s="1"/>
  <c r="AE322" i="7"/>
  <c r="AJ322" i="7" s="1"/>
  <c r="AD327" i="7"/>
  <c r="AI327" i="7" s="1"/>
  <c r="AF329" i="7"/>
  <c r="AK329" i="7" s="1"/>
  <c r="AC332" i="7"/>
  <c r="AH332" i="7" s="1"/>
  <c r="AE334" i="7"/>
  <c r="AJ334" i="7" s="1"/>
  <c r="AD339" i="7"/>
  <c r="AI339" i="7" s="1"/>
  <c r="AF341" i="7"/>
  <c r="AK341" i="7" s="1"/>
  <c r="AC344" i="7"/>
  <c r="AH344" i="7" s="1"/>
  <c r="AE346" i="7"/>
  <c r="AJ346" i="7" s="1"/>
  <c r="AD351" i="7"/>
  <c r="AI351" i="7" s="1"/>
  <c r="AF353" i="7"/>
  <c r="AK353" i="7" s="1"/>
  <c r="AC356" i="7"/>
  <c r="AH356" i="7" s="1"/>
  <c r="AE358" i="7"/>
  <c r="AJ358" i="7" s="1"/>
  <c r="AD363" i="7"/>
  <c r="AI363" i="7" s="1"/>
  <c r="AF365" i="7"/>
  <c r="AK365" i="7" s="1"/>
  <c r="AC368" i="7"/>
  <c r="AH368" i="7" s="1"/>
  <c r="AE370" i="7"/>
  <c r="AJ370" i="7" s="1"/>
  <c r="AD375" i="7"/>
  <c r="AI375" i="7" s="1"/>
  <c r="AF377" i="7"/>
  <c r="AK377" i="7" s="1"/>
  <c r="AC380" i="7"/>
  <c r="AH380" i="7" s="1"/>
  <c r="AE382" i="7"/>
  <c r="AJ382" i="7" s="1"/>
  <c r="AD387" i="7"/>
  <c r="AI387" i="7" s="1"/>
  <c r="AF389" i="7"/>
  <c r="AK389" i="7" s="1"/>
  <c r="AC392" i="7"/>
  <c r="AH392" i="7" s="1"/>
  <c r="AE394" i="7"/>
  <c r="AJ394" i="7" s="1"/>
  <c r="AD399" i="7"/>
  <c r="AI399" i="7" s="1"/>
  <c r="AF401" i="7"/>
  <c r="AK401" i="7" s="1"/>
  <c r="AC404" i="7"/>
  <c r="AH404" i="7" s="1"/>
  <c r="AE406" i="7"/>
  <c r="AJ406" i="7" s="1"/>
  <c r="AD411" i="7"/>
  <c r="AI411" i="7" s="1"/>
  <c r="AF413" i="7"/>
  <c r="AK413" i="7" s="1"/>
  <c r="AC416" i="7"/>
  <c r="AH416" i="7" s="1"/>
  <c r="AE418" i="7"/>
  <c r="AJ418" i="7" s="1"/>
  <c r="AD423" i="7"/>
  <c r="AI423" i="7" s="1"/>
  <c r="AF425" i="7"/>
  <c r="AK425" i="7" s="1"/>
  <c r="AC428" i="7"/>
  <c r="AH428" i="7" s="1"/>
  <c r="AE430" i="7"/>
  <c r="AJ430" i="7" s="1"/>
  <c r="AD435" i="7"/>
  <c r="AI435" i="7" s="1"/>
  <c r="AF437" i="7"/>
  <c r="AK437" i="7" s="1"/>
  <c r="AC440" i="7"/>
  <c r="AH440" i="7" s="1"/>
  <c r="AE442" i="7"/>
  <c r="AJ442" i="7" s="1"/>
  <c r="AD447" i="7"/>
  <c r="AI447" i="7" s="1"/>
  <c r="AF449" i="7"/>
  <c r="AK449" i="7" s="1"/>
  <c r="AC452" i="7"/>
  <c r="AH452" i="7" s="1"/>
  <c r="AE454" i="7"/>
  <c r="AJ454" i="7" s="1"/>
  <c r="AD459" i="7"/>
  <c r="AI459" i="7" s="1"/>
  <c r="AF461" i="7"/>
  <c r="AK461" i="7" s="1"/>
  <c r="AC464" i="7"/>
  <c r="AH464" i="7" s="1"/>
  <c r="AE466" i="7"/>
  <c r="AJ466" i="7" s="1"/>
  <c r="AD471" i="7"/>
  <c r="AI471" i="7" s="1"/>
  <c r="AF473" i="7"/>
  <c r="AK473" i="7" s="1"/>
  <c r="AC476" i="7"/>
  <c r="AH476" i="7" s="1"/>
  <c r="AE478" i="7"/>
  <c r="AJ478" i="7" s="1"/>
  <c r="AD483" i="7"/>
  <c r="AI483" i="7" s="1"/>
  <c r="AF485" i="7"/>
  <c r="AK485" i="7" s="1"/>
  <c r="AC488" i="7"/>
  <c r="AH488" i="7" s="1"/>
  <c r="AE490" i="7"/>
  <c r="AJ490" i="7" s="1"/>
  <c r="AD495" i="7"/>
  <c r="AI495" i="7" s="1"/>
  <c r="AF497" i="7"/>
  <c r="AK497" i="7" s="1"/>
  <c r="AC500" i="7"/>
  <c r="AH500" i="7" s="1"/>
  <c r="AE502" i="7"/>
  <c r="AJ502" i="7" s="1"/>
  <c r="AD507" i="7"/>
  <c r="AI507" i="7" s="1"/>
  <c r="AF509" i="7"/>
  <c r="AK509" i="7" s="1"/>
  <c r="AC512" i="7"/>
  <c r="AH512" i="7" s="1"/>
  <c r="AE514" i="7"/>
  <c r="AJ514" i="7" s="1"/>
  <c r="AD519" i="7"/>
  <c r="AI519" i="7" s="1"/>
  <c r="AF521" i="7"/>
  <c r="AK521" i="7" s="1"/>
  <c r="AC524" i="7"/>
  <c r="AH524" i="7" s="1"/>
  <c r="AE526" i="7"/>
  <c r="AJ526" i="7" s="1"/>
  <c r="AD531" i="7"/>
  <c r="AI531" i="7" s="1"/>
  <c r="AF533" i="7"/>
  <c r="AK533" i="7" s="1"/>
  <c r="AC536" i="7"/>
  <c r="AH536" i="7" s="1"/>
  <c r="AE538" i="7"/>
  <c r="AJ538" i="7" s="1"/>
  <c r="AD543" i="7"/>
  <c r="AI543" i="7" s="1"/>
  <c r="AF545" i="7"/>
  <c r="AK545" i="7" s="1"/>
  <c r="AC548" i="7"/>
  <c r="AH548" i="7" s="1"/>
  <c r="AE550" i="7"/>
  <c r="AJ550" i="7" s="1"/>
  <c r="AD555" i="7"/>
  <c r="AI555" i="7" s="1"/>
  <c r="AF557" i="7"/>
  <c r="AK557" i="7" s="1"/>
  <c r="AC560" i="7"/>
  <c r="AH560" i="7" s="1"/>
  <c r="AE562" i="7"/>
  <c r="AJ562" i="7" s="1"/>
  <c r="AD567" i="7"/>
  <c r="AI567" i="7" s="1"/>
  <c r="AF569" i="7"/>
  <c r="AK569" i="7" s="1"/>
  <c r="AC572" i="7"/>
  <c r="AH572" i="7" s="1"/>
  <c r="AE574" i="7"/>
  <c r="AJ574" i="7" s="1"/>
  <c r="AD579" i="7"/>
  <c r="AI579" i="7" s="1"/>
  <c r="AF581" i="7"/>
  <c r="AK581" i="7" s="1"/>
  <c r="AC584" i="7"/>
  <c r="AH584" i="7" s="1"/>
  <c r="AE586" i="7"/>
  <c r="AJ586" i="7" s="1"/>
  <c r="AD591" i="7"/>
  <c r="AI591" i="7" s="1"/>
  <c r="AF593" i="7"/>
  <c r="AK593" i="7" s="1"/>
  <c r="AC596" i="7"/>
  <c r="AH596" i="7" s="1"/>
  <c r="AE598" i="7"/>
  <c r="AJ598" i="7" s="1"/>
  <c r="AD603" i="7"/>
  <c r="AI603" i="7" s="1"/>
  <c r="AF605" i="7"/>
  <c r="AK605" i="7" s="1"/>
  <c r="AC608" i="7"/>
  <c r="AH608" i="7" s="1"/>
  <c r="AE610" i="7"/>
  <c r="AJ610" i="7" s="1"/>
  <c r="AD615" i="7"/>
  <c r="AI615" i="7" s="1"/>
  <c r="AF617" i="7"/>
  <c r="AK617" i="7" s="1"/>
  <c r="AC620" i="7"/>
  <c r="AH620" i="7" s="1"/>
  <c r="AE622" i="7"/>
  <c r="AJ622" i="7" s="1"/>
  <c r="AD627" i="7"/>
  <c r="AI627" i="7" s="1"/>
  <c r="AF629" i="7"/>
  <c r="AK629" i="7" s="1"/>
  <c r="AC632" i="7"/>
  <c r="AH632" i="7" s="1"/>
  <c r="AE634" i="7"/>
  <c r="AJ634" i="7" s="1"/>
  <c r="AD639" i="7"/>
  <c r="AI639" i="7" s="1"/>
  <c r="AF641" i="7"/>
  <c r="AK641" i="7" s="1"/>
  <c r="AC644" i="7"/>
  <c r="AH644" i="7" s="1"/>
  <c r="AE646" i="7"/>
  <c r="AJ646" i="7" s="1"/>
  <c r="AD651" i="7"/>
  <c r="AI651" i="7" s="1"/>
  <c r="AF653" i="7"/>
  <c r="AK653" i="7" s="1"/>
  <c r="AC656" i="7"/>
  <c r="AH656" i="7" s="1"/>
  <c r="AE658" i="7"/>
  <c r="AJ658" i="7" s="1"/>
  <c r="AD663" i="7"/>
  <c r="AI663" i="7" s="1"/>
  <c r="AF665" i="7"/>
  <c r="AK665" i="7" s="1"/>
  <c r="AC668" i="7"/>
  <c r="AH668" i="7" s="1"/>
  <c r="AE670" i="7"/>
  <c r="AJ670" i="7" s="1"/>
  <c r="AD675" i="7"/>
  <c r="AI675" i="7" s="1"/>
  <c r="AF677" i="7"/>
  <c r="AK677" i="7" s="1"/>
  <c r="AC680" i="7"/>
  <c r="AH680" i="7" s="1"/>
  <c r="AE682" i="7"/>
  <c r="AJ682" i="7" s="1"/>
  <c r="AD687" i="7"/>
  <c r="AI687" i="7" s="1"/>
  <c r="AF689" i="7"/>
  <c r="AK689" i="7" s="1"/>
  <c r="AC692" i="7"/>
  <c r="AH692" i="7" s="1"/>
  <c r="AE694" i="7"/>
  <c r="AJ694" i="7" s="1"/>
  <c r="AD699" i="7"/>
  <c r="AI699" i="7" s="1"/>
  <c r="AF701" i="7"/>
  <c r="AK701" i="7" s="1"/>
  <c r="AC704" i="7"/>
  <c r="AH704" i="7" s="1"/>
  <c r="AE706" i="7"/>
  <c r="AJ706" i="7" s="1"/>
  <c r="AD711" i="7"/>
  <c r="AI711" i="7" s="1"/>
  <c r="AF713" i="7"/>
  <c r="AK713" i="7" s="1"/>
  <c r="AC716" i="7"/>
  <c r="AH716" i="7" s="1"/>
  <c r="AE718" i="7"/>
  <c r="AJ718" i="7" s="1"/>
  <c r="AD723" i="7"/>
  <c r="AI723" i="7" s="1"/>
  <c r="AF725" i="7"/>
  <c r="AK725" i="7" s="1"/>
  <c r="AC728" i="7"/>
  <c r="AH728" i="7" s="1"/>
  <c r="AE730" i="7"/>
  <c r="AJ730" i="7" s="1"/>
  <c r="AD735" i="7"/>
  <c r="AI735" i="7" s="1"/>
  <c r="AF737" i="7"/>
  <c r="AK737" i="7" s="1"/>
  <c r="AC740" i="7"/>
  <c r="AH740" i="7" s="1"/>
  <c r="AE742" i="7"/>
  <c r="AJ742" i="7" s="1"/>
  <c r="AD747" i="7"/>
  <c r="AI747" i="7" s="1"/>
  <c r="AF749" i="7"/>
  <c r="AK749" i="7" s="1"/>
  <c r="AC752" i="7"/>
  <c r="AH752" i="7" s="1"/>
  <c r="AE754" i="7"/>
  <c r="AJ754" i="7" s="1"/>
  <c r="AD759" i="7"/>
  <c r="AI759" i="7" s="1"/>
  <c r="AF761" i="7"/>
  <c r="AK761" i="7" s="1"/>
  <c r="AC764" i="7"/>
  <c r="AH764" i="7" s="1"/>
  <c r="AE766" i="7"/>
  <c r="AJ766" i="7" s="1"/>
  <c r="AD771" i="7"/>
  <c r="AI771" i="7" s="1"/>
  <c r="AF773" i="7"/>
  <c r="AK773" i="7" s="1"/>
  <c r="AC776" i="7"/>
  <c r="AH776" i="7" s="1"/>
  <c r="AE778" i="7"/>
  <c r="AJ778" i="7" s="1"/>
  <c r="AD783" i="7"/>
  <c r="AI783" i="7" s="1"/>
  <c r="AF785" i="7"/>
  <c r="AK785" i="7" s="1"/>
  <c r="AC788" i="7"/>
  <c r="AH788" i="7" s="1"/>
  <c r="AE790" i="7"/>
  <c r="AJ790" i="7" s="1"/>
  <c r="AD795" i="7"/>
  <c r="AI795" i="7" s="1"/>
  <c r="AF797" i="7"/>
  <c r="AK797" i="7" s="1"/>
  <c r="AC800" i="7"/>
  <c r="AH800" i="7" s="1"/>
  <c r="AE802" i="7"/>
  <c r="AJ802" i="7" s="1"/>
  <c r="AD807" i="7"/>
  <c r="AI807" i="7" s="1"/>
  <c r="AF809" i="7"/>
  <c r="AK809" i="7" s="1"/>
  <c r="AC812" i="7"/>
  <c r="AH812" i="7" s="1"/>
  <c r="AE814" i="7"/>
  <c r="AJ814" i="7" s="1"/>
  <c r="AD819" i="7"/>
  <c r="AI819" i="7" s="1"/>
  <c r="AF821" i="7"/>
  <c r="AK821" i="7" s="1"/>
  <c r="AC824" i="7"/>
  <c r="AH824" i="7" s="1"/>
  <c r="AE826" i="7"/>
  <c r="AJ826" i="7" s="1"/>
  <c r="AD831" i="7"/>
  <c r="AI831" i="7" s="1"/>
  <c r="AF833" i="7"/>
  <c r="AK833" i="7" s="1"/>
  <c r="AC836" i="7"/>
  <c r="AH836" i="7" s="1"/>
  <c r="AE838" i="7"/>
  <c r="AJ838" i="7" s="1"/>
  <c r="AD843" i="7"/>
  <c r="AI843" i="7" s="1"/>
  <c r="AF845" i="7"/>
  <c r="AK845" i="7" s="1"/>
  <c r="AC848" i="7"/>
  <c r="AH848" i="7" s="1"/>
  <c r="AE850" i="7"/>
  <c r="AJ850" i="7" s="1"/>
  <c r="AD855" i="7"/>
  <c r="AI855" i="7" s="1"/>
  <c r="AF857" i="7"/>
  <c r="AK857" i="7" s="1"/>
  <c r="AC860" i="7"/>
  <c r="AH860" i="7" s="1"/>
  <c r="AE862" i="7"/>
  <c r="AJ862" i="7" s="1"/>
  <c r="AD867" i="7"/>
  <c r="AI867" i="7" s="1"/>
  <c r="AF869" i="7"/>
  <c r="AK869" i="7" s="1"/>
  <c r="AC872" i="7"/>
  <c r="AH872" i="7" s="1"/>
  <c r="AE874" i="7"/>
  <c r="AJ874" i="7" s="1"/>
  <c r="AD879" i="7"/>
  <c r="AI879" i="7" s="1"/>
  <c r="AF881" i="7"/>
  <c r="AK881" i="7" s="1"/>
  <c r="AC884" i="7"/>
  <c r="AH884" i="7" s="1"/>
  <c r="AE886" i="7"/>
  <c r="AJ886" i="7" s="1"/>
  <c r="AD891" i="7"/>
  <c r="AI891" i="7" s="1"/>
  <c r="AF893" i="7"/>
  <c r="AK893" i="7" s="1"/>
  <c r="AC896" i="7"/>
  <c r="AH896" i="7" s="1"/>
  <c r="AE898" i="7"/>
  <c r="AJ898" i="7" s="1"/>
  <c r="AD903" i="7"/>
  <c r="AI903" i="7" s="1"/>
  <c r="AF905" i="7"/>
  <c r="AK905" i="7" s="1"/>
  <c r="AC908" i="7"/>
  <c r="AH908" i="7" s="1"/>
  <c r="AE910" i="7"/>
  <c r="AJ910" i="7" s="1"/>
  <c r="AD915" i="7"/>
  <c r="AI915" i="7" s="1"/>
  <c r="AF917" i="7"/>
  <c r="AK917" i="7" s="1"/>
  <c r="AC920" i="7"/>
  <c r="AH920" i="7" s="1"/>
  <c r="AE922" i="7"/>
  <c r="AJ922" i="7" s="1"/>
  <c r="AD927" i="7"/>
  <c r="AI927" i="7" s="1"/>
  <c r="AF929" i="7"/>
  <c r="AK929" i="7" s="1"/>
  <c r="AC932" i="7"/>
  <c r="AH932" i="7" s="1"/>
  <c r="AE934" i="7"/>
  <c r="AJ934" i="7" s="1"/>
  <c r="AD939" i="7"/>
  <c r="AI939" i="7" s="1"/>
  <c r="AF941" i="7"/>
  <c r="AK941" i="7" s="1"/>
  <c r="AC944" i="7"/>
  <c r="AH944" i="7" s="1"/>
  <c r="AE819" i="7"/>
  <c r="AJ819" i="7" s="1"/>
  <c r="AD824" i="7"/>
  <c r="AI824" i="7" s="1"/>
  <c r="AF826" i="7"/>
  <c r="AK826" i="7" s="1"/>
  <c r="AE831" i="7"/>
  <c r="AJ831" i="7" s="1"/>
  <c r="AD836" i="7"/>
  <c r="AI836" i="7" s="1"/>
  <c r="AF838" i="7"/>
  <c r="AK838" i="7" s="1"/>
  <c r="AE843" i="7"/>
  <c r="AJ843" i="7" s="1"/>
  <c r="AD848" i="7"/>
  <c r="AI848" i="7" s="1"/>
  <c r="AF850" i="7"/>
  <c r="AK850" i="7" s="1"/>
  <c r="AE855" i="7"/>
  <c r="AJ855" i="7" s="1"/>
  <c r="AD860" i="7"/>
  <c r="AI860" i="7" s="1"/>
  <c r="AF862" i="7"/>
  <c r="AK862" i="7" s="1"/>
  <c r="AE867" i="7"/>
  <c r="AJ867" i="7" s="1"/>
  <c r="AD872" i="7"/>
  <c r="AI872" i="7" s="1"/>
  <c r="AF874" i="7"/>
  <c r="AK874" i="7" s="1"/>
  <c r="AE879" i="7"/>
  <c r="AJ879" i="7" s="1"/>
  <c r="AD884" i="7"/>
  <c r="AI884" i="7" s="1"/>
  <c r="AF886" i="7"/>
  <c r="AK886" i="7" s="1"/>
  <c r="AE891" i="7"/>
  <c r="AJ891" i="7" s="1"/>
  <c r="AD896" i="7"/>
  <c r="AI896" i="7" s="1"/>
  <c r="AF898" i="7"/>
  <c r="AK898" i="7" s="1"/>
  <c r="AE903" i="7"/>
  <c r="AJ903" i="7" s="1"/>
  <c r="AD908" i="7"/>
  <c r="AI908" i="7" s="1"/>
  <c r="AF910" i="7"/>
  <c r="AK910" i="7" s="1"/>
  <c r="AE915" i="7"/>
  <c r="AJ915" i="7" s="1"/>
  <c r="AD920" i="7"/>
  <c r="AI920" i="7" s="1"/>
  <c r="AF922" i="7"/>
  <c r="AK922" i="7" s="1"/>
  <c r="AE927" i="7"/>
  <c r="AJ927" i="7" s="1"/>
  <c r="AD932" i="7"/>
  <c r="AI932" i="7" s="1"/>
  <c r="AF934" i="7"/>
  <c r="AK934" i="7" s="1"/>
  <c r="AE939" i="7"/>
  <c r="AJ939" i="7" s="1"/>
  <c r="AD944" i="7"/>
  <c r="AI944" i="7" s="1"/>
  <c r="AD49" i="7"/>
  <c r="AI49" i="7" s="1"/>
  <c r="AF51" i="7"/>
  <c r="AK51" i="7" s="1"/>
  <c r="AC54" i="7"/>
  <c r="AH54" i="7" s="1"/>
  <c r="AE56" i="7"/>
  <c r="AJ56" i="7" s="1"/>
  <c r="AD61" i="7"/>
  <c r="AI61" i="7" s="1"/>
  <c r="AF63" i="7"/>
  <c r="AK63" i="7" s="1"/>
  <c r="AC66" i="7"/>
  <c r="AH66" i="7" s="1"/>
  <c r="AE68" i="7"/>
  <c r="AJ68" i="7" s="1"/>
  <c r="AD73" i="7"/>
  <c r="AI73" i="7" s="1"/>
  <c r="AF75" i="7"/>
  <c r="AK75" i="7" s="1"/>
  <c r="AC78" i="7"/>
  <c r="AH78" i="7" s="1"/>
  <c r="AE80" i="7"/>
  <c r="AJ80" i="7" s="1"/>
  <c r="AD85" i="7"/>
  <c r="AI85" i="7" s="1"/>
  <c r="AF87" i="7"/>
  <c r="AK87" i="7" s="1"/>
  <c r="AC90" i="7"/>
  <c r="AH90" i="7" s="1"/>
  <c r="AE92" i="7"/>
  <c r="AJ92" i="7" s="1"/>
  <c r="AD97" i="7"/>
  <c r="AI97" i="7" s="1"/>
  <c r="AF99" i="7"/>
  <c r="AK99" i="7" s="1"/>
  <c r="AC102" i="7"/>
  <c r="AH102" i="7" s="1"/>
  <c r="AE104" i="7"/>
  <c r="AJ104" i="7" s="1"/>
  <c r="AD109" i="7"/>
  <c r="AI109" i="7" s="1"/>
  <c r="AF111" i="7"/>
  <c r="AK111" i="7" s="1"/>
  <c r="AC114" i="7"/>
  <c r="AH114" i="7" s="1"/>
  <c r="AE116" i="7"/>
  <c r="AJ116" i="7" s="1"/>
  <c r="AD121" i="7"/>
  <c r="AI121" i="7" s="1"/>
  <c r="AF123" i="7"/>
  <c r="AK123" i="7" s="1"/>
  <c r="AC126" i="7"/>
  <c r="AH126" i="7" s="1"/>
  <c r="AE128" i="7"/>
  <c r="AJ128" i="7" s="1"/>
  <c r="AD133" i="7"/>
  <c r="AI133" i="7" s="1"/>
  <c r="AF135" i="7"/>
  <c r="AK135" i="7" s="1"/>
  <c r="AC138" i="7"/>
  <c r="AH138" i="7" s="1"/>
  <c r="AE140" i="7"/>
  <c r="AJ140" i="7" s="1"/>
  <c r="AD145" i="7"/>
  <c r="AI145" i="7" s="1"/>
  <c r="AF147" i="7"/>
  <c r="AK147" i="7" s="1"/>
  <c r="AC150" i="7"/>
  <c r="AH150" i="7" s="1"/>
  <c r="AE152" i="7"/>
  <c r="AJ152" i="7" s="1"/>
  <c r="AD157" i="7"/>
  <c r="AI157" i="7" s="1"/>
  <c r="AF159" i="7"/>
  <c r="AK159" i="7" s="1"/>
  <c r="AC162" i="7"/>
  <c r="AH162" i="7" s="1"/>
  <c r="AE164" i="7"/>
  <c r="AJ164" i="7" s="1"/>
  <c r="AD169" i="7"/>
  <c r="AI169" i="7" s="1"/>
  <c r="AF171" i="7"/>
  <c r="AK171" i="7" s="1"/>
  <c r="AC174" i="7"/>
  <c r="AH174" i="7" s="1"/>
  <c r="AE176" i="7"/>
  <c r="AJ176" i="7" s="1"/>
  <c r="AD181" i="7"/>
  <c r="AI181" i="7" s="1"/>
  <c r="AF183" i="7"/>
  <c r="AK183" i="7" s="1"/>
  <c r="AC186" i="7"/>
  <c r="AH186" i="7" s="1"/>
  <c r="AE188" i="7"/>
  <c r="AJ188" i="7" s="1"/>
  <c r="AD193" i="7"/>
  <c r="AI193" i="7" s="1"/>
  <c r="AF195" i="7"/>
  <c r="AK195" i="7" s="1"/>
  <c r="AC198" i="7"/>
  <c r="AH198" i="7" s="1"/>
  <c r="AE200" i="7"/>
  <c r="AJ200" i="7" s="1"/>
  <c r="AD205" i="7"/>
  <c r="AI205" i="7" s="1"/>
  <c r="AF207" i="7"/>
  <c r="AK207" i="7" s="1"/>
  <c r="AC210" i="7"/>
  <c r="AH210" i="7" s="1"/>
  <c r="AE212" i="7"/>
  <c r="AJ212" i="7" s="1"/>
  <c r="AD217" i="7"/>
  <c r="AI217" i="7" s="1"/>
  <c r="AF219" i="7"/>
  <c r="AK219" i="7" s="1"/>
  <c r="AC222" i="7"/>
  <c r="AH222" i="7" s="1"/>
  <c r="AE224" i="7"/>
  <c r="AJ224" i="7" s="1"/>
  <c r="AD229" i="7"/>
  <c r="AI229" i="7" s="1"/>
  <c r="AF231" i="7"/>
  <c r="AK231" i="7" s="1"/>
  <c r="AC234" i="7"/>
  <c r="AH234" i="7" s="1"/>
  <c r="AE236" i="7"/>
  <c r="AJ236" i="7" s="1"/>
  <c r="AD241" i="7"/>
  <c r="AI241" i="7" s="1"/>
  <c r="AF243" i="7"/>
  <c r="AK243" i="7" s="1"/>
  <c r="AC246" i="7"/>
  <c r="AH246" i="7" s="1"/>
  <c r="AE248" i="7"/>
  <c r="AJ248" i="7" s="1"/>
  <c r="AD253" i="7"/>
  <c r="AI253" i="7" s="1"/>
  <c r="AF255" i="7"/>
  <c r="AK255" i="7" s="1"/>
  <c r="AC258" i="7"/>
  <c r="AH258" i="7" s="1"/>
  <c r="AE260" i="7"/>
  <c r="AJ260" i="7" s="1"/>
  <c r="AD265" i="7"/>
  <c r="AI265" i="7" s="1"/>
  <c r="AF267" i="7"/>
  <c r="AK267" i="7" s="1"/>
  <c r="AC270" i="7"/>
  <c r="AH270" i="7" s="1"/>
  <c r="AE272" i="7"/>
  <c r="AJ272" i="7" s="1"/>
  <c r="AD277" i="7"/>
  <c r="AI277" i="7" s="1"/>
  <c r="AF279" i="7"/>
  <c r="AK279" i="7" s="1"/>
  <c r="AC282" i="7"/>
  <c r="AH282" i="7" s="1"/>
  <c r="AE284" i="7"/>
  <c r="AJ284" i="7" s="1"/>
  <c r="AD289" i="7"/>
  <c r="AI289" i="7" s="1"/>
  <c r="AF291" i="7"/>
  <c r="AK291" i="7" s="1"/>
  <c r="AC294" i="7"/>
  <c r="AH294" i="7" s="1"/>
  <c r="AE296" i="7"/>
  <c r="AJ296" i="7" s="1"/>
  <c r="AD301" i="7"/>
  <c r="AI301" i="7" s="1"/>
  <c r="AF303" i="7"/>
  <c r="AK303" i="7" s="1"/>
  <c r="AC306" i="7"/>
  <c r="AH306" i="7" s="1"/>
  <c r="AE308" i="7"/>
  <c r="AJ308" i="7" s="1"/>
  <c r="AD313" i="7"/>
  <c r="AI313" i="7" s="1"/>
  <c r="AF315" i="7"/>
  <c r="AK315" i="7" s="1"/>
  <c r="AC318" i="7"/>
  <c r="AH318" i="7" s="1"/>
  <c r="AE320" i="7"/>
  <c r="AJ320" i="7" s="1"/>
  <c r="AD325" i="7"/>
  <c r="AI325" i="7" s="1"/>
  <c r="AF327" i="7"/>
  <c r="AK327" i="7" s="1"/>
  <c r="AC330" i="7"/>
  <c r="AH330" i="7" s="1"/>
  <c r="AE332" i="7"/>
  <c r="AJ332" i="7" s="1"/>
  <c r="AD337" i="7"/>
  <c r="AI337" i="7" s="1"/>
  <c r="AF339" i="7"/>
  <c r="AK339" i="7" s="1"/>
  <c r="AC342" i="7"/>
  <c r="AH342" i="7" s="1"/>
  <c r="AE344" i="7"/>
  <c r="AJ344" i="7" s="1"/>
  <c r="AD349" i="7"/>
  <c r="AI349" i="7" s="1"/>
  <c r="AF351" i="7"/>
  <c r="AK351" i="7" s="1"/>
  <c r="AC354" i="7"/>
  <c r="AH354" i="7" s="1"/>
  <c r="AE356" i="7"/>
  <c r="AJ356" i="7" s="1"/>
  <c r="AD361" i="7"/>
  <c r="AI361" i="7" s="1"/>
  <c r="AF363" i="7"/>
  <c r="AK363" i="7" s="1"/>
  <c r="AC366" i="7"/>
  <c r="AH366" i="7" s="1"/>
  <c r="AE368" i="7"/>
  <c r="AJ368" i="7" s="1"/>
  <c r="AD373" i="7"/>
  <c r="AI373" i="7" s="1"/>
  <c r="AF375" i="7"/>
  <c r="AK375" i="7" s="1"/>
  <c r="AC378" i="7"/>
  <c r="AH378" i="7" s="1"/>
  <c r="AE380" i="7"/>
  <c r="AJ380" i="7" s="1"/>
  <c r="AD385" i="7"/>
  <c r="AI385" i="7" s="1"/>
  <c r="AF387" i="7"/>
  <c r="AK387" i="7" s="1"/>
  <c r="AC390" i="7"/>
  <c r="AH390" i="7" s="1"/>
  <c r="AE392" i="7"/>
  <c r="AJ392" i="7" s="1"/>
  <c r="AD397" i="7"/>
  <c r="AI397" i="7" s="1"/>
  <c r="AF399" i="7"/>
  <c r="AK399" i="7" s="1"/>
  <c r="AC402" i="7"/>
  <c r="AH402" i="7" s="1"/>
  <c r="AE404" i="7"/>
  <c r="AJ404" i="7" s="1"/>
  <c r="AD409" i="7"/>
  <c r="AI409" i="7" s="1"/>
  <c r="AF411" i="7"/>
  <c r="AK411" i="7" s="1"/>
  <c r="AC414" i="7"/>
  <c r="AH414" i="7" s="1"/>
  <c r="AE416" i="7"/>
  <c r="AJ416" i="7" s="1"/>
  <c r="AD421" i="7"/>
  <c r="AI421" i="7" s="1"/>
  <c r="AF423" i="7"/>
  <c r="AK423" i="7" s="1"/>
  <c r="AC426" i="7"/>
  <c r="AH426" i="7" s="1"/>
  <c r="AE428" i="7"/>
  <c r="AJ428" i="7" s="1"/>
  <c r="AD433" i="7"/>
  <c r="AI433" i="7" s="1"/>
  <c r="AF435" i="7"/>
  <c r="AK435" i="7" s="1"/>
  <c r="AC438" i="7"/>
  <c r="AH438" i="7" s="1"/>
  <c r="AE440" i="7"/>
  <c r="AJ440" i="7" s="1"/>
  <c r="AD445" i="7"/>
  <c r="AI445" i="7" s="1"/>
  <c r="AF447" i="7"/>
  <c r="AK447" i="7" s="1"/>
  <c r="AC450" i="7"/>
  <c r="AH450" i="7" s="1"/>
  <c r="AE452" i="7"/>
  <c r="AJ452" i="7" s="1"/>
  <c r="AD457" i="7"/>
  <c r="AI457" i="7" s="1"/>
  <c r="AF459" i="7"/>
  <c r="AK459" i="7" s="1"/>
  <c r="AC462" i="7"/>
  <c r="AH462" i="7" s="1"/>
  <c r="AE464" i="7"/>
  <c r="AJ464" i="7" s="1"/>
  <c r="AD469" i="7"/>
  <c r="AI469" i="7" s="1"/>
  <c r="AF471" i="7"/>
  <c r="AK471" i="7" s="1"/>
  <c r="AC474" i="7"/>
  <c r="AH474" i="7" s="1"/>
  <c r="AE476" i="7"/>
  <c r="AJ476" i="7" s="1"/>
  <c r="AF483" i="7"/>
  <c r="AK483" i="7" s="1"/>
  <c r="AC486" i="7"/>
  <c r="AH486" i="7" s="1"/>
  <c r="AE488" i="7"/>
  <c r="AJ488" i="7" s="1"/>
  <c r="AF495" i="7"/>
  <c r="AK495" i="7" s="1"/>
  <c r="AC498" i="7"/>
  <c r="AH498" i="7" s="1"/>
  <c r="AE500" i="7"/>
  <c r="AJ500" i="7" s="1"/>
  <c r="AF507" i="7"/>
  <c r="AK507" i="7" s="1"/>
  <c r="AC510" i="7"/>
  <c r="AH510" i="7" s="1"/>
  <c r="AE512" i="7"/>
  <c r="AJ512" i="7" s="1"/>
  <c r="AF519" i="7"/>
  <c r="AK519" i="7" s="1"/>
  <c r="AC522" i="7"/>
  <c r="AH522" i="7" s="1"/>
  <c r="AE524" i="7"/>
  <c r="AJ524" i="7" s="1"/>
  <c r="AF531" i="7"/>
  <c r="AK531" i="7" s="1"/>
  <c r="AC534" i="7"/>
  <c r="AH534" i="7" s="1"/>
  <c r="AE536" i="7"/>
  <c r="AJ536" i="7" s="1"/>
  <c r="AF543" i="7"/>
  <c r="AK543" i="7" s="1"/>
  <c r="AC546" i="7"/>
  <c r="AH546" i="7" s="1"/>
  <c r="AE548" i="7"/>
  <c r="AJ548" i="7" s="1"/>
  <c r="AF555" i="7"/>
  <c r="AK555" i="7" s="1"/>
  <c r="AC558" i="7"/>
  <c r="AH558" i="7" s="1"/>
  <c r="AE560" i="7"/>
  <c r="AJ560" i="7" s="1"/>
  <c r="AF567" i="7"/>
  <c r="AK567" i="7" s="1"/>
  <c r="AC570" i="7"/>
  <c r="AH570" i="7" s="1"/>
  <c r="AE572" i="7"/>
  <c r="AJ572" i="7" s="1"/>
  <c r="AF579" i="7"/>
  <c r="AK579" i="7" s="1"/>
  <c r="AC582" i="7"/>
  <c r="AH582" i="7" s="1"/>
  <c r="AE584" i="7"/>
  <c r="AJ584" i="7" s="1"/>
  <c r="AF591" i="7"/>
  <c r="AK591" i="7" s="1"/>
  <c r="AC594" i="7"/>
  <c r="AH594" i="7" s="1"/>
  <c r="AE596" i="7"/>
  <c r="AJ596" i="7" s="1"/>
  <c r="AF603" i="7"/>
  <c r="AK603" i="7" s="1"/>
  <c r="AC606" i="7"/>
  <c r="AH606" i="7" s="1"/>
  <c r="AE608" i="7"/>
  <c r="AJ608" i="7" s="1"/>
  <c r="AF615" i="7"/>
  <c r="AK615" i="7" s="1"/>
  <c r="AC618" i="7"/>
  <c r="AH618" i="7" s="1"/>
  <c r="AE620" i="7"/>
  <c r="AJ620" i="7" s="1"/>
  <c r="AF627" i="7"/>
  <c r="AK627" i="7" s="1"/>
  <c r="AC630" i="7"/>
  <c r="AH630" i="7" s="1"/>
  <c r="AE632" i="7"/>
  <c r="AJ632" i="7" s="1"/>
  <c r="AF639" i="7"/>
  <c r="AK639" i="7" s="1"/>
  <c r="AC642" i="7"/>
  <c r="AH642" i="7" s="1"/>
  <c r="AE644" i="7"/>
  <c r="AJ644" i="7" s="1"/>
  <c r="AF651" i="7"/>
  <c r="AK651" i="7" s="1"/>
  <c r="AC654" i="7"/>
  <c r="AH654" i="7" s="1"/>
  <c r="AE656" i="7"/>
  <c r="AJ656" i="7" s="1"/>
  <c r="AF663" i="7"/>
  <c r="AK663" i="7" s="1"/>
  <c r="AC666" i="7"/>
  <c r="AH666" i="7" s="1"/>
  <c r="AE668" i="7"/>
  <c r="AJ668" i="7" s="1"/>
  <c r="AF675" i="7"/>
  <c r="AK675" i="7" s="1"/>
  <c r="AC678" i="7"/>
  <c r="AH678" i="7" s="1"/>
  <c r="AE680" i="7"/>
  <c r="AJ680" i="7" s="1"/>
  <c r="AF687" i="7"/>
  <c r="AK687" i="7" s="1"/>
  <c r="AC690" i="7"/>
  <c r="AH690" i="7" s="1"/>
  <c r="AE692" i="7"/>
  <c r="AJ692" i="7" s="1"/>
  <c r="AF699" i="7"/>
  <c r="AK699" i="7" s="1"/>
  <c r="AC702" i="7"/>
  <c r="AH702" i="7" s="1"/>
  <c r="AE704" i="7"/>
  <c r="AJ704" i="7" s="1"/>
  <c r="AF711" i="7"/>
  <c r="AK711" i="7" s="1"/>
  <c r="AC714" i="7"/>
  <c r="AH714" i="7" s="1"/>
  <c r="AE716" i="7"/>
  <c r="AJ716" i="7" s="1"/>
  <c r="AF723" i="7"/>
  <c r="AK723" i="7" s="1"/>
  <c r="AC726" i="7"/>
  <c r="AH726" i="7" s="1"/>
  <c r="AE728" i="7"/>
  <c r="AJ728" i="7" s="1"/>
  <c r="AF735" i="7"/>
  <c r="AK735" i="7" s="1"/>
  <c r="AC738" i="7"/>
  <c r="AH738" i="7" s="1"/>
  <c r="AE740" i="7"/>
  <c r="AJ740" i="7" s="1"/>
  <c r="AF747" i="7"/>
  <c r="AK747" i="7" s="1"/>
  <c r="AC750" i="7"/>
  <c r="AH750" i="7" s="1"/>
  <c r="AE752" i="7"/>
  <c r="AJ752" i="7" s="1"/>
  <c r="AF759" i="7"/>
  <c r="AK759" i="7" s="1"/>
  <c r="AC762" i="7"/>
  <c r="AH762" i="7" s="1"/>
  <c r="AE764" i="7"/>
  <c r="AJ764" i="7" s="1"/>
  <c r="AF771" i="7"/>
  <c r="AK771" i="7" s="1"/>
  <c r="AC774" i="7"/>
  <c r="AH774" i="7" s="1"/>
  <c r="AE776" i="7"/>
  <c r="AJ776" i="7" s="1"/>
  <c r="AF783" i="7"/>
  <c r="AK783" i="7" s="1"/>
  <c r="AC786" i="7"/>
  <c r="AH786" i="7" s="1"/>
  <c r="AE788" i="7"/>
  <c r="AJ788" i="7" s="1"/>
  <c r="AF795" i="7"/>
  <c r="AK795" i="7" s="1"/>
  <c r="AC798" i="7"/>
  <c r="AH798" i="7" s="1"/>
  <c r="AE800" i="7"/>
  <c r="AJ800" i="7" s="1"/>
  <c r="AF807" i="7"/>
  <c r="AK807" i="7" s="1"/>
  <c r="AC810" i="7"/>
  <c r="AH810" i="7" s="1"/>
  <c r="AE812" i="7"/>
  <c r="AJ812" i="7" s="1"/>
  <c r="AF819" i="7"/>
  <c r="AK819" i="7" s="1"/>
  <c r="AC822" i="7"/>
  <c r="AH822" i="7" s="1"/>
  <c r="AE824" i="7"/>
  <c r="AJ824" i="7" s="1"/>
  <c r="AF831" i="7"/>
  <c r="AK831" i="7" s="1"/>
  <c r="AC834" i="7"/>
  <c r="AH834" i="7" s="1"/>
  <c r="AE836" i="7"/>
  <c r="AJ836" i="7" s="1"/>
  <c r="AF843" i="7"/>
  <c r="AK843" i="7" s="1"/>
  <c r="AC846" i="7"/>
  <c r="AH846" i="7" s="1"/>
  <c r="AE848" i="7"/>
  <c r="AJ848" i="7" s="1"/>
  <c r="AF855" i="7"/>
  <c r="AK855" i="7" s="1"/>
  <c r="AC858" i="7"/>
  <c r="AH858" i="7" s="1"/>
  <c r="AE860" i="7"/>
  <c r="AJ860" i="7" s="1"/>
  <c r="AF867" i="7"/>
  <c r="AK867" i="7" s="1"/>
  <c r="AC870" i="7"/>
  <c r="AH870" i="7" s="1"/>
  <c r="AE872" i="7"/>
  <c r="AJ872" i="7" s="1"/>
  <c r="AF879" i="7"/>
  <c r="AK879" i="7" s="1"/>
  <c r="AC882" i="7"/>
  <c r="AH882" i="7" s="1"/>
  <c r="AE884" i="7"/>
  <c r="AJ884" i="7" s="1"/>
  <c r="AF891" i="7"/>
  <c r="AK891" i="7" s="1"/>
  <c r="AC894" i="7"/>
  <c r="AH894" i="7" s="1"/>
  <c r="AE896" i="7"/>
  <c r="AJ896" i="7" s="1"/>
  <c r="AF903" i="7"/>
  <c r="AK903" i="7" s="1"/>
  <c r="AC906" i="7"/>
  <c r="AH906" i="7" s="1"/>
  <c r="AE908" i="7"/>
  <c r="AJ908" i="7" s="1"/>
  <c r="AF915" i="7"/>
  <c r="AK915" i="7" s="1"/>
  <c r="AC918" i="7"/>
  <c r="AH918" i="7" s="1"/>
  <c r="AE920" i="7"/>
  <c r="AJ920" i="7" s="1"/>
  <c r="AF927" i="7"/>
  <c r="AK927" i="7" s="1"/>
  <c r="AC930" i="7"/>
  <c r="AH930" i="7" s="1"/>
  <c r="AE932" i="7"/>
  <c r="AJ932" i="7" s="1"/>
  <c r="AF939" i="7"/>
  <c r="AK939" i="7" s="1"/>
  <c r="AC942" i="7"/>
  <c r="AH942" i="7" s="1"/>
  <c r="AE944" i="7"/>
  <c r="AJ944" i="7" s="1"/>
  <c r="AC815" i="7"/>
  <c r="AH815" i="7" s="1"/>
  <c r="AE817" i="7"/>
  <c r="AJ817" i="7" s="1"/>
  <c r="AD822" i="7"/>
  <c r="AI822" i="7" s="1"/>
  <c r="AF824" i="7"/>
  <c r="AK824" i="7" s="1"/>
  <c r="AC827" i="7"/>
  <c r="AH827" i="7" s="1"/>
  <c r="AE829" i="7"/>
  <c r="AJ829" i="7" s="1"/>
  <c r="AD834" i="7"/>
  <c r="AI834" i="7" s="1"/>
  <c r="AF836" i="7"/>
  <c r="AK836" i="7" s="1"/>
  <c r="AC839" i="7"/>
  <c r="AH839" i="7" s="1"/>
  <c r="AE841" i="7"/>
  <c r="AJ841" i="7" s="1"/>
  <c r="AD846" i="7"/>
  <c r="AI846" i="7" s="1"/>
  <c r="AF848" i="7"/>
  <c r="AK848" i="7" s="1"/>
  <c r="AC851" i="7"/>
  <c r="AH851" i="7" s="1"/>
  <c r="AE853" i="7"/>
  <c r="AJ853" i="7" s="1"/>
  <c r="AD858" i="7"/>
  <c r="AI858" i="7" s="1"/>
  <c r="AF860" i="7"/>
  <c r="AK860" i="7" s="1"/>
  <c r="AC863" i="7"/>
  <c r="AH863" i="7" s="1"/>
  <c r="AE865" i="7"/>
  <c r="AJ865" i="7" s="1"/>
  <c r="AD870" i="7"/>
  <c r="AI870" i="7" s="1"/>
  <c r="AF872" i="7"/>
  <c r="AK872" i="7" s="1"/>
  <c r="AC875" i="7"/>
  <c r="AH875" i="7" s="1"/>
  <c r="AE877" i="7"/>
  <c r="AJ877" i="7" s="1"/>
  <c r="AD882" i="7"/>
  <c r="AI882" i="7" s="1"/>
  <c r="AF884" i="7"/>
  <c r="AK884" i="7" s="1"/>
  <c r="AC887" i="7"/>
  <c r="AH887" i="7" s="1"/>
  <c r="AE889" i="7"/>
  <c r="AJ889" i="7" s="1"/>
  <c r="AD894" i="7"/>
  <c r="AI894" i="7" s="1"/>
  <c r="AF896" i="7"/>
  <c r="AK896" i="7" s="1"/>
  <c r="AC899" i="7"/>
  <c r="AH899" i="7" s="1"/>
  <c r="AE901" i="7"/>
  <c r="AJ901" i="7" s="1"/>
  <c r="AD906" i="7"/>
  <c r="AI906" i="7" s="1"/>
  <c r="AF908" i="7"/>
  <c r="AK908" i="7" s="1"/>
  <c r="AC911" i="7"/>
  <c r="AH911" i="7" s="1"/>
  <c r="AE913" i="7"/>
  <c r="AJ913" i="7" s="1"/>
  <c r="AD918" i="7"/>
  <c r="AI918" i="7" s="1"/>
  <c r="AF920" i="7"/>
  <c r="AK920" i="7" s="1"/>
  <c r="AC923" i="7"/>
  <c r="AH923" i="7" s="1"/>
  <c r="AE925" i="7"/>
  <c r="AJ925" i="7" s="1"/>
  <c r="AD930" i="7"/>
  <c r="AI930" i="7" s="1"/>
  <c r="AF932" i="7"/>
  <c r="AK932" i="7" s="1"/>
  <c r="AC935" i="7"/>
  <c r="AH935" i="7" s="1"/>
  <c r="AE937" i="7"/>
  <c r="AJ937" i="7" s="1"/>
  <c r="AD942" i="7"/>
  <c r="AI942" i="7" s="1"/>
  <c r="AF944" i="7"/>
  <c r="AK944" i="7" s="1"/>
  <c r="B16" i="5"/>
  <c r="B18" i="5"/>
  <c r="B15" i="5"/>
  <c r="B17" i="5"/>
  <c r="B19" i="5"/>
  <c r="B8" i="5"/>
  <c r="B20" i="5"/>
  <c r="B9" i="5"/>
  <c r="B21" i="5"/>
  <c r="B10" i="5"/>
  <c r="B22" i="5"/>
  <c r="B11" i="5"/>
  <c r="B23" i="5"/>
  <c r="B12" i="5"/>
  <c r="B24" i="5"/>
  <c r="B13" i="5"/>
  <c r="B25" i="5"/>
  <c r="B14" i="5"/>
  <c r="B26" i="5"/>
  <c r="M194" i="1"/>
  <c r="B19" i="3"/>
  <c r="B8" i="3"/>
  <c r="B20" i="3"/>
  <c r="B18" i="3"/>
  <c r="B17" i="3"/>
  <c r="B16" i="3"/>
  <c r="B15" i="3"/>
  <c r="B26" i="3"/>
  <c r="B14" i="3"/>
  <c r="B25" i="3"/>
  <c r="B13" i="3"/>
  <c r="B24" i="3"/>
  <c r="B12" i="3"/>
  <c r="B23" i="3"/>
  <c r="B11" i="3"/>
  <c r="B22" i="3"/>
  <c r="B10" i="3"/>
  <c r="B21" i="3"/>
  <c r="B9" i="3"/>
  <c r="M186" i="1"/>
  <c r="K187" i="1"/>
  <c r="AA187" i="1" s="1"/>
  <c r="K179" i="1"/>
  <c r="M178" i="1"/>
  <c r="K171" i="1"/>
  <c r="M170" i="1"/>
  <c r="Z681" i="7"/>
  <c r="Z643" i="7"/>
  <c r="M162" i="1"/>
  <c r="Y570" i="7"/>
  <c r="Z114" i="7"/>
  <c r="X880" i="7"/>
  <c r="Y899" i="7"/>
  <c r="Z930" i="7"/>
  <c r="X940" i="7"/>
  <c r="AA174" i="7"/>
  <c r="Z306" i="7"/>
  <c r="Z150" i="7"/>
  <c r="Z630" i="7"/>
  <c r="Z162" i="7"/>
  <c r="Z270" i="7"/>
  <c r="Z426" i="7"/>
  <c r="Y755" i="7"/>
  <c r="Z294" i="7"/>
  <c r="K163" i="1"/>
  <c r="Y239" i="7"/>
  <c r="X163" i="7"/>
  <c r="AA316" i="7"/>
  <c r="Z501" i="7"/>
  <c r="AA616" i="7"/>
  <c r="AA688" i="7"/>
  <c r="Z121" i="7"/>
  <c r="AA488" i="7"/>
  <c r="X149" i="7"/>
  <c r="AA182" i="7"/>
  <c r="X209" i="7"/>
  <c r="X105" i="7"/>
  <c r="Z185" i="7"/>
  <c r="X231" i="7"/>
  <c r="K155" i="1"/>
  <c r="M154" i="1"/>
  <c r="M146" i="1"/>
  <c r="L147" i="1"/>
  <c r="L148" i="1" s="1"/>
  <c r="L149" i="1" s="1"/>
  <c r="M138" i="1"/>
  <c r="K139" i="1"/>
  <c r="M130" i="1"/>
  <c r="A133" i="1"/>
  <c r="A134" i="1" s="1"/>
  <c r="A135" i="1" s="1"/>
  <c r="A136" i="1" s="1"/>
  <c r="A137" i="1" s="1"/>
  <c r="A124" i="1"/>
  <c r="M122" i="1"/>
  <c r="M114" i="1"/>
  <c r="A117" i="1"/>
  <c r="L7" i="8"/>
  <c r="K18" i="8"/>
  <c r="K12" i="8"/>
  <c r="K14" i="8"/>
  <c r="K9" i="8"/>
  <c r="K13" i="8"/>
  <c r="K11" i="8"/>
  <c r="K15" i="8"/>
  <c r="K21" i="8"/>
  <c r="K19" i="8"/>
  <c r="L10" i="8"/>
  <c r="K8" i="8"/>
  <c r="L17" i="8"/>
  <c r="L13" i="8"/>
  <c r="F69" i="5"/>
  <c r="F66" i="5"/>
  <c r="F63" i="5"/>
  <c r="F60" i="5"/>
  <c r="F57" i="5"/>
  <c r="F68" i="5"/>
  <c r="F65" i="5"/>
  <c r="F62" i="5"/>
  <c r="F59" i="5"/>
  <c r="F56" i="5"/>
  <c r="F67" i="5"/>
  <c r="F61" i="5"/>
  <c r="F58" i="5"/>
  <c r="F55" i="5"/>
  <c r="F34" i="5"/>
  <c r="F37" i="5"/>
  <c r="F40" i="5"/>
  <c r="F43" i="5"/>
  <c r="F46" i="5"/>
  <c r="F49" i="5"/>
  <c r="F52" i="5"/>
  <c r="F32" i="5"/>
  <c r="F35" i="5"/>
  <c r="F38" i="5"/>
  <c r="F41" i="5"/>
  <c r="F44" i="5"/>
  <c r="F47" i="5"/>
  <c r="F50" i="5"/>
  <c r="F53" i="5"/>
  <c r="F33" i="5"/>
  <c r="F36" i="5"/>
  <c r="F39" i="5"/>
  <c r="F42" i="5"/>
  <c r="F45" i="5"/>
  <c r="F48" i="5"/>
  <c r="F51" i="5"/>
  <c r="F10" i="5"/>
  <c r="F13" i="5"/>
  <c r="F16" i="5"/>
  <c r="F19" i="5"/>
  <c r="F22" i="5"/>
  <c r="F25" i="5"/>
  <c r="F28" i="5"/>
  <c r="F8" i="5"/>
  <c r="F11" i="5"/>
  <c r="F14" i="5"/>
  <c r="F17" i="5"/>
  <c r="F20" i="5"/>
  <c r="F23" i="5"/>
  <c r="F26" i="5"/>
  <c r="F29" i="5"/>
  <c r="F9" i="5"/>
  <c r="F12" i="5"/>
  <c r="F15" i="5"/>
  <c r="F18" i="5"/>
  <c r="F21" i="5"/>
  <c r="F24" i="5"/>
  <c r="F27" i="5"/>
  <c r="F7" i="5"/>
  <c r="F31" i="5"/>
  <c r="F7" i="3"/>
  <c r="C7" i="3"/>
  <c r="D7" i="3"/>
  <c r="E7" i="3"/>
  <c r="AJ380" i="1" l="1"/>
  <c r="AI381" i="1"/>
  <c r="M383" i="1"/>
  <c r="N383" i="1" s="1"/>
  <c r="AH383" i="1"/>
  <c r="N345" i="1"/>
  <c r="AI345" i="1" s="1"/>
  <c r="AJ345" i="1" s="1"/>
  <c r="N305" i="1"/>
  <c r="AI305" i="1" s="1"/>
  <c r="AJ305" i="1" s="1"/>
  <c r="N355" i="1"/>
  <c r="AI355" i="1" s="1"/>
  <c r="AJ355" i="1" s="1"/>
  <c r="N295" i="1"/>
  <c r="AI295" i="1" s="1"/>
  <c r="AJ295" i="1" s="1"/>
  <c r="M373" i="1"/>
  <c r="AH373" i="1"/>
  <c r="AH358" i="1"/>
  <c r="K350" i="1"/>
  <c r="AH350" i="1" s="1"/>
  <c r="K352" i="1"/>
  <c r="M349" i="1"/>
  <c r="M363" i="1"/>
  <c r="AH363" i="1"/>
  <c r="AB890" i="7"/>
  <c r="AG890" i="7" s="1"/>
  <c r="W890" i="7"/>
  <c r="AB818" i="7"/>
  <c r="AG818" i="7" s="1"/>
  <c r="W818" i="7"/>
  <c r="AB746" i="7"/>
  <c r="AG746" i="7" s="1"/>
  <c r="W746" i="7"/>
  <c r="AB674" i="7"/>
  <c r="AG674" i="7" s="1"/>
  <c r="W674" i="7"/>
  <c r="AB602" i="7"/>
  <c r="AG602" i="7" s="1"/>
  <c r="W602" i="7"/>
  <c r="AB530" i="7"/>
  <c r="AG530" i="7" s="1"/>
  <c r="W530" i="7"/>
  <c r="AB446" i="7"/>
  <c r="AG446" i="7" s="1"/>
  <c r="W446" i="7"/>
  <c r="AB952" i="7"/>
  <c r="AG952" i="7" s="1"/>
  <c r="W952" i="7"/>
  <c r="AB832" i="7"/>
  <c r="AG832" i="7" s="1"/>
  <c r="W832" i="7"/>
  <c r="AB347" i="7"/>
  <c r="AG347" i="7" s="1"/>
  <c r="W347" i="7"/>
  <c r="AB203" i="7"/>
  <c r="AG203" i="7" s="1"/>
  <c r="W203" i="7"/>
  <c r="AB59" i="7"/>
  <c r="AG59" i="7" s="1"/>
  <c r="W59" i="7"/>
  <c r="AB918" i="7"/>
  <c r="AG918" i="7" s="1"/>
  <c r="W918" i="7"/>
  <c r="AB846" i="7"/>
  <c r="AG846" i="7" s="1"/>
  <c r="W846" i="7"/>
  <c r="AB865" i="7"/>
  <c r="AG865" i="7" s="1"/>
  <c r="W865" i="7"/>
  <c r="AB721" i="7"/>
  <c r="AG721" i="7" s="1"/>
  <c r="W721" i="7"/>
  <c r="AB577" i="7"/>
  <c r="AG577" i="7" s="1"/>
  <c r="W577" i="7"/>
  <c r="AB433" i="7"/>
  <c r="AG433" i="7" s="1"/>
  <c r="W433" i="7"/>
  <c r="AB289" i="7"/>
  <c r="AG289" i="7" s="1"/>
  <c r="W289" i="7"/>
  <c r="AB145" i="7"/>
  <c r="AG145" i="7" s="1"/>
  <c r="W145" i="7"/>
  <c r="AB896" i="7"/>
  <c r="AG896" i="7" s="1"/>
  <c r="W896" i="7"/>
  <c r="AB51" i="7"/>
  <c r="AG51" i="7" s="1"/>
  <c r="W51" i="7"/>
  <c r="AB963" i="7"/>
  <c r="AG963" i="7" s="1"/>
  <c r="W963" i="7"/>
  <c r="AB915" i="7"/>
  <c r="AG915" i="7" s="1"/>
  <c r="W915" i="7"/>
  <c r="AB771" i="7"/>
  <c r="AG771" i="7" s="1"/>
  <c r="W771" i="7"/>
  <c r="AB699" i="7"/>
  <c r="AG699" i="7" s="1"/>
  <c r="W699" i="7"/>
  <c r="AB627" i="7"/>
  <c r="AG627" i="7" s="1"/>
  <c r="W627" i="7"/>
  <c r="AB555" i="7"/>
  <c r="AG555" i="7" s="1"/>
  <c r="W555" i="7"/>
  <c r="AB483" i="7"/>
  <c r="AG483" i="7" s="1"/>
  <c r="W483" i="7"/>
  <c r="AB387" i="7"/>
  <c r="AG387" i="7" s="1"/>
  <c r="W387" i="7"/>
  <c r="AB111" i="7"/>
  <c r="AG111" i="7" s="1"/>
  <c r="W111" i="7"/>
  <c r="AB917" i="7"/>
  <c r="AG917" i="7" s="1"/>
  <c r="W917" i="7"/>
  <c r="AB845" i="7"/>
  <c r="AG845" i="7" s="1"/>
  <c r="W845" i="7"/>
  <c r="AB888" i="7"/>
  <c r="AG888" i="7" s="1"/>
  <c r="W888" i="7"/>
  <c r="AB99" i="7"/>
  <c r="AG99" i="7" s="1"/>
  <c r="W99" i="7"/>
  <c r="AB950" i="7"/>
  <c r="AG950" i="7" s="1"/>
  <c r="W950" i="7"/>
  <c r="AB434" i="7"/>
  <c r="AG434" i="7" s="1"/>
  <c r="W434" i="7"/>
  <c r="AB820" i="7"/>
  <c r="AG820" i="7" s="1"/>
  <c r="W820" i="7"/>
  <c r="AB911" i="7"/>
  <c r="AG911" i="7" s="1"/>
  <c r="W911" i="7"/>
  <c r="AB839" i="7"/>
  <c r="AG839" i="7" s="1"/>
  <c r="W839" i="7"/>
  <c r="AB767" i="7"/>
  <c r="AG767" i="7" s="1"/>
  <c r="W767" i="7"/>
  <c r="AB695" i="7"/>
  <c r="AG695" i="7" s="1"/>
  <c r="W695" i="7"/>
  <c r="AB623" i="7"/>
  <c r="AG623" i="7" s="1"/>
  <c r="W623" i="7"/>
  <c r="AB551" i="7"/>
  <c r="AG551" i="7" s="1"/>
  <c r="W551" i="7"/>
  <c r="AB479" i="7"/>
  <c r="AG479" i="7" s="1"/>
  <c r="W479" i="7"/>
  <c r="AB335" i="7"/>
  <c r="AG335" i="7" s="1"/>
  <c r="W335" i="7"/>
  <c r="AB191" i="7"/>
  <c r="AG191" i="7" s="1"/>
  <c r="W191" i="7"/>
  <c r="AB47" i="7"/>
  <c r="AG47" i="7" s="1"/>
  <c r="W47" i="7"/>
  <c r="AB985" i="7"/>
  <c r="AG985" i="7" s="1"/>
  <c r="W985" i="7"/>
  <c r="AB853" i="7"/>
  <c r="AG853" i="7" s="1"/>
  <c r="W853" i="7"/>
  <c r="AB709" i="7"/>
  <c r="AG709" i="7" s="1"/>
  <c r="W709" i="7"/>
  <c r="AB565" i="7"/>
  <c r="AG565" i="7" s="1"/>
  <c r="W565" i="7"/>
  <c r="AB421" i="7"/>
  <c r="AG421" i="7" s="1"/>
  <c r="W421" i="7"/>
  <c r="AB277" i="7"/>
  <c r="AG277" i="7" s="1"/>
  <c r="W277" i="7"/>
  <c r="AB133" i="7"/>
  <c r="AG133" i="7" s="1"/>
  <c r="W133" i="7"/>
  <c r="AB375" i="7"/>
  <c r="AG375" i="7" s="1"/>
  <c r="W375" i="7"/>
  <c r="AB989" i="7"/>
  <c r="AG989" i="7" s="1"/>
  <c r="W989" i="7"/>
  <c r="AB878" i="7"/>
  <c r="AG878" i="7" s="1"/>
  <c r="W878" i="7"/>
  <c r="AB806" i="7"/>
  <c r="AG806" i="7" s="1"/>
  <c r="W806" i="7"/>
  <c r="AB734" i="7"/>
  <c r="AG734" i="7" s="1"/>
  <c r="W734" i="7"/>
  <c r="AB662" i="7"/>
  <c r="AG662" i="7" s="1"/>
  <c r="W662" i="7"/>
  <c r="AB590" i="7"/>
  <c r="AG590" i="7" s="1"/>
  <c r="W590" i="7"/>
  <c r="AB518" i="7"/>
  <c r="AG518" i="7" s="1"/>
  <c r="W518" i="7"/>
  <c r="AB976" i="7"/>
  <c r="AG976" i="7" s="1"/>
  <c r="W976" i="7"/>
  <c r="AB959" i="7"/>
  <c r="AG959" i="7" s="1"/>
  <c r="W959" i="7"/>
  <c r="AB841" i="7"/>
  <c r="AG841" i="7" s="1"/>
  <c r="W841" i="7"/>
  <c r="AB697" i="7"/>
  <c r="AG697" i="7" s="1"/>
  <c r="W697" i="7"/>
  <c r="AB553" i="7"/>
  <c r="AG553" i="7" s="1"/>
  <c r="W553" i="7"/>
  <c r="AB409" i="7"/>
  <c r="AG409" i="7" s="1"/>
  <c r="W409" i="7"/>
  <c r="AB265" i="7"/>
  <c r="AG265" i="7" s="1"/>
  <c r="W265" i="7"/>
  <c r="AB121" i="7"/>
  <c r="AG121" i="7" s="1"/>
  <c r="W121" i="7"/>
  <c r="AB884" i="7"/>
  <c r="AG884" i="7" s="1"/>
  <c r="W884" i="7"/>
  <c r="AB944" i="7"/>
  <c r="AG944" i="7" s="1"/>
  <c r="W944" i="7"/>
  <c r="AB987" i="7"/>
  <c r="AG987" i="7" s="1"/>
  <c r="W987" i="7"/>
  <c r="AB903" i="7"/>
  <c r="AG903" i="7" s="1"/>
  <c r="W903" i="7"/>
  <c r="AB831" i="7"/>
  <c r="AG831" i="7" s="1"/>
  <c r="W831" i="7"/>
  <c r="AB759" i="7"/>
  <c r="AG759" i="7" s="1"/>
  <c r="W759" i="7"/>
  <c r="AB687" i="7"/>
  <c r="AG687" i="7" s="1"/>
  <c r="W687" i="7"/>
  <c r="AB615" i="7"/>
  <c r="AG615" i="7" s="1"/>
  <c r="W615" i="7"/>
  <c r="AB543" i="7"/>
  <c r="AG543" i="7" s="1"/>
  <c r="W543" i="7"/>
  <c r="AB471" i="7"/>
  <c r="AG471" i="7" s="1"/>
  <c r="W471" i="7"/>
  <c r="AB363" i="7"/>
  <c r="AG363" i="7" s="1"/>
  <c r="W363" i="7"/>
  <c r="AB905" i="7"/>
  <c r="AG905" i="7" s="1"/>
  <c r="W905" i="7"/>
  <c r="AB833" i="7"/>
  <c r="AG833" i="7" s="1"/>
  <c r="W833" i="7"/>
  <c r="AB948" i="7"/>
  <c r="AG948" i="7" s="1"/>
  <c r="W948" i="7"/>
  <c r="AB876" i="7"/>
  <c r="AG876" i="7" s="1"/>
  <c r="W876" i="7"/>
  <c r="AB974" i="7"/>
  <c r="AG974" i="7" s="1"/>
  <c r="W974" i="7"/>
  <c r="AB422" i="7"/>
  <c r="AG422" i="7" s="1"/>
  <c r="W422" i="7"/>
  <c r="AB940" i="7"/>
  <c r="AG940" i="7" s="1"/>
  <c r="W940" i="7"/>
  <c r="AB899" i="7"/>
  <c r="AG899" i="7" s="1"/>
  <c r="W899" i="7"/>
  <c r="AB827" i="7"/>
  <c r="AG827" i="7" s="1"/>
  <c r="W827" i="7"/>
  <c r="AB755" i="7"/>
  <c r="AG755" i="7" s="1"/>
  <c r="W755" i="7"/>
  <c r="AB683" i="7"/>
  <c r="AG683" i="7" s="1"/>
  <c r="W683" i="7"/>
  <c r="AB611" i="7"/>
  <c r="AG611" i="7" s="1"/>
  <c r="W611" i="7"/>
  <c r="AB455" i="7"/>
  <c r="AG455" i="7" s="1"/>
  <c r="W455" i="7"/>
  <c r="AB311" i="7"/>
  <c r="AG311" i="7" s="1"/>
  <c r="W311" i="7"/>
  <c r="AB685" i="7"/>
  <c r="AG685" i="7" s="1"/>
  <c r="W685" i="7"/>
  <c r="AB541" i="7"/>
  <c r="AG541" i="7" s="1"/>
  <c r="W541" i="7"/>
  <c r="AB938" i="7"/>
  <c r="AG938" i="7" s="1"/>
  <c r="W938" i="7"/>
  <c r="AB866" i="7"/>
  <c r="AG866" i="7" s="1"/>
  <c r="W866" i="7"/>
  <c r="AB794" i="7"/>
  <c r="AG794" i="7" s="1"/>
  <c r="W794" i="7"/>
  <c r="AB722" i="7"/>
  <c r="AG722" i="7" s="1"/>
  <c r="W722" i="7"/>
  <c r="AB650" i="7"/>
  <c r="AG650" i="7" s="1"/>
  <c r="W650" i="7"/>
  <c r="AB578" i="7"/>
  <c r="AG578" i="7" s="1"/>
  <c r="W578" i="7"/>
  <c r="AB506" i="7"/>
  <c r="AG506" i="7" s="1"/>
  <c r="W506" i="7"/>
  <c r="AB231" i="7"/>
  <c r="AG231" i="7" s="1"/>
  <c r="W231" i="7"/>
  <c r="AB928" i="7"/>
  <c r="AG928" i="7" s="1"/>
  <c r="W928" i="7"/>
  <c r="AB983" i="7"/>
  <c r="AG983" i="7" s="1"/>
  <c r="W983" i="7"/>
  <c r="AB443" i="7"/>
  <c r="AG443" i="7" s="1"/>
  <c r="W443" i="7"/>
  <c r="AB299" i="7"/>
  <c r="AG299" i="7" s="1"/>
  <c r="W299" i="7"/>
  <c r="AB155" i="7"/>
  <c r="AG155" i="7" s="1"/>
  <c r="W155" i="7"/>
  <c r="AB954" i="7"/>
  <c r="AG954" i="7" s="1"/>
  <c r="W954" i="7"/>
  <c r="AB894" i="7"/>
  <c r="AG894" i="7" s="1"/>
  <c r="W894" i="7"/>
  <c r="AB822" i="7"/>
  <c r="AG822" i="7" s="1"/>
  <c r="W822" i="7"/>
  <c r="AB949" i="7"/>
  <c r="AG949" i="7" s="1"/>
  <c r="W949" i="7"/>
  <c r="AB817" i="7"/>
  <c r="AG817" i="7" s="1"/>
  <c r="W817" i="7"/>
  <c r="AB673" i="7"/>
  <c r="AG673" i="7" s="1"/>
  <c r="W673" i="7"/>
  <c r="AB529" i="7"/>
  <c r="AG529" i="7" s="1"/>
  <c r="W529" i="7"/>
  <c r="AB385" i="7"/>
  <c r="AG385" i="7" s="1"/>
  <c r="W385" i="7"/>
  <c r="AB241" i="7"/>
  <c r="AG241" i="7" s="1"/>
  <c r="W241" i="7"/>
  <c r="AB872" i="7"/>
  <c r="AG872" i="7" s="1"/>
  <c r="W872" i="7"/>
  <c r="AB891" i="7"/>
  <c r="AG891" i="7" s="1"/>
  <c r="W891" i="7"/>
  <c r="AB819" i="7"/>
  <c r="AG819" i="7" s="1"/>
  <c r="W819" i="7"/>
  <c r="AB747" i="7"/>
  <c r="AG747" i="7" s="1"/>
  <c r="W747" i="7"/>
  <c r="AB675" i="7"/>
  <c r="AG675" i="7" s="1"/>
  <c r="W675" i="7"/>
  <c r="AB603" i="7"/>
  <c r="AG603" i="7" s="1"/>
  <c r="W603" i="7"/>
  <c r="AB531" i="7"/>
  <c r="AG531" i="7" s="1"/>
  <c r="W531" i="7"/>
  <c r="AB459" i="7"/>
  <c r="AG459" i="7" s="1"/>
  <c r="W459" i="7"/>
  <c r="AB351" i="7"/>
  <c r="AG351" i="7" s="1"/>
  <c r="W351" i="7"/>
  <c r="AB953" i="7"/>
  <c r="AG953" i="7" s="1"/>
  <c r="W953" i="7"/>
  <c r="AB893" i="7"/>
  <c r="AG893" i="7" s="1"/>
  <c r="W893" i="7"/>
  <c r="AB821" i="7"/>
  <c r="AG821" i="7" s="1"/>
  <c r="W821" i="7"/>
  <c r="AB972" i="7"/>
  <c r="AG972" i="7" s="1"/>
  <c r="W972" i="7"/>
  <c r="AB936" i="7"/>
  <c r="AG936" i="7" s="1"/>
  <c r="W936" i="7"/>
  <c r="AB864" i="7"/>
  <c r="AG864" i="7" s="1"/>
  <c r="W864" i="7"/>
  <c r="AB255" i="7"/>
  <c r="AG255" i="7" s="1"/>
  <c r="W255" i="7"/>
  <c r="AB916" i="7"/>
  <c r="AG916" i="7" s="1"/>
  <c r="W916" i="7"/>
  <c r="AB815" i="7"/>
  <c r="AG815" i="7" s="1"/>
  <c r="W815" i="7"/>
  <c r="AB743" i="7"/>
  <c r="AG743" i="7" s="1"/>
  <c r="W743" i="7"/>
  <c r="AB671" i="7"/>
  <c r="AG671" i="7" s="1"/>
  <c r="W671" i="7"/>
  <c r="AB599" i="7"/>
  <c r="AG599" i="7" s="1"/>
  <c r="W599" i="7"/>
  <c r="AB527" i="7"/>
  <c r="AG527" i="7" s="1"/>
  <c r="W527" i="7"/>
  <c r="AB431" i="7"/>
  <c r="AG431" i="7" s="1"/>
  <c r="W431" i="7"/>
  <c r="AB143" i="7"/>
  <c r="AG143" i="7" s="1"/>
  <c r="W143" i="7"/>
  <c r="AB805" i="7"/>
  <c r="AG805" i="7" s="1"/>
  <c r="W805" i="7"/>
  <c r="AB661" i="7"/>
  <c r="AG661" i="7" s="1"/>
  <c r="W661" i="7"/>
  <c r="AB517" i="7"/>
  <c r="AG517" i="7" s="1"/>
  <c r="W517" i="7"/>
  <c r="AB373" i="7"/>
  <c r="AG373" i="7" s="1"/>
  <c r="W373" i="7"/>
  <c r="AB229" i="7"/>
  <c r="AG229" i="7" s="1"/>
  <c r="W229" i="7"/>
  <c r="AB956" i="7"/>
  <c r="AG956" i="7" s="1"/>
  <c r="W956" i="7"/>
  <c r="AB951" i="7"/>
  <c r="AG951" i="7" s="1"/>
  <c r="W951" i="7"/>
  <c r="AB447" i="7"/>
  <c r="AG447" i="7" s="1"/>
  <c r="W447" i="7"/>
  <c r="AB339" i="7"/>
  <c r="AG339" i="7" s="1"/>
  <c r="W339" i="7"/>
  <c r="AB926" i="7"/>
  <c r="AG926" i="7" s="1"/>
  <c r="W926" i="7"/>
  <c r="AB854" i="7"/>
  <c r="AG854" i="7" s="1"/>
  <c r="W854" i="7"/>
  <c r="AB782" i="7"/>
  <c r="AG782" i="7" s="1"/>
  <c r="W782" i="7"/>
  <c r="AB710" i="7"/>
  <c r="AG710" i="7" s="1"/>
  <c r="W710" i="7"/>
  <c r="AB638" i="7"/>
  <c r="AG638" i="7" s="1"/>
  <c r="W638" i="7"/>
  <c r="AB566" i="7"/>
  <c r="AG566" i="7" s="1"/>
  <c r="W566" i="7"/>
  <c r="AB494" i="7"/>
  <c r="AG494" i="7" s="1"/>
  <c r="W494" i="7"/>
  <c r="AB243" i="7"/>
  <c r="AG243" i="7" s="1"/>
  <c r="W243" i="7"/>
  <c r="AB904" i="7"/>
  <c r="AG904" i="7" s="1"/>
  <c r="W904" i="7"/>
  <c r="AB419" i="7"/>
  <c r="AG419" i="7" s="1"/>
  <c r="W419" i="7"/>
  <c r="AB275" i="7"/>
  <c r="AG275" i="7" s="1"/>
  <c r="W275" i="7"/>
  <c r="AB131" i="7"/>
  <c r="AG131" i="7" s="1"/>
  <c r="W131" i="7"/>
  <c r="AB978" i="7"/>
  <c r="AG978" i="7" s="1"/>
  <c r="W978" i="7"/>
  <c r="AB882" i="7"/>
  <c r="AG882" i="7" s="1"/>
  <c r="W882" i="7"/>
  <c r="AB303" i="7"/>
  <c r="AG303" i="7" s="1"/>
  <c r="W303" i="7"/>
  <c r="AB973" i="7"/>
  <c r="AG973" i="7" s="1"/>
  <c r="W973" i="7"/>
  <c r="AB793" i="7"/>
  <c r="AG793" i="7" s="1"/>
  <c r="W793" i="7"/>
  <c r="AB505" i="7"/>
  <c r="AG505" i="7" s="1"/>
  <c r="W505" i="7"/>
  <c r="AB361" i="7"/>
  <c r="AG361" i="7" s="1"/>
  <c r="W361" i="7"/>
  <c r="AB217" i="7"/>
  <c r="AG217" i="7" s="1"/>
  <c r="W217" i="7"/>
  <c r="AB860" i="7"/>
  <c r="AG860" i="7" s="1"/>
  <c r="W860" i="7"/>
  <c r="AB879" i="7"/>
  <c r="AG879" i="7" s="1"/>
  <c r="W879" i="7"/>
  <c r="AB807" i="7"/>
  <c r="AG807" i="7" s="1"/>
  <c r="W807" i="7"/>
  <c r="AB735" i="7"/>
  <c r="AG735" i="7" s="1"/>
  <c r="W735" i="7"/>
  <c r="AB663" i="7"/>
  <c r="AG663" i="7" s="1"/>
  <c r="W663" i="7"/>
  <c r="AB591" i="7"/>
  <c r="AG591" i="7" s="1"/>
  <c r="W591" i="7"/>
  <c r="AB519" i="7"/>
  <c r="AG519" i="7" s="1"/>
  <c r="W519" i="7"/>
  <c r="AB435" i="7"/>
  <c r="AG435" i="7" s="1"/>
  <c r="W435" i="7"/>
  <c r="AB327" i="7"/>
  <c r="AG327" i="7" s="1"/>
  <c r="W327" i="7"/>
  <c r="AB977" i="7"/>
  <c r="AG977" i="7" s="1"/>
  <c r="W977" i="7"/>
  <c r="AB881" i="7"/>
  <c r="AG881" i="7" s="1"/>
  <c r="W881" i="7"/>
  <c r="AB809" i="7"/>
  <c r="AG809" i="7" s="1"/>
  <c r="W809" i="7"/>
  <c r="AB924" i="7"/>
  <c r="AG924" i="7" s="1"/>
  <c r="W924" i="7"/>
  <c r="AB852" i="7"/>
  <c r="AG852" i="7" s="1"/>
  <c r="W852" i="7"/>
  <c r="AB195" i="7"/>
  <c r="AG195" i="7" s="1"/>
  <c r="W195" i="7"/>
  <c r="AB964" i="7"/>
  <c r="AG964" i="7" s="1"/>
  <c r="W964" i="7"/>
  <c r="AB892" i="7"/>
  <c r="AG892" i="7" s="1"/>
  <c r="W892" i="7"/>
  <c r="AB947" i="7"/>
  <c r="AG947" i="7" s="1"/>
  <c r="W947" i="7"/>
  <c r="AB875" i="7"/>
  <c r="AG875" i="7" s="1"/>
  <c r="W875" i="7"/>
  <c r="AB803" i="7"/>
  <c r="AG803" i="7" s="1"/>
  <c r="W803" i="7"/>
  <c r="AB731" i="7"/>
  <c r="AG731" i="7" s="1"/>
  <c r="W731" i="7"/>
  <c r="AB659" i="7"/>
  <c r="AG659" i="7" s="1"/>
  <c r="W659" i="7"/>
  <c r="AB587" i="7"/>
  <c r="AG587" i="7" s="1"/>
  <c r="W587" i="7"/>
  <c r="AB515" i="7"/>
  <c r="AG515" i="7" s="1"/>
  <c r="W515" i="7"/>
  <c r="AB407" i="7"/>
  <c r="AG407" i="7" s="1"/>
  <c r="W407" i="7"/>
  <c r="AB263" i="7"/>
  <c r="AG263" i="7" s="1"/>
  <c r="W263" i="7"/>
  <c r="AB119" i="7"/>
  <c r="AG119" i="7" s="1"/>
  <c r="W119" i="7"/>
  <c r="AB219" i="7"/>
  <c r="AG219" i="7" s="1"/>
  <c r="W219" i="7"/>
  <c r="AB925" i="7"/>
  <c r="AG925" i="7" s="1"/>
  <c r="W925" i="7"/>
  <c r="AB781" i="7"/>
  <c r="AG781" i="7" s="1"/>
  <c r="W781" i="7"/>
  <c r="AB637" i="7"/>
  <c r="AG637" i="7" s="1"/>
  <c r="W637" i="7"/>
  <c r="AB493" i="7"/>
  <c r="AG493" i="7" s="1"/>
  <c r="W493" i="7"/>
  <c r="AB349" i="7"/>
  <c r="AG349" i="7" s="1"/>
  <c r="W349" i="7"/>
  <c r="AB205" i="7"/>
  <c r="AG205" i="7" s="1"/>
  <c r="W205" i="7"/>
  <c r="AB848" i="7"/>
  <c r="AG848" i="7" s="1"/>
  <c r="W848" i="7"/>
  <c r="AB975" i="7"/>
  <c r="AG975" i="7" s="1"/>
  <c r="W975" i="7"/>
  <c r="AB279" i="7"/>
  <c r="AG279" i="7" s="1"/>
  <c r="W279" i="7"/>
  <c r="AB962" i="7"/>
  <c r="AG962" i="7" s="1"/>
  <c r="W962" i="7"/>
  <c r="AB914" i="7"/>
  <c r="AG914" i="7" s="1"/>
  <c r="W914" i="7"/>
  <c r="AB842" i="7"/>
  <c r="AG842" i="7" s="1"/>
  <c r="W842" i="7"/>
  <c r="AB770" i="7"/>
  <c r="AG770" i="7" s="1"/>
  <c r="W770" i="7"/>
  <c r="AB698" i="7"/>
  <c r="AG698" i="7" s="1"/>
  <c r="W698" i="7"/>
  <c r="AB626" i="7"/>
  <c r="AG626" i="7" s="1"/>
  <c r="W626" i="7"/>
  <c r="AB554" i="7"/>
  <c r="AG554" i="7" s="1"/>
  <c r="W554" i="7"/>
  <c r="AB482" i="7"/>
  <c r="AG482" i="7" s="1"/>
  <c r="W482" i="7"/>
  <c r="AB87" i="7"/>
  <c r="AG87" i="7" s="1"/>
  <c r="W87" i="7"/>
  <c r="AB880" i="7"/>
  <c r="AG880" i="7" s="1"/>
  <c r="W880" i="7"/>
  <c r="AB942" i="7"/>
  <c r="AG942" i="7" s="1"/>
  <c r="W942" i="7"/>
  <c r="AB870" i="7"/>
  <c r="AG870" i="7" s="1"/>
  <c r="W870" i="7"/>
  <c r="AB207" i="7"/>
  <c r="AG207" i="7" s="1"/>
  <c r="W207" i="7"/>
  <c r="AB913" i="7"/>
  <c r="AG913" i="7" s="1"/>
  <c r="W913" i="7"/>
  <c r="AB769" i="7"/>
  <c r="AG769" i="7" s="1"/>
  <c r="W769" i="7"/>
  <c r="AB625" i="7"/>
  <c r="AG625" i="7" s="1"/>
  <c r="W625" i="7"/>
  <c r="AB481" i="7"/>
  <c r="AG481" i="7" s="1"/>
  <c r="W481" i="7"/>
  <c r="AB337" i="7"/>
  <c r="AG337" i="7" s="1"/>
  <c r="W337" i="7"/>
  <c r="AB193" i="7"/>
  <c r="AG193" i="7" s="1"/>
  <c r="W193" i="7"/>
  <c r="AB932" i="7"/>
  <c r="AG932" i="7" s="1"/>
  <c r="W932" i="7"/>
  <c r="AB968" i="7"/>
  <c r="AG968" i="7" s="1"/>
  <c r="W968" i="7"/>
  <c r="AB824" i="7"/>
  <c r="AG824" i="7" s="1"/>
  <c r="W824" i="7"/>
  <c r="AB939" i="7"/>
  <c r="AG939" i="7" s="1"/>
  <c r="W939" i="7"/>
  <c r="AB867" i="7"/>
  <c r="AG867" i="7" s="1"/>
  <c r="W867" i="7"/>
  <c r="AB795" i="7"/>
  <c r="AG795" i="7" s="1"/>
  <c r="W795" i="7"/>
  <c r="AB723" i="7"/>
  <c r="AG723" i="7" s="1"/>
  <c r="W723" i="7"/>
  <c r="AB651" i="7"/>
  <c r="AG651" i="7" s="1"/>
  <c r="W651" i="7"/>
  <c r="AB579" i="7"/>
  <c r="AG579" i="7" s="1"/>
  <c r="W579" i="7"/>
  <c r="AB507" i="7"/>
  <c r="AG507" i="7" s="1"/>
  <c r="W507" i="7"/>
  <c r="AB423" i="7"/>
  <c r="AG423" i="7" s="1"/>
  <c r="W423" i="7"/>
  <c r="AB315" i="7"/>
  <c r="AG315" i="7" s="1"/>
  <c r="W315" i="7"/>
  <c r="AB941" i="7"/>
  <c r="AG941" i="7" s="1"/>
  <c r="W941" i="7"/>
  <c r="AB869" i="7"/>
  <c r="AG869" i="7" s="1"/>
  <c r="W869" i="7"/>
  <c r="AB267" i="7"/>
  <c r="AG267" i="7" s="1"/>
  <c r="W267" i="7"/>
  <c r="AB912" i="7"/>
  <c r="AG912" i="7" s="1"/>
  <c r="W912" i="7"/>
  <c r="AB840" i="7"/>
  <c r="AG840" i="7" s="1"/>
  <c r="W840" i="7"/>
  <c r="AB470" i="7"/>
  <c r="AG470" i="7" s="1"/>
  <c r="W470" i="7"/>
  <c r="AB988" i="7"/>
  <c r="AG988" i="7" s="1"/>
  <c r="W988" i="7"/>
  <c r="AB868" i="7"/>
  <c r="AG868" i="7" s="1"/>
  <c r="W868" i="7"/>
  <c r="AB971" i="7"/>
  <c r="AG971" i="7" s="1"/>
  <c r="W971" i="7"/>
  <c r="AB935" i="7"/>
  <c r="AG935" i="7" s="1"/>
  <c r="W935" i="7"/>
  <c r="AB863" i="7"/>
  <c r="AG863" i="7" s="1"/>
  <c r="W863" i="7"/>
  <c r="AB791" i="7"/>
  <c r="AG791" i="7" s="1"/>
  <c r="W791" i="7"/>
  <c r="AB719" i="7"/>
  <c r="AG719" i="7" s="1"/>
  <c r="W719" i="7"/>
  <c r="AB647" i="7"/>
  <c r="AG647" i="7" s="1"/>
  <c r="W647" i="7"/>
  <c r="AB575" i="7"/>
  <c r="AG575" i="7" s="1"/>
  <c r="W575" i="7"/>
  <c r="AB503" i="7"/>
  <c r="AG503" i="7" s="1"/>
  <c r="W503" i="7"/>
  <c r="AB383" i="7"/>
  <c r="AG383" i="7" s="1"/>
  <c r="W383" i="7"/>
  <c r="AB239" i="7"/>
  <c r="AG239" i="7" s="1"/>
  <c r="W239" i="7"/>
  <c r="AB95" i="7"/>
  <c r="AG95" i="7" s="1"/>
  <c r="W95" i="7"/>
  <c r="AB183" i="7"/>
  <c r="AG183" i="7" s="1"/>
  <c r="W183" i="7"/>
  <c r="AB901" i="7"/>
  <c r="AG901" i="7" s="1"/>
  <c r="W901" i="7"/>
  <c r="AB757" i="7"/>
  <c r="AG757" i="7" s="1"/>
  <c r="W757" i="7"/>
  <c r="AB613" i="7"/>
  <c r="AG613" i="7" s="1"/>
  <c r="W613" i="7"/>
  <c r="AB469" i="7"/>
  <c r="AG469" i="7" s="1"/>
  <c r="W469" i="7"/>
  <c r="AB325" i="7"/>
  <c r="AG325" i="7" s="1"/>
  <c r="W325" i="7"/>
  <c r="AB181" i="7"/>
  <c r="AG181" i="7" s="1"/>
  <c r="W181" i="7"/>
  <c r="AB920" i="7"/>
  <c r="AG920" i="7" s="1"/>
  <c r="W920" i="7"/>
  <c r="AB836" i="7"/>
  <c r="AG836" i="7" s="1"/>
  <c r="W836" i="7"/>
  <c r="AB411" i="7"/>
  <c r="AG411" i="7" s="1"/>
  <c r="W411" i="7"/>
  <c r="AB960" i="7"/>
  <c r="AG960" i="7" s="1"/>
  <c r="W960" i="7"/>
  <c r="AB986" i="7"/>
  <c r="AG986" i="7" s="1"/>
  <c r="W986" i="7"/>
  <c r="AB902" i="7"/>
  <c r="AG902" i="7" s="1"/>
  <c r="W902" i="7"/>
  <c r="AB830" i="7"/>
  <c r="AG830" i="7" s="1"/>
  <c r="W830" i="7"/>
  <c r="AB758" i="7"/>
  <c r="AG758" i="7" s="1"/>
  <c r="W758" i="7"/>
  <c r="AB686" i="7"/>
  <c r="AG686" i="7" s="1"/>
  <c r="W686" i="7"/>
  <c r="AB614" i="7"/>
  <c r="AG614" i="7" s="1"/>
  <c r="W614" i="7"/>
  <c r="AB542" i="7"/>
  <c r="AG542" i="7" s="1"/>
  <c r="W542" i="7"/>
  <c r="AB856" i="7"/>
  <c r="AG856" i="7" s="1"/>
  <c r="W856" i="7"/>
  <c r="AB371" i="7"/>
  <c r="AG371" i="7" s="1"/>
  <c r="W371" i="7"/>
  <c r="AB227" i="7"/>
  <c r="AG227" i="7" s="1"/>
  <c r="W227" i="7"/>
  <c r="AB83" i="7"/>
  <c r="AG83" i="7" s="1"/>
  <c r="W83" i="7"/>
  <c r="AB930" i="7"/>
  <c r="AG930" i="7" s="1"/>
  <c r="W930" i="7"/>
  <c r="AB858" i="7"/>
  <c r="AG858" i="7" s="1"/>
  <c r="W858" i="7"/>
  <c r="AB135" i="7"/>
  <c r="AG135" i="7" s="1"/>
  <c r="W135" i="7"/>
  <c r="AB889" i="7"/>
  <c r="AG889" i="7" s="1"/>
  <c r="W889" i="7"/>
  <c r="AB745" i="7"/>
  <c r="AG745" i="7" s="1"/>
  <c r="W745" i="7"/>
  <c r="AB601" i="7"/>
  <c r="AG601" i="7" s="1"/>
  <c r="W601" i="7"/>
  <c r="AB457" i="7"/>
  <c r="AG457" i="7" s="1"/>
  <c r="W457" i="7"/>
  <c r="AB313" i="7"/>
  <c r="AG313" i="7" s="1"/>
  <c r="W313" i="7"/>
  <c r="AB169" i="7"/>
  <c r="AG169" i="7" s="1"/>
  <c r="W169" i="7"/>
  <c r="AB147" i="7"/>
  <c r="AG147" i="7" s="1"/>
  <c r="W147" i="7"/>
  <c r="AB812" i="7"/>
  <c r="AG812" i="7" s="1"/>
  <c r="W812" i="7"/>
  <c r="AB927" i="7"/>
  <c r="AG927" i="7" s="1"/>
  <c r="W927" i="7"/>
  <c r="AB855" i="7"/>
  <c r="AG855" i="7" s="1"/>
  <c r="W855" i="7"/>
  <c r="AB783" i="7"/>
  <c r="AG783" i="7" s="1"/>
  <c r="W783" i="7"/>
  <c r="AB711" i="7"/>
  <c r="AG711" i="7" s="1"/>
  <c r="W711" i="7"/>
  <c r="AB639" i="7"/>
  <c r="AG639" i="7" s="1"/>
  <c r="W639" i="7"/>
  <c r="AB567" i="7"/>
  <c r="AG567" i="7" s="1"/>
  <c r="W567" i="7"/>
  <c r="AB495" i="7"/>
  <c r="AG495" i="7" s="1"/>
  <c r="W495" i="7"/>
  <c r="AB399" i="7"/>
  <c r="AG399" i="7" s="1"/>
  <c r="W399" i="7"/>
  <c r="AB171" i="7"/>
  <c r="AG171" i="7" s="1"/>
  <c r="W171" i="7"/>
  <c r="AB929" i="7"/>
  <c r="AG929" i="7" s="1"/>
  <c r="W929" i="7"/>
  <c r="AB857" i="7"/>
  <c r="AG857" i="7" s="1"/>
  <c r="W857" i="7"/>
  <c r="AB900" i="7"/>
  <c r="AG900" i="7" s="1"/>
  <c r="W900" i="7"/>
  <c r="AB291" i="7"/>
  <c r="AG291" i="7" s="1"/>
  <c r="W291" i="7"/>
  <c r="AB458" i="7"/>
  <c r="AG458" i="7" s="1"/>
  <c r="W458" i="7"/>
  <c r="AB844" i="7"/>
  <c r="AG844" i="7" s="1"/>
  <c r="W844" i="7"/>
  <c r="AB923" i="7"/>
  <c r="AG923" i="7" s="1"/>
  <c r="W923" i="7"/>
  <c r="AB851" i="7"/>
  <c r="AG851" i="7" s="1"/>
  <c r="W851" i="7"/>
  <c r="AB779" i="7"/>
  <c r="AG779" i="7" s="1"/>
  <c r="W779" i="7"/>
  <c r="AB707" i="7"/>
  <c r="AG707" i="7" s="1"/>
  <c r="W707" i="7"/>
  <c r="AB635" i="7"/>
  <c r="AG635" i="7" s="1"/>
  <c r="W635" i="7"/>
  <c r="AB563" i="7"/>
  <c r="AG563" i="7" s="1"/>
  <c r="W563" i="7"/>
  <c r="AB491" i="7"/>
  <c r="AG491" i="7" s="1"/>
  <c r="W491" i="7"/>
  <c r="AB359" i="7"/>
  <c r="AG359" i="7" s="1"/>
  <c r="W359" i="7"/>
  <c r="AB215" i="7"/>
  <c r="AG215" i="7" s="1"/>
  <c r="W215" i="7"/>
  <c r="AB71" i="7"/>
  <c r="AG71" i="7" s="1"/>
  <c r="W71" i="7"/>
  <c r="AB966" i="7"/>
  <c r="AG966" i="7" s="1"/>
  <c r="W966" i="7"/>
  <c r="AB961" i="7"/>
  <c r="AG961" i="7" s="1"/>
  <c r="W961" i="7"/>
  <c r="AB877" i="7"/>
  <c r="AG877" i="7" s="1"/>
  <c r="W877" i="7"/>
  <c r="AB733" i="7"/>
  <c r="AG733" i="7" s="1"/>
  <c r="W733" i="7"/>
  <c r="AB589" i="7"/>
  <c r="AG589" i="7" s="1"/>
  <c r="W589" i="7"/>
  <c r="AB445" i="7"/>
  <c r="AG445" i="7" s="1"/>
  <c r="W445" i="7"/>
  <c r="AB301" i="7"/>
  <c r="AG301" i="7" s="1"/>
  <c r="W301" i="7"/>
  <c r="AB157" i="7"/>
  <c r="AG157" i="7" s="1"/>
  <c r="W157" i="7"/>
  <c r="AB908" i="7"/>
  <c r="AG908" i="7" s="1"/>
  <c r="W908" i="7"/>
  <c r="AB63" i="7"/>
  <c r="AG63" i="7" s="1"/>
  <c r="W63" i="7"/>
  <c r="AB75" i="7"/>
  <c r="AG75" i="7" s="1"/>
  <c r="W75" i="7"/>
  <c r="AB159" i="7"/>
  <c r="AG159" i="7" s="1"/>
  <c r="W159" i="7"/>
  <c r="AB965" i="7"/>
  <c r="AG965" i="7" s="1"/>
  <c r="W965" i="7"/>
  <c r="AB984" i="7"/>
  <c r="AG984" i="7" s="1"/>
  <c r="W984" i="7"/>
  <c r="AB123" i="7"/>
  <c r="AG123" i="7" s="1"/>
  <c r="W123" i="7"/>
  <c r="N335" i="1"/>
  <c r="AI335" i="1" s="1"/>
  <c r="AJ335" i="1" s="1"/>
  <c r="K343" i="1"/>
  <c r="AH352" i="1" s="1"/>
  <c r="M341" i="1"/>
  <c r="AH155" i="1"/>
  <c r="M147" i="1"/>
  <c r="K148" i="1"/>
  <c r="K149" i="1" s="1"/>
  <c r="K150" i="1" s="1"/>
  <c r="AI325" i="1"/>
  <c r="AJ325" i="1" s="1"/>
  <c r="K329" i="1"/>
  <c r="AH338" i="1" s="1"/>
  <c r="AH328" i="1"/>
  <c r="M328" i="1"/>
  <c r="K320" i="1"/>
  <c r="K322" i="1"/>
  <c r="AH319" i="1"/>
  <c r="M319" i="1"/>
  <c r="AH311" i="1"/>
  <c r="K313" i="1"/>
  <c r="M311" i="1"/>
  <c r="K303" i="1"/>
  <c r="AH312" i="1" s="1"/>
  <c r="AH301" i="1"/>
  <c r="M301" i="1"/>
  <c r="M291" i="1"/>
  <c r="K293" i="1"/>
  <c r="AH302" i="1" s="1"/>
  <c r="AH278" i="1"/>
  <c r="N275" i="1"/>
  <c r="AI275" i="1" s="1"/>
  <c r="AJ275" i="1" s="1"/>
  <c r="K279" i="1"/>
  <c r="AH288" i="1" s="1"/>
  <c r="M278" i="1"/>
  <c r="AH139" i="1"/>
  <c r="K205" i="1"/>
  <c r="AH214" i="1" s="1"/>
  <c r="M203" i="1"/>
  <c r="N266" i="1"/>
  <c r="AI266" i="1" s="1"/>
  <c r="AJ266" i="1" s="1"/>
  <c r="K270" i="1"/>
  <c r="AH269" i="1"/>
  <c r="M269" i="1"/>
  <c r="Z981" i="7"/>
  <c r="AH257" i="1"/>
  <c r="AH259" i="1"/>
  <c r="K262" i="1"/>
  <c r="M261" i="1"/>
  <c r="AH250" i="1"/>
  <c r="K251" i="1"/>
  <c r="AH260" i="1" s="1"/>
  <c r="M250" i="1"/>
  <c r="AH248" i="1"/>
  <c r="M248" i="1"/>
  <c r="X956" i="7"/>
  <c r="X987" i="7"/>
  <c r="Y886" i="7"/>
  <c r="K243" i="1"/>
  <c r="AH242" i="1"/>
  <c r="M242" i="1"/>
  <c r="AA975" i="7"/>
  <c r="X859" i="7"/>
  <c r="K234" i="1"/>
  <c r="AH233" i="1"/>
  <c r="M233" i="1"/>
  <c r="Y565" i="7"/>
  <c r="Y493" i="7"/>
  <c r="M195" i="1"/>
  <c r="AA966" i="7"/>
  <c r="AH179" i="1"/>
  <c r="X967" i="7"/>
  <c r="X907" i="7"/>
  <c r="X973" i="7"/>
  <c r="X919" i="7"/>
  <c r="X847" i="7"/>
  <c r="Y841" i="7"/>
  <c r="X922" i="7"/>
  <c r="Y553" i="7"/>
  <c r="AA963" i="7"/>
  <c r="Y625" i="7"/>
  <c r="AA989" i="7"/>
  <c r="X981" i="7"/>
  <c r="Y958" i="7"/>
  <c r="Y963" i="7"/>
  <c r="X835" i="7"/>
  <c r="Y697" i="7"/>
  <c r="Y910" i="7"/>
  <c r="Y481" i="7"/>
  <c r="AH163" i="1"/>
  <c r="X963" i="7"/>
  <c r="X925" i="7"/>
  <c r="Y913" i="7"/>
  <c r="Y954" i="7"/>
  <c r="X853" i="7"/>
  <c r="Y769" i="7"/>
  <c r="K204" i="1"/>
  <c r="AH203" i="1"/>
  <c r="K124" i="1"/>
  <c r="AH123" i="1"/>
  <c r="AH195" i="1"/>
  <c r="K197" i="1"/>
  <c r="K198" i="1" s="1"/>
  <c r="AH171" i="1"/>
  <c r="K132" i="1"/>
  <c r="AH131" i="1"/>
  <c r="Q187" i="1"/>
  <c r="AH187" i="1"/>
  <c r="AH147" i="1"/>
  <c r="K116" i="1"/>
  <c r="AH115" i="1"/>
  <c r="Y808" i="7"/>
  <c r="K225" i="1"/>
  <c r="AH224" i="1"/>
  <c r="M224" i="1"/>
  <c r="Z963" i="7"/>
  <c r="X814" i="7"/>
  <c r="Y961" i="7"/>
  <c r="Y987" i="7"/>
  <c r="Y978" i="7"/>
  <c r="X955" i="7"/>
  <c r="Z958" i="7"/>
  <c r="A226" i="1"/>
  <c r="Y975" i="7"/>
  <c r="Z946" i="7"/>
  <c r="Y661" i="7"/>
  <c r="Y980" i="7"/>
  <c r="Y877" i="7"/>
  <c r="Y805" i="7"/>
  <c r="Z951" i="7"/>
  <c r="Y517" i="7"/>
  <c r="X951" i="7"/>
  <c r="Y949" i="7"/>
  <c r="X975" i="7"/>
  <c r="Y733" i="7"/>
  <c r="AA982" i="7"/>
  <c r="X943" i="7"/>
  <c r="AA977" i="7"/>
  <c r="X985" i="7"/>
  <c r="Y673" i="7"/>
  <c r="Y956" i="7"/>
  <c r="Y601" i="7"/>
  <c r="X901" i="7"/>
  <c r="Y529" i="7"/>
  <c r="Y817" i="7"/>
  <c r="X971" i="7"/>
  <c r="Y745" i="7"/>
  <c r="Y985" i="7"/>
  <c r="Z956" i="7"/>
  <c r="AB980" i="7"/>
  <c r="AG980" i="7" s="1"/>
  <c r="AC838" i="7"/>
  <c r="AH838" i="7" s="1"/>
  <c r="X838" i="7"/>
  <c r="AC622" i="7"/>
  <c r="AH622" i="7" s="1"/>
  <c r="X622" i="7"/>
  <c r="AB539" i="7"/>
  <c r="AG539" i="7" s="1"/>
  <c r="AB167" i="7"/>
  <c r="AG167" i="7" s="1"/>
  <c r="AB906" i="7"/>
  <c r="AG906" i="7" s="1"/>
  <c r="AB834" i="7"/>
  <c r="AG834" i="7" s="1"/>
  <c r="AC980" i="7"/>
  <c r="AH980" i="7" s="1"/>
  <c r="X980" i="7"/>
  <c r="AB829" i="7"/>
  <c r="AG829" i="7" s="1"/>
  <c r="AB397" i="7"/>
  <c r="AG397" i="7" s="1"/>
  <c r="AB253" i="7"/>
  <c r="AG253" i="7" s="1"/>
  <c r="X883" i="7"/>
  <c r="AB843" i="7"/>
  <c r="AG843" i="7" s="1"/>
  <c r="Z982" i="7"/>
  <c r="Y889" i="7"/>
  <c r="Y966" i="7"/>
  <c r="AA953" i="7"/>
  <c r="X979" i="7"/>
  <c r="AF970" i="7"/>
  <c r="AK970" i="7" s="1"/>
  <c r="Y637" i="7"/>
  <c r="Y781" i="7"/>
  <c r="X983" i="7"/>
  <c r="Y709" i="7"/>
  <c r="X949" i="7"/>
  <c r="Y946" i="7"/>
  <c r="AB887" i="7"/>
  <c r="AG887" i="7" s="1"/>
  <c r="X937" i="7"/>
  <c r="Z980" i="7"/>
  <c r="X978" i="7"/>
  <c r="X865" i="7"/>
  <c r="X954" i="7"/>
  <c r="AA951" i="7"/>
  <c r="AA965" i="7"/>
  <c r="X968" i="7"/>
  <c r="AA968" i="7"/>
  <c r="X966" i="7"/>
  <c r="Y952" i="7"/>
  <c r="Y865" i="7"/>
  <c r="Z970" i="7"/>
  <c r="X947" i="7"/>
  <c r="Y853" i="7"/>
  <c r="Y925" i="7"/>
  <c r="AB649" i="7"/>
  <c r="AG649" i="7" s="1"/>
  <c r="AB287" i="7"/>
  <c r="AG287" i="7" s="1"/>
  <c r="AE987" i="7"/>
  <c r="AJ987" i="7" s="1"/>
  <c r="Y760" i="7"/>
  <c r="AA978" i="7"/>
  <c r="X957" i="7"/>
  <c r="Y874" i="7"/>
  <c r="Y568" i="7"/>
  <c r="AB937" i="7"/>
  <c r="AG937" i="7" s="1"/>
  <c r="AF954" i="7"/>
  <c r="AK954" i="7" s="1"/>
  <c r="X969" i="7"/>
  <c r="X658" i="7"/>
  <c r="Z968" i="7"/>
  <c r="Y968" i="7"/>
  <c r="Y613" i="7"/>
  <c r="AA958" i="7"/>
  <c r="Y589" i="7"/>
  <c r="AD820" i="7"/>
  <c r="AI820" i="7" s="1"/>
  <c r="AD712" i="7"/>
  <c r="AI712" i="7" s="1"/>
  <c r="X931" i="7"/>
  <c r="Y964" i="7"/>
  <c r="X871" i="7"/>
  <c r="Y951" i="7"/>
  <c r="X959" i="7"/>
  <c r="Y973" i="7"/>
  <c r="AF987" i="7"/>
  <c r="AK987" i="7" s="1"/>
  <c r="AD937" i="7"/>
  <c r="AI937" i="7" s="1"/>
  <c r="AD901" i="7"/>
  <c r="AI901" i="7" s="1"/>
  <c r="AD829" i="7"/>
  <c r="AI829" i="7" s="1"/>
  <c r="AD793" i="7"/>
  <c r="AI793" i="7" s="1"/>
  <c r="AD757" i="7"/>
  <c r="AI757" i="7" s="1"/>
  <c r="AD721" i="7"/>
  <c r="AI721" i="7" s="1"/>
  <c r="AD685" i="7"/>
  <c r="AI685" i="7" s="1"/>
  <c r="AD649" i="7"/>
  <c r="AI649" i="7" s="1"/>
  <c r="AD577" i="7"/>
  <c r="AI577" i="7" s="1"/>
  <c r="AD541" i="7"/>
  <c r="AI541" i="7" s="1"/>
  <c r="AD505" i="7"/>
  <c r="AI505" i="7" s="1"/>
  <c r="AB467" i="7"/>
  <c r="AG467" i="7" s="1"/>
  <c r="AB395" i="7"/>
  <c r="AG395" i="7" s="1"/>
  <c r="AB323" i="7"/>
  <c r="AG323" i="7" s="1"/>
  <c r="AB251" i="7"/>
  <c r="AG251" i="7" s="1"/>
  <c r="AB179" i="7"/>
  <c r="AG179" i="7" s="1"/>
  <c r="AB107" i="7"/>
  <c r="AG107" i="7" s="1"/>
  <c r="AE975" i="7"/>
  <c r="AJ975" i="7" s="1"/>
  <c r="AC913" i="7"/>
  <c r="AH913" i="7" s="1"/>
  <c r="AC877" i="7"/>
  <c r="AH877" i="7" s="1"/>
  <c r="AC841" i="7"/>
  <c r="AH841" i="7" s="1"/>
  <c r="AA138" i="7"/>
  <c r="Z594" i="7"/>
  <c r="X191" i="7"/>
  <c r="Z354" i="7"/>
  <c r="Z198" i="7"/>
  <c r="Z486" i="7"/>
  <c r="Z618" i="7"/>
  <c r="Z186" i="7"/>
  <c r="AA114" i="7"/>
  <c r="X535" i="7"/>
  <c r="X952" i="7"/>
  <c r="Y244" i="7"/>
  <c r="AA709" i="7"/>
  <c r="X832" i="7"/>
  <c r="Z674" i="7"/>
  <c r="AA384" i="7"/>
  <c r="Z102" i="7"/>
  <c r="AA652" i="7"/>
  <c r="AA162" i="7"/>
  <c r="X281" i="7"/>
  <c r="Z353" i="7"/>
  <c r="Z510" i="7"/>
  <c r="Z126" i="7"/>
  <c r="Y887" i="7"/>
  <c r="Z654" i="7"/>
  <c r="X50" i="7"/>
  <c r="AA186" i="7"/>
  <c r="AA204" i="7"/>
  <c r="Y120" i="7"/>
  <c r="Z138" i="7"/>
  <c r="Z642" i="7"/>
  <c r="X199" i="7"/>
  <c r="Z726" i="7"/>
  <c r="K216" i="1"/>
  <c r="M215" i="1"/>
  <c r="Z566" i="7"/>
  <c r="AA237" i="7"/>
  <c r="Y102" i="7"/>
  <c r="X208" i="7"/>
  <c r="Z342" i="7"/>
  <c r="Y342" i="7"/>
  <c r="AA985" i="7"/>
  <c r="Z330" i="7"/>
  <c r="AA457" i="7"/>
  <c r="AA150" i="7"/>
  <c r="AA528" i="7"/>
  <c r="Y426" i="7"/>
  <c r="Y126" i="7"/>
  <c r="Y382" i="7"/>
  <c r="X339" i="7"/>
  <c r="Z222" i="7"/>
  <c r="Z573" i="7"/>
  <c r="Y510" i="7"/>
  <c r="Y282" i="7"/>
  <c r="X407" i="7"/>
  <c r="X785" i="7"/>
  <c r="Z498" i="7"/>
  <c r="Z318" i="7"/>
  <c r="AA169" i="7"/>
  <c r="X220" i="7"/>
  <c r="Y900" i="7"/>
  <c r="Z125" i="7"/>
  <c r="Y486" i="7"/>
  <c r="Z530" i="7"/>
  <c r="X471" i="7"/>
  <c r="Z422" i="7"/>
  <c r="Y74" i="7"/>
  <c r="Y582" i="7"/>
  <c r="Y330" i="7"/>
  <c r="X914" i="7"/>
  <c r="X803" i="7"/>
  <c r="Y633" i="7"/>
  <c r="Z604" i="7"/>
  <c r="X662" i="7"/>
  <c r="Z460" i="7"/>
  <c r="AA258" i="7"/>
  <c r="Y777" i="7"/>
  <c r="AA814" i="7"/>
  <c r="AA286" i="7"/>
  <c r="Y741" i="7"/>
  <c r="Y776" i="7"/>
  <c r="Y90" i="7"/>
  <c r="X885" i="7"/>
  <c r="AA776" i="7"/>
  <c r="Z798" i="7"/>
  <c r="X434" i="7"/>
  <c r="Y66" i="7"/>
  <c r="Y390" i="7"/>
  <c r="AA887" i="7"/>
  <c r="Y190" i="7"/>
  <c r="Y692" i="7"/>
  <c r="X278" i="7"/>
  <c r="X736" i="7"/>
  <c r="X795" i="7"/>
  <c r="Z409" i="7"/>
  <c r="X869" i="7"/>
  <c r="X771" i="7"/>
  <c r="Z808" i="7"/>
  <c r="Y597" i="7"/>
  <c r="Y150" i="7"/>
  <c r="AA282" i="7"/>
  <c r="Z894" i="7"/>
  <c r="Y489" i="7"/>
  <c r="X761" i="7"/>
  <c r="X725" i="7"/>
  <c r="Z838" i="7"/>
  <c r="X458" i="7"/>
  <c r="Z282" i="7"/>
  <c r="Y897" i="7"/>
  <c r="Z172" i="7"/>
  <c r="Z234" i="7"/>
  <c r="Z892" i="7"/>
  <c r="Y346" i="7"/>
  <c r="Y172" i="7"/>
  <c r="Y78" i="7"/>
  <c r="AA666" i="7"/>
  <c r="Y354" i="7"/>
  <c r="Z761" i="7"/>
  <c r="Z301" i="7"/>
  <c r="Y750" i="7"/>
  <c r="Y825" i="7"/>
  <c r="X734" i="7"/>
  <c r="Z458" i="7"/>
  <c r="Z952" i="7"/>
  <c r="Y686" i="7"/>
  <c r="X933" i="7"/>
  <c r="Y909" i="7"/>
  <c r="Y502" i="7"/>
  <c r="Z91" i="7"/>
  <c r="Z265" i="7"/>
  <c r="AA431" i="7"/>
  <c r="Y742" i="7"/>
  <c r="X921" i="7"/>
  <c r="X824" i="7"/>
  <c r="Z820" i="7"/>
  <c r="Z494" i="7"/>
  <c r="Z321" i="7"/>
  <c r="X518" i="7"/>
  <c r="Z258" i="7"/>
  <c r="X722" i="7"/>
  <c r="AA402" i="7"/>
  <c r="X916" i="7"/>
  <c r="Y234" i="7"/>
  <c r="Y606" i="7"/>
  <c r="X747" i="7"/>
  <c r="Z373" i="7"/>
  <c r="Z822" i="7"/>
  <c r="AA503" i="7"/>
  <c r="Z570" i="7"/>
  <c r="X856" i="7"/>
  <c r="Y546" i="7"/>
  <c r="X866" i="7"/>
  <c r="Z786" i="7"/>
  <c r="Y558" i="7"/>
  <c r="X446" i="7"/>
  <c r="Z745" i="7"/>
  <c r="Y198" i="7"/>
  <c r="X784" i="7"/>
  <c r="X878" i="7"/>
  <c r="Z814" i="7"/>
  <c r="Y101" i="7"/>
  <c r="AA791" i="7"/>
  <c r="Z616" i="7"/>
  <c r="AA443" i="7"/>
  <c r="X186" i="7"/>
  <c r="AA618" i="7"/>
  <c r="Y774" i="7"/>
  <c r="Z886" i="7"/>
  <c r="Z904" i="7"/>
  <c r="Z964" i="7"/>
  <c r="AA731" i="7"/>
  <c r="X590" i="7"/>
  <c r="Y738" i="7"/>
  <c r="Y351" i="7"/>
  <c r="AA51" i="7"/>
  <c r="Y722" i="7"/>
  <c r="AA587" i="7"/>
  <c r="X867" i="7"/>
  <c r="AA198" i="7"/>
  <c r="Y714" i="7"/>
  <c r="X819" i="7"/>
  <c r="Y891" i="7"/>
  <c r="Z472" i="7"/>
  <c r="X873" i="7"/>
  <c r="X650" i="7"/>
  <c r="AA950" i="7"/>
  <c r="Z795" i="7"/>
  <c r="X554" i="7"/>
  <c r="X426" i="7"/>
  <c r="X759" i="7"/>
  <c r="X530" i="7"/>
  <c r="Z846" i="7"/>
  <c r="AA875" i="7"/>
  <c r="AA790" i="7"/>
  <c r="X674" i="7"/>
  <c r="Z516" i="7"/>
  <c r="X189" i="7"/>
  <c r="Y669" i="7"/>
  <c r="Y241" i="7"/>
  <c r="AA773" i="7"/>
  <c r="X772" i="7"/>
  <c r="AA594" i="7"/>
  <c r="Z920" i="7"/>
  <c r="AA498" i="7"/>
  <c r="X777" i="7"/>
  <c r="Z490" i="7"/>
  <c r="Y229" i="7"/>
  <c r="X809" i="7"/>
  <c r="Y789" i="7"/>
  <c r="AA922" i="7"/>
  <c r="X342" i="7"/>
  <c r="AA771" i="7"/>
  <c r="Y957" i="7"/>
  <c r="AA766" i="7"/>
  <c r="Z148" i="7"/>
  <c r="Z496" i="7"/>
  <c r="X198" i="7"/>
  <c r="Z942" i="7"/>
  <c r="Y933" i="7"/>
  <c r="Z784" i="7"/>
  <c r="X317" i="7"/>
  <c r="Y193" i="7"/>
  <c r="Y534" i="7"/>
  <c r="AA899" i="7"/>
  <c r="Z760" i="7"/>
  <c r="Z891" i="7"/>
  <c r="Z719" i="7"/>
  <c r="Z774" i="7"/>
  <c r="X986" i="7"/>
  <c r="AA234" i="7"/>
  <c r="Z918" i="7"/>
  <c r="Z778" i="7"/>
  <c r="AA843" i="7"/>
  <c r="Z736" i="7"/>
  <c r="Y442" i="7"/>
  <c r="AA52" i="7"/>
  <c r="Z592" i="7"/>
  <c r="Y414" i="7"/>
  <c r="AA886" i="7"/>
  <c r="Z776" i="7"/>
  <c r="AA808" i="7"/>
  <c r="AA863" i="7"/>
  <c r="AA719" i="7"/>
  <c r="Z113" i="7"/>
  <c r="X384" i="7"/>
  <c r="AA647" i="7"/>
  <c r="Z508" i="7"/>
  <c r="AA263" i="7"/>
  <c r="AA661" i="7"/>
  <c r="Z488" i="7"/>
  <c r="X90" i="7"/>
  <c r="Z534" i="7"/>
  <c r="Z402" i="7"/>
  <c r="Z858" i="7"/>
  <c r="Z210" i="7"/>
  <c r="Y114" i="7"/>
  <c r="X950" i="7"/>
  <c r="AA930" i="7"/>
  <c r="AA390" i="7"/>
  <c r="Z954" i="7"/>
  <c r="Z834" i="7"/>
  <c r="Y702" i="7"/>
  <c r="Y366" i="7"/>
  <c r="Z872" i="7"/>
  <c r="X450" i="7"/>
  <c r="Z246" i="7"/>
  <c r="X929" i="7"/>
  <c r="X818" i="7"/>
  <c r="X820" i="7"/>
  <c r="Z236" i="7"/>
  <c r="X939" i="7"/>
  <c r="AA831" i="7"/>
  <c r="Z85" i="7"/>
  <c r="X177" i="7"/>
  <c r="X234" i="7"/>
  <c r="Y819" i="7"/>
  <c r="Z706" i="7"/>
  <c r="X836" i="7"/>
  <c r="Y513" i="7"/>
  <c r="X962" i="7"/>
  <c r="AA90" i="7"/>
  <c r="Z365" i="7"/>
  <c r="X546" i="7"/>
  <c r="Z810" i="7"/>
  <c r="Y726" i="7"/>
  <c r="Y318" i="7"/>
  <c r="AA833" i="7"/>
  <c r="AA935" i="7"/>
  <c r="AA767" i="7"/>
  <c r="Y944" i="7"/>
  <c r="X497" i="7"/>
  <c r="Y705" i="7"/>
  <c r="Y621" i="7"/>
  <c r="AA539" i="7"/>
  <c r="AA479" i="7"/>
  <c r="Y393" i="7"/>
  <c r="Z68" i="7"/>
  <c r="AA315" i="7"/>
  <c r="Z164" i="7"/>
  <c r="Z378" i="7"/>
  <c r="X751" i="7"/>
  <c r="Z666" i="7"/>
  <c r="AA786" i="7"/>
  <c r="AA102" i="7"/>
  <c r="Y462" i="7"/>
  <c r="Y246" i="7"/>
  <c r="AA394" i="7"/>
  <c r="Z884" i="7"/>
  <c r="Y765" i="7"/>
  <c r="Z553" i="7"/>
  <c r="AA335" i="7"/>
  <c r="AA135" i="7"/>
  <c r="X796" i="7"/>
  <c r="X727" i="7"/>
  <c r="Y450" i="7"/>
  <c r="Z548" i="7"/>
  <c r="AA423" i="7"/>
  <c r="X808" i="7"/>
  <c r="AA851" i="7"/>
  <c r="Z939" i="7"/>
  <c r="X389" i="7"/>
  <c r="X686" i="7"/>
  <c r="Y537" i="7"/>
  <c r="Y477" i="7"/>
  <c r="X695" i="7"/>
  <c r="Y313" i="7"/>
  <c r="X882" i="7"/>
  <c r="X896" i="7"/>
  <c r="X794" i="7"/>
  <c r="Y690" i="7"/>
  <c r="Y186" i="7"/>
  <c r="AA879" i="7"/>
  <c r="Z788" i="7"/>
  <c r="Z916" i="7"/>
  <c r="Y849" i="7"/>
  <c r="X805" i="7"/>
  <c r="X531" i="7"/>
  <c r="AA300" i="7"/>
  <c r="X353" i="7"/>
  <c r="Z638" i="7"/>
  <c r="Z56" i="7"/>
  <c r="Y194" i="7"/>
  <c r="Y681" i="7"/>
  <c r="Z532" i="7"/>
  <c r="Y333" i="7"/>
  <c r="Z661" i="7"/>
  <c r="AA495" i="7"/>
  <c r="Z308" i="7"/>
  <c r="Z128" i="7"/>
  <c r="X860" i="7"/>
  <c r="Y258" i="7"/>
  <c r="X770" i="7"/>
  <c r="Z366" i="7"/>
  <c r="AA702" i="7"/>
  <c r="AA246" i="7"/>
  <c r="Z978" i="7"/>
  <c r="Z882" i="7"/>
  <c r="X911" i="7"/>
  <c r="Y666" i="7"/>
  <c r="AA70" i="7"/>
  <c r="X543" i="7"/>
  <c r="AA783" i="7"/>
  <c r="AA749" i="7"/>
  <c r="AA911" i="7"/>
  <c r="Z832" i="7"/>
  <c r="Y753" i="7"/>
  <c r="AA934" i="7"/>
  <c r="X279" i="7"/>
  <c r="AA823" i="7"/>
  <c r="Z602" i="7"/>
  <c r="Z676" i="7"/>
  <c r="AA599" i="7"/>
  <c r="AA311" i="7"/>
  <c r="X119" i="7"/>
  <c r="AA243" i="7"/>
  <c r="Z104" i="7"/>
  <c r="Y174" i="7"/>
  <c r="X965" i="7"/>
  <c r="X746" i="7"/>
  <c r="Z966" i="7"/>
  <c r="Y810" i="7"/>
  <c r="Y630" i="7"/>
  <c r="X781" i="7"/>
  <c r="X788" i="7"/>
  <c r="X566" i="7"/>
  <c r="Z932" i="7"/>
  <c r="Z663" i="7"/>
  <c r="AA563" i="7"/>
  <c r="X354" i="7"/>
  <c r="Z880" i="7"/>
  <c r="AA937" i="7"/>
  <c r="AA72" i="7"/>
  <c r="Z445" i="7"/>
  <c r="Z67" i="7"/>
  <c r="Y355" i="7"/>
  <c r="X391" i="7"/>
  <c r="X710" i="7"/>
  <c r="X626" i="7"/>
  <c r="Y561" i="7"/>
  <c r="Z484" i="7"/>
  <c r="Y417" i="7"/>
  <c r="Z644" i="7"/>
  <c r="Z344" i="7"/>
  <c r="Y138" i="7"/>
  <c r="Z582" i="7"/>
  <c r="X749" i="7"/>
  <c r="Z474" i="7"/>
  <c r="AA306" i="7"/>
  <c r="AA126" i="7"/>
  <c r="Z678" i="7"/>
  <c r="X719" i="7"/>
  <c r="Y306" i="7"/>
  <c r="Y885" i="7"/>
  <c r="AA419" i="7"/>
  <c r="AA342" i="7"/>
  <c r="AA947" i="7"/>
  <c r="Z772" i="7"/>
  <c r="AA677" i="7"/>
  <c r="AA348" i="7"/>
  <c r="AA60" i="7"/>
  <c r="Y316" i="7"/>
  <c r="X348" i="7"/>
  <c r="AA707" i="7"/>
  <c r="AA623" i="7"/>
  <c r="X482" i="7"/>
  <c r="AA395" i="7"/>
  <c r="Z92" i="7"/>
  <c r="AA639" i="7"/>
  <c r="Y169" i="7"/>
  <c r="X737" i="7"/>
  <c r="Z414" i="7"/>
  <c r="X830" i="7"/>
  <c r="Z690" i="7"/>
  <c r="X789" i="7"/>
  <c r="AA294" i="7"/>
  <c r="Z906" i="7"/>
  <c r="Y294" i="7"/>
  <c r="X114" i="7"/>
  <c r="Z664" i="7"/>
  <c r="Y549" i="7"/>
  <c r="AA491" i="7"/>
  <c r="X855" i="7"/>
  <c r="Z728" i="7"/>
  <c r="Z928" i="7"/>
  <c r="AA779" i="7"/>
  <c r="Y109" i="7"/>
  <c r="Z632" i="7"/>
  <c r="Z536" i="7"/>
  <c r="X414" i="7"/>
  <c r="X306" i="7"/>
  <c r="X162" i="7"/>
  <c r="Z870" i="7"/>
  <c r="AA414" i="7"/>
  <c r="X844" i="7"/>
  <c r="X791" i="7"/>
  <c r="Y498" i="7"/>
  <c r="Y802" i="7"/>
  <c r="X592" i="7"/>
  <c r="Y445" i="7"/>
  <c r="Z852" i="7"/>
  <c r="Y49" i="7"/>
  <c r="X842" i="7"/>
  <c r="Y798" i="7"/>
  <c r="AA923" i="7"/>
  <c r="Y983" i="7"/>
  <c r="X270" i="7"/>
  <c r="Y642" i="7"/>
  <c r="Z800" i="7"/>
  <c r="Z922" i="7"/>
  <c r="Y921" i="7"/>
  <c r="Y884" i="7"/>
  <c r="Z640" i="7"/>
  <c r="AA589" i="7"/>
  <c r="X378" i="7"/>
  <c r="Z450" i="7"/>
  <c r="Y409" i="7"/>
  <c r="X893" i="7"/>
  <c r="AA795" i="7"/>
  <c r="AA917" i="7"/>
  <c r="Z765" i="7"/>
  <c r="Y80" i="7"/>
  <c r="X245" i="7"/>
  <c r="AA573" i="7"/>
  <c r="Y693" i="7"/>
  <c r="X638" i="7"/>
  <c r="Y525" i="7"/>
  <c r="AA493" i="7"/>
  <c r="Y373" i="7"/>
  <c r="X126" i="7"/>
  <c r="Z824" i="7"/>
  <c r="X857" i="7"/>
  <c r="X782" i="7"/>
  <c r="Y762" i="7"/>
  <c r="Y618" i="7"/>
  <c r="Y668" i="7"/>
  <c r="AA915" i="7"/>
  <c r="AA474" i="7"/>
  <c r="AA309" i="7"/>
  <c r="AA723" i="7"/>
  <c r="Z337" i="7"/>
  <c r="Y405" i="7"/>
  <c r="Z762" i="7"/>
  <c r="AA905" i="7"/>
  <c r="Y837" i="7"/>
  <c r="Z71" i="7"/>
  <c r="Z688" i="7"/>
  <c r="AA635" i="7"/>
  <c r="Z580" i="7"/>
  <c r="Z520" i="7"/>
  <c r="X54" i="7"/>
  <c r="X460" i="7"/>
  <c r="Z680" i="7"/>
  <c r="Z368" i="7"/>
  <c r="X810" i="7"/>
  <c r="Z702" i="7"/>
  <c r="X833" i="7"/>
  <c r="Z750" i="7"/>
  <c r="Y938" i="7"/>
  <c r="Z606" i="7"/>
  <c r="Y438" i="7"/>
  <c r="AA502" i="7"/>
  <c r="Y981" i="7"/>
  <c r="Z589" i="7"/>
  <c r="X578" i="7"/>
  <c r="AA675" i="7"/>
  <c r="AA579" i="7"/>
  <c r="X366" i="7"/>
  <c r="Y594" i="7"/>
  <c r="Z874" i="7"/>
  <c r="AA839" i="7"/>
  <c r="AA695" i="7"/>
  <c r="Z436" i="7"/>
  <c r="Z292" i="7"/>
  <c r="AA699" i="7"/>
  <c r="X294" i="7"/>
  <c r="Z188" i="7"/>
  <c r="X917" i="7"/>
  <c r="AA858" i="7"/>
  <c r="AA570" i="7"/>
  <c r="AA270" i="7"/>
  <c r="Z620" i="7"/>
  <c r="AA438" i="7"/>
  <c r="Z716" i="7"/>
  <c r="Z748" i="7"/>
  <c r="X618" i="7"/>
  <c r="X875" i="7"/>
  <c r="X926" i="7"/>
  <c r="Z860" i="7"/>
  <c r="AA847" i="7"/>
  <c r="AA575" i="7"/>
  <c r="AA407" i="7"/>
  <c r="Y141" i="7"/>
  <c r="Z440" i="7"/>
  <c r="X150" i="7"/>
  <c r="AA854" i="7"/>
  <c r="Y822" i="7"/>
  <c r="Z260" i="7"/>
  <c r="AA855" i="7"/>
  <c r="Y915" i="7"/>
  <c r="X573" i="7"/>
  <c r="Z668" i="7"/>
  <c r="Z524" i="7"/>
  <c r="X330" i="7"/>
  <c r="X765" i="7"/>
  <c r="Z658" i="7"/>
  <c r="Z910" i="7"/>
  <c r="Z819" i="7"/>
  <c r="X461" i="7"/>
  <c r="Y465" i="7"/>
  <c r="X666" i="7"/>
  <c r="X522" i="7"/>
  <c r="Y222" i="7"/>
  <c r="X823" i="7"/>
  <c r="AA714" i="7"/>
  <c r="AA354" i="7"/>
  <c r="Z49" i="7"/>
  <c r="Z868" i="7"/>
  <c r="Z724" i="7"/>
  <c r="Y609" i="7"/>
  <c r="X700" i="7"/>
  <c r="Z224" i="7"/>
  <c r="X906" i="7"/>
  <c r="AA852" i="7"/>
  <c r="X977" i="7"/>
  <c r="X797" i="7"/>
  <c r="Y678" i="7"/>
  <c r="Z442" i="7"/>
  <c r="Z908" i="7"/>
  <c r="Z764" i="7"/>
  <c r="Y920" i="7"/>
  <c r="Z116" i="7"/>
  <c r="X222" i="7"/>
  <c r="X868" i="7"/>
  <c r="AA906" i="7"/>
  <c r="Z941" i="7"/>
  <c r="Z915" i="7"/>
  <c r="Z420" i="7"/>
  <c r="AA551" i="7"/>
  <c r="X570" i="7"/>
  <c r="Z404" i="7"/>
  <c r="X858" i="7"/>
  <c r="X953" i="7"/>
  <c r="Z738" i="7"/>
  <c r="Z298" i="7"/>
  <c r="Z845" i="7"/>
  <c r="Z476" i="7"/>
  <c r="Y879" i="7"/>
  <c r="AA983" i="7"/>
  <c r="Y663" i="7"/>
  <c r="Y161" i="7"/>
  <c r="X494" i="7"/>
  <c r="Z296" i="7"/>
  <c r="X78" i="7"/>
  <c r="X834" i="7"/>
  <c r="Y756" i="7"/>
  <c r="X806" i="7"/>
  <c r="Z54" i="7"/>
  <c r="X776" i="7"/>
  <c r="Y713" i="7"/>
  <c r="AA671" i="7"/>
  <c r="AA901" i="7"/>
  <c r="Z90" i="7"/>
  <c r="Z522" i="7"/>
  <c r="X892" i="7"/>
  <c r="Z78" i="7"/>
  <c r="AA706" i="7"/>
  <c r="AA387" i="7"/>
  <c r="Y858" i="7"/>
  <c r="Y813" i="7"/>
  <c r="AA755" i="7"/>
  <c r="AA877" i="7"/>
  <c r="AA838" i="7"/>
  <c r="Y61" i="7"/>
  <c r="Z756" i="7"/>
  <c r="Y453" i="7"/>
  <c r="X410" i="7"/>
  <c r="AA687" i="7"/>
  <c r="Z572" i="7"/>
  <c r="Z452" i="7"/>
  <c r="Y385" i="7"/>
  <c r="Y337" i="7"/>
  <c r="Y277" i="7"/>
  <c r="AA207" i="7"/>
  <c r="Y157" i="7"/>
  <c r="X760" i="7"/>
  <c r="X927" i="7"/>
  <c r="X758" i="7"/>
  <c r="X861" i="7"/>
  <c r="AA222" i="7"/>
  <c r="X904" i="7"/>
  <c r="Y522" i="7"/>
  <c r="X762" i="7"/>
  <c r="X714" i="7"/>
  <c r="X474" i="7"/>
  <c r="X402" i="7"/>
  <c r="Z867" i="7"/>
  <c r="Z766" i="7"/>
  <c r="Z730" i="7"/>
  <c r="Z156" i="7"/>
  <c r="AA810" i="7"/>
  <c r="AA762" i="7"/>
  <c r="AA522" i="7"/>
  <c r="X827" i="7"/>
  <c r="Z735" i="7"/>
  <c r="Y585" i="7"/>
  <c r="AA815" i="7"/>
  <c r="Y848" i="7"/>
  <c r="Z412" i="7"/>
  <c r="Z692" i="7"/>
  <c r="AA339" i="7"/>
  <c r="X752" i="7"/>
  <c r="Y894" i="7"/>
  <c r="X909" i="7"/>
  <c r="X813" i="7"/>
  <c r="Z812" i="7"/>
  <c r="Z740" i="7"/>
  <c r="AA785" i="7"/>
  <c r="AA971" i="7"/>
  <c r="Y824" i="7"/>
  <c r="Z625" i="7"/>
  <c r="Y280" i="7"/>
  <c r="Z700" i="7"/>
  <c r="X614" i="7"/>
  <c r="Z448" i="7"/>
  <c r="AA627" i="7"/>
  <c r="Z380" i="7"/>
  <c r="Z332" i="7"/>
  <c r="Y205" i="7"/>
  <c r="Z152" i="7"/>
  <c r="X748" i="7"/>
  <c r="X915" i="7"/>
  <c r="Y54" i="7"/>
  <c r="Y782" i="7"/>
  <c r="AA630" i="7"/>
  <c r="AA366" i="7"/>
  <c r="AA210" i="7"/>
  <c r="X767" i="7"/>
  <c r="Y654" i="7"/>
  <c r="X923" i="7"/>
  <c r="X887" i="7"/>
  <c r="X851" i="7"/>
  <c r="X815" i="7"/>
  <c r="AA759" i="7"/>
  <c r="AA519" i="7"/>
  <c r="AA435" i="7"/>
  <c r="AA363" i="7"/>
  <c r="AA327" i="7"/>
  <c r="AA291" i="7"/>
  <c r="AA255" i="7"/>
  <c r="X944" i="7"/>
  <c r="X908" i="7"/>
  <c r="X872" i="7"/>
  <c r="X764" i="7"/>
  <c r="X891" i="7"/>
  <c r="X843" i="7"/>
  <c r="X418" i="7"/>
  <c r="Y926" i="7"/>
  <c r="Y794" i="7"/>
  <c r="AA378" i="7"/>
  <c r="Y402" i="7"/>
  <c r="Z988" i="7"/>
  <c r="AA819" i="7"/>
  <c r="Z804" i="7"/>
  <c r="AA459" i="7"/>
  <c r="AA279" i="7"/>
  <c r="X822" i="7"/>
  <c r="AA870" i="7"/>
  <c r="Y930" i="7"/>
  <c r="AA735" i="7"/>
  <c r="Z898" i="7"/>
  <c r="Y771" i="7"/>
  <c r="Y969" i="7"/>
  <c r="Z856" i="7"/>
  <c r="Z796" i="7"/>
  <c r="AA824" i="7"/>
  <c r="Y896" i="7"/>
  <c r="X649" i="7"/>
  <c r="AA535" i="7"/>
  <c r="X425" i="7"/>
  <c r="X698" i="7"/>
  <c r="Z652" i="7"/>
  <c r="AA611" i="7"/>
  <c r="Z568" i="7"/>
  <c r="AA527" i="7"/>
  <c r="Z500" i="7"/>
  <c r="AA447" i="7"/>
  <c r="AA267" i="7"/>
  <c r="Z200" i="7"/>
  <c r="X774" i="7"/>
  <c r="X932" i="7"/>
  <c r="Z714" i="7"/>
  <c r="X903" i="7"/>
  <c r="X905" i="7"/>
  <c r="X775" i="7"/>
  <c r="X938" i="7"/>
  <c r="X837" i="7"/>
  <c r="X964" i="7"/>
  <c r="X854" i="7"/>
  <c r="Z944" i="7"/>
  <c r="Z896" i="7"/>
  <c r="Z656" i="7"/>
  <c r="Z512" i="7"/>
  <c r="Y253" i="7"/>
  <c r="Y217" i="7"/>
  <c r="AA473" i="7"/>
  <c r="AA936" i="7"/>
  <c r="AA187" i="7"/>
  <c r="X849" i="7"/>
  <c r="X801" i="7"/>
  <c r="X753" i="7"/>
  <c r="AA426" i="7"/>
  <c r="X881" i="7"/>
  <c r="X821" i="7"/>
  <c r="X763" i="7"/>
  <c r="Y861" i="7"/>
  <c r="Y717" i="7"/>
  <c r="Y573" i="7"/>
  <c r="Z544" i="7"/>
  <c r="Z438" i="7"/>
  <c r="AA318" i="7"/>
  <c r="Y378" i="7"/>
  <c r="Y786" i="7"/>
  <c r="X848" i="7"/>
  <c r="X596" i="7"/>
  <c r="Z844" i="7"/>
  <c r="X498" i="7"/>
  <c r="X318" i="7"/>
  <c r="Y265" i="7"/>
  <c r="AA822" i="7"/>
  <c r="AA449" i="7"/>
  <c r="Y918" i="7"/>
  <c r="Y882" i="7"/>
  <c r="Y846" i="7"/>
  <c r="X942" i="7"/>
  <c r="X894" i="7"/>
  <c r="X846" i="7"/>
  <c r="X654" i="7"/>
  <c r="X510" i="7"/>
  <c r="Y939" i="7"/>
  <c r="Y903" i="7"/>
  <c r="Y737" i="7"/>
  <c r="AA894" i="7"/>
  <c r="AA846" i="7"/>
  <c r="AA750" i="7"/>
  <c r="AA510" i="7"/>
  <c r="AA462" i="7"/>
  <c r="X941" i="7"/>
  <c r="X976" i="7"/>
  <c r="Z558" i="7"/>
  <c r="Z174" i="7"/>
  <c r="X974" i="7"/>
  <c r="Y945" i="7"/>
  <c r="Y801" i="7"/>
  <c r="AA455" i="7"/>
  <c r="X755" i="7"/>
  <c r="X678" i="7"/>
  <c r="AA231" i="7"/>
  <c r="X884" i="7"/>
  <c r="X902" i="7"/>
  <c r="AA959" i="7"/>
  <c r="Y441" i="7"/>
  <c r="X726" i="7"/>
  <c r="Y873" i="7"/>
  <c r="AA582" i="7"/>
  <c r="AA330" i="7"/>
  <c r="Y474" i="7"/>
  <c r="Z769" i="7"/>
  <c r="AA651" i="7"/>
  <c r="AA603" i="7"/>
  <c r="AA555" i="7"/>
  <c r="AA507" i="7"/>
  <c r="X462" i="7"/>
  <c r="X390" i="7"/>
  <c r="X138" i="7"/>
  <c r="X102" i="7"/>
  <c r="Z934" i="7"/>
  <c r="Z826" i="7"/>
  <c r="Z790" i="7"/>
  <c r="Z546" i="7"/>
  <c r="AA683" i="7"/>
  <c r="X534" i="7"/>
  <c r="AA159" i="7"/>
  <c r="X236" i="7"/>
  <c r="Y729" i="7"/>
  <c r="Y857" i="7"/>
  <c r="X839" i="7"/>
  <c r="AA679" i="7"/>
  <c r="X779" i="7"/>
  <c r="AA774" i="7"/>
  <c r="AA123" i="7"/>
  <c r="X628" i="7"/>
  <c r="X930" i="7"/>
  <c r="X738" i="7"/>
  <c r="Y97" i="7"/>
  <c r="AA211" i="7"/>
  <c r="AA882" i="7"/>
  <c r="AA834" i="7"/>
  <c r="AA738" i="7"/>
  <c r="AA690" i="7"/>
  <c r="AA642" i="7"/>
  <c r="AA546" i="7"/>
  <c r="X811" i="7"/>
  <c r="Z556" i="7"/>
  <c r="Z927" i="7"/>
  <c r="AA99" i="7"/>
  <c r="Y85" i="7"/>
  <c r="X470" i="7"/>
  <c r="Z596" i="7"/>
  <c r="X486" i="7"/>
  <c r="Y421" i="7"/>
  <c r="X174" i="7"/>
  <c r="X812" i="7"/>
  <c r="AA927" i="7"/>
  <c r="AA450" i="7"/>
  <c r="X773" i="7"/>
  <c r="X899" i="7"/>
  <c r="X920" i="7"/>
  <c r="AA678" i="7"/>
  <c r="Z879" i="7"/>
  <c r="X786" i="7"/>
  <c r="X690" i="7"/>
  <c r="AA173" i="7"/>
  <c r="AA929" i="7"/>
  <c r="AA857" i="7"/>
  <c r="Y121" i="7"/>
  <c r="AA351" i="7"/>
  <c r="X870" i="7"/>
  <c r="AA918" i="7"/>
  <c r="AA486" i="7"/>
  <c r="AA137" i="7"/>
  <c r="Z836" i="7"/>
  <c r="Y927" i="7"/>
  <c r="Y843" i="7"/>
  <c r="AA724" i="7"/>
  <c r="Z940" i="7"/>
  <c r="AA827" i="7"/>
  <c r="Y872" i="7"/>
  <c r="Z80" i="7"/>
  <c r="AA63" i="7"/>
  <c r="X506" i="7"/>
  <c r="AA467" i="7"/>
  <c r="X422" i="7"/>
  <c r="AA591" i="7"/>
  <c r="AA531" i="7"/>
  <c r="AA483" i="7"/>
  <c r="Y349" i="7"/>
  <c r="Y301" i="7"/>
  <c r="AA171" i="7"/>
  <c r="Y807" i="7"/>
  <c r="X807" i="7"/>
  <c r="X989" i="7"/>
  <c r="X845" i="7"/>
  <c r="Z390" i="7"/>
  <c r="X928" i="7"/>
  <c r="Y210" i="7"/>
  <c r="X825" i="7"/>
  <c r="X729" i="7"/>
  <c r="Y645" i="7"/>
  <c r="X743" i="7"/>
  <c r="X863" i="7"/>
  <c r="X274" i="7"/>
  <c r="AA747" i="7"/>
  <c r="X66" i="7"/>
  <c r="Y289" i="7"/>
  <c r="AA195" i="7"/>
  <c r="AA942" i="7"/>
  <c r="Z848" i="7"/>
  <c r="Y325" i="7"/>
  <c r="AA803" i="7"/>
  <c r="Y833" i="7"/>
  <c r="X630" i="7"/>
  <c r="AA659" i="7"/>
  <c r="X542" i="7"/>
  <c r="Y429" i="7"/>
  <c r="X282" i="7"/>
  <c r="Y768" i="7"/>
  <c r="Z212" i="7"/>
  <c r="Z862" i="7"/>
  <c r="X945" i="7"/>
  <c r="X897" i="7"/>
  <c r="X988" i="7"/>
  <c r="X935" i="7"/>
  <c r="AA411" i="7"/>
  <c r="AA87" i="7"/>
  <c r="AA898" i="7"/>
  <c r="X582" i="7"/>
  <c r="AA939" i="7"/>
  <c r="Y809" i="7"/>
  <c r="Y460" i="7"/>
  <c r="Y657" i="7"/>
  <c r="Z428" i="7"/>
  <c r="AA375" i="7"/>
  <c r="X798" i="7"/>
  <c r="AA798" i="7"/>
  <c r="AA726" i="7"/>
  <c r="X890" i="7"/>
  <c r="AA903" i="7"/>
  <c r="X602" i="7"/>
  <c r="AA371" i="7"/>
  <c r="AA743" i="7"/>
  <c r="Y73" i="7"/>
  <c r="Z712" i="7"/>
  <c r="X702" i="7"/>
  <c r="Z140" i="7"/>
  <c r="AA891" i="7"/>
  <c r="Z828" i="7"/>
  <c r="X210" i="7"/>
  <c r="AA331" i="7"/>
  <c r="AA155" i="7"/>
  <c r="Z248" i="7"/>
  <c r="X831" i="7"/>
  <c r="AA872" i="7"/>
  <c r="X594" i="7"/>
  <c r="Y457" i="7"/>
  <c r="Y133" i="7"/>
  <c r="Z843" i="7"/>
  <c r="AA893" i="7"/>
  <c r="Y361" i="7"/>
  <c r="Y912" i="7"/>
  <c r="AA761" i="7"/>
  <c r="AA303" i="7"/>
  <c r="Y795" i="7"/>
  <c r="AA869" i="7"/>
  <c r="Z976" i="7"/>
  <c r="X692" i="7"/>
  <c r="Z216" i="7"/>
  <c r="Z400" i="7"/>
  <c r="X246" i="7"/>
  <c r="X918" i="7"/>
  <c r="AA534" i="7"/>
  <c r="Z608" i="7"/>
  <c r="X558" i="7"/>
  <c r="Z464" i="7"/>
  <c r="Y867" i="7"/>
  <c r="Z628" i="7"/>
  <c r="AA515" i="7"/>
  <c r="X398" i="7"/>
  <c r="X642" i="7"/>
  <c r="X750" i="7"/>
  <c r="Y270" i="7"/>
  <c r="Y162" i="7"/>
  <c r="AA543" i="7"/>
  <c r="Z272" i="7"/>
  <c r="Y834" i="7"/>
  <c r="Z424" i="7"/>
  <c r="Z416" i="7"/>
  <c r="AA910" i="7"/>
  <c r="AA399" i="7"/>
  <c r="AA807" i="7"/>
  <c r="Z752" i="7"/>
  <c r="Y908" i="7"/>
  <c r="AA862" i="7"/>
  <c r="Y469" i="7"/>
  <c r="Y433" i="7"/>
  <c r="Z392" i="7"/>
  <c r="Z356" i="7"/>
  <c r="Z320" i="7"/>
  <c r="Z284" i="7"/>
  <c r="X800" i="7"/>
  <c r="AA615" i="7"/>
  <c r="AA567" i="7"/>
  <c r="AA606" i="7"/>
  <c r="AA558" i="7"/>
  <c r="AA75" i="7"/>
  <c r="AA111" i="7"/>
  <c r="AA711" i="7"/>
  <c r="Z560" i="7"/>
  <c r="Y942" i="7"/>
  <c r="Y870" i="7"/>
  <c r="Z704" i="7"/>
  <c r="AA147" i="7"/>
  <c r="AA941" i="7"/>
  <c r="AA219" i="7"/>
  <c r="AA183" i="7"/>
  <c r="Y145" i="7"/>
  <c r="AA654" i="7"/>
  <c r="AA867" i="7"/>
  <c r="AA881" i="7"/>
  <c r="AA809" i="7"/>
  <c r="AA920" i="7"/>
  <c r="Y501" i="7"/>
  <c r="Z136" i="7"/>
  <c r="AA663" i="7"/>
  <c r="Z584" i="7"/>
  <c r="X438" i="7"/>
  <c r="Z176" i="7"/>
  <c r="Z462" i="7"/>
  <c r="Y906" i="7"/>
  <c r="AA471" i="7"/>
  <c r="Y397" i="7"/>
  <c r="Y181" i="7"/>
  <c r="X606" i="7"/>
  <c r="AA62" i="7"/>
  <c r="X258" i="7"/>
  <c r="Q139" i="1"/>
  <c r="M196" i="1"/>
  <c r="X183" i="7"/>
  <c r="Y213" i="7"/>
  <c r="X81" i="7"/>
  <c r="AA180" i="7"/>
  <c r="Z179" i="7"/>
  <c r="X206" i="7"/>
  <c r="Y514" i="7"/>
  <c r="Y106" i="7"/>
  <c r="Z485" i="7"/>
  <c r="Y322" i="7"/>
  <c r="Y310" i="7"/>
  <c r="AA347" i="7"/>
  <c r="AA456" i="7"/>
  <c r="Y88" i="7"/>
  <c r="Y58" i="7"/>
  <c r="Z76" i="7"/>
  <c r="AA396" i="7"/>
  <c r="Z52" i="7"/>
  <c r="Y64" i="7"/>
  <c r="Z775" i="7"/>
  <c r="Y96" i="7"/>
  <c r="X451" i="7"/>
  <c r="Y950" i="7"/>
  <c r="AA273" i="7"/>
  <c r="X415" i="7"/>
  <c r="AA88" i="7"/>
  <c r="X47" i="7"/>
  <c r="AA781" i="7"/>
  <c r="Z768" i="7"/>
  <c r="AA201" i="7"/>
  <c r="Y386" i="7"/>
  <c r="Y62" i="7"/>
  <c r="Z683" i="7"/>
  <c r="X895" i="7"/>
  <c r="X515" i="7"/>
  <c r="AA165" i="7"/>
  <c r="Y650" i="7"/>
  <c r="X564" i="7"/>
  <c r="AA93" i="7"/>
  <c r="Y302" i="7"/>
  <c r="X299" i="7"/>
  <c r="X571" i="7"/>
  <c r="Z285" i="7"/>
  <c r="AA697" i="7"/>
  <c r="Z781" i="7"/>
  <c r="X335" i="7"/>
  <c r="Z611" i="7"/>
  <c r="X227" i="7"/>
  <c r="AA532" i="7"/>
  <c r="AA196" i="7"/>
  <c r="X479" i="7"/>
  <c r="K188" i="1"/>
  <c r="AH196" i="1" s="1"/>
  <c r="Z733" i="7"/>
  <c r="Y532" i="7"/>
  <c r="X125" i="7"/>
  <c r="AA625" i="7"/>
  <c r="X443" i="7"/>
  <c r="Z489" i="7"/>
  <c r="AA184" i="7"/>
  <c r="X371" i="7"/>
  <c r="X263" i="7"/>
  <c r="AA722" i="7"/>
  <c r="AA276" i="7"/>
  <c r="AA71" i="7"/>
  <c r="Z53" i="7"/>
  <c r="Y563" i="7"/>
  <c r="Y203" i="7"/>
  <c r="Y527" i="7"/>
  <c r="Y167" i="7"/>
  <c r="Y218" i="7"/>
  <c r="Y491" i="7"/>
  <c r="Y131" i="7"/>
  <c r="Y178" i="7"/>
  <c r="Y455" i="7"/>
  <c r="Y419" i="7"/>
  <c r="Y383" i="7"/>
  <c r="Y398" i="7"/>
  <c r="Z177" i="7"/>
  <c r="Y347" i="7"/>
  <c r="Z877" i="7"/>
  <c r="Y311" i="7"/>
  <c r="Z708" i="7"/>
  <c r="Y245" i="7"/>
  <c r="Y593" i="7"/>
  <c r="AA484" i="7"/>
  <c r="Z564" i="7"/>
  <c r="X130" i="7"/>
  <c r="Y237" i="7"/>
  <c r="Y449" i="7"/>
  <c r="Z72" i="7"/>
  <c r="AA66" i="7"/>
  <c r="AA120" i="7"/>
  <c r="Z360" i="7"/>
  <c r="Y57" i="7"/>
  <c r="Y345" i="7"/>
  <c r="Y94" i="7"/>
  <c r="X766" i="7"/>
  <c r="Y293" i="7"/>
  <c r="X86" i="7"/>
  <c r="X680" i="7"/>
  <c r="AA78" i="7"/>
  <c r="X212" i="7"/>
  <c r="Y166" i="7"/>
  <c r="Z220" i="7"/>
  <c r="Y381" i="7"/>
  <c r="X507" i="7"/>
  <c r="Y314" i="7"/>
  <c r="Z161" i="7"/>
  <c r="AA506" i="7"/>
  <c r="X62" i="7"/>
  <c r="Y370" i="7"/>
  <c r="X182" i="7"/>
  <c r="Y177" i="7"/>
  <c r="Z673" i="7"/>
  <c r="Y309" i="7"/>
  <c r="Y189" i="7"/>
  <c r="X275" i="7"/>
  <c r="AA480" i="7"/>
  <c r="Z245" i="7"/>
  <c r="AA144" i="7"/>
  <c r="AA745" i="7"/>
  <c r="Y478" i="7"/>
  <c r="Z233" i="7"/>
  <c r="AA177" i="7"/>
  <c r="Y52" i="7"/>
  <c r="Z709" i="7"/>
  <c r="Y225" i="7"/>
  <c r="AA156" i="7"/>
  <c r="Z623" i="7"/>
  <c r="Z529" i="7"/>
  <c r="Y538" i="7"/>
  <c r="AA215" i="7"/>
  <c r="AA420" i="7"/>
  <c r="X671" i="7"/>
  <c r="Y250" i="7"/>
  <c r="Y418" i="7"/>
  <c r="Y160" i="7"/>
  <c r="Z208" i="7"/>
  <c r="Y81" i="7"/>
  <c r="Z65" i="7"/>
  <c r="AA800" i="7"/>
  <c r="Z509" i="7"/>
  <c r="Z389" i="7"/>
  <c r="Z293" i="7"/>
  <c r="Z47" i="7"/>
  <c r="X194" i="7"/>
  <c r="X74" i="7"/>
  <c r="Y148" i="7"/>
  <c r="AA645" i="7"/>
  <c r="AA429" i="7"/>
  <c r="AA236" i="7"/>
  <c r="Y707" i="7"/>
  <c r="X496" i="7"/>
  <c r="X280" i="7"/>
  <c r="Z89" i="7"/>
  <c r="Z251" i="7"/>
  <c r="Y391" i="7"/>
  <c r="X244" i="7"/>
  <c r="AA609" i="7"/>
  <c r="Y319" i="7"/>
  <c r="X172" i="7"/>
  <c r="AA200" i="7"/>
  <c r="AA537" i="7"/>
  <c r="Y283" i="7"/>
  <c r="X388" i="7"/>
  <c r="AA753" i="7"/>
  <c r="AA128" i="7"/>
  <c r="AA717" i="7"/>
  <c r="AA501" i="7"/>
  <c r="Z431" i="7"/>
  <c r="X568" i="7"/>
  <c r="X352" i="7"/>
  <c r="X136" i="7"/>
  <c r="Z209" i="7"/>
  <c r="AA681" i="7"/>
  <c r="Y434" i="7"/>
  <c r="X532" i="7"/>
  <c r="X316" i="7"/>
  <c r="AA73" i="7"/>
  <c r="AA964" i="7"/>
  <c r="AA884" i="7"/>
  <c r="Z659" i="7"/>
  <c r="Z909" i="7"/>
  <c r="X491" i="7"/>
  <c r="X347" i="7"/>
  <c r="AA601" i="7"/>
  <c r="X635" i="7"/>
  <c r="AA820" i="7"/>
  <c r="AA836" i="7"/>
  <c r="X383" i="7"/>
  <c r="Z345" i="7"/>
  <c r="Z695" i="7"/>
  <c r="AA752" i="7"/>
  <c r="X585" i="7"/>
  <c r="AA76" i="7"/>
  <c r="AA980" i="7"/>
  <c r="AA141" i="7"/>
  <c r="X455" i="7"/>
  <c r="AA105" i="7"/>
  <c r="AA932" i="7"/>
  <c r="AA220" i="7"/>
  <c r="Z731" i="7"/>
  <c r="AA673" i="7"/>
  <c r="Y544" i="7"/>
  <c r="X707" i="7"/>
  <c r="Y617" i="7"/>
  <c r="X73" i="7"/>
  <c r="M187" i="1"/>
  <c r="Y531" i="7"/>
  <c r="Z835" i="7"/>
  <c r="X910" i="7"/>
  <c r="Z977" i="7"/>
  <c r="X577" i="7"/>
  <c r="Y63" i="7"/>
  <c r="Y711" i="7"/>
  <c r="Y459" i="7"/>
  <c r="AA981" i="7"/>
  <c r="Z947" i="7"/>
  <c r="X541" i="7"/>
  <c r="Y423" i="7"/>
  <c r="X687" i="7"/>
  <c r="AA559" i="7"/>
  <c r="X298" i="7"/>
  <c r="AA945" i="7"/>
  <c r="Y495" i="7"/>
  <c r="X790" i="7"/>
  <c r="Z899" i="7"/>
  <c r="X469" i="7"/>
  <c r="Y315" i="7"/>
  <c r="Y658" i="7"/>
  <c r="Y761" i="7"/>
  <c r="Y847" i="7"/>
  <c r="Z905" i="7"/>
  <c r="Z839" i="7"/>
  <c r="Z759" i="7"/>
  <c r="X433" i="7"/>
  <c r="Y279" i="7"/>
  <c r="X627" i="7"/>
  <c r="Y473" i="7"/>
  <c r="Y811" i="7"/>
  <c r="AA797" i="7"/>
  <c r="AA864" i="7"/>
  <c r="X397" i="7"/>
  <c r="AA588" i="7"/>
  <c r="Z732" i="7"/>
  <c r="Y269" i="7"/>
  <c r="AA780" i="7"/>
  <c r="Z723" i="7"/>
  <c r="X217" i="7"/>
  <c r="Y675" i="7"/>
  <c r="Y135" i="7"/>
  <c r="Z444" i="7"/>
  <c r="X181" i="7"/>
  <c r="AA703" i="7"/>
  <c r="X613" i="7"/>
  <c r="Y881" i="7"/>
  <c r="Z979" i="7"/>
  <c r="X145" i="7"/>
  <c r="Y639" i="7"/>
  <c r="AA566" i="7"/>
  <c r="Z153" i="7"/>
  <c r="AA355" i="7"/>
  <c r="Z931" i="7"/>
  <c r="X685" i="7"/>
  <c r="X109" i="7"/>
  <c r="Y603" i="7"/>
  <c r="AA811" i="7"/>
  <c r="X646" i="7"/>
  <c r="AA415" i="7"/>
  <c r="Y876" i="7"/>
  <c r="AA802" i="7"/>
  <c r="Y567" i="7"/>
  <c r="AA967" i="7"/>
  <c r="Z384" i="7"/>
  <c r="AA830" i="7"/>
  <c r="AA840" i="7"/>
  <c r="AA538" i="7"/>
  <c r="AA142" i="7"/>
  <c r="AA624" i="7"/>
  <c r="Z809" i="7"/>
  <c r="AA466" i="7"/>
  <c r="AA106" i="7"/>
  <c r="Z581" i="7"/>
  <c r="AA682" i="7"/>
  <c r="Z670" i="7"/>
  <c r="Z382" i="7"/>
  <c r="Y778" i="7"/>
  <c r="Y747" i="7"/>
  <c r="AA744" i="7"/>
  <c r="AA322" i="7"/>
  <c r="Z310" i="7"/>
  <c r="Z770" i="7"/>
  <c r="AA646" i="7"/>
  <c r="Z803" i="7"/>
  <c r="Z94" i="7"/>
  <c r="Z598" i="7"/>
  <c r="Z274" i="7"/>
  <c r="Z713" i="7"/>
  <c r="AA250" i="7"/>
  <c r="Y936" i="7"/>
  <c r="X757" i="7"/>
  <c r="AA610" i="7"/>
  <c r="AA214" i="7"/>
  <c r="Z238" i="7"/>
  <c r="Y941" i="7"/>
  <c r="Z107" i="7"/>
  <c r="Z58" i="7"/>
  <c r="Z562" i="7"/>
  <c r="AA684" i="7"/>
  <c r="Z912" i="7"/>
  <c r="AA878" i="7"/>
  <c r="AA574" i="7"/>
  <c r="AA178" i="7"/>
  <c r="Z202" i="7"/>
  <c r="AA900" i="7"/>
  <c r="AA718" i="7"/>
  <c r="Z526" i="7"/>
  <c r="Y184" i="7"/>
  <c r="X350" i="7"/>
  <c r="Y79" i="7"/>
  <c r="Z921" i="7"/>
  <c r="Y840" i="7"/>
  <c r="X717" i="7"/>
  <c r="AA368" i="7"/>
  <c r="Y898" i="7"/>
  <c r="AA417" i="7"/>
  <c r="AA620" i="7"/>
  <c r="AA692" i="7"/>
  <c r="K180" i="1"/>
  <c r="X92" i="7"/>
  <c r="Z865" i="7"/>
  <c r="Y204" i="7"/>
  <c r="Z69" i="7"/>
  <c r="Y587" i="7"/>
  <c r="M179" i="1"/>
  <c r="Y779" i="7"/>
  <c r="Z120" i="7"/>
  <c r="AA705" i="7"/>
  <c r="AA332" i="7"/>
  <c r="Y608" i="7"/>
  <c r="Y904" i="7"/>
  <c r="Y806" i="7"/>
  <c r="AA91" i="7"/>
  <c r="Y672" i="7"/>
  <c r="X173" i="7"/>
  <c r="Z347" i="7"/>
  <c r="Z717" i="7"/>
  <c r="Z383" i="7"/>
  <c r="AA656" i="7"/>
  <c r="AA476" i="7"/>
  <c r="Z612" i="7"/>
  <c r="Z264" i="7"/>
  <c r="Y636" i="7"/>
  <c r="Y384" i="7"/>
  <c r="AA669" i="7"/>
  <c r="Y379" i="7"/>
  <c r="Y199" i="7"/>
  <c r="Y50" i="7"/>
  <c r="AA760" i="7"/>
  <c r="AA80" i="7"/>
  <c r="Y600" i="7"/>
  <c r="Y144" i="7"/>
  <c r="AA525" i="7"/>
  <c r="AA584" i="7"/>
  <c r="Y235" i="7"/>
  <c r="Z755" i="7"/>
  <c r="Z275" i="7"/>
  <c r="AA583" i="7"/>
  <c r="AA235" i="7"/>
  <c r="AA116" i="7"/>
  <c r="X64" i="7"/>
  <c r="AA296" i="7"/>
  <c r="Z381" i="7"/>
  <c r="Y970" i="7"/>
  <c r="Z961" i="7"/>
  <c r="Z239" i="7"/>
  <c r="AA379" i="7"/>
  <c r="Y564" i="7"/>
  <c r="Y312" i="7"/>
  <c r="AA633" i="7"/>
  <c r="Y343" i="7"/>
  <c r="Y163" i="7"/>
  <c r="AA440" i="7"/>
  <c r="Z309" i="7"/>
  <c r="X175" i="7"/>
  <c r="Y659" i="7"/>
  <c r="Y785" i="7"/>
  <c r="Y708" i="7"/>
  <c r="AA727" i="7"/>
  <c r="Y528" i="7"/>
  <c r="Z115" i="7"/>
  <c r="AA489" i="7"/>
  <c r="Z645" i="7"/>
  <c r="Y446" i="7"/>
  <c r="AA260" i="7"/>
  <c r="Y934" i="7"/>
  <c r="Z455" i="7"/>
  <c r="X178" i="7"/>
  <c r="Y276" i="7"/>
  <c r="Y307" i="7"/>
  <c r="AA188" i="7"/>
  <c r="Y420" i="7"/>
  <c r="Z913" i="7"/>
  <c r="X526" i="7"/>
  <c r="AA512" i="7"/>
  <c r="AA597" i="7"/>
  <c r="AA453" i="7"/>
  <c r="Z609" i="7"/>
  <c r="Z273" i="7"/>
  <c r="Z419" i="7"/>
  <c r="AA152" i="7"/>
  <c r="Y623" i="7"/>
  <c r="AA561" i="7"/>
  <c r="AA892" i="7"/>
  <c r="Y875" i="7"/>
  <c r="X128" i="7"/>
  <c r="Y497" i="7"/>
  <c r="X322" i="7"/>
  <c r="Y149" i="7"/>
  <c r="Y492" i="7"/>
  <c r="Y240" i="7"/>
  <c r="AA86" i="7"/>
  <c r="AA741" i="7"/>
  <c r="Y91" i="7"/>
  <c r="AA604" i="7"/>
  <c r="Y266" i="7"/>
  <c r="AA844" i="7"/>
  <c r="Y827" i="7"/>
  <c r="X670" i="7"/>
  <c r="AA404" i="7"/>
  <c r="Y271" i="7"/>
  <c r="Y731" i="7"/>
  <c r="Y595" i="7"/>
  <c r="AA436" i="7"/>
  <c r="Z86" i="7"/>
  <c r="Z817" i="7"/>
  <c r="Y758" i="7"/>
  <c r="Z230" i="7"/>
  <c r="X453" i="7"/>
  <c r="Y676" i="7"/>
  <c r="Z374" i="7"/>
  <c r="AA940" i="7"/>
  <c r="AA376" i="7"/>
  <c r="X273" i="7"/>
  <c r="AA268" i="7"/>
  <c r="Z527" i="7"/>
  <c r="X237" i="7"/>
  <c r="X643" i="7"/>
  <c r="Z369" i="7"/>
  <c r="Y640" i="7"/>
  <c r="X345" i="7"/>
  <c r="Z801" i="7"/>
  <c r="AA472" i="7"/>
  <c r="Y890" i="7"/>
  <c r="Z194" i="7"/>
  <c r="X489" i="7"/>
  <c r="X715" i="7"/>
  <c r="X262" i="7"/>
  <c r="Y703" i="7"/>
  <c r="AA304" i="7"/>
  <c r="Z122" i="7"/>
  <c r="AA973" i="7"/>
  <c r="Z563" i="7"/>
  <c r="Z266" i="7"/>
  <c r="X679" i="7"/>
  <c r="X523" i="7"/>
  <c r="AA172" i="7"/>
  <c r="Y842" i="7"/>
  <c r="AA520" i="7"/>
  <c r="Y170" i="7"/>
  <c r="AA203" i="7"/>
  <c r="AA133" i="7"/>
  <c r="Z973" i="7"/>
  <c r="Z829" i="7"/>
  <c r="AA425" i="7"/>
  <c r="AA660" i="7"/>
  <c r="Y208" i="7"/>
  <c r="Z170" i="7"/>
  <c r="Y297" i="7"/>
  <c r="AA421" i="7"/>
  <c r="AA277" i="7"/>
  <c r="AA889" i="7"/>
  <c r="Y142" i="7"/>
  <c r="Z355" i="7"/>
  <c r="X100" i="7"/>
  <c r="Z957" i="7"/>
  <c r="Z543" i="7"/>
  <c r="AA389" i="7"/>
  <c r="X135" i="7"/>
  <c r="X117" i="7"/>
  <c r="Z539" i="7"/>
  <c r="X463" i="7"/>
  <c r="Z364" i="7"/>
  <c r="Z184" i="7"/>
  <c r="X141" i="7"/>
  <c r="AA565" i="7"/>
  <c r="AA241" i="7"/>
  <c r="Y770" i="7"/>
  <c r="X303" i="7"/>
  <c r="Z197" i="7"/>
  <c r="Z242" i="7"/>
  <c r="Y326" i="7"/>
  <c r="X362" i="7"/>
  <c r="AA385" i="7"/>
  <c r="Y71" i="7"/>
  <c r="Y839" i="7"/>
  <c r="Z925" i="7"/>
  <c r="Z134" i="7"/>
  <c r="Z203" i="7"/>
  <c r="AA740" i="7"/>
  <c r="Y586" i="7"/>
  <c r="AA59" i="7"/>
  <c r="AA529" i="7"/>
  <c r="AA205" i="7"/>
  <c r="Z767" i="7"/>
  <c r="Y791" i="7"/>
  <c r="AA281" i="7"/>
  <c r="AA127" i="7"/>
  <c r="X170" i="7"/>
  <c r="AA349" i="7"/>
  <c r="Y902" i="7"/>
  <c r="AA360" i="7"/>
  <c r="Z206" i="7"/>
  <c r="Z57" i="7"/>
  <c r="X338" i="7"/>
  <c r="Z533" i="7"/>
  <c r="X447" i="7"/>
  <c r="X351" i="7"/>
  <c r="AA313" i="7"/>
  <c r="AA240" i="7"/>
  <c r="X465" i="7"/>
  <c r="Y924" i="7"/>
  <c r="Y620" i="7"/>
  <c r="Z807" i="7"/>
  <c r="Y583" i="7"/>
  <c r="X292" i="7"/>
  <c r="X712" i="7"/>
  <c r="AA361" i="7"/>
  <c r="AA253" i="7"/>
  <c r="AA145" i="7"/>
  <c r="Y321" i="7"/>
  <c r="AA469" i="7"/>
  <c r="Z889" i="7"/>
  <c r="X440" i="7"/>
  <c r="Z349" i="7"/>
  <c r="Z155" i="7"/>
  <c r="Z313" i="7"/>
  <c r="X121" i="7"/>
  <c r="AA325" i="7"/>
  <c r="AA217" i="7"/>
  <c r="AA109" i="7"/>
  <c r="AA516" i="7"/>
  <c r="X216" i="7"/>
  <c r="X676" i="7"/>
  <c r="AA433" i="7"/>
  <c r="Z985" i="7"/>
  <c r="Z61" i="7"/>
  <c r="Z88" i="7"/>
  <c r="Z601" i="7"/>
  <c r="Z241" i="7"/>
  <c r="AA700" i="7"/>
  <c r="Z352" i="7"/>
  <c r="Z493" i="7"/>
  <c r="Z205" i="7"/>
  <c r="Z637" i="7"/>
  <c r="Z841" i="7"/>
  <c r="X584" i="7"/>
  <c r="X266" i="7"/>
  <c r="AA83" i="7"/>
  <c r="AA397" i="7"/>
  <c r="AA181" i="7"/>
  <c r="Z937" i="7"/>
  <c r="Z169" i="7"/>
  <c r="Z133" i="7"/>
  <c r="AA289" i="7"/>
  <c r="X52" i="7"/>
  <c r="Z277" i="7"/>
  <c r="X254" i="7"/>
  <c r="AA505" i="7"/>
  <c r="K172" i="1"/>
  <c r="M171" i="1"/>
  <c r="Z773" i="7"/>
  <c r="Z617" i="7"/>
  <c r="AA53" i="7"/>
  <c r="Z737" i="7"/>
  <c r="Y487" i="7"/>
  <c r="AA708" i="7"/>
  <c r="Z569" i="7"/>
  <c r="Z199" i="7"/>
  <c r="Y667" i="7"/>
  <c r="X223" i="7"/>
  <c r="Z204" i="7"/>
  <c r="Y451" i="7"/>
  <c r="Z338" i="7"/>
  <c r="Z315" i="7"/>
  <c r="X123" i="7"/>
  <c r="Z55" i="7"/>
  <c r="Y559" i="7"/>
  <c r="Z603" i="7"/>
  <c r="Z279" i="7"/>
  <c r="AA170" i="7"/>
  <c r="Z461" i="7"/>
  <c r="Y631" i="7"/>
  <c r="Z302" i="7"/>
  <c r="X134" i="7"/>
  <c r="X651" i="7"/>
  <c r="AA252" i="7"/>
  <c r="Y739" i="7"/>
  <c r="Y415" i="7"/>
  <c r="AA64" i="7"/>
  <c r="X519" i="7"/>
  <c r="Y523" i="7"/>
  <c r="Y832" i="7"/>
  <c r="X629" i="7"/>
  <c r="Z465" i="7"/>
  <c r="Z139" i="7"/>
  <c r="Y200" i="7"/>
  <c r="Z742" i="7"/>
  <c r="X152" i="7"/>
  <c r="Y836" i="7"/>
  <c r="Y176" i="7"/>
  <c r="X560" i="7"/>
  <c r="X296" i="7"/>
  <c r="X668" i="7"/>
  <c r="Y248" i="7"/>
  <c r="X632" i="7"/>
  <c r="Z747" i="7"/>
  <c r="X61" i="7"/>
  <c r="Y303" i="7"/>
  <c r="Y123" i="7"/>
  <c r="X269" i="7"/>
  <c r="Z662" i="7"/>
  <c r="Z410" i="7"/>
  <c r="AA364" i="7"/>
  <c r="X421" i="7"/>
  <c r="X550" i="7"/>
  <c r="X406" i="7"/>
  <c r="X593" i="7"/>
  <c r="Y158" i="7"/>
  <c r="Z929" i="7"/>
  <c r="Z799" i="7"/>
  <c r="X300" i="7"/>
  <c r="X385" i="7"/>
  <c r="X377" i="7"/>
  <c r="Z734" i="7"/>
  <c r="Z482" i="7"/>
  <c r="Y744" i="7"/>
  <c r="Y665" i="7"/>
  <c r="X557" i="7"/>
  <c r="Y87" i="7"/>
  <c r="AA737" i="7"/>
  <c r="Z492" i="7"/>
  <c r="Z626" i="7"/>
  <c r="Z554" i="7"/>
  <c r="X372" i="7"/>
  <c r="X313" i="7"/>
  <c r="X346" i="7"/>
  <c r="X521" i="7"/>
  <c r="X341" i="7"/>
  <c r="AA957" i="7"/>
  <c r="Z893" i="7"/>
  <c r="Z577" i="7"/>
  <c r="AA463" i="7"/>
  <c r="X701" i="7"/>
  <c r="Z698" i="7"/>
  <c r="Z446" i="7"/>
  <c r="Y375" i="7"/>
  <c r="Y159" i="7"/>
  <c r="X202" i="7"/>
  <c r="Y850" i="7"/>
  <c r="X493" i="7"/>
  <c r="X97" i="7"/>
  <c r="Y339" i="7"/>
  <c r="Y317" i="7"/>
  <c r="X665" i="7"/>
  <c r="X305" i="7"/>
  <c r="X53" i="7"/>
  <c r="AA826" i="7"/>
  <c r="Y799" i="7"/>
  <c r="Z590" i="7"/>
  <c r="Z518" i="7"/>
  <c r="X336" i="7"/>
  <c r="Y614" i="7"/>
  <c r="X55" i="7"/>
  <c r="AA229" i="7"/>
  <c r="X525" i="7"/>
  <c r="AA662" i="7"/>
  <c r="AA553" i="7"/>
  <c r="Z541" i="7"/>
  <c r="X171" i="7"/>
  <c r="AA769" i="7"/>
  <c r="Z641" i="7"/>
  <c r="AA299" i="7"/>
  <c r="Z131" i="7"/>
  <c r="Z851" i="7"/>
  <c r="Y923" i="7"/>
  <c r="Y56" i="7"/>
  <c r="Y340" i="7"/>
  <c r="X404" i="7"/>
  <c r="AA468" i="7"/>
  <c r="Z221" i="7"/>
  <c r="Z505" i="7"/>
  <c r="Z890" i="7"/>
  <c r="X331" i="7"/>
  <c r="X259" i="7"/>
  <c r="X165" i="7"/>
  <c r="Y971" i="7"/>
  <c r="Z109" i="7"/>
  <c r="Z885" i="7"/>
  <c r="Z753" i="7"/>
  <c r="X116" i="7"/>
  <c r="AA732" i="7"/>
  <c r="Y242" i="7"/>
  <c r="AA517" i="7"/>
  <c r="X99" i="7"/>
  <c r="AA902" i="7"/>
  <c r="AA988" i="7"/>
  <c r="X548" i="7"/>
  <c r="X260" i="7"/>
  <c r="X291" i="7"/>
  <c r="X828" i="7"/>
  <c r="X146" i="7"/>
  <c r="AA193" i="7"/>
  <c r="Y128" i="7"/>
  <c r="Y273" i="7"/>
  <c r="Z837" i="7"/>
  <c r="AA865" i="7"/>
  <c r="X368" i="7"/>
  <c r="X224" i="7"/>
  <c r="Z433" i="7"/>
  <c r="Z701" i="7"/>
  <c r="Y461" i="7"/>
  <c r="Z289" i="7"/>
  <c r="AA148" i="7"/>
  <c r="AA265" i="7"/>
  <c r="AA297" i="7"/>
  <c r="X512" i="7"/>
  <c r="X267" i="7"/>
  <c r="Y749" i="7"/>
  <c r="AA554" i="7"/>
  <c r="X792" i="7"/>
  <c r="Z469" i="7"/>
  <c r="AA61" i="7"/>
  <c r="Y236" i="7"/>
  <c r="X80" i="7"/>
  <c r="X332" i="7"/>
  <c r="Z599" i="7"/>
  <c r="Y261" i="7"/>
  <c r="AA131" i="7"/>
  <c r="Z739" i="7"/>
  <c r="Y826" i="7"/>
  <c r="Z933" i="7"/>
  <c r="AA817" i="7"/>
  <c r="X620" i="7"/>
  <c r="X476" i="7"/>
  <c r="X188" i="7"/>
  <c r="Z73" i="7"/>
  <c r="AA672" i="7"/>
  <c r="X555" i="7"/>
  <c r="Z497" i="7"/>
  <c r="AA408" i="7"/>
  <c r="Z613" i="7"/>
  <c r="Z397" i="7"/>
  <c r="AA157" i="7"/>
  <c r="AA168" i="7"/>
  <c r="Z811" i="7"/>
  <c r="AA928" i="7"/>
  <c r="X799" i="7"/>
  <c r="Y92" i="7"/>
  <c r="Y334" i="7"/>
  <c r="AA179" i="7"/>
  <c r="Y855" i="7"/>
  <c r="AA895" i="7"/>
  <c r="AA691" i="7"/>
  <c r="X724" i="7"/>
  <c r="X588" i="7"/>
  <c r="Z955" i="7"/>
  <c r="AA794" i="7"/>
  <c r="Y976" i="7"/>
  <c r="Z962" i="7"/>
  <c r="X660" i="7"/>
  <c r="X982" i="7"/>
  <c r="Z840" i="7"/>
  <c r="Y257" i="7"/>
  <c r="AA960" i="7"/>
  <c r="AA828" i="7"/>
  <c r="Z923" i="7"/>
  <c r="Y953" i="7"/>
  <c r="AA266" i="7"/>
  <c r="Z926" i="7"/>
  <c r="X688" i="7"/>
  <c r="Z797" i="7"/>
  <c r="Z875" i="7"/>
  <c r="Z924" i="7"/>
  <c r="Z831" i="7"/>
  <c r="Z720" i="7"/>
  <c r="Z228" i="7"/>
  <c r="Y113" i="7"/>
  <c r="AA518" i="7"/>
  <c r="AA374" i="7"/>
  <c r="X732" i="7"/>
  <c r="X444" i="7"/>
  <c r="AA369" i="7"/>
  <c r="AA160" i="7"/>
  <c r="Y448" i="7"/>
  <c r="Z685" i="7"/>
  <c r="AA924" i="7"/>
  <c r="AA612" i="7"/>
  <c r="X516" i="7"/>
  <c r="Z432" i="7"/>
  <c r="AA626" i="7"/>
  <c r="AA230" i="7"/>
  <c r="AA69" i="7"/>
  <c r="Z477" i="7"/>
  <c r="AA55" i="7"/>
  <c r="AA482" i="7"/>
  <c r="X264" i="7"/>
  <c r="X127" i="7"/>
  <c r="Y484" i="7"/>
  <c r="AA590" i="7"/>
  <c r="X696" i="7"/>
  <c r="X624" i="7"/>
  <c r="Z561" i="7"/>
  <c r="Y374" i="7"/>
  <c r="X295" i="7"/>
  <c r="X115" i="7"/>
  <c r="Z943" i="7"/>
  <c r="Y766" i="7"/>
  <c r="Z711" i="7"/>
  <c r="Z46" i="7"/>
  <c r="X408" i="7"/>
  <c r="AA333" i="7"/>
  <c r="Z537" i="7"/>
  <c r="AA460" i="7"/>
  <c r="Z361" i="7"/>
  <c r="AA888" i="7"/>
  <c r="AA598" i="7"/>
  <c r="AA302" i="7"/>
  <c r="X552" i="7"/>
  <c r="X480" i="7"/>
  <c r="Y376" i="7"/>
  <c r="Y268" i="7"/>
  <c r="Z325" i="7"/>
  <c r="Y646" i="7"/>
  <c r="X490" i="7"/>
  <c r="X142" i="7"/>
  <c r="AA698" i="7"/>
  <c r="AA410" i="7"/>
  <c r="Y304" i="7"/>
  <c r="X652" i="7"/>
  <c r="AA122" i="7"/>
  <c r="AA845" i="7"/>
  <c r="Y814" i="7"/>
  <c r="AA793" i="7"/>
  <c r="Z291" i="7"/>
  <c r="AA65" i="7"/>
  <c r="AA461" i="7"/>
  <c r="X129" i="7"/>
  <c r="X358" i="7"/>
  <c r="Y185" i="7"/>
  <c r="X70" i="7"/>
  <c r="AA668" i="7"/>
  <c r="Z535" i="7"/>
  <c r="Y943" i="7"/>
  <c r="AA777" i="7"/>
  <c r="Y599" i="7"/>
  <c r="Z749" i="7"/>
  <c r="AA772" i="7"/>
  <c r="Y947" i="7"/>
  <c r="Z687" i="7"/>
  <c r="Z75" i="7"/>
  <c r="AA317" i="7"/>
  <c r="Z317" i="7"/>
  <c r="X111" i="7"/>
  <c r="X562" i="7"/>
  <c r="Z391" i="7"/>
  <c r="Z693" i="7"/>
  <c r="X67" i="7"/>
  <c r="Z323" i="7"/>
  <c r="Y892" i="7"/>
  <c r="Z629" i="7"/>
  <c r="Z211" i="7"/>
  <c r="Z754" i="7"/>
  <c r="Z793" i="7"/>
  <c r="X457" i="7"/>
  <c r="X277" i="7"/>
  <c r="X169" i="7"/>
  <c r="AA209" i="7"/>
  <c r="Z689" i="7"/>
  <c r="Y677" i="7"/>
  <c r="Z283" i="7"/>
  <c r="Y907" i="7"/>
  <c r="Y763" i="7"/>
  <c r="AA580" i="7"/>
  <c r="Z359" i="7"/>
  <c r="X657" i="7"/>
  <c r="Y329" i="7"/>
  <c r="Y764" i="7"/>
  <c r="Z579" i="7"/>
  <c r="AA641" i="7"/>
  <c r="AA533" i="7"/>
  <c r="Z593" i="7"/>
  <c r="Y180" i="7"/>
  <c r="Y871" i="7"/>
  <c r="Z971" i="7"/>
  <c r="Y784" i="7"/>
  <c r="Z651" i="7"/>
  <c r="X241" i="7"/>
  <c r="AA713" i="7"/>
  <c r="Z648" i="7"/>
  <c r="Y533" i="7"/>
  <c r="Z715" i="7"/>
  <c r="AA849" i="7"/>
  <c r="Y743" i="7"/>
  <c r="AA946" i="7"/>
  <c r="Z504" i="7"/>
  <c r="Z300" i="7"/>
  <c r="Z247" i="7"/>
  <c r="AA292" i="7"/>
  <c r="AA560" i="7"/>
  <c r="Y734" i="7"/>
  <c r="Z111" i="7"/>
  <c r="Y519" i="7"/>
  <c r="Z571" i="7"/>
  <c r="AA841" i="7"/>
  <c r="Y860" i="7"/>
  <c r="Z327" i="7"/>
  <c r="Y699" i="7"/>
  <c r="X214" i="7"/>
  <c r="Y979" i="7"/>
  <c r="AA813" i="7"/>
  <c r="AA596" i="7"/>
  <c r="Y98" i="7"/>
  <c r="X693" i="7"/>
  <c r="AA524" i="7"/>
  <c r="Y940" i="7"/>
  <c r="Z363" i="7"/>
  <c r="Y627" i="7"/>
  <c r="AA818" i="7"/>
  <c r="Y818" i="7"/>
  <c r="Z615" i="7"/>
  <c r="X529" i="7"/>
  <c r="X205" i="7"/>
  <c r="Z287" i="7"/>
  <c r="AA497" i="7"/>
  <c r="X567" i="7"/>
  <c r="Z395" i="7"/>
  <c r="AA416" i="7"/>
  <c r="Z679" i="7"/>
  <c r="Z427" i="7"/>
  <c r="Z319" i="7"/>
  <c r="Z621" i="7"/>
  <c r="Z333" i="7"/>
  <c r="AA452" i="7"/>
  <c r="Y783" i="7"/>
  <c r="X783" i="7"/>
  <c r="Z507" i="7"/>
  <c r="AA353" i="7"/>
  <c r="AA245" i="7"/>
  <c r="AA704" i="7"/>
  <c r="AA271" i="7"/>
  <c r="Y520" i="7"/>
  <c r="X553" i="7"/>
  <c r="AA232" i="7"/>
  <c r="X400" i="7"/>
  <c r="X148" i="7"/>
  <c r="AA185" i="7"/>
  <c r="X697" i="7"/>
  <c r="AA372" i="7"/>
  <c r="Z191" i="7"/>
  <c r="X77" i="7"/>
  <c r="AA909" i="7"/>
  <c r="AA323" i="7"/>
  <c r="Z100" i="7"/>
  <c r="Y815" i="7"/>
  <c r="Z551" i="7"/>
  <c r="Y787" i="7"/>
  <c r="X439" i="7"/>
  <c r="X112" i="7"/>
  <c r="X184" i="7"/>
  <c r="Z297" i="7"/>
  <c r="AA432" i="7"/>
  <c r="Y869" i="7"/>
  <c r="AA487" i="7"/>
  <c r="AA873" i="7"/>
  <c r="X499" i="7"/>
  <c r="Z743" i="7"/>
  <c r="X256" i="7"/>
  <c r="Y485" i="7"/>
  <c r="X595" i="7"/>
  <c r="Y83" i="7"/>
  <c r="AA792" i="7"/>
  <c r="Y790" i="7"/>
  <c r="Y490" i="7"/>
  <c r="AA861" i="7"/>
  <c r="X328" i="7"/>
  <c r="Z721" i="7"/>
  <c r="Y202" i="7"/>
  <c r="Y82" i="7"/>
  <c r="AA962" i="7"/>
  <c r="Z555" i="7"/>
  <c r="Y435" i="7"/>
  <c r="Z401" i="7"/>
  <c r="Z269" i="7"/>
  <c r="AA955" i="7"/>
  <c r="Z59" i="7"/>
  <c r="Y300" i="7"/>
  <c r="AA933" i="7"/>
  <c r="Y511" i="7"/>
  <c r="Z859" i="7"/>
  <c r="AA748" i="7"/>
  <c r="AA778" i="7"/>
  <c r="Z699" i="7"/>
  <c r="X625" i="7"/>
  <c r="X481" i="7"/>
  <c r="Z339" i="7"/>
  <c r="Y615" i="7"/>
  <c r="AA437" i="7"/>
  <c r="Y363" i="7"/>
  <c r="X958" i="7"/>
  <c r="AA871" i="7"/>
  <c r="Z108" i="7"/>
  <c r="Z655" i="7"/>
  <c r="AA789" i="7"/>
  <c r="Y187" i="7"/>
  <c r="Y136" i="7"/>
  <c r="Y859" i="7"/>
  <c r="X575" i="7"/>
  <c r="X817" i="7"/>
  <c r="Y444" i="7"/>
  <c r="X367" i="7"/>
  <c r="Y796" i="7"/>
  <c r="X82" i="7"/>
  <c r="Z855" i="7"/>
  <c r="Z447" i="7"/>
  <c r="AA696" i="7"/>
  <c r="Y929" i="7"/>
  <c r="X850" i="7"/>
  <c r="Y545" i="7"/>
  <c r="AA79" i="7"/>
  <c r="Y624" i="7"/>
  <c r="Z547" i="7"/>
  <c r="Z439" i="7"/>
  <c r="Y372" i="7"/>
  <c r="Z295" i="7"/>
  <c r="Y132" i="7"/>
  <c r="Y931" i="7"/>
  <c r="Y691" i="7"/>
  <c r="Y295" i="7"/>
  <c r="AA225" i="7"/>
  <c r="Z62" i="7"/>
  <c r="Z429" i="7"/>
  <c r="X503" i="7"/>
  <c r="AA577" i="7"/>
  <c r="X718" i="7"/>
  <c r="Z168" i="7"/>
  <c r="Y552" i="7"/>
  <c r="Y507" i="7"/>
  <c r="AA149" i="7"/>
  <c r="Y550" i="7"/>
  <c r="AA796" i="7"/>
  <c r="Z303" i="7"/>
  <c r="AA653" i="7"/>
  <c r="Y579" i="7"/>
  <c r="AA401" i="7"/>
  <c r="Y147" i="7"/>
  <c r="Y696" i="7"/>
  <c r="Z619" i="7"/>
  <c r="Z367" i="7"/>
  <c r="Z290" i="7"/>
  <c r="Y223" i="7"/>
  <c r="AA153" i="7"/>
  <c r="X60" i="7"/>
  <c r="Z707" i="7"/>
  <c r="Z791" i="7"/>
  <c r="AA806" i="7"/>
  <c r="Y651" i="7"/>
  <c r="Y399" i="7"/>
  <c r="Y845" i="7"/>
  <c r="AA775" i="7"/>
  <c r="AA367" i="7"/>
  <c r="X226" i="7"/>
  <c r="Z691" i="7"/>
  <c r="Y48" i="7"/>
  <c r="AA825" i="7"/>
  <c r="Y619" i="7"/>
  <c r="X559" i="7"/>
  <c r="Z671" i="7"/>
  <c r="AA725" i="7"/>
  <c r="Y732" i="7"/>
  <c r="Y723" i="7"/>
  <c r="AA134" i="7"/>
  <c r="AA581" i="7"/>
  <c r="AA756" i="7"/>
  <c r="Y804" i="7"/>
  <c r="AA976" i="7"/>
  <c r="AA880" i="7"/>
  <c r="Y767" i="7"/>
  <c r="X661" i="7"/>
  <c r="Z519" i="7"/>
  <c r="Z411" i="7"/>
  <c r="AA77" i="7"/>
  <c r="Z605" i="7"/>
  <c r="Y274" i="7"/>
  <c r="Y689" i="7"/>
  <c r="Z600" i="7"/>
  <c r="AA283" i="7"/>
  <c r="AA139" i="7"/>
  <c r="Y823" i="7"/>
  <c r="AA734" i="7"/>
  <c r="Z949" i="7"/>
  <c r="Y401" i="7"/>
  <c r="AA329" i="7"/>
  <c r="AA914" i="7"/>
  <c r="Y878" i="7"/>
  <c r="Y880" i="7"/>
  <c r="Y863" i="7"/>
  <c r="Z901" i="7"/>
  <c r="Y800" i="7"/>
  <c r="Z591" i="7"/>
  <c r="X517" i="7"/>
  <c r="Y471" i="7"/>
  <c r="AA221" i="7"/>
  <c r="AA600" i="7"/>
  <c r="Z900" i="7"/>
  <c r="X514" i="7"/>
  <c r="Y281" i="7"/>
  <c r="AA897" i="7"/>
  <c r="Y556" i="7"/>
  <c r="AA388" i="7"/>
  <c r="Z105" i="7"/>
  <c r="X597" i="7"/>
  <c r="X467" i="7"/>
  <c r="Y928" i="7"/>
  <c r="X699" i="7"/>
  <c r="Y629" i="7"/>
  <c r="Y674" i="7"/>
  <c r="AA257" i="7"/>
  <c r="Y922" i="7"/>
  <c r="Z821" i="7"/>
  <c r="AA764" i="7"/>
  <c r="X589" i="7"/>
  <c r="Z267" i="7"/>
  <c r="AA689" i="7"/>
  <c r="Z984" i="7"/>
  <c r="X898" i="7"/>
  <c r="X430" i="7"/>
  <c r="Y588" i="7"/>
  <c r="Y516" i="7"/>
  <c r="Y408" i="7"/>
  <c r="Z331" i="7"/>
  <c r="Z103" i="7"/>
  <c r="AA969" i="7"/>
  <c r="Y895" i="7"/>
  <c r="AA117" i="7"/>
  <c r="Y710" i="7"/>
  <c r="AA100" i="7"/>
  <c r="X431" i="7"/>
  <c r="Y960" i="7"/>
  <c r="X310" i="7"/>
  <c r="Y986" i="7"/>
  <c r="Y792" i="7"/>
  <c r="Z983" i="7"/>
  <c r="Y856" i="7"/>
  <c r="Z375" i="7"/>
  <c r="Y687" i="7"/>
  <c r="AA545" i="7"/>
  <c r="AA293" i="7"/>
  <c r="X539" i="7"/>
  <c r="X611" i="7"/>
  <c r="X574" i="7"/>
  <c r="AA427" i="7"/>
  <c r="Z403" i="7"/>
  <c r="Z163" i="7"/>
  <c r="Y967" i="7"/>
  <c r="Y727" i="7"/>
  <c r="Z326" i="7"/>
  <c r="Z525" i="7"/>
  <c r="Y254" i="7"/>
  <c r="AA631" i="7"/>
  <c r="Z362" i="7"/>
  <c r="Z907" i="7"/>
  <c r="Z787" i="7"/>
  <c r="X829" i="7"/>
  <c r="Z627" i="7"/>
  <c r="Z483" i="7"/>
  <c r="AA365" i="7"/>
  <c r="Y291" i="7"/>
  <c r="Z725" i="7"/>
  <c r="AA571" i="7"/>
  <c r="Y197" i="7"/>
  <c r="Z635" i="7"/>
  <c r="Y660" i="7"/>
  <c r="X161" i="7"/>
  <c r="Y655" i="7"/>
  <c r="Y259" i="7"/>
  <c r="AA189" i="7"/>
  <c r="AA448" i="7"/>
  <c r="AA244" i="7"/>
  <c r="Y982" i="7"/>
  <c r="AA816" i="7"/>
  <c r="Y512" i="7"/>
  <c r="Y332" i="7"/>
  <c r="Y260" i="7"/>
  <c r="X104" i="7"/>
  <c r="X500" i="7"/>
  <c r="X428" i="7"/>
  <c r="Y226" i="7"/>
  <c r="AA578" i="7"/>
  <c r="X276" i="7"/>
  <c r="X168" i="7"/>
  <c r="X79" i="7"/>
  <c r="AA176" i="7"/>
  <c r="Y914" i="7"/>
  <c r="AA832" i="7"/>
  <c r="Y404" i="7"/>
  <c r="X416" i="7"/>
  <c r="X356" i="7"/>
  <c r="Y682" i="7"/>
  <c r="AA552" i="7"/>
  <c r="X886" i="7"/>
  <c r="Z624" i="7"/>
  <c r="Z276" i="7"/>
  <c r="X504" i="7"/>
  <c r="AA321" i="7"/>
  <c r="X72" i="7"/>
  <c r="Z189" i="7"/>
  <c r="Y357" i="7"/>
  <c r="AA948" i="7"/>
  <c r="AA986" i="7"/>
  <c r="Z883" i="7"/>
  <c r="Y830" i="7"/>
  <c r="AA754" i="7"/>
  <c r="Y68" i="7"/>
  <c r="AA324" i="7"/>
  <c r="Z149" i="7"/>
  <c r="X682" i="7"/>
  <c r="Z336" i="7"/>
  <c r="Z127" i="7"/>
  <c r="X393" i="7"/>
  <c r="X816" i="7"/>
  <c r="X432" i="7"/>
  <c r="X204" i="7"/>
  <c r="X144" i="7"/>
  <c r="X691" i="7"/>
  <c r="X619" i="7"/>
  <c r="Y542" i="7"/>
  <c r="Z357" i="7"/>
  <c r="AA876" i="7"/>
  <c r="Y974" i="7"/>
  <c r="Y548" i="7"/>
  <c r="AA478" i="7"/>
  <c r="Y392" i="7"/>
  <c r="Y224" i="7"/>
  <c r="Y140" i="7"/>
  <c r="X716" i="7"/>
  <c r="X608" i="7"/>
  <c r="X464" i="7"/>
  <c r="X344" i="7"/>
  <c r="X663" i="7"/>
  <c r="X375" i="7"/>
  <c r="Z257" i="7"/>
  <c r="X147" i="7"/>
  <c r="Y821" i="7"/>
  <c r="X46" i="7"/>
  <c r="AA398" i="7"/>
  <c r="AA254" i="7"/>
  <c r="Z175" i="7"/>
  <c r="Z950" i="7"/>
  <c r="Z878" i="7"/>
  <c r="Y410" i="7"/>
  <c r="AA352" i="7"/>
  <c r="AA112" i="7"/>
  <c r="X76" i="7"/>
  <c r="Z785" i="7"/>
  <c r="Y296" i="7"/>
  <c r="X495" i="7"/>
  <c r="Z480" i="7"/>
  <c r="AA821" i="7"/>
  <c r="Z813" i="7"/>
  <c r="X793" i="7"/>
  <c r="AA730" i="7"/>
  <c r="X392" i="7"/>
  <c r="X176" i="7"/>
  <c r="X591" i="7"/>
  <c r="AA492" i="7"/>
  <c r="X435" i="7"/>
  <c r="AA739" i="7"/>
  <c r="AA686" i="7"/>
  <c r="AA614" i="7"/>
  <c r="X540" i="7"/>
  <c r="AA357" i="7"/>
  <c r="Z50" i="7"/>
  <c r="Z225" i="7"/>
  <c r="X429" i="7"/>
  <c r="Y759" i="7"/>
  <c r="Z969" i="7"/>
  <c r="Z437" i="7"/>
  <c r="X252" i="7"/>
  <c r="Y230" i="7"/>
  <c r="AA842" i="7"/>
  <c r="Y780" i="7"/>
  <c r="Z729" i="7"/>
  <c r="Z959" i="7"/>
  <c r="Y368" i="7"/>
  <c r="Y284" i="7"/>
  <c r="Y212" i="7"/>
  <c r="X213" i="7"/>
  <c r="AA104" i="7"/>
  <c r="X524" i="7"/>
  <c r="X452" i="7"/>
  <c r="Z137" i="7"/>
  <c r="X75" i="7"/>
  <c r="Y688" i="7"/>
  <c r="AA595" i="7"/>
  <c r="X190" i="7"/>
  <c r="AA542" i="7"/>
  <c r="X240" i="7"/>
  <c r="Y458" i="7"/>
  <c r="AA720" i="7"/>
  <c r="AA952" i="7"/>
  <c r="AA961" i="7"/>
  <c r="X704" i="7"/>
  <c r="X248" i="7"/>
  <c r="Y652" i="7"/>
  <c r="AA56" i="7"/>
  <c r="AA655" i="7"/>
  <c r="X108" i="7"/>
  <c r="Z669" i="7"/>
  <c r="Y278" i="7"/>
  <c r="Z165" i="7"/>
  <c r="Z268" i="7"/>
  <c r="AA143" i="7"/>
  <c r="X501" i="7"/>
  <c r="Y724" i="7"/>
  <c r="AA912" i="7"/>
  <c r="AA938" i="7"/>
  <c r="AA868" i="7"/>
  <c r="Y716" i="7"/>
  <c r="Y356" i="7"/>
  <c r="X644" i="7"/>
  <c r="X380" i="7"/>
  <c r="Z521" i="7"/>
  <c r="Y797" i="7"/>
  <c r="Y653" i="7"/>
  <c r="AA451" i="7"/>
  <c r="AA247" i="7"/>
  <c r="Y616" i="7"/>
  <c r="AA434" i="7"/>
  <c r="AA218" i="7"/>
  <c r="Y156" i="7"/>
  <c r="AA98" i="7"/>
  <c r="Z986" i="7"/>
  <c r="X852" i="7"/>
  <c r="X468" i="7"/>
  <c r="X655" i="7"/>
  <c r="Y86" i="7"/>
  <c r="Y476" i="7"/>
  <c r="X538" i="7"/>
  <c r="AA470" i="7"/>
  <c r="AA984" i="7"/>
  <c r="Y854" i="7"/>
  <c r="Y584" i="7"/>
  <c r="Y440" i="7"/>
  <c r="X572" i="7"/>
  <c r="AA576" i="7"/>
  <c r="Y509" i="7"/>
  <c r="AA92" i="7"/>
  <c r="Z914" i="7"/>
  <c r="X780" i="7"/>
  <c r="X396" i="7"/>
  <c r="Y578" i="7"/>
  <c r="X319" i="7"/>
  <c r="Y206" i="7"/>
  <c r="Z81" i="7"/>
  <c r="X326" i="7"/>
  <c r="Y864" i="7"/>
  <c r="Z935" i="7"/>
  <c r="X733" i="7"/>
  <c r="AA262" i="7"/>
  <c r="AA190" i="7"/>
  <c r="Z610" i="7"/>
  <c r="Z250" i="7"/>
  <c r="Z178" i="7"/>
  <c r="Z377" i="7"/>
  <c r="Z335" i="7"/>
  <c r="AA799" i="7"/>
  <c r="X106" i="7"/>
  <c r="Z470" i="7"/>
  <c r="X360" i="7"/>
  <c r="X633" i="7"/>
  <c r="AA782" i="7"/>
  <c r="Z538" i="7"/>
  <c r="Y221" i="7"/>
  <c r="AA163" i="7"/>
  <c r="Z254" i="7"/>
  <c r="X669" i="7"/>
  <c r="Z371" i="7"/>
  <c r="AA82" i="7"/>
  <c r="Z466" i="7"/>
  <c r="Z960" i="7"/>
  <c r="X365" i="7"/>
  <c r="Z758" i="7"/>
  <c r="Z398" i="7"/>
  <c r="Z146" i="7"/>
  <c r="AA592" i="7"/>
  <c r="Z299" i="7"/>
  <c r="AA658" i="7"/>
  <c r="Z646" i="7"/>
  <c r="Z358" i="7"/>
  <c r="X617" i="7"/>
  <c r="X293" i="7"/>
  <c r="X936" i="7"/>
  <c r="Z506" i="7"/>
  <c r="Z74" i="7"/>
  <c r="Y338" i="7"/>
  <c r="Z237" i="7"/>
  <c r="Z141" i="7"/>
  <c r="Y988" i="7"/>
  <c r="AA370" i="7"/>
  <c r="AA298" i="7"/>
  <c r="X143" i="7"/>
  <c r="Y569" i="7"/>
  <c r="AA511" i="7"/>
  <c r="Y77" i="7"/>
  <c r="X473" i="7"/>
  <c r="Z705" i="7"/>
  <c r="Z388" i="7"/>
  <c r="Y719" i="7"/>
  <c r="X769" i="7"/>
  <c r="Z953" i="7"/>
  <c r="Z919" i="7"/>
  <c r="Y746" i="7"/>
  <c r="Z887" i="7"/>
  <c r="Z286" i="7"/>
  <c r="Z214" i="7"/>
  <c r="Z142" i="7"/>
  <c r="X874" i="7"/>
  <c r="X251" i="7"/>
  <c r="X401" i="7"/>
  <c r="X864" i="7"/>
  <c r="X288" i="7"/>
  <c r="Z513" i="7"/>
  <c r="Z873" i="7"/>
  <c r="Z682" i="7"/>
  <c r="Z574" i="7"/>
  <c r="Z394" i="7"/>
  <c r="AA307" i="7"/>
  <c r="Z434" i="7"/>
  <c r="Z633" i="7"/>
  <c r="AA280" i="7"/>
  <c r="Z727" i="7"/>
  <c r="X879" i="7"/>
  <c r="AA931" i="7"/>
  <c r="Y365" i="7"/>
  <c r="X250" i="7"/>
  <c r="Z192" i="7"/>
  <c r="X329" i="7"/>
  <c r="Z187" i="7"/>
  <c r="X972" i="7"/>
  <c r="Z182" i="7"/>
  <c r="Z967" i="7"/>
  <c r="AA694" i="7"/>
  <c r="Z718" i="7"/>
  <c r="Z48" i="7"/>
  <c r="Z407" i="7"/>
  <c r="Y72" i="7"/>
  <c r="Z854" i="7"/>
  <c r="X324" i="7"/>
  <c r="Z110" i="7"/>
  <c r="Y494" i="7"/>
  <c r="AA251" i="7"/>
  <c r="X705" i="7"/>
  <c r="Z263" i="7"/>
  <c r="Z789" i="7"/>
  <c r="AA334" i="7"/>
  <c r="X742" i="7"/>
  <c r="X653" i="7"/>
  <c r="X581" i="7"/>
  <c r="X437" i="7"/>
  <c r="AA556" i="7"/>
  <c r="AA916" i="7"/>
  <c r="AA406" i="7"/>
  <c r="Z430" i="7"/>
  <c r="Y989" i="7"/>
  <c r="Z540" i="7"/>
  <c r="Y425" i="7"/>
  <c r="Z227" i="7"/>
  <c r="X900" i="7"/>
  <c r="Z218" i="7"/>
  <c r="X211" i="7"/>
  <c r="X91" i="7"/>
  <c r="Z479" i="7"/>
  <c r="Y831" i="7"/>
  <c r="AA804" i="7"/>
  <c r="Y752" i="7"/>
  <c r="Z639" i="7"/>
  <c r="Z459" i="7"/>
  <c r="Z387" i="7"/>
  <c r="Z63" i="7"/>
  <c r="AA89" i="7"/>
  <c r="AA305" i="7"/>
  <c r="AA206" i="7"/>
  <c r="Z151" i="7"/>
  <c r="AA68" i="7"/>
  <c r="Y112" i="7"/>
  <c r="Y862" i="7"/>
  <c r="Z823" i="7"/>
  <c r="AA758" i="7"/>
  <c r="X740" i="7"/>
  <c r="X586" i="7"/>
  <c r="AA314" i="7"/>
  <c r="Z243" i="7"/>
  <c r="AA161" i="7"/>
  <c r="Y888" i="7"/>
  <c r="Z567" i="7"/>
  <c r="Z99" i="7"/>
  <c r="AA233" i="7"/>
  <c r="Y917" i="7"/>
  <c r="AA859" i="7"/>
  <c r="AA643" i="7"/>
  <c r="Y65" i="7"/>
  <c r="AA494" i="7"/>
  <c r="Z587" i="7"/>
  <c r="AA664" i="7"/>
  <c r="Y838" i="7"/>
  <c r="Z675" i="7"/>
  <c r="Z423" i="7"/>
  <c r="Z171" i="7"/>
  <c r="Z528" i="7"/>
  <c r="Z180" i="7"/>
  <c r="AA602" i="7"/>
  <c r="Y139" i="7"/>
  <c r="AA412" i="7"/>
  <c r="Z261" i="7"/>
  <c r="AA242" i="7"/>
  <c r="Y919" i="7"/>
  <c r="Z244" i="7"/>
  <c r="Y436" i="7"/>
  <c r="AA85" i="7"/>
  <c r="Z861" i="7"/>
  <c r="Z351" i="7"/>
  <c r="X56" i="7"/>
  <c r="X65" i="7"/>
  <c r="Y350" i="7"/>
  <c r="Z112" i="7"/>
  <c r="Y932" i="7"/>
  <c r="AA269" i="7"/>
  <c r="Z672" i="7"/>
  <c r="Y209" i="7"/>
  <c r="X94" i="7"/>
  <c r="AA638" i="7"/>
  <c r="AA530" i="7"/>
  <c r="X290" i="7"/>
  <c r="AA212" i="7"/>
  <c r="AA784" i="7"/>
  <c r="Z207" i="7"/>
  <c r="Z135" i="7"/>
  <c r="AA485" i="7"/>
  <c r="Y574" i="7"/>
  <c r="Z888" i="7"/>
  <c r="X730" i="7"/>
  <c r="Y557" i="7"/>
  <c r="AA151" i="7"/>
  <c r="AA458" i="7"/>
  <c r="AA140" i="7"/>
  <c r="AA248" i="7"/>
  <c r="Z757" i="7"/>
  <c r="Z531" i="7"/>
  <c r="AA125" i="7"/>
  <c r="X946" i="7"/>
  <c r="AA787" i="7"/>
  <c r="X442" i="7"/>
  <c r="AA278" i="7"/>
  <c r="AA716" i="7"/>
  <c r="AA310" i="7"/>
  <c r="Z550" i="7"/>
  <c r="Z329" i="7"/>
  <c r="Z523" i="7"/>
  <c r="X179" i="7"/>
  <c r="Y463" i="7"/>
  <c r="AA208" i="7"/>
  <c r="X153" i="7"/>
  <c r="Y551" i="7"/>
  <c r="Z965" i="7"/>
  <c r="Z825" i="7"/>
  <c r="AA853" i="7"/>
  <c r="Z783" i="7"/>
  <c r="X745" i="7"/>
  <c r="AA418" i="7"/>
  <c r="Z82" i="7"/>
  <c r="Z118" i="7"/>
  <c r="X71" i="7"/>
  <c r="Z667" i="7"/>
  <c r="AA496" i="7"/>
  <c r="AA340" i="7"/>
  <c r="AA284" i="7"/>
  <c r="Z515" i="7"/>
  <c r="Z95" i="7"/>
  <c r="Z805" i="7"/>
  <c r="Z334" i="7"/>
  <c r="Z226" i="7"/>
  <c r="X466" i="7"/>
  <c r="Y89" i="7"/>
  <c r="Z451" i="7"/>
  <c r="Z830" i="7"/>
  <c r="Y607" i="7"/>
  <c r="Z314" i="7"/>
  <c r="Y175" i="7"/>
  <c r="Y554" i="7"/>
  <c r="Z201" i="7"/>
  <c r="Z93" i="7"/>
  <c r="AA287" i="7"/>
  <c r="Y129" i="7"/>
  <c r="Y443" i="7"/>
  <c r="Y959" i="7"/>
  <c r="AA896" i="7"/>
  <c r="Z586" i="7"/>
  <c r="Z677" i="7"/>
  <c r="Y262" i="7"/>
  <c r="Y154" i="7"/>
  <c r="Z559" i="7"/>
  <c r="Z343" i="7"/>
  <c r="Y715" i="7"/>
  <c r="X477" i="7"/>
  <c r="X386" i="7"/>
  <c r="Y117" i="7"/>
  <c r="Y263" i="7"/>
  <c r="Y59" i="7"/>
  <c r="AA526" i="7"/>
  <c r="AA346" i="7"/>
  <c r="Z154" i="7"/>
  <c r="X615" i="7"/>
  <c r="Y725" i="7"/>
  <c r="AA667" i="7"/>
  <c r="Z235" i="7"/>
  <c r="Y628" i="7"/>
  <c r="Z350" i="7"/>
  <c r="Y211" i="7"/>
  <c r="AA57" i="7"/>
  <c r="AA680" i="7"/>
  <c r="X107" i="7"/>
  <c r="AA608" i="7"/>
  <c r="Y335" i="7"/>
  <c r="Y866" i="7"/>
  <c r="X297" i="7"/>
  <c r="Z370" i="7"/>
  <c r="AA564" i="7"/>
  <c r="Y406" i="7"/>
  <c r="X610" i="7"/>
  <c r="Z408" i="7"/>
  <c r="Z703" i="7"/>
  <c r="Z160" i="7"/>
  <c r="Y515" i="7"/>
  <c r="X215" i="7"/>
  <c r="X721" i="7"/>
  <c r="Z262" i="7"/>
  <c r="Y562" i="7"/>
  <c r="Z552" i="7"/>
  <c r="Y736" i="7"/>
  <c r="Z595" i="7"/>
  <c r="Y60" i="7"/>
  <c r="Y643" i="7"/>
  <c r="Z386" i="7"/>
  <c r="Y103" i="7"/>
  <c r="Y590" i="7"/>
  <c r="Y369" i="7"/>
  <c r="Y407" i="7"/>
  <c r="AA644" i="7"/>
  <c r="Z741" i="7"/>
  <c r="Y911" i="7"/>
  <c r="AA670" i="7"/>
  <c r="AA562" i="7"/>
  <c r="AA454" i="7"/>
  <c r="Z406" i="7"/>
  <c r="X87" i="7"/>
  <c r="X118" i="7"/>
  <c r="Z379" i="7"/>
  <c r="Y535" i="7"/>
  <c r="Y470" i="7"/>
  <c r="Z129" i="7"/>
  <c r="X405" i="7"/>
  <c r="Y575" i="7"/>
  <c r="X88" i="7"/>
  <c r="Z857" i="7"/>
  <c r="AA944" i="7"/>
  <c r="AA274" i="7"/>
  <c r="X261" i="7"/>
  <c r="AA175" i="7"/>
  <c r="Z487" i="7"/>
  <c r="Z271" i="7"/>
  <c r="X369" i="7"/>
  <c r="AA356" i="7"/>
  <c r="Y751" i="7"/>
  <c r="X333" i="7"/>
  <c r="X271" i="7"/>
  <c r="AA904" i="7"/>
  <c r="AA848" i="7"/>
  <c r="X961" i="7"/>
  <c r="AA382" i="7"/>
  <c r="Z514" i="7"/>
  <c r="Z190" i="7"/>
  <c r="AA648" i="7"/>
  <c r="Z341" i="7"/>
  <c r="Z281" i="7"/>
  <c r="X754" i="7"/>
  <c r="Y437" i="7"/>
  <c r="AA319" i="7"/>
  <c r="Z60" i="7"/>
  <c r="Z631" i="7"/>
  <c r="Y427" i="7"/>
  <c r="X631" i="7"/>
  <c r="X355" i="7"/>
  <c r="Z256" i="7"/>
  <c r="Y647" i="7"/>
  <c r="AA572" i="7"/>
  <c r="Y816" i="7"/>
  <c r="AA746" i="7"/>
  <c r="Y962" i="7"/>
  <c r="AA490" i="7"/>
  <c r="Y664" i="7"/>
  <c r="Y377" i="7"/>
  <c r="Z415" i="7"/>
  <c r="Z794" i="7"/>
  <c r="Y679" i="7"/>
  <c r="Y571" i="7"/>
  <c r="Y479" i="7"/>
  <c r="Y227" i="7"/>
  <c r="Y155" i="7"/>
  <c r="AA536" i="7"/>
  <c r="Z847" i="7"/>
  <c r="AA850" i="7"/>
  <c r="Y812" i="7"/>
  <c r="Y632" i="7"/>
  <c r="AA58" i="7"/>
  <c r="AA377" i="7"/>
  <c r="Y243" i="7"/>
  <c r="X327" i="7"/>
  <c r="X802" i="7"/>
  <c r="AA513" i="7"/>
  <c r="X120" i="7"/>
  <c r="Y626" i="7"/>
  <c r="Y93" i="7"/>
  <c r="X623" i="7"/>
  <c r="Y215" i="7"/>
  <c r="Y720" i="7"/>
  <c r="Y851" i="7"/>
  <c r="Y272" i="7"/>
  <c r="AA166" i="7"/>
  <c r="Y411" i="7"/>
  <c r="Y220" i="7"/>
  <c r="X934" i="7"/>
  <c r="Z744" i="7"/>
  <c r="Y413" i="7"/>
  <c r="AA67" i="7"/>
  <c r="Y468" i="7"/>
  <c r="Y216" i="7"/>
  <c r="X203" i="7"/>
  <c r="AA693" i="7"/>
  <c r="X95" i="7"/>
  <c r="AA728" i="7"/>
  <c r="AA94" i="7"/>
  <c r="Y171" i="7"/>
  <c r="Y694" i="7"/>
  <c r="X634" i="7"/>
  <c r="Y353" i="7"/>
  <c r="X154" i="7"/>
  <c r="X93" i="7"/>
  <c r="AA549" i="7"/>
  <c r="Y331" i="7"/>
  <c r="Y518" i="7"/>
  <c r="X587" i="7"/>
  <c r="Y143" i="7"/>
  <c r="Y972" i="7"/>
  <c r="AA812" i="7"/>
  <c r="Y524" i="7"/>
  <c r="Y416" i="7"/>
  <c r="Y555" i="7"/>
  <c r="X272" i="7"/>
  <c r="X459" i="7"/>
  <c r="X315" i="7"/>
  <c r="AA264" i="7"/>
  <c r="Y70" i="7"/>
  <c r="Z876" i="7"/>
  <c r="AA295" i="7"/>
  <c r="Y360" i="7"/>
  <c r="Y367" i="7"/>
  <c r="X156" i="7"/>
  <c r="X283" i="7"/>
  <c r="Y100" i="7"/>
  <c r="Y395" i="7"/>
  <c r="Y323" i="7"/>
  <c r="Y772" i="7"/>
  <c r="Y308" i="7"/>
  <c r="Z70" i="7"/>
  <c r="Y447" i="7"/>
  <c r="Z545" i="7"/>
  <c r="X399" i="7"/>
  <c r="Y118" i="7"/>
  <c r="Z576" i="7"/>
  <c r="AA439" i="7"/>
  <c r="Z96" i="7"/>
  <c r="Y648" i="7"/>
  <c r="AA158" i="7"/>
  <c r="AA585" i="7"/>
  <c r="AA405" i="7"/>
  <c r="Y55" i="7"/>
  <c r="X511" i="7"/>
  <c r="X235" i="7"/>
  <c r="Z83" i="7"/>
  <c r="AA613" i="7"/>
  <c r="Y467" i="7"/>
  <c r="Y251" i="7"/>
  <c r="AA768" i="7"/>
  <c r="AA770" i="7"/>
  <c r="Y560" i="7"/>
  <c r="AA202" i="7"/>
  <c r="Y591" i="7"/>
  <c r="X308" i="7"/>
  <c r="Y634" i="7"/>
  <c r="Z143" i="7"/>
  <c r="X238" i="7"/>
  <c r="Y504" i="7"/>
  <c r="Y252" i="7"/>
  <c r="Z782" i="7"/>
  <c r="AA729" i="7"/>
  <c r="X192" i="7"/>
  <c r="Y400" i="7"/>
  <c r="Z405" i="7"/>
  <c r="X167" i="7"/>
  <c r="Y704" i="7"/>
  <c r="AA130" i="7"/>
  <c r="Y328" i="7"/>
  <c r="X195" i="7"/>
  <c r="Y773" i="7"/>
  <c r="X382" i="7"/>
  <c r="AA344" i="7"/>
  <c r="X101" i="7"/>
  <c r="AA441" i="7"/>
  <c r="X228" i="7"/>
  <c r="X547" i="7"/>
  <c r="Z453" i="7"/>
  <c r="AA400" i="7"/>
  <c r="X131" i="7"/>
  <c r="Y683" i="7"/>
  <c r="Y179" i="7"/>
  <c r="Z881" i="7"/>
  <c r="Y803" i="7"/>
  <c r="Y344" i="7"/>
  <c r="X723" i="7"/>
  <c r="AA192" i="7"/>
  <c r="AA272" i="7"/>
  <c r="Z324" i="7"/>
  <c r="AA380" i="7"/>
  <c r="AA621" i="7"/>
  <c r="AA393" i="7"/>
  <c r="X187" i="7"/>
  <c r="X218" i="7"/>
  <c r="X549" i="7"/>
  <c r="Y754" i="7"/>
  <c r="AA866" i="7"/>
  <c r="Y740" i="7"/>
  <c r="Y452" i="7"/>
  <c r="AA101" i="7"/>
  <c r="Y483" i="7"/>
  <c r="X239" i="7"/>
  <c r="AA48" i="7"/>
  <c r="Y905" i="7"/>
  <c r="Z468" i="7"/>
  <c r="Y540" i="7"/>
  <c r="Y288" i="7"/>
  <c r="X185" i="7"/>
  <c r="Z818" i="7"/>
  <c r="X84" i="7"/>
  <c r="X307" i="7"/>
  <c r="X139" i="7"/>
  <c r="Y359" i="7"/>
  <c r="Y107" i="7"/>
  <c r="AA49" i="7"/>
  <c r="AA238" i="7"/>
  <c r="AA341" i="7"/>
  <c r="Z665" i="7"/>
  <c r="Y125" i="7"/>
  <c r="Y292" i="7"/>
  <c r="AA477" i="7"/>
  <c r="AA261" i="7"/>
  <c r="X583" i="7"/>
  <c r="Y364" i="7"/>
  <c r="Y431" i="7"/>
  <c r="Y287" i="7"/>
  <c r="X659" i="7"/>
  <c r="Y488" i="7"/>
  <c r="Y430" i="7"/>
  <c r="Y605" i="7"/>
  <c r="Y576" i="7"/>
  <c r="Y324" i="7"/>
  <c r="AA308" i="7"/>
  <c r="AA657" i="7"/>
  <c r="AA95" i="7"/>
  <c r="X59" i="7"/>
  <c r="Z777" i="7"/>
  <c r="AA949" i="7"/>
  <c r="Y656" i="7"/>
  <c r="Z195" i="7"/>
  <c r="Z87" i="7"/>
  <c r="Z622" i="7"/>
  <c r="X488" i="7"/>
  <c r="Y183" i="7"/>
  <c r="AA499" i="7"/>
  <c r="X681" i="7"/>
  <c r="X221" i="7"/>
  <c r="X137" i="7"/>
  <c r="Y115" i="7"/>
  <c r="Y662" i="7"/>
  <c r="Z328" i="7"/>
  <c r="AA275" i="7"/>
  <c r="X645" i="7"/>
  <c r="X323" i="7"/>
  <c r="Z833" i="7"/>
  <c r="AA860" i="7"/>
  <c r="X373" i="7"/>
  <c r="X579" i="7"/>
  <c r="AA540" i="7"/>
  <c r="AA763" i="7"/>
  <c r="Z144" i="7"/>
  <c r="Z499" i="7"/>
  <c r="X840" i="7"/>
  <c r="X600" i="7"/>
  <c r="X285" i="7"/>
  <c r="X475" i="7"/>
  <c r="Y196" i="7"/>
  <c r="Z124" i="7"/>
  <c r="Y868" i="7"/>
  <c r="AA757" i="7"/>
  <c r="Y706" i="7"/>
  <c r="Y622" i="7"/>
  <c r="Y454" i="7"/>
  <c r="Z101" i="7"/>
  <c r="Y581" i="7"/>
  <c r="AA223" i="7"/>
  <c r="X58" i="7"/>
  <c r="X888" i="7"/>
  <c r="X151" i="7"/>
  <c r="Z64" i="7"/>
  <c r="X520" i="7"/>
  <c r="AA632" i="7"/>
  <c r="AA514" i="7"/>
  <c r="Z231" i="7"/>
  <c r="Z123" i="7"/>
  <c r="X656" i="7"/>
  <c r="X363" i="7"/>
  <c r="Z79" i="7"/>
  <c r="X636" i="7"/>
  <c r="X312" i="7"/>
  <c r="Y151" i="7"/>
  <c r="Y76" i="7"/>
  <c r="Z145" i="7"/>
  <c r="Y698" i="7"/>
  <c r="X379" i="7"/>
  <c r="AA359" i="7"/>
  <c r="Z217" i="7"/>
  <c r="AA649" i="7"/>
  <c r="X448" i="7"/>
  <c r="AA890" i="7"/>
  <c r="Y748" i="7"/>
  <c r="Y728" i="7"/>
  <c r="AA550" i="7"/>
  <c r="X409" i="7"/>
  <c r="AA521" i="7"/>
  <c r="Y219" i="7"/>
  <c r="AA228" i="7"/>
  <c r="Y977" i="7"/>
  <c r="Z660" i="7"/>
  <c r="Y305" i="7"/>
  <c r="X713" i="7"/>
  <c r="X533" i="7"/>
  <c r="Y396" i="7"/>
  <c r="Z491" i="7"/>
  <c r="Y182" i="7"/>
  <c r="X69" i="7"/>
  <c r="Z697" i="7"/>
  <c r="AA908" i="7"/>
  <c r="Y46" i="7"/>
  <c r="Z181" i="7"/>
  <c r="AA919" i="7"/>
  <c r="AA835" i="7"/>
  <c r="Z792" i="7"/>
  <c r="X569" i="7"/>
  <c r="X924" i="7"/>
  <c r="X672" i="7"/>
  <c r="X420" i="7"/>
  <c r="AA381" i="7"/>
  <c r="Z549" i="7"/>
  <c r="Y506" i="7"/>
  <c r="X609" i="7"/>
  <c r="Z869" i="7"/>
  <c r="AA805" i="7"/>
  <c r="AA586" i="7"/>
  <c r="X265" i="7"/>
  <c r="AA557" i="7"/>
  <c r="Y255" i="7"/>
  <c r="X483" i="7"/>
  <c r="Y394" i="7"/>
  <c r="AA312" i="7"/>
  <c r="Z173" i="7"/>
  <c r="Y389" i="7"/>
  <c r="Z252" i="7"/>
  <c r="Y173" i="7"/>
  <c r="AA464" i="7"/>
  <c r="Y432" i="7"/>
  <c r="X456" i="7"/>
  <c r="X180" i="7"/>
  <c r="AA256" i="7"/>
  <c r="AA136" i="7"/>
  <c r="Y948" i="7"/>
  <c r="Y916" i="7"/>
  <c r="Z827" i="7"/>
  <c r="AA428" i="7"/>
  <c r="AA593" i="7"/>
  <c r="Z418" i="7"/>
  <c r="X735" i="7"/>
  <c r="AA607" i="7"/>
  <c r="AA475" i="7"/>
  <c r="X334" i="7"/>
  <c r="X708" i="7"/>
  <c r="AA213" i="7"/>
  <c r="Z585" i="7"/>
  <c r="Y290" i="7"/>
  <c r="Y134" i="7"/>
  <c r="Y828" i="7"/>
  <c r="Z849" i="7"/>
  <c r="AA622" i="7"/>
  <c r="X445" i="7"/>
  <c r="X301" i="7"/>
  <c r="Z159" i="7"/>
  <c r="Y51" i="7"/>
  <c r="Z77" i="7"/>
  <c r="X862" i="7"/>
  <c r="Z684" i="7"/>
  <c r="Y424" i="7"/>
  <c r="X359" i="7"/>
  <c r="Y192" i="7"/>
  <c r="Y108" i="7"/>
  <c r="X960" i="7"/>
  <c r="X492" i="7"/>
  <c r="Y388" i="7"/>
  <c r="Z565" i="7"/>
  <c r="AA628" i="7"/>
  <c r="AA685" i="7"/>
  <c r="X616" i="7"/>
  <c r="X556" i="7"/>
  <c r="AA97" i="7"/>
  <c r="AA113" i="7"/>
  <c r="AA956" i="7"/>
  <c r="Z454" i="7"/>
  <c r="X284" i="7"/>
  <c r="Z425" i="7"/>
  <c r="X255" i="7"/>
  <c r="AA199" i="7"/>
  <c r="AA115" i="7"/>
  <c r="X641" i="7"/>
  <c r="AA326" i="7"/>
  <c r="X528" i="7"/>
  <c r="AA81" i="7"/>
  <c r="Y362" i="7"/>
  <c r="X484" i="7"/>
  <c r="X412" i="7"/>
  <c r="X287" i="7"/>
  <c r="Z653" i="7"/>
  <c r="Z850" i="7"/>
  <c r="AA736" i="7"/>
  <c r="X337" i="7"/>
  <c r="Z51" i="7"/>
  <c r="X423" i="7"/>
  <c r="Z948" i="7"/>
  <c r="Z636" i="7"/>
  <c r="Z463" i="7"/>
  <c r="Z393" i="7"/>
  <c r="X357" i="7"/>
  <c r="X599" i="7"/>
  <c r="X361" i="7"/>
  <c r="X48" i="7"/>
  <c r="Y122" i="7"/>
  <c r="Y95" i="7"/>
  <c r="Z183" i="7"/>
  <c r="Y547" i="7"/>
  <c r="Z816" i="7"/>
  <c r="X876" i="7"/>
  <c r="X912" i="7"/>
  <c r="Y464" i="7"/>
  <c r="Y428" i="7"/>
  <c r="AA358" i="7"/>
  <c r="Z346" i="7"/>
  <c r="Z106" i="7"/>
  <c r="X286" i="7"/>
  <c r="Z722" i="7"/>
  <c r="Z686" i="7"/>
  <c r="Z650" i="7"/>
  <c r="Z614" i="7"/>
  <c r="Z578" i="7"/>
  <c r="Z542" i="7"/>
  <c r="X132" i="7"/>
  <c r="Z98" i="7"/>
  <c r="AA568" i="7"/>
  <c r="AA328" i="7"/>
  <c r="Z385" i="7"/>
  <c r="Y371" i="7"/>
  <c r="Z449" i="7"/>
  <c r="X219" i="7"/>
  <c r="Z441" i="7"/>
  <c r="X196" i="7"/>
  <c r="Y572" i="7"/>
  <c r="Z249" i="7"/>
  <c r="X970" i="7"/>
  <c r="X637" i="7"/>
  <c r="X601" i="7"/>
  <c r="Y543" i="7"/>
  <c r="Y75" i="7"/>
  <c r="X502" i="7"/>
  <c r="X478" i="7"/>
  <c r="Y684" i="7"/>
  <c r="X233" i="7"/>
  <c r="AA146" i="7"/>
  <c r="X89" i="7"/>
  <c r="X756" i="7"/>
  <c r="X720" i="7"/>
  <c r="X684" i="7"/>
  <c r="X648" i="7"/>
  <c r="X612" i="7"/>
  <c r="X576" i="7"/>
  <c r="X96" i="7"/>
  <c r="AA676" i="7"/>
  <c r="Y602" i="7"/>
  <c r="Y566" i="7"/>
  <c r="Y530" i="7"/>
  <c r="Y508" i="7"/>
  <c r="Y472" i="7"/>
  <c r="X441" i="7"/>
  <c r="X683" i="7"/>
  <c r="Y286" i="7"/>
  <c r="Z167" i="7"/>
  <c r="X325" i="7"/>
  <c r="Z288" i="7"/>
  <c r="AA301" i="7"/>
  <c r="Y298" i="7"/>
  <c r="AA972" i="7"/>
  <c r="X247" i="7"/>
  <c r="AA445" i="7"/>
  <c r="X826" i="7"/>
  <c r="Y883" i="7"/>
  <c r="Y955" i="7"/>
  <c r="AA943" i="7"/>
  <c r="Z972" i="7"/>
  <c r="Y735" i="7"/>
  <c r="AA634" i="7"/>
  <c r="Y207" i="7"/>
  <c r="Y670" i="7"/>
  <c r="Y612" i="7"/>
  <c r="Z158" i="7"/>
  <c r="Y127" i="7"/>
  <c r="AA640" i="7"/>
  <c r="Z597" i="7"/>
  <c r="X621" i="7"/>
  <c r="AA548" i="7"/>
  <c r="Z517" i="7"/>
  <c r="Z481" i="7"/>
  <c r="X472" i="7"/>
  <c r="X436" i="7"/>
  <c r="Z473" i="7"/>
  <c r="AA444" i="7"/>
  <c r="Z413" i="7"/>
  <c r="AA907" i="7"/>
  <c r="AA446" i="7"/>
  <c r="X527" i="7"/>
  <c r="AA320" i="7"/>
  <c r="X268" i="7"/>
  <c r="X160" i="7"/>
  <c r="Z219" i="7"/>
  <c r="AA54" i="7"/>
  <c r="X57" i="7"/>
  <c r="AA413" i="7"/>
  <c r="Y641" i="7"/>
  <c r="AA523" i="7"/>
  <c r="Z396" i="7"/>
  <c r="Y233" i="7"/>
  <c r="AA650" i="7"/>
  <c r="Z223" i="7"/>
  <c r="X513" i="7"/>
  <c r="Y503" i="7"/>
  <c r="AA885" i="7"/>
  <c r="AA921" i="7"/>
  <c r="Z502" i="7"/>
  <c r="Z166" i="7"/>
  <c r="Y99" i="7"/>
  <c r="X639" i="7"/>
  <c r="X706" i="7"/>
  <c r="X677" i="7"/>
  <c r="Z607" i="7"/>
  <c r="Y264" i="7"/>
  <c r="Y228" i="7"/>
  <c r="X197" i="7"/>
  <c r="X113" i="7"/>
  <c r="Y84" i="7"/>
  <c r="X787" i="7"/>
  <c r="Y638" i="7"/>
  <c r="X225" i="7"/>
  <c r="Z97" i="7"/>
  <c r="AA541" i="7"/>
  <c r="X411" i="7"/>
  <c r="X242" i="7"/>
  <c r="AA430" i="7"/>
  <c r="Y358" i="7"/>
  <c r="X164" i="7"/>
  <c r="X703" i="7"/>
  <c r="X537" i="7"/>
  <c r="Y256" i="7"/>
  <c r="Y539" i="7"/>
  <c r="AA108" i="7"/>
  <c r="Y526" i="7"/>
  <c r="Y984" i="7"/>
  <c r="Z763" i="7"/>
  <c r="Z863" i="7"/>
  <c r="AA874" i="7"/>
  <c r="Y644" i="7"/>
  <c r="X253" i="7"/>
  <c r="X200" i="7"/>
  <c r="X948" i="7"/>
  <c r="X158" i="7"/>
  <c r="AA733" i="7"/>
  <c r="AA373" i="7"/>
  <c r="X768" i="7"/>
  <c r="AA197" i="7"/>
  <c r="Y718" i="7"/>
  <c r="Z780" i="7"/>
  <c r="Y701" i="7"/>
  <c r="Y521" i="7"/>
  <c r="Y53" i="7"/>
  <c r="AA290" i="7"/>
  <c r="X257" i="7"/>
  <c r="AA345" i="7"/>
  <c r="Y146" i="7"/>
  <c r="X739" i="7"/>
  <c r="Z647" i="7"/>
  <c r="AA336" i="7"/>
  <c r="AA216" i="7"/>
  <c r="AA96" i="7"/>
  <c r="Z871" i="7"/>
  <c r="AA701" i="7"/>
  <c r="AA569" i="7"/>
  <c r="AA343" i="7"/>
  <c r="Z259" i="7"/>
  <c r="X604" i="7"/>
  <c r="Y299" i="7"/>
  <c r="AA837" i="7"/>
  <c r="AA801" i="7"/>
  <c r="AA765" i="7"/>
  <c r="Z557" i="7"/>
  <c r="Z694" i="7"/>
  <c r="AA629" i="7"/>
  <c r="Y231" i="7"/>
  <c r="X166" i="7"/>
  <c r="Y137" i="7"/>
  <c r="AA249" i="7"/>
  <c r="X321" i="7"/>
  <c r="Z215" i="7"/>
  <c r="Z229" i="7"/>
  <c r="Z193" i="7"/>
  <c r="Z157" i="7"/>
  <c r="AA132" i="7"/>
  <c r="X207" i="7"/>
  <c r="X63" i="7"/>
  <c r="AA191" i="7"/>
  <c r="Z588" i="7"/>
  <c r="X607" i="7"/>
  <c r="Z842" i="7"/>
  <c r="Z634" i="7"/>
  <c r="AA710" i="7"/>
  <c r="AA110" i="7"/>
  <c r="X98" i="7"/>
  <c r="AA926" i="7"/>
  <c r="AA974" i="7"/>
  <c r="Z751" i="7"/>
  <c r="AA856" i="7"/>
  <c r="AA788" i="7"/>
  <c r="X289" i="7"/>
  <c r="AA605" i="7"/>
  <c r="Z478" i="7"/>
  <c r="Y214" i="7"/>
  <c r="AA883" i="7"/>
  <c r="AA547" i="7"/>
  <c r="Y341" i="7"/>
  <c r="AA259" i="7"/>
  <c r="Z119" i="7"/>
  <c r="AA674" i="7"/>
  <c r="Y480" i="7"/>
  <c r="X984" i="7"/>
  <c r="AA508" i="7"/>
  <c r="X427" i="7"/>
  <c r="Y201" i="7"/>
  <c r="Y580" i="7"/>
  <c r="Y671" i="7"/>
  <c r="X124" i="7"/>
  <c r="X728" i="7"/>
  <c r="AA422" i="7"/>
  <c r="AA386" i="7"/>
  <c r="Z278" i="7"/>
  <c r="Y352" i="7"/>
  <c r="X249" i="7"/>
  <c r="X155" i="7"/>
  <c r="Y105" i="7"/>
  <c r="Z779" i="7"/>
  <c r="AA636" i="7"/>
  <c r="AA285" i="7"/>
  <c r="Y852" i="7"/>
  <c r="Y844" i="7"/>
  <c r="Y935" i="7"/>
  <c r="X673" i="7"/>
  <c r="Z147" i="7"/>
  <c r="X140" i="7"/>
  <c r="Z475" i="7"/>
  <c r="Y168" i="7"/>
  <c r="AA129" i="7"/>
  <c r="Y422" i="7"/>
  <c r="X103" i="7"/>
  <c r="X232" i="7"/>
  <c r="X229" i="7"/>
  <c r="X193" i="7"/>
  <c r="X157" i="7"/>
  <c r="Y327" i="7"/>
  <c r="Z240" i="7"/>
  <c r="AA103" i="7"/>
  <c r="AA350" i="7"/>
  <c r="Z117" i="7"/>
  <c r="X580" i="7"/>
  <c r="AA224" i="7"/>
  <c r="Z280" i="7"/>
  <c r="Z806" i="7"/>
  <c r="AA124" i="7"/>
  <c r="X667" i="7"/>
  <c r="Z232" i="7"/>
  <c r="Z802" i="7"/>
  <c r="Z911" i="7"/>
  <c r="AA925" i="7"/>
  <c r="X709" i="7"/>
  <c r="Y500" i="7"/>
  <c r="Y965" i="7"/>
  <c r="X454" i="7"/>
  <c r="Z372" i="7"/>
  <c r="Z583" i="7"/>
  <c r="Z511" i="7"/>
  <c r="Y439" i="7"/>
  <c r="Y403" i="7"/>
  <c r="X551" i="7"/>
  <c r="AA383" i="7"/>
  <c r="AA164" i="7"/>
  <c r="Z503" i="7"/>
  <c r="AA409" i="7"/>
  <c r="X505" i="7"/>
  <c r="Z435" i="7"/>
  <c r="Z399" i="7"/>
  <c r="AA118" i="7"/>
  <c r="Z348" i="7"/>
  <c r="X485" i="7"/>
  <c r="Y348" i="7"/>
  <c r="X487" i="7"/>
  <c r="X403" i="7"/>
  <c r="X343" i="7"/>
  <c r="Y604" i="7"/>
  <c r="X741" i="7"/>
  <c r="X417" i="7"/>
  <c r="X381" i="7"/>
  <c r="X395" i="7"/>
  <c r="AA288" i="7"/>
  <c r="Z936" i="7"/>
  <c r="AA665" i="7"/>
  <c r="AA194" i="7"/>
  <c r="Z316" i="7"/>
  <c r="Z897" i="7"/>
  <c r="AA829" i="7"/>
  <c r="AA742" i="7"/>
  <c r="Z495" i="7"/>
  <c r="Y267" i="7"/>
  <c r="AA504" i="7"/>
  <c r="X370" i="7"/>
  <c r="Z84" i="7"/>
  <c r="X545" i="7"/>
  <c r="X509" i="7"/>
  <c r="Y475" i="7"/>
  <c r="AA47" i="7"/>
  <c r="X419" i="7"/>
  <c r="Y116" i="7"/>
  <c r="Y598" i="7"/>
  <c r="X320" i="7"/>
  <c r="AA403" i="7"/>
  <c r="X449" i="7"/>
  <c r="X413" i="7"/>
  <c r="Y482" i="7"/>
  <c r="Y110" i="7"/>
  <c r="X640" i="7"/>
  <c r="Z457" i="7"/>
  <c r="X376" i="7"/>
  <c r="Z196" i="7"/>
  <c r="Y69" i="7"/>
  <c r="AA465" i="7"/>
  <c r="Y700" i="7"/>
  <c r="X647" i="7"/>
  <c r="X304" i="7"/>
  <c r="X889" i="7"/>
  <c r="AA154" i="7"/>
  <c r="Y499" i="7"/>
  <c r="Y247" i="7"/>
  <c r="Y67" i="7"/>
  <c r="X561" i="7"/>
  <c r="AA337" i="7"/>
  <c r="Y47" i="7"/>
  <c r="X122" i="7"/>
  <c r="X544" i="7"/>
  <c r="X664" i="7"/>
  <c r="Y152" i="7"/>
  <c r="X201" i="7"/>
  <c r="Z746" i="7"/>
  <c r="Z710" i="7"/>
  <c r="Y635" i="7"/>
  <c r="Y592" i="7"/>
  <c r="Y695" i="7"/>
  <c r="Z253" i="7"/>
  <c r="AA107" i="7"/>
  <c r="Y111" i="7"/>
  <c r="Z312" i="7"/>
  <c r="Y275" i="7"/>
  <c r="Y188" i="7"/>
  <c r="X309" i="7"/>
  <c r="Z307" i="7"/>
  <c r="X744" i="7"/>
  <c r="Z421" i="7"/>
  <c r="AA721" i="7"/>
  <c r="X83" i="7"/>
  <c r="X314" i="7"/>
  <c r="Z132" i="7"/>
  <c r="Y496" i="7"/>
  <c r="Z989" i="7"/>
  <c r="AA715" i="7"/>
  <c r="AA424" i="7"/>
  <c r="X731" i="7"/>
  <c r="X364" i="7"/>
  <c r="AA121" i="7"/>
  <c r="Z66" i="7"/>
  <c r="Z304" i="7"/>
  <c r="Y124" i="7"/>
  <c r="X374" i="7"/>
  <c r="Z340" i="7"/>
  <c r="Y730" i="7"/>
  <c r="AA338" i="7"/>
  <c r="AA50" i="7"/>
  <c r="X311" i="7"/>
  <c r="Y191" i="7"/>
  <c r="Y119" i="7"/>
  <c r="Y153" i="7"/>
  <c r="Y336" i="7"/>
  <c r="AA712" i="7"/>
  <c r="Z417" i="7"/>
  <c r="AA500" i="7"/>
  <c r="X424" i="7"/>
  <c r="X302" i="7"/>
  <c r="X230" i="7"/>
  <c r="Z467" i="7"/>
  <c r="Y610" i="7"/>
  <c r="Y238" i="7"/>
  <c r="Y130" i="7"/>
  <c r="Y412" i="7"/>
  <c r="X563" i="7"/>
  <c r="Y285" i="7"/>
  <c r="Z311" i="7"/>
  <c r="AA913" i="7"/>
  <c r="Z853" i="7"/>
  <c r="Z903" i="7"/>
  <c r="AA509" i="7"/>
  <c r="X340" i="7"/>
  <c r="Z443" i="7"/>
  <c r="AA239" i="7"/>
  <c r="AA637" i="7"/>
  <c r="Z649" i="7"/>
  <c r="X508" i="7"/>
  <c r="Z945" i="7"/>
  <c r="X49" i="7"/>
  <c r="Z305" i="7"/>
  <c r="X159" i="7"/>
  <c r="X694" i="7"/>
  <c r="AA362" i="7"/>
  <c r="AA74" i="7"/>
  <c r="Z575" i="7"/>
  <c r="Y611" i="7"/>
  <c r="AA227" i="7"/>
  <c r="X110" i="7"/>
  <c r="X85" i="7"/>
  <c r="AA46" i="7"/>
  <c r="AA84" i="7"/>
  <c r="X394" i="7"/>
  <c r="X689" i="7"/>
  <c r="AA392" i="7"/>
  <c r="AA481" i="7"/>
  <c r="Y788" i="7"/>
  <c r="Y680" i="7"/>
  <c r="Y536" i="7"/>
  <c r="Y320" i="7"/>
  <c r="Y104" i="7"/>
  <c r="AA617" i="7"/>
  <c r="X711" i="7"/>
  <c r="X675" i="7"/>
  <c r="X603" i="7"/>
  <c r="X387" i="7"/>
  <c r="X243" i="7"/>
  <c r="Z696" i="7"/>
  <c r="Y456" i="7"/>
  <c r="X804" i="7"/>
  <c r="Z917" i="7"/>
  <c r="X565" i="7"/>
  <c r="X349" i="7"/>
  <c r="X133" i="7"/>
  <c r="Z322" i="7"/>
  <c r="AA979" i="7"/>
  <c r="AA619" i="7"/>
  <c r="Y835" i="7"/>
  <c r="AA167" i="7"/>
  <c r="X68" i="7"/>
  <c r="X536" i="7"/>
  <c r="Z974" i="7"/>
  <c r="Z938" i="7"/>
  <c r="Z902" i="7"/>
  <c r="Z866" i="7"/>
  <c r="Y165" i="7"/>
  <c r="Y596" i="7"/>
  <c r="Y380" i="7"/>
  <c r="Y164" i="7"/>
  <c r="X51" i="7"/>
  <c r="Z864" i="7"/>
  <c r="Z376" i="7"/>
  <c r="Z895" i="7"/>
  <c r="Z771" i="7"/>
  <c r="Y387" i="7"/>
  <c r="Z657" i="7"/>
  <c r="Y232" i="7"/>
  <c r="Z130" i="7"/>
  <c r="AA751" i="7"/>
  <c r="AA391" i="7"/>
  <c r="AA119" i="7"/>
  <c r="AA442" i="7"/>
  <c r="AA226" i="7"/>
  <c r="Y893" i="7"/>
  <c r="AA544" i="7"/>
  <c r="Z815" i="7"/>
  <c r="Z456" i="7"/>
  <c r="Z471" i="7"/>
  <c r="Z255" i="7"/>
  <c r="Y195" i="7"/>
  <c r="X778" i="7"/>
  <c r="X598" i="7"/>
  <c r="Z213" i="7"/>
  <c r="Y466" i="7"/>
  <c r="X605" i="7"/>
  <c r="Y775" i="7"/>
  <c r="Y249" i="7"/>
  <c r="K164" i="1"/>
  <c r="M163" i="1"/>
  <c r="M155" i="1"/>
  <c r="K156" i="1"/>
  <c r="L150" i="1"/>
  <c r="L151" i="1" s="1"/>
  <c r="L152" i="1" s="1"/>
  <c r="L153" i="1" s="1"/>
  <c r="K140" i="1"/>
  <c r="M139" i="1"/>
  <c r="A125" i="1"/>
  <c r="M115" i="1"/>
  <c r="A118" i="1"/>
  <c r="L14" i="8"/>
  <c r="L21" i="8"/>
  <c r="L18" i="8"/>
  <c r="L11" i="8"/>
  <c r="L15" i="8"/>
  <c r="L19" i="8"/>
  <c r="L8" i="8"/>
  <c r="L12" i="8"/>
  <c r="L16" i="8"/>
  <c r="L20" i="8"/>
  <c r="L9" i="8"/>
  <c r="AJ381" i="1" l="1"/>
  <c r="AI383" i="1"/>
  <c r="AJ383" i="1" s="1"/>
  <c r="N373" i="1"/>
  <c r="AI373" i="1" s="1"/>
  <c r="AJ373" i="1" s="1"/>
  <c r="M352" i="1"/>
  <c r="AH361" i="1"/>
  <c r="AH359" i="1"/>
  <c r="M350" i="1"/>
  <c r="K351" i="1"/>
  <c r="M148" i="1"/>
  <c r="AH156" i="1"/>
  <c r="M343" i="1"/>
  <c r="AH343" i="1"/>
  <c r="K330" i="1"/>
  <c r="AH339" i="1" s="1"/>
  <c r="K332" i="1"/>
  <c r="AH341" i="1" s="1"/>
  <c r="AH329" i="1"/>
  <c r="M329" i="1"/>
  <c r="M322" i="1"/>
  <c r="AH322" i="1"/>
  <c r="K321" i="1"/>
  <c r="AH320" i="1"/>
  <c r="M320" i="1"/>
  <c r="M313" i="1"/>
  <c r="AH313" i="1"/>
  <c r="AH303" i="1"/>
  <c r="M303" i="1"/>
  <c r="N303" i="1" s="1"/>
  <c r="M293" i="1"/>
  <c r="AH293" i="1"/>
  <c r="K282" i="1"/>
  <c r="AH279" i="1"/>
  <c r="K280" i="1"/>
  <c r="AH289" i="1" s="1"/>
  <c r="M279" i="1"/>
  <c r="M149" i="1"/>
  <c r="M205" i="1"/>
  <c r="AH213" i="1"/>
  <c r="K206" i="1"/>
  <c r="M206" i="1" s="1"/>
  <c r="AH205" i="1"/>
  <c r="K271" i="1"/>
  <c r="AH270" i="1"/>
  <c r="M270" i="1"/>
  <c r="K263" i="1"/>
  <c r="M262" i="1"/>
  <c r="K252" i="1"/>
  <c r="AH261" i="1" s="1"/>
  <c r="AH251" i="1"/>
  <c r="M251" i="1"/>
  <c r="K244" i="1"/>
  <c r="AH243" i="1"/>
  <c r="M243" i="1"/>
  <c r="K235" i="1"/>
  <c r="AH234" i="1"/>
  <c r="M234" i="1"/>
  <c r="M197" i="1"/>
  <c r="K141" i="1"/>
  <c r="AH149" i="1" s="1"/>
  <c r="AH140" i="1"/>
  <c r="AH148" i="1"/>
  <c r="AH180" i="1"/>
  <c r="K133" i="1"/>
  <c r="AH132" i="1"/>
  <c r="M132" i="1"/>
  <c r="K117" i="1"/>
  <c r="M117" i="1" s="1"/>
  <c r="AH116" i="1"/>
  <c r="M116" i="1"/>
  <c r="K125" i="1"/>
  <c r="AH124" i="1"/>
  <c r="AH164" i="1"/>
  <c r="AH172" i="1"/>
  <c r="M188" i="1"/>
  <c r="AH188" i="1"/>
  <c r="AH212" i="1"/>
  <c r="AH204" i="1"/>
  <c r="M204" i="1"/>
  <c r="A227" i="1"/>
  <c r="K226" i="1"/>
  <c r="AH225" i="1"/>
  <c r="M225" i="1"/>
  <c r="K217" i="1"/>
  <c r="M216" i="1"/>
  <c r="K199" i="1"/>
  <c r="M198" i="1"/>
  <c r="K189" i="1"/>
  <c r="K181" i="1"/>
  <c r="M180" i="1"/>
  <c r="K173" i="1"/>
  <c r="M172" i="1"/>
  <c r="K165" i="1"/>
  <c r="M164" i="1"/>
  <c r="M156" i="1"/>
  <c r="K157" i="1"/>
  <c r="AH157" i="1" s="1"/>
  <c r="K151" i="1"/>
  <c r="M150" i="1"/>
  <c r="M140" i="1"/>
  <c r="M124" i="1"/>
  <c r="A126" i="1"/>
  <c r="A119" i="1"/>
  <c r="AH360" i="1" l="1"/>
  <c r="M351" i="1"/>
  <c r="AH351" i="1"/>
  <c r="K353" i="1"/>
  <c r="N313" i="1"/>
  <c r="AI313" i="1" s="1"/>
  <c r="AJ313" i="1" s="1"/>
  <c r="M332" i="1"/>
  <c r="K331" i="1"/>
  <c r="AH340" i="1" s="1"/>
  <c r="M330" i="1"/>
  <c r="AH330" i="1"/>
  <c r="K323" i="1"/>
  <c r="AH332" i="1" s="1"/>
  <c r="AH321" i="1"/>
  <c r="M321" i="1"/>
  <c r="AI303" i="1"/>
  <c r="AJ303" i="1" s="1"/>
  <c r="AH291" i="1"/>
  <c r="AH280" i="1"/>
  <c r="M282" i="1"/>
  <c r="K281" i="1"/>
  <c r="AH290" i="1" s="1"/>
  <c r="M280" i="1"/>
  <c r="AH215" i="1"/>
  <c r="K207" i="1"/>
  <c r="AH216" i="1" s="1"/>
  <c r="AH206" i="1"/>
  <c r="K272" i="1"/>
  <c r="AH271" i="1"/>
  <c r="M271" i="1"/>
  <c r="K264" i="1"/>
  <c r="M263" i="1"/>
  <c r="K253" i="1"/>
  <c r="AH262" i="1" s="1"/>
  <c r="AH252" i="1"/>
  <c r="M252" i="1"/>
  <c r="K245" i="1"/>
  <c r="AH244" i="1"/>
  <c r="M244" i="1"/>
  <c r="K236" i="1"/>
  <c r="AH235" i="1"/>
  <c r="M235" i="1"/>
  <c r="M141" i="1"/>
  <c r="AH165" i="1"/>
  <c r="AH181" i="1"/>
  <c r="AH173" i="1"/>
  <c r="K126" i="1"/>
  <c r="AH125" i="1"/>
  <c r="AH189" i="1"/>
  <c r="AH197" i="1"/>
  <c r="K118" i="1"/>
  <c r="M118" i="1" s="1"/>
  <c r="AH117" i="1"/>
  <c r="K134" i="1"/>
  <c r="AH133" i="1"/>
  <c r="M133" i="1"/>
  <c r="K142" i="1"/>
  <c r="AH141" i="1"/>
  <c r="K227" i="1"/>
  <c r="AH226" i="1"/>
  <c r="M226" i="1"/>
  <c r="A228" i="1"/>
  <c r="K218" i="1"/>
  <c r="M217" i="1"/>
  <c r="M189" i="1"/>
  <c r="K200" i="1"/>
  <c r="M199" i="1"/>
  <c r="K190" i="1"/>
  <c r="K182" i="1"/>
  <c r="M181" i="1"/>
  <c r="K174" i="1"/>
  <c r="M173" i="1"/>
  <c r="K166" i="1"/>
  <c r="M165" i="1"/>
  <c r="K158" i="1"/>
  <c r="AH158" i="1" s="1"/>
  <c r="M157" i="1"/>
  <c r="K152" i="1"/>
  <c r="M151" i="1"/>
  <c r="A127" i="1"/>
  <c r="M125" i="1"/>
  <c r="A120" i="1"/>
  <c r="AH362" i="1" l="1"/>
  <c r="M353" i="1"/>
  <c r="AH353" i="1"/>
  <c r="K333" i="1"/>
  <c r="AH342" i="1" s="1"/>
  <c r="M331" i="1"/>
  <c r="AH331" i="1"/>
  <c r="M323" i="1"/>
  <c r="N323" i="1" s="1"/>
  <c r="AH323" i="1"/>
  <c r="K283" i="1"/>
  <c r="AH281" i="1"/>
  <c r="M281" i="1"/>
  <c r="K208" i="1"/>
  <c r="AH208" i="1" s="1"/>
  <c r="M207" i="1"/>
  <c r="AH207" i="1"/>
  <c r="AH272" i="1"/>
  <c r="K273" i="1"/>
  <c r="AH282" i="1" s="1"/>
  <c r="M272" i="1"/>
  <c r="M264" i="1"/>
  <c r="K254" i="1"/>
  <c r="AH263" i="1" s="1"/>
  <c r="AH253" i="1"/>
  <c r="M253" i="1"/>
  <c r="AH245" i="1"/>
  <c r="M245" i="1"/>
  <c r="K246" i="1"/>
  <c r="AH236" i="1"/>
  <c r="M236" i="1"/>
  <c r="K237" i="1"/>
  <c r="AH166" i="1"/>
  <c r="AH174" i="1"/>
  <c r="AH182" i="1"/>
  <c r="K127" i="1"/>
  <c r="AH126" i="1"/>
  <c r="AH190" i="1"/>
  <c r="AH198" i="1"/>
  <c r="K143" i="1"/>
  <c r="AH142" i="1"/>
  <c r="M142" i="1"/>
  <c r="AH150" i="1"/>
  <c r="K135" i="1"/>
  <c r="AH134" i="1"/>
  <c r="M134" i="1"/>
  <c r="K119" i="1"/>
  <c r="M119" i="1" s="1"/>
  <c r="AH118" i="1"/>
  <c r="K228" i="1"/>
  <c r="AH227" i="1"/>
  <c r="M227" i="1"/>
  <c r="K219" i="1"/>
  <c r="M218" i="1"/>
  <c r="K191" i="1"/>
  <c r="K201" i="1"/>
  <c r="M200" i="1"/>
  <c r="M190" i="1"/>
  <c r="K183" i="1"/>
  <c r="M182" i="1"/>
  <c r="K175" i="1"/>
  <c r="M174" i="1"/>
  <c r="K167" i="1"/>
  <c r="M166" i="1"/>
  <c r="K159" i="1"/>
  <c r="AH159" i="1" s="1"/>
  <c r="M158" i="1"/>
  <c r="M152" i="1"/>
  <c r="K153" i="1"/>
  <c r="A128" i="1"/>
  <c r="M126" i="1"/>
  <c r="A121" i="1"/>
  <c r="N353" i="1" l="1"/>
  <c r="AI353" i="1" s="1"/>
  <c r="N363" i="1"/>
  <c r="AI363" i="1" s="1"/>
  <c r="AJ363" i="1" s="1"/>
  <c r="AH333" i="1"/>
  <c r="M333" i="1"/>
  <c r="AI323" i="1"/>
  <c r="AJ323" i="1" s="1"/>
  <c r="M283" i="1"/>
  <c r="N293" i="1" s="1"/>
  <c r="AH283" i="1"/>
  <c r="AH292" i="1"/>
  <c r="K209" i="1"/>
  <c r="AH209" i="1" s="1"/>
  <c r="M208" i="1"/>
  <c r="AH217" i="1"/>
  <c r="N239" i="1"/>
  <c r="AI239" i="1" s="1"/>
  <c r="AJ239" i="1" s="1"/>
  <c r="N248" i="1"/>
  <c r="AI248" i="1" s="1"/>
  <c r="AJ248" i="1" s="1"/>
  <c r="N257" i="1"/>
  <c r="AI257" i="1" s="1"/>
  <c r="AJ257" i="1" s="1"/>
  <c r="AH273" i="1"/>
  <c r="M273" i="1"/>
  <c r="AH254" i="1"/>
  <c r="M254" i="1"/>
  <c r="K255" i="1"/>
  <c r="AH264" i="1" s="1"/>
  <c r="AH246" i="1"/>
  <c r="M246" i="1"/>
  <c r="N230" i="1"/>
  <c r="AI230" i="1" s="1"/>
  <c r="AJ230" i="1" s="1"/>
  <c r="AH237" i="1"/>
  <c r="M237" i="1"/>
  <c r="N222" i="1"/>
  <c r="N213" i="1"/>
  <c r="N204" i="1"/>
  <c r="AH143" i="1"/>
  <c r="K144" i="1"/>
  <c r="M143" i="1"/>
  <c r="AH151" i="1"/>
  <c r="AH167" i="1"/>
  <c r="K128" i="1"/>
  <c r="AH127" i="1"/>
  <c r="AH175" i="1"/>
  <c r="K120" i="1"/>
  <c r="M120" i="1" s="1"/>
  <c r="AH119" i="1"/>
  <c r="AH183" i="1"/>
  <c r="AH191" i="1"/>
  <c r="AH199" i="1"/>
  <c r="K136" i="1"/>
  <c r="AH135" i="1"/>
  <c r="M135" i="1"/>
  <c r="AH228" i="1"/>
  <c r="M228" i="1"/>
  <c r="M219" i="1"/>
  <c r="M191" i="1"/>
  <c r="K192" i="1"/>
  <c r="M201" i="1"/>
  <c r="K184" i="1"/>
  <c r="M183" i="1"/>
  <c r="K176" i="1"/>
  <c r="M175" i="1"/>
  <c r="K168" i="1"/>
  <c r="M167" i="1"/>
  <c r="M159" i="1"/>
  <c r="K160" i="1"/>
  <c r="AH160" i="1" s="1"/>
  <c r="M153" i="1"/>
  <c r="A129" i="1"/>
  <c r="M127" i="1"/>
  <c r="AJ353" i="1" l="1"/>
  <c r="AI293" i="1"/>
  <c r="AI283" i="1"/>
  <c r="N333" i="1"/>
  <c r="N343" i="1"/>
  <c r="AI343" i="1" s="1"/>
  <c r="AJ343" i="1" s="1"/>
  <c r="M209" i="1"/>
  <c r="AH218" i="1"/>
  <c r="K210" i="1"/>
  <c r="AH210" i="1" s="1"/>
  <c r="AH255" i="1"/>
  <c r="M255" i="1"/>
  <c r="AI204" i="1"/>
  <c r="AJ204" i="1" s="1"/>
  <c r="AI222" i="1"/>
  <c r="AJ222" i="1" s="1"/>
  <c r="AI213" i="1"/>
  <c r="AJ213" i="1" s="1"/>
  <c r="AH176" i="1"/>
  <c r="K137" i="1"/>
  <c r="AH136" i="1"/>
  <c r="M136" i="1"/>
  <c r="AH168" i="1"/>
  <c r="AH184" i="1"/>
  <c r="K129" i="1"/>
  <c r="AH128" i="1"/>
  <c r="AH192" i="1"/>
  <c r="AH200" i="1"/>
  <c r="AH144" i="1"/>
  <c r="K145" i="1"/>
  <c r="M144" i="1"/>
  <c r="AH152" i="1"/>
  <c r="K121" i="1"/>
  <c r="AH121" i="1" s="1"/>
  <c r="AH120" i="1"/>
  <c r="M192" i="1"/>
  <c r="K193" i="1"/>
  <c r="M184" i="1"/>
  <c r="K185" i="1"/>
  <c r="M176" i="1"/>
  <c r="K177" i="1"/>
  <c r="M168" i="1"/>
  <c r="K169" i="1"/>
  <c r="M160" i="1"/>
  <c r="K161" i="1"/>
  <c r="AH161" i="1" s="1"/>
  <c r="M128" i="1"/>
  <c r="AJ293" i="1" l="1"/>
  <c r="AI333" i="1"/>
  <c r="AJ283" i="1"/>
  <c r="AH219" i="1"/>
  <c r="M210" i="1"/>
  <c r="M121" i="1"/>
  <c r="AH169" i="1"/>
  <c r="AH185" i="1"/>
  <c r="AH177" i="1"/>
  <c r="AH145" i="1"/>
  <c r="M145" i="1"/>
  <c r="AH153" i="1"/>
  <c r="AH129" i="1"/>
  <c r="AH193" i="1"/>
  <c r="AH201" i="1"/>
  <c r="AH137" i="1"/>
  <c r="M137" i="1"/>
  <c r="M193" i="1"/>
  <c r="M185" i="1"/>
  <c r="M177" i="1"/>
  <c r="M169" i="1"/>
  <c r="M161" i="1"/>
  <c r="M129" i="1"/>
  <c r="T107" i="1"/>
  <c r="Z107" i="1"/>
  <c r="V107" i="1"/>
  <c r="W107" i="1"/>
  <c r="U107" i="1"/>
  <c r="S107" i="1"/>
  <c r="J113" i="1"/>
  <c r="AH113" i="1" s="1"/>
  <c r="I113" i="1"/>
  <c r="J112" i="1"/>
  <c r="AH112" i="1" s="1"/>
  <c r="I112" i="1"/>
  <c r="I111" i="1"/>
  <c r="J111" i="1"/>
  <c r="AH111" i="1" s="1"/>
  <c r="J110" i="1"/>
  <c r="AH110" i="1" s="1"/>
  <c r="I110" i="1"/>
  <c r="J109" i="1"/>
  <c r="AH109" i="1" s="1"/>
  <c r="I109" i="1"/>
  <c r="J108" i="1"/>
  <c r="AH108" i="1" s="1"/>
  <c r="I108" i="1"/>
  <c r="J107" i="1"/>
  <c r="AH107" i="1" s="1"/>
  <c r="I107" i="1"/>
  <c r="J106" i="1"/>
  <c r="AH106" i="1" s="1"/>
  <c r="I106" i="1"/>
  <c r="AB99" i="1"/>
  <c r="W99" i="1"/>
  <c r="Z99" i="1"/>
  <c r="F103" i="1"/>
  <c r="J103" i="1" s="1"/>
  <c r="AH103" i="1" s="1"/>
  <c r="J105" i="1"/>
  <c r="AH105" i="1" s="1"/>
  <c r="I105" i="1"/>
  <c r="J104" i="1"/>
  <c r="AH104" i="1" s="1"/>
  <c r="I104" i="1"/>
  <c r="I103" i="1"/>
  <c r="J102" i="1"/>
  <c r="AH102" i="1" s="1"/>
  <c r="I102" i="1"/>
  <c r="J101" i="1"/>
  <c r="AH101" i="1" s="1"/>
  <c r="I101" i="1"/>
  <c r="J100" i="1"/>
  <c r="AH100" i="1" s="1"/>
  <c r="I100" i="1"/>
  <c r="J99" i="1"/>
  <c r="AH99" i="1" s="1"/>
  <c r="I99" i="1"/>
  <c r="J98" i="1"/>
  <c r="AH98" i="1" s="1"/>
  <c r="I98" i="1"/>
  <c r="AB91" i="1"/>
  <c r="Z91" i="1"/>
  <c r="S91" i="1"/>
  <c r="J97" i="1"/>
  <c r="AH97" i="1" s="1"/>
  <c r="I97" i="1"/>
  <c r="J96" i="1"/>
  <c r="AH96" i="1" s="1"/>
  <c r="I96" i="1"/>
  <c r="I95" i="1"/>
  <c r="F95" i="1"/>
  <c r="J95" i="1" s="1"/>
  <c r="AH95" i="1" s="1"/>
  <c r="J94" i="1"/>
  <c r="AH94" i="1" s="1"/>
  <c r="I94" i="1"/>
  <c r="J93" i="1"/>
  <c r="AH93" i="1" s="1"/>
  <c r="I93" i="1"/>
  <c r="J92" i="1"/>
  <c r="AH92" i="1" s="1"/>
  <c r="I92" i="1"/>
  <c r="J91" i="1"/>
  <c r="AH91" i="1" s="1"/>
  <c r="I91" i="1"/>
  <c r="J90" i="1"/>
  <c r="AH90" i="1" s="1"/>
  <c r="I90" i="1"/>
  <c r="Z83" i="1"/>
  <c r="U83" i="1"/>
  <c r="S83" i="1"/>
  <c r="J89" i="1"/>
  <c r="AH89" i="1" s="1"/>
  <c r="I89" i="1"/>
  <c r="J88" i="1"/>
  <c r="AH88" i="1" s="1"/>
  <c r="I88" i="1"/>
  <c r="I87" i="1"/>
  <c r="F87" i="1"/>
  <c r="J87" i="1" s="1"/>
  <c r="AH87" i="1" s="1"/>
  <c r="J86" i="1"/>
  <c r="AH86" i="1" s="1"/>
  <c r="I86" i="1"/>
  <c r="J85" i="1"/>
  <c r="AH85" i="1" s="1"/>
  <c r="I85" i="1"/>
  <c r="J84" i="1"/>
  <c r="AH84" i="1" s="1"/>
  <c r="I84" i="1"/>
  <c r="J83" i="1"/>
  <c r="AH83" i="1" s="1"/>
  <c r="I83" i="1"/>
  <c r="J82" i="1"/>
  <c r="AH82" i="1" s="1"/>
  <c r="I82" i="1"/>
  <c r="Z75" i="1"/>
  <c r="F79" i="1"/>
  <c r="J79" i="1" s="1"/>
  <c r="AH79" i="1" s="1"/>
  <c r="J81" i="1"/>
  <c r="AH81" i="1" s="1"/>
  <c r="I81" i="1"/>
  <c r="J80" i="1"/>
  <c r="AH80" i="1" s="1"/>
  <c r="I80" i="1"/>
  <c r="I79" i="1"/>
  <c r="J78" i="1"/>
  <c r="AH78" i="1" s="1"/>
  <c r="I78" i="1"/>
  <c r="J77" i="1"/>
  <c r="AH77" i="1" s="1"/>
  <c r="I77" i="1"/>
  <c r="J76" i="1"/>
  <c r="AH76" i="1" s="1"/>
  <c r="I76" i="1"/>
  <c r="J75" i="1"/>
  <c r="AH75" i="1" s="1"/>
  <c r="I75" i="1"/>
  <c r="J74" i="1"/>
  <c r="AH74" i="1" s="1"/>
  <c r="I74" i="1"/>
  <c r="AJ333" i="1" l="1"/>
  <c r="A107" i="1"/>
  <c r="A108" i="1" s="1"/>
  <c r="M106" i="1"/>
  <c r="A109" i="1" l="1"/>
  <c r="Z67" i="1"/>
  <c r="O66" i="1"/>
  <c r="O138" i="1" s="1"/>
  <c r="F71" i="1"/>
  <c r="J71" i="1" s="1"/>
  <c r="AH71" i="1" s="1"/>
  <c r="J73" i="1"/>
  <c r="AH73" i="1" s="1"/>
  <c r="I73" i="1"/>
  <c r="J72" i="1"/>
  <c r="AH72" i="1" s="1"/>
  <c r="I72" i="1"/>
  <c r="I71" i="1"/>
  <c r="J70" i="1"/>
  <c r="AH70" i="1" s="1"/>
  <c r="I70" i="1"/>
  <c r="J69" i="1"/>
  <c r="AH69" i="1" s="1"/>
  <c r="I69" i="1"/>
  <c r="J68" i="1"/>
  <c r="AH68" i="1" s="1"/>
  <c r="I68" i="1"/>
  <c r="J67" i="1"/>
  <c r="AH67" i="1" s="1"/>
  <c r="I67" i="1"/>
  <c r="J66" i="1"/>
  <c r="AH66" i="1" s="1"/>
  <c r="I66" i="1"/>
  <c r="U59" i="1"/>
  <c r="V59" i="1"/>
  <c r="Z59" i="1"/>
  <c r="W59" i="1"/>
  <c r="S59" i="1"/>
  <c r="J65" i="1"/>
  <c r="AH65" i="1" s="1"/>
  <c r="I65" i="1"/>
  <c r="J64" i="1"/>
  <c r="AH64" i="1" s="1"/>
  <c r="I64" i="1"/>
  <c r="J63" i="1"/>
  <c r="AH63" i="1" s="1"/>
  <c r="I63" i="1"/>
  <c r="J62" i="1"/>
  <c r="AH62" i="1" s="1"/>
  <c r="I62" i="1"/>
  <c r="J61" i="1"/>
  <c r="AH61" i="1" s="1"/>
  <c r="I61" i="1"/>
  <c r="J60" i="1"/>
  <c r="AH60" i="1" s="1"/>
  <c r="I60" i="1"/>
  <c r="J59" i="1"/>
  <c r="AH59" i="1" s="1"/>
  <c r="I59" i="1"/>
  <c r="J58" i="1"/>
  <c r="AH58" i="1" s="1"/>
  <c r="I58" i="1"/>
  <c r="W51" i="1"/>
  <c r="Z51" i="1"/>
  <c r="F55" i="1"/>
  <c r="J55" i="1" s="1"/>
  <c r="AH55" i="1" s="1"/>
  <c r="J57" i="1"/>
  <c r="AH57" i="1" s="1"/>
  <c r="I57" i="1"/>
  <c r="J56" i="1"/>
  <c r="AH56" i="1" s="1"/>
  <c r="I56" i="1"/>
  <c r="I55" i="1"/>
  <c r="J54" i="1"/>
  <c r="AH54" i="1" s="1"/>
  <c r="I54" i="1"/>
  <c r="J53" i="1"/>
  <c r="AH53" i="1" s="1"/>
  <c r="I53" i="1"/>
  <c r="J52" i="1"/>
  <c r="AH52" i="1" s="1"/>
  <c r="I52" i="1"/>
  <c r="J51" i="1"/>
  <c r="AH51" i="1" s="1"/>
  <c r="I51" i="1"/>
  <c r="J50" i="1"/>
  <c r="AH50" i="1" s="1"/>
  <c r="I50" i="1"/>
  <c r="V43" i="1"/>
  <c r="Z43" i="1"/>
  <c r="W43" i="1"/>
  <c r="S42" i="1"/>
  <c r="J49" i="1"/>
  <c r="AH49" i="1" s="1"/>
  <c r="I49" i="1"/>
  <c r="J48" i="1"/>
  <c r="AH48" i="1" s="1"/>
  <c r="I48" i="1"/>
  <c r="J47" i="1"/>
  <c r="AH47" i="1" s="1"/>
  <c r="I47" i="1"/>
  <c r="J46" i="1"/>
  <c r="AH46" i="1" s="1"/>
  <c r="I46" i="1"/>
  <c r="J45" i="1"/>
  <c r="AH45" i="1" s="1"/>
  <c r="I45" i="1"/>
  <c r="J44" i="1"/>
  <c r="AH44" i="1" s="1"/>
  <c r="I44" i="1"/>
  <c r="J43" i="1"/>
  <c r="AH43" i="1" s="1"/>
  <c r="I43" i="1"/>
  <c r="A43" i="1"/>
  <c r="J42" i="1"/>
  <c r="AH42" i="1" s="1"/>
  <c r="I42" i="1"/>
  <c r="J41" i="1"/>
  <c r="AH41" i="1" s="1"/>
  <c r="I41" i="1"/>
  <c r="J40" i="1"/>
  <c r="AH40" i="1" s="1"/>
  <c r="I40" i="1"/>
  <c r="I39" i="1"/>
  <c r="F39" i="1"/>
  <c r="J39" i="1" s="1"/>
  <c r="AH39" i="1" s="1"/>
  <c r="J38" i="1"/>
  <c r="AH38" i="1" s="1"/>
  <c r="I38" i="1"/>
  <c r="J37" i="1"/>
  <c r="AH37" i="1" s="1"/>
  <c r="I37" i="1"/>
  <c r="J36" i="1"/>
  <c r="AH36" i="1" s="1"/>
  <c r="I36" i="1"/>
  <c r="J35" i="1"/>
  <c r="AH35" i="1" s="1"/>
  <c r="I35" i="1"/>
  <c r="A35" i="1"/>
  <c r="A36" i="1" s="1"/>
  <c r="J34" i="1"/>
  <c r="AH34" i="1" s="1"/>
  <c r="I34" i="1"/>
  <c r="P138" i="1" l="1"/>
  <c r="M107" i="1"/>
  <c r="M108" i="1"/>
  <c r="A110" i="1"/>
  <c r="M42" i="1"/>
  <c r="A44" i="1"/>
  <c r="A45" i="1" s="1"/>
  <c r="M45" i="1" s="1"/>
  <c r="M43" i="1"/>
  <c r="M34" i="1"/>
  <c r="M36" i="1"/>
  <c r="A37" i="1"/>
  <c r="F31" i="1"/>
  <c r="J31" i="1" s="1"/>
  <c r="AH31" i="1" s="1"/>
  <c r="J33" i="1"/>
  <c r="AH33" i="1" s="1"/>
  <c r="I33" i="1"/>
  <c r="J32" i="1"/>
  <c r="AH32" i="1" s="1"/>
  <c r="I32" i="1"/>
  <c r="I31" i="1"/>
  <c r="J30" i="1"/>
  <c r="AH30" i="1" s="1"/>
  <c r="I30" i="1"/>
  <c r="J29" i="1"/>
  <c r="AH29" i="1" s="1"/>
  <c r="I29" i="1"/>
  <c r="J28" i="1"/>
  <c r="AH28" i="1" s="1"/>
  <c r="I28" i="1"/>
  <c r="J27" i="1"/>
  <c r="AH27" i="1" s="1"/>
  <c r="I27" i="1"/>
  <c r="A27" i="1"/>
  <c r="J26" i="1"/>
  <c r="AH26" i="1" s="1"/>
  <c r="I26" i="1"/>
  <c r="J19" i="1"/>
  <c r="AH19" i="1" s="1"/>
  <c r="F23" i="1"/>
  <c r="J23" i="1" s="1"/>
  <c r="AH23" i="1" s="1"/>
  <c r="I23" i="1"/>
  <c r="J25" i="1"/>
  <c r="AH25" i="1" s="1"/>
  <c r="I25" i="1"/>
  <c r="J24" i="1"/>
  <c r="AH24" i="1" s="1"/>
  <c r="I24" i="1"/>
  <c r="J22" i="1"/>
  <c r="AH22" i="1" s="1"/>
  <c r="I22" i="1"/>
  <c r="J21" i="1"/>
  <c r="AH21" i="1" s="1"/>
  <c r="I21" i="1"/>
  <c r="J20" i="1"/>
  <c r="AH20" i="1" s="1"/>
  <c r="I20" i="1"/>
  <c r="I19" i="1"/>
  <c r="A19" i="1"/>
  <c r="A20" i="1" s="1"/>
  <c r="A21" i="1" s="1"/>
  <c r="A22" i="1" s="1"/>
  <c r="A23" i="1" s="1"/>
  <c r="A24" i="1" s="1"/>
  <c r="A25" i="1" s="1"/>
  <c r="J18" i="1"/>
  <c r="AH18" i="1" s="1"/>
  <c r="I18" i="1"/>
  <c r="M109" i="1" l="1"/>
  <c r="A111" i="1"/>
  <c r="A46" i="1"/>
  <c r="A28" i="1"/>
  <c r="M35" i="1"/>
  <c r="A38" i="1"/>
  <c r="M26" i="1"/>
  <c r="F15" i="1"/>
  <c r="J15" i="1" s="1"/>
  <c r="AH15" i="1" s="1"/>
  <c r="A11" i="1"/>
  <c r="J17" i="1"/>
  <c r="AH17" i="1" s="1"/>
  <c r="I17" i="1"/>
  <c r="J16" i="1"/>
  <c r="AH16" i="1" s="1"/>
  <c r="I16" i="1"/>
  <c r="I15" i="1"/>
  <c r="J14" i="1"/>
  <c r="AH14" i="1" s="1"/>
  <c r="I14" i="1"/>
  <c r="J13" i="1"/>
  <c r="AH13" i="1" s="1"/>
  <c r="I13" i="1"/>
  <c r="J12" i="1"/>
  <c r="AH12" i="1" s="1"/>
  <c r="I12" i="1"/>
  <c r="J11" i="1"/>
  <c r="AH11" i="1" s="1"/>
  <c r="I11" i="1"/>
  <c r="J10" i="1"/>
  <c r="AH10" i="1" s="1"/>
  <c r="I10" i="1"/>
  <c r="I3" i="1"/>
  <c r="I4" i="1"/>
  <c r="I5" i="1"/>
  <c r="I6" i="1"/>
  <c r="I7" i="1"/>
  <c r="I8" i="1"/>
  <c r="I9" i="1"/>
  <c r="I2" i="1"/>
  <c r="J3" i="1"/>
  <c r="J4" i="1"/>
  <c r="J5" i="1"/>
  <c r="J6" i="1"/>
  <c r="J7" i="1"/>
  <c r="J8" i="1"/>
  <c r="J9" i="1"/>
  <c r="J2" i="1"/>
  <c r="M110" i="1" l="1"/>
  <c r="A112" i="1"/>
  <c r="A47" i="1"/>
  <c r="A48" i="1" s="1"/>
  <c r="A12" i="1"/>
  <c r="M10" i="1"/>
  <c r="M44" i="1"/>
  <c r="M46" i="1"/>
  <c r="A29" i="1"/>
  <c r="A39" i="1"/>
  <c r="M37" i="1"/>
  <c r="M27" i="1"/>
  <c r="M2" i="1"/>
  <c r="A113" i="1" l="1"/>
  <c r="M111" i="1"/>
  <c r="A13" i="1"/>
  <c r="M47" i="1"/>
  <c r="A49" i="1"/>
  <c r="M28" i="1"/>
  <c r="A30" i="1"/>
  <c r="A40" i="1"/>
  <c r="M38" i="1"/>
  <c r="M18" i="1"/>
  <c r="M11" i="1"/>
  <c r="M112" i="1" l="1"/>
  <c r="A14" i="1"/>
  <c r="M49" i="1"/>
  <c r="A50" i="1"/>
  <c r="M48" i="1"/>
  <c r="M29" i="1"/>
  <c r="A31" i="1"/>
  <c r="M39" i="1"/>
  <c r="A41" i="1"/>
  <c r="M19" i="1"/>
  <c r="M4" i="1"/>
  <c r="M3" i="1"/>
  <c r="M12" i="1"/>
  <c r="M113" i="1" l="1"/>
  <c r="A15" i="1"/>
  <c r="A51" i="1"/>
  <c r="M30" i="1"/>
  <c r="A32" i="1"/>
  <c r="M41" i="1"/>
  <c r="M40" i="1"/>
  <c r="M20" i="1"/>
  <c r="M5" i="1"/>
  <c r="M13" i="1"/>
  <c r="A16" i="1" l="1"/>
  <c r="M50" i="1"/>
  <c r="A52" i="1"/>
  <c r="M31" i="1"/>
  <c r="A33" i="1"/>
  <c r="M21" i="1"/>
  <c r="M6" i="1"/>
  <c r="M14" i="1"/>
  <c r="A17" i="1" l="1"/>
  <c r="M51" i="1"/>
  <c r="A53" i="1"/>
  <c r="M32" i="1"/>
  <c r="M22" i="1"/>
  <c r="M7" i="1"/>
  <c r="M15" i="1"/>
  <c r="M33" i="1" l="1"/>
  <c r="A54" i="1"/>
  <c r="M52" i="1"/>
  <c r="M23" i="1"/>
  <c r="M8" i="1"/>
  <c r="M16" i="1"/>
  <c r="A55" i="1" l="1"/>
  <c r="M53" i="1"/>
  <c r="M9" i="1"/>
  <c r="M24" i="1"/>
  <c r="M17" i="1"/>
  <c r="A56" i="1" l="1"/>
  <c r="M54" i="1"/>
  <c r="M25" i="1"/>
  <c r="M55" i="1" l="1"/>
  <c r="A57" i="1"/>
  <c r="A58" i="1" l="1"/>
  <c r="M56" i="1"/>
  <c r="A59" i="1" l="1"/>
  <c r="M57" i="1"/>
  <c r="M58" i="1" l="1"/>
  <c r="A60" i="1"/>
  <c r="A61" i="1" l="1"/>
  <c r="M59" i="1"/>
  <c r="A62" i="1" l="1"/>
  <c r="M60" i="1"/>
  <c r="M61" i="1" l="1"/>
  <c r="A63" i="1"/>
  <c r="M62" i="1" l="1"/>
  <c r="A64" i="1"/>
  <c r="M63" i="1" l="1"/>
  <c r="A65" i="1"/>
  <c r="M65" i="1" l="1"/>
  <c r="A66" i="1"/>
  <c r="M64" i="1"/>
  <c r="A67" i="1" l="1"/>
  <c r="M66" i="1" l="1"/>
  <c r="A68" i="1"/>
  <c r="A69" i="1" l="1"/>
  <c r="M67" i="1"/>
  <c r="A70" i="1" l="1"/>
  <c r="M68" i="1"/>
  <c r="A71" i="1" l="1"/>
  <c r="M69" i="1"/>
  <c r="A72" i="1" l="1"/>
  <c r="M70" i="1"/>
  <c r="A73" i="1" l="1"/>
  <c r="M71" i="1"/>
  <c r="M72" i="1" l="1"/>
  <c r="A74" i="1"/>
  <c r="M73" i="1" l="1"/>
  <c r="A75" i="1"/>
  <c r="A76" i="1" l="1"/>
  <c r="M74" i="1"/>
  <c r="M75" i="1" l="1"/>
  <c r="A77" i="1"/>
  <c r="A78" i="1" l="1"/>
  <c r="M76" i="1"/>
  <c r="A79" i="1" l="1"/>
  <c r="M77" i="1"/>
  <c r="M78" i="1" l="1"/>
  <c r="A80" i="1"/>
  <c r="A81" i="1" l="1"/>
  <c r="M79" i="1"/>
  <c r="A82" i="1" l="1"/>
  <c r="M80" i="1"/>
  <c r="A83" i="1" l="1"/>
  <c r="M81" i="1"/>
  <c r="M82" i="1" l="1"/>
  <c r="A84" i="1"/>
  <c r="M83" i="1" l="1"/>
  <c r="A85" i="1"/>
  <c r="A86" i="1" l="1"/>
  <c r="M84" i="1"/>
  <c r="A87" i="1" l="1"/>
  <c r="M85" i="1"/>
  <c r="A88" i="1" l="1"/>
  <c r="M86" i="1"/>
  <c r="M87" i="1" l="1"/>
  <c r="A89" i="1"/>
  <c r="A90" i="1" l="1"/>
  <c r="M88" i="1"/>
  <c r="M89" i="1" l="1"/>
  <c r="A91" i="1"/>
  <c r="A92" i="1" l="1"/>
  <c r="M90" i="1"/>
  <c r="M91" i="1" l="1"/>
  <c r="A93" i="1"/>
  <c r="M92" i="1" l="1"/>
  <c r="A94" i="1"/>
  <c r="A95" i="1" l="1"/>
  <c r="M93" i="1"/>
  <c r="A96" i="1" l="1"/>
  <c r="M94" i="1"/>
  <c r="A97" i="1" l="1"/>
  <c r="M95" i="1"/>
  <c r="A98" i="1" l="1"/>
  <c r="M96" i="1"/>
  <c r="N66" i="1" l="1"/>
  <c r="N90" i="1"/>
  <c r="N122" i="1"/>
  <c r="N82" i="1"/>
  <c r="N74" i="1"/>
  <c r="N114" i="1"/>
  <c r="A99" i="1"/>
  <c r="M97" i="1"/>
  <c r="AI114" i="1" l="1"/>
  <c r="AJ114" i="1" s="1"/>
  <c r="AI74" i="1"/>
  <c r="AJ74" i="1" s="1"/>
  <c r="AI82" i="1"/>
  <c r="AJ82" i="1" s="1"/>
  <c r="AI122" i="1"/>
  <c r="AJ122" i="1" s="1"/>
  <c r="AI90" i="1"/>
  <c r="AJ90" i="1" s="1"/>
  <c r="AI66" i="1"/>
  <c r="AJ66" i="1" s="1"/>
  <c r="N67" i="1"/>
  <c r="N91" i="1"/>
  <c r="N115" i="1"/>
  <c r="N83" i="1"/>
  <c r="N123" i="1"/>
  <c r="N75" i="1"/>
  <c r="A100" i="1"/>
  <c r="M98" i="1"/>
  <c r="AI67" i="1" l="1"/>
  <c r="AJ67" i="1" s="1"/>
  <c r="AI115" i="1"/>
  <c r="AJ115" i="1" s="1"/>
  <c r="AI75" i="1"/>
  <c r="AJ75" i="1" s="1"/>
  <c r="AI123" i="1"/>
  <c r="AJ123" i="1" s="1"/>
  <c r="AI91" i="1"/>
  <c r="AJ91" i="1" s="1"/>
  <c r="AI83" i="1"/>
  <c r="AJ83" i="1" s="1"/>
  <c r="N68" i="1"/>
  <c r="N92" i="1"/>
  <c r="N84" i="1"/>
  <c r="N116" i="1"/>
  <c r="N124" i="1"/>
  <c r="N76" i="1"/>
  <c r="M99" i="1"/>
  <c r="A101" i="1"/>
  <c r="AI84" i="1" l="1"/>
  <c r="AI76" i="1"/>
  <c r="AI124" i="1"/>
  <c r="AI116" i="1"/>
  <c r="AI92" i="1"/>
  <c r="AI68" i="1"/>
  <c r="N93" i="1"/>
  <c r="N125" i="1"/>
  <c r="N69" i="1"/>
  <c r="N117" i="1"/>
  <c r="N85" i="1"/>
  <c r="N77" i="1"/>
  <c r="A102" i="1"/>
  <c r="M100" i="1"/>
  <c r="AJ68" i="1" l="1"/>
  <c r="AJ92" i="1"/>
  <c r="AJ116" i="1"/>
  <c r="AJ124" i="1"/>
  <c r="AJ76" i="1"/>
  <c r="AJ84" i="1"/>
  <c r="AI69" i="1"/>
  <c r="AI77" i="1"/>
  <c r="AI85" i="1"/>
  <c r="AI117" i="1"/>
  <c r="AI125" i="1"/>
  <c r="AI93" i="1"/>
  <c r="N94" i="1"/>
  <c r="N70" i="1"/>
  <c r="N126" i="1"/>
  <c r="N118" i="1"/>
  <c r="N86" i="1"/>
  <c r="N78" i="1"/>
  <c r="A103" i="1"/>
  <c r="M101" i="1"/>
  <c r="AJ125" i="1" l="1"/>
  <c r="AJ93" i="1"/>
  <c r="AJ85" i="1"/>
  <c r="AJ117" i="1"/>
  <c r="AJ77" i="1"/>
  <c r="AJ69" i="1"/>
  <c r="AI126" i="1"/>
  <c r="AI78" i="1"/>
  <c r="AI86" i="1"/>
  <c r="AI118" i="1"/>
  <c r="AI70" i="1"/>
  <c r="AI94" i="1"/>
  <c r="N127" i="1"/>
  <c r="N119" i="1"/>
  <c r="N79" i="1"/>
  <c r="N71" i="1"/>
  <c r="N87" i="1"/>
  <c r="N95" i="1"/>
  <c r="M102" i="1"/>
  <c r="A104" i="1"/>
  <c r="AJ70" i="1" l="1"/>
  <c r="AJ118" i="1"/>
  <c r="AJ86" i="1"/>
  <c r="AJ94" i="1"/>
  <c r="AJ78" i="1"/>
  <c r="AJ126" i="1"/>
  <c r="N102" i="1"/>
  <c r="AI102" i="1" s="1"/>
  <c r="AI95" i="1"/>
  <c r="AI87" i="1"/>
  <c r="AI71" i="1"/>
  <c r="AI79" i="1"/>
  <c r="AI119" i="1"/>
  <c r="AI127" i="1"/>
  <c r="N80" i="1"/>
  <c r="N120" i="1"/>
  <c r="N72" i="1"/>
  <c r="N128" i="1"/>
  <c r="N88" i="1"/>
  <c r="N96" i="1"/>
  <c r="N98" i="1"/>
  <c r="N99" i="1"/>
  <c r="N100" i="1"/>
  <c r="N101" i="1"/>
  <c r="A105" i="1"/>
  <c r="M103" i="1"/>
  <c r="N103" i="1" s="1"/>
  <c r="N282" i="1" l="1"/>
  <c r="AI282" i="1" s="1"/>
  <c r="AJ282" i="1" s="1"/>
  <c r="N366" i="1"/>
  <c r="AI366" i="1" s="1"/>
  <c r="AJ366" i="1" s="1"/>
  <c r="N364" i="1"/>
  <c r="AI364" i="1" s="1"/>
  <c r="AJ364" i="1" s="1"/>
  <c r="N334" i="1"/>
  <c r="AI334" i="1" s="1"/>
  <c r="AJ334" i="1" s="1"/>
  <c r="N286" i="1"/>
  <c r="AI286" i="1" s="1"/>
  <c r="AJ286" i="1" s="1"/>
  <c r="N367" i="1"/>
  <c r="AI367" i="1" s="1"/>
  <c r="AJ367" i="1" s="1"/>
  <c r="N327" i="1"/>
  <c r="N317" i="1"/>
  <c r="N368" i="1"/>
  <c r="AI368" i="1" s="1"/>
  <c r="AJ368" i="1" s="1"/>
  <c r="N358" i="1"/>
  <c r="AI358" i="1" s="1"/>
  <c r="AJ358" i="1" s="1"/>
  <c r="N318" i="1"/>
  <c r="N288" i="1"/>
  <c r="AI288" i="1" s="1"/>
  <c r="AJ288" i="1" s="1"/>
  <c r="N319" i="1"/>
  <c r="N289" i="1"/>
  <c r="N369" i="1"/>
  <c r="AI369" i="1" s="1"/>
  <c r="AJ369" i="1" s="1"/>
  <c r="N309" i="1"/>
  <c r="N299" i="1"/>
  <c r="N320" i="1"/>
  <c r="N290" i="1"/>
  <c r="N370" i="1"/>
  <c r="N291" i="1"/>
  <c r="N371" i="1"/>
  <c r="N321" i="1"/>
  <c r="N292" i="1"/>
  <c r="AI292" i="1" s="1"/>
  <c r="AJ292" i="1" s="1"/>
  <c r="N372" i="1"/>
  <c r="AI372" i="1" s="1"/>
  <c r="AJ372" i="1" s="1"/>
  <c r="N322" i="1"/>
  <c r="AI322" i="1" s="1"/>
  <c r="AJ322" i="1" s="1"/>
  <c r="N312" i="1"/>
  <c r="AI312" i="1" s="1"/>
  <c r="AJ312" i="1" s="1"/>
  <c r="N354" i="1"/>
  <c r="AI354" i="1" s="1"/>
  <c r="AJ354" i="1" s="1"/>
  <c r="N324" i="1"/>
  <c r="AI324" i="1" s="1"/>
  <c r="AJ324" i="1" s="1"/>
  <c r="N356" i="1"/>
  <c r="AI356" i="1" s="1"/>
  <c r="AJ356" i="1" s="1"/>
  <c r="N326" i="1"/>
  <c r="AI326" i="1" s="1"/>
  <c r="AJ326" i="1" s="1"/>
  <c r="N336" i="1"/>
  <c r="AI336" i="1" s="1"/>
  <c r="AJ336" i="1" s="1"/>
  <c r="N346" i="1"/>
  <c r="AI346" i="1" s="1"/>
  <c r="AJ346" i="1" s="1"/>
  <c r="N296" i="1"/>
  <c r="AI296" i="1" s="1"/>
  <c r="AJ296" i="1" s="1"/>
  <c r="N316" i="1"/>
  <c r="AI316" i="1" s="1"/>
  <c r="AJ316" i="1" s="1"/>
  <c r="N306" i="1"/>
  <c r="AI306" i="1" s="1"/>
  <c r="AJ306" i="1" s="1"/>
  <c r="N357" i="1"/>
  <c r="AI357" i="1" s="1"/>
  <c r="AJ357" i="1" s="1"/>
  <c r="N347" i="1"/>
  <c r="AI347" i="1" s="1"/>
  <c r="AJ347" i="1" s="1"/>
  <c r="N297" i="1"/>
  <c r="N287" i="1"/>
  <c r="AI287" i="1" s="1"/>
  <c r="AJ287" i="1" s="1"/>
  <c r="N337" i="1"/>
  <c r="N307" i="1"/>
  <c r="N308" i="1"/>
  <c r="N298" i="1"/>
  <c r="N328" i="1"/>
  <c r="N338" i="1"/>
  <c r="AI338" i="1" s="1"/>
  <c r="AJ338" i="1" s="1"/>
  <c r="N348" i="1"/>
  <c r="N359" i="1"/>
  <c r="AI359" i="1" s="1"/>
  <c r="AJ359" i="1" s="1"/>
  <c r="N329" i="1"/>
  <c r="N339" i="1"/>
  <c r="AI339" i="1" s="1"/>
  <c r="AJ339" i="1" s="1"/>
  <c r="N349" i="1"/>
  <c r="AI349" i="1" s="1"/>
  <c r="AJ349" i="1" s="1"/>
  <c r="N350" i="1"/>
  <c r="AI350" i="1" s="1"/>
  <c r="AJ350" i="1" s="1"/>
  <c r="N330" i="1"/>
  <c r="N340" i="1"/>
  <c r="AI340" i="1" s="1"/>
  <c r="AJ340" i="1" s="1"/>
  <c r="N360" i="1"/>
  <c r="AI360" i="1" s="1"/>
  <c r="AJ360" i="1" s="1"/>
  <c r="N310" i="1"/>
  <c r="N300" i="1"/>
  <c r="N341" i="1"/>
  <c r="AI341" i="1" s="1"/>
  <c r="AJ341" i="1" s="1"/>
  <c r="N331" i="1"/>
  <c r="N351" i="1"/>
  <c r="AI351" i="1" s="1"/>
  <c r="AJ351" i="1" s="1"/>
  <c r="N301" i="1"/>
  <c r="N311" i="1"/>
  <c r="N361" i="1"/>
  <c r="AI361" i="1" s="1"/>
  <c r="AJ361" i="1" s="1"/>
  <c r="N332" i="1"/>
  <c r="AI332" i="1" s="1"/>
  <c r="AJ332" i="1" s="1"/>
  <c r="N342" i="1"/>
  <c r="AI342" i="1" s="1"/>
  <c r="AJ342" i="1" s="1"/>
  <c r="N302" i="1"/>
  <c r="AI302" i="1" s="1"/>
  <c r="AJ302" i="1" s="1"/>
  <c r="N362" i="1"/>
  <c r="AI362" i="1" s="1"/>
  <c r="AJ362" i="1" s="1"/>
  <c r="N352" i="1"/>
  <c r="AI352" i="1" s="1"/>
  <c r="AJ352" i="1" s="1"/>
  <c r="N314" i="1"/>
  <c r="AI314" i="1" s="1"/>
  <c r="AJ314" i="1" s="1"/>
  <c r="N284" i="1"/>
  <c r="AI284" i="1" s="1"/>
  <c r="AJ284" i="1" s="1"/>
  <c r="N344" i="1"/>
  <c r="AI344" i="1" s="1"/>
  <c r="N304" i="1"/>
  <c r="AI304" i="1" s="1"/>
  <c r="AJ304" i="1" s="1"/>
  <c r="N294" i="1"/>
  <c r="AI294" i="1" s="1"/>
  <c r="AJ294" i="1" s="1"/>
  <c r="AJ127" i="1"/>
  <c r="AJ119" i="1"/>
  <c r="AJ79" i="1"/>
  <c r="AJ71" i="1"/>
  <c r="AJ87" i="1"/>
  <c r="AJ95" i="1"/>
  <c r="AJ102" i="1"/>
  <c r="N276" i="1"/>
  <c r="AI276" i="1" s="1"/>
  <c r="AJ276" i="1" s="1"/>
  <c r="N277" i="1"/>
  <c r="N278" i="1"/>
  <c r="N279" i="1"/>
  <c r="AI279" i="1" s="1"/>
  <c r="N280" i="1"/>
  <c r="AI280" i="1" s="1"/>
  <c r="N281" i="1"/>
  <c r="AI281" i="1" s="1"/>
  <c r="N274" i="1"/>
  <c r="AI274" i="1" s="1"/>
  <c r="AJ274" i="1" s="1"/>
  <c r="N240" i="1"/>
  <c r="AI240" i="1" s="1"/>
  <c r="AJ240" i="1" s="1"/>
  <c r="N242" i="1"/>
  <c r="N252" i="1"/>
  <c r="AI252" i="1" s="1"/>
  <c r="N243" i="1"/>
  <c r="AI243" i="1" s="1"/>
  <c r="N256" i="1"/>
  <c r="AI256" i="1" s="1"/>
  <c r="AJ256" i="1" s="1"/>
  <c r="N267" i="1"/>
  <c r="AI267" i="1" s="1"/>
  <c r="AJ267" i="1" s="1"/>
  <c r="N249" i="1"/>
  <c r="AI249" i="1" s="1"/>
  <c r="AJ249" i="1" s="1"/>
  <c r="N258" i="1"/>
  <c r="AI258" i="1" s="1"/>
  <c r="AJ258" i="1" s="1"/>
  <c r="N268" i="1"/>
  <c r="N250" i="1"/>
  <c r="N259" i="1"/>
  <c r="N241" i="1"/>
  <c r="N269" i="1"/>
  <c r="N260" i="1"/>
  <c r="N251" i="1"/>
  <c r="AI251" i="1" s="1"/>
  <c r="N270" i="1"/>
  <c r="N271" i="1"/>
  <c r="N244" i="1"/>
  <c r="AI244" i="1" s="1"/>
  <c r="N272" i="1"/>
  <c r="N245" i="1"/>
  <c r="N246" i="1"/>
  <c r="AI246" i="1" s="1"/>
  <c r="AJ246" i="1" s="1"/>
  <c r="N273" i="1"/>
  <c r="AI273" i="1" s="1"/>
  <c r="AJ273" i="1" s="1"/>
  <c r="N265" i="1"/>
  <c r="AI265" i="1" s="1"/>
  <c r="AJ265" i="1" s="1"/>
  <c r="N247" i="1"/>
  <c r="AI247" i="1" s="1"/>
  <c r="AJ247" i="1" s="1"/>
  <c r="N238" i="1"/>
  <c r="AI238" i="1" s="1"/>
  <c r="AJ238" i="1" s="1"/>
  <c r="N261" i="1"/>
  <c r="N262" i="1"/>
  <c r="N253" i="1"/>
  <c r="AI253" i="1" s="1"/>
  <c r="N254" i="1"/>
  <c r="AI254" i="1" s="1"/>
  <c r="N263" i="1"/>
  <c r="N264" i="1"/>
  <c r="AI264" i="1" s="1"/>
  <c r="AJ264" i="1" s="1"/>
  <c r="N255" i="1"/>
  <c r="AI255" i="1" s="1"/>
  <c r="AJ255" i="1" s="1"/>
  <c r="N110" i="1"/>
  <c r="AI110" i="1" s="1"/>
  <c r="N231" i="1"/>
  <c r="AI231" i="1" s="1"/>
  <c r="AJ231" i="1" s="1"/>
  <c r="N232" i="1"/>
  <c r="N233" i="1"/>
  <c r="N234" i="1"/>
  <c r="N235" i="1"/>
  <c r="N236" i="1"/>
  <c r="N237" i="1"/>
  <c r="AI237" i="1" s="1"/>
  <c r="AJ237" i="1" s="1"/>
  <c r="N229" i="1"/>
  <c r="AI229" i="1" s="1"/>
  <c r="AJ229" i="1" s="1"/>
  <c r="AI101" i="1"/>
  <c r="AI99" i="1"/>
  <c r="AJ99" i="1" s="1"/>
  <c r="AI98" i="1"/>
  <c r="AI96" i="1"/>
  <c r="AI88" i="1"/>
  <c r="AI100" i="1"/>
  <c r="AI128" i="1"/>
  <c r="AI72" i="1"/>
  <c r="AI120" i="1"/>
  <c r="AI80" i="1"/>
  <c r="AI103" i="1"/>
  <c r="N108" i="1"/>
  <c r="A1" i="6" a="1"/>
  <c r="A1" i="6" s="1"/>
  <c r="N131" i="1"/>
  <c r="N130" i="1"/>
  <c r="N155" i="1"/>
  <c r="N179" i="1"/>
  <c r="N139" i="1"/>
  <c r="N163" i="1"/>
  <c r="N156" i="1"/>
  <c r="N140" i="1"/>
  <c r="N180" i="1"/>
  <c r="N132" i="1"/>
  <c r="N164" i="1"/>
  <c r="N215" i="1"/>
  <c r="N133" i="1"/>
  <c r="N225" i="1"/>
  <c r="N25" i="1"/>
  <c r="N194" i="1"/>
  <c r="N138" i="1"/>
  <c r="N147" i="1"/>
  <c r="N221" i="1"/>
  <c r="N212" i="1"/>
  <c r="N171" i="1"/>
  <c r="N187" i="1"/>
  <c r="N203" i="1"/>
  <c r="N195" i="1"/>
  <c r="N196" i="1"/>
  <c r="N223" i="1"/>
  <c r="N205" i="1"/>
  <c r="N172" i="1"/>
  <c r="N214" i="1"/>
  <c r="N148" i="1"/>
  <c r="N188" i="1"/>
  <c r="N181" i="1"/>
  <c r="N224" i="1"/>
  <c r="N206" i="1"/>
  <c r="N141" i="1"/>
  <c r="N149" i="1"/>
  <c r="N165" i="1"/>
  <c r="N157" i="1"/>
  <c r="N173" i="1"/>
  <c r="N182" i="1"/>
  <c r="N134" i="1"/>
  <c r="N207" i="1"/>
  <c r="N216" i="1"/>
  <c r="N158" i="1"/>
  <c r="N166" i="1"/>
  <c r="N159" i="1"/>
  <c r="N167" i="1"/>
  <c r="N217" i="1"/>
  <c r="N135" i="1"/>
  <c r="N136" i="1"/>
  <c r="N209" i="1"/>
  <c r="N184" i="1"/>
  <c r="N160" i="1"/>
  <c r="N176" i="1"/>
  <c r="N168" i="1"/>
  <c r="N57" i="1"/>
  <c r="N137" i="1"/>
  <c r="N228" i="1"/>
  <c r="N161" i="1"/>
  <c r="N185" i="1"/>
  <c r="N17" i="1"/>
  <c r="N169" i="1"/>
  <c r="N177" i="1"/>
  <c r="N49" i="1"/>
  <c r="N33" i="1"/>
  <c r="N41" i="1"/>
  <c r="AI41" i="1" s="1"/>
  <c r="AJ41" i="1" s="1"/>
  <c r="N210" i="1"/>
  <c r="N58" i="1"/>
  <c r="N211" i="1"/>
  <c r="N178" i="1"/>
  <c r="N154" i="1"/>
  <c r="N26" i="1"/>
  <c r="AI26" i="1" s="1"/>
  <c r="AJ26" i="1" s="1"/>
  <c r="N186" i="1"/>
  <c r="N202" i="1"/>
  <c r="N170" i="1"/>
  <c r="N18" i="1"/>
  <c r="N162" i="1"/>
  <c r="N10" i="1"/>
  <c r="N146" i="1"/>
  <c r="N50" i="1"/>
  <c r="N220" i="1"/>
  <c r="N34" i="1"/>
  <c r="N42" i="1"/>
  <c r="AI42" i="1" s="1"/>
  <c r="AJ42" i="1" s="1"/>
  <c r="N11" i="1"/>
  <c r="N27" i="1"/>
  <c r="AI27" i="1" s="1"/>
  <c r="AJ27" i="1" s="1"/>
  <c r="N59" i="1"/>
  <c r="N19" i="1"/>
  <c r="N35" i="1"/>
  <c r="AI35" i="1" s="1"/>
  <c r="AJ35" i="1" s="1"/>
  <c r="N51" i="1"/>
  <c r="N43" i="1"/>
  <c r="AI43" i="1" s="1"/>
  <c r="AJ43" i="1" s="1"/>
  <c r="N12" i="1"/>
  <c r="N28" i="1"/>
  <c r="AI28" i="1" s="1"/>
  <c r="N44" i="1"/>
  <c r="AI44" i="1" s="1"/>
  <c r="N20" i="1"/>
  <c r="N60" i="1"/>
  <c r="N52" i="1"/>
  <c r="N36" i="1"/>
  <c r="N21" i="1"/>
  <c r="N197" i="1"/>
  <c r="N37" i="1"/>
  <c r="N53" i="1"/>
  <c r="N45" i="1"/>
  <c r="AI45" i="1" s="1"/>
  <c r="N29" i="1"/>
  <c r="N189" i="1"/>
  <c r="N13" i="1"/>
  <c r="N61" i="1"/>
  <c r="N198" i="1"/>
  <c r="N46" i="1"/>
  <c r="AI46" i="1" s="1"/>
  <c r="N142" i="1"/>
  <c r="N30" i="1"/>
  <c r="N174" i="1"/>
  <c r="N14" i="1"/>
  <c r="AI14" i="1" s="1"/>
  <c r="N190" i="1"/>
  <c r="N22" i="1"/>
  <c r="N150" i="1"/>
  <c r="N54" i="1"/>
  <c r="N38" i="1"/>
  <c r="AI38" i="1" s="1"/>
  <c r="N15" i="1"/>
  <c r="AI15" i="1" s="1"/>
  <c r="N208" i="1"/>
  <c r="N151" i="1"/>
  <c r="N199" i="1"/>
  <c r="N47" i="1"/>
  <c r="AI47" i="1" s="1"/>
  <c r="N175" i="1"/>
  <c r="N143" i="1"/>
  <c r="N23" i="1"/>
  <c r="N31" i="1"/>
  <c r="N183" i="1"/>
  <c r="N55" i="1"/>
  <c r="N191" i="1"/>
  <c r="N39" i="1"/>
  <c r="AI39" i="1" s="1"/>
  <c r="N226" i="1"/>
  <c r="N24" i="1"/>
  <c r="N48" i="1"/>
  <c r="N152" i="1"/>
  <c r="N32" i="1"/>
  <c r="N144" i="1"/>
  <c r="N16" i="1"/>
  <c r="AI16" i="1" s="1"/>
  <c r="N200" i="1"/>
  <c r="N192" i="1"/>
  <c r="N40" i="1"/>
  <c r="AI40" i="1" s="1"/>
  <c r="N56" i="1"/>
  <c r="N227" i="1"/>
  <c r="N218" i="1"/>
  <c r="N201" i="1"/>
  <c r="N193" i="1"/>
  <c r="N145" i="1"/>
  <c r="N153" i="1"/>
  <c r="N219" i="1"/>
  <c r="N62" i="1"/>
  <c r="N63" i="1"/>
  <c r="N64" i="1"/>
  <c r="N65" i="1"/>
  <c r="N81" i="1"/>
  <c r="N89" i="1"/>
  <c r="N129" i="1"/>
  <c r="N121" i="1"/>
  <c r="N73" i="1"/>
  <c r="N97" i="1"/>
  <c r="N109" i="1"/>
  <c r="N111" i="1"/>
  <c r="N106" i="1"/>
  <c r="N107" i="1"/>
  <c r="B313" i="6"/>
  <c r="B1120" i="6"/>
  <c r="B588" i="6"/>
  <c r="B981" i="6"/>
  <c r="B530" i="6"/>
  <c r="B870" i="6"/>
  <c r="B474" i="6"/>
  <c r="B118" i="6"/>
  <c r="B644" i="6"/>
  <c r="B1137" i="6"/>
  <c r="B967" i="6"/>
  <c r="B302" i="6"/>
  <c r="B887" i="6"/>
  <c r="B679" i="6"/>
  <c r="B269" i="6"/>
  <c r="B624" i="6"/>
  <c r="B1048" i="6"/>
  <c r="B361" i="6"/>
  <c r="B916" i="6"/>
  <c r="B78" i="6"/>
  <c r="B53" i="6"/>
  <c r="B539" i="6"/>
  <c r="B657" i="6"/>
  <c r="B997" i="6"/>
  <c r="B557" i="6"/>
  <c r="B1030" i="6"/>
  <c r="B107" i="6"/>
  <c r="B620" i="6"/>
  <c r="B898" i="6"/>
  <c r="B468" i="6"/>
  <c r="B625" i="6"/>
  <c r="B272" i="6"/>
  <c r="B552" i="6"/>
  <c r="B966" i="6"/>
  <c r="B189" i="6"/>
  <c r="B991" i="6"/>
  <c r="B190" i="6"/>
  <c r="B435" i="6"/>
  <c r="B1010" i="6"/>
  <c r="B451" i="6"/>
  <c r="B287" i="6"/>
  <c r="B74" i="6"/>
  <c r="B1009" i="6"/>
  <c r="B255" i="6"/>
  <c r="B109" i="6"/>
  <c r="B729" i="6"/>
  <c r="B486" i="6"/>
  <c r="B216" i="6"/>
  <c r="B924" i="6"/>
  <c r="B164" i="6"/>
  <c r="B1141" i="6"/>
  <c r="B327" i="6"/>
  <c r="B763" i="6"/>
  <c r="B456" i="6"/>
  <c r="B264" i="6"/>
  <c r="B863" i="6"/>
  <c r="B398" i="6"/>
  <c r="B814" i="6"/>
  <c r="B998" i="6"/>
  <c r="B517" i="6"/>
  <c r="B261" i="6"/>
  <c r="B458" i="6"/>
  <c r="B904" i="6"/>
  <c r="B696" i="6"/>
  <c r="B963" i="6"/>
  <c r="B738" i="6"/>
  <c r="B192" i="6"/>
  <c r="B968" i="6"/>
  <c r="B920" i="6"/>
  <c r="B471" i="6"/>
  <c r="B638" i="6"/>
  <c r="B326" i="6"/>
  <c r="B1123" i="6"/>
  <c r="B399" i="6"/>
  <c r="B419" i="6"/>
  <c r="B971" i="6"/>
  <c r="B280" i="6"/>
  <c r="B426" i="6"/>
  <c r="B522" i="6"/>
  <c r="B636" i="6"/>
  <c r="B389" i="6"/>
  <c r="B475" i="6"/>
  <c r="B875" i="6"/>
  <c r="B1039" i="6"/>
  <c r="B630" i="6"/>
  <c r="B603" i="6"/>
  <c r="B239" i="6"/>
  <c r="B775" i="6"/>
  <c r="B79" i="6"/>
  <c r="B409" i="6"/>
  <c r="B912" i="6"/>
  <c r="B1131" i="6"/>
  <c r="B271" i="6"/>
  <c r="B854" i="6"/>
  <c r="B645" i="6"/>
  <c r="B1020" i="6"/>
  <c r="B740" i="6"/>
  <c r="B220" i="6"/>
  <c r="B1049" i="6"/>
  <c r="B323" i="6"/>
  <c r="B300" i="6"/>
  <c r="B578" i="6"/>
  <c r="B982" i="6"/>
  <c r="B295" i="6"/>
  <c r="B927" i="6"/>
  <c r="B1015" i="6"/>
  <c r="B988" i="6"/>
  <c r="B568" i="6"/>
  <c r="B206" i="6"/>
  <c r="B483" i="6"/>
  <c r="B165" i="6"/>
  <c r="B772" i="6"/>
  <c r="B846" i="6"/>
  <c r="B1108" i="6"/>
  <c r="B491" i="6"/>
  <c r="B73" i="6"/>
  <c r="B444" i="6"/>
  <c r="B330" i="6"/>
  <c r="B566" i="6"/>
  <c r="B141" i="6"/>
  <c r="B505" i="6"/>
  <c r="B440" i="6"/>
  <c r="B88" i="6"/>
  <c r="B1057" i="6"/>
  <c r="B218" i="6"/>
  <c r="B973" i="6"/>
  <c r="B414" i="6"/>
  <c r="B672" i="6"/>
  <c r="B759" i="6"/>
  <c r="B984" i="6"/>
  <c r="B744" i="6"/>
  <c r="B284" i="6"/>
  <c r="B476" i="6"/>
  <c r="B84" i="6"/>
  <c r="B217" i="6"/>
  <c r="B408" i="6"/>
  <c r="B95" i="6"/>
  <c r="B185" i="6"/>
  <c r="B1073" i="6"/>
  <c r="B974" i="6"/>
  <c r="B851" i="6"/>
  <c r="B895" i="6"/>
  <c r="B357" i="6"/>
  <c r="B55" i="6"/>
  <c r="B1102" i="6"/>
  <c r="B57" i="6"/>
  <c r="B983" i="6"/>
  <c r="B407" i="6"/>
  <c r="B702" i="6"/>
  <c r="B1101" i="6"/>
  <c r="B680" i="6"/>
  <c r="B263" i="6"/>
  <c r="B597" i="6"/>
  <c r="B571" i="6"/>
  <c r="B659" i="6"/>
  <c r="B465" i="6"/>
  <c r="B585" i="6"/>
  <c r="B234" i="6"/>
  <c r="B537" i="6"/>
  <c r="B1069" i="6"/>
  <c r="B654" i="6"/>
  <c r="B718" i="6"/>
  <c r="B423" i="6"/>
  <c r="B675" i="6"/>
  <c r="B434" i="6"/>
  <c r="B260" i="6"/>
  <c r="B965" i="6"/>
  <c r="B418" i="6"/>
  <c r="B719" i="6"/>
  <c r="B199" i="6"/>
  <c r="B380" i="6"/>
  <c r="B1072" i="6"/>
  <c r="B150" i="6"/>
  <c r="B753" i="6"/>
  <c r="B882" i="6"/>
  <c r="B503" i="6"/>
  <c r="B335" i="6"/>
  <c r="B211" i="6"/>
  <c r="B1087" i="6"/>
  <c r="B615" i="6"/>
  <c r="B670" i="6"/>
  <c r="B371" i="6"/>
  <c r="B386" i="6"/>
  <c r="B1138" i="6"/>
  <c r="B761" i="6"/>
  <c r="B347" i="6"/>
  <c r="B709" i="6"/>
  <c r="B664" i="6"/>
  <c r="B883" i="6"/>
  <c r="B666" i="6"/>
  <c r="B376" i="6"/>
  <c r="B821" i="6"/>
  <c r="B782" i="6"/>
  <c r="B315" i="6"/>
  <c r="B835" i="6"/>
  <c r="B593" i="6"/>
  <c r="B356" i="6"/>
  <c r="B383" i="6"/>
  <c r="B919" i="6"/>
  <c r="B145" i="6"/>
  <c r="B770" i="6"/>
  <c r="B219" i="6"/>
  <c r="B71" i="6"/>
  <c r="B686" i="6"/>
  <c r="B857" i="6"/>
  <c r="B102" i="6"/>
  <c r="B842" i="6"/>
  <c r="B876" i="6"/>
  <c r="B555" i="6"/>
  <c r="B1001" i="6"/>
  <c r="B698" i="6"/>
  <c r="B436" i="6"/>
  <c r="B524" i="6"/>
  <c r="B349" i="6"/>
  <c r="B467" i="6"/>
  <c r="B748" i="6"/>
  <c r="B235" i="6"/>
  <c r="B700" i="6"/>
  <c r="B133" i="6"/>
  <c r="B415" i="6"/>
  <c r="B871" i="6"/>
  <c r="B378" i="6"/>
  <c r="B779" i="6"/>
  <c r="B157" i="6"/>
  <c r="B756" i="6"/>
  <c r="B1090" i="6"/>
  <c r="B299" i="6"/>
  <c r="B633" i="6"/>
  <c r="B308" i="6"/>
  <c r="B372" i="6"/>
  <c r="B51" i="6"/>
  <c r="B646" i="6"/>
  <c r="B778" i="6"/>
  <c r="B193" i="6"/>
  <c r="B749" i="6"/>
  <c r="B184" i="6"/>
  <c r="B720" i="6"/>
  <c r="B231" i="6"/>
  <c r="B292" i="6"/>
  <c r="B762" i="6"/>
  <c r="B850" i="6"/>
  <c r="B1113" i="6"/>
  <c r="B520" i="6"/>
  <c r="B334" i="6"/>
  <c r="B1133" i="6"/>
  <c r="B747" i="6"/>
  <c r="B860" i="6"/>
  <c r="B890" i="6"/>
  <c r="B929" i="6"/>
  <c r="B143" i="6"/>
  <c r="B547" i="6"/>
  <c r="B50" i="6"/>
  <c r="B707" i="6"/>
  <c r="B527" i="6"/>
  <c r="B1004" i="6"/>
  <c r="B112" i="6"/>
  <c r="B461" i="6"/>
  <c r="B422" i="6"/>
  <c r="B647" i="6"/>
  <c r="B905" i="6"/>
  <c r="B481" i="6"/>
  <c r="B652" i="6"/>
  <c r="B570" i="6"/>
  <c r="B822" i="6"/>
  <c r="B1098" i="6"/>
  <c r="B953" i="6"/>
  <c r="B951" i="6"/>
  <c r="B783" i="6"/>
  <c r="B413" i="6"/>
  <c r="B148" i="6"/>
  <c r="B93" i="6"/>
  <c r="B166" i="6"/>
  <c r="B488" i="6"/>
  <c r="B305" i="6"/>
  <c r="B325" i="6"/>
  <c r="B691" i="6"/>
  <c r="B59" i="6"/>
  <c r="B531" i="6"/>
  <c r="B899" i="6"/>
  <c r="B105" i="6"/>
  <c r="B641" i="6"/>
  <c r="B174" i="6"/>
  <c r="B331" i="6"/>
  <c r="B757" i="6"/>
  <c r="B1013" i="6"/>
  <c r="B286" i="6"/>
  <c r="B952" i="6"/>
  <c r="B387" i="6"/>
  <c r="B340" i="6"/>
  <c r="B161" i="6"/>
  <c r="B1115" i="6"/>
  <c r="B567" i="6"/>
  <c r="B196" i="6"/>
  <c r="B892" i="6"/>
  <c r="B81" i="6"/>
  <c r="B382" i="6"/>
  <c r="B897" i="6"/>
  <c r="B856" i="6"/>
  <c r="B716" i="6"/>
  <c r="B90" i="6"/>
  <c r="B879" i="6"/>
  <c r="B103" i="6"/>
  <c r="B551" i="6"/>
  <c r="B65" i="6"/>
  <c r="B708" i="6"/>
  <c r="B957" i="6"/>
  <c r="B726" i="6"/>
  <c r="B52" i="6"/>
  <c r="B580" i="6"/>
  <c r="B543" i="6"/>
  <c r="B279" i="6"/>
  <c r="B120" i="6"/>
  <c r="B452" i="6"/>
  <c r="B147" i="6"/>
  <c r="B649" i="6"/>
  <c r="B243" i="6"/>
  <c r="B1104" i="6"/>
  <c r="B704" i="6"/>
  <c r="B820" i="6"/>
  <c r="B482" i="6"/>
  <c r="B171" i="6"/>
  <c r="B1099" i="6"/>
  <c r="B289" i="6"/>
  <c r="B697" i="6"/>
  <c r="B123" i="6"/>
  <c r="B996" i="6"/>
  <c r="B993" i="6"/>
  <c r="B642" i="6"/>
  <c r="B116" i="6"/>
  <c r="B695" i="6"/>
  <c r="B608" i="6"/>
  <c r="B960" i="6"/>
  <c r="B648" i="6"/>
  <c r="B751" i="6"/>
  <c r="B693" i="6"/>
  <c r="B404" i="6"/>
  <c r="B900" i="6"/>
  <c r="B1060" i="6"/>
  <c r="B711" i="6"/>
  <c r="B151" i="6"/>
  <c r="B911" i="6"/>
  <c r="B321" i="6"/>
  <c r="B75" i="6"/>
  <c r="B339" i="6"/>
  <c r="B861" i="6"/>
  <c r="B671" i="6"/>
  <c r="B917" i="6"/>
  <c r="B623" i="6"/>
  <c r="B1036" i="6"/>
  <c r="B70" i="6"/>
  <c r="B186" i="6"/>
  <c r="B395" i="6"/>
  <c r="B1142" i="6"/>
  <c r="B433" i="6"/>
  <c r="B950" i="6"/>
  <c r="B60" i="6"/>
  <c r="B758" i="6"/>
  <c r="B91" i="6"/>
  <c r="B894" i="6"/>
  <c r="B977" i="6"/>
  <c r="B525" i="6"/>
  <c r="B348" i="6"/>
  <c r="B840" i="6"/>
  <c r="B154" i="6"/>
  <c r="B140" i="6"/>
  <c r="B509" i="6"/>
  <c r="B727" i="6"/>
  <c r="B607" i="6"/>
  <c r="B297" i="6"/>
  <c r="B665" i="6"/>
  <c r="B791" i="6"/>
  <c r="B612" i="6"/>
  <c r="B226" i="6"/>
  <c r="B97" i="6"/>
  <c r="B1114" i="6"/>
  <c r="B1056" i="6"/>
  <c r="B862" i="6"/>
  <c r="B881" i="6"/>
  <c r="B450" i="6"/>
  <c r="B1005" i="6"/>
  <c r="B605" i="6"/>
  <c r="B1016" i="6"/>
  <c r="B573" i="6"/>
  <c r="B767" i="6"/>
  <c r="B257" i="6"/>
  <c r="B155" i="6"/>
  <c r="B379" i="6"/>
  <c r="B831" i="6"/>
  <c r="B152" i="6"/>
  <c r="B441" i="6"/>
  <c r="B925" i="6"/>
  <c r="B368" i="6"/>
  <c r="B808" i="6"/>
  <c r="B667" i="6"/>
  <c r="B901" i="6"/>
  <c r="B1006" i="6"/>
  <c r="B85" i="6"/>
  <c r="B849" i="6"/>
  <c r="B978" i="6"/>
  <c r="B795" i="6"/>
  <c r="B337" i="6"/>
  <c r="B183" i="6"/>
  <c r="B1097" i="6"/>
  <c r="B336" i="6"/>
  <c r="B282" i="6"/>
  <c r="B558" i="6"/>
  <c r="B101" i="6"/>
  <c r="B684" i="6"/>
  <c r="B764" i="6"/>
  <c r="B294" i="6"/>
  <c r="B1093" i="6"/>
  <c r="B891" i="6"/>
  <c r="B554" i="6"/>
  <c r="B1042" i="6"/>
  <c r="B730" i="6"/>
  <c r="B628" i="6"/>
  <c r="B565" i="6"/>
  <c r="B596" i="6"/>
  <c r="B817" i="6"/>
  <c r="B913" i="6"/>
  <c r="B354" i="6"/>
  <c r="B64" i="6"/>
  <c r="B692" i="6"/>
  <c r="B454" i="6"/>
  <c r="B848" i="6"/>
  <c r="B212" i="6"/>
  <c r="B802" i="6"/>
  <c r="B932" i="6"/>
  <c r="B827" i="6"/>
  <c r="B1038" i="6"/>
  <c r="B706" i="6"/>
  <c r="B200" i="6"/>
  <c r="B1021" i="6"/>
  <c r="B115" i="6"/>
  <c r="B745" i="6"/>
  <c r="B962" i="6"/>
  <c r="B959" i="6"/>
  <c r="B87" i="6"/>
  <c r="B449" i="6"/>
  <c r="B205" i="6"/>
  <c r="B369" i="6"/>
  <c r="B352" i="6"/>
  <c r="B771" i="6"/>
  <c r="B195" i="6"/>
  <c r="B318" i="6"/>
  <c r="B281" i="6"/>
  <c r="B1018" i="6"/>
  <c r="B1002" i="6"/>
  <c r="B806" i="6"/>
  <c r="B341" i="6"/>
  <c r="B117" i="6"/>
  <c r="B350" i="6"/>
  <c r="B1065" i="6"/>
  <c r="B600" i="6"/>
  <c r="B489" i="6"/>
  <c r="B175" i="6"/>
  <c r="B1103" i="6"/>
  <c r="B688" i="6"/>
  <c r="B156" i="6"/>
  <c r="B463" i="6"/>
  <c r="B972" i="6"/>
  <c r="B224" i="6"/>
  <c r="B191" i="6"/>
  <c r="B54" i="6"/>
  <c r="B259" i="6"/>
  <c r="B618" i="6"/>
  <c r="B222" i="6"/>
  <c r="B504" i="6"/>
  <c r="B362" i="6"/>
  <c r="B819" i="6"/>
  <c r="B204" i="6"/>
  <c r="B754" i="6"/>
  <c r="B138" i="6"/>
  <c r="B662" i="6"/>
  <c r="B640" i="6"/>
  <c r="B936" i="6"/>
  <c r="B523" i="6"/>
  <c r="B944" i="6"/>
  <c r="B801" i="6"/>
  <c r="B159" i="6"/>
  <c r="B701" i="6"/>
  <c r="B592" i="6"/>
  <c r="B714" i="6"/>
  <c r="B1075" i="6"/>
  <c r="B121" i="6"/>
  <c r="B717" i="6"/>
  <c r="B62" i="6"/>
  <c r="B401" i="6"/>
  <c r="B650" i="6"/>
  <c r="B574" i="6"/>
  <c r="B880" i="6"/>
  <c r="B629" i="6"/>
  <c r="B621" i="6"/>
  <c r="B561" i="6"/>
  <c r="B818" i="6"/>
  <c r="B669" i="6"/>
  <c r="B311" i="6"/>
  <c r="B353" i="6"/>
  <c r="B96" i="6"/>
  <c r="B338" i="6"/>
  <c r="B873" i="6"/>
  <c r="B127" i="6"/>
  <c r="B496" i="6"/>
  <c r="B826" i="6"/>
  <c r="B187" i="6"/>
  <c r="B945" i="6"/>
  <c r="B737" i="6"/>
  <c r="B68" i="6"/>
  <c r="B227" i="6"/>
  <c r="B546" i="6"/>
  <c r="B400" i="6"/>
  <c r="B934" i="6"/>
  <c r="B1034" i="6"/>
  <c r="B690" i="6"/>
  <c r="B1085" i="6"/>
  <c r="B484" i="6"/>
  <c r="B923" i="6"/>
  <c r="B589" i="6"/>
  <c r="B878" i="6"/>
  <c r="B1116" i="6"/>
  <c r="B254" i="6"/>
  <c r="B725" i="6"/>
  <c r="B847" i="6"/>
  <c r="B472" i="6"/>
  <c r="B1017" i="6"/>
  <c r="B784" i="6"/>
  <c r="B907" i="6"/>
  <c r="B69" i="6"/>
  <c r="B129" i="6"/>
  <c r="B598" i="6"/>
  <c r="B903" i="6"/>
  <c r="B943" i="6"/>
  <c r="B111" i="6"/>
  <c r="B1066" i="6"/>
  <c r="B487" i="6"/>
  <c r="B563" i="6"/>
  <c r="B961" i="6"/>
  <c r="B1051" i="6"/>
  <c r="B363" i="6"/>
  <c r="B673" i="6"/>
  <c r="B728" i="6"/>
  <c r="B502" i="6"/>
  <c r="B833" i="6"/>
  <c r="B532" i="6"/>
  <c r="B495" i="6"/>
  <c r="B614" i="6"/>
  <c r="B455" i="6"/>
  <c r="B889" i="6"/>
  <c r="B516" i="6"/>
  <c r="B396" i="6"/>
  <c r="B149" i="6"/>
  <c r="B599" i="6"/>
  <c r="B366" i="6"/>
  <c r="B478" i="6"/>
  <c r="B266" i="6"/>
  <c r="B816" i="6"/>
  <c r="B258" i="6"/>
  <c r="B1140" i="6"/>
  <c r="B643" i="6"/>
  <c r="B273" i="6"/>
  <c r="B393" i="6"/>
  <c r="B497" i="6"/>
  <c r="B194" i="6"/>
  <c r="B1059" i="6"/>
  <c r="B676" i="6"/>
  <c r="B439" i="6"/>
  <c r="B345" i="6"/>
  <c r="B228" i="6"/>
  <c r="B160" i="6"/>
  <c r="B928" i="6"/>
  <c r="B391" i="6"/>
  <c r="B970" i="6"/>
  <c r="B853" i="6"/>
  <c r="B931" i="6"/>
  <c r="B351" i="6"/>
  <c r="B1134" i="6"/>
  <c r="B976" i="6"/>
  <c r="B83" i="6"/>
  <c r="B479" i="6"/>
  <c r="B367" i="6"/>
  <c r="B498" i="6"/>
  <c r="B1081" i="6"/>
  <c r="B750" i="6"/>
  <c r="B515" i="6"/>
  <c r="B855" i="6"/>
  <c r="B1031" i="6"/>
  <c r="B609" i="6"/>
  <c r="B562" i="6"/>
  <c r="B162" i="6"/>
  <c r="B77" i="6"/>
  <c r="B584" i="6"/>
  <c r="B153" i="6"/>
  <c r="B787" i="6"/>
  <c r="B469" i="6"/>
  <c r="B168" i="6"/>
  <c r="B1033" i="6"/>
  <c r="B424" i="6"/>
  <c r="B86" i="6"/>
  <c r="B660" i="6"/>
  <c r="B136" i="6"/>
  <c r="B581" i="6"/>
  <c r="B872" i="6"/>
  <c r="B689" i="6"/>
  <c r="B829" i="6"/>
  <c r="B1106" i="6"/>
  <c r="B1124" i="6"/>
  <c r="B755" i="6"/>
  <c r="B100" i="6"/>
  <c r="B61" i="6"/>
  <c r="B893" i="6"/>
  <c r="B1107" i="6"/>
  <c r="B466" i="6"/>
  <c r="B632" i="6"/>
  <c r="B687" i="6"/>
  <c r="B844" i="6"/>
  <c r="B868" i="6"/>
  <c r="B858" i="6"/>
  <c r="B635" i="6"/>
  <c r="B480" i="6"/>
  <c r="B110" i="6"/>
  <c r="B477" i="6"/>
  <c r="B1052" i="6"/>
  <c r="B106" i="6"/>
  <c r="B246" i="6"/>
  <c r="B685" i="6"/>
  <c r="B777" i="6"/>
  <c r="B76" i="6"/>
  <c r="B884" i="6"/>
  <c r="B715" i="6"/>
  <c r="B736" i="6"/>
  <c r="B877" i="6"/>
  <c r="B529" i="6"/>
  <c r="B587" i="6"/>
  <c r="B906" i="6"/>
  <c r="B773" i="6"/>
  <c r="B805" i="6"/>
  <c r="B443" i="6"/>
  <c r="B579" i="6"/>
  <c r="B809" i="6"/>
  <c r="B113" i="6"/>
  <c r="B602" i="6"/>
  <c r="B167" i="6"/>
  <c r="B789" i="6"/>
  <c r="B1064" i="6"/>
  <c r="B989" i="6"/>
  <c r="B1119" i="6"/>
  <c r="B908" i="6"/>
  <c r="B213" i="6"/>
  <c r="B508" i="6"/>
  <c r="B180" i="6"/>
  <c r="B114" i="6"/>
  <c r="B314" i="6"/>
  <c r="B172" i="6"/>
  <c r="B859" i="6"/>
  <c r="B253" i="6"/>
  <c r="B58" i="6"/>
  <c r="B843" i="6"/>
  <c r="B324" i="6"/>
  <c r="B320" i="6"/>
  <c r="B1029" i="6"/>
  <c r="B1089" i="6"/>
  <c r="B1079" i="6"/>
  <c r="B940" i="6"/>
  <c r="B724" i="6"/>
  <c r="B1110" i="6"/>
  <c r="B948" i="6"/>
  <c r="B403" i="6"/>
  <c r="B375" i="6"/>
  <c r="B459" i="6"/>
  <c r="B392" i="6"/>
  <c r="B1121" i="6"/>
  <c r="B926" i="6"/>
  <c r="B512" i="6"/>
  <c r="B420" i="6"/>
  <c r="B203" i="6"/>
  <c r="B137" i="6"/>
  <c r="B987" i="6"/>
  <c r="B1028" i="6"/>
  <c r="B134" i="6"/>
  <c r="B941" i="6"/>
  <c r="B921" i="6"/>
  <c r="B544" i="6"/>
  <c r="B268" i="6"/>
  <c r="B360" i="6"/>
  <c r="B710" i="6"/>
  <c r="B521" i="6"/>
  <c r="B955" i="6"/>
  <c r="B1080" i="6"/>
  <c r="B935" i="6"/>
  <c r="B1109" i="6"/>
  <c r="B494" i="6"/>
  <c r="B678" i="6"/>
  <c r="B359" i="6"/>
  <c r="B296" i="6"/>
  <c r="B493" i="6"/>
  <c r="B742" i="6"/>
  <c r="B1044" i="6"/>
  <c r="B792" i="6"/>
  <c r="B594" i="6"/>
  <c r="B438" i="6"/>
  <c r="B886" i="6"/>
  <c r="B182" i="6"/>
  <c r="B247" i="6"/>
  <c r="B535" i="6"/>
  <c r="B1112" i="6"/>
  <c r="B99" i="6"/>
  <c r="B1053" i="6"/>
  <c r="B780" i="6"/>
  <c r="B405" i="6"/>
  <c r="B986" i="6"/>
  <c r="B865" i="6"/>
  <c r="B681" i="6"/>
  <c r="B910" i="6"/>
  <c r="B332" i="6"/>
  <c r="B46" i="6"/>
  <c r="B370" i="6"/>
  <c r="B841" i="6"/>
  <c r="B956" i="6"/>
  <c r="B490" i="6"/>
  <c r="B377" i="6"/>
  <c r="B209" i="6"/>
  <c r="B800" i="6"/>
  <c r="B824" i="6"/>
  <c r="B713" i="6"/>
  <c r="B48" i="6"/>
  <c r="B130" i="6"/>
  <c r="B240" i="6"/>
  <c r="B412" i="6"/>
  <c r="B703" i="6"/>
  <c r="B309" i="6"/>
  <c r="B1003" i="6"/>
  <c r="B244" i="6"/>
  <c r="B390" i="6"/>
  <c r="B221" i="6"/>
  <c r="B1078" i="6"/>
  <c r="B837" i="6"/>
  <c r="B1047" i="6"/>
  <c r="B1054" i="6"/>
  <c r="B902" i="6"/>
  <c r="B969" i="6"/>
  <c r="B317" i="6"/>
  <c r="B388" i="6"/>
  <c r="B694" i="6"/>
  <c r="B1024" i="6"/>
  <c r="B501" i="6"/>
  <c r="B553" i="6"/>
  <c r="B519" i="6"/>
  <c r="B507" i="6"/>
  <c r="B617" i="6"/>
  <c r="B394" i="6"/>
  <c r="B293" i="6"/>
  <c r="B411" i="6"/>
  <c r="B277" i="6"/>
  <c r="B885" i="6"/>
  <c r="B869" i="6"/>
  <c r="B89" i="6"/>
  <c r="B453" i="6"/>
  <c r="B417" i="6"/>
  <c r="B994" i="6"/>
  <c r="B995" i="6"/>
  <c r="B303" i="6"/>
  <c r="B639" i="6"/>
  <c r="B448" i="6"/>
  <c r="B723" i="6"/>
  <c r="B577" i="6"/>
  <c r="B1129" i="6"/>
  <c r="B464" i="6"/>
  <c r="B365" i="6"/>
  <c r="B306" i="6"/>
  <c r="B788" i="6"/>
  <c r="B427" i="6"/>
  <c r="B1128" i="6"/>
  <c r="B732" i="6"/>
  <c r="B170" i="6"/>
  <c r="B734" i="6"/>
  <c r="B999" i="6"/>
  <c r="B1067" i="6"/>
  <c r="B67" i="6"/>
  <c r="B1127" i="6"/>
  <c r="B142" i="6"/>
  <c r="B540" i="6"/>
  <c r="B830" i="6"/>
  <c r="B135" i="6"/>
  <c r="B549" i="6"/>
  <c r="B1061" i="6"/>
  <c r="B548" i="6"/>
  <c r="B1070" i="6"/>
  <c r="B146" i="6"/>
  <c r="B1035" i="6"/>
  <c r="B298" i="6"/>
  <c r="B613" i="6"/>
  <c r="B94" i="6"/>
  <c r="B677" i="6"/>
  <c r="B445" i="6"/>
  <c r="B139" i="6"/>
  <c r="B402" i="6"/>
  <c r="B867" i="6"/>
  <c r="B942" i="6"/>
  <c r="B637" i="6"/>
  <c r="B576" i="6"/>
  <c r="B1122" i="6"/>
  <c r="B98" i="6"/>
  <c r="B462" i="6"/>
  <c r="B47" i="6"/>
  <c r="B364" i="6"/>
  <c r="B1094" i="6"/>
  <c r="B542" i="6"/>
  <c r="B722" i="6"/>
  <c r="B815" i="6"/>
  <c r="B1111" i="6"/>
  <c r="B188" i="6"/>
  <c r="B428" i="6"/>
  <c r="B1023" i="6"/>
  <c r="B832" i="6"/>
  <c r="B651" i="6"/>
  <c r="B797" i="6"/>
  <c r="B442" i="6"/>
  <c r="B1026" i="6"/>
  <c r="B796" i="6"/>
  <c r="B939" i="6"/>
  <c r="B248" i="6"/>
  <c r="B290" i="6"/>
  <c r="B82" i="6"/>
  <c r="B655" i="6"/>
  <c r="B446" i="6"/>
  <c r="B979" i="6"/>
  <c r="B785" i="6"/>
  <c r="B1091" i="6"/>
  <c r="B126" i="6"/>
  <c r="B416" i="6"/>
  <c r="B236" i="6"/>
  <c r="B631" i="6"/>
  <c r="B964" i="6"/>
  <c r="B45" i="6"/>
  <c r="B274" i="6"/>
  <c r="B1055" i="6"/>
  <c r="B1076" i="6"/>
  <c r="B828" i="6"/>
  <c r="B896" i="6"/>
  <c r="B1019" i="6"/>
  <c r="B804" i="6"/>
  <c r="B158" i="6"/>
  <c r="B834" i="6"/>
  <c r="B381" i="6"/>
  <c r="B949" i="6"/>
  <c r="B1125" i="6"/>
  <c r="B518" i="6"/>
  <c r="B1077" i="6"/>
  <c r="B937" i="6"/>
  <c r="B572" i="6"/>
  <c r="B866" i="6"/>
  <c r="B492" i="6"/>
  <c r="B534" i="6"/>
  <c r="B1143" i="6"/>
  <c r="B786" i="6"/>
  <c r="B1117" i="6"/>
  <c r="B845" i="6"/>
  <c r="B122" i="6"/>
  <c r="B245" i="6"/>
  <c r="B769" i="6"/>
  <c r="B980" i="6"/>
  <c r="B144" i="6"/>
  <c r="B410" i="6"/>
  <c r="B513" i="6"/>
  <c r="B355" i="6"/>
  <c r="B582" i="6"/>
  <c r="B743" i="6"/>
  <c r="B124" i="6"/>
  <c r="B619" i="6"/>
  <c r="B1063" i="6"/>
  <c r="B343" i="6"/>
  <c r="B739" i="6"/>
  <c r="B528" i="6"/>
  <c r="B922" i="6"/>
  <c r="B536" i="6"/>
  <c r="B930" i="6"/>
  <c r="B374" i="6"/>
  <c r="B333" i="6"/>
  <c r="B1074" i="6"/>
  <c r="B128" i="6"/>
  <c r="B270" i="6"/>
  <c r="B627" i="6"/>
  <c r="B798" i="6"/>
  <c r="B1058" i="6"/>
  <c r="B731" i="6"/>
  <c r="B514" i="6"/>
  <c r="B275" i="6"/>
  <c r="B1011" i="6"/>
  <c r="B346" i="6"/>
  <c r="B230" i="6"/>
  <c r="B1135" i="6"/>
  <c r="B954" i="6"/>
  <c r="B316" i="6"/>
  <c r="B1118" i="6"/>
  <c r="B559" i="6"/>
  <c r="B285" i="6"/>
  <c r="B1032" i="6"/>
  <c r="B823" i="6"/>
  <c r="B781" i="6"/>
  <c r="B1014" i="6"/>
  <c r="B358" i="6"/>
  <c r="B437" i="6"/>
  <c r="B429" i="6"/>
  <c r="B373" i="6"/>
  <c r="B1043" i="6"/>
  <c r="B265" i="6"/>
  <c r="B233" i="6"/>
  <c r="B1071" i="6"/>
  <c r="B163" i="6"/>
  <c r="B658" i="6"/>
  <c r="B1012" i="6"/>
  <c r="B560" i="6"/>
  <c r="B752" i="6"/>
  <c r="B915" i="6"/>
  <c r="B473" i="6"/>
  <c r="B132" i="6"/>
  <c r="B825" i="6"/>
  <c r="B766" i="6"/>
  <c r="B1083" i="6"/>
  <c r="B310" i="6"/>
  <c r="B1144" i="6"/>
  <c r="B803" i="6"/>
  <c r="B223" i="6"/>
  <c r="B276" i="6"/>
  <c r="B500" i="6"/>
  <c r="B251" i="6"/>
  <c r="B385" i="6"/>
  <c r="B250" i="6"/>
  <c r="B765" i="6"/>
  <c r="B545" i="6"/>
  <c r="B807" i="6"/>
  <c r="B606" i="6"/>
  <c r="B430" i="6"/>
  <c r="B457" i="6"/>
  <c r="B425" i="6"/>
  <c r="B760" i="6"/>
  <c r="B741" i="6"/>
  <c r="B1050" i="6"/>
  <c r="B1082" i="6"/>
  <c r="B1100" i="6"/>
  <c r="B1007" i="6"/>
  <c r="B267" i="6"/>
  <c r="B610" i="6"/>
  <c r="B256" i="6"/>
  <c r="B947" i="6"/>
  <c r="B232" i="6"/>
  <c r="B721" i="6"/>
  <c r="B229" i="6"/>
  <c r="B108" i="6"/>
  <c r="B197" i="6"/>
  <c r="B1000" i="6"/>
  <c r="B262" i="6"/>
  <c r="B1092" i="6"/>
  <c r="B1041" i="6"/>
  <c r="B179" i="6"/>
  <c r="B1045" i="6"/>
  <c r="B278" i="6"/>
  <c r="B746" i="6"/>
  <c r="B985" i="6"/>
  <c r="B177" i="6"/>
  <c r="B447" i="6"/>
  <c r="B674" i="6"/>
  <c r="B811" i="6"/>
  <c r="B312" i="6"/>
  <c r="B63" i="6"/>
  <c r="B291" i="6"/>
  <c r="B946" i="6"/>
  <c r="B344" i="6"/>
  <c r="B590" i="6"/>
  <c r="B56" i="6"/>
  <c r="B776" i="6"/>
  <c r="B909" i="6"/>
  <c r="B319" i="6"/>
  <c r="B506" i="6"/>
  <c r="B663" i="6"/>
  <c r="B283" i="6"/>
  <c r="B556" i="6"/>
  <c r="B990" i="6"/>
  <c r="B304" i="6"/>
  <c r="B1095" i="6"/>
  <c r="B176" i="6"/>
  <c r="B202" i="6"/>
  <c r="B49" i="6"/>
  <c r="B595" i="6"/>
  <c r="B210" i="6"/>
  <c r="B66" i="6"/>
  <c r="B799" i="6"/>
  <c r="B864" i="6"/>
  <c r="B215" i="6"/>
  <c r="B634" i="6"/>
  <c r="B421" i="6"/>
  <c r="B237" i="6"/>
  <c r="B541" i="6"/>
  <c r="B1046" i="6"/>
  <c r="B611" i="6"/>
  <c r="B181" i="6"/>
  <c r="B406" i="6"/>
  <c r="B591" i="6"/>
  <c r="B173" i="6"/>
  <c r="B499" i="6"/>
  <c r="B252" i="6"/>
  <c r="B485" i="6"/>
  <c r="B288" i="6"/>
  <c r="B1008" i="6"/>
  <c r="B683" i="6"/>
  <c r="B1022" i="6"/>
  <c r="B793" i="6"/>
  <c r="B938" i="6"/>
  <c r="B616" i="6"/>
  <c r="B583" i="6"/>
  <c r="B656" i="6"/>
  <c r="B774" i="6"/>
  <c r="B307" i="6"/>
  <c r="B384" i="6"/>
  <c r="B201" i="6"/>
  <c r="B705" i="6"/>
  <c r="B242" i="6"/>
  <c r="B169" i="6"/>
  <c r="B712" i="6"/>
  <c r="B768" i="6"/>
  <c r="B794" i="6"/>
  <c r="B992" i="6"/>
  <c r="B225" i="6"/>
  <c r="B125" i="6"/>
  <c r="B1062" i="6"/>
  <c r="B432" i="6"/>
  <c r="B933" i="6"/>
  <c r="B119" i="6"/>
  <c r="B975" i="6"/>
  <c r="B813" i="6"/>
  <c r="B839" i="6"/>
  <c r="B301" i="6"/>
  <c r="B810" i="6"/>
  <c r="B569" i="6"/>
  <c r="B510" i="6"/>
  <c r="B208" i="6"/>
  <c r="B1088" i="6"/>
  <c r="B1037" i="6"/>
  <c r="B1136" i="6"/>
  <c r="B564" i="6"/>
  <c r="B249" i="6"/>
  <c r="B214" i="6"/>
  <c r="B1105" i="6"/>
  <c r="B178" i="6"/>
  <c r="B131" i="6"/>
  <c r="B1027" i="6"/>
  <c r="B958" i="6"/>
  <c r="B460" i="6"/>
  <c r="B682" i="6"/>
  <c r="B207" i="6"/>
  <c r="B526" i="6"/>
  <c r="B1040" i="6"/>
  <c r="B575" i="6"/>
  <c r="B604" i="6"/>
  <c r="B622" i="6"/>
  <c r="B626" i="6"/>
  <c r="B874" i="6"/>
  <c r="B397" i="6"/>
  <c r="B790" i="6"/>
  <c r="B888" i="6"/>
  <c r="B1025" i="6"/>
  <c r="B661" i="6"/>
  <c r="B812" i="6"/>
  <c r="B431" i="6"/>
  <c r="B198" i="6"/>
  <c r="B1086" i="6"/>
  <c r="B586" i="6"/>
  <c r="B699" i="6"/>
  <c r="B328" i="6"/>
  <c r="B241" i="6"/>
  <c r="B735" i="6"/>
  <c r="B1096" i="6"/>
  <c r="B72" i="6"/>
  <c r="B1139" i="6"/>
  <c r="B838" i="6"/>
  <c r="B1126" i="6"/>
  <c r="B533" i="6"/>
  <c r="B322" i="6"/>
  <c r="B538" i="6"/>
  <c r="B601" i="6"/>
  <c r="B329" i="6"/>
  <c r="B914" i="6"/>
  <c r="B836" i="6"/>
  <c r="B80" i="6"/>
  <c r="B733" i="6"/>
  <c r="B852" i="6"/>
  <c r="B342" i="6"/>
  <c r="B238" i="6"/>
  <c r="B1084" i="6"/>
  <c r="B511" i="6"/>
  <c r="B653" i="6"/>
  <c r="B1068" i="6"/>
  <c r="B1132" i="6"/>
  <c r="B470" i="6"/>
  <c r="B1130" i="6"/>
  <c r="B104" i="6"/>
  <c r="B668" i="6"/>
  <c r="B550" i="6"/>
  <c r="B92" i="6"/>
  <c r="B918" i="6"/>
  <c r="A1" i="7" a="1"/>
  <c r="M104" i="1"/>
  <c r="N104" i="1" s="1"/>
  <c r="AJ344" i="1" l="1"/>
  <c r="AI331" i="1"/>
  <c r="AJ331" i="1" s="1"/>
  <c r="AI348" i="1"/>
  <c r="AJ348" i="1" s="1"/>
  <c r="AI321" i="1"/>
  <c r="AJ321" i="1" s="1"/>
  <c r="AI318" i="1"/>
  <c r="AJ318" i="1" s="1"/>
  <c r="BS44" i="7"/>
  <c r="M44" i="7"/>
  <c r="N44" i="7"/>
  <c r="O44" i="7"/>
  <c r="P44" i="7"/>
  <c r="Q44" i="7"/>
  <c r="B44" i="7"/>
  <c r="AI371" i="1"/>
  <c r="AJ371" i="1" s="1"/>
  <c r="AI300" i="1"/>
  <c r="AJ300" i="1" s="1"/>
  <c r="AI328" i="1"/>
  <c r="AJ328" i="1" s="1"/>
  <c r="AI291" i="1"/>
  <c r="AJ291" i="1" s="1"/>
  <c r="B44" i="6"/>
  <c r="AI310" i="1"/>
  <c r="AJ310" i="1" s="1"/>
  <c r="AI298" i="1"/>
  <c r="AJ298" i="1" s="1"/>
  <c r="AI370" i="1"/>
  <c r="AJ370" i="1" s="1"/>
  <c r="AI317" i="1"/>
  <c r="AJ317" i="1" s="1"/>
  <c r="AI308" i="1"/>
  <c r="AJ308" i="1" s="1"/>
  <c r="AI290" i="1"/>
  <c r="AJ290" i="1" s="1"/>
  <c r="AI327" i="1"/>
  <c r="AJ327" i="1" s="1"/>
  <c r="AI307" i="1"/>
  <c r="AJ307" i="1" s="1"/>
  <c r="AI320" i="1"/>
  <c r="AJ320" i="1" s="1"/>
  <c r="AI330" i="1"/>
  <c r="AJ330" i="1" s="1"/>
  <c r="AI337" i="1"/>
  <c r="AJ337" i="1" s="1"/>
  <c r="AI299" i="1"/>
  <c r="AJ299" i="1" s="1"/>
  <c r="AI309" i="1"/>
  <c r="AJ309" i="1" s="1"/>
  <c r="AI297" i="1"/>
  <c r="AJ297" i="1" s="1"/>
  <c r="AI311" i="1"/>
  <c r="AJ311" i="1" s="1"/>
  <c r="AI289" i="1"/>
  <c r="AJ289" i="1" s="1"/>
  <c r="AI301" i="1"/>
  <c r="AJ301" i="1" s="1"/>
  <c r="AI329" i="1"/>
  <c r="AJ329" i="1" s="1"/>
  <c r="AI319" i="1"/>
  <c r="AJ319" i="1" s="1"/>
  <c r="B43" i="6"/>
  <c r="BS43" i="7"/>
  <c r="M43" i="7"/>
  <c r="Q43" i="7"/>
  <c r="B43" i="7"/>
  <c r="N43" i="7"/>
  <c r="O43" i="7"/>
  <c r="P43" i="7"/>
  <c r="BS42" i="7"/>
  <c r="M42" i="7"/>
  <c r="N42" i="7"/>
  <c r="B42" i="7"/>
  <c r="O42" i="7"/>
  <c r="P42" i="7"/>
  <c r="Q42" i="7"/>
  <c r="B42" i="6"/>
  <c r="AI10" i="1"/>
  <c r="AJ10" i="1" s="1"/>
  <c r="M34" i="7"/>
  <c r="BS41" i="7"/>
  <c r="M41" i="7"/>
  <c r="N41" i="7"/>
  <c r="O41" i="7"/>
  <c r="P41" i="7"/>
  <c r="Q41" i="7"/>
  <c r="B41" i="7"/>
  <c r="B41" i="6"/>
  <c r="AJ38" i="1"/>
  <c r="AJ44" i="1"/>
  <c r="AJ80" i="1"/>
  <c r="AJ251" i="1"/>
  <c r="AJ252" i="1"/>
  <c r="AJ40" i="1"/>
  <c r="AJ28" i="1"/>
  <c r="AJ120" i="1"/>
  <c r="AJ39" i="1"/>
  <c r="AJ72" i="1"/>
  <c r="AJ15" i="1"/>
  <c r="AJ45" i="1"/>
  <c r="AJ128" i="1"/>
  <c r="AJ46" i="1"/>
  <c r="AJ16" i="1"/>
  <c r="AJ100" i="1"/>
  <c r="AJ281" i="1"/>
  <c r="AJ88" i="1"/>
  <c r="AJ280" i="1"/>
  <c r="AJ96" i="1"/>
  <c r="AJ110" i="1"/>
  <c r="AJ279" i="1"/>
  <c r="AJ14" i="1"/>
  <c r="AJ47" i="1"/>
  <c r="B40" i="6"/>
  <c r="AJ101" i="1"/>
  <c r="AJ244" i="1"/>
  <c r="AJ254" i="1"/>
  <c r="AJ103" i="1"/>
  <c r="AJ253" i="1"/>
  <c r="AJ243" i="1"/>
  <c r="BS40" i="7"/>
  <c r="M40" i="7"/>
  <c r="B40" i="7"/>
  <c r="N40" i="7"/>
  <c r="O40" i="7"/>
  <c r="P40" i="7"/>
  <c r="Q40" i="7"/>
  <c r="BS39" i="7"/>
  <c r="M39" i="7"/>
  <c r="N39" i="7"/>
  <c r="B39" i="7"/>
  <c r="O39" i="7"/>
  <c r="P39" i="7"/>
  <c r="Q39" i="7"/>
  <c r="B39" i="6"/>
  <c r="BS38" i="7"/>
  <c r="M38" i="7"/>
  <c r="O38" i="7"/>
  <c r="P38" i="7"/>
  <c r="Q38" i="7"/>
  <c r="B38" i="7"/>
  <c r="N38" i="7"/>
  <c r="B38" i="6"/>
  <c r="BS37" i="7"/>
  <c r="M37" i="7"/>
  <c r="Q37" i="7"/>
  <c r="B37" i="7"/>
  <c r="N37" i="7"/>
  <c r="O37" i="7"/>
  <c r="P37" i="7"/>
  <c r="B37" i="6"/>
  <c r="BS36" i="7"/>
  <c r="M36" i="7"/>
  <c r="N36" i="7"/>
  <c r="B36" i="7"/>
  <c r="O36" i="7"/>
  <c r="P36" i="7"/>
  <c r="Q36" i="7"/>
  <c r="B36" i="6"/>
  <c r="B35" i="6"/>
  <c r="BS34" i="7"/>
  <c r="BS35" i="7"/>
  <c r="N35" i="7"/>
  <c r="O35" i="7"/>
  <c r="P35" i="7"/>
  <c r="Q35" i="7"/>
  <c r="B35" i="7"/>
  <c r="AI278" i="1"/>
  <c r="AI277" i="1"/>
  <c r="AI241" i="1"/>
  <c r="AI250" i="1"/>
  <c r="AI268" i="1"/>
  <c r="O34" i="7"/>
  <c r="P34" i="7"/>
  <c r="Q34" i="7"/>
  <c r="B34" i="7"/>
  <c r="N34" i="7"/>
  <c r="AJ98" i="1"/>
  <c r="AI245" i="1"/>
  <c r="AI259" i="1"/>
  <c r="AI272" i="1"/>
  <c r="AI263" i="1"/>
  <c r="AI271" i="1"/>
  <c r="B34" i="6"/>
  <c r="AI270" i="1"/>
  <c r="AI262" i="1"/>
  <c r="AI261" i="1"/>
  <c r="AI260" i="1"/>
  <c r="AI242" i="1"/>
  <c r="AI269" i="1"/>
  <c r="BS33" i="7"/>
  <c r="M33" i="7"/>
  <c r="N33" i="7"/>
  <c r="B33" i="7"/>
  <c r="O33" i="7"/>
  <c r="P33" i="7"/>
  <c r="Q33" i="7"/>
  <c r="B33" i="6"/>
  <c r="B32" i="6"/>
  <c r="BS11" i="7"/>
  <c r="BS23" i="7"/>
  <c r="BS12" i="7"/>
  <c r="BS24" i="7"/>
  <c r="BR2" i="7"/>
  <c r="BS13" i="7"/>
  <c r="BS25" i="7"/>
  <c r="BS14" i="7"/>
  <c r="BS26" i="7"/>
  <c r="BS3" i="7"/>
  <c r="BS15" i="7"/>
  <c r="BS27" i="7"/>
  <c r="BS4" i="7"/>
  <c r="BS16" i="7"/>
  <c r="BS28" i="7"/>
  <c r="BS5" i="7"/>
  <c r="BS17" i="7"/>
  <c r="BS29" i="7"/>
  <c r="BS6" i="7"/>
  <c r="BS18" i="7"/>
  <c r="BS30" i="7"/>
  <c r="BS7" i="7"/>
  <c r="BS19" i="7"/>
  <c r="BS31" i="7"/>
  <c r="BS8" i="7"/>
  <c r="BS20" i="7"/>
  <c r="BS32" i="7"/>
  <c r="BS9" i="7"/>
  <c r="BS21" i="7"/>
  <c r="BS2" i="7"/>
  <c r="BS10" i="7"/>
  <c r="BS22" i="7"/>
  <c r="M32" i="7"/>
  <c r="N32" i="7"/>
  <c r="O32" i="7"/>
  <c r="P32" i="7"/>
  <c r="Q32" i="7"/>
  <c r="B32" i="7"/>
  <c r="M31" i="7"/>
  <c r="B31" i="7"/>
  <c r="N31" i="7"/>
  <c r="O31" i="7"/>
  <c r="P31" i="7"/>
  <c r="Q31" i="7"/>
  <c r="B31" i="6"/>
  <c r="B30" i="6"/>
  <c r="AI236" i="1"/>
  <c r="AI235" i="1"/>
  <c r="AI234" i="1"/>
  <c r="AI233" i="1"/>
  <c r="N112" i="1"/>
  <c r="AI112" i="1" s="1"/>
  <c r="AI232" i="1"/>
  <c r="M29" i="7"/>
  <c r="M30" i="7"/>
  <c r="N30" i="7"/>
  <c r="B30" i="7"/>
  <c r="O30" i="7"/>
  <c r="P30" i="7"/>
  <c r="Q30" i="7"/>
  <c r="AI89" i="1"/>
  <c r="AJ89" i="1" s="1"/>
  <c r="AI227" i="1"/>
  <c r="AI61" i="1"/>
  <c r="AI20" i="1"/>
  <c r="AI34" i="1"/>
  <c r="AJ34" i="1" s="1"/>
  <c r="AI178" i="1"/>
  <c r="AJ178" i="1" s="1"/>
  <c r="AI228" i="1"/>
  <c r="AJ228" i="1" s="1"/>
  <c r="AI159" i="1"/>
  <c r="AI206" i="1"/>
  <c r="AI187" i="1"/>
  <c r="AJ187" i="1" s="1"/>
  <c r="AI132" i="1"/>
  <c r="AI81" i="1"/>
  <c r="AJ81" i="1" s="1"/>
  <c r="AI56" i="1"/>
  <c r="AI191" i="1"/>
  <c r="AI13" i="1"/>
  <c r="AI220" i="1"/>
  <c r="AJ220" i="1" s="1"/>
  <c r="AI211" i="1"/>
  <c r="AJ211" i="1" s="1"/>
  <c r="AI137" i="1"/>
  <c r="AJ137" i="1" s="1"/>
  <c r="AI166" i="1"/>
  <c r="AI224" i="1"/>
  <c r="AI171" i="1"/>
  <c r="AJ171" i="1" s="1"/>
  <c r="AI180" i="1"/>
  <c r="AI65" i="1"/>
  <c r="AJ65" i="1" s="1"/>
  <c r="AI55" i="1"/>
  <c r="AI54" i="1"/>
  <c r="AI189" i="1"/>
  <c r="AI50" i="1"/>
  <c r="AJ50" i="1" s="1"/>
  <c r="AI58" i="1"/>
  <c r="AJ58" i="1" s="1"/>
  <c r="AI57" i="1"/>
  <c r="AJ57" i="1" s="1"/>
  <c r="AI158" i="1"/>
  <c r="AI181" i="1"/>
  <c r="AI212" i="1"/>
  <c r="AJ212" i="1" s="1"/>
  <c r="AI140" i="1"/>
  <c r="AI104" i="1"/>
  <c r="AI107" i="1"/>
  <c r="AJ107" i="1" s="1"/>
  <c r="AI64" i="1"/>
  <c r="AI192" i="1"/>
  <c r="AI183" i="1"/>
  <c r="AI150" i="1"/>
  <c r="AI29" i="1"/>
  <c r="AI12" i="1"/>
  <c r="AI146" i="1"/>
  <c r="AJ146" i="1" s="1"/>
  <c r="AI210" i="1"/>
  <c r="AJ210" i="1" s="1"/>
  <c r="AI168" i="1"/>
  <c r="AI216" i="1"/>
  <c r="AI188" i="1"/>
  <c r="AI221" i="1"/>
  <c r="AJ221" i="1" s="1"/>
  <c r="AI156" i="1"/>
  <c r="AI106" i="1"/>
  <c r="AI63" i="1"/>
  <c r="AI200" i="1"/>
  <c r="AI31" i="1"/>
  <c r="AI22" i="1"/>
  <c r="AI176" i="1"/>
  <c r="AI207" i="1"/>
  <c r="AI148" i="1"/>
  <c r="AI147" i="1"/>
  <c r="AJ147" i="1" s="1"/>
  <c r="AI163" i="1"/>
  <c r="AJ163" i="1" s="1"/>
  <c r="AI111" i="1"/>
  <c r="AI62" i="1"/>
  <c r="AI23" i="1"/>
  <c r="AI190" i="1"/>
  <c r="AI53" i="1"/>
  <c r="AI51" i="1"/>
  <c r="AJ51" i="1" s="1"/>
  <c r="AI162" i="1"/>
  <c r="AJ162" i="1" s="1"/>
  <c r="AI33" i="1"/>
  <c r="AJ33" i="1" s="1"/>
  <c r="AI160" i="1"/>
  <c r="AI134" i="1"/>
  <c r="AI214" i="1"/>
  <c r="AI138" i="1"/>
  <c r="AJ138" i="1" s="1"/>
  <c r="AI139" i="1"/>
  <c r="AJ139" i="1" s="1"/>
  <c r="AI219" i="1"/>
  <c r="AJ219" i="1" s="1"/>
  <c r="AI144" i="1"/>
  <c r="AI143" i="1"/>
  <c r="AI37" i="1"/>
  <c r="AI18" i="1"/>
  <c r="AJ18" i="1" s="1"/>
  <c r="AI49" i="1"/>
  <c r="AJ49" i="1" s="1"/>
  <c r="AI184" i="1"/>
  <c r="AI182" i="1"/>
  <c r="AI172" i="1"/>
  <c r="AI194" i="1"/>
  <c r="AJ194" i="1" s="1"/>
  <c r="AI179" i="1"/>
  <c r="AJ179" i="1" s="1"/>
  <c r="AI109" i="1"/>
  <c r="AI153" i="1"/>
  <c r="AJ153" i="1" s="1"/>
  <c r="AI32" i="1"/>
  <c r="AI175" i="1"/>
  <c r="AI174" i="1"/>
  <c r="AI197" i="1"/>
  <c r="AI19" i="1"/>
  <c r="AJ19" i="1" s="1"/>
  <c r="AI170" i="1"/>
  <c r="AJ170" i="1" s="1"/>
  <c r="AI177" i="1"/>
  <c r="AJ177" i="1" s="1"/>
  <c r="AI209" i="1"/>
  <c r="AI173" i="1"/>
  <c r="AI205" i="1"/>
  <c r="AI25" i="1"/>
  <c r="AJ25" i="1" s="1"/>
  <c r="AI155" i="1"/>
  <c r="AJ155" i="1" s="1"/>
  <c r="AI97" i="1"/>
  <c r="AJ97" i="1" s="1"/>
  <c r="AI145" i="1"/>
  <c r="AJ145" i="1" s="1"/>
  <c r="AI152" i="1"/>
  <c r="AI30" i="1"/>
  <c r="AI21" i="1"/>
  <c r="AI59" i="1"/>
  <c r="AJ59" i="1" s="1"/>
  <c r="AI202" i="1"/>
  <c r="AJ202" i="1" s="1"/>
  <c r="AI169" i="1"/>
  <c r="AJ169" i="1" s="1"/>
  <c r="AI136" i="1"/>
  <c r="AI157" i="1"/>
  <c r="AI223" i="1"/>
  <c r="AI225" i="1"/>
  <c r="AI130" i="1"/>
  <c r="AJ130" i="1" s="1"/>
  <c r="AI73" i="1"/>
  <c r="AJ73" i="1" s="1"/>
  <c r="AI193" i="1"/>
  <c r="AJ193" i="1" s="1"/>
  <c r="AI48" i="1"/>
  <c r="AI199" i="1"/>
  <c r="AI142" i="1"/>
  <c r="AI36" i="1"/>
  <c r="AI186" i="1"/>
  <c r="AI17" i="1"/>
  <c r="AJ17" i="1" s="1"/>
  <c r="AI135" i="1"/>
  <c r="AI165" i="1"/>
  <c r="AI196" i="1"/>
  <c r="AI133" i="1"/>
  <c r="AI131" i="1"/>
  <c r="AJ131" i="1" s="1"/>
  <c r="AI121" i="1"/>
  <c r="AJ121" i="1" s="1"/>
  <c r="AI201" i="1"/>
  <c r="AJ201" i="1" s="1"/>
  <c r="AI24" i="1"/>
  <c r="AI151" i="1"/>
  <c r="AI52" i="1"/>
  <c r="AI11" i="1"/>
  <c r="AI185" i="1"/>
  <c r="AJ185" i="1" s="1"/>
  <c r="AI217" i="1"/>
  <c r="AI149" i="1"/>
  <c r="AI195" i="1"/>
  <c r="AJ195" i="1" s="1"/>
  <c r="AI215" i="1"/>
  <c r="AI129" i="1"/>
  <c r="AJ129" i="1" s="1"/>
  <c r="AI218" i="1"/>
  <c r="AI226" i="1"/>
  <c r="AI208" i="1"/>
  <c r="AI198" i="1"/>
  <c r="AI60" i="1"/>
  <c r="AI154" i="1"/>
  <c r="AJ154" i="1" s="1"/>
  <c r="AI161" i="1"/>
  <c r="AJ161" i="1" s="1"/>
  <c r="AI167" i="1"/>
  <c r="AI141" i="1"/>
  <c r="AI203" i="1"/>
  <c r="AJ203" i="1" s="1"/>
  <c r="AI164" i="1"/>
  <c r="AI108" i="1"/>
  <c r="B27" i="6"/>
  <c r="B28" i="6"/>
  <c r="B29" i="6"/>
  <c r="B26" i="6"/>
  <c r="B2" i="6"/>
  <c r="M20" i="7"/>
  <c r="M21" i="7"/>
  <c r="M22" i="7"/>
  <c r="M26" i="7"/>
  <c r="M28" i="7"/>
  <c r="M24" i="7"/>
  <c r="M18" i="7"/>
  <c r="M25" i="7"/>
  <c r="M27" i="7"/>
  <c r="M23" i="7"/>
  <c r="M19" i="7"/>
  <c r="N29" i="7"/>
  <c r="O29" i="7"/>
  <c r="P29" i="7"/>
  <c r="Q29" i="7"/>
  <c r="B29" i="7"/>
  <c r="B28" i="7"/>
  <c r="N28" i="7"/>
  <c r="O28" i="7"/>
  <c r="P28" i="7"/>
  <c r="Q28" i="7"/>
  <c r="N27" i="7"/>
  <c r="O27" i="7"/>
  <c r="P27" i="7"/>
  <c r="Q27" i="7"/>
  <c r="B27" i="7"/>
  <c r="P19" i="7"/>
  <c r="M8" i="7"/>
  <c r="P17" i="7"/>
  <c r="Q24" i="7"/>
  <c r="N12" i="7"/>
  <c r="O19" i="7"/>
  <c r="N24" i="7"/>
  <c r="N10" i="7"/>
  <c r="Q19" i="7"/>
  <c r="P24" i="7"/>
  <c r="O22" i="7"/>
  <c r="Q5" i="7"/>
  <c r="N8" i="7"/>
  <c r="P10" i="7"/>
  <c r="M13" i="7"/>
  <c r="O15" i="7"/>
  <c r="Q17" i="7"/>
  <c r="N20" i="7"/>
  <c r="P22" i="7"/>
  <c r="M6" i="7"/>
  <c r="O8" i="7"/>
  <c r="Q10" i="7"/>
  <c r="N13" i="7"/>
  <c r="P15" i="7"/>
  <c r="O20" i="7"/>
  <c r="Q22" i="7"/>
  <c r="N25" i="7"/>
  <c r="M4" i="7"/>
  <c r="N6" i="7"/>
  <c r="P8" i="7"/>
  <c r="M11" i="7"/>
  <c r="Q15" i="7"/>
  <c r="N18" i="7"/>
  <c r="P20" i="7"/>
  <c r="O25" i="7"/>
  <c r="O11" i="7"/>
  <c r="P18" i="7"/>
  <c r="Q25" i="7"/>
  <c r="M3" i="7"/>
  <c r="M14" i="7"/>
  <c r="C2" i="7"/>
  <c r="O13" i="7"/>
  <c r="D2" i="7"/>
  <c r="N4" i="7"/>
  <c r="O6" i="7"/>
  <c r="Q8" i="7"/>
  <c r="N11" i="7"/>
  <c r="M16" i="7"/>
  <c r="O18" i="7"/>
  <c r="N23" i="7"/>
  <c r="Q6" i="7"/>
  <c r="Q18" i="7"/>
  <c r="P13" i="7"/>
  <c r="Q20" i="7"/>
  <c r="P25" i="7"/>
  <c r="E2" i="7"/>
  <c r="O4" i="7"/>
  <c r="P6" i="7"/>
  <c r="M9" i="7"/>
  <c r="Q13" i="7"/>
  <c r="N16" i="7"/>
  <c r="O23" i="7"/>
  <c r="N9" i="7"/>
  <c r="P23" i="7"/>
  <c r="F2" i="7"/>
  <c r="P11" i="7"/>
  <c r="N21" i="7"/>
  <c r="P4" i="7"/>
  <c r="O16" i="7"/>
  <c r="G2" i="7"/>
  <c r="N3" i="7"/>
  <c r="Q4" i="7"/>
  <c r="M7" i="7"/>
  <c r="O9" i="7"/>
  <c r="Q11" i="7"/>
  <c r="N14" i="7"/>
  <c r="P16" i="7"/>
  <c r="O21" i="7"/>
  <c r="Q23" i="7"/>
  <c r="N26" i="7"/>
  <c r="O3" i="7"/>
  <c r="N7" i="7"/>
  <c r="P9" i="7"/>
  <c r="M12" i="7"/>
  <c r="O14" i="7"/>
  <c r="Q16" i="7"/>
  <c r="N19" i="7"/>
  <c r="P21" i="7"/>
  <c r="O26" i="7"/>
  <c r="P3" i="7"/>
  <c r="M5" i="7"/>
  <c r="O7" i="7"/>
  <c r="Q9" i="7"/>
  <c r="P14" i="7"/>
  <c r="M17" i="7"/>
  <c r="Q21" i="7"/>
  <c r="P26" i="7"/>
  <c r="Q3" i="7"/>
  <c r="N5" i="7"/>
  <c r="P7" i="7"/>
  <c r="M10" i="7"/>
  <c r="O12" i="7"/>
  <c r="Q14" i="7"/>
  <c r="N17" i="7"/>
  <c r="O24" i="7"/>
  <c r="Q26" i="7"/>
  <c r="O5" i="7"/>
  <c r="Q7" i="7"/>
  <c r="P12" i="7"/>
  <c r="M15" i="7"/>
  <c r="O17" i="7"/>
  <c r="N22" i="7"/>
  <c r="P5" i="7"/>
  <c r="O10" i="7"/>
  <c r="Q12" i="7"/>
  <c r="N15" i="7"/>
  <c r="B26" i="7"/>
  <c r="B12" i="6"/>
  <c r="B24" i="6"/>
  <c r="B13" i="6"/>
  <c r="B25" i="6"/>
  <c r="B3" i="6"/>
  <c r="B15" i="6"/>
  <c r="B4" i="6"/>
  <c r="B16" i="6"/>
  <c r="B5" i="6"/>
  <c r="B17" i="6"/>
  <c r="B6" i="6"/>
  <c r="B18" i="6"/>
  <c r="B7" i="6"/>
  <c r="B19" i="6"/>
  <c r="B8" i="6"/>
  <c r="B20" i="6"/>
  <c r="B9" i="6"/>
  <c r="B21" i="6"/>
  <c r="B10" i="6"/>
  <c r="B11" i="6"/>
  <c r="B23" i="6"/>
  <c r="B22" i="6"/>
  <c r="B25" i="7"/>
  <c r="B24" i="7"/>
  <c r="B23" i="7"/>
  <c r="B22" i="7"/>
  <c r="B21" i="7"/>
  <c r="B7" i="7"/>
  <c r="B12" i="7"/>
  <c r="B19" i="7"/>
  <c r="B4" i="7"/>
  <c r="B16" i="7"/>
  <c r="B8" i="7"/>
  <c r="B13" i="7"/>
  <c r="A1" i="7"/>
  <c r="B10" i="7"/>
  <c r="B20" i="7"/>
  <c r="B3" i="7"/>
  <c r="BQ3" i="7" s="1"/>
  <c r="BR3" i="7" s="1"/>
  <c r="B9" i="7"/>
  <c r="B5" i="7"/>
  <c r="B14" i="7"/>
  <c r="B17" i="7"/>
  <c r="B11" i="7"/>
  <c r="B18" i="7"/>
  <c r="B15" i="7"/>
  <c r="B6" i="7"/>
  <c r="M105" i="1"/>
  <c r="BT43" i="7" l="1"/>
  <c r="BT44" i="7"/>
  <c r="BT41" i="7"/>
  <c r="BT42" i="7"/>
  <c r="AJ227" i="1"/>
  <c r="AJ234" i="1"/>
  <c r="AJ260" i="1"/>
  <c r="AJ32" i="1"/>
  <c r="AJ144" i="1"/>
  <c r="AJ23" i="1"/>
  <c r="AJ192" i="1"/>
  <c r="AJ54" i="1"/>
  <c r="AJ56" i="1"/>
  <c r="AJ235" i="1"/>
  <c r="AJ261" i="1"/>
  <c r="AJ62" i="1"/>
  <c r="AJ156" i="1"/>
  <c r="AJ64" i="1"/>
  <c r="AJ55" i="1"/>
  <c r="AJ236" i="1"/>
  <c r="AJ262" i="1"/>
  <c r="AJ132" i="1"/>
  <c r="AJ270" i="1"/>
  <c r="AJ188" i="1"/>
  <c r="AJ180" i="1"/>
  <c r="AJ215" i="1"/>
  <c r="AJ141" i="1"/>
  <c r="AJ149" i="1"/>
  <c r="AJ165" i="1"/>
  <c r="AJ223" i="1"/>
  <c r="AJ109" i="1"/>
  <c r="AJ111" i="1"/>
  <c r="AJ167" i="1"/>
  <c r="AJ217" i="1"/>
  <c r="AJ135" i="1"/>
  <c r="AJ157" i="1"/>
  <c r="AJ205" i="1"/>
  <c r="AJ136" i="1"/>
  <c r="AJ173" i="1"/>
  <c r="AJ214" i="1"/>
  <c r="AJ216" i="1"/>
  <c r="AJ140" i="1"/>
  <c r="AJ206" i="1"/>
  <c r="AJ271" i="1"/>
  <c r="AJ268" i="1"/>
  <c r="AJ263" i="1"/>
  <c r="AJ250" i="1"/>
  <c r="AJ108" i="1"/>
  <c r="AJ143" i="1"/>
  <c r="AJ190" i="1"/>
  <c r="AJ63" i="1"/>
  <c r="AJ189" i="1"/>
  <c r="AJ191" i="1"/>
  <c r="AJ209" i="1"/>
  <c r="AJ172" i="1"/>
  <c r="AJ134" i="1"/>
  <c r="AJ148" i="1"/>
  <c r="AJ168" i="1"/>
  <c r="AJ224" i="1"/>
  <c r="AJ159" i="1"/>
  <c r="AJ60" i="1"/>
  <c r="AJ52" i="1"/>
  <c r="AJ36" i="1"/>
  <c r="AJ182" i="1"/>
  <c r="AJ160" i="1"/>
  <c r="AJ207" i="1"/>
  <c r="AJ181" i="1"/>
  <c r="AJ166" i="1"/>
  <c r="AJ272" i="1"/>
  <c r="AJ241" i="1"/>
  <c r="AJ176" i="1"/>
  <c r="AJ158" i="1"/>
  <c r="AJ259" i="1"/>
  <c r="AJ277" i="1"/>
  <c r="AJ164" i="1"/>
  <c r="AJ133" i="1"/>
  <c r="AJ196" i="1"/>
  <c r="AJ225" i="1"/>
  <c r="AJ208" i="1"/>
  <c r="AJ24" i="1"/>
  <c r="AJ21" i="1"/>
  <c r="AJ12" i="1"/>
  <c r="AJ226" i="1"/>
  <c r="AJ48" i="1"/>
  <c r="AJ30" i="1"/>
  <c r="AJ197" i="1"/>
  <c r="AJ31" i="1"/>
  <c r="AJ29" i="1"/>
  <c r="AJ20" i="1"/>
  <c r="AJ112" i="1"/>
  <c r="AJ269" i="1"/>
  <c r="AJ278" i="1"/>
  <c r="AJ175" i="1"/>
  <c r="AJ183" i="1"/>
  <c r="AJ198" i="1"/>
  <c r="AJ151" i="1"/>
  <c r="AJ142" i="1"/>
  <c r="AJ184" i="1"/>
  <c r="AJ199" i="1"/>
  <c r="AJ22" i="1"/>
  <c r="AJ232" i="1"/>
  <c r="AJ245" i="1"/>
  <c r="AJ218" i="1"/>
  <c r="AJ152" i="1"/>
  <c r="AJ174" i="1"/>
  <c r="AJ37" i="1"/>
  <c r="AJ53" i="1"/>
  <c r="AJ200" i="1"/>
  <c r="AJ150" i="1"/>
  <c r="AJ13" i="1"/>
  <c r="AJ61" i="1"/>
  <c r="AJ233" i="1"/>
  <c r="AJ242" i="1"/>
  <c r="BT40" i="7"/>
  <c r="BT39" i="7"/>
  <c r="BT36" i="7"/>
  <c r="BT38" i="7"/>
  <c r="BT37" i="7"/>
  <c r="BT35" i="7"/>
  <c r="AJ104" i="1"/>
  <c r="AJ11" i="1"/>
  <c r="AJ106" i="1"/>
  <c r="AJ186" i="1"/>
  <c r="BT33" i="7"/>
  <c r="BT34" i="7"/>
  <c r="BT15" i="7"/>
  <c r="BT11" i="7"/>
  <c r="BT22" i="7"/>
  <c r="BT12" i="7"/>
  <c r="BT10" i="7"/>
  <c r="BT30" i="7"/>
  <c r="BT18" i="7"/>
  <c r="BT26" i="7"/>
  <c r="BT21" i="7"/>
  <c r="BT9" i="7"/>
  <c r="BT25" i="7"/>
  <c r="BT32" i="7"/>
  <c r="BT29" i="7"/>
  <c r="BT20" i="7"/>
  <c r="BT17" i="7"/>
  <c r="BT8" i="7"/>
  <c r="BT5" i="7"/>
  <c r="BT31" i="7"/>
  <c r="BT28" i="7"/>
  <c r="BT19" i="7"/>
  <c r="BT16" i="7"/>
  <c r="BT23" i="7"/>
  <c r="BT7" i="7"/>
  <c r="BT4" i="7"/>
  <c r="BT24" i="7"/>
  <c r="BT13" i="7"/>
  <c r="BT3" i="7"/>
  <c r="BT14" i="7"/>
  <c r="BT6" i="7"/>
  <c r="BT27" i="7"/>
  <c r="BQ4" i="7"/>
  <c r="N105" i="1"/>
  <c r="N113" i="1"/>
  <c r="H833" i="7"/>
  <c r="H447" i="7"/>
  <c r="H920" i="7"/>
  <c r="H421" i="7"/>
  <c r="H733" i="7"/>
  <c r="H870" i="7"/>
  <c r="H191" i="7"/>
  <c r="H455" i="7"/>
  <c r="H719" i="7"/>
  <c r="H923" i="7"/>
  <c r="H446" i="7"/>
  <c r="H614" i="7"/>
  <c r="H782" i="7"/>
  <c r="H950" i="7"/>
  <c r="H640" i="7"/>
  <c r="H408" i="7"/>
  <c r="H513" i="7"/>
  <c r="H655" i="7"/>
  <c r="H245" i="7"/>
  <c r="H972" i="7"/>
  <c r="H130" i="7"/>
  <c r="H150" i="7"/>
  <c r="H571" i="7"/>
  <c r="H89" i="7"/>
  <c r="H816" i="7"/>
  <c r="H118" i="7"/>
  <c r="H138" i="7"/>
  <c r="H847" i="7"/>
  <c r="H941" i="7"/>
  <c r="H987" i="7"/>
  <c r="H660" i="7"/>
  <c r="H909" i="7"/>
  <c r="H403" i="7"/>
  <c r="H703" i="7"/>
  <c r="H592" i="7"/>
  <c r="H50" i="7"/>
  <c r="H382" i="7"/>
  <c r="H258" i="7"/>
  <c r="H199" i="7"/>
  <c r="H580" i="7"/>
  <c r="H985" i="7"/>
  <c r="H204" i="7"/>
  <c r="H453" i="7"/>
  <c r="H67" i="7"/>
  <c r="H617" i="7"/>
  <c r="H663" i="7"/>
  <c r="H912" i="7"/>
  <c r="H214" i="7"/>
  <c r="H234" i="7"/>
  <c r="H124" i="7"/>
  <c r="H673" i="7"/>
  <c r="H839" i="7"/>
  <c r="H58" i="7"/>
  <c r="H222" i="7"/>
  <c r="H103" i="7"/>
  <c r="H593" i="7"/>
  <c r="H783" i="7"/>
  <c r="H373" i="7"/>
  <c r="H539" i="7"/>
  <c r="H705" i="7"/>
  <c r="H679" i="7"/>
  <c r="H164" i="7"/>
  <c r="H820" i="7"/>
  <c r="H51" i="7"/>
  <c r="H588" i="7"/>
  <c r="H754" i="7"/>
  <c r="H918" i="7"/>
  <c r="H716" i="7"/>
  <c r="H952" i="7"/>
  <c r="H183" i="7"/>
  <c r="H349" i="7"/>
  <c r="H515" i="7"/>
  <c r="H681" i="7"/>
  <c r="H224" i="7"/>
  <c r="H80" i="7"/>
  <c r="H364" i="7"/>
  <c r="H542" i="7"/>
  <c r="H708" i="7"/>
  <c r="H874" i="7"/>
  <c r="H93" i="7"/>
  <c r="H631" i="7"/>
  <c r="H977" i="7"/>
  <c r="H567" i="7"/>
  <c r="H956" i="7"/>
  <c r="H433" i="7"/>
  <c r="H745" i="7"/>
  <c r="H882" i="7"/>
  <c r="H203" i="7"/>
  <c r="H467" i="7"/>
  <c r="H731" i="7"/>
  <c r="H844" i="7"/>
  <c r="H458" i="7"/>
  <c r="H626" i="7"/>
  <c r="H794" i="7"/>
  <c r="H962" i="7"/>
  <c r="H496" i="7"/>
  <c r="H264" i="7"/>
  <c r="H369" i="7"/>
  <c r="H499" i="7"/>
  <c r="H101" i="7"/>
  <c r="H828" i="7"/>
  <c r="H933" i="7"/>
  <c r="H691" i="7"/>
  <c r="H760" i="7"/>
  <c r="H672" i="7"/>
  <c r="H921" i="7"/>
  <c r="H547" i="7"/>
  <c r="H797" i="7"/>
  <c r="H843" i="7"/>
  <c r="H516" i="7"/>
  <c r="H765" i="7"/>
  <c r="H823" i="7"/>
  <c r="H448" i="7"/>
  <c r="H936" i="7"/>
  <c r="H238" i="7"/>
  <c r="H114" i="7"/>
  <c r="H595" i="7"/>
  <c r="H436" i="7"/>
  <c r="H841" i="7"/>
  <c r="H60" i="7"/>
  <c r="H309" i="7"/>
  <c r="H260" i="7"/>
  <c r="H473" i="7"/>
  <c r="H519" i="7"/>
  <c r="H768" i="7"/>
  <c r="H70" i="7"/>
  <c r="H90" i="7"/>
  <c r="H331" i="7"/>
  <c r="H939" i="7"/>
  <c r="H529" i="7"/>
  <c r="H695" i="7"/>
  <c r="H861" i="7"/>
  <c r="H78" i="7"/>
  <c r="H259" i="7"/>
  <c r="H449" i="7"/>
  <c r="H639" i="7"/>
  <c r="H229" i="7"/>
  <c r="H395" i="7"/>
  <c r="H561" i="7"/>
  <c r="H955" i="7"/>
  <c r="H676" i="7"/>
  <c r="H278" i="7"/>
  <c r="H444" i="7"/>
  <c r="H610" i="7"/>
  <c r="H774" i="7"/>
  <c r="H776" i="7"/>
  <c r="H808" i="7"/>
  <c r="H986" i="7"/>
  <c r="H205" i="7"/>
  <c r="H371" i="7"/>
  <c r="H537" i="7"/>
  <c r="H667" i="7"/>
  <c r="H220" i="7"/>
  <c r="H398" i="7"/>
  <c r="H564" i="7"/>
  <c r="H730" i="7"/>
  <c r="H894" i="7"/>
  <c r="H968" i="7"/>
  <c r="H87" i="7"/>
  <c r="H579" i="7"/>
  <c r="H133" i="7"/>
  <c r="H445" i="7"/>
  <c r="H757" i="7"/>
  <c r="H954" i="7"/>
  <c r="H275" i="7"/>
  <c r="H479" i="7"/>
  <c r="H743" i="7"/>
  <c r="H856" i="7"/>
  <c r="H470" i="7"/>
  <c r="H638" i="7"/>
  <c r="H806" i="7"/>
  <c r="H352" i="7"/>
  <c r="H120" i="7"/>
  <c r="H225" i="7"/>
  <c r="H487" i="7"/>
  <c r="H772" i="7"/>
  <c r="H684" i="7"/>
  <c r="H789" i="7"/>
  <c r="H247" i="7"/>
  <c r="H616" i="7"/>
  <c r="H528" i="7"/>
  <c r="H777" i="7"/>
  <c r="H967" i="7"/>
  <c r="H653" i="7"/>
  <c r="H699" i="7"/>
  <c r="H372" i="7"/>
  <c r="H621" i="7"/>
  <c r="H151" i="7"/>
  <c r="H907" i="7"/>
  <c r="H304" i="7"/>
  <c r="H792" i="7"/>
  <c r="H94" i="7"/>
  <c r="H307" i="7"/>
  <c r="H559" i="7"/>
  <c r="H292" i="7"/>
  <c r="H697" i="7"/>
  <c r="H946" i="7"/>
  <c r="H165" i="7"/>
  <c r="H908" i="7"/>
  <c r="H329" i="7"/>
  <c r="H375" i="7"/>
  <c r="H624" i="7"/>
  <c r="H873" i="7"/>
  <c r="H163" i="7"/>
  <c r="H308" i="7"/>
  <c r="H893" i="7"/>
  <c r="H795" i="7"/>
  <c r="H385" i="7"/>
  <c r="H551" i="7"/>
  <c r="H717" i="7"/>
  <c r="H91" i="7"/>
  <c r="H236" i="7"/>
  <c r="H305" i="7"/>
  <c r="H495" i="7"/>
  <c r="H85" i="7"/>
  <c r="H251" i="7"/>
  <c r="H417" i="7"/>
  <c r="H871" i="7"/>
  <c r="H532" i="7"/>
  <c r="H134" i="7"/>
  <c r="H300" i="7"/>
  <c r="H466" i="7"/>
  <c r="H630" i="7"/>
  <c r="H500" i="7"/>
  <c r="H664" i="7"/>
  <c r="H842" i="7"/>
  <c r="H61" i="7"/>
  <c r="H227" i="7"/>
  <c r="H393" i="7"/>
  <c r="H943" i="7"/>
  <c r="H845" i="7"/>
  <c r="H76" i="7"/>
  <c r="H254" i="7"/>
  <c r="H420" i="7"/>
  <c r="H586" i="7"/>
  <c r="H750" i="7"/>
  <c r="H428" i="7"/>
  <c r="H135" i="7"/>
  <c r="H591" i="7"/>
  <c r="H145" i="7"/>
  <c r="H457" i="7"/>
  <c r="H853" i="7"/>
  <c r="H966" i="7"/>
  <c r="H287" i="7"/>
  <c r="H491" i="7"/>
  <c r="H755" i="7"/>
  <c r="H868" i="7"/>
  <c r="H482" i="7"/>
  <c r="H650" i="7"/>
  <c r="H818" i="7"/>
  <c r="H208" i="7"/>
  <c r="H862" i="7"/>
  <c r="H81" i="7"/>
  <c r="H344" i="7"/>
  <c r="H628" i="7"/>
  <c r="H540" i="7"/>
  <c r="H645" i="7"/>
  <c r="H295" i="7"/>
  <c r="H472" i="7"/>
  <c r="H384" i="7"/>
  <c r="H633" i="7"/>
  <c r="H223" i="7"/>
  <c r="H509" i="7"/>
  <c r="H555" i="7"/>
  <c r="H228" i="7"/>
  <c r="H477" i="7"/>
  <c r="H284" i="7"/>
  <c r="H160" i="7"/>
  <c r="H648" i="7"/>
  <c r="H897" i="7"/>
  <c r="H535" i="7"/>
  <c r="H148" i="7"/>
  <c r="H553" i="7"/>
  <c r="H802" i="7"/>
  <c r="H678" i="7"/>
  <c r="H644" i="7"/>
  <c r="H185" i="7"/>
  <c r="H314" i="7"/>
  <c r="H480" i="7"/>
  <c r="H729" i="7"/>
  <c r="H583" i="7"/>
  <c r="H749" i="7"/>
  <c r="H651" i="7"/>
  <c r="H241" i="7"/>
  <c r="H407" i="7"/>
  <c r="H573" i="7"/>
  <c r="H715" i="7"/>
  <c r="H161" i="7"/>
  <c r="H351" i="7"/>
  <c r="H888" i="7"/>
  <c r="H107" i="7"/>
  <c r="H273" i="7"/>
  <c r="H859" i="7"/>
  <c r="H388" i="7"/>
  <c r="H937" i="7"/>
  <c r="H156" i="7"/>
  <c r="H322" i="7"/>
  <c r="H486" i="7"/>
  <c r="H560" i="7"/>
  <c r="H520" i="7"/>
  <c r="H698" i="7"/>
  <c r="H864" i="7"/>
  <c r="H83" i="7"/>
  <c r="H249" i="7"/>
  <c r="H787" i="7"/>
  <c r="H701" i="7"/>
  <c r="H891" i="7"/>
  <c r="H110" i="7"/>
  <c r="H276" i="7"/>
  <c r="H442" i="7"/>
  <c r="H606" i="7"/>
  <c r="H728" i="7"/>
  <c r="H147" i="7"/>
  <c r="H711" i="7"/>
  <c r="H157" i="7"/>
  <c r="H469" i="7"/>
  <c r="H865" i="7"/>
  <c r="H978" i="7"/>
  <c r="H299" i="7"/>
  <c r="H563" i="7"/>
  <c r="H767" i="7"/>
  <c r="H880" i="7"/>
  <c r="H494" i="7"/>
  <c r="H662" i="7"/>
  <c r="H854" i="7"/>
  <c r="H64" i="7"/>
  <c r="H718" i="7"/>
  <c r="H738" i="7"/>
  <c r="H584" i="7"/>
  <c r="H484" i="7"/>
  <c r="H396" i="7"/>
  <c r="H501" i="7"/>
  <c r="H511" i="7"/>
  <c r="H328" i="7"/>
  <c r="H240" i="7"/>
  <c r="H489" i="7"/>
  <c r="H368" i="7"/>
  <c r="H365" i="7"/>
  <c r="H411" i="7"/>
  <c r="H84" i="7"/>
  <c r="H333" i="7"/>
  <c r="H211" i="7"/>
  <c r="H929" i="7"/>
  <c r="H975" i="7"/>
  <c r="H504" i="7"/>
  <c r="H753" i="7"/>
  <c r="H79" i="7"/>
  <c r="H917" i="7"/>
  <c r="H963" i="7"/>
  <c r="H409" i="7"/>
  <c r="H658" i="7"/>
  <c r="H534" i="7"/>
  <c r="H848" i="7"/>
  <c r="H170" i="7"/>
  <c r="H336" i="7"/>
  <c r="H585" i="7"/>
  <c r="H127" i="7"/>
  <c r="H605" i="7"/>
  <c r="H507" i="7"/>
  <c r="H97" i="7"/>
  <c r="H263" i="7"/>
  <c r="H429" i="7"/>
  <c r="H332" i="7"/>
  <c r="H976" i="7"/>
  <c r="H207" i="7"/>
  <c r="H744" i="7"/>
  <c r="H910" i="7"/>
  <c r="H129" i="7"/>
  <c r="H319" i="7"/>
  <c r="H244" i="7"/>
  <c r="H793" i="7"/>
  <c r="H959" i="7"/>
  <c r="H178" i="7"/>
  <c r="H342" i="7"/>
  <c r="H824" i="7"/>
  <c r="H376" i="7"/>
  <c r="H554" i="7"/>
  <c r="H720" i="7"/>
  <c r="H886" i="7"/>
  <c r="H105" i="7"/>
  <c r="H775" i="7"/>
  <c r="H557" i="7"/>
  <c r="H747" i="7"/>
  <c r="H913" i="7"/>
  <c r="H132" i="7"/>
  <c r="H298" i="7"/>
  <c r="H462" i="7"/>
  <c r="H812" i="7"/>
  <c r="H159" i="7"/>
  <c r="H723" i="7"/>
  <c r="H169" i="7"/>
  <c r="H565" i="7"/>
  <c r="H877" i="7"/>
  <c r="H47" i="7"/>
  <c r="H311" i="7"/>
  <c r="H575" i="7"/>
  <c r="H779" i="7"/>
  <c r="H892" i="7"/>
  <c r="H506" i="7"/>
  <c r="H674" i="7"/>
  <c r="H866" i="7"/>
  <c r="H386" i="7"/>
  <c r="H574" i="7"/>
  <c r="H594" i="7"/>
  <c r="H619" i="7"/>
  <c r="H340" i="7"/>
  <c r="H252" i="7"/>
  <c r="H357" i="7"/>
  <c r="H367" i="7"/>
  <c r="H184" i="7"/>
  <c r="H96" i="7"/>
  <c r="H345" i="7"/>
  <c r="H283" i="7"/>
  <c r="H221" i="7"/>
  <c r="H267" i="7"/>
  <c r="H970" i="7"/>
  <c r="H189" i="7"/>
  <c r="H200" i="7"/>
  <c r="H785" i="7"/>
  <c r="H831" i="7"/>
  <c r="H360" i="7"/>
  <c r="H609" i="7"/>
  <c r="H212" i="7"/>
  <c r="H773" i="7"/>
  <c r="H819" i="7"/>
  <c r="H265" i="7"/>
  <c r="H514" i="7"/>
  <c r="H390" i="7"/>
  <c r="H896" i="7"/>
  <c r="H712" i="7"/>
  <c r="H973" i="7"/>
  <c r="H192" i="7"/>
  <c r="H441" i="7"/>
  <c r="H68" i="7"/>
  <c r="H461" i="7"/>
  <c r="H363" i="7"/>
  <c r="H900" i="7"/>
  <c r="H119" i="7"/>
  <c r="H285" i="7"/>
  <c r="H439" i="7"/>
  <c r="H832" i="7"/>
  <c r="H63" i="7"/>
  <c r="H600" i="7"/>
  <c r="H766" i="7"/>
  <c r="H930" i="7"/>
  <c r="H620" i="7"/>
  <c r="H869" i="7"/>
  <c r="H100" i="7"/>
  <c r="H649" i="7"/>
  <c r="H815" i="7"/>
  <c r="H981" i="7"/>
  <c r="H198" i="7"/>
  <c r="H751" i="7"/>
  <c r="H232" i="7"/>
  <c r="H410" i="7"/>
  <c r="H576" i="7"/>
  <c r="H742" i="7"/>
  <c r="H906" i="7"/>
  <c r="H860" i="7"/>
  <c r="H413" i="7"/>
  <c r="H603" i="7"/>
  <c r="H769" i="7"/>
  <c r="H935" i="7"/>
  <c r="H154" i="7"/>
  <c r="H318" i="7"/>
  <c r="H763" i="7"/>
  <c r="H231" i="7"/>
  <c r="H735" i="7"/>
  <c r="H181" i="7"/>
  <c r="H577" i="7"/>
  <c r="H889" i="7"/>
  <c r="H59" i="7"/>
  <c r="H323" i="7"/>
  <c r="H587" i="7"/>
  <c r="H851" i="7"/>
  <c r="H904" i="7"/>
  <c r="H518" i="7"/>
  <c r="H710" i="7"/>
  <c r="H878" i="7"/>
  <c r="H689" i="7"/>
  <c r="H242" i="7"/>
  <c r="H430" i="7"/>
  <c r="H450" i="7"/>
  <c r="H116" i="7"/>
  <c r="H196" i="7"/>
  <c r="H108" i="7"/>
  <c r="H213" i="7"/>
  <c r="H355" i="7"/>
  <c r="H953" i="7"/>
  <c r="H982" i="7"/>
  <c r="H201" i="7"/>
  <c r="H272" i="7"/>
  <c r="H77" i="7"/>
  <c r="H123" i="7"/>
  <c r="H826" i="7"/>
  <c r="H692" i="7"/>
  <c r="H641" i="7"/>
  <c r="H687" i="7"/>
  <c r="H216" i="7"/>
  <c r="H465" i="7"/>
  <c r="H139" i="7"/>
  <c r="H629" i="7"/>
  <c r="H675" i="7"/>
  <c r="H121" i="7"/>
  <c r="H370" i="7"/>
  <c r="H246" i="7"/>
  <c r="H55" i="7"/>
  <c r="H568" i="7"/>
  <c r="H829" i="7"/>
  <c r="H48" i="7"/>
  <c r="H297" i="7"/>
  <c r="H188" i="7"/>
  <c r="H317" i="7"/>
  <c r="H219" i="7"/>
  <c r="H756" i="7"/>
  <c r="H922" i="7"/>
  <c r="H141" i="7"/>
  <c r="H727" i="7"/>
  <c r="H688" i="7"/>
  <c r="H290" i="7"/>
  <c r="H456" i="7"/>
  <c r="H622" i="7"/>
  <c r="H786" i="7"/>
  <c r="H656" i="7"/>
  <c r="H725" i="7"/>
  <c r="H915" i="7"/>
  <c r="H505" i="7"/>
  <c r="H671" i="7"/>
  <c r="H837" i="7"/>
  <c r="H54" i="7"/>
  <c r="H115" i="7"/>
  <c r="H857" i="7"/>
  <c r="H88" i="7"/>
  <c r="H266" i="7"/>
  <c r="H432" i="7"/>
  <c r="H598" i="7"/>
  <c r="H762" i="7"/>
  <c r="H884" i="7"/>
  <c r="H269" i="7"/>
  <c r="H459" i="7"/>
  <c r="H625" i="7"/>
  <c r="H791" i="7"/>
  <c r="H957" i="7"/>
  <c r="H174" i="7"/>
  <c r="H463" i="7"/>
  <c r="H243" i="7"/>
  <c r="H855" i="7"/>
  <c r="H277" i="7"/>
  <c r="H589" i="7"/>
  <c r="H901" i="7"/>
  <c r="H131" i="7"/>
  <c r="H335" i="7"/>
  <c r="H599" i="7"/>
  <c r="H863" i="7"/>
  <c r="H916" i="7"/>
  <c r="H530" i="7"/>
  <c r="H722" i="7"/>
  <c r="H890" i="7"/>
  <c r="H545" i="7"/>
  <c r="H98" i="7"/>
  <c r="H286" i="7"/>
  <c r="H306" i="7"/>
  <c r="H176" i="7"/>
  <c r="H965" i="7"/>
  <c r="H52" i="7"/>
  <c r="H850" i="7"/>
  <c r="H69" i="7"/>
  <c r="H452" i="7"/>
  <c r="H809" i="7"/>
  <c r="H279" i="7"/>
  <c r="H838" i="7"/>
  <c r="H57" i="7"/>
  <c r="H572" i="7"/>
  <c r="H748" i="7"/>
  <c r="H350" i="7"/>
  <c r="H682" i="7"/>
  <c r="H702" i="7"/>
  <c r="H404" i="7"/>
  <c r="H497" i="7"/>
  <c r="H543" i="7"/>
  <c r="H72" i="7"/>
  <c r="H321" i="7"/>
  <c r="H56" i="7"/>
  <c r="H485" i="7"/>
  <c r="H531" i="7"/>
  <c r="H924" i="7"/>
  <c r="H226" i="7"/>
  <c r="H102" i="7"/>
  <c r="H451" i="7"/>
  <c r="H424" i="7"/>
  <c r="H685" i="7"/>
  <c r="H934" i="7"/>
  <c r="H153" i="7"/>
  <c r="H392" i="7"/>
  <c r="H173" i="7"/>
  <c r="H75" i="7"/>
  <c r="H612" i="7"/>
  <c r="H778" i="7"/>
  <c r="H942" i="7"/>
  <c r="H512" i="7"/>
  <c r="H544" i="7"/>
  <c r="H146" i="7"/>
  <c r="H312" i="7"/>
  <c r="H478" i="7"/>
  <c r="H642" i="7"/>
  <c r="H380" i="7"/>
  <c r="H581" i="7"/>
  <c r="H771" i="7"/>
  <c r="H361" i="7"/>
  <c r="H527" i="7"/>
  <c r="H693" i="7"/>
  <c r="H391" i="7"/>
  <c r="H92" i="7"/>
  <c r="H713" i="7"/>
  <c r="H903" i="7"/>
  <c r="H122" i="7"/>
  <c r="H288" i="7"/>
  <c r="H454" i="7"/>
  <c r="H618" i="7"/>
  <c r="H608" i="7"/>
  <c r="H125" i="7"/>
  <c r="H315" i="7"/>
  <c r="H481" i="7"/>
  <c r="H647" i="7"/>
  <c r="H813" i="7"/>
  <c r="H979" i="7"/>
  <c r="H989" i="7"/>
  <c r="H443" i="7"/>
  <c r="H255" i="7"/>
  <c r="H867" i="7"/>
  <c r="H289" i="7"/>
  <c r="H601" i="7"/>
  <c r="H822" i="7"/>
  <c r="H143" i="7"/>
  <c r="H347" i="7"/>
  <c r="H611" i="7"/>
  <c r="H875" i="7"/>
  <c r="H928" i="7"/>
  <c r="H566" i="7"/>
  <c r="H734" i="7"/>
  <c r="H902" i="7"/>
  <c r="H401" i="7"/>
  <c r="H984" i="7"/>
  <c r="H142" i="7"/>
  <c r="H162" i="7"/>
  <c r="H175" i="7"/>
  <c r="H821" i="7"/>
  <c r="H291" i="7"/>
  <c r="H706" i="7"/>
  <c r="H726" i="7"/>
  <c r="H740" i="7"/>
  <c r="H665" i="7"/>
  <c r="H362" i="7"/>
  <c r="H694" i="7"/>
  <c r="H714" i="7"/>
  <c r="H464" i="7"/>
  <c r="H604" i="7"/>
  <c r="H206" i="7"/>
  <c r="H538" i="7"/>
  <c r="H558" i="7"/>
  <c r="H632" i="7"/>
  <c r="H353" i="7"/>
  <c r="H399" i="7"/>
  <c r="H958" i="7"/>
  <c r="H177" i="7"/>
  <c r="H800" i="7"/>
  <c r="H341" i="7"/>
  <c r="H387" i="7"/>
  <c r="H780" i="7"/>
  <c r="H82" i="7"/>
  <c r="H235" i="7"/>
  <c r="H415" i="7"/>
  <c r="H280" i="7"/>
  <c r="H541" i="7"/>
  <c r="H790" i="7"/>
  <c r="H810" i="7"/>
  <c r="H416" i="7"/>
  <c r="H700" i="7"/>
  <c r="H302" i="7"/>
  <c r="H468" i="7"/>
  <c r="H634" i="7"/>
  <c r="H798" i="7"/>
  <c r="H536" i="7"/>
  <c r="H400" i="7"/>
  <c r="H949" i="7"/>
  <c r="H168" i="7"/>
  <c r="H334" i="7"/>
  <c r="H498" i="7"/>
  <c r="H476" i="7"/>
  <c r="H437" i="7"/>
  <c r="H627" i="7"/>
  <c r="H217" i="7"/>
  <c r="H383" i="7"/>
  <c r="H549" i="7"/>
  <c r="H811" i="7"/>
  <c r="H569" i="7"/>
  <c r="H759" i="7"/>
  <c r="H925" i="7"/>
  <c r="H144" i="7"/>
  <c r="H310" i="7"/>
  <c r="H474" i="7"/>
  <c r="H680" i="7"/>
  <c r="H940" i="7"/>
  <c r="H171" i="7"/>
  <c r="H337" i="7"/>
  <c r="H503" i="7"/>
  <c r="H669" i="7"/>
  <c r="H152" i="7"/>
  <c r="H104" i="7"/>
  <c r="H303" i="7"/>
  <c r="H879" i="7"/>
  <c r="H301" i="7"/>
  <c r="H613" i="7"/>
  <c r="H834" i="7"/>
  <c r="H155" i="7"/>
  <c r="H419" i="7"/>
  <c r="H623" i="7"/>
  <c r="H887" i="7"/>
  <c r="H988" i="7"/>
  <c r="H578" i="7"/>
  <c r="H746" i="7"/>
  <c r="H914" i="7"/>
  <c r="H257" i="7"/>
  <c r="H840" i="7"/>
  <c r="H945" i="7"/>
  <c r="H835" i="7"/>
  <c r="H677" i="7"/>
  <c r="H374" i="7"/>
  <c r="H562" i="7"/>
  <c r="H582" i="7"/>
  <c r="H440" i="7"/>
  <c r="H521" i="7"/>
  <c r="H218" i="7"/>
  <c r="H550" i="7"/>
  <c r="H570" i="7"/>
  <c r="H548" i="7"/>
  <c r="H460" i="7"/>
  <c r="H62" i="7"/>
  <c r="H394" i="7"/>
  <c r="H414" i="7"/>
  <c r="H668" i="7"/>
  <c r="H209" i="7"/>
  <c r="H111" i="7"/>
  <c r="H814" i="7"/>
  <c r="H690" i="7"/>
  <c r="H524" i="7"/>
  <c r="H197" i="7"/>
  <c r="H99" i="7"/>
  <c r="H636" i="7"/>
  <c r="H885" i="7"/>
  <c r="H296" i="7"/>
  <c r="H136" i="7"/>
  <c r="H397" i="7"/>
  <c r="H646" i="7"/>
  <c r="H666" i="7"/>
  <c r="H764" i="7"/>
  <c r="H556" i="7"/>
  <c r="H158" i="7"/>
  <c r="H324" i="7"/>
  <c r="H490" i="7"/>
  <c r="H654" i="7"/>
  <c r="H932" i="7"/>
  <c r="H256" i="7"/>
  <c r="H805" i="7"/>
  <c r="H971" i="7"/>
  <c r="H190" i="7"/>
  <c r="H354" i="7"/>
  <c r="H704" i="7"/>
  <c r="H293" i="7"/>
  <c r="H483" i="7"/>
  <c r="H73" i="7"/>
  <c r="H239" i="7"/>
  <c r="H405" i="7"/>
  <c r="H427" i="7"/>
  <c r="H425" i="7"/>
  <c r="H615" i="7"/>
  <c r="H781" i="7"/>
  <c r="H947" i="7"/>
  <c r="H166" i="7"/>
  <c r="H330" i="7"/>
  <c r="H944" i="7"/>
  <c r="H796" i="7"/>
  <c r="H974" i="7"/>
  <c r="H193" i="7"/>
  <c r="H359" i="7"/>
  <c r="H525" i="7"/>
  <c r="H523" i="7"/>
  <c r="H423" i="7"/>
  <c r="H836" i="7"/>
  <c r="H313" i="7"/>
  <c r="H709" i="7"/>
  <c r="H846" i="7"/>
  <c r="H167" i="7"/>
  <c r="H431" i="7"/>
  <c r="H635" i="7"/>
  <c r="H899" i="7"/>
  <c r="H422" i="7"/>
  <c r="H590" i="7"/>
  <c r="H758" i="7"/>
  <c r="H926" i="7"/>
  <c r="H113" i="7"/>
  <c r="H696" i="7"/>
  <c r="H801" i="7"/>
  <c r="H248" i="7"/>
  <c r="H533" i="7"/>
  <c r="H230" i="7"/>
  <c r="H418" i="7"/>
  <c r="H438" i="7"/>
  <c r="H475" i="7"/>
  <c r="H377" i="7"/>
  <c r="H74" i="7"/>
  <c r="H406" i="7"/>
  <c r="H426" i="7"/>
  <c r="H343" i="7"/>
  <c r="H316" i="7"/>
  <c r="H948" i="7"/>
  <c r="H250" i="7"/>
  <c r="H270" i="7"/>
  <c r="H271" i="7"/>
  <c r="H65" i="7"/>
  <c r="H338" i="7"/>
  <c r="H670" i="7"/>
  <c r="H546" i="7"/>
  <c r="H752" i="7"/>
  <c r="H53" i="7"/>
  <c r="H326" i="7"/>
  <c r="H492" i="7"/>
  <c r="H741" i="7"/>
  <c r="H128" i="7"/>
  <c r="H905" i="7"/>
  <c r="H951" i="7"/>
  <c r="H253" i="7"/>
  <c r="H502" i="7"/>
  <c r="H522" i="7"/>
  <c r="H980" i="7"/>
  <c r="H412" i="7"/>
  <c r="H961" i="7"/>
  <c r="H180" i="7"/>
  <c r="H346" i="7"/>
  <c r="H510" i="7"/>
  <c r="H356" i="7"/>
  <c r="H881" i="7"/>
  <c r="H112" i="7"/>
  <c r="H661" i="7"/>
  <c r="H827" i="7"/>
  <c r="H46" i="7"/>
  <c r="H210" i="7"/>
  <c r="H895" i="7"/>
  <c r="H149" i="7"/>
  <c r="H339" i="7"/>
  <c r="H876" i="7"/>
  <c r="H95" i="7"/>
  <c r="H261" i="7"/>
  <c r="H931" i="7"/>
  <c r="H281" i="7"/>
  <c r="H471" i="7"/>
  <c r="H637" i="7"/>
  <c r="H803" i="7"/>
  <c r="H969" i="7"/>
  <c r="H186" i="7"/>
  <c r="H607" i="7"/>
  <c r="H652" i="7"/>
  <c r="H830" i="7"/>
  <c r="H49" i="7"/>
  <c r="H215" i="7"/>
  <c r="H381" i="7"/>
  <c r="H799" i="7"/>
  <c r="H872" i="7"/>
  <c r="H938" i="7"/>
  <c r="H784" i="7"/>
  <c r="H552" i="7"/>
  <c r="H435" i="7"/>
  <c r="H325" i="7"/>
  <c r="H86" i="7"/>
  <c r="H883" i="7"/>
  <c r="H106" i="7"/>
  <c r="H348" i="7"/>
  <c r="H596" i="7"/>
  <c r="H187" i="7"/>
  <c r="H825" i="7"/>
  <c r="H721" i="7"/>
  <c r="H657" i="7"/>
  <c r="H274" i="7"/>
  <c r="H126" i="7"/>
  <c r="H597" i="7"/>
  <c r="H262" i="7"/>
  <c r="H858" i="7"/>
  <c r="H379" i="7"/>
  <c r="H294" i="7"/>
  <c r="H739" i="7"/>
  <c r="H140" i="7"/>
  <c r="H202" i="7"/>
  <c r="H179" i="7"/>
  <c r="H320" i="7"/>
  <c r="H761" i="7"/>
  <c r="H508" i="7"/>
  <c r="H707" i="7"/>
  <c r="H736" i="7"/>
  <c r="H807" i="7"/>
  <c r="H686" i="7"/>
  <c r="H911" i="7"/>
  <c r="H194" i="7"/>
  <c r="H109" i="7"/>
  <c r="H964" i="7"/>
  <c r="H852" i="7"/>
  <c r="H434" i="7"/>
  <c r="H526" i="7"/>
  <c r="H358" i="7"/>
  <c r="H737" i="7"/>
  <c r="H195" i="7"/>
  <c r="H71" i="7"/>
  <c r="H602" i="7"/>
  <c r="H402" i="7"/>
  <c r="H378" i="7"/>
  <c r="H268" i="7"/>
  <c r="H927" i="7"/>
  <c r="H732" i="7"/>
  <c r="H237" i="7"/>
  <c r="H724" i="7"/>
  <c r="H919" i="7"/>
  <c r="H770" i="7"/>
  <c r="H233" i="7"/>
  <c r="H788" i="7"/>
  <c r="H488" i="7"/>
  <c r="H817" i="7"/>
  <c r="H517" i="7"/>
  <c r="H898" i="7"/>
  <c r="H137" i="7"/>
  <c r="H643" i="7"/>
  <c r="H960" i="7"/>
  <c r="H983" i="7"/>
  <c r="H683" i="7"/>
  <c r="H117" i="7"/>
  <c r="H327" i="7"/>
  <c r="H172" i="7"/>
  <c r="H849" i="7"/>
  <c r="H493" i="7"/>
  <c r="H389" i="7"/>
  <c r="H282" i="7"/>
  <c r="H804" i="7"/>
  <c r="H182" i="7"/>
  <c r="H366" i="7"/>
  <c r="H66" i="7"/>
  <c r="H659" i="7"/>
  <c r="E3" i="7"/>
  <c r="T3" i="7" s="1"/>
  <c r="Y3" i="7" s="1"/>
  <c r="J2" i="7"/>
  <c r="D3" i="7"/>
  <c r="S3" i="7" s="1"/>
  <c r="X3" i="7" s="1"/>
  <c r="I2" i="7"/>
  <c r="F3" i="7"/>
  <c r="K2" i="7"/>
  <c r="L236" i="7"/>
  <c r="L308" i="7"/>
  <c r="L440" i="7"/>
  <c r="L85" i="7"/>
  <c r="L145" i="7"/>
  <c r="L457" i="7"/>
  <c r="L853" i="7"/>
  <c r="L138" i="7"/>
  <c r="L71" i="7"/>
  <c r="L131" i="7"/>
  <c r="L544" i="7"/>
  <c r="L237" i="7"/>
  <c r="L477" i="7"/>
  <c r="L537" i="7"/>
  <c r="L681" i="7"/>
  <c r="L386" i="7"/>
  <c r="L602" i="7"/>
  <c r="L638" i="7"/>
  <c r="L710" i="7"/>
  <c r="L108" i="7"/>
  <c r="L180" i="7"/>
  <c r="L252" i="7"/>
  <c r="L324" i="7"/>
  <c r="L396" i="7"/>
  <c r="L468" i="7"/>
  <c r="L540" i="7"/>
  <c r="L612" i="7"/>
  <c r="L684" i="7"/>
  <c r="L756" i="7"/>
  <c r="L416" i="7"/>
  <c r="L253" i="7"/>
  <c r="L637" i="7"/>
  <c r="L829" i="7"/>
  <c r="L222" i="7"/>
  <c r="L172" i="7"/>
  <c r="L220" i="7"/>
  <c r="L580" i="7"/>
  <c r="L585" i="7"/>
  <c r="L657" i="7"/>
  <c r="L554" i="7"/>
  <c r="L101" i="7"/>
  <c r="L58" i="7"/>
  <c r="L190" i="7"/>
  <c r="L250" i="7"/>
  <c r="L322" i="7"/>
  <c r="L382" i="7"/>
  <c r="L442" i="7"/>
  <c r="L502" i="7"/>
  <c r="L574" i="7"/>
  <c r="L634" i="7"/>
  <c r="L706" i="7"/>
  <c r="L778" i="7"/>
  <c r="L712" i="7"/>
  <c r="L454" i="7"/>
  <c r="L596" i="7"/>
  <c r="L668" i="7"/>
  <c r="L740" i="7"/>
  <c r="L452" i="7"/>
  <c r="L157" i="7"/>
  <c r="L217" i="7"/>
  <c r="L541" i="7"/>
  <c r="L733" i="7"/>
  <c r="L865" i="7"/>
  <c r="L985" i="7"/>
  <c r="L150" i="7"/>
  <c r="L76" i="7"/>
  <c r="L244" i="7"/>
  <c r="L688" i="7"/>
  <c r="L201" i="7"/>
  <c r="L134" i="7"/>
  <c r="L662" i="7"/>
  <c r="L96" i="7"/>
  <c r="L168" i="7"/>
  <c r="L240" i="7"/>
  <c r="L312" i="7"/>
  <c r="L384" i="7"/>
  <c r="L456" i="7"/>
  <c r="L528" i="7"/>
  <c r="L600" i="7"/>
  <c r="L672" i="7"/>
  <c r="L744" i="7"/>
  <c r="L500" i="7"/>
  <c r="L356" i="7"/>
  <c r="L649" i="7"/>
  <c r="L234" i="7"/>
  <c r="L124" i="7"/>
  <c r="L117" i="7"/>
  <c r="L165" i="7"/>
  <c r="L213" i="7"/>
  <c r="L261" i="7"/>
  <c r="L333" i="7"/>
  <c r="L369" i="7"/>
  <c r="L122" i="7"/>
  <c r="L206" i="7"/>
  <c r="L254" i="7"/>
  <c r="L290" i="7"/>
  <c r="L518" i="7"/>
  <c r="L46" i="7"/>
  <c r="L118" i="7"/>
  <c r="L178" i="7"/>
  <c r="L238" i="7"/>
  <c r="L310" i="7"/>
  <c r="L370" i="7"/>
  <c r="L430" i="7"/>
  <c r="L490" i="7"/>
  <c r="L562" i="7"/>
  <c r="L622" i="7"/>
  <c r="L694" i="7"/>
  <c r="L766" i="7"/>
  <c r="L584" i="7"/>
  <c r="L656" i="7"/>
  <c r="L260" i="7"/>
  <c r="L332" i="7"/>
  <c r="L49" i="7"/>
  <c r="L553" i="7"/>
  <c r="L162" i="7"/>
  <c r="L208" i="7"/>
  <c r="L520" i="7"/>
  <c r="L652" i="7"/>
  <c r="L381" i="7"/>
  <c r="L549" i="7"/>
  <c r="L182" i="7"/>
  <c r="L314" i="7"/>
  <c r="L398" i="7"/>
  <c r="L434" i="7"/>
  <c r="L614" i="7"/>
  <c r="L686" i="7"/>
  <c r="L84" i="7"/>
  <c r="L156" i="7"/>
  <c r="L228" i="7"/>
  <c r="L300" i="7"/>
  <c r="L372" i="7"/>
  <c r="L444" i="7"/>
  <c r="L516" i="7"/>
  <c r="L588" i="7"/>
  <c r="L660" i="7"/>
  <c r="L732" i="7"/>
  <c r="L804" i="7"/>
  <c r="L472" i="7"/>
  <c r="L176" i="7"/>
  <c r="L368" i="7"/>
  <c r="L277" i="7"/>
  <c r="L126" i="7"/>
  <c r="L246" i="7"/>
  <c r="L136" i="7"/>
  <c r="L232" i="7"/>
  <c r="L424" i="7"/>
  <c r="L592" i="7"/>
  <c r="L405" i="7"/>
  <c r="L501" i="7"/>
  <c r="L597" i="7"/>
  <c r="L633" i="7"/>
  <c r="L446" i="7"/>
  <c r="L89" i="7"/>
  <c r="L106" i="7"/>
  <c r="L166" i="7"/>
  <c r="L298" i="7"/>
  <c r="L358" i="7"/>
  <c r="L418" i="7"/>
  <c r="L478" i="7"/>
  <c r="L550" i="7"/>
  <c r="L610" i="7"/>
  <c r="L682" i="7"/>
  <c r="L754" i="7"/>
  <c r="L130" i="7"/>
  <c r="L644" i="7"/>
  <c r="L716" i="7"/>
  <c r="L788" i="7"/>
  <c r="L344" i="7"/>
  <c r="L404" i="7"/>
  <c r="L488" i="7"/>
  <c r="L61" i="7"/>
  <c r="L565" i="7"/>
  <c r="L697" i="7"/>
  <c r="L174" i="7"/>
  <c r="L316" i="7"/>
  <c r="L364" i="7"/>
  <c r="L616" i="7"/>
  <c r="L489" i="7"/>
  <c r="L609" i="7"/>
  <c r="L650" i="7"/>
  <c r="L72" i="7"/>
  <c r="L144" i="7"/>
  <c r="L216" i="7"/>
  <c r="L288" i="7"/>
  <c r="L360" i="7"/>
  <c r="L432" i="7"/>
  <c r="L504" i="7"/>
  <c r="L576" i="7"/>
  <c r="L648" i="7"/>
  <c r="L720" i="7"/>
  <c r="L792" i="7"/>
  <c r="L481" i="7"/>
  <c r="L949" i="7"/>
  <c r="L196" i="7"/>
  <c r="L436" i="7"/>
  <c r="L640" i="7"/>
  <c r="L273" i="7"/>
  <c r="L309" i="7"/>
  <c r="L573" i="7"/>
  <c r="L98" i="7"/>
  <c r="L170" i="7"/>
  <c r="L494" i="7"/>
  <c r="L77" i="7"/>
  <c r="L94" i="7"/>
  <c r="L154" i="7"/>
  <c r="L226" i="7"/>
  <c r="L286" i="7"/>
  <c r="L346" i="7"/>
  <c r="L406" i="7"/>
  <c r="L466" i="7"/>
  <c r="L538" i="7"/>
  <c r="L598" i="7"/>
  <c r="L670" i="7"/>
  <c r="L742" i="7"/>
  <c r="L814" i="7"/>
  <c r="L448" i="7"/>
  <c r="L632" i="7"/>
  <c r="L704" i="7"/>
  <c r="L776" i="7"/>
  <c r="L68" i="7"/>
  <c r="L282" i="7"/>
  <c r="L366" i="7"/>
  <c r="L248" i="7"/>
  <c r="L572" i="7"/>
  <c r="L97" i="7"/>
  <c r="L169" i="7"/>
  <c r="L529" i="7"/>
  <c r="L589" i="7"/>
  <c r="L793" i="7"/>
  <c r="L258" i="7"/>
  <c r="L152" i="7"/>
  <c r="L536" i="7"/>
  <c r="L313" i="7"/>
  <c r="L577" i="7"/>
  <c r="L709" i="7"/>
  <c r="L114" i="7"/>
  <c r="L186" i="7"/>
  <c r="L107" i="7"/>
  <c r="L184" i="7"/>
  <c r="L664" i="7"/>
  <c r="L81" i="7"/>
  <c r="L177" i="7"/>
  <c r="L393" i="7"/>
  <c r="L525" i="7"/>
  <c r="L693" i="7"/>
  <c r="L542" i="7"/>
  <c r="L626" i="7"/>
  <c r="L674" i="7"/>
  <c r="L60" i="7"/>
  <c r="L132" i="7"/>
  <c r="L204" i="7"/>
  <c r="L276" i="7"/>
  <c r="L348" i="7"/>
  <c r="L420" i="7"/>
  <c r="L492" i="7"/>
  <c r="L564" i="7"/>
  <c r="L636" i="7"/>
  <c r="L708" i="7"/>
  <c r="L780" i="7"/>
  <c r="L141" i="7"/>
  <c r="L113" i="7"/>
  <c r="L613" i="7"/>
  <c r="L745" i="7"/>
  <c r="L973" i="7"/>
  <c r="L294" i="7"/>
  <c r="L83" i="7"/>
  <c r="L52" i="7"/>
  <c r="L100" i="7"/>
  <c r="L292" i="7"/>
  <c r="L340" i="7"/>
  <c r="L604" i="7"/>
  <c r="L93" i="7"/>
  <c r="L189" i="7"/>
  <c r="L417" i="7"/>
  <c r="L513" i="7"/>
  <c r="L645" i="7"/>
  <c r="L230" i="7"/>
  <c r="L578" i="7"/>
  <c r="L65" i="7"/>
  <c r="L82" i="7"/>
  <c r="L142" i="7"/>
  <c r="L214" i="7"/>
  <c r="L274" i="7"/>
  <c r="L334" i="7"/>
  <c r="L394" i="7"/>
  <c r="L526" i="7"/>
  <c r="L658" i="7"/>
  <c r="L730" i="7"/>
  <c r="L73" i="7"/>
  <c r="L841" i="7"/>
  <c r="L561" i="7"/>
  <c r="L48" i="7"/>
  <c r="L508" i="7"/>
  <c r="L110" i="7"/>
  <c r="L422" i="7"/>
  <c r="L586" i="7"/>
  <c r="L961" i="7"/>
  <c r="L280" i="7"/>
  <c r="L768" i="7"/>
  <c r="L53" i="7"/>
  <c r="L514" i="7"/>
  <c r="L812" i="7"/>
  <c r="L224" i="7"/>
  <c r="L342" i="7"/>
  <c r="L289" i="7"/>
  <c r="L251" i="7"/>
  <c r="L323" i="7"/>
  <c r="L395" i="7"/>
  <c r="L467" i="7"/>
  <c r="L539" i="7"/>
  <c r="L611" i="7"/>
  <c r="L683" i="7"/>
  <c r="L755" i="7"/>
  <c r="L827" i="7"/>
  <c r="L899" i="7"/>
  <c r="L971" i="7"/>
  <c r="L772" i="7"/>
  <c r="L92" i="7"/>
  <c r="L465" i="7"/>
  <c r="L753" i="7"/>
  <c r="L320" i="7"/>
  <c r="L392" i="7"/>
  <c r="L361" i="7"/>
  <c r="L901" i="7"/>
  <c r="L64" i="7"/>
  <c r="L112" i="7"/>
  <c r="L160" i="7"/>
  <c r="L556" i="7"/>
  <c r="L225" i="7"/>
  <c r="L50" i="7"/>
  <c r="L158" i="7"/>
  <c r="L302" i="7"/>
  <c r="L350" i="7"/>
  <c r="L590" i="7"/>
  <c r="L938" i="7"/>
  <c r="L965" i="7"/>
  <c r="L964" i="7"/>
  <c r="L836" i="7"/>
  <c r="L872" i="7"/>
  <c r="L908" i="7"/>
  <c r="L944" i="7"/>
  <c r="L954" i="7"/>
  <c r="L696" i="7"/>
  <c r="L241" i="7"/>
  <c r="L249" i="7"/>
  <c r="L506" i="7"/>
  <c r="L262" i="7"/>
  <c r="L376" i="7"/>
  <c r="L624" i="7"/>
  <c r="L685" i="7"/>
  <c r="L148" i="7"/>
  <c r="L552" i="7"/>
  <c r="L646" i="7"/>
  <c r="L620" i="7"/>
  <c r="L330" i="7"/>
  <c r="L188" i="7"/>
  <c r="L78" i="7"/>
  <c r="L270" i="7"/>
  <c r="L143" i="7"/>
  <c r="L813" i="7"/>
  <c r="L837" i="7"/>
  <c r="L861" i="7"/>
  <c r="L885" i="7"/>
  <c r="L909" i="7"/>
  <c r="L933" i="7"/>
  <c r="L79" i="7"/>
  <c r="L115" i="7"/>
  <c r="L151" i="7"/>
  <c r="L187" i="7"/>
  <c r="L223" i="7"/>
  <c r="L259" i="7"/>
  <c r="L355" i="7"/>
  <c r="L415" i="7"/>
  <c r="L475" i="7"/>
  <c r="L499" i="7"/>
  <c r="L523" i="7"/>
  <c r="L547" i="7"/>
  <c r="L571" i="7"/>
  <c r="L595" i="7"/>
  <c r="L619" i="7"/>
  <c r="L643" i="7"/>
  <c r="L667" i="7"/>
  <c r="L691" i="7"/>
  <c r="L715" i="7"/>
  <c r="L739" i="7"/>
  <c r="L763" i="7"/>
  <c r="L787" i="7"/>
  <c r="L811" i="7"/>
  <c r="L835" i="7"/>
  <c r="L859" i="7"/>
  <c r="L883" i="7"/>
  <c r="L907" i="7"/>
  <c r="L931" i="7"/>
  <c r="L952" i="7"/>
  <c r="L125" i="7"/>
  <c r="L161" i="7"/>
  <c r="L197" i="7"/>
  <c r="L233" i="7"/>
  <c r="L269" i="7"/>
  <c r="L305" i="7"/>
  <c r="L341" i="7"/>
  <c r="L377" i="7"/>
  <c r="L413" i="7"/>
  <c r="L449" i="7"/>
  <c r="L485" i="7"/>
  <c r="L521" i="7"/>
  <c r="L557" i="7"/>
  <c r="L593" i="7"/>
  <c r="L629" i="7"/>
  <c r="L665" i="7"/>
  <c r="L701" i="7"/>
  <c r="L737" i="7"/>
  <c r="L773" i="7"/>
  <c r="L809" i="7"/>
  <c r="L845" i="7"/>
  <c r="L881" i="7"/>
  <c r="L917" i="7"/>
  <c r="L838" i="7"/>
  <c r="L862" i="7"/>
  <c r="L886" i="7"/>
  <c r="L910" i="7"/>
  <c r="L934" i="7"/>
  <c r="L981" i="7"/>
  <c r="L460" i="7"/>
  <c r="L74" i="7"/>
  <c r="L480" i="7"/>
  <c r="L817" i="7"/>
  <c r="L374" i="7"/>
  <c r="L800" i="7"/>
  <c r="L378" i="7"/>
  <c r="L128" i="7"/>
  <c r="L167" i="7"/>
  <c r="L227" i="7"/>
  <c r="L299" i="7"/>
  <c r="L371" i="7"/>
  <c r="L443" i="7"/>
  <c r="L515" i="7"/>
  <c r="L587" i="7"/>
  <c r="L659" i="7"/>
  <c r="L731" i="7"/>
  <c r="L803" i="7"/>
  <c r="L875" i="7"/>
  <c r="L947" i="7"/>
  <c r="L400" i="7"/>
  <c r="L748" i="7"/>
  <c r="L820" i="7"/>
  <c r="L729" i="7"/>
  <c r="L801" i="7"/>
  <c r="L212" i="7"/>
  <c r="L284" i="7"/>
  <c r="L476" i="7"/>
  <c r="L121" i="7"/>
  <c r="L433" i="7"/>
  <c r="L505" i="7"/>
  <c r="L925" i="7"/>
  <c r="L90" i="7"/>
  <c r="L328" i="7"/>
  <c r="L105" i="7"/>
  <c r="L153" i="7"/>
  <c r="L362" i="7"/>
  <c r="L410" i="7"/>
  <c r="L722" i="7"/>
  <c r="L770" i="7"/>
  <c r="L866" i="7"/>
  <c r="L914" i="7"/>
  <c r="L974" i="7"/>
  <c r="L889" i="7"/>
  <c r="L194" i="7"/>
  <c r="L426" i="7"/>
  <c r="L946" i="7"/>
  <c r="L824" i="7"/>
  <c r="L860" i="7"/>
  <c r="L896" i="7"/>
  <c r="L932" i="7"/>
  <c r="L978" i="7"/>
  <c r="L408" i="7"/>
  <c r="L272" i="7"/>
  <c r="L146" i="7"/>
  <c r="L296" i="7"/>
  <c r="L119" i="7"/>
  <c r="L429" i="7"/>
  <c r="L336" i="7"/>
  <c r="L181" i="7"/>
  <c r="L70" i="7"/>
  <c r="L318" i="7"/>
  <c r="L428" i="7"/>
  <c r="L215" i="7"/>
  <c r="L287" i="7"/>
  <c r="L359" i="7"/>
  <c r="L431" i="7"/>
  <c r="L503" i="7"/>
  <c r="L575" i="7"/>
  <c r="L647" i="7"/>
  <c r="L719" i="7"/>
  <c r="L791" i="7"/>
  <c r="L863" i="7"/>
  <c r="L935" i="7"/>
  <c r="L496" i="7"/>
  <c r="L736" i="7"/>
  <c r="L808" i="7"/>
  <c r="L69" i="7"/>
  <c r="L669" i="7"/>
  <c r="L717" i="7"/>
  <c r="L789" i="7"/>
  <c r="L104" i="7"/>
  <c r="L164" i="7"/>
  <c r="L133" i="7"/>
  <c r="L193" i="7"/>
  <c r="L445" i="7"/>
  <c r="L721" i="7"/>
  <c r="L781" i="7"/>
  <c r="L102" i="7"/>
  <c r="L95" i="7"/>
  <c r="L88" i="7"/>
  <c r="L484" i="7"/>
  <c r="L532" i="7"/>
  <c r="L285" i="7"/>
  <c r="L278" i="7"/>
  <c r="L326" i="7"/>
  <c r="L566" i="7"/>
  <c r="L806" i="7"/>
  <c r="L854" i="7"/>
  <c r="L902" i="7"/>
  <c r="L962" i="7"/>
  <c r="L338" i="7"/>
  <c r="L450" i="7"/>
  <c r="L988" i="7"/>
  <c r="L972" i="7"/>
  <c r="L458" i="7"/>
  <c r="L264" i="7"/>
  <c r="L625" i="7"/>
  <c r="L453" i="7"/>
  <c r="L385" i="7"/>
  <c r="L120" i="7"/>
  <c r="L757" i="7"/>
  <c r="L57" i="7"/>
  <c r="L202" i="7"/>
  <c r="L728" i="7"/>
  <c r="L373" i="7"/>
  <c r="L402" i="7"/>
  <c r="L512" i="7"/>
  <c r="L517" i="7"/>
  <c r="L601" i="7"/>
  <c r="L937" i="7"/>
  <c r="L179" i="7"/>
  <c r="L275" i="7"/>
  <c r="L563" i="7"/>
  <c r="L851" i="7"/>
  <c r="L265" i="7"/>
  <c r="L388" i="7"/>
  <c r="L530" i="7"/>
  <c r="L842" i="7"/>
  <c r="L950" i="7"/>
  <c r="L498" i="7"/>
  <c r="L594" i="7"/>
  <c r="L690" i="7"/>
  <c r="L786" i="7"/>
  <c r="L882" i="7"/>
  <c r="L880" i="7"/>
  <c r="L199" i="7"/>
  <c r="L343" i="7"/>
  <c r="L427" i="7"/>
  <c r="L655" i="7"/>
  <c r="L943" i="7"/>
  <c r="L828" i="7"/>
  <c r="L317" i="7"/>
  <c r="L533" i="7"/>
  <c r="L749" i="7"/>
  <c r="L850" i="7"/>
  <c r="L123" i="7"/>
  <c r="L339" i="7"/>
  <c r="L531" i="7"/>
  <c r="L687" i="7"/>
  <c r="L819" i="7"/>
  <c r="L984" i="7"/>
  <c r="L192" i="7"/>
  <c r="L66" i="7"/>
  <c r="L856" i="7"/>
  <c r="L103" i="7"/>
  <c r="L367" i="7"/>
  <c r="L451" i="7"/>
  <c r="L631" i="7"/>
  <c r="L919" i="7"/>
  <c r="L221" i="7"/>
  <c r="L437" i="7"/>
  <c r="L653" i="7"/>
  <c r="L869" i="7"/>
  <c r="L826" i="7"/>
  <c r="L183" i="7"/>
  <c r="L243" i="7"/>
  <c r="L399" i="7"/>
  <c r="L459" i="7"/>
  <c r="L507" i="7"/>
  <c r="L663" i="7"/>
  <c r="L795" i="7"/>
  <c r="L975" i="7"/>
  <c r="L140" i="7"/>
  <c r="L692" i="7"/>
  <c r="L752" i="7"/>
  <c r="L200" i="7"/>
  <c r="L877" i="7"/>
  <c r="L239" i="7"/>
  <c r="L335" i="7"/>
  <c r="L527" i="7"/>
  <c r="L623" i="7"/>
  <c r="L815" i="7"/>
  <c r="L911" i="7"/>
  <c r="L700" i="7"/>
  <c r="L913" i="7"/>
  <c r="L210" i="7"/>
  <c r="L268" i="7"/>
  <c r="L129" i="7"/>
  <c r="L297" i="7"/>
  <c r="L345" i="7"/>
  <c r="L218" i="7"/>
  <c r="L734" i="7"/>
  <c r="L926" i="7"/>
  <c r="L321" i="7"/>
  <c r="L986" i="7"/>
  <c r="L534" i="7"/>
  <c r="L630" i="7"/>
  <c r="L726" i="7"/>
  <c r="L822" i="7"/>
  <c r="L918" i="7"/>
  <c r="L832" i="7"/>
  <c r="L163" i="7"/>
  <c r="L607" i="7"/>
  <c r="L895" i="7"/>
  <c r="L936" i="7"/>
  <c r="L281" i="7"/>
  <c r="L497" i="7"/>
  <c r="L713" i="7"/>
  <c r="L929" i="7"/>
  <c r="L87" i="7"/>
  <c r="L303" i="7"/>
  <c r="L483" i="7"/>
  <c r="L639" i="7"/>
  <c r="L771" i="7"/>
  <c r="L927" i="7"/>
  <c r="L848" i="7"/>
  <c r="L920" i="7"/>
  <c r="L969" i="7"/>
  <c r="L524" i="7"/>
  <c r="L203" i="7"/>
  <c r="L491" i="7"/>
  <c r="L779" i="7"/>
  <c r="L337" i="7"/>
  <c r="L796" i="7"/>
  <c r="L777" i="7"/>
  <c r="L47" i="7"/>
  <c r="L86" i="7"/>
  <c r="L470" i="7"/>
  <c r="L409" i="7"/>
  <c r="L474" i="7"/>
  <c r="L570" i="7"/>
  <c r="L666" i="7"/>
  <c r="L762" i="7"/>
  <c r="L858" i="7"/>
  <c r="L940" i="7"/>
  <c r="L67" i="7"/>
  <c r="L283" i="7"/>
  <c r="L583" i="7"/>
  <c r="L871" i="7"/>
  <c r="L912" i="7"/>
  <c r="L982" i="7"/>
  <c r="L185" i="7"/>
  <c r="L401" i="7"/>
  <c r="L617" i="7"/>
  <c r="L833" i="7"/>
  <c r="L147" i="7"/>
  <c r="L207" i="7"/>
  <c r="L363" i="7"/>
  <c r="L423" i="7"/>
  <c r="L615" i="7"/>
  <c r="L747" i="7"/>
  <c r="L903" i="7"/>
  <c r="L966" i="7"/>
  <c r="L790" i="7"/>
  <c r="L354" i="7"/>
  <c r="L805" i="7"/>
  <c r="L916" i="7"/>
  <c r="L127" i="7"/>
  <c r="L307" i="7"/>
  <c r="L391" i="7"/>
  <c r="L559" i="7"/>
  <c r="L847" i="7"/>
  <c r="L888" i="7"/>
  <c r="L979" i="7"/>
  <c r="L245" i="7"/>
  <c r="L461" i="7"/>
  <c r="L677" i="7"/>
  <c r="L893" i="7"/>
  <c r="L51" i="7"/>
  <c r="L267" i="7"/>
  <c r="L591" i="7"/>
  <c r="L723" i="7"/>
  <c r="L879" i="7"/>
  <c r="L963" i="7"/>
  <c r="L390" i="7"/>
  <c r="L263" i="7"/>
  <c r="L455" i="7"/>
  <c r="L551" i="7"/>
  <c r="L743" i="7"/>
  <c r="L839" i="7"/>
  <c r="L469" i="7"/>
  <c r="L760" i="7"/>
  <c r="L628" i="7"/>
  <c r="L741" i="7"/>
  <c r="L59" i="7"/>
  <c r="L155" i="7"/>
  <c r="L352" i="7"/>
  <c r="L412" i="7"/>
  <c r="L482" i="7"/>
  <c r="L782" i="7"/>
  <c r="L830" i="7"/>
  <c r="L890" i="7"/>
  <c r="L510" i="7"/>
  <c r="L606" i="7"/>
  <c r="L702" i="7"/>
  <c r="L798" i="7"/>
  <c r="L894" i="7"/>
  <c r="L892" i="7"/>
  <c r="L945" i="7"/>
  <c r="L247" i="7"/>
  <c r="L331" i="7"/>
  <c r="L439" i="7"/>
  <c r="L535" i="7"/>
  <c r="L823" i="7"/>
  <c r="L864" i="7"/>
  <c r="L976" i="7"/>
  <c r="L149" i="7"/>
  <c r="L365" i="7"/>
  <c r="L581" i="7"/>
  <c r="L797" i="7"/>
  <c r="L111" i="7"/>
  <c r="L171" i="7"/>
  <c r="L327" i="7"/>
  <c r="L387" i="7"/>
  <c r="L567" i="7"/>
  <c r="L699" i="7"/>
  <c r="L855" i="7"/>
  <c r="L960" i="7"/>
  <c r="L608" i="7"/>
  <c r="L80" i="7"/>
  <c r="L109" i="7"/>
  <c r="L419" i="7"/>
  <c r="L707" i="7"/>
  <c r="L116" i="7"/>
  <c r="L724" i="7"/>
  <c r="L397" i="7"/>
  <c r="L661" i="7"/>
  <c r="L441" i="7"/>
  <c r="L621" i="7"/>
  <c r="L546" i="7"/>
  <c r="L642" i="7"/>
  <c r="L738" i="7"/>
  <c r="L834" i="7"/>
  <c r="L930" i="7"/>
  <c r="L868" i="7"/>
  <c r="L989" i="7"/>
  <c r="L921" i="7"/>
  <c r="L91" i="7"/>
  <c r="L511" i="7"/>
  <c r="L799" i="7"/>
  <c r="L840" i="7"/>
  <c r="L970" i="7"/>
  <c r="L209" i="7"/>
  <c r="L425" i="7"/>
  <c r="L641" i="7"/>
  <c r="L857" i="7"/>
  <c r="L231" i="7"/>
  <c r="L447" i="7"/>
  <c r="L543" i="7"/>
  <c r="L675" i="7"/>
  <c r="L831" i="7"/>
  <c r="L957" i="7"/>
  <c r="L205" i="7"/>
  <c r="L301" i="7"/>
  <c r="L844" i="7"/>
  <c r="L980" i="7"/>
  <c r="L897" i="7"/>
  <c r="L211" i="7"/>
  <c r="L487" i="7"/>
  <c r="L775" i="7"/>
  <c r="L816" i="7"/>
  <c r="L967" i="7"/>
  <c r="L329" i="7"/>
  <c r="L545" i="7"/>
  <c r="L761" i="7"/>
  <c r="L75" i="7"/>
  <c r="L135" i="7"/>
  <c r="L291" i="7"/>
  <c r="L351" i="7"/>
  <c r="L519" i="7"/>
  <c r="L651" i="7"/>
  <c r="L807" i="7"/>
  <c r="L939" i="7"/>
  <c r="L951" i="7"/>
  <c r="L718" i="7"/>
  <c r="L680" i="7"/>
  <c r="L414" i="7"/>
  <c r="L191" i="7"/>
  <c r="L383" i="7"/>
  <c r="L479" i="7"/>
  <c r="L671" i="7"/>
  <c r="L767" i="7"/>
  <c r="L959" i="7"/>
  <c r="L769" i="7"/>
  <c r="L784" i="7"/>
  <c r="L229" i="7"/>
  <c r="L765" i="7"/>
  <c r="L493" i="7"/>
  <c r="L673" i="7"/>
  <c r="L304" i="7"/>
  <c r="L568" i="7"/>
  <c r="L698" i="7"/>
  <c r="L746" i="7"/>
  <c r="L705" i="7"/>
  <c r="L758" i="7"/>
  <c r="L486" i="7"/>
  <c r="L582" i="7"/>
  <c r="L678" i="7"/>
  <c r="L774" i="7"/>
  <c r="L870" i="7"/>
  <c r="L977" i="7"/>
  <c r="L873" i="7"/>
  <c r="L55" i="7"/>
  <c r="L271" i="7"/>
  <c r="L379" i="7"/>
  <c r="L463" i="7"/>
  <c r="L751" i="7"/>
  <c r="L924" i="7"/>
  <c r="L958" i="7"/>
  <c r="L173" i="7"/>
  <c r="L389" i="7"/>
  <c r="L605" i="7"/>
  <c r="L821" i="7"/>
  <c r="L195" i="7"/>
  <c r="L411" i="7"/>
  <c r="L495" i="7"/>
  <c r="L627" i="7"/>
  <c r="L783" i="7"/>
  <c r="L915" i="7"/>
  <c r="L884" i="7"/>
  <c r="L948" i="7"/>
  <c r="L764" i="7"/>
  <c r="L347" i="7"/>
  <c r="L635" i="7"/>
  <c r="L923" i="7"/>
  <c r="L794" i="7"/>
  <c r="L522" i="7"/>
  <c r="L618" i="7"/>
  <c r="L714" i="7"/>
  <c r="L810" i="7"/>
  <c r="L906" i="7"/>
  <c r="L968" i="7"/>
  <c r="L849" i="7"/>
  <c r="L175" i="7"/>
  <c r="L295" i="7"/>
  <c r="L403" i="7"/>
  <c r="L727" i="7"/>
  <c r="L900" i="7"/>
  <c r="L955" i="7"/>
  <c r="L293" i="7"/>
  <c r="L509" i="7"/>
  <c r="L725" i="7"/>
  <c r="L941" i="7"/>
  <c r="L922" i="7"/>
  <c r="L99" i="7"/>
  <c r="L255" i="7"/>
  <c r="L315" i="7"/>
  <c r="L471" i="7"/>
  <c r="L603" i="7"/>
  <c r="L759" i="7"/>
  <c r="L891" i="7"/>
  <c r="L928" i="7"/>
  <c r="L825" i="7"/>
  <c r="L235" i="7"/>
  <c r="L703" i="7"/>
  <c r="L353" i="7"/>
  <c r="L569" i="7"/>
  <c r="L785" i="7"/>
  <c r="L898" i="7"/>
  <c r="L375" i="7"/>
  <c r="L579" i="7"/>
  <c r="L735" i="7"/>
  <c r="L867" i="7"/>
  <c r="L802" i="7"/>
  <c r="L325" i="7"/>
  <c r="L198" i="7"/>
  <c r="L956" i="7"/>
  <c r="L876" i="7"/>
  <c r="L137" i="7"/>
  <c r="L159" i="7"/>
  <c r="L242" i="7"/>
  <c r="L56" i="7"/>
  <c r="L306" i="7"/>
  <c r="L54" i="7"/>
  <c r="L311" i="7"/>
  <c r="L407" i="7"/>
  <c r="L599" i="7"/>
  <c r="L695" i="7"/>
  <c r="L887" i="7"/>
  <c r="L983" i="7"/>
  <c r="L560" i="7"/>
  <c r="L676" i="7"/>
  <c r="L357" i="7"/>
  <c r="L380" i="7"/>
  <c r="L464" i="7"/>
  <c r="L349" i="7"/>
  <c r="L421" i="7"/>
  <c r="L256" i="7"/>
  <c r="L62" i="7"/>
  <c r="L266" i="7"/>
  <c r="L818" i="7"/>
  <c r="L878" i="7"/>
  <c r="L548" i="7"/>
  <c r="L438" i="7"/>
  <c r="L462" i="7"/>
  <c r="L558" i="7"/>
  <c r="L654" i="7"/>
  <c r="L750" i="7"/>
  <c r="L846" i="7"/>
  <c r="L942" i="7"/>
  <c r="L904" i="7"/>
  <c r="L953" i="7"/>
  <c r="L139" i="7"/>
  <c r="L319" i="7"/>
  <c r="L679" i="7"/>
  <c r="L852" i="7"/>
  <c r="L257" i="7"/>
  <c r="L473" i="7"/>
  <c r="L689" i="7"/>
  <c r="L905" i="7"/>
  <c r="L874" i="7"/>
  <c r="L63" i="7"/>
  <c r="L219" i="7"/>
  <c r="L279" i="7"/>
  <c r="L435" i="7"/>
  <c r="L555" i="7"/>
  <c r="L711" i="7"/>
  <c r="L843" i="7"/>
  <c r="L987" i="7"/>
  <c r="C3" i="7"/>
  <c r="H3" i="7" s="1"/>
  <c r="H2" i="7"/>
  <c r="I490" i="7"/>
  <c r="I526" i="7"/>
  <c r="I562" i="7"/>
  <c r="I598" i="7"/>
  <c r="I634" i="7"/>
  <c r="I670" i="7"/>
  <c r="I706" i="7"/>
  <c r="I742" i="7"/>
  <c r="I778" i="7"/>
  <c r="I814" i="7"/>
  <c r="I850" i="7"/>
  <c r="I886" i="7"/>
  <c r="I922" i="7"/>
  <c r="I951" i="7"/>
  <c r="I954" i="7"/>
  <c r="I963" i="7"/>
  <c r="I966" i="7"/>
  <c r="I975" i="7"/>
  <c r="I978" i="7"/>
  <c r="I987" i="7"/>
  <c r="I107" i="7"/>
  <c r="I208" i="7"/>
  <c r="I532" i="7"/>
  <c r="I664" i="7"/>
  <c r="I115" i="7"/>
  <c r="I199" i="7"/>
  <c r="I343" i="7"/>
  <c r="I379" i="7"/>
  <c r="I427" i="7"/>
  <c r="I583" i="7"/>
  <c r="I96" i="7"/>
  <c r="I144" i="7"/>
  <c r="I372" i="7"/>
  <c r="I504" i="7"/>
  <c r="I209" i="7"/>
  <c r="I557" i="7"/>
  <c r="I51" i="7"/>
  <c r="I123" i="7"/>
  <c r="I195" i="7"/>
  <c r="I267" i="7"/>
  <c r="I339" i="7"/>
  <c r="I411" i="7"/>
  <c r="I483" i="7"/>
  <c r="I555" i="7"/>
  <c r="I627" i="7"/>
  <c r="I699" i="7"/>
  <c r="I771" i="7"/>
  <c r="I104" i="7"/>
  <c r="I64" i="7"/>
  <c r="I328" i="7"/>
  <c r="I904" i="7"/>
  <c r="I165" i="7"/>
  <c r="I158" i="7"/>
  <c r="I67" i="7"/>
  <c r="I259" i="7"/>
  <c r="I355" i="7"/>
  <c r="I619" i="7"/>
  <c r="I108" i="7"/>
  <c r="I156" i="7"/>
  <c r="I204" i="7"/>
  <c r="I396" i="7"/>
  <c r="I492" i="7"/>
  <c r="I624" i="7"/>
  <c r="I77" i="7"/>
  <c r="I245" i="7"/>
  <c r="I329" i="7"/>
  <c r="I593" i="7"/>
  <c r="I56" i="7"/>
  <c r="I73" i="7"/>
  <c r="I133" i="7"/>
  <c r="I205" i="7"/>
  <c r="I265" i="7"/>
  <c r="I517" i="7"/>
  <c r="I649" i="7"/>
  <c r="I721" i="7"/>
  <c r="I793" i="7"/>
  <c r="I47" i="7"/>
  <c r="I479" i="7"/>
  <c r="I611" i="7"/>
  <c r="I683" i="7"/>
  <c r="I755" i="7"/>
  <c r="I179" i="7"/>
  <c r="I251" i="7"/>
  <c r="I323" i="7"/>
  <c r="I472" i="7"/>
  <c r="I676" i="7"/>
  <c r="I285" i="7"/>
  <c r="I163" i="7"/>
  <c r="I475" i="7"/>
  <c r="I595" i="7"/>
  <c r="I312" i="7"/>
  <c r="I408" i="7"/>
  <c r="I600" i="7"/>
  <c r="I660" i="7"/>
  <c r="I684" i="7"/>
  <c r="I89" i="7"/>
  <c r="I353" i="7"/>
  <c r="I737" i="7"/>
  <c r="I111" i="7"/>
  <c r="I183" i="7"/>
  <c r="I255" i="7"/>
  <c r="I327" i="7"/>
  <c r="I399" i="7"/>
  <c r="I471" i="7"/>
  <c r="I543" i="7"/>
  <c r="I615" i="7"/>
  <c r="I687" i="7"/>
  <c r="I759" i="7"/>
  <c r="I173" i="7"/>
  <c r="I167" i="7"/>
  <c r="I76" i="7"/>
  <c r="I340" i="7"/>
  <c r="I400" i="7"/>
  <c r="I712" i="7"/>
  <c r="I844" i="7"/>
  <c r="I110" i="7"/>
  <c r="I415" i="7"/>
  <c r="I300" i="7"/>
  <c r="I468" i="7"/>
  <c r="I528" i="7"/>
  <c r="I564" i="7"/>
  <c r="I389" i="7"/>
  <c r="I61" i="7"/>
  <c r="I193" i="7"/>
  <c r="I253" i="7"/>
  <c r="I325" i="7"/>
  <c r="I385" i="7"/>
  <c r="I445" i="7"/>
  <c r="I505" i="7"/>
  <c r="I577" i="7"/>
  <c r="I637" i="7"/>
  <c r="I709" i="7"/>
  <c r="I781" i="7"/>
  <c r="I175" i="7"/>
  <c r="I708" i="7"/>
  <c r="I589" i="7"/>
  <c r="I599" i="7"/>
  <c r="I671" i="7"/>
  <c r="I131" i="7"/>
  <c r="I191" i="7"/>
  <c r="I395" i="7"/>
  <c r="I688" i="7"/>
  <c r="I127" i="7"/>
  <c r="I307" i="7"/>
  <c r="I439" i="7"/>
  <c r="I559" i="7"/>
  <c r="I607" i="7"/>
  <c r="I252" i="7"/>
  <c r="I516" i="7"/>
  <c r="I576" i="7"/>
  <c r="I636" i="7"/>
  <c r="I53" i="7"/>
  <c r="I221" i="7"/>
  <c r="I269" i="7"/>
  <c r="I99" i="7"/>
  <c r="I171" i="7"/>
  <c r="I243" i="7"/>
  <c r="I315" i="7"/>
  <c r="I387" i="7"/>
  <c r="I459" i="7"/>
  <c r="I531" i="7"/>
  <c r="I603" i="7"/>
  <c r="I675" i="7"/>
  <c r="I747" i="7"/>
  <c r="I563" i="7"/>
  <c r="I916" i="7"/>
  <c r="I239" i="7"/>
  <c r="I299" i="7"/>
  <c r="I575" i="7"/>
  <c r="I88" i="7"/>
  <c r="I352" i="7"/>
  <c r="I412" i="7"/>
  <c r="I724" i="7"/>
  <c r="I336" i="7"/>
  <c r="I485" i="7"/>
  <c r="I569" i="7"/>
  <c r="I605" i="7"/>
  <c r="I49" i="7"/>
  <c r="I121" i="7"/>
  <c r="I181" i="7"/>
  <c r="I241" i="7"/>
  <c r="I313" i="7"/>
  <c r="I373" i="7"/>
  <c r="I433" i="7"/>
  <c r="I493" i="7"/>
  <c r="I565" i="7"/>
  <c r="I625" i="7"/>
  <c r="I697" i="7"/>
  <c r="I769" i="7"/>
  <c r="I228" i="7"/>
  <c r="I587" i="7"/>
  <c r="I659" i="7"/>
  <c r="I731" i="7"/>
  <c r="I803" i="7"/>
  <c r="I143" i="7"/>
  <c r="I203" i="7"/>
  <c r="I275" i="7"/>
  <c r="I364" i="7"/>
  <c r="I880" i="7"/>
  <c r="I940" i="7"/>
  <c r="I105" i="7"/>
  <c r="I237" i="7"/>
  <c r="I98" i="7"/>
  <c r="I91" i="7"/>
  <c r="I403" i="7"/>
  <c r="I72" i="7"/>
  <c r="I120" i="7"/>
  <c r="I216" i="7"/>
  <c r="I420" i="7"/>
  <c r="I456" i="7"/>
  <c r="I552" i="7"/>
  <c r="I149" i="7"/>
  <c r="I281" i="7"/>
  <c r="I365" i="7"/>
  <c r="I581" i="7"/>
  <c r="I87" i="7"/>
  <c r="I159" i="7"/>
  <c r="I231" i="7"/>
  <c r="I303" i="7"/>
  <c r="I375" i="7"/>
  <c r="I447" i="7"/>
  <c r="I519" i="7"/>
  <c r="I591" i="7"/>
  <c r="I663" i="7"/>
  <c r="I735" i="7"/>
  <c r="I703" i="7"/>
  <c r="I383" i="7"/>
  <c r="I443" i="7"/>
  <c r="I100" i="7"/>
  <c r="I292" i="7"/>
  <c r="I544" i="7"/>
  <c r="I604" i="7"/>
  <c r="I736" i="7"/>
  <c r="I122" i="7"/>
  <c r="I331" i="7"/>
  <c r="I487" i="7"/>
  <c r="I132" i="7"/>
  <c r="I180" i="7"/>
  <c r="I444" i="7"/>
  <c r="I137" i="7"/>
  <c r="I305" i="7"/>
  <c r="I533" i="7"/>
  <c r="I92" i="7"/>
  <c r="I109" i="7"/>
  <c r="I169" i="7"/>
  <c r="I301" i="7"/>
  <c r="I361" i="7"/>
  <c r="I421" i="7"/>
  <c r="I481" i="7"/>
  <c r="I553" i="7"/>
  <c r="I613" i="7"/>
  <c r="I685" i="7"/>
  <c r="I757" i="7"/>
  <c r="I71" i="7"/>
  <c r="I647" i="7"/>
  <c r="I719" i="7"/>
  <c r="I791" i="7"/>
  <c r="I551" i="7"/>
  <c r="I748" i="7"/>
  <c r="I309" i="7"/>
  <c r="I381" i="7"/>
  <c r="I119" i="7"/>
  <c r="I244" i="7"/>
  <c r="I316" i="7"/>
  <c r="I460" i="7"/>
  <c r="I134" i="7"/>
  <c r="I215" i="7"/>
  <c r="I287" i="7"/>
  <c r="I359" i="7"/>
  <c r="I419" i="7"/>
  <c r="I376" i="7"/>
  <c r="I436" i="7"/>
  <c r="I832" i="7"/>
  <c r="I952" i="7"/>
  <c r="I50" i="7"/>
  <c r="I55" i="7"/>
  <c r="I223" i="7"/>
  <c r="I271" i="7"/>
  <c r="I535" i="7"/>
  <c r="I571" i="7"/>
  <c r="I360" i="7"/>
  <c r="I588" i="7"/>
  <c r="I648" i="7"/>
  <c r="I113" i="7"/>
  <c r="I197" i="7"/>
  <c r="I449" i="7"/>
  <c r="I497" i="7"/>
  <c r="I653" i="7"/>
  <c r="I75" i="7"/>
  <c r="I147" i="7"/>
  <c r="I219" i="7"/>
  <c r="I291" i="7"/>
  <c r="I363" i="7"/>
  <c r="I435" i="7"/>
  <c r="I507" i="7"/>
  <c r="I579" i="7"/>
  <c r="I651" i="7"/>
  <c r="I723" i="7"/>
  <c r="I795" i="7"/>
  <c r="I785" i="7"/>
  <c r="I263" i="7"/>
  <c r="I503" i="7"/>
  <c r="I172" i="7"/>
  <c r="I232" i="7"/>
  <c r="I304" i="7"/>
  <c r="I247" i="7"/>
  <c r="I391" i="7"/>
  <c r="I499" i="7"/>
  <c r="I348" i="7"/>
  <c r="I480" i="7"/>
  <c r="I612" i="7"/>
  <c r="I65" i="7"/>
  <c r="I413" i="7"/>
  <c r="I80" i="7"/>
  <c r="I97" i="7"/>
  <c r="I157" i="7"/>
  <c r="I229" i="7"/>
  <c r="I289" i="7"/>
  <c r="I349" i="7"/>
  <c r="I409" i="7"/>
  <c r="I469" i="7"/>
  <c r="I541" i="7"/>
  <c r="I601" i="7"/>
  <c r="I673" i="7"/>
  <c r="I745" i="7"/>
  <c r="I341" i="7"/>
  <c r="I567" i="7"/>
  <c r="I661" i="7"/>
  <c r="I227" i="7"/>
  <c r="I520" i="7"/>
  <c r="I62" i="7"/>
  <c r="I495" i="7"/>
  <c r="I79" i="7"/>
  <c r="I423" i="7"/>
  <c r="I337" i="7"/>
  <c r="I405" i="7"/>
  <c r="I136" i="7"/>
  <c r="I129" i="7"/>
  <c r="I194" i="7"/>
  <c r="I266" i="7"/>
  <c r="I338" i="7"/>
  <c r="I410" i="7"/>
  <c r="I482" i="7"/>
  <c r="I554" i="7"/>
  <c r="I626" i="7"/>
  <c r="I698" i="7"/>
  <c r="I770" i="7"/>
  <c r="I842" i="7"/>
  <c r="I914" i="7"/>
  <c r="I986" i="7"/>
  <c r="I787" i="7"/>
  <c r="I768" i="7"/>
  <c r="I455" i="7"/>
  <c r="I515" i="7"/>
  <c r="I616" i="7"/>
  <c r="I820" i="7"/>
  <c r="I964" i="7"/>
  <c r="I69" i="7"/>
  <c r="I201" i="7"/>
  <c r="I261" i="7"/>
  <c r="I463" i="7"/>
  <c r="I511" i="7"/>
  <c r="I667" i="7"/>
  <c r="I48" i="7"/>
  <c r="I101" i="7"/>
  <c r="I257" i="7"/>
  <c r="I437" i="7"/>
  <c r="I545" i="7"/>
  <c r="I641" i="7"/>
  <c r="I749" i="7"/>
  <c r="I833" i="7"/>
  <c r="I893" i="7"/>
  <c r="I371" i="7"/>
  <c r="I441" i="7"/>
  <c r="I971" i="7"/>
  <c r="I682" i="7"/>
  <c r="I895" i="7"/>
  <c r="I973" i="7"/>
  <c r="I766" i="7"/>
  <c r="I907" i="7"/>
  <c r="I677" i="7"/>
  <c r="I351" i="7"/>
  <c r="I85" i="7"/>
  <c r="I279" i="7"/>
  <c r="I293" i="7"/>
  <c r="I207" i="7"/>
  <c r="I213" i="7"/>
  <c r="I451" i="7"/>
  <c r="I324" i="7"/>
  <c r="I473" i="7"/>
  <c r="I393" i="7"/>
  <c r="I335" i="7"/>
  <c r="I182" i="7"/>
  <c r="I972" i="7"/>
  <c r="I901" i="7"/>
  <c r="I298" i="7"/>
  <c r="I394" i="7"/>
  <c r="I454" i="7"/>
  <c r="I956" i="7"/>
  <c r="I574" i="7"/>
  <c r="I841" i="7"/>
  <c r="I78" i="7"/>
  <c r="I114" i="7"/>
  <c r="I150" i="7"/>
  <c r="I186" i="7"/>
  <c r="I222" i="7"/>
  <c r="I258" i="7"/>
  <c r="I294" i="7"/>
  <c r="I330" i="7"/>
  <c r="I366" i="7"/>
  <c r="I402" i="7"/>
  <c r="I438" i="7"/>
  <c r="I474" i="7"/>
  <c r="I498" i="7"/>
  <c r="I522" i="7"/>
  <c r="I546" i="7"/>
  <c r="I570" i="7"/>
  <c r="I594" i="7"/>
  <c r="I618" i="7"/>
  <c r="I642" i="7"/>
  <c r="I666" i="7"/>
  <c r="I690" i="7"/>
  <c r="I714" i="7"/>
  <c r="I738" i="7"/>
  <c r="I762" i="7"/>
  <c r="I786" i="7"/>
  <c r="I810" i="7"/>
  <c r="I834" i="7"/>
  <c r="I858" i="7"/>
  <c r="I882" i="7"/>
  <c r="I906" i="7"/>
  <c r="I930" i="7"/>
  <c r="I961" i="7"/>
  <c r="I658" i="7"/>
  <c r="I853" i="7"/>
  <c r="I448" i="7"/>
  <c r="I135" i="7"/>
  <c r="I52" i="7"/>
  <c r="I211" i="7"/>
  <c r="I217" i="7"/>
  <c r="I397" i="7"/>
  <c r="I743" i="7"/>
  <c r="I160" i="7"/>
  <c r="I388" i="7"/>
  <c r="I86" i="7"/>
  <c r="I242" i="7"/>
  <c r="I314" i="7"/>
  <c r="I386" i="7"/>
  <c r="I458" i="7"/>
  <c r="I530" i="7"/>
  <c r="I602" i="7"/>
  <c r="I674" i="7"/>
  <c r="I746" i="7"/>
  <c r="I818" i="7"/>
  <c r="I890" i="7"/>
  <c r="I962" i="7"/>
  <c r="I763" i="7"/>
  <c r="I592" i="7"/>
  <c r="I744" i="7"/>
  <c r="I155" i="7"/>
  <c r="I527" i="7"/>
  <c r="I184" i="7"/>
  <c r="I640" i="7"/>
  <c r="I772" i="7"/>
  <c r="I988" i="7"/>
  <c r="I235" i="7"/>
  <c r="I523" i="7"/>
  <c r="I691" i="7"/>
  <c r="I60" i="7"/>
  <c r="I240" i="7"/>
  <c r="I317" i="7"/>
  <c r="I509" i="7"/>
  <c r="I821" i="7"/>
  <c r="I881" i="7"/>
  <c r="I929" i="7"/>
  <c r="I465" i="7"/>
  <c r="I489" i="7"/>
  <c r="I513" i="7"/>
  <c r="I537" i="7"/>
  <c r="I561" i="7"/>
  <c r="I585" i="7"/>
  <c r="I609" i="7"/>
  <c r="I633" i="7"/>
  <c r="I657" i="7"/>
  <c r="I681" i="7"/>
  <c r="I705" i="7"/>
  <c r="I729" i="7"/>
  <c r="I753" i="7"/>
  <c r="I777" i="7"/>
  <c r="I801" i="7"/>
  <c r="I825" i="7"/>
  <c r="I849" i="7"/>
  <c r="I873" i="7"/>
  <c r="I897" i="7"/>
  <c r="I921" i="7"/>
  <c r="I945" i="7"/>
  <c r="I969" i="7"/>
  <c r="I883" i="7"/>
  <c r="I947" i="7"/>
  <c r="I538" i="7"/>
  <c r="I958" i="7"/>
  <c r="I622" i="7"/>
  <c r="I835" i="7"/>
  <c r="I63" i="7"/>
  <c r="I145" i="7"/>
  <c r="I161" i="7"/>
  <c r="I432" i="7"/>
  <c r="I256" i="7"/>
  <c r="I556" i="7"/>
  <c r="I93" i="7"/>
  <c r="I225" i="7"/>
  <c r="I170" i="7"/>
  <c r="I230" i="7"/>
  <c r="I302" i="7"/>
  <c r="I374" i="7"/>
  <c r="I446" i="7"/>
  <c r="I518" i="7"/>
  <c r="I590" i="7"/>
  <c r="I662" i="7"/>
  <c r="I734" i="7"/>
  <c r="I806" i="7"/>
  <c r="I878" i="7"/>
  <c r="I950" i="7"/>
  <c r="I715" i="7"/>
  <c r="I751" i="7"/>
  <c r="I823" i="7"/>
  <c r="I700" i="7"/>
  <c r="I732" i="7"/>
  <c r="I491" i="7"/>
  <c r="I652" i="7"/>
  <c r="I177" i="7"/>
  <c r="I139" i="7"/>
  <c r="I187" i="7"/>
  <c r="I643" i="7"/>
  <c r="I384" i="7"/>
  <c r="I125" i="7"/>
  <c r="I185" i="7"/>
  <c r="I233" i="7"/>
  <c r="I461" i="7"/>
  <c r="I521" i="7"/>
  <c r="I617" i="7"/>
  <c r="I665" i="7"/>
  <c r="I725" i="7"/>
  <c r="I773" i="7"/>
  <c r="I869" i="7"/>
  <c r="I917" i="7"/>
  <c r="I977" i="7"/>
  <c r="I429" i="7"/>
  <c r="I957" i="7"/>
  <c r="I847" i="7"/>
  <c r="I898" i="7"/>
  <c r="I949" i="7"/>
  <c r="I550" i="7"/>
  <c r="I827" i="7"/>
  <c r="I863" i="7"/>
  <c r="I899" i="7"/>
  <c r="I935" i="7"/>
  <c r="I783" i="7"/>
  <c r="I407" i="7"/>
  <c r="I655" i="7"/>
  <c r="I68" i="7"/>
  <c r="I639" i="7"/>
  <c r="I733" i="7"/>
  <c r="I805" i="7"/>
  <c r="I701" i="7"/>
  <c r="I83" i="7"/>
  <c r="I59" i="7"/>
  <c r="I868" i="7"/>
  <c r="I218" i="7"/>
  <c r="I506" i="7"/>
  <c r="I794" i="7"/>
  <c r="I811" i="7"/>
  <c r="I792" i="7"/>
  <c r="I539" i="7"/>
  <c r="I796" i="7"/>
  <c r="I905" i="7"/>
  <c r="I965" i="7"/>
  <c r="I828" i="7"/>
  <c r="I82" i="7"/>
  <c r="I238" i="7"/>
  <c r="I610" i="7"/>
  <c r="I879" i="7"/>
  <c r="I140" i="7"/>
  <c r="I200" i="7"/>
  <c r="I356" i="7"/>
  <c r="I416" i="7"/>
  <c r="I572" i="7"/>
  <c r="I632" i="7"/>
  <c r="I788" i="7"/>
  <c r="I848" i="7"/>
  <c r="I162" i="7"/>
  <c r="I378" i="7"/>
  <c r="I582" i="7"/>
  <c r="I870" i="7"/>
  <c r="I910" i="7"/>
  <c r="I277" i="7"/>
  <c r="I623" i="7"/>
  <c r="I784" i="7"/>
  <c r="I804" i="7"/>
  <c r="I936" i="7"/>
  <c r="I142" i="7"/>
  <c r="I322" i="7"/>
  <c r="I983" i="7"/>
  <c r="I502" i="7"/>
  <c r="I855" i="7"/>
  <c r="I260" i="7"/>
  <c r="I476" i="7"/>
  <c r="I692" i="7"/>
  <c r="I908" i="7"/>
  <c r="I66" i="7"/>
  <c r="I282" i="7"/>
  <c r="I558" i="7"/>
  <c r="I846" i="7"/>
  <c r="I874" i="7"/>
  <c r="I369" i="7"/>
  <c r="I268" i="7"/>
  <c r="I278" i="7"/>
  <c r="I470" i="7"/>
  <c r="I566" i="7"/>
  <c r="I758" i="7"/>
  <c r="I854" i="7"/>
  <c r="I775" i="7"/>
  <c r="I540" i="7"/>
  <c r="I756" i="7"/>
  <c r="I311" i="7"/>
  <c r="I628" i="7"/>
  <c r="I808" i="7"/>
  <c r="I679" i="7"/>
  <c r="I192" i="7"/>
  <c r="I401" i="7"/>
  <c r="I713" i="7"/>
  <c r="I845" i="7"/>
  <c r="I989" i="7"/>
  <c r="I501" i="7"/>
  <c r="I597" i="7"/>
  <c r="I693" i="7"/>
  <c r="I789" i="7"/>
  <c r="I885" i="7"/>
  <c r="I912" i="7"/>
  <c r="I46" i="7"/>
  <c r="I202" i="7"/>
  <c r="I262" i="7"/>
  <c r="I346" i="7"/>
  <c r="I430" i="7"/>
  <c r="I980" i="7"/>
  <c r="I831" i="7"/>
  <c r="I164" i="7"/>
  <c r="I320" i="7"/>
  <c r="I380" i="7"/>
  <c r="I536" i="7"/>
  <c r="I596" i="7"/>
  <c r="I752" i="7"/>
  <c r="I812" i="7"/>
  <c r="I126" i="7"/>
  <c r="I342" i="7"/>
  <c r="I534" i="7"/>
  <c r="I822" i="7"/>
  <c r="I838" i="7"/>
  <c r="I457" i="7"/>
  <c r="I333" i="7"/>
  <c r="I434" i="7"/>
  <c r="I722" i="7"/>
  <c r="I739" i="7"/>
  <c r="I720" i="7"/>
  <c r="I761" i="7"/>
  <c r="I888" i="7"/>
  <c r="I106" i="7"/>
  <c r="I370" i="7"/>
  <c r="I968" i="7"/>
  <c r="I807" i="7"/>
  <c r="I224" i="7"/>
  <c r="I440" i="7"/>
  <c r="I656" i="7"/>
  <c r="I872" i="7"/>
  <c r="I246" i="7"/>
  <c r="I462" i="7"/>
  <c r="I510" i="7"/>
  <c r="I798" i="7"/>
  <c r="I802" i="7"/>
  <c r="I711" i="7"/>
  <c r="I695" i="7"/>
  <c r="I196" i="7"/>
  <c r="I297" i="7"/>
  <c r="I467" i="7"/>
  <c r="I280" i="7"/>
  <c r="I864" i="7"/>
  <c r="I937" i="7"/>
  <c r="I166" i="7"/>
  <c r="I226" i="7"/>
  <c r="I959" i="7"/>
  <c r="I939" i="7"/>
  <c r="I128" i="7"/>
  <c r="I284" i="7"/>
  <c r="I344" i="7"/>
  <c r="I500" i="7"/>
  <c r="I560" i="7"/>
  <c r="I716" i="7"/>
  <c r="I776" i="7"/>
  <c r="I932" i="7"/>
  <c r="I931" i="7"/>
  <c r="I90" i="7"/>
  <c r="I306" i="7"/>
  <c r="I486" i="7"/>
  <c r="I774" i="7"/>
  <c r="I730" i="7"/>
  <c r="I851" i="7"/>
  <c r="I875" i="7"/>
  <c r="I923" i="7"/>
  <c r="I116" i="7"/>
  <c r="I206" i="7"/>
  <c r="I398" i="7"/>
  <c r="I494" i="7"/>
  <c r="I686" i="7"/>
  <c r="I782" i="7"/>
  <c r="I974" i="7"/>
  <c r="I283" i="7"/>
  <c r="I799" i="7"/>
  <c r="I780" i="7"/>
  <c r="I57" i="7"/>
  <c r="I151" i="7"/>
  <c r="I547" i="7"/>
  <c r="I84" i="7"/>
  <c r="I264" i="7"/>
  <c r="I689" i="7"/>
  <c r="I953" i="7"/>
  <c r="I477" i="7"/>
  <c r="I573" i="7"/>
  <c r="I669" i="7"/>
  <c r="I765" i="7"/>
  <c r="I861" i="7"/>
  <c r="I840" i="7"/>
  <c r="I919" i="7"/>
  <c r="I70" i="7"/>
  <c r="I286" i="7"/>
  <c r="I934" i="7"/>
  <c r="I915" i="7"/>
  <c r="I188" i="7"/>
  <c r="I404" i="7"/>
  <c r="I620" i="7"/>
  <c r="I836" i="7"/>
  <c r="I913" i="7"/>
  <c r="I210" i="7"/>
  <c r="I426" i="7"/>
  <c r="I750" i="7"/>
  <c r="I985" i="7"/>
  <c r="I694" i="7"/>
  <c r="I943" i="7"/>
  <c r="I431" i="7"/>
  <c r="I779" i="7"/>
  <c r="I357" i="7"/>
  <c r="I484" i="7"/>
  <c r="I362" i="7"/>
  <c r="I650" i="7"/>
  <c r="I938" i="7"/>
  <c r="I112" i="7"/>
  <c r="I696" i="7"/>
  <c r="I295" i="7"/>
  <c r="I425" i="7"/>
  <c r="I809" i="7"/>
  <c r="I95" i="7"/>
  <c r="I453" i="7"/>
  <c r="I816" i="7"/>
  <c r="I865" i="7"/>
  <c r="I130" i="7"/>
  <c r="I190" i="7"/>
  <c r="I310" i="7"/>
  <c r="I418" i="7"/>
  <c r="I862" i="7"/>
  <c r="I891" i="7"/>
  <c r="I248" i="7"/>
  <c r="I308" i="7"/>
  <c r="I464" i="7"/>
  <c r="I524" i="7"/>
  <c r="I680" i="7"/>
  <c r="I740" i="7"/>
  <c r="I896" i="7"/>
  <c r="I877" i="7"/>
  <c r="I54" i="7"/>
  <c r="I270" i="7"/>
  <c r="I726" i="7"/>
  <c r="I982" i="7"/>
  <c r="I586" i="7"/>
  <c r="I925" i="7"/>
  <c r="I153" i="7"/>
  <c r="I635" i="7"/>
  <c r="I856" i="7"/>
  <c r="I321" i="7"/>
  <c r="I568" i="7"/>
  <c r="I74" i="7"/>
  <c r="I146" i="7"/>
  <c r="I984" i="7"/>
  <c r="I829" i="7"/>
  <c r="I250" i="7"/>
  <c r="I334" i="7"/>
  <c r="I442" i="7"/>
  <c r="I826" i="7"/>
  <c r="I867" i="7"/>
  <c r="I152" i="7"/>
  <c r="I368" i="7"/>
  <c r="I584" i="7"/>
  <c r="I800" i="7"/>
  <c r="I859" i="7"/>
  <c r="I174" i="7"/>
  <c r="I390" i="7"/>
  <c r="I702" i="7"/>
  <c r="I979" i="7"/>
  <c r="I514" i="7"/>
  <c r="I889" i="7"/>
  <c r="I124" i="7"/>
  <c r="I496" i="7"/>
  <c r="I117" i="7"/>
  <c r="I189" i="7"/>
  <c r="I326" i="7"/>
  <c r="I422" i="7"/>
  <c r="I614" i="7"/>
  <c r="I710" i="7"/>
  <c r="I902" i="7"/>
  <c r="I727" i="7"/>
  <c r="I760" i="7"/>
  <c r="I81" i="7"/>
  <c r="I249" i="7"/>
  <c r="I103" i="7"/>
  <c r="I367" i="7"/>
  <c r="I276" i="7"/>
  <c r="I672" i="7"/>
  <c r="I629" i="7"/>
  <c r="I549" i="7"/>
  <c r="I645" i="7"/>
  <c r="I741" i="7"/>
  <c r="I837" i="7"/>
  <c r="I933" i="7"/>
  <c r="I981" i="7"/>
  <c r="I924" i="7"/>
  <c r="I94" i="7"/>
  <c r="I154" i="7"/>
  <c r="I790" i="7"/>
  <c r="I843" i="7"/>
  <c r="I212" i="7"/>
  <c r="I272" i="7"/>
  <c r="I428" i="7"/>
  <c r="I488" i="7"/>
  <c r="I644" i="7"/>
  <c r="I704" i="7"/>
  <c r="I860" i="7"/>
  <c r="I920" i="7"/>
  <c r="I234" i="7"/>
  <c r="I450" i="7"/>
  <c r="I678" i="7"/>
  <c r="I970" i="7"/>
  <c r="I478" i="7"/>
  <c r="I871" i="7"/>
  <c r="I631" i="7"/>
  <c r="I288" i="7"/>
  <c r="I220" i="7"/>
  <c r="I580" i="7"/>
  <c r="I290" i="7"/>
  <c r="I578" i="7"/>
  <c r="I866" i="7"/>
  <c r="I168" i="7"/>
  <c r="I377" i="7"/>
  <c r="I857" i="7"/>
  <c r="I960" i="7"/>
  <c r="I900" i="7"/>
  <c r="I214" i="7"/>
  <c r="I358" i="7"/>
  <c r="I754" i="7"/>
  <c r="I819" i="7"/>
  <c r="I332" i="7"/>
  <c r="I548" i="7"/>
  <c r="I764" i="7"/>
  <c r="I138" i="7"/>
  <c r="I354" i="7"/>
  <c r="I654" i="7"/>
  <c r="I942" i="7"/>
  <c r="I967" i="7"/>
  <c r="I817" i="7"/>
  <c r="I948" i="7"/>
  <c r="I58" i="7"/>
  <c r="I118" i="7"/>
  <c r="I274" i="7"/>
  <c r="I382" i="7"/>
  <c r="I466" i="7"/>
  <c r="I176" i="7"/>
  <c r="I236" i="7"/>
  <c r="I392" i="7"/>
  <c r="I452" i="7"/>
  <c r="I608" i="7"/>
  <c r="I668" i="7"/>
  <c r="I824" i="7"/>
  <c r="I884" i="7"/>
  <c r="I198" i="7"/>
  <c r="I414" i="7"/>
  <c r="I630" i="7"/>
  <c r="I918" i="7"/>
  <c r="I815" i="7"/>
  <c r="I839" i="7"/>
  <c r="I887" i="7"/>
  <c r="I529" i="7"/>
  <c r="I417" i="7"/>
  <c r="I508" i="7"/>
  <c r="I928" i="7"/>
  <c r="I273" i="7"/>
  <c r="I876" i="7"/>
  <c r="I718" i="7"/>
  <c r="I927" i="7"/>
  <c r="I955" i="7"/>
  <c r="I911" i="7"/>
  <c r="I707" i="7"/>
  <c r="I767" i="7"/>
  <c r="I345" i="7"/>
  <c r="I347" i="7"/>
  <c r="I148" i="7"/>
  <c r="I424" i="7"/>
  <c r="I141" i="7"/>
  <c r="I254" i="7"/>
  <c r="I350" i="7"/>
  <c r="I542" i="7"/>
  <c r="I638" i="7"/>
  <c r="I830" i="7"/>
  <c r="I926" i="7"/>
  <c r="I892" i="7"/>
  <c r="I976" i="7"/>
  <c r="I319" i="7"/>
  <c r="I797" i="7"/>
  <c r="I941" i="7"/>
  <c r="I525" i="7"/>
  <c r="I621" i="7"/>
  <c r="I717" i="7"/>
  <c r="I813" i="7"/>
  <c r="I909" i="7"/>
  <c r="I852" i="7"/>
  <c r="I178" i="7"/>
  <c r="I406" i="7"/>
  <c r="I646" i="7"/>
  <c r="I903" i="7"/>
  <c r="I296" i="7"/>
  <c r="I512" i="7"/>
  <c r="I728" i="7"/>
  <c r="I944" i="7"/>
  <c r="I102" i="7"/>
  <c r="I318" i="7"/>
  <c r="I606" i="7"/>
  <c r="I894" i="7"/>
  <c r="I946" i="7"/>
  <c r="J922" i="7"/>
  <c r="J951" i="7"/>
  <c r="J963" i="7"/>
  <c r="J975" i="7"/>
  <c r="J987" i="7"/>
  <c r="J395" i="7"/>
  <c r="J599" i="7"/>
  <c r="J791" i="7"/>
  <c r="J911" i="7"/>
  <c r="J971" i="7"/>
  <c r="J208" i="7"/>
  <c r="J268" i="7"/>
  <c r="J290" i="7"/>
  <c r="J506" i="7"/>
  <c r="J638" i="7"/>
  <c r="J403" i="7"/>
  <c r="J595" i="7"/>
  <c r="J655" i="7"/>
  <c r="J168" i="7"/>
  <c r="J252" i="7"/>
  <c r="J300" i="7"/>
  <c r="J348" i="7"/>
  <c r="J420" i="7"/>
  <c r="J660" i="7"/>
  <c r="J94" i="7"/>
  <c r="J166" i="7"/>
  <c r="J238" i="7"/>
  <c r="J310" i="7"/>
  <c r="J382" i="7"/>
  <c r="J454" i="7"/>
  <c r="J526" i="7"/>
  <c r="J598" i="7"/>
  <c r="J670" i="7"/>
  <c r="J742" i="7"/>
  <c r="J282" i="7"/>
  <c r="J342" i="7"/>
  <c r="J462" i="7"/>
  <c r="J695" i="7"/>
  <c r="J767" i="7"/>
  <c r="J458" i="7"/>
  <c r="J518" i="7"/>
  <c r="J662" i="7"/>
  <c r="J295" i="7"/>
  <c r="J427" i="7"/>
  <c r="J523" i="7"/>
  <c r="J559" i="7"/>
  <c r="J432" i="7"/>
  <c r="J468" i="7"/>
  <c r="J116" i="7"/>
  <c r="J176" i="7"/>
  <c r="J236" i="7"/>
  <c r="J308" i="7"/>
  <c r="J368" i="7"/>
  <c r="J428" i="7"/>
  <c r="J488" i="7"/>
  <c r="J560" i="7"/>
  <c r="J620" i="7"/>
  <c r="J692" i="7"/>
  <c r="J764" i="7"/>
  <c r="J582" i="7"/>
  <c r="J654" i="7"/>
  <c r="J726" i="7"/>
  <c r="J798" i="7"/>
  <c r="J95" i="7"/>
  <c r="J407" i="7"/>
  <c r="J923" i="7"/>
  <c r="J81" i="7"/>
  <c r="J350" i="7"/>
  <c r="J386" i="7"/>
  <c r="J434" i="7"/>
  <c r="J55" i="7"/>
  <c r="J103" i="7"/>
  <c r="J151" i="7"/>
  <c r="J571" i="7"/>
  <c r="J631" i="7"/>
  <c r="J216" i="7"/>
  <c r="J564" i="7"/>
  <c r="J82" i="7"/>
  <c r="J154" i="7"/>
  <c r="J226" i="7"/>
  <c r="J298" i="7"/>
  <c r="J370" i="7"/>
  <c r="J442" i="7"/>
  <c r="J514" i="7"/>
  <c r="J586" i="7"/>
  <c r="J658" i="7"/>
  <c r="J730" i="7"/>
  <c r="J802" i="7"/>
  <c r="J803" i="7"/>
  <c r="J102" i="7"/>
  <c r="J426" i="7"/>
  <c r="J534" i="7"/>
  <c r="J263" i="7"/>
  <c r="J52" i="7"/>
  <c r="J172" i="7"/>
  <c r="J57" i="7"/>
  <c r="J74" i="7"/>
  <c r="J182" i="7"/>
  <c r="J266" i="7"/>
  <c r="J314" i="7"/>
  <c r="J362" i="7"/>
  <c r="J530" i="7"/>
  <c r="J590" i="7"/>
  <c r="J626" i="7"/>
  <c r="J48" i="7"/>
  <c r="J84" i="7"/>
  <c r="J156" i="7"/>
  <c r="J336" i="7"/>
  <c r="J87" i="7"/>
  <c r="J104" i="7"/>
  <c r="J164" i="7"/>
  <c r="J296" i="7"/>
  <c r="J356" i="7"/>
  <c r="J416" i="7"/>
  <c r="J476" i="7"/>
  <c r="J548" i="7"/>
  <c r="J608" i="7"/>
  <c r="J680" i="7"/>
  <c r="J752" i="7"/>
  <c r="J642" i="7"/>
  <c r="J167" i="7"/>
  <c r="J227" i="7"/>
  <c r="J743" i="7"/>
  <c r="J86" i="7"/>
  <c r="J482" i="7"/>
  <c r="J415" i="7"/>
  <c r="J451" i="7"/>
  <c r="J487" i="7"/>
  <c r="J96" i="7"/>
  <c r="J360" i="7"/>
  <c r="J480" i="7"/>
  <c r="J528" i="7"/>
  <c r="J900" i="7"/>
  <c r="J70" i="7"/>
  <c r="J142" i="7"/>
  <c r="J214" i="7"/>
  <c r="J286" i="7"/>
  <c r="J358" i="7"/>
  <c r="J430" i="7"/>
  <c r="J502" i="7"/>
  <c r="J574" i="7"/>
  <c r="J646" i="7"/>
  <c r="J718" i="7"/>
  <c r="J790" i="7"/>
  <c r="J324" i="7"/>
  <c r="J114" i="7"/>
  <c r="J184" i="7"/>
  <c r="J674" i="7"/>
  <c r="J79" i="7"/>
  <c r="J223" i="7"/>
  <c r="J439" i="7"/>
  <c r="J535" i="7"/>
  <c r="J396" i="7"/>
  <c r="J75" i="7"/>
  <c r="J92" i="7"/>
  <c r="J152" i="7"/>
  <c r="J224" i="7"/>
  <c r="J284" i="7"/>
  <c r="J344" i="7"/>
  <c r="J404" i="7"/>
  <c r="J464" i="7"/>
  <c r="J536" i="7"/>
  <c r="J596" i="7"/>
  <c r="J668" i="7"/>
  <c r="J740" i="7"/>
  <c r="J812" i="7"/>
  <c r="J546" i="7"/>
  <c r="J630" i="7"/>
  <c r="J702" i="7"/>
  <c r="J774" i="7"/>
  <c r="J239" i="7"/>
  <c r="J755" i="7"/>
  <c r="J134" i="7"/>
  <c r="J446" i="7"/>
  <c r="J259" i="7"/>
  <c r="J643" i="7"/>
  <c r="J667" i="7"/>
  <c r="J60" i="7"/>
  <c r="J228" i="7"/>
  <c r="J672" i="7"/>
  <c r="J58" i="7"/>
  <c r="J130" i="7"/>
  <c r="J202" i="7"/>
  <c r="J274" i="7"/>
  <c r="J346" i="7"/>
  <c r="J418" i="7"/>
  <c r="J490" i="7"/>
  <c r="J562" i="7"/>
  <c r="J634" i="7"/>
  <c r="J706" i="7"/>
  <c r="J778" i="7"/>
  <c r="J516" i="7"/>
  <c r="J111" i="7"/>
  <c r="J126" i="7"/>
  <c r="J306" i="7"/>
  <c r="J359" i="7"/>
  <c r="J419" i="7"/>
  <c r="J76" i="7"/>
  <c r="J136" i="7"/>
  <c r="J146" i="7"/>
  <c r="J554" i="7"/>
  <c r="J235" i="7"/>
  <c r="J379" i="7"/>
  <c r="J475" i="7"/>
  <c r="J691" i="7"/>
  <c r="J264" i="7"/>
  <c r="J576" i="7"/>
  <c r="J612" i="7"/>
  <c r="J63" i="7"/>
  <c r="J80" i="7"/>
  <c r="J140" i="7"/>
  <c r="J212" i="7"/>
  <c r="J272" i="7"/>
  <c r="J332" i="7"/>
  <c r="J392" i="7"/>
  <c r="J524" i="7"/>
  <c r="J656" i="7"/>
  <c r="J728" i="7"/>
  <c r="J800" i="7"/>
  <c r="J64" i="7"/>
  <c r="J343" i="7"/>
  <c r="J618" i="7"/>
  <c r="J690" i="7"/>
  <c r="J762" i="7"/>
  <c r="J352" i="7"/>
  <c r="J390" i="7"/>
  <c r="J659" i="7"/>
  <c r="J983" i="7"/>
  <c r="J148" i="7"/>
  <c r="J153" i="7"/>
  <c r="J189" i="7"/>
  <c r="J887" i="7"/>
  <c r="J244" i="7"/>
  <c r="J98" i="7"/>
  <c r="J326" i="7"/>
  <c r="J410" i="7"/>
  <c r="J127" i="7"/>
  <c r="J463" i="7"/>
  <c r="J288" i="7"/>
  <c r="J372" i="7"/>
  <c r="J408" i="7"/>
  <c r="J588" i="7"/>
  <c r="J696" i="7"/>
  <c r="J46" i="7"/>
  <c r="J118" i="7"/>
  <c r="J190" i="7"/>
  <c r="J262" i="7"/>
  <c r="J334" i="7"/>
  <c r="J406" i="7"/>
  <c r="J478" i="7"/>
  <c r="J550" i="7"/>
  <c r="J622" i="7"/>
  <c r="J694" i="7"/>
  <c r="J766" i="7"/>
  <c r="J299" i="7"/>
  <c r="J292" i="7"/>
  <c r="J198" i="7"/>
  <c r="J318" i="7"/>
  <c r="J450" i="7"/>
  <c r="J107" i="7"/>
  <c r="J431" i="7"/>
  <c r="J491" i="7"/>
  <c r="J551" i="7"/>
  <c r="J88" i="7"/>
  <c r="J129" i="7"/>
  <c r="J566" i="7"/>
  <c r="J686" i="7"/>
  <c r="J139" i="7"/>
  <c r="J547" i="7"/>
  <c r="J180" i="7"/>
  <c r="J312" i="7"/>
  <c r="J456" i="7"/>
  <c r="J540" i="7"/>
  <c r="J51" i="7"/>
  <c r="J68" i="7"/>
  <c r="J200" i="7"/>
  <c r="J260" i="7"/>
  <c r="J452" i="7"/>
  <c r="J512" i="7"/>
  <c r="J584" i="7"/>
  <c r="J644" i="7"/>
  <c r="J716" i="7"/>
  <c r="J788" i="7"/>
  <c r="J394" i="7"/>
  <c r="J443" i="7"/>
  <c r="J355" i="7"/>
  <c r="J636" i="7"/>
  <c r="J128" i="7"/>
  <c r="J120" i="7"/>
  <c r="J322" i="7"/>
  <c r="J254" i="7"/>
  <c r="J583" i="7"/>
  <c r="J56" i="7"/>
  <c r="J619" i="7"/>
  <c r="J250" i="7"/>
  <c r="J330" i="7"/>
  <c r="J486" i="7"/>
  <c r="J671" i="7"/>
  <c r="J815" i="7"/>
  <c r="J947" i="7"/>
  <c r="J237" i="7"/>
  <c r="J309" i="7"/>
  <c r="J381" i="7"/>
  <c r="J453" i="7"/>
  <c r="J525" i="7"/>
  <c r="J597" i="7"/>
  <c r="J669" i="7"/>
  <c r="J741" i="7"/>
  <c r="J813" i="7"/>
  <c r="J885" i="7"/>
  <c r="J957" i="7"/>
  <c r="J635" i="7"/>
  <c r="J158" i="7"/>
  <c r="J698" i="7"/>
  <c r="J758" i="7"/>
  <c r="J347" i="7"/>
  <c r="J739" i="7"/>
  <c r="J287" i="7"/>
  <c r="J479" i="7"/>
  <c r="J683" i="7"/>
  <c r="J69" i="7"/>
  <c r="J218" i="7"/>
  <c r="J614" i="7"/>
  <c r="J91" i="7"/>
  <c r="J271" i="7"/>
  <c r="J492" i="7"/>
  <c r="J732" i="7"/>
  <c r="J780" i="7"/>
  <c r="J816" i="7"/>
  <c r="J876" i="7"/>
  <c r="J924" i="7"/>
  <c r="J984" i="7"/>
  <c r="J647" i="7"/>
  <c r="J460" i="7"/>
  <c r="J868" i="7"/>
  <c r="J508" i="7"/>
  <c r="J757" i="7"/>
  <c r="J989" i="7"/>
  <c r="J916" i="7"/>
  <c r="J592" i="7"/>
  <c r="J805" i="7"/>
  <c r="J985" i="7"/>
  <c r="J949" i="7"/>
  <c r="J676" i="7"/>
  <c r="J745" i="7"/>
  <c r="J62" i="7"/>
  <c r="J204" i="7"/>
  <c r="J178" i="7"/>
  <c r="J440" i="7"/>
  <c r="J124" i="7"/>
  <c r="J679" i="7"/>
  <c r="J504" i="7"/>
  <c r="J106" i="7"/>
  <c r="J276" i="7"/>
  <c r="J188" i="7"/>
  <c r="J570" i="7"/>
  <c r="J779" i="7"/>
  <c r="J72" i="7"/>
  <c r="J66" i="7"/>
  <c r="J131" i="7"/>
  <c r="J474" i="7"/>
  <c r="J71" i="7"/>
  <c r="J611" i="7"/>
  <c r="J814" i="7"/>
  <c r="J842" i="7"/>
  <c r="J866" i="7"/>
  <c r="J890" i="7"/>
  <c r="J914" i="7"/>
  <c r="J938" i="7"/>
  <c r="J937" i="7"/>
  <c r="J649" i="7"/>
  <c r="J977" i="7"/>
  <c r="J862" i="7"/>
  <c r="J484" i="7"/>
  <c r="J317" i="7"/>
  <c r="J377" i="7"/>
  <c r="J437" i="7"/>
  <c r="J697" i="7"/>
  <c r="J976" i="7"/>
  <c r="J910" i="7"/>
  <c r="J568" i="7"/>
  <c r="J61" i="7"/>
  <c r="J97" i="7"/>
  <c r="J133" i="7"/>
  <c r="J169" i="7"/>
  <c r="J205" i="7"/>
  <c r="J241" i="7"/>
  <c r="J277" i="7"/>
  <c r="J313" i="7"/>
  <c r="J349" i="7"/>
  <c r="J385" i="7"/>
  <c r="J421" i="7"/>
  <c r="J457" i="7"/>
  <c r="J943" i="7"/>
  <c r="J637" i="7"/>
  <c r="J367" i="7"/>
  <c r="J572" i="7"/>
  <c r="J839" i="7"/>
  <c r="J316" i="7"/>
  <c r="J213" i="7"/>
  <c r="J285" i="7"/>
  <c r="J357" i="7"/>
  <c r="J429" i="7"/>
  <c r="J501" i="7"/>
  <c r="J573" i="7"/>
  <c r="J645" i="7"/>
  <c r="J717" i="7"/>
  <c r="J789" i="7"/>
  <c r="J861" i="7"/>
  <c r="J933" i="7"/>
  <c r="J734" i="7"/>
  <c r="J806" i="7"/>
  <c r="J710" i="7"/>
  <c r="J607" i="7"/>
  <c r="J787" i="7"/>
  <c r="J414" i="7"/>
  <c r="J311" i="7"/>
  <c r="J383" i="7"/>
  <c r="J575" i="7"/>
  <c r="J707" i="7"/>
  <c r="J220" i="7"/>
  <c r="J374" i="7"/>
  <c r="J422" i="7"/>
  <c r="J578" i="7"/>
  <c r="J199" i="7"/>
  <c r="J283" i="7"/>
  <c r="J804" i="7"/>
  <c r="J852" i="7"/>
  <c r="J960" i="7"/>
  <c r="J119" i="7"/>
  <c r="J278" i="7"/>
  <c r="J448" i="7"/>
  <c r="J796" i="7"/>
  <c r="J919" i="7"/>
  <c r="J613" i="7"/>
  <c r="J974" i="7"/>
  <c r="J844" i="7"/>
  <c r="J661" i="7"/>
  <c r="J973" i="7"/>
  <c r="J892" i="7"/>
  <c r="J532" i="7"/>
  <c r="J925" i="7"/>
  <c r="J601" i="7"/>
  <c r="J899" i="7"/>
  <c r="J230" i="7"/>
  <c r="J754" i="7"/>
  <c r="J503" i="7"/>
  <c r="J93" i="7"/>
  <c r="J391" i="7"/>
  <c r="J320" i="7"/>
  <c r="J500" i="7"/>
  <c r="J587" i="7"/>
  <c r="J682" i="7"/>
  <c r="J248" i="7"/>
  <c r="J776" i="7"/>
  <c r="J138" i="7"/>
  <c r="J851" i="7"/>
  <c r="J201" i="7"/>
  <c r="J273" i="7"/>
  <c r="J345" i="7"/>
  <c r="J417" i="7"/>
  <c r="J489" i="7"/>
  <c r="J561" i="7"/>
  <c r="J633" i="7"/>
  <c r="J705" i="7"/>
  <c r="J777" i="7"/>
  <c r="J849" i="7"/>
  <c r="J921" i="7"/>
  <c r="J78" i="7"/>
  <c r="J112" i="7"/>
  <c r="J794" i="7"/>
  <c r="J558" i="7"/>
  <c r="J110" i="7"/>
  <c r="J775" i="7"/>
  <c r="J222" i="7"/>
  <c r="J294" i="7"/>
  <c r="J323" i="7"/>
  <c r="J515" i="7"/>
  <c r="J863" i="7"/>
  <c r="J935" i="7"/>
  <c r="J242" i="7"/>
  <c r="J338" i="7"/>
  <c r="J722" i="7"/>
  <c r="J67" i="7"/>
  <c r="J115" i="7"/>
  <c r="J163" i="7"/>
  <c r="J247" i="7"/>
  <c r="J319" i="7"/>
  <c r="J756" i="7"/>
  <c r="J792" i="7"/>
  <c r="J840" i="7"/>
  <c r="J511" i="7"/>
  <c r="J888" i="7"/>
  <c r="J472" i="7"/>
  <c r="J978" i="7"/>
  <c r="J724" i="7"/>
  <c r="J883" i="7"/>
  <c r="J541" i="7"/>
  <c r="J965" i="7"/>
  <c r="J808" i="7"/>
  <c r="J913" i="7"/>
  <c r="J589" i="7"/>
  <c r="J967" i="7"/>
  <c r="J856" i="7"/>
  <c r="J846" i="7"/>
  <c r="J882" i="7"/>
  <c r="J918" i="7"/>
  <c r="J889" i="7"/>
  <c r="J529" i="7"/>
  <c r="J187" i="7"/>
  <c r="J610" i="7"/>
  <c r="J196" i="7"/>
  <c r="J715" i="7"/>
  <c r="J466" i="7"/>
  <c r="J510" i="7"/>
  <c r="J99" i="7"/>
  <c r="J380" i="7"/>
  <c r="J563" i="7"/>
  <c r="J666" i="7"/>
  <c r="J750" i="7"/>
  <c r="J810" i="7"/>
  <c r="J328" i="7"/>
  <c r="J59" i="7"/>
  <c r="J333" i="7"/>
  <c r="J621" i="7"/>
  <c r="J909" i="7"/>
  <c r="J280" i="7"/>
  <c r="J302" i="7"/>
  <c r="J527" i="7"/>
  <c r="J105" i="7"/>
  <c r="J194" i="7"/>
  <c r="J132" i="7"/>
  <c r="J708" i="7"/>
  <c r="J940" i="7"/>
  <c r="J830" i="7"/>
  <c r="J901" i="7"/>
  <c r="J956" i="7"/>
  <c r="J556" i="7"/>
  <c r="J161" i="7"/>
  <c r="J473" i="7"/>
  <c r="J605" i="7"/>
  <c r="J761" i="7"/>
  <c r="J893" i="7"/>
  <c r="J877" i="7"/>
  <c r="J279" i="7"/>
  <c r="J495" i="7"/>
  <c r="J711" i="7"/>
  <c r="J927" i="7"/>
  <c r="J958" i="7"/>
  <c r="J604" i="7"/>
  <c r="J85" i="7"/>
  <c r="J301" i="7"/>
  <c r="J835" i="7"/>
  <c r="J704" i="7"/>
  <c r="J256" i="7"/>
  <c r="J904" i="7"/>
  <c r="J865" i="7"/>
  <c r="J953" i="7"/>
  <c r="J520" i="7"/>
  <c r="J65" i="7"/>
  <c r="J221" i="7"/>
  <c r="J281" i="7"/>
  <c r="J581" i="7"/>
  <c r="J737" i="7"/>
  <c r="J869" i="7"/>
  <c r="J859" i="7"/>
  <c r="J123" i="7"/>
  <c r="J183" i="7"/>
  <c r="J339" i="7"/>
  <c r="J399" i="7"/>
  <c r="J555" i="7"/>
  <c r="J615" i="7"/>
  <c r="J771" i="7"/>
  <c r="J831" i="7"/>
  <c r="J932" i="7"/>
  <c r="J955" i="7"/>
  <c r="J496" i="7"/>
  <c r="J145" i="7"/>
  <c r="J361" i="7"/>
  <c r="J822" i="7"/>
  <c r="J870" i="7"/>
  <c r="J894" i="7"/>
  <c r="J942" i="7"/>
  <c r="J817" i="7"/>
  <c r="J160" i="7"/>
  <c r="J297" i="7"/>
  <c r="J393" i="7"/>
  <c r="J585" i="7"/>
  <c r="J681" i="7"/>
  <c r="J873" i="7"/>
  <c r="J969" i="7"/>
  <c r="J402" i="7"/>
  <c r="J275" i="7"/>
  <c r="J371" i="7"/>
  <c r="J206" i="7"/>
  <c r="J470" i="7"/>
  <c r="J602" i="7"/>
  <c r="J144" i="7"/>
  <c r="J600" i="7"/>
  <c r="J864" i="7"/>
  <c r="J886" i="7"/>
  <c r="J847" i="7"/>
  <c r="J950" i="7"/>
  <c r="J125" i="7"/>
  <c r="J305" i="7"/>
  <c r="J389" i="7"/>
  <c r="J557" i="7"/>
  <c r="J713" i="7"/>
  <c r="J845" i="7"/>
  <c r="J841" i="7"/>
  <c r="J243" i="7"/>
  <c r="J459" i="7"/>
  <c r="J675" i="7"/>
  <c r="J891" i="7"/>
  <c r="J908" i="7"/>
  <c r="J952" i="7"/>
  <c r="J49" i="7"/>
  <c r="J265" i="7"/>
  <c r="J781" i="7"/>
  <c r="J538" i="7"/>
  <c r="J90" i="7"/>
  <c r="J388" i="7"/>
  <c r="J83" i="7"/>
  <c r="J179" i="7"/>
  <c r="J539" i="7"/>
  <c r="J959" i="7"/>
  <c r="J232" i="7"/>
  <c r="J165" i="7"/>
  <c r="J261" i="7"/>
  <c r="J549" i="7"/>
  <c r="J837" i="7"/>
  <c r="J498" i="7"/>
  <c r="J203" i="7"/>
  <c r="J455" i="7"/>
  <c r="J731" i="7"/>
  <c r="J542" i="7"/>
  <c r="J684" i="7"/>
  <c r="J828" i="7"/>
  <c r="J948" i="7"/>
  <c r="J850" i="7"/>
  <c r="J829" i="7"/>
  <c r="J934" i="7"/>
  <c r="J185" i="7"/>
  <c r="J245" i="7"/>
  <c r="J329" i="7"/>
  <c r="J413" i="7"/>
  <c r="J533" i="7"/>
  <c r="J689" i="7"/>
  <c r="J821" i="7"/>
  <c r="J823" i="7"/>
  <c r="J147" i="7"/>
  <c r="J303" i="7"/>
  <c r="J363" i="7"/>
  <c r="J519" i="7"/>
  <c r="J579" i="7"/>
  <c r="J735" i="7"/>
  <c r="J795" i="7"/>
  <c r="J884" i="7"/>
  <c r="J946" i="7"/>
  <c r="J109" i="7"/>
  <c r="J325" i="7"/>
  <c r="J709" i="7"/>
  <c r="J606" i="7"/>
  <c r="J714" i="7"/>
  <c r="J623" i="7"/>
  <c r="J210" i="7"/>
  <c r="J141" i="7"/>
  <c r="J832" i="7"/>
  <c r="J811" i="7"/>
  <c r="J898" i="7"/>
  <c r="J89" i="7"/>
  <c r="J509" i="7"/>
  <c r="J665" i="7"/>
  <c r="J797" i="7"/>
  <c r="J769" i="7"/>
  <c r="J207" i="7"/>
  <c r="J423" i="7"/>
  <c r="J639" i="7"/>
  <c r="J855" i="7"/>
  <c r="J860" i="7"/>
  <c r="J928" i="7"/>
  <c r="J229" i="7"/>
  <c r="J445" i="7"/>
  <c r="J673" i="7"/>
  <c r="J378" i="7"/>
  <c r="J191" i="7"/>
  <c r="J225" i="7"/>
  <c r="J321" i="7"/>
  <c r="J513" i="7"/>
  <c r="J609" i="7"/>
  <c r="J801" i="7"/>
  <c r="J897" i="7"/>
  <c r="J818" i="7"/>
  <c r="J799" i="7"/>
  <c r="J215" i="7"/>
  <c r="J467" i="7"/>
  <c r="J307" i="7"/>
  <c r="J552" i="7"/>
  <c r="J720" i="7"/>
  <c r="J912" i="7"/>
  <c r="J972" i="7"/>
  <c r="J424" i="7"/>
  <c r="J760" i="7"/>
  <c r="J793" i="7"/>
  <c r="J880" i="7"/>
  <c r="J149" i="7"/>
  <c r="J209" i="7"/>
  <c r="J485" i="7"/>
  <c r="J641" i="7"/>
  <c r="J773" i="7"/>
  <c r="J929" i="7"/>
  <c r="J733" i="7"/>
  <c r="J267" i="7"/>
  <c r="J327" i="7"/>
  <c r="J483" i="7"/>
  <c r="J543" i="7"/>
  <c r="J699" i="7"/>
  <c r="J759" i="7"/>
  <c r="J915" i="7"/>
  <c r="J836" i="7"/>
  <c r="J874" i="7"/>
  <c r="J73" i="7"/>
  <c r="J289" i="7"/>
  <c r="J565" i="7"/>
  <c r="J632" i="7"/>
  <c r="J678" i="7"/>
  <c r="J738" i="7"/>
  <c r="J412" i="7"/>
  <c r="J100" i="7"/>
  <c r="J477" i="7"/>
  <c r="J765" i="7"/>
  <c r="J782" i="7"/>
  <c r="J763" i="7"/>
  <c r="J174" i="7"/>
  <c r="J143" i="7"/>
  <c r="J494" i="7"/>
  <c r="J211" i="7"/>
  <c r="J240" i="7"/>
  <c r="J624" i="7"/>
  <c r="J744" i="7"/>
  <c r="J688" i="7"/>
  <c r="J721" i="7"/>
  <c r="J826" i="7"/>
  <c r="J53" i="7"/>
  <c r="J269" i="7"/>
  <c r="J353" i="7"/>
  <c r="J461" i="7"/>
  <c r="J617" i="7"/>
  <c r="J749" i="7"/>
  <c r="J905" i="7"/>
  <c r="J625" i="7"/>
  <c r="J171" i="7"/>
  <c r="J387" i="7"/>
  <c r="J603" i="7"/>
  <c r="J819" i="7"/>
  <c r="J944" i="7"/>
  <c r="J988" i="7"/>
  <c r="J838" i="7"/>
  <c r="J193" i="7"/>
  <c r="J409" i="7"/>
  <c r="J493" i="7"/>
  <c r="J719" i="7"/>
  <c r="J376" i="7"/>
  <c r="J150" i="7"/>
  <c r="J827" i="7"/>
  <c r="J652" i="7"/>
  <c r="J685" i="7"/>
  <c r="J772" i="7"/>
  <c r="J113" i="7"/>
  <c r="J173" i="7"/>
  <c r="J293" i="7"/>
  <c r="J401" i="7"/>
  <c r="J593" i="7"/>
  <c r="J725" i="7"/>
  <c r="J881" i="7"/>
  <c r="J553" i="7"/>
  <c r="J231" i="7"/>
  <c r="J291" i="7"/>
  <c r="J447" i="7"/>
  <c r="J507" i="7"/>
  <c r="J663" i="7"/>
  <c r="J723" i="7"/>
  <c r="J879" i="7"/>
  <c r="J939" i="7"/>
  <c r="J920" i="7"/>
  <c r="J982" i="7"/>
  <c r="J820" i="7"/>
  <c r="J253" i="7"/>
  <c r="J469" i="7"/>
  <c r="J834" i="7"/>
  <c r="J858" i="7"/>
  <c r="J906" i="7"/>
  <c r="J930" i="7"/>
  <c r="J398" i="7"/>
  <c r="J340" i="7"/>
  <c r="J234" i="7"/>
  <c r="J249" i="7"/>
  <c r="J441" i="7"/>
  <c r="J537" i="7"/>
  <c r="J729" i="7"/>
  <c r="J825" i="7"/>
  <c r="J746" i="7"/>
  <c r="J727" i="7"/>
  <c r="J186" i="7"/>
  <c r="J270" i="7"/>
  <c r="J522" i="7"/>
  <c r="J155" i="7"/>
  <c r="J170" i="7"/>
  <c r="J108" i="7"/>
  <c r="J768" i="7"/>
  <c r="J936" i="7"/>
  <c r="J246" i="7"/>
  <c r="J616" i="7"/>
  <c r="J926" i="7"/>
  <c r="J577" i="7"/>
  <c r="J986" i="7"/>
  <c r="J736" i="7"/>
  <c r="J233" i="7"/>
  <c r="J569" i="7"/>
  <c r="J701" i="7"/>
  <c r="J857" i="7"/>
  <c r="J517" i="7"/>
  <c r="J135" i="7"/>
  <c r="J351" i="7"/>
  <c r="J567" i="7"/>
  <c r="J783" i="7"/>
  <c r="J896" i="7"/>
  <c r="J979" i="7"/>
  <c r="J784" i="7"/>
  <c r="J157" i="7"/>
  <c r="J373" i="7"/>
  <c r="J54" i="7"/>
  <c r="J304" i="7"/>
  <c r="J162" i="7"/>
  <c r="J405" i="7"/>
  <c r="J693" i="7"/>
  <c r="J981" i="7"/>
  <c r="J366" i="7"/>
  <c r="J335" i="7"/>
  <c r="J875" i="7"/>
  <c r="J50" i="7"/>
  <c r="J650" i="7"/>
  <c r="J192" i="7"/>
  <c r="J436" i="7"/>
  <c r="J580" i="7"/>
  <c r="J902" i="7"/>
  <c r="J505" i="7"/>
  <c r="J980" i="7"/>
  <c r="J700" i="7"/>
  <c r="J77" i="7"/>
  <c r="J137" i="7"/>
  <c r="J545" i="7"/>
  <c r="J677" i="7"/>
  <c r="J833" i="7"/>
  <c r="J481" i="7"/>
  <c r="J195" i="7"/>
  <c r="J255" i="7"/>
  <c r="J411" i="7"/>
  <c r="J471" i="7"/>
  <c r="J627" i="7"/>
  <c r="J687" i="7"/>
  <c r="J843" i="7"/>
  <c r="J903" i="7"/>
  <c r="J872" i="7"/>
  <c r="J970" i="7"/>
  <c r="J748" i="7"/>
  <c r="J217" i="7"/>
  <c r="J433" i="7"/>
  <c r="J907" i="7"/>
  <c r="J966" i="7"/>
  <c r="J544" i="7"/>
  <c r="J878" i="7"/>
  <c r="J968" i="7"/>
  <c r="J197" i="7"/>
  <c r="J341" i="7"/>
  <c r="J425" i="7"/>
  <c r="J521" i="7"/>
  <c r="J809" i="7"/>
  <c r="J941" i="7"/>
  <c r="J315" i="7"/>
  <c r="J531" i="7"/>
  <c r="J747" i="7"/>
  <c r="J848" i="7"/>
  <c r="J964" i="7"/>
  <c r="J121" i="7"/>
  <c r="J337" i="7"/>
  <c r="J499" i="7"/>
  <c r="J594" i="7"/>
  <c r="J786" i="7"/>
  <c r="J251" i="7"/>
  <c r="J400" i="7"/>
  <c r="J47" i="7"/>
  <c r="J177" i="7"/>
  <c r="J664" i="7"/>
  <c r="J653" i="7"/>
  <c r="J931" i="7"/>
  <c r="J712" i="7"/>
  <c r="J871" i="7"/>
  <c r="J354" i="7"/>
  <c r="J364" i="7"/>
  <c r="J258" i="7"/>
  <c r="J438" i="7"/>
  <c r="J117" i="7"/>
  <c r="J369" i="7"/>
  <c r="J465" i="7"/>
  <c r="J657" i="7"/>
  <c r="J753" i="7"/>
  <c r="J945" i="7"/>
  <c r="J770" i="7"/>
  <c r="J703" i="7"/>
  <c r="J751" i="7"/>
  <c r="J122" i="7"/>
  <c r="J175" i="7"/>
  <c r="J331" i="7"/>
  <c r="J384" i="7"/>
  <c r="J444" i="7"/>
  <c r="J648" i="7"/>
  <c r="J954" i="7"/>
  <c r="J854" i="7"/>
  <c r="J962" i="7"/>
  <c r="J628" i="7"/>
  <c r="J101" i="7"/>
  <c r="J257" i="7"/>
  <c r="J365" i="7"/>
  <c r="J449" i="7"/>
  <c r="J497" i="7"/>
  <c r="J629" i="7"/>
  <c r="J785" i="7"/>
  <c r="J917" i="7"/>
  <c r="J895" i="7"/>
  <c r="J159" i="7"/>
  <c r="J219" i="7"/>
  <c r="J375" i="7"/>
  <c r="J435" i="7"/>
  <c r="J591" i="7"/>
  <c r="J651" i="7"/>
  <c r="J807" i="7"/>
  <c r="J867" i="7"/>
  <c r="J824" i="7"/>
  <c r="J961" i="7"/>
  <c r="J640" i="7"/>
  <c r="J181" i="7"/>
  <c r="J397" i="7"/>
  <c r="J853" i="7"/>
  <c r="G3" i="7"/>
  <c r="L2" i="7"/>
  <c r="K169" i="7"/>
  <c r="K270" i="7"/>
  <c r="K330" i="7"/>
  <c r="K726" i="7"/>
  <c r="K69" i="7"/>
  <c r="K153" i="7"/>
  <c r="K237" i="7"/>
  <c r="K465" i="7"/>
  <c r="K681" i="7"/>
  <c r="K194" i="7"/>
  <c r="K290" i="7"/>
  <c r="K566" i="7"/>
  <c r="K626" i="7"/>
  <c r="K127" i="7"/>
  <c r="K679" i="7"/>
  <c r="K65" i="7"/>
  <c r="K137" i="7"/>
  <c r="K209" i="7"/>
  <c r="K281" i="7"/>
  <c r="K353" i="7"/>
  <c r="K425" i="7"/>
  <c r="K497" i="7"/>
  <c r="K569" i="7"/>
  <c r="K641" i="7"/>
  <c r="K713" i="7"/>
  <c r="K785" i="7"/>
  <c r="K385" i="7"/>
  <c r="K213" i="7"/>
  <c r="K118" i="7"/>
  <c r="K157" i="7"/>
  <c r="K217" i="7"/>
  <c r="K390" i="7"/>
  <c r="K107" i="7"/>
  <c r="K117" i="7"/>
  <c r="K309" i="7"/>
  <c r="K717" i="7"/>
  <c r="K151" i="7"/>
  <c r="K199" i="7"/>
  <c r="K283" i="7"/>
  <c r="K511" i="7"/>
  <c r="K70" i="7"/>
  <c r="K87" i="7"/>
  <c r="K147" i="7"/>
  <c r="K219" i="7"/>
  <c r="K279" i="7"/>
  <c r="K339" i="7"/>
  <c r="K399" i="7"/>
  <c r="K459" i="7"/>
  <c r="K531" i="7"/>
  <c r="K591" i="7"/>
  <c r="K663" i="7"/>
  <c r="K735" i="7"/>
  <c r="K807" i="7"/>
  <c r="K714" i="7"/>
  <c r="K638" i="7"/>
  <c r="K625" i="7"/>
  <c r="K697" i="7"/>
  <c r="K769" i="7"/>
  <c r="K121" i="7"/>
  <c r="K342" i="7"/>
  <c r="K83" i="7"/>
  <c r="K201" i="7"/>
  <c r="K297" i="7"/>
  <c r="K513" i="7"/>
  <c r="K645" i="7"/>
  <c r="K446" i="7"/>
  <c r="K482" i="7"/>
  <c r="K307" i="7"/>
  <c r="K391" i="7"/>
  <c r="K427" i="7"/>
  <c r="K475" i="7"/>
  <c r="K523" i="7"/>
  <c r="K643" i="7"/>
  <c r="K53" i="7"/>
  <c r="K125" i="7"/>
  <c r="K197" i="7"/>
  <c r="K269" i="7"/>
  <c r="K341" i="7"/>
  <c r="K413" i="7"/>
  <c r="K485" i="7"/>
  <c r="K557" i="7"/>
  <c r="K629" i="7"/>
  <c r="K701" i="7"/>
  <c r="K773" i="7"/>
  <c r="K333" i="7"/>
  <c r="K106" i="7"/>
  <c r="K229" i="7"/>
  <c r="K289" i="7"/>
  <c r="K582" i="7"/>
  <c r="K918" i="7"/>
  <c r="K119" i="7"/>
  <c r="K669" i="7"/>
  <c r="K74" i="7"/>
  <c r="K434" i="7"/>
  <c r="K590" i="7"/>
  <c r="K439" i="7"/>
  <c r="K58" i="7"/>
  <c r="K75" i="7"/>
  <c r="K135" i="7"/>
  <c r="K207" i="7"/>
  <c r="K267" i="7"/>
  <c r="K519" i="7"/>
  <c r="K651" i="7"/>
  <c r="K723" i="7"/>
  <c r="K795" i="7"/>
  <c r="K846" i="7"/>
  <c r="K110" i="7"/>
  <c r="K613" i="7"/>
  <c r="K469" i="7"/>
  <c r="K102" i="7"/>
  <c r="K294" i="7"/>
  <c r="K354" i="7"/>
  <c r="K486" i="7"/>
  <c r="K618" i="7"/>
  <c r="K930" i="7"/>
  <c r="K95" i="7"/>
  <c r="K227" i="7"/>
  <c r="K357" i="7"/>
  <c r="K393" i="7"/>
  <c r="K62" i="7"/>
  <c r="K350" i="7"/>
  <c r="K662" i="7"/>
  <c r="K686" i="7"/>
  <c r="K571" i="7"/>
  <c r="K667" i="7"/>
  <c r="K113" i="7"/>
  <c r="K185" i="7"/>
  <c r="K257" i="7"/>
  <c r="K329" i="7"/>
  <c r="K401" i="7"/>
  <c r="K473" i="7"/>
  <c r="K545" i="7"/>
  <c r="K617" i="7"/>
  <c r="K689" i="7"/>
  <c r="K761" i="7"/>
  <c r="K433" i="7"/>
  <c r="K481" i="7"/>
  <c r="K150" i="7"/>
  <c r="K210" i="7"/>
  <c r="K534" i="7"/>
  <c r="K594" i="7"/>
  <c r="K786" i="7"/>
  <c r="K858" i="7"/>
  <c r="K189" i="7"/>
  <c r="K273" i="7"/>
  <c r="K321" i="7"/>
  <c r="K477" i="7"/>
  <c r="K549" i="7"/>
  <c r="K633" i="7"/>
  <c r="K266" i="7"/>
  <c r="K374" i="7"/>
  <c r="K55" i="7"/>
  <c r="K91" i="7"/>
  <c r="K163" i="7"/>
  <c r="K259" i="7"/>
  <c r="K46" i="7"/>
  <c r="K63" i="7"/>
  <c r="K195" i="7"/>
  <c r="K255" i="7"/>
  <c r="K327" i="7"/>
  <c r="K447" i="7"/>
  <c r="K507" i="7"/>
  <c r="K579" i="7"/>
  <c r="K639" i="7"/>
  <c r="K711" i="7"/>
  <c r="K783" i="7"/>
  <c r="K61" i="7"/>
  <c r="K601" i="7"/>
  <c r="K673" i="7"/>
  <c r="K745" i="7"/>
  <c r="K114" i="7"/>
  <c r="K306" i="7"/>
  <c r="K426" i="7"/>
  <c r="K630" i="7"/>
  <c r="K177" i="7"/>
  <c r="K489" i="7"/>
  <c r="K657" i="7"/>
  <c r="K170" i="7"/>
  <c r="K103" i="7"/>
  <c r="K403" i="7"/>
  <c r="K487" i="7"/>
  <c r="K535" i="7"/>
  <c r="K619" i="7"/>
  <c r="K691" i="7"/>
  <c r="K101" i="7"/>
  <c r="K173" i="7"/>
  <c r="K245" i="7"/>
  <c r="K317" i="7"/>
  <c r="K389" i="7"/>
  <c r="K461" i="7"/>
  <c r="K533" i="7"/>
  <c r="K605" i="7"/>
  <c r="K677" i="7"/>
  <c r="K749" i="7"/>
  <c r="K71" i="7"/>
  <c r="K253" i="7"/>
  <c r="K493" i="7"/>
  <c r="K162" i="7"/>
  <c r="K222" i="7"/>
  <c r="K666" i="7"/>
  <c r="K798" i="7"/>
  <c r="K870" i="7"/>
  <c r="K76" i="7"/>
  <c r="K93" i="7"/>
  <c r="K285" i="7"/>
  <c r="K86" i="7"/>
  <c r="K410" i="7"/>
  <c r="K506" i="7"/>
  <c r="K542" i="7"/>
  <c r="K602" i="7"/>
  <c r="K223" i="7"/>
  <c r="K355" i="7"/>
  <c r="K451" i="7"/>
  <c r="K51" i="7"/>
  <c r="K123" i="7"/>
  <c r="K183" i="7"/>
  <c r="K243" i="7"/>
  <c r="K315" i="7"/>
  <c r="K375" i="7"/>
  <c r="K435" i="7"/>
  <c r="K495" i="7"/>
  <c r="K567" i="7"/>
  <c r="K627" i="7"/>
  <c r="K699" i="7"/>
  <c r="K771" i="7"/>
  <c r="K231" i="7"/>
  <c r="K109" i="7"/>
  <c r="K553" i="7"/>
  <c r="K589" i="7"/>
  <c r="K661" i="7"/>
  <c r="K733" i="7"/>
  <c r="K805" i="7"/>
  <c r="K565" i="7"/>
  <c r="K323" i="7"/>
  <c r="K395" i="7"/>
  <c r="K181" i="7"/>
  <c r="K313" i="7"/>
  <c r="K505" i="7"/>
  <c r="K378" i="7"/>
  <c r="K64" i="7"/>
  <c r="K66" i="7"/>
  <c r="K126" i="7"/>
  <c r="K186" i="7"/>
  <c r="K510" i="7"/>
  <c r="K642" i="7"/>
  <c r="K141" i="7"/>
  <c r="K369" i="7"/>
  <c r="K621" i="7"/>
  <c r="K494" i="7"/>
  <c r="K614" i="7"/>
  <c r="K674" i="7"/>
  <c r="K67" i="7"/>
  <c r="K235" i="7"/>
  <c r="K331" i="7"/>
  <c r="K89" i="7"/>
  <c r="K161" i="7"/>
  <c r="K233" i="7"/>
  <c r="K305" i="7"/>
  <c r="K377" i="7"/>
  <c r="K449" i="7"/>
  <c r="K521" i="7"/>
  <c r="K593" i="7"/>
  <c r="K665" i="7"/>
  <c r="K737" i="7"/>
  <c r="K397" i="7"/>
  <c r="K678" i="7"/>
  <c r="K810" i="7"/>
  <c r="K882" i="7"/>
  <c r="K203" i="7"/>
  <c r="K50" i="7"/>
  <c r="K242" i="7"/>
  <c r="K386" i="7"/>
  <c r="K578" i="7"/>
  <c r="K139" i="7"/>
  <c r="K271" i="7"/>
  <c r="K367" i="7"/>
  <c r="K499" i="7"/>
  <c r="K111" i="7"/>
  <c r="K171" i="7"/>
  <c r="K303" i="7"/>
  <c r="K363" i="7"/>
  <c r="K423" i="7"/>
  <c r="K483" i="7"/>
  <c r="K555" i="7"/>
  <c r="K615" i="7"/>
  <c r="K687" i="7"/>
  <c r="K759" i="7"/>
  <c r="K221" i="7"/>
  <c r="K501" i="7"/>
  <c r="K398" i="7"/>
  <c r="K149" i="7"/>
  <c r="K894" i="7"/>
  <c r="K411" i="7"/>
  <c r="K198" i="7"/>
  <c r="K134" i="7"/>
  <c r="K415" i="7"/>
  <c r="K77" i="7"/>
  <c r="K422" i="7"/>
  <c r="K187" i="7"/>
  <c r="K159" i="7"/>
  <c r="K311" i="7"/>
  <c r="K517" i="7"/>
  <c r="K450" i="7"/>
  <c r="K251" i="7"/>
  <c r="K160" i="7"/>
  <c r="K208" i="7"/>
  <c r="K280" i="7"/>
  <c r="K352" i="7"/>
  <c r="K424" i="7"/>
  <c r="K496" i="7"/>
  <c r="K568" i="7"/>
  <c r="K640" i="7"/>
  <c r="K712" i="7"/>
  <c r="K784" i="7"/>
  <c r="K856" i="7"/>
  <c r="K928" i="7"/>
  <c r="K729" i="7"/>
  <c r="K801" i="7"/>
  <c r="K537" i="7"/>
  <c r="K782" i="7"/>
  <c r="K133" i="7"/>
  <c r="K90" i="7"/>
  <c r="K414" i="7"/>
  <c r="K546" i="7"/>
  <c r="K750" i="7"/>
  <c r="K143" i="7"/>
  <c r="K124" i="7"/>
  <c r="K261" i="7"/>
  <c r="K405" i="7"/>
  <c r="K302" i="7"/>
  <c r="K338" i="7"/>
  <c r="K211" i="7"/>
  <c r="K799" i="7"/>
  <c r="K847" i="7"/>
  <c r="K955" i="7"/>
  <c r="K52" i="7"/>
  <c r="K158" i="7"/>
  <c r="K715" i="7"/>
  <c r="K419" i="7"/>
  <c r="K479" i="7"/>
  <c r="K503" i="7"/>
  <c r="K527" i="7"/>
  <c r="K551" i="7"/>
  <c r="K575" i="7"/>
  <c r="K599" i="7"/>
  <c r="K623" i="7"/>
  <c r="K647" i="7"/>
  <c r="K671" i="7"/>
  <c r="K695" i="7"/>
  <c r="K719" i="7"/>
  <c r="K743" i="7"/>
  <c r="K767" i="7"/>
  <c r="K791" i="7"/>
  <c r="K815" i="7"/>
  <c r="K839" i="7"/>
  <c r="K863" i="7"/>
  <c r="K887" i="7"/>
  <c r="K911" i="7"/>
  <c r="K935" i="7"/>
  <c r="K983" i="7"/>
  <c r="K947" i="7"/>
  <c r="K817" i="7"/>
  <c r="K853" i="7"/>
  <c r="K889" i="7"/>
  <c r="K925" i="7"/>
  <c r="K984" i="7"/>
  <c r="K654" i="7"/>
  <c r="K470" i="7"/>
  <c r="K94" i="7"/>
  <c r="K650" i="7"/>
  <c r="K230" i="7"/>
  <c r="K797" i="7"/>
  <c r="K693" i="7"/>
  <c r="K82" i="7"/>
  <c r="K543" i="7"/>
  <c r="K725" i="7"/>
  <c r="K291" i="7"/>
  <c r="K471" i="7"/>
  <c r="K263" i="7"/>
  <c r="K577" i="7"/>
  <c r="K299" i="7"/>
  <c r="K234" i="7"/>
  <c r="K474" i="7"/>
  <c r="K762" i="7"/>
  <c r="K974" i="7"/>
  <c r="K60" i="7"/>
  <c r="K96" i="7"/>
  <c r="K132" i="7"/>
  <c r="K168" i="7"/>
  <c r="K204" i="7"/>
  <c r="K240" i="7"/>
  <c r="K276" i="7"/>
  <c r="K336" i="7"/>
  <c r="K821" i="7"/>
  <c r="K845" i="7"/>
  <c r="K869" i="7"/>
  <c r="K893" i="7"/>
  <c r="K917" i="7"/>
  <c r="K941" i="7"/>
  <c r="K142" i="7"/>
  <c r="K178" i="7"/>
  <c r="K214" i="7"/>
  <c r="K250" i="7"/>
  <c r="K286" i="7"/>
  <c r="K322" i="7"/>
  <c r="K358" i="7"/>
  <c r="K394" i="7"/>
  <c r="K430" i="7"/>
  <c r="K466" i="7"/>
  <c r="K502" i="7"/>
  <c r="K538" i="7"/>
  <c r="K574" i="7"/>
  <c r="K610" i="7"/>
  <c r="K646" i="7"/>
  <c r="K682" i="7"/>
  <c r="K718" i="7"/>
  <c r="K754" i="7"/>
  <c r="K790" i="7"/>
  <c r="K826" i="7"/>
  <c r="K862" i="7"/>
  <c r="K898" i="7"/>
  <c r="K934" i="7"/>
  <c r="K982" i="7"/>
  <c r="K972" i="7"/>
  <c r="K595" i="7"/>
  <c r="K653" i="7"/>
  <c r="K498" i="7"/>
  <c r="K554" i="7"/>
  <c r="K747" i="7"/>
  <c r="K685" i="7"/>
  <c r="K781" i="7"/>
  <c r="K966" i="7"/>
  <c r="K347" i="7"/>
  <c r="K421" i="7"/>
  <c r="K529" i="7"/>
  <c r="K690" i="7"/>
  <c r="K215" i="7"/>
  <c r="K256" i="7"/>
  <c r="K328" i="7"/>
  <c r="K400" i="7"/>
  <c r="K472" i="7"/>
  <c r="K544" i="7"/>
  <c r="K616" i="7"/>
  <c r="K688" i="7"/>
  <c r="K760" i="7"/>
  <c r="K832" i="7"/>
  <c r="K904" i="7"/>
  <c r="K976" i="7"/>
  <c r="K705" i="7"/>
  <c r="K777" i="7"/>
  <c r="K349" i="7"/>
  <c r="K136" i="7"/>
  <c r="K710" i="7"/>
  <c r="K758" i="7"/>
  <c r="K246" i="7"/>
  <c r="K167" i="7"/>
  <c r="K88" i="7"/>
  <c r="K81" i="7"/>
  <c r="K129" i="7"/>
  <c r="K314" i="7"/>
  <c r="K362" i="7"/>
  <c r="K115" i="7"/>
  <c r="K175" i="7"/>
  <c r="K559" i="7"/>
  <c r="K607" i="7"/>
  <c r="K655" i="7"/>
  <c r="K703" i="7"/>
  <c r="K739" i="7"/>
  <c r="K787" i="7"/>
  <c r="K943" i="7"/>
  <c r="K971" i="7"/>
  <c r="K973" i="7"/>
  <c r="K841" i="7"/>
  <c r="K877" i="7"/>
  <c r="K913" i="7"/>
  <c r="K969" i="7"/>
  <c r="K138" i="7"/>
  <c r="K379" i="7"/>
  <c r="K581" i="7"/>
  <c r="K573" i="7"/>
  <c r="K675" i="7"/>
  <c r="K509" i="7"/>
  <c r="K463" i="7"/>
  <c r="K603" i="7"/>
  <c r="K73" i="7"/>
  <c r="K47" i="7"/>
  <c r="K541" i="7"/>
  <c r="K402" i="7"/>
  <c r="K702" i="7"/>
  <c r="K100" i="7"/>
  <c r="K244" i="7"/>
  <c r="K316" i="7"/>
  <c r="K388" i="7"/>
  <c r="K460" i="7"/>
  <c r="K532" i="7"/>
  <c r="K604" i="7"/>
  <c r="K676" i="7"/>
  <c r="K748" i="7"/>
  <c r="K820" i="7"/>
  <c r="K892" i="7"/>
  <c r="K964" i="7"/>
  <c r="K765" i="7"/>
  <c r="K746" i="7"/>
  <c r="K54" i="7"/>
  <c r="K258" i="7"/>
  <c r="K381" i="7"/>
  <c r="K206" i="7"/>
  <c r="K79" i="7"/>
  <c r="K823" i="7"/>
  <c r="K883" i="7"/>
  <c r="K931" i="7"/>
  <c r="K85" i="7"/>
  <c r="K282" i="7"/>
  <c r="K978" i="7"/>
  <c r="K429" i="7"/>
  <c r="K491" i="7"/>
  <c r="K515" i="7"/>
  <c r="K539" i="7"/>
  <c r="K563" i="7"/>
  <c r="K587" i="7"/>
  <c r="K611" i="7"/>
  <c r="K635" i="7"/>
  <c r="K659" i="7"/>
  <c r="K683" i="7"/>
  <c r="K707" i="7"/>
  <c r="K731" i="7"/>
  <c r="K755" i="7"/>
  <c r="K779" i="7"/>
  <c r="K803" i="7"/>
  <c r="K827" i="7"/>
  <c r="K851" i="7"/>
  <c r="K875" i="7"/>
  <c r="K899" i="7"/>
  <c r="K923" i="7"/>
  <c r="K965" i="7"/>
  <c r="K961" i="7"/>
  <c r="K960" i="7"/>
  <c r="K467" i="7"/>
  <c r="K59" i="7"/>
  <c r="K437" i="7"/>
  <c r="K417" i="7"/>
  <c r="K278" i="7"/>
  <c r="K293" i="7"/>
  <c r="K265" i="7"/>
  <c r="K165" i="7"/>
  <c r="K518" i="7"/>
  <c r="K319" i="7"/>
  <c r="K99" i="7"/>
  <c r="K609" i="7"/>
  <c r="K448" i="7"/>
  <c r="K736" i="7"/>
  <c r="K753" i="7"/>
  <c r="K734" i="7"/>
  <c r="K597" i="7"/>
  <c r="K122" i="7"/>
  <c r="K775" i="7"/>
  <c r="K933" i="7"/>
  <c r="K878" i="7"/>
  <c r="K959" i="7"/>
  <c r="K120" i="7"/>
  <c r="K300" i="7"/>
  <c r="K384" i="7"/>
  <c r="K552" i="7"/>
  <c r="K708" i="7"/>
  <c r="K840" i="7"/>
  <c r="K929" i="7"/>
  <c r="K238" i="7"/>
  <c r="K454" i="7"/>
  <c r="K670" i="7"/>
  <c r="K886" i="7"/>
  <c r="K970" i="7"/>
  <c r="K903" i="7"/>
  <c r="K200" i="7"/>
  <c r="K260" i="7"/>
  <c r="K416" i="7"/>
  <c r="K476" i="7"/>
  <c r="K632" i="7"/>
  <c r="K764" i="7"/>
  <c r="K920" i="7"/>
  <c r="K975" i="7"/>
  <c r="K709" i="7"/>
  <c r="K361" i="7"/>
  <c r="K438" i="7"/>
  <c r="K909" i="7"/>
  <c r="K854" i="7"/>
  <c r="K956" i="7"/>
  <c r="K180" i="7"/>
  <c r="K408" i="7"/>
  <c r="K528" i="7"/>
  <c r="K684" i="7"/>
  <c r="K816" i="7"/>
  <c r="K905" i="7"/>
  <c r="K298" i="7"/>
  <c r="K514" i="7"/>
  <c r="K730" i="7"/>
  <c r="K958" i="7"/>
  <c r="K879" i="7"/>
  <c r="K104" i="7"/>
  <c r="K320" i="7"/>
  <c r="K608" i="7"/>
  <c r="K740" i="7"/>
  <c r="K896" i="7"/>
  <c r="K963" i="7"/>
  <c r="K365" i="7"/>
  <c r="K793" i="7"/>
  <c r="K457" i="7"/>
  <c r="K220" i="7"/>
  <c r="K412" i="7"/>
  <c r="K508" i="7"/>
  <c r="K700" i="7"/>
  <c r="K796" i="7"/>
  <c r="K988" i="7"/>
  <c r="K813" i="7"/>
  <c r="K193" i="7"/>
  <c r="K794" i="7"/>
  <c r="K145" i="7"/>
  <c r="K131" i="7"/>
  <c r="K112" i="7"/>
  <c r="K343" i="7"/>
  <c r="K907" i="7"/>
  <c r="K967" i="7"/>
  <c r="K275" i="7"/>
  <c r="K443" i="7"/>
  <c r="K885" i="7"/>
  <c r="K830" i="7"/>
  <c r="K953" i="7"/>
  <c r="K84" i="7"/>
  <c r="K504" i="7"/>
  <c r="K660" i="7"/>
  <c r="K792" i="7"/>
  <c r="K881" i="7"/>
  <c r="K202" i="7"/>
  <c r="K418" i="7"/>
  <c r="K634" i="7"/>
  <c r="K850" i="7"/>
  <c r="K949" i="7"/>
  <c r="K855" i="7"/>
  <c r="K164" i="7"/>
  <c r="K224" i="7"/>
  <c r="K380" i="7"/>
  <c r="K440" i="7"/>
  <c r="K584" i="7"/>
  <c r="K716" i="7"/>
  <c r="K872" i="7"/>
  <c r="K957" i="7"/>
  <c r="K649" i="7"/>
  <c r="K407" i="7"/>
  <c r="K373" i="7"/>
  <c r="K184" i="7"/>
  <c r="K376" i="7"/>
  <c r="K664" i="7"/>
  <c r="K952" i="7"/>
  <c r="K822" i="7"/>
  <c r="K345" i="7"/>
  <c r="K254" i="7"/>
  <c r="K861" i="7"/>
  <c r="K806" i="7"/>
  <c r="K938" i="7"/>
  <c r="K950" i="7"/>
  <c r="K144" i="7"/>
  <c r="K480" i="7"/>
  <c r="K636" i="7"/>
  <c r="K768" i="7"/>
  <c r="K924" i="7"/>
  <c r="K857" i="7"/>
  <c r="K262" i="7"/>
  <c r="K478" i="7"/>
  <c r="K694" i="7"/>
  <c r="K910" i="7"/>
  <c r="K946" i="7"/>
  <c r="K831" i="7"/>
  <c r="K68" i="7"/>
  <c r="K284" i="7"/>
  <c r="K560" i="7"/>
  <c r="K692" i="7"/>
  <c r="K848" i="7"/>
  <c r="K951" i="7"/>
  <c r="K371" i="7"/>
  <c r="K837" i="7"/>
  <c r="K914" i="7"/>
  <c r="K48" i="7"/>
  <c r="K264" i="7"/>
  <c r="K348" i="7"/>
  <c r="K456" i="7"/>
  <c r="K612" i="7"/>
  <c r="K744" i="7"/>
  <c r="K900" i="7"/>
  <c r="K833" i="7"/>
  <c r="K166" i="7"/>
  <c r="K382" i="7"/>
  <c r="K598" i="7"/>
  <c r="K814" i="7"/>
  <c r="K939" i="7"/>
  <c r="K128" i="7"/>
  <c r="K188" i="7"/>
  <c r="K344" i="7"/>
  <c r="K404" i="7"/>
  <c r="K536" i="7"/>
  <c r="K668" i="7"/>
  <c r="K824" i="7"/>
  <c r="K948" i="7"/>
  <c r="K241" i="7"/>
  <c r="K757" i="7"/>
  <c r="K335" i="7"/>
  <c r="K301" i="7"/>
  <c r="K340" i="7"/>
  <c r="K436" i="7"/>
  <c r="K628" i="7"/>
  <c r="K724" i="7"/>
  <c r="K916" i="7"/>
  <c r="K741" i="7"/>
  <c r="K722" i="7"/>
  <c r="K558" i="7"/>
  <c r="K738" i="7"/>
  <c r="K834" i="7"/>
  <c r="K155" i="7"/>
  <c r="K225" i="7"/>
  <c r="K146" i="7"/>
  <c r="K295" i="7"/>
  <c r="K763" i="7"/>
  <c r="K522" i="7"/>
  <c r="K631" i="7"/>
  <c r="K945" i="7"/>
  <c r="K890" i="7"/>
  <c r="K108" i="7"/>
  <c r="K372" i="7"/>
  <c r="K588" i="7"/>
  <c r="K720" i="7"/>
  <c r="K876" i="7"/>
  <c r="K809" i="7"/>
  <c r="K226" i="7"/>
  <c r="K442" i="7"/>
  <c r="K658" i="7"/>
  <c r="K874" i="7"/>
  <c r="K915" i="7"/>
  <c r="K248" i="7"/>
  <c r="K464" i="7"/>
  <c r="K512" i="7"/>
  <c r="K644" i="7"/>
  <c r="K800" i="7"/>
  <c r="K932" i="7"/>
  <c r="K829" i="7"/>
  <c r="K901" i="7"/>
  <c r="K318" i="7"/>
  <c r="K458" i="7"/>
  <c r="K366" i="7"/>
  <c r="K179" i="7"/>
  <c r="K304" i="7"/>
  <c r="K592" i="7"/>
  <c r="K880" i="7"/>
  <c r="K942" i="7"/>
  <c r="K239" i="7"/>
  <c r="K871" i="7"/>
  <c r="K921" i="7"/>
  <c r="K866" i="7"/>
  <c r="K989" i="7"/>
  <c r="K228" i="7"/>
  <c r="K564" i="7"/>
  <c r="K696" i="7"/>
  <c r="K852" i="7"/>
  <c r="K130" i="7"/>
  <c r="K346" i="7"/>
  <c r="K562" i="7"/>
  <c r="K778" i="7"/>
  <c r="K891" i="7"/>
  <c r="K92" i="7"/>
  <c r="K152" i="7"/>
  <c r="K308" i="7"/>
  <c r="K368" i="7"/>
  <c r="K488" i="7"/>
  <c r="K620" i="7"/>
  <c r="K776" i="7"/>
  <c r="K908" i="7"/>
  <c r="K337" i="7"/>
  <c r="K49" i="7"/>
  <c r="K409" i="7"/>
  <c r="K906" i="7"/>
  <c r="K172" i="7"/>
  <c r="K897" i="7"/>
  <c r="K842" i="7"/>
  <c r="K986" i="7"/>
  <c r="K72" i="7"/>
  <c r="K540" i="7"/>
  <c r="K672" i="7"/>
  <c r="K828" i="7"/>
  <c r="K190" i="7"/>
  <c r="K406" i="7"/>
  <c r="K622" i="7"/>
  <c r="K838" i="7"/>
  <c r="K867" i="7"/>
  <c r="K212" i="7"/>
  <c r="K428" i="7"/>
  <c r="K596" i="7"/>
  <c r="K752" i="7"/>
  <c r="K884" i="7"/>
  <c r="K468" i="7"/>
  <c r="K105" i="7"/>
  <c r="K351" i="7"/>
  <c r="K530" i="7"/>
  <c r="K721" i="7"/>
  <c r="K97" i="7"/>
  <c r="K359" i="7"/>
  <c r="K325" i="7"/>
  <c r="K268" i="7"/>
  <c r="K364" i="7"/>
  <c r="K556" i="7"/>
  <c r="K652" i="7"/>
  <c r="K844" i="7"/>
  <c r="K940" i="7"/>
  <c r="K277" i="7"/>
  <c r="K698" i="7"/>
  <c r="K445" i="7"/>
  <c r="K954" i="7"/>
  <c r="K98" i="7"/>
  <c r="K218" i="7"/>
  <c r="K247" i="7"/>
  <c r="K811" i="7"/>
  <c r="K835" i="7"/>
  <c r="K895" i="7"/>
  <c r="K455" i="7"/>
  <c r="K873" i="7"/>
  <c r="K818" i="7"/>
  <c r="K980" i="7"/>
  <c r="K431" i="7"/>
  <c r="K192" i="7"/>
  <c r="K312" i="7"/>
  <c r="K420" i="7"/>
  <c r="K516" i="7"/>
  <c r="K648" i="7"/>
  <c r="K804" i="7"/>
  <c r="K936" i="7"/>
  <c r="K310" i="7"/>
  <c r="K526" i="7"/>
  <c r="K742" i="7"/>
  <c r="K843" i="7"/>
  <c r="K56" i="7"/>
  <c r="K116" i="7"/>
  <c r="K272" i="7"/>
  <c r="K332" i="7"/>
  <c r="K572" i="7"/>
  <c r="K728" i="7"/>
  <c r="K860" i="7"/>
  <c r="K360" i="7"/>
  <c r="K637" i="7"/>
  <c r="K148" i="7"/>
  <c r="K232" i="7"/>
  <c r="K520" i="7"/>
  <c r="K808" i="7"/>
  <c r="K585" i="7"/>
  <c r="K825" i="7"/>
  <c r="K182" i="7"/>
  <c r="K249" i="7"/>
  <c r="K441" i="7"/>
  <c r="K326" i="7"/>
  <c r="K727" i="7"/>
  <c r="K919" i="7"/>
  <c r="K979" i="7"/>
  <c r="K561" i="7"/>
  <c r="K849" i="7"/>
  <c r="K977" i="7"/>
  <c r="K252" i="7"/>
  <c r="K444" i="7"/>
  <c r="K492" i="7"/>
  <c r="K624" i="7"/>
  <c r="K780" i="7"/>
  <c r="K912" i="7"/>
  <c r="K154" i="7"/>
  <c r="K370" i="7"/>
  <c r="K586" i="7"/>
  <c r="K802" i="7"/>
  <c r="K819" i="7"/>
  <c r="K176" i="7"/>
  <c r="K392" i="7"/>
  <c r="K548" i="7"/>
  <c r="K704" i="7"/>
  <c r="K836" i="7"/>
  <c r="K432" i="7"/>
  <c r="K926" i="7"/>
  <c r="K156" i="7"/>
  <c r="K600" i="7"/>
  <c r="K756" i="7"/>
  <c r="K396" i="7"/>
  <c r="K274" i="7"/>
  <c r="K490" i="7"/>
  <c r="K706" i="7"/>
  <c r="K922" i="7"/>
  <c r="K80" i="7"/>
  <c r="K296" i="7"/>
  <c r="K452" i="7"/>
  <c r="K524" i="7"/>
  <c r="K680" i="7"/>
  <c r="K812" i="7"/>
  <c r="K987" i="7"/>
  <c r="K525" i="7"/>
  <c r="K570" i="7"/>
  <c r="K968" i="7"/>
  <c r="K888" i="7"/>
  <c r="K236" i="7"/>
  <c r="K547" i="7"/>
  <c r="K387" i="7"/>
  <c r="K383" i="7"/>
  <c r="K774" i="7"/>
  <c r="K196" i="7"/>
  <c r="K292" i="7"/>
  <c r="K484" i="7"/>
  <c r="K580" i="7"/>
  <c r="K772" i="7"/>
  <c r="K868" i="7"/>
  <c r="K789" i="7"/>
  <c r="K462" i="7"/>
  <c r="K770" i="7"/>
  <c r="K205" i="7"/>
  <c r="K78" i="7"/>
  <c r="K174" i="7"/>
  <c r="K606" i="7"/>
  <c r="K191" i="7"/>
  <c r="K287" i="7"/>
  <c r="K57" i="7"/>
  <c r="K453" i="7"/>
  <c r="K583" i="7"/>
  <c r="K751" i="7"/>
  <c r="K859" i="7"/>
  <c r="K324" i="7"/>
  <c r="K902" i="7"/>
  <c r="K962" i="7"/>
  <c r="K216" i="7"/>
  <c r="K576" i="7"/>
  <c r="K732" i="7"/>
  <c r="K864" i="7"/>
  <c r="K288" i="7"/>
  <c r="K334" i="7"/>
  <c r="K550" i="7"/>
  <c r="K766" i="7"/>
  <c r="K985" i="7"/>
  <c r="K927" i="7"/>
  <c r="K140" i="7"/>
  <c r="K356" i="7"/>
  <c r="K500" i="7"/>
  <c r="K656" i="7"/>
  <c r="K788" i="7"/>
  <c r="K944" i="7"/>
  <c r="K865" i="7"/>
  <c r="K937" i="7"/>
  <c r="K981" i="7"/>
  <c r="B14" i="6"/>
  <c r="U3" i="7" l="1"/>
  <c r="Z3" i="7" s="1"/>
  <c r="BQ5" i="7"/>
  <c r="BR4" i="7"/>
  <c r="R3" i="7"/>
  <c r="W3" i="7" s="1"/>
  <c r="AI113" i="1"/>
  <c r="AI105" i="1"/>
  <c r="C4" i="7"/>
  <c r="F4" i="7"/>
  <c r="K3" i="7"/>
  <c r="G4" i="7"/>
  <c r="V4" i="7" s="1"/>
  <c r="L3" i="7"/>
  <c r="V3" i="7"/>
  <c r="AA3" i="7" s="1"/>
  <c r="D4" i="7"/>
  <c r="S4" i="7" s="1"/>
  <c r="I3" i="7"/>
  <c r="E4" i="7"/>
  <c r="T4" i="7" s="1"/>
  <c r="J3" i="7"/>
  <c r="AJ113" i="1" l="1"/>
  <c r="U4" i="7"/>
  <c r="Z4" i="7" s="1"/>
  <c r="AJ105" i="1"/>
  <c r="BQ6" i="7"/>
  <c r="BR5" i="7"/>
  <c r="R4" i="7"/>
  <c r="W4" i="7" s="1"/>
  <c r="H4" i="7"/>
  <c r="C5" i="7"/>
  <c r="E5" i="7"/>
  <c r="T5" i="7" s="1"/>
  <c r="J4" i="7"/>
  <c r="Y4" i="7"/>
  <c r="D5" i="7"/>
  <c r="S5" i="7" s="1"/>
  <c r="I4" i="7"/>
  <c r="X4" i="7"/>
  <c r="G5" i="7"/>
  <c r="V5" i="7" s="1"/>
  <c r="L4" i="7"/>
  <c r="AA4" i="7"/>
  <c r="F5" i="7"/>
  <c r="K4" i="7"/>
  <c r="U5" i="7" l="1"/>
  <c r="Z5" i="7" s="1"/>
  <c r="BQ7" i="7"/>
  <c r="BR6" i="7"/>
  <c r="H5" i="7"/>
  <c r="R5" i="7"/>
  <c r="W5" i="7" s="1"/>
  <c r="C6" i="7"/>
  <c r="G6" i="7"/>
  <c r="V6" i="7" s="1"/>
  <c r="L5" i="7"/>
  <c r="AA5" i="7"/>
  <c r="D6" i="7"/>
  <c r="S6" i="7" s="1"/>
  <c r="I5" i="7"/>
  <c r="X5" i="7"/>
  <c r="E6" i="7"/>
  <c r="T6" i="7" s="1"/>
  <c r="J5" i="7"/>
  <c r="Y5" i="7"/>
  <c r="F6" i="7"/>
  <c r="K5" i="7"/>
  <c r="U6" i="7" l="1"/>
  <c r="Z6" i="7" s="1"/>
  <c r="BQ8" i="7"/>
  <c r="BR7" i="7"/>
  <c r="H6" i="7"/>
  <c r="R6" i="7"/>
  <c r="W6" i="7" s="1"/>
  <c r="C7" i="7"/>
  <c r="E7" i="7"/>
  <c r="T7" i="7" s="1"/>
  <c r="J6" i="7"/>
  <c r="Y6" i="7"/>
  <c r="D7" i="7"/>
  <c r="S7" i="7" s="1"/>
  <c r="I6" i="7"/>
  <c r="X6" i="7"/>
  <c r="G7" i="7"/>
  <c r="V7" i="7" s="1"/>
  <c r="L6" i="7"/>
  <c r="AA6" i="7"/>
  <c r="F7" i="7"/>
  <c r="K6" i="7"/>
  <c r="U7" i="7" l="1"/>
  <c r="Z7" i="7" s="1"/>
  <c r="BQ9" i="7"/>
  <c r="BR8" i="7"/>
  <c r="R7" i="7"/>
  <c r="W7" i="7" s="1"/>
  <c r="H7" i="7"/>
  <c r="G8" i="7"/>
  <c r="V8" i="7" s="1"/>
  <c r="L7" i="7"/>
  <c r="AA7" i="7"/>
  <c r="D8" i="7"/>
  <c r="S8" i="7" s="1"/>
  <c r="I7" i="7"/>
  <c r="X7" i="7"/>
  <c r="F8" i="7"/>
  <c r="K7" i="7"/>
  <c r="E8" i="7"/>
  <c r="T8" i="7" s="1"/>
  <c r="J7" i="7"/>
  <c r="Y7" i="7"/>
  <c r="C8" i="7"/>
  <c r="U8" i="7" l="1"/>
  <c r="Z8" i="7" s="1"/>
  <c r="BQ10" i="7"/>
  <c r="BR9" i="7"/>
  <c r="H8" i="7"/>
  <c r="R8" i="7"/>
  <c r="W8" i="7" s="1"/>
  <c r="E9" i="7"/>
  <c r="T9" i="7" s="1"/>
  <c r="J8" i="7"/>
  <c r="Y8" i="7"/>
  <c r="F9" i="7"/>
  <c r="K8" i="7"/>
  <c r="C9" i="7"/>
  <c r="D9" i="7"/>
  <c r="S9" i="7" s="1"/>
  <c r="I8" i="7"/>
  <c r="X8" i="7"/>
  <c r="G9" i="7"/>
  <c r="V9" i="7" s="1"/>
  <c r="L8" i="7"/>
  <c r="AA8" i="7"/>
  <c r="U9" i="7" l="1"/>
  <c r="Z9" i="7" s="1"/>
  <c r="BQ11" i="7"/>
  <c r="BR10" i="7"/>
  <c r="H9" i="7"/>
  <c r="R9" i="7"/>
  <c r="W9" i="7" s="1"/>
  <c r="D10" i="7"/>
  <c r="S10" i="7" s="1"/>
  <c r="I9" i="7"/>
  <c r="X9" i="7"/>
  <c r="G10" i="7"/>
  <c r="V10" i="7" s="1"/>
  <c r="L9" i="7"/>
  <c r="AA9" i="7"/>
  <c r="C10" i="7"/>
  <c r="F10" i="7"/>
  <c r="K9" i="7"/>
  <c r="E10" i="7"/>
  <c r="T10" i="7" s="1"/>
  <c r="J9" i="7"/>
  <c r="Y9" i="7"/>
  <c r="U10" i="7" l="1"/>
  <c r="Z10" i="7" s="1"/>
  <c r="BQ12" i="7"/>
  <c r="BR11" i="7"/>
  <c r="H10" i="7"/>
  <c r="R10" i="7"/>
  <c r="W10" i="7" s="1"/>
  <c r="E11" i="7"/>
  <c r="T11" i="7" s="1"/>
  <c r="J10" i="7"/>
  <c r="Y10" i="7"/>
  <c r="F11" i="7"/>
  <c r="K10" i="7"/>
  <c r="C11" i="7"/>
  <c r="G11" i="7"/>
  <c r="V11" i="7" s="1"/>
  <c r="L10" i="7"/>
  <c r="AA10" i="7"/>
  <c r="D11" i="7"/>
  <c r="I10" i="7"/>
  <c r="X10" i="7"/>
  <c r="U11" i="7" l="1"/>
  <c r="Z11" i="7" s="1"/>
  <c r="S11" i="7"/>
  <c r="X11" i="7" s="1"/>
  <c r="I11" i="7"/>
  <c r="BQ13" i="7"/>
  <c r="BR12" i="7"/>
  <c r="H11" i="7"/>
  <c r="R11" i="7"/>
  <c r="W11" i="7" s="1"/>
  <c r="D12" i="7"/>
  <c r="S12" i="7" s="1"/>
  <c r="G12" i="7"/>
  <c r="V12" i="7" s="1"/>
  <c r="L11" i="7"/>
  <c r="AA11" i="7"/>
  <c r="C12" i="7"/>
  <c r="F12" i="7"/>
  <c r="K11" i="7"/>
  <c r="E12" i="7"/>
  <c r="T12" i="7" s="1"/>
  <c r="J11" i="7"/>
  <c r="Y11" i="7"/>
  <c r="U12" i="7" l="1"/>
  <c r="Z12" i="7" s="1"/>
  <c r="BQ14" i="7"/>
  <c r="BR13" i="7"/>
  <c r="R12" i="7"/>
  <c r="H12" i="7"/>
  <c r="E13" i="7"/>
  <c r="T13" i="7" s="1"/>
  <c r="J12" i="7"/>
  <c r="Y12" i="7"/>
  <c r="F13" i="7"/>
  <c r="K12" i="7"/>
  <c r="C13" i="7"/>
  <c r="G13" i="7"/>
  <c r="V13" i="7" s="1"/>
  <c r="L12" i="7"/>
  <c r="AA12" i="7"/>
  <c r="D13" i="7"/>
  <c r="S13" i="7" s="1"/>
  <c r="I12" i="7"/>
  <c r="X12" i="7"/>
  <c r="U13" i="7" l="1"/>
  <c r="BQ15" i="7"/>
  <c r="BR14" i="7"/>
  <c r="R13" i="7"/>
  <c r="W13" i="7" s="1"/>
  <c r="H13" i="7"/>
  <c r="W12" i="7"/>
  <c r="D14" i="7"/>
  <c r="S14" i="7" s="1"/>
  <c r="I13" i="7"/>
  <c r="G14" i="7"/>
  <c r="V14" i="7" s="1"/>
  <c r="L13" i="7"/>
  <c r="C14" i="7"/>
  <c r="F14" i="7"/>
  <c r="K13" i="7"/>
  <c r="E14" i="7"/>
  <c r="T14" i="7" s="1"/>
  <c r="J13" i="7"/>
  <c r="U14" i="7" l="1"/>
  <c r="BQ16" i="7"/>
  <c r="BR15" i="7"/>
  <c r="R14" i="7"/>
  <c r="H14" i="7"/>
  <c r="AB13" i="7"/>
  <c r="AG13" i="7" s="1"/>
  <c r="AA13" i="7"/>
  <c r="AF13" i="7" s="1"/>
  <c r="AK13" i="7" s="1"/>
  <c r="Y13" i="7"/>
  <c r="AD13" i="7" s="1"/>
  <c r="AI13" i="7" s="1"/>
  <c r="X13" i="7"/>
  <c r="AC13" i="7" s="1"/>
  <c r="AH13" i="7" s="1"/>
  <c r="Z13" i="7"/>
  <c r="AE13" i="7" s="1"/>
  <c r="AJ13" i="7" s="1"/>
  <c r="F15" i="7"/>
  <c r="K14" i="7"/>
  <c r="E15" i="7"/>
  <c r="T15" i="7" s="1"/>
  <c r="J14" i="7"/>
  <c r="C15" i="7"/>
  <c r="G15" i="7"/>
  <c r="V15" i="7" s="1"/>
  <c r="L14" i="7"/>
  <c r="D15" i="7"/>
  <c r="S15" i="7" s="1"/>
  <c r="X15" i="7" s="1"/>
  <c r="I14" i="7"/>
  <c r="U15" i="7" l="1"/>
  <c r="BQ17" i="7"/>
  <c r="BR16" i="7"/>
  <c r="H15" i="7"/>
  <c r="R15" i="7"/>
  <c r="X14" i="7"/>
  <c r="AC14" i="7" s="1"/>
  <c r="AH14" i="7" s="1"/>
  <c r="AA14" i="7"/>
  <c r="AF14" i="7" s="1"/>
  <c r="AK14" i="7" s="1"/>
  <c r="W14" i="7"/>
  <c r="AB14" i="7" s="1"/>
  <c r="AG14" i="7" s="1"/>
  <c r="Y14" i="7"/>
  <c r="AD14" i="7" s="1"/>
  <c r="AI14" i="7" s="1"/>
  <c r="Z14" i="7"/>
  <c r="AE14" i="7" s="1"/>
  <c r="AJ14" i="7" s="1"/>
  <c r="D16" i="7"/>
  <c r="S16" i="7" s="1"/>
  <c r="I15" i="7"/>
  <c r="G16" i="7"/>
  <c r="V16" i="7" s="1"/>
  <c r="L15" i="7"/>
  <c r="C16" i="7"/>
  <c r="E16" i="7"/>
  <c r="T16" i="7" s="1"/>
  <c r="J15" i="7"/>
  <c r="F16" i="7"/>
  <c r="K15" i="7"/>
  <c r="U16" i="7" l="1"/>
  <c r="BQ18" i="7"/>
  <c r="BR17" i="7"/>
  <c r="R16" i="7"/>
  <c r="H16" i="7"/>
  <c r="Z15" i="7"/>
  <c r="AE15" i="7" s="1"/>
  <c r="AJ15" i="7" s="1"/>
  <c r="Y15" i="7"/>
  <c r="AD15" i="7" s="1"/>
  <c r="AI15" i="7" s="1"/>
  <c r="W15" i="7"/>
  <c r="AB15" i="7" s="1"/>
  <c r="AG15" i="7" s="1"/>
  <c r="AA15" i="7"/>
  <c r="AF15" i="7" s="1"/>
  <c r="AK15" i="7" s="1"/>
  <c r="AC15" i="7"/>
  <c r="AH15" i="7" s="1"/>
  <c r="F17" i="7"/>
  <c r="K16" i="7"/>
  <c r="E17" i="7"/>
  <c r="T17" i="7" s="1"/>
  <c r="J16" i="7"/>
  <c r="C17" i="7"/>
  <c r="C18" i="7" s="1"/>
  <c r="G17" i="7"/>
  <c r="V17" i="7" s="1"/>
  <c r="L16" i="7"/>
  <c r="D17" i="7"/>
  <c r="S17" i="7" s="1"/>
  <c r="I16" i="7"/>
  <c r="U17" i="7" l="1"/>
  <c r="BQ19" i="7"/>
  <c r="BR18" i="7"/>
  <c r="H17" i="7"/>
  <c r="R17" i="7"/>
  <c r="X16" i="7"/>
  <c r="AC16" i="7" s="1"/>
  <c r="AH16" i="7" s="1"/>
  <c r="AA16" i="7"/>
  <c r="AF16" i="7" s="1"/>
  <c r="AK16" i="7" s="1"/>
  <c r="W16" i="7"/>
  <c r="AB16" i="7" s="1"/>
  <c r="AG16" i="7" s="1"/>
  <c r="Y16" i="7"/>
  <c r="AD16" i="7" s="1"/>
  <c r="AI16" i="7" s="1"/>
  <c r="Z16" i="7"/>
  <c r="AE16" i="7" s="1"/>
  <c r="AJ16" i="7" s="1"/>
  <c r="D18" i="7"/>
  <c r="S18" i="7" s="1"/>
  <c r="I17" i="7"/>
  <c r="G18" i="7"/>
  <c r="V18" i="7" s="1"/>
  <c r="L17" i="7"/>
  <c r="E18" i="7"/>
  <c r="T18" i="7" s="1"/>
  <c r="J17" i="7"/>
  <c r="F18" i="7"/>
  <c r="K17" i="7"/>
  <c r="U18" i="7" l="1"/>
  <c r="BQ20" i="7"/>
  <c r="BR19" i="7"/>
  <c r="H18" i="7"/>
  <c r="R18" i="7"/>
  <c r="Z17" i="7"/>
  <c r="AE17" i="7" s="1"/>
  <c r="AJ17" i="7" s="1"/>
  <c r="Y17" i="7"/>
  <c r="AD17" i="7" s="1"/>
  <c r="AI17" i="7" s="1"/>
  <c r="W17" i="7"/>
  <c r="AB17" i="7" s="1"/>
  <c r="AG17" i="7" s="1"/>
  <c r="AA17" i="7"/>
  <c r="AF17" i="7" s="1"/>
  <c r="AK17" i="7" s="1"/>
  <c r="X17" i="7"/>
  <c r="AC17" i="7" s="1"/>
  <c r="AH17" i="7" s="1"/>
  <c r="F19" i="7"/>
  <c r="K18" i="7"/>
  <c r="E19" i="7"/>
  <c r="T19" i="7" s="1"/>
  <c r="J18" i="7"/>
  <c r="C19" i="7"/>
  <c r="G19" i="7"/>
  <c r="V19" i="7" s="1"/>
  <c r="L18" i="7"/>
  <c r="D19" i="7"/>
  <c r="S19" i="7" s="1"/>
  <c r="I18" i="7"/>
  <c r="U19" i="7" l="1"/>
  <c r="BQ21" i="7"/>
  <c r="BR20" i="7"/>
  <c r="R19" i="7"/>
  <c r="H19" i="7"/>
  <c r="X18" i="7"/>
  <c r="AC18" i="7" s="1"/>
  <c r="AH18" i="7" s="1"/>
  <c r="AA18" i="7"/>
  <c r="AF18" i="7" s="1"/>
  <c r="AK18" i="7" s="1"/>
  <c r="W18" i="7"/>
  <c r="AB18" i="7" s="1"/>
  <c r="AG18" i="7" s="1"/>
  <c r="Y18" i="7"/>
  <c r="AD18" i="7" s="1"/>
  <c r="AI18" i="7" s="1"/>
  <c r="Z18" i="7"/>
  <c r="AE18" i="7" s="1"/>
  <c r="AJ18" i="7" s="1"/>
  <c r="D20" i="7"/>
  <c r="S20" i="7" s="1"/>
  <c r="I19" i="7"/>
  <c r="G20" i="7"/>
  <c r="V20" i="7" s="1"/>
  <c r="L19" i="7"/>
  <c r="C20" i="7"/>
  <c r="E20" i="7"/>
  <c r="T20" i="7" s="1"/>
  <c r="J19" i="7"/>
  <c r="F20" i="7"/>
  <c r="K19" i="7"/>
  <c r="U20" i="7" l="1"/>
  <c r="BQ22" i="7"/>
  <c r="BR21" i="7"/>
  <c r="R20" i="7"/>
  <c r="H20" i="7"/>
  <c r="Z19" i="7"/>
  <c r="AE19" i="7" s="1"/>
  <c r="AJ19" i="7" s="1"/>
  <c r="Y19" i="7"/>
  <c r="AD19" i="7" s="1"/>
  <c r="AI19" i="7" s="1"/>
  <c r="W19" i="7"/>
  <c r="AB19" i="7" s="1"/>
  <c r="AG19" i="7" s="1"/>
  <c r="AA19" i="7"/>
  <c r="AF19" i="7" s="1"/>
  <c r="AK19" i="7" s="1"/>
  <c r="X19" i="7"/>
  <c r="AC19" i="7" s="1"/>
  <c r="AH19" i="7" s="1"/>
  <c r="F21" i="7"/>
  <c r="K20" i="7"/>
  <c r="E21" i="7"/>
  <c r="T21" i="7" s="1"/>
  <c r="J20" i="7"/>
  <c r="C21" i="7"/>
  <c r="G21" i="7"/>
  <c r="V21" i="7" s="1"/>
  <c r="L20" i="7"/>
  <c r="D21" i="7"/>
  <c r="S21" i="7" s="1"/>
  <c r="I20" i="7"/>
  <c r="U21" i="7" l="1"/>
  <c r="BQ23" i="7"/>
  <c r="BR22" i="7"/>
  <c r="R21" i="7"/>
  <c r="H21" i="7"/>
  <c r="X20" i="7"/>
  <c r="AC20" i="7" s="1"/>
  <c r="AH20" i="7" s="1"/>
  <c r="AA20" i="7"/>
  <c r="AF20" i="7" s="1"/>
  <c r="AK20" i="7" s="1"/>
  <c r="X21" i="7"/>
  <c r="W20" i="7"/>
  <c r="AB20" i="7" s="1"/>
  <c r="AG20" i="7" s="1"/>
  <c r="Y20" i="7"/>
  <c r="AD20" i="7" s="1"/>
  <c r="AI20" i="7" s="1"/>
  <c r="Z20" i="7"/>
  <c r="AE20" i="7" s="1"/>
  <c r="AJ20" i="7" s="1"/>
  <c r="G22" i="7"/>
  <c r="V22" i="7" s="1"/>
  <c r="L21" i="7"/>
  <c r="D22" i="7"/>
  <c r="S22" i="7" s="1"/>
  <c r="I21" i="7"/>
  <c r="C22" i="7"/>
  <c r="E22" i="7"/>
  <c r="T22" i="7" s="1"/>
  <c r="J21" i="7"/>
  <c r="F22" i="7"/>
  <c r="K21" i="7"/>
  <c r="U22" i="7" l="1"/>
  <c r="BQ24" i="7"/>
  <c r="BR23" i="7"/>
  <c r="R22" i="7"/>
  <c r="H22" i="7"/>
  <c r="AC21" i="7"/>
  <c r="AH21" i="7" s="1"/>
  <c r="W21" i="7"/>
  <c r="AB21" i="7" s="1"/>
  <c r="AG21" i="7" s="1"/>
  <c r="Y21" i="7"/>
  <c r="AD21" i="7" s="1"/>
  <c r="AI21" i="7" s="1"/>
  <c r="AA21" i="7"/>
  <c r="AF21" i="7" s="1"/>
  <c r="AK21" i="7" s="1"/>
  <c r="Z21" i="7"/>
  <c r="AE21" i="7" s="1"/>
  <c r="AJ21" i="7" s="1"/>
  <c r="F23" i="7"/>
  <c r="K22" i="7"/>
  <c r="E23" i="7"/>
  <c r="T23" i="7" s="1"/>
  <c r="J22" i="7"/>
  <c r="C23" i="7"/>
  <c r="D23" i="7"/>
  <c r="S23" i="7" s="1"/>
  <c r="I22" i="7"/>
  <c r="G23" i="7"/>
  <c r="V23" i="7" s="1"/>
  <c r="L22" i="7"/>
  <c r="AA22" i="7"/>
  <c r="U23" i="7" l="1"/>
  <c r="BQ25" i="7"/>
  <c r="BR24" i="7"/>
  <c r="R23" i="7"/>
  <c r="H23" i="7"/>
  <c r="AF22" i="7"/>
  <c r="AK22" i="7" s="1"/>
  <c r="X22" i="7"/>
  <c r="AC22" i="7" s="1"/>
  <c r="AH22" i="7" s="1"/>
  <c r="Z22" i="7"/>
  <c r="AE22" i="7" s="1"/>
  <c r="AJ22" i="7" s="1"/>
  <c r="W22" i="7"/>
  <c r="AB22" i="7" s="1"/>
  <c r="AG22" i="7" s="1"/>
  <c r="Y22" i="7"/>
  <c r="AD22" i="7" s="1"/>
  <c r="AI22" i="7" s="1"/>
  <c r="G24" i="7"/>
  <c r="V24" i="7" s="1"/>
  <c r="L23" i="7"/>
  <c r="C24" i="7"/>
  <c r="D24" i="7"/>
  <c r="S24" i="7" s="1"/>
  <c r="I23" i="7"/>
  <c r="E24" i="7"/>
  <c r="T24" i="7" s="1"/>
  <c r="J23" i="7"/>
  <c r="F24" i="7"/>
  <c r="K23" i="7"/>
  <c r="U24" i="7" l="1"/>
  <c r="BQ26" i="7"/>
  <c r="BR25" i="7"/>
  <c r="R24" i="7"/>
  <c r="H24" i="7"/>
  <c r="AA23" i="7"/>
  <c r="AF23" i="7" s="1"/>
  <c r="AK23" i="7" s="1"/>
  <c r="Z23" i="7"/>
  <c r="AE23" i="7" s="1"/>
  <c r="AJ23" i="7" s="1"/>
  <c r="Y23" i="7"/>
  <c r="AD23" i="7" s="1"/>
  <c r="AI23" i="7" s="1"/>
  <c r="W23" i="7"/>
  <c r="AB23" i="7" s="1"/>
  <c r="AG23" i="7" s="1"/>
  <c r="X23" i="7"/>
  <c r="AC23" i="7" s="1"/>
  <c r="AH23" i="7" s="1"/>
  <c r="F25" i="7"/>
  <c r="K24" i="7"/>
  <c r="E25" i="7"/>
  <c r="T25" i="7" s="1"/>
  <c r="J24" i="7"/>
  <c r="D25" i="7"/>
  <c r="S25" i="7" s="1"/>
  <c r="I24" i="7"/>
  <c r="C25" i="7"/>
  <c r="G25" i="7"/>
  <c r="V25" i="7" s="1"/>
  <c r="L24" i="7"/>
  <c r="U25" i="7" l="1"/>
  <c r="Z25" i="7" s="1"/>
  <c r="BQ27" i="7"/>
  <c r="BR26" i="7"/>
  <c r="R25" i="7"/>
  <c r="W25" i="7" s="1"/>
  <c r="H25" i="7"/>
  <c r="AA24" i="7"/>
  <c r="AF24" i="7" s="1"/>
  <c r="AK24" i="7" s="1"/>
  <c r="W24" i="7"/>
  <c r="AB24" i="7" s="1"/>
  <c r="AG24" i="7" s="1"/>
  <c r="X24" i="7"/>
  <c r="AC24" i="7" s="1"/>
  <c r="AH24" i="7" s="1"/>
  <c r="Y24" i="7"/>
  <c r="AD24" i="7" s="1"/>
  <c r="AI24" i="7" s="1"/>
  <c r="Y25" i="7"/>
  <c r="Z24" i="7"/>
  <c r="AE24" i="7" s="1"/>
  <c r="AJ24" i="7" s="1"/>
  <c r="G26" i="7"/>
  <c r="L25" i="7"/>
  <c r="C26" i="7"/>
  <c r="D26" i="7"/>
  <c r="I25" i="7"/>
  <c r="E26" i="7"/>
  <c r="J25" i="7"/>
  <c r="F26" i="7"/>
  <c r="K25" i="7"/>
  <c r="BQ28" i="7" l="1"/>
  <c r="BR27" i="7"/>
  <c r="C27" i="7"/>
  <c r="R26" i="7"/>
  <c r="H26" i="7"/>
  <c r="G27" i="7"/>
  <c r="V26" i="7"/>
  <c r="F27" i="7"/>
  <c r="U26" i="7"/>
  <c r="E27" i="7"/>
  <c r="J27" i="7" s="1"/>
  <c r="T26" i="7"/>
  <c r="D27" i="7"/>
  <c r="I27" i="7" s="1"/>
  <c r="S26" i="7"/>
  <c r="AB25" i="7"/>
  <c r="AG25" i="7" s="1"/>
  <c r="AD25" i="7"/>
  <c r="AI25" i="7" s="1"/>
  <c r="AE25" i="7"/>
  <c r="AJ25" i="7" s="1"/>
  <c r="X25" i="7"/>
  <c r="AC25" i="7" s="1"/>
  <c r="AH25" i="7" s="1"/>
  <c r="AA25" i="7"/>
  <c r="AF25" i="7" s="1"/>
  <c r="AK25" i="7" s="1"/>
  <c r="J26" i="7"/>
  <c r="K26" i="7"/>
  <c r="I26" i="7"/>
  <c r="L26" i="7"/>
  <c r="BQ29" i="7" l="1"/>
  <c r="BR28" i="7"/>
  <c r="D28" i="7"/>
  <c r="S27" i="7"/>
  <c r="X27" i="7" s="1"/>
  <c r="E28" i="7"/>
  <c r="T27" i="7"/>
  <c r="Y27" i="7" s="1"/>
  <c r="F28" i="7"/>
  <c r="U27" i="7"/>
  <c r="Z27" i="7" s="1"/>
  <c r="G28" i="7"/>
  <c r="V27" i="7"/>
  <c r="AA27" i="7" s="1"/>
  <c r="L27" i="7"/>
  <c r="K27" i="7"/>
  <c r="C28" i="7"/>
  <c r="R27" i="7"/>
  <c r="W27" i="7" s="1"/>
  <c r="H27" i="7"/>
  <c r="X26" i="7"/>
  <c r="AC26" i="7" s="1"/>
  <c r="AH26" i="7" s="1"/>
  <c r="Y26" i="7"/>
  <c r="AD26" i="7" s="1"/>
  <c r="AI26" i="7" s="1"/>
  <c r="W26" i="7"/>
  <c r="AB26" i="7" s="1"/>
  <c r="AG26" i="7" s="1"/>
  <c r="AA26" i="7"/>
  <c r="AF26" i="7" s="1"/>
  <c r="AK26" i="7" s="1"/>
  <c r="Z26" i="7"/>
  <c r="AE26" i="7" s="1"/>
  <c r="AJ26" i="7" s="1"/>
  <c r="BQ30" i="7" l="1"/>
  <c r="BR29" i="7"/>
  <c r="C29" i="7"/>
  <c r="C30" i="7" s="1"/>
  <c r="C31" i="7" s="1"/>
  <c r="C32" i="7" s="1"/>
  <c r="C33" i="7" s="1"/>
  <c r="C34" i="7" s="1"/>
  <c r="R28" i="7"/>
  <c r="W28" i="7" s="1"/>
  <c r="H28" i="7"/>
  <c r="G29" i="7"/>
  <c r="G30" i="7" s="1"/>
  <c r="G31" i="7" s="1"/>
  <c r="G32" i="7" s="1"/>
  <c r="G33" i="7" s="1"/>
  <c r="G34" i="7" s="1"/>
  <c r="G35" i="7" s="1"/>
  <c r="G36" i="7" s="1"/>
  <c r="G37" i="7" s="1"/>
  <c r="G38" i="7" s="1"/>
  <c r="G39" i="7" s="1"/>
  <c r="G40" i="7" s="1"/>
  <c r="G41" i="7" s="1"/>
  <c r="G42" i="7" s="1"/>
  <c r="G43" i="7" s="1"/>
  <c r="G44" i="7" s="1"/>
  <c r="G45" i="7" s="1"/>
  <c r="V28" i="7"/>
  <c r="AA28" i="7" s="1"/>
  <c r="AF28" i="7" s="1"/>
  <c r="L28" i="7"/>
  <c r="F29" i="7"/>
  <c r="U28" i="7"/>
  <c r="Z28" i="7" s="1"/>
  <c r="AE28" i="7" s="1"/>
  <c r="K28" i="7"/>
  <c r="E29" i="7"/>
  <c r="E30" i="7" s="1"/>
  <c r="E31" i="7" s="1"/>
  <c r="E32" i="7" s="1"/>
  <c r="E33" i="7" s="1"/>
  <c r="E34" i="7" s="1"/>
  <c r="E35" i="7" s="1"/>
  <c r="E36" i="7" s="1"/>
  <c r="E37" i="7" s="1"/>
  <c r="E38" i="7" s="1"/>
  <c r="E39" i="7" s="1"/>
  <c r="E40" i="7" s="1"/>
  <c r="E41" i="7" s="1"/>
  <c r="E42" i="7" s="1"/>
  <c r="E43" i="7" s="1"/>
  <c r="E44" i="7" s="1"/>
  <c r="E45" i="7" s="1"/>
  <c r="T28" i="7"/>
  <c r="Y28" i="7" s="1"/>
  <c r="J28" i="7"/>
  <c r="D29" i="7"/>
  <c r="D30" i="7" s="1"/>
  <c r="D31" i="7" s="1"/>
  <c r="D32" i="7" s="1"/>
  <c r="D33" i="7" s="1"/>
  <c r="D34" i="7" s="1"/>
  <c r="S28" i="7"/>
  <c r="X28" i="7" s="1"/>
  <c r="I28" i="7"/>
  <c r="AF27" i="7"/>
  <c r="AK27" i="7" s="1"/>
  <c r="AD27" i="7"/>
  <c r="AI27" i="7" s="1"/>
  <c r="AC27" i="7"/>
  <c r="AH27" i="7" s="1"/>
  <c r="AB27" i="7"/>
  <c r="AG27" i="7" s="1"/>
  <c r="AE27" i="7"/>
  <c r="AJ27" i="7" s="1"/>
  <c r="T45" i="7" l="1"/>
  <c r="J45" i="7"/>
  <c r="V45" i="7"/>
  <c r="L45" i="7"/>
  <c r="T44" i="7"/>
  <c r="J44" i="7"/>
  <c r="V44" i="7"/>
  <c r="L44" i="7"/>
  <c r="T43" i="7"/>
  <c r="J43" i="7"/>
  <c r="V43" i="7"/>
  <c r="L43" i="7"/>
  <c r="T42" i="7"/>
  <c r="J42" i="7"/>
  <c r="V42" i="7"/>
  <c r="L42" i="7"/>
  <c r="T41" i="7"/>
  <c r="J41" i="7"/>
  <c r="V41" i="7"/>
  <c r="L41" i="7"/>
  <c r="C35" i="7"/>
  <c r="H35" i="7" s="1"/>
  <c r="H34" i="7"/>
  <c r="F30" i="7"/>
  <c r="K30" i="7" s="1"/>
  <c r="T40" i="7"/>
  <c r="J40" i="7"/>
  <c r="V40" i="7"/>
  <c r="L40" i="7"/>
  <c r="T39" i="7"/>
  <c r="J39" i="7"/>
  <c r="V39" i="7"/>
  <c r="L39" i="7"/>
  <c r="T38" i="7"/>
  <c r="J38" i="7"/>
  <c r="V38" i="7"/>
  <c r="L38" i="7"/>
  <c r="T37" i="7"/>
  <c r="J37" i="7"/>
  <c r="V37" i="7"/>
  <c r="L37" i="7"/>
  <c r="T36" i="7"/>
  <c r="J36" i="7"/>
  <c r="V36" i="7"/>
  <c r="L36" i="7"/>
  <c r="T35" i="7"/>
  <c r="J35" i="7"/>
  <c r="V35" i="7"/>
  <c r="L35" i="7"/>
  <c r="I34" i="7"/>
  <c r="D35" i="7"/>
  <c r="D36" i="7" s="1"/>
  <c r="D37" i="7" s="1"/>
  <c r="D38" i="7" s="1"/>
  <c r="D39" i="7" s="1"/>
  <c r="D40" i="7" s="1"/>
  <c r="V34" i="7"/>
  <c r="L34" i="7"/>
  <c r="T34" i="7"/>
  <c r="J34" i="7"/>
  <c r="R34" i="7"/>
  <c r="S34" i="7"/>
  <c r="T33" i="7"/>
  <c r="J33" i="7"/>
  <c r="V33" i="7"/>
  <c r="L33" i="7"/>
  <c r="R33" i="7"/>
  <c r="H33" i="7"/>
  <c r="S33" i="7"/>
  <c r="I33" i="7"/>
  <c r="BQ31" i="7"/>
  <c r="BR30" i="7"/>
  <c r="S32" i="7"/>
  <c r="I32" i="7"/>
  <c r="T32" i="7"/>
  <c r="J32" i="7"/>
  <c r="V32" i="7"/>
  <c r="L32" i="7"/>
  <c r="R32" i="7"/>
  <c r="H32" i="7"/>
  <c r="T31" i="7"/>
  <c r="J31" i="7"/>
  <c r="V31" i="7"/>
  <c r="L31" i="7"/>
  <c r="S31" i="7"/>
  <c r="I31" i="7"/>
  <c r="R31" i="7"/>
  <c r="H31" i="7"/>
  <c r="S30" i="7"/>
  <c r="I30" i="7"/>
  <c r="T30" i="7"/>
  <c r="J30" i="7"/>
  <c r="V30" i="7"/>
  <c r="L30" i="7"/>
  <c r="R30" i="7"/>
  <c r="H30" i="7"/>
  <c r="T29" i="7"/>
  <c r="Y29" i="7" s="1"/>
  <c r="AD29" i="7" s="1"/>
  <c r="J29" i="7"/>
  <c r="AD28" i="7"/>
  <c r="AI28" i="7" s="1"/>
  <c r="AC28" i="7"/>
  <c r="AH28" i="7" s="1"/>
  <c r="U29" i="7"/>
  <c r="K29" i="7"/>
  <c r="V29" i="7"/>
  <c r="L29" i="7"/>
  <c r="AB28" i="7"/>
  <c r="AG28" i="7" s="1"/>
  <c r="S29" i="7"/>
  <c r="I29" i="7"/>
  <c r="R29" i="7"/>
  <c r="H29" i="7"/>
  <c r="AJ28" i="7"/>
  <c r="AK28" i="7"/>
  <c r="AA45" i="7" l="1"/>
  <c r="Y45" i="7"/>
  <c r="AA44" i="7"/>
  <c r="Y44" i="7"/>
  <c r="AA43" i="7"/>
  <c r="Y43" i="7"/>
  <c r="AA42" i="7"/>
  <c r="Y42" i="7"/>
  <c r="C36" i="7"/>
  <c r="H36" i="7" s="1"/>
  <c r="I40" i="7"/>
  <c r="D41" i="7"/>
  <c r="D42" i="7" s="1"/>
  <c r="D43" i="7" s="1"/>
  <c r="D44" i="7" s="1"/>
  <c r="D45" i="7" s="1"/>
  <c r="AA41" i="7"/>
  <c r="Y41" i="7"/>
  <c r="AI29" i="7"/>
  <c r="U30" i="7"/>
  <c r="Z30" i="7" s="1"/>
  <c r="R35" i="7"/>
  <c r="W35" i="7" s="1"/>
  <c r="F31" i="7"/>
  <c r="Y40" i="7"/>
  <c r="S40" i="7"/>
  <c r="AA40" i="7"/>
  <c r="S39" i="7"/>
  <c r="I39" i="7"/>
  <c r="AA39" i="7"/>
  <c r="Y39" i="7"/>
  <c r="S38" i="7"/>
  <c r="I38" i="7"/>
  <c r="AA38" i="7"/>
  <c r="Y38" i="7"/>
  <c r="S37" i="7"/>
  <c r="I37" i="7"/>
  <c r="AA37" i="7"/>
  <c r="Y37" i="7"/>
  <c r="AA36" i="7"/>
  <c r="S36" i="7"/>
  <c r="I36" i="7"/>
  <c r="Y36" i="7"/>
  <c r="S35" i="7"/>
  <c r="X35" i="7" s="1"/>
  <c r="I35" i="7"/>
  <c r="AA35" i="7"/>
  <c r="Y35" i="7"/>
  <c r="X34" i="7"/>
  <c r="W34" i="7"/>
  <c r="Y34" i="7"/>
  <c r="AA34" i="7"/>
  <c r="X33" i="7"/>
  <c r="W33" i="7"/>
  <c r="Y33" i="7"/>
  <c r="AA33" i="7"/>
  <c r="BQ32" i="7"/>
  <c r="BR31" i="7"/>
  <c r="W32" i="7"/>
  <c r="AA32" i="7"/>
  <c r="Y32" i="7"/>
  <c r="X32" i="7"/>
  <c r="X31" i="7"/>
  <c r="W31" i="7"/>
  <c r="Y31" i="7"/>
  <c r="AA31" i="7"/>
  <c r="W30" i="7"/>
  <c r="AA30" i="7"/>
  <c r="Y30" i="7"/>
  <c r="AD30" i="7" s="1"/>
  <c r="AI30" i="7" s="1"/>
  <c r="X30" i="7"/>
  <c r="W29" i="7"/>
  <c r="AB29" i="7" s="1"/>
  <c r="AG29" i="7" s="1"/>
  <c r="AA29" i="7"/>
  <c r="AF29" i="7" s="1"/>
  <c r="AK29" i="7" s="1"/>
  <c r="Z29" i="7"/>
  <c r="AE29" i="7" s="1"/>
  <c r="AJ29" i="7" s="1"/>
  <c r="X29" i="7"/>
  <c r="AC29" i="7" s="1"/>
  <c r="AH29" i="7" s="1"/>
  <c r="S45" i="7" l="1"/>
  <c r="I45" i="7"/>
  <c r="AD45" i="7"/>
  <c r="AF45" i="7"/>
  <c r="S44" i="7"/>
  <c r="I44" i="7"/>
  <c r="AD44" i="7"/>
  <c r="AF44" i="7"/>
  <c r="AD43" i="7"/>
  <c r="AF43" i="7"/>
  <c r="S43" i="7"/>
  <c r="I43" i="7"/>
  <c r="AF42" i="7"/>
  <c r="S42" i="7"/>
  <c r="I42" i="7"/>
  <c r="AD42" i="7"/>
  <c r="C37" i="7"/>
  <c r="H37" i="7" s="1"/>
  <c r="R36" i="7"/>
  <c r="W36" i="7" s="1"/>
  <c r="AB36" i="7" s="1"/>
  <c r="AD41" i="7"/>
  <c r="AF41" i="7"/>
  <c r="S41" i="7"/>
  <c r="X41" i="7" s="1"/>
  <c r="AC41" i="7" s="1"/>
  <c r="I41" i="7"/>
  <c r="AC35" i="7"/>
  <c r="F32" i="7"/>
  <c r="U31" i="7"/>
  <c r="Z31" i="7" s="1"/>
  <c r="K31" i="7"/>
  <c r="X40" i="7"/>
  <c r="AF40" i="7"/>
  <c r="AD40" i="7"/>
  <c r="AD39" i="7"/>
  <c r="AF39" i="7"/>
  <c r="X39" i="7"/>
  <c r="AD38" i="7"/>
  <c r="AF38" i="7"/>
  <c r="X38" i="7"/>
  <c r="AD37" i="7"/>
  <c r="AF37" i="7"/>
  <c r="X37" i="7"/>
  <c r="AF36" i="7"/>
  <c r="X36" i="7"/>
  <c r="AC36" i="7" s="1"/>
  <c r="AD36" i="7"/>
  <c r="AD35" i="7"/>
  <c r="AB35" i="7"/>
  <c r="AF35" i="7"/>
  <c r="AC32" i="7"/>
  <c r="AF34" i="7"/>
  <c r="AD34" i="7"/>
  <c r="AB34" i="7"/>
  <c r="AC34" i="7"/>
  <c r="AF33" i="7"/>
  <c r="AD33" i="7"/>
  <c r="AB33" i="7"/>
  <c r="AC33" i="7"/>
  <c r="BR32" i="7"/>
  <c r="BQ33" i="7"/>
  <c r="AD32" i="7"/>
  <c r="AF32" i="7"/>
  <c r="AB32" i="7"/>
  <c r="AF31" i="7"/>
  <c r="AD31" i="7"/>
  <c r="AI31" i="7" s="1"/>
  <c r="AC31" i="7"/>
  <c r="AB31" i="7"/>
  <c r="AC30" i="7"/>
  <c r="AH30" i="7" s="1"/>
  <c r="AE30" i="7"/>
  <c r="AJ30" i="7" s="1"/>
  <c r="AF30" i="7"/>
  <c r="AK30" i="7" s="1"/>
  <c r="AB30" i="7"/>
  <c r="AG30" i="7" s="1"/>
  <c r="AK45" i="7" l="1"/>
  <c r="AI45" i="7"/>
  <c r="X45" i="7"/>
  <c r="AK44" i="7"/>
  <c r="AI44" i="7"/>
  <c r="X44" i="7"/>
  <c r="AI43" i="7"/>
  <c r="AK43" i="7"/>
  <c r="X43" i="7"/>
  <c r="C38" i="7"/>
  <c r="C39" i="7" s="1"/>
  <c r="C40" i="7" s="1"/>
  <c r="C41" i="7" s="1"/>
  <c r="C42" i="7" s="1"/>
  <c r="H42" i="7" s="1"/>
  <c r="AK42" i="7"/>
  <c r="AI42" i="7"/>
  <c r="X42" i="7"/>
  <c r="AC42" i="7" s="1"/>
  <c r="R37" i="7"/>
  <c r="W37" i="7" s="1"/>
  <c r="AB37" i="7" s="1"/>
  <c r="AG37" i="7" s="1"/>
  <c r="AK41" i="7"/>
  <c r="AI41" i="7"/>
  <c r="AE31" i="7"/>
  <c r="AJ31" i="7" s="1"/>
  <c r="F33" i="7"/>
  <c r="U32" i="7"/>
  <c r="K32" i="7"/>
  <c r="AK40" i="7"/>
  <c r="AI40" i="7"/>
  <c r="AC40" i="7"/>
  <c r="AC39" i="7"/>
  <c r="AK39" i="7"/>
  <c r="AI39" i="7"/>
  <c r="AC38" i="7"/>
  <c r="AK38" i="7"/>
  <c r="AI38" i="7"/>
  <c r="AC37" i="7"/>
  <c r="AH37" i="7" s="1"/>
  <c r="AK37" i="7"/>
  <c r="AI37" i="7"/>
  <c r="AK36" i="7"/>
  <c r="AG36" i="7"/>
  <c r="AH36" i="7"/>
  <c r="AI36" i="7"/>
  <c r="AH35" i="7"/>
  <c r="AK35" i="7"/>
  <c r="AI35" i="7"/>
  <c r="AG35" i="7"/>
  <c r="AH34" i="7"/>
  <c r="AG34" i="7"/>
  <c r="AI34" i="7"/>
  <c r="AK34" i="7"/>
  <c r="BR33" i="7"/>
  <c r="BQ34" i="7"/>
  <c r="AH33" i="7"/>
  <c r="AG33" i="7"/>
  <c r="AI33" i="7"/>
  <c r="AK33" i="7"/>
  <c r="AG32" i="7"/>
  <c r="AK32" i="7"/>
  <c r="AI32" i="7"/>
  <c r="AH32" i="7"/>
  <c r="AG31" i="7"/>
  <c r="AH31" i="7"/>
  <c r="AK31" i="7"/>
  <c r="AC45" i="7" l="1"/>
  <c r="AC44" i="7"/>
  <c r="AC43" i="7"/>
  <c r="AH43" i="7" s="1"/>
  <c r="R42" i="7"/>
  <c r="C43" i="7"/>
  <c r="H43" i="7" s="1"/>
  <c r="H40" i="7"/>
  <c r="R40" i="7"/>
  <c r="H39" i="7"/>
  <c r="R39" i="7"/>
  <c r="H41" i="7"/>
  <c r="R41" i="7"/>
  <c r="H38" i="7"/>
  <c r="R38" i="7"/>
  <c r="AH42" i="7"/>
  <c r="AH41" i="7"/>
  <c r="Z32" i="7"/>
  <c r="AE32" i="7" s="1"/>
  <c r="AJ32" i="7" s="1"/>
  <c r="F34" i="7"/>
  <c r="U33" i="7"/>
  <c r="K33" i="7"/>
  <c r="AH40" i="7"/>
  <c r="AH39" i="7"/>
  <c r="AH38" i="7"/>
  <c r="BR34" i="7"/>
  <c r="BQ35" i="7"/>
  <c r="AH45" i="7" l="1"/>
  <c r="AH44" i="7"/>
  <c r="R43" i="7"/>
  <c r="W43" i="7" s="1"/>
  <c r="C44" i="7"/>
  <c r="C45" i="7" s="1"/>
  <c r="W40" i="7"/>
  <c r="W42" i="7"/>
  <c r="W41" i="7"/>
  <c r="AB41" i="7" s="1"/>
  <c r="W39" i="7"/>
  <c r="W38" i="7"/>
  <c r="AB38" i="7" s="1"/>
  <c r="AG38" i="7" s="1"/>
  <c r="Z33" i="7"/>
  <c r="AE33" i="7" s="1"/>
  <c r="AJ33" i="7" s="1"/>
  <c r="F35" i="7"/>
  <c r="U34" i="7"/>
  <c r="K34" i="7"/>
  <c r="BR35" i="7"/>
  <c r="BQ36" i="7"/>
  <c r="R45" i="7" l="1"/>
  <c r="H45" i="7"/>
  <c r="AB40" i="7"/>
  <c r="R44" i="7"/>
  <c r="H44" i="7"/>
  <c r="AB42" i="7"/>
  <c r="AB43" i="7"/>
  <c r="AB39" i="7"/>
  <c r="AG39" i="7" s="1"/>
  <c r="Z34" i="7"/>
  <c r="AE34" i="7" s="1"/>
  <c r="AJ34" i="7" s="1"/>
  <c r="F36" i="7"/>
  <c r="K35" i="7"/>
  <c r="U35" i="7"/>
  <c r="BR36" i="7"/>
  <c r="BQ37" i="7"/>
  <c r="W45" i="7" l="1"/>
  <c r="AB45" i="7" s="1"/>
  <c r="W44" i="7"/>
  <c r="AB44" i="7" s="1"/>
  <c r="AG44" i="7" s="1"/>
  <c r="AG43" i="7"/>
  <c r="AG42" i="7"/>
  <c r="AG41" i="7"/>
  <c r="AG40" i="7"/>
  <c r="F37" i="7"/>
  <c r="U36" i="7"/>
  <c r="K36" i="7"/>
  <c r="Z35" i="7"/>
  <c r="AE35" i="7" s="1"/>
  <c r="AJ35" i="7" s="1"/>
  <c r="BR37" i="7"/>
  <c r="BQ38" i="7"/>
  <c r="AG45" i="7" l="1"/>
  <c r="Z36" i="7"/>
  <c r="AE36" i="7" s="1"/>
  <c r="AJ36" i="7" s="1"/>
  <c r="F38" i="7"/>
  <c r="U37" i="7"/>
  <c r="K37" i="7"/>
  <c r="BR38" i="7"/>
  <c r="BQ39" i="7"/>
  <c r="F39" i="7" l="1"/>
  <c r="U38" i="7"/>
  <c r="K38" i="7"/>
  <c r="Z37" i="7"/>
  <c r="AE37" i="7" s="1"/>
  <c r="AJ37" i="7" s="1"/>
  <c r="BR39" i="7"/>
  <c r="BQ40" i="7"/>
  <c r="BR40" i="7" l="1"/>
  <c r="BQ41" i="7"/>
  <c r="Z38" i="7"/>
  <c r="AE38" i="7" s="1"/>
  <c r="AJ38" i="7" s="1"/>
  <c r="F40" i="7"/>
  <c r="F41" i="7" s="1"/>
  <c r="F42" i="7" s="1"/>
  <c r="F43" i="7" s="1"/>
  <c r="U39" i="7"/>
  <c r="K39" i="7"/>
  <c r="U43" i="7" l="1"/>
  <c r="F44" i="7"/>
  <c r="F45" i="7" s="1"/>
  <c r="K43" i="7"/>
  <c r="BR41" i="7"/>
  <c r="BQ42" i="7"/>
  <c r="U42" i="7"/>
  <c r="K42" i="7"/>
  <c r="U41" i="7"/>
  <c r="K41" i="7"/>
  <c r="U40" i="7"/>
  <c r="K40" i="7"/>
  <c r="Z39" i="7"/>
  <c r="AE39" i="7" s="1"/>
  <c r="AJ39" i="7" s="1"/>
  <c r="U45" i="7" l="1"/>
  <c r="K45" i="7"/>
  <c r="U44" i="7"/>
  <c r="Z44" i="7" s="1"/>
  <c r="AE44" i="7" s="1"/>
  <c r="K44" i="7"/>
  <c r="BR42" i="7"/>
  <c r="BQ43" i="7"/>
  <c r="Z43" i="7"/>
  <c r="AE43" i="7" s="1"/>
  <c r="Z42" i="7"/>
  <c r="Z41" i="7"/>
  <c r="AE41" i="7" s="1"/>
  <c r="Z40" i="7"/>
  <c r="AE40" i="7" s="1"/>
  <c r="AJ40" i="7" s="1"/>
  <c r="Z45" i="7" l="1"/>
  <c r="AE45" i="7" s="1"/>
  <c r="BR43" i="7"/>
  <c r="BQ44" i="7"/>
  <c r="BR44" i="7" s="1"/>
  <c r="AE42" i="7"/>
  <c r="AJ42" i="7" s="1"/>
  <c r="AJ41" i="7"/>
  <c r="AJ45" i="7" l="1"/>
  <c r="AJ44" i="7"/>
  <c r="AJ43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<sst xmlns="http://schemas.openxmlformats.org/spreadsheetml/2006/main" count="1543" uniqueCount="144">
  <si>
    <t>Cuenta</t>
  </si>
  <si>
    <t>CLP</t>
  </si>
  <si>
    <t>USD</t>
  </si>
  <si>
    <t>Fecha</t>
  </si>
  <si>
    <t>Linea</t>
  </si>
  <si>
    <t>Santander</t>
  </si>
  <si>
    <t>CC</t>
  </si>
  <si>
    <t>Binance</t>
  </si>
  <si>
    <t>World Coin</t>
  </si>
  <si>
    <t>Fintual</t>
  </si>
  <si>
    <t>Acciones</t>
  </si>
  <si>
    <t>APV</t>
  </si>
  <si>
    <t>Colchón</t>
  </si>
  <si>
    <t>Bonos</t>
  </si>
  <si>
    <t>Transferencias</t>
  </si>
  <si>
    <t>Fondo A</t>
  </si>
  <si>
    <t>Crypto</t>
  </si>
  <si>
    <t>Salidas</t>
  </si>
  <si>
    <t>Unexplained</t>
  </si>
  <si>
    <t>Total</t>
  </si>
  <si>
    <t>Uber</t>
  </si>
  <si>
    <t>Comentarios</t>
  </si>
  <si>
    <t>VM</t>
  </si>
  <si>
    <t>PnL</t>
  </si>
  <si>
    <t>Salud</t>
  </si>
  <si>
    <t>FX</t>
  </si>
  <si>
    <t>TC 5252</t>
  </si>
  <si>
    <t>Start Date</t>
  </si>
  <si>
    <t>End Date</t>
  </si>
  <si>
    <t>Date</t>
  </si>
  <si>
    <t>Snacks</t>
  </si>
  <si>
    <t>Pastamore mimi</t>
  </si>
  <si>
    <t>Pago U javi</t>
  </si>
  <si>
    <t>Pago Bono fin conflictos</t>
  </si>
  <si>
    <t>Take a Wok yo page y me transfirieron</t>
  </si>
  <si>
    <t>Male me paso 145</t>
  </si>
  <si>
    <t>Pedidos</t>
  </si>
  <si>
    <t>Inicio</t>
  </si>
  <si>
    <t>Fin</t>
  </si>
  <si>
    <t>January</t>
  </si>
  <si>
    <t>Columna</t>
  </si>
  <si>
    <t>*</t>
  </si>
  <si>
    <t>Rappi prime</t>
  </si>
  <si>
    <t>chatgpt</t>
  </si>
  <si>
    <t>steam</t>
  </si>
  <si>
    <t>tenmu compras</t>
  </si>
  <si>
    <t>Personal</t>
  </si>
  <si>
    <t>Ropa Gym</t>
  </si>
  <si>
    <t>Camisa Brooks Brothers</t>
  </si>
  <si>
    <t>Barbero</t>
  </si>
  <si>
    <t>Super</t>
  </si>
  <si>
    <t xml:space="preserve">Xinder </t>
  </si>
  <si>
    <t>Bip</t>
  </si>
  <si>
    <t>Mantencion CC</t>
  </si>
  <si>
    <t>February</t>
  </si>
  <si>
    <t>Transferencia Male Remanente</t>
  </si>
  <si>
    <t>Pago seguro accidente</t>
  </si>
  <si>
    <t>Bono</t>
  </si>
  <si>
    <t>Varios</t>
  </si>
  <si>
    <t>Midjourney</t>
  </si>
  <si>
    <t>TPM</t>
  </si>
  <si>
    <t>S&amp;P 500</t>
  </si>
  <si>
    <t>Dow Jones</t>
  </si>
  <si>
    <t>NASDAQ</t>
  </si>
  <si>
    <t>MSCI World</t>
  </si>
  <si>
    <t>MSCI EAFE</t>
  </si>
  <si>
    <t>FTSE 100</t>
  </si>
  <si>
    <t>Nikkei 225</t>
  </si>
  <si>
    <t>USDCLP OBS</t>
  </si>
  <si>
    <t>CLFCLP</t>
  </si>
  <si>
    <t>USDCLP</t>
  </si>
  <si>
    <t>Hang Seng</t>
  </si>
  <si>
    <t>March</t>
  </si>
  <si>
    <t>Nombre</t>
  </si>
  <si>
    <t>Bomberos de Chile</t>
  </si>
  <si>
    <t>Spotify</t>
  </si>
  <si>
    <t>Budget</t>
  </si>
  <si>
    <t>Seguro Accidente</t>
  </si>
  <si>
    <t>P&amp;L</t>
  </si>
  <si>
    <t>Days</t>
  </si>
  <si>
    <t>TC 6829</t>
  </si>
  <si>
    <t>Hello Wine</t>
  </si>
  <si>
    <t>Ingreso de otra tarjeta de credito</t>
  </si>
  <si>
    <t>ROI TPM</t>
  </si>
  <si>
    <t>ROI CLFCLP</t>
  </si>
  <si>
    <t>Vivienda</t>
  </si>
  <si>
    <t>Seguros</t>
  </si>
  <si>
    <t>Suscripciones</t>
  </si>
  <si>
    <t>Alimentacion</t>
  </si>
  <si>
    <t>Transporte</t>
  </si>
  <si>
    <t>Hobby</t>
  </si>
  <si>
    <t>Educacion</t>
  </si>
  <si>
    <t>Impuestos</t>
  </si>
  <si>
    <t>Emergencias</t>
  </si>
  <si>
    <t>Fijo</t>
  </si>
  <si>
    <t>Variable</t>
  </si>
  <si>
    <t>Ingreso</t>
  </si>
  <si>
    <t>Desuscrito</t>
  </si>
  <si>
    <t>Titular</t>
  </si>
  <si>
    <t>M.C.C.</t>
  </si>
  <si>
    <t>Banchile</t>
  </si>
  <si>
    <t>M.R.S.</t>
  </si>
  <si>
    <t>Rappi Pro</t>
  </si>
  <si>
    <t>Cuenta Corriente SAN</t>
  </si>
  <si>
    <t>Activos CLP</t>
  </si>
  <si>
    <t>Activos USD</t>
  </si>
  <si>
    <t>Pasivos CLP</t>
  </si>
  <si>
    <t>Pasivos USD</t>
  </si>
  <si>
    <t>Investment</t>
  </si>
  <si>
    <t>Colchón IRR</t>
  </si>
  <si>
    <t>Fondo A IRR</t>
  </si>
  <si>
    <t>APV IRR</t>
  </si>
  <si>
    <t>Acciones IRR</t>
  </si>
  <si>
    <t>Crypto IRR</t>
  </si>
  <si>
    <t>TPM IRR</t>
  </si>
  <si>
    <t>CLFCLP IRR</t>
  </si>
  <si>
    <t>USDCLP OBS IRR</t>
  </si>
  <si>
    <t>S&amp;P 500 IRR</t>
  </si>
  <si>
    <t>Colchón Yield</t>
  </si>
  <si>
    <t>Fondo A Yield</t>
  </si>
  <si>
    <t>APV Yield</t>
  </si>
  <si>
    <t>Acciones Yield</t>
  </si>
  <si>
    <t>Crypto Yield</t>
  </si>
  <si>
    <t>TPM Yield</t>
  </si>
  <si>
    <t>CLFCLP Yield</t>
  </si>
  <si>
    <t>USDCLP OBS Yield</t>
  </si>
  <si>
    <t>S&amp;P 500 Yield</t>
  </si>
  <si>
    <t>OneDrive</t>
  </si>
  <si>
    <t>Anual</t>
  </si>
  <si>
    <t>Banchile Male CC</t>
  </si>
  <si>
    <t>Santander Mati CC</t>
  </si>
  <si>
    <t>April</t>
  </si>
  <si>
    <t>Vacaciones</t>
  </si>
  <si>
    <t>May</t>
  </si>
  <si>
    <t>June</t>
  </si>
  <si>
    <t>July</t>
  </si>
  <si>
    <t>August</t>
  </si>
  <si>
    <t>September</t>
  </si>
  <si>
    <t>November</t>
  </si>
  <si>
    <t>October</t>
  </si>
  <si>
    <t>Dicember</t>
  </si>
  <si>
    <t>Today</t>
  </si>
  <si>
    <t>Consumption</t>
  </si>
  <si>
    <t>Forecast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</si>
</sst>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2" formatCode="_ &quot;$&quot;* #,##0_ ;_ &quot;$&quot;* \-#,##0_ ;_ &quot;$&quot;* &quot;-&quot;_ ;_ @_ "/>
    <numFmt numFmtId="41" formatCode="_ * #,##0_ ;_ * \-#,##0_ ;_ * &quot;-&quot;_ ;_ @_ "/>
    <numFmt numFmtId="164" formatCode="#,##0\ &quot;USD&quot;;[Red]\-\ #,##0\ &quot;USD&quot;"/>
    <numFmt numFmtId="165" formatCode="#,##0\ &quot;CLP&quot;;[Red]\-\ #,##0\ &quot;CLP&quot;"/>
    <numFmt numFmtId="166" formatCode="#,##0\ &quot;CLP&quot;;\-\ #,##0\ &quot;CLP&quot;"/>
    <numFmt numFmtId="167" formatCode="#,##0,&quot;k CLP&quot;;[Red]\-#,##0,&quot;k CLP&quot;"/>
    <numFmt numFmtId="168" formatCode="#,##0,&quot;k CLP&quot;"/>
    <numFmt numFmtId="169" formatCode="#,##0\ &quot;CLP&quot;;[Red]\-\ #,##0\ &quot;CLP&quot;;;"/>
    <numFmt numFmtId="170" formatCode="_ * #,##0.00_ ;_ * \-#,##0.00_ ;_ * &quot;-&quot;_ ;_ @_ "/>
    <numFmt numFmtId="171" formatCode="#,##0.00\ &quot;USD&quot;;[Red]\-\ #,##0.00\ &quot;USD&quot;"/>
    <numFmt numFmtId="172" formatCode="#,##0,&quot;k CLP&quot;;\-#,##0,&quot;k CLP&quot;;"/>
    <numFmt numFmtId="173" formatCode="0%;;;"/>
    <numFmt numFmtId="174" formatCode="0.0%"/>
    <numFmt numFmtId="175" formatCode="0.00%;[Red]\-0.00%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0" tint="-0.34998626667073579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9646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9" tint="0.399975585192419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4" tint="0.39997558519241921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ashDot">
        <color indexed="64"/>
      </left>
      <right/>
      <top style="thin">
        <color indexed="64"/>
      </top>
      <bottom/>
      <diagonal/>
    </border>
    <border>
      <left style="dashDot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theme="0" tint="-0.34998626667073579"/>
      </left>
      <right/>
      <top style="thin">
        <color auto="1"/>
      </top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auto="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34998626667073579"/>
      </left>
      <right/>
      <top/>
      <bottom style="thin">
        <color theme="0" tint="-0.24994659260841701"/>
      </bottom>
      <diagonal/>
    </border>
    <border>
      <left/>
      <right style="thin">
        <color theme="0" tint="-0.34998626667073579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/>
      <diagonal/>
    </border>
    <border>
      <left/>
      <right style="thin">
        <color theme="0" tint="-0.34998626667073579"/>
      </right>
      <top/>
      <bottom style="thin">
        <color auto="1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4">
    <xf numFmtId="0" fontId="0" fillId="0" borderId="0"/>
    <xf numFmtId="42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0">
    <xf numFmtId="0" fontId="0" fillId="0" borderId="0" xfId="0"/>
    <xf numFmtId="14" fontId="0" fillId="0" borderId="0" xfId="0" applyNumberFormat="1"/>
    <xf numFmtId="0" fontId="4" fillId="6" borderId="1" xfId="0" applyFont="1" applyFill="1" applyBorder="1" applyAlignment="1">
      <alignment horizontal="center"/>
    </xf>
    <xf numFmtId="165" fontId="0" fillId="2" borderId="0" xfId="1" applyNumberFormat="1" applyFont="1" applyFill="1" applyBorder="1" applyAlignment="1">
      <alignment horizontal="center"/>
    </xf>
    <xf numFmtId="16" fontId="3" fillId="7" borderId="2" xfId="0" applyNumberFormat="1" applyFont="1" applyFill="1" applyBorder="1"/>
    <xf numFmtId="0" fontId="3" fillId="7" borderId="2" xfId="0" applyFont="1" applyFill="1" applyBorder="1"/>
    <xf numFmtId="16" fontId="3" fillId="7" borderId="0" xfId="0" applyNumberFormat="1" applyFont="1" applyFill="1"/>
    <xf numFmtId="0" fontId="3" fillId="7" borderId="0" xfId="0" applyFont="1" applyFill="1"/>
    <xf numFmtId="38" fontId="2" fillId="2" borderId="0" xfId="1" applyNumberFormat="1" applyFont="1" applyFill="1" applyAlignment="1">
      <alignment horizontal="center"/>
    </xf>
    <xf numFmtId="14" fontId="0" fillId="3" borderId="0" xfId="0" applyNumberFormat="1" applyFill="1"/>
    <xf numFmtId="39" fontId="0" fillId="0" borderId="0" xfId="0" applyNumberFormat="1"/>
    <xf numFmtId="0" fontId="4" fillId="9" borderId="0" xfId="0" applyFont="1" applyFill="1" applyAlignment="1">
      <alignment horizontal="center"/>
    </xf>
    <xf numFmtId="41" fontId="0" fillId="0" borderId="0" xfId="2" applyFont="1"/>
    <xf numFmtId="0" fontId="4" fillId="6" borderId="0" xfId="0" applyFont="1" applyFill="1" applyAlignment="1">
      <alignment horizontal="center"/>
    </xf>
    <xf numFmtId="14" fontId="6" fillId="0" borderId="0" xfId="0" applyNumberFormat="1" applyFont="1"/>
    <xf numFmtId="14" fontId="7" fillId="3" borderId="0" xfId="0" applyNumberFormat="1" applyFont="1" applyFill="1"/>
    <xf numFmtId="0" fontId="8" fillId="0" borderId="0" xfId="0" applyFont="1"/>
    <xf numFmtId="14" fontId="0" fillId="2" borderId="3" xfId="0" applyNumberFormat="1" applyFill="1" applyBorder="1" applyAlignment="1">
      <alignment horizontal="left" indent="2"/>
    </xf>
    <xf numFmtId="165" fontId="0" fillId="2" borderId="4" xfId="1" applyNumberFormat="1" applyFont="1" applyFill="1" applyBorder="1" applyAlignment="1">
      <alignment horizontal="left"/>
    </xf>
    <xf numFmtId="0" fontId="4" fillId="6" borderId="5" xfId="0" applyFont="1" applyFill="1" applyBorder="1" applyAlignment="1">
      <alignment horizontal="center"/>
    </xf>
    <xf numFmtId="14" fontId="0" fillId="2" borderId="3" xfId="0" applyNumberFormat="1" applyFill="1" applyBorder="1" applyAlignment="1">
      <alignment horizontal="left" indent="4"/>
    </xf>
    <xf numFmtId="14" fontId="0" fillId="2" borderId="4" xfId="0" applyNumberFormat="1" applyFill="1" applyBorder="1" applyAlignment="1">
      <alignment horizontal="left"/>
    </xf>
    <xf numFmtId="166" fontId="0" fillId="5" borderId="0" xfId="1" applyNumberFormat="1" applyFont="1" applyFill="1" applyBorder="1"/>
    <xf numFmtId="0" fontId="4" fillId="6" borderId="6" xfId="0" applyFont="1" applyFill="1" applyBorder="1" applyAlignment="1">
      <alignment horizontal="center"/>
    </xf>
    <xf numFmtId="167" fontId="0" fillId="3" borderId="0" xfId="1" applyNumberFormat="1" applyFont="1" applyFill="1" applyBorder="1"/>
    <xf numFmtId="168" fontId="0" fillId="5" borderId="0" xfId="1" applyNumberFormat="1" applyFont="1" applyFill="1" applyBorder="1"/>
    <xf numFmtId="41" fontId="4" fillId="6" borderId="1" xfId="2" applyFont="1" applyFill="1" applyBorder="1" applyAlignment="1">
      <alignment horizontal="center"/>
    </xf>
    <xf numFmtId="14" fontId="4" fillId="6" borderId="1" xfId="2" applyNumberFormat="1" applyFont="1" applyFill="1" applyBorder="1" applyAlignment="1">
      <alignment horizontal="center"/>
    </xf>
    <xf numFmtId="14" fontId="0" fillId="0" borderId="0" xfId="2" applyNumberFormat="1" applyFont="1"/>
    <xf numFmtId="170" fontId="4" fillId="6" borderId="1" xfId="2" applyNumberFormat="1" applyFont="1" applyFill="1" applyBorder="1" applyAlignment="1">
      <alignment horizontal="center"/>
    </xf>
    <xf numFmtId="170" fontId="0" fillId="0" borderId="0" xfId="2" applyNumberFormat="1" applyFont="1"/>
    <xf numFmtId="168" fontId="1" fillId="5" borderId="0" xfId="1" applyNumberFormat="1" applyFont="1" applyFill="1" applyBorder="1"/>
    <xf numFmtId="165" fontId="1" fillId="5" borderId="0" xfId="1" applyNumberFormat="1" applyFont="1" applyFill="1" applyBorder="1"/>
    <xf numFmtId="15" fontId="0" fillId="5" borderId="7" xfId="0" applyNumberFormat="1" applyFill="1" applyBorder="1" applyAlignment="1">
      <alignment horizontal="center"/>
    </xf>
    <xf numFmtId="15" fontId="0" fillId="5" borderId="8" xfId="0" applyNumberFormat="1" applyFill="1" applyBorder="1" applyAlignment="1">
      <alignment horizontal="center"/>
    </xf>
    <xf numFmtId="167" fontId="0" fillId="3" borderId="2" xfId="1" applyNumberFormat="1" applyFont="1" applyFill="1" applyBorder="1"/>
    <xf numFmtId="172" fontId="1" fillId="5" borderId="0" xfId="1" applyNumberFormat="1" applyFont="1" applyFill="1" applyBorder="1"/>
    <xf numFmtId="172" fontId="1" fillId="5" borderId="9" xfId="1" applyNumberFormat="1" applyFont="1" applyFill="1" applyBorder="1"/>
    <xf numFmtId="0" fontId="4" fillId="6" borderId="10" xfId="0" applyFont="1" applyFill="1" applyBorder="1" applyAlignment="1">
      <alignment horizontal="center"/>
    </xf>
    <xf numFmtId="172" fontId="1" fillId="7" borderId="0" xfId="1" applyNumberFormat="1" applyFont="1" applyFill="1" applyBorder="1" applyAlignment="1">
      <alignment horizontal="center"/>
    </xf>
    <xf numFmtId="172" fontId="3" fillId="7" borderId="0" xfId="1" applyNumberFormat="1" applyFont="1" applyFill="1" applyBorder="1" applyAlignment="1">
      <alignment horizontal="center"/>
    </xf>
    <xf numFmtId="14" fontId="0" fillId="2" borderId="11" xfId="0" applyNumberFormat="1" applyFill="1" applyBorder="1" applyAlignment="1">
      <alignment horizontal="left" indent="2"/>
    </xf>
    <xf numFmtId="38" fontId="2" fillId="2" borderId="0" xfId="1" applyNumberFormat="1" applyFont="1" applyFill="1" applyBorder="1" applyAlignment="1">
      <alignment horizontal="center"/>
    </xf>
    <xf numFmtId="0" fontId="0" fillId="0" borderId="18" xfId="0" applyBorder="1"/>
    <xf numFmtId="0" fontId="0" fillId="0" borderId="17" xfId="0" applyBorder="1"/>
    <xf numFmtId="16" fontId="3" fillId="7" borderId="19" xfId="0" applyNumberFormat="1" applyFont="1" applyFill="1" applyBorder="1"/>
    <xf numFmtId="0" fontId="3" fillId="7" borderId="19" xfId="0" applyFont="1" applyFill="1" applyBorder="1"/>
    <xf numFmtId="38" fontId="2" fillId="2" borderId="19" xfId="1" applyNumberFormat="1" applyFont="1" applyFill="1" applyBorder="1" applyAlignment="1">
      <alignment horizontal="center"/>
    </xf>
    <xf numFmtId="16" fontId="0" fillId="0" borderId="0" xfId="0" applyNumberFormat="1" applyAlignment="1">
      <alignment horizontal="center"/>
    </xf>
    <xf numFmtId="165" fontId="0" fillId="2" borderId="15" xfId="1" applyNumberFormat="1" applyFont="1" applyFill="1" applyBorder="1" applyAlignment="1">
      <alignment horizontal="center"/>
    </xf>
    <xf numFmtId="0" fontId="0" fillId="0" borderId="15" xfId="0" applyBorder="1"/>
    <xf numFmtId="0" fontId="4" fillId="6" borderId="2" xfId="0" applyFont="1" applyFill="1" applyBorder="1" applyAlignment="1">
      <alignment horizontal="center"/>
    </xf>
    <xf numFmtId="0" fontId="4" fillId="14" borderId="2" xfId="0" applyFont="1" applyFill="1" applyBorder="1" applyAlignment="1">
      <alignment horizontal="center"/>
    </xf>
    <xf numFmtId="0" fontId="4" fillId="11" borderId="2" xfId="0" applyFont="1" applyFill="1" applyBorder="1" applyAlignment="1">
      <alignment horizontal="center"/>
    </xf>
    <xf numFmtId="0" fontId="4" fillId="13" borderId="2" xfId="0" applyFont="1" applyFill="1" applyBorder="1" applyAlignment="1">
      <alignment horizontal="center"/>
    </xf>
    <xf numFmtId="169" fontId="0" fillId="4" borderId="0" xfId="1" applyNumberFormat="1" applyFont="1" applyFill="1" applyBorder="1" applyAlignment="1">
      <alignment horizontal="center"/>
    </xf>
    <xf numFmtId="10" fontId="0" fillId="8" borderId="0" xfId="3" applyNumberFormat="1" applyFont="1" applyFill="1" applyBorder="1" applyAlignment="1">
      <alignment horizontal="center"/>
    </xf>
    <xf numFmtId="10" fontId="0" fillId="12" borderId="0" xfId="3" applyNumberFormat="1" applyFont="1" applyFill="1" applyBorder="1" applyAlignment="1">
      <alignment horizontal="center"/>
    </xf>
    <xf numFmtId="10" fontId="0" fillId="7" borderId="0" xfId="3" applyNumberFormat="1" applyFont="1" applyFill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10" fontId="0" fillId="2" borderId="0" xfId="3" applyNumberFormat="1" applyFont="1" applyFill="1" applyBorder="1" applyAlignment="1">
      <alignment horizontal="center"/>
    </xf>
    <xf numFmtId="0" fontId="4" fillId="14" borderId="16" xfId="0" applyFont="1" applyFill="1" applyBorder="1" applyAlignment="1">
      <alignment horizontal="center"/>
    </xf>
    <xf numFmtId="0" fontId="4" fillId="14" borderId="22" xfId="0" applyFont="1" applyFill="1" applyBorder="1" applyAlignment="1">
      <alignment horizontal="center"/>
    </xf>
    <xf numFmtId="169" fontId="0" fillId="4" borderId="18" xfId="1" applyNumberFormat="1" applyFont="1" applyFill="1" applyBorder="1" applyAlignment="1">
      <alignment horizontal="center"/>
    </xf>
    <xf numFmtId="169" fontId="0" fillId="4" borderId="17" xfId="1" applyNumberFormat="1" applyFont="1" applyFill="1" applyBorder="1" applyAlignment="1">
      <alignment horizontal="center"/>
    </xf>
    <xf numFmtId="0" fontId="4" fillId="10" borderId="16" xfId="0" applyFont="1" applyFill="1" applyBorder="1" applyAlignment="1">
      <alignment horizontal="center"/>
    </xf>
    <xf numFmtId="10" fontId="0" fillId="8" borderId="18" xfId="3" applyNumberFormat="1" applyFont="1" applyFill="1" applyBorder="1" applyAlignment="1">
      <alignment horizontal="center"/>
    </xf>
    <xf numFmtId="10" fontId="0" fillId="8" borderId="17" xfId="3" applyNumberFormat="1" applyFont="1" applyFill="1" applyBorder="1" applyAlignment="1">
      <alignment horizontal="center"/>
    </xf>
    <xf numFmtId="0" fontId="4" fillId="11" borderId="16" xfId="0" applyFont="1" applyFill="1" applyBorder="1" applyAlignment="1">
      <alignment horizontal="center"/>
    </xf>
    <xf numFmtId="0" fontId="4" fillId="11" borderId="22" xfId="0" applyFont="1" applyFill="1" applyBorder="1" applyAlignment="1">
      <alignment horizontal="center"/>
    </xf>
    <xf numFmtId="10" fontId="0" fillId="12" borderId="18" xfId="3" applyNumberFormat="1" applyFont="1" applyFill="1" applyBorder="1" applyAlignment="1">
      <alignment horizontal="center"/>
    </xf>
    <xf numFmtId="10" fontId="0" fillId="12" borderId="17" xfId="3" applyNumberFormat="1" applyFont="1" applyFill="1" applyBorder="1" applyAlignment="1">
      <alignment horizontal="center"/>
    </xf>
    <xf numFmtId="0" fontId="4" fillId="6" borderId="22" xfId="0" applyFont="1" applyFill="1" applyBorder="1" applyAlignment="1">
      <alignment horizontal="center"/>
    </xf>
    <xf numFmtId="165" fontId="0" fillId="2" borderId="17" xfId="1" applyNumberFormat="1" applyFont="1" applyFill="1" applyBorder="1" applyAlignment="1">
      <alignment horizontal="center"/>
    </xf>
    <xf numFmtId="0" fontId="4" fillId="13" borderId="16" xfId="0" applyFont="1" applyFill="1" applyBorder="1" applyAlignment="1">
      <alignment horizontal="center"/>
    </xf>
    <xf numFmtId="10" fontId="0" fillId="7" borderId="18" xfId="3" applyNumberFormat="1" applyFont="1" applyFill="1" applyBorder="1" applyAlignment="1">
      <alignment horizontal="center"/>
    </xf>
    <xf numFmtId="10" fontId="0" fillId="7" borderId="17" xfId="3" applyNumberFormat="1" applyFont="1" applyFill="1" applyBorder="1" applyAlignment="1">
      <alignment horizontal="center"/>
    </xf>
    <xf numFmtId="10" fontId="0" fillId="2" borderId="18" xfId="3" applyNumberFormat="1" applyFont="1" applyFill="1" applyBorder="1" applyAlignment="1">
      <alignment horizontal="center"/>
    </xf>
    <xf numFmtId="10" fontId="0" fillId="2" borderId="17" xfId="3" applyNumberFormat="1" applyFont="1" applyFill="1" applyBorder="1" applyAlignment="1">
      <alignment horizontal="center"/>
    </xf>
    <xf numFmtId="9" fontId="0" fillId="12" borderId="18" xfId="3" applyFont="1" applyFill="1" applyBorder="1" applyAlignment="1">
      <alignment horizontal="center"/>
    </xf>
    <xf numFmtId="9" fontId="0" fillId="12" borderId="0" xfId="3" applyFont="1" applyFill="1" applyBorder="1" applyAlignment="1">
      <alignment horizontal="center"/>
    </xf>
    <xf numFmtId="9" fontId="0" fillId="12" borderId="17" xfId="3" applyFont="1" applyFill="1" applyBorder="1" applyAlignment="1">
      <alignment horizontal="center"/>
    </xf>
    <xf numFmtId="9" fontId="0" fillId="7" borderId="18" xfId="3" applyFont="1" applyFill="1" applyBorder="1" applyAlignment="1">
      <alignment horizontal="center"/>
    </xf>
    <xf numFmtId="9" fontId="0" fillId="7" borderId="0" xfId="3" applyFont="1" applyFill="1" applyBorder="1" applyAlignment="1">
      <alignment horizontal="center"/>
    </xf>
    <xf numFmtId="9" fontId="0" fillId="7" borderId="17" xfId="3" applyFont="1" applyFill="1" applyBorder="1" applyAlignment="1">
      <alignment horizontal="center"/>
    </xf>
    <xf numFmtId="9" fontId="0" fillId="0" borderId="0" xfId="0" applyNumberFormat="1"/>
    <xf numFmtId="173" fontId="0" fillId="7" borderId="18" xfId="3" applyNumberFormat="1" applyFont="1" applyFill="1" applyBorder="1" applyAlignment="1">
      <alignment horizontal="center"/>
    </xf>
    <xf numFmtId="0" fontId="0" fillId="15" borderId="0" xfId="0" applyFill="1"/>
    <xf numFmtId="0" fontId="0" fillId="7" borderId="0" xfId="0" applyFill="1"/>
    <xf numFmtId="9" fontId="0" fillId="7" borderId="0" xfId="0" applyNumberFormat="1" applyFill="1"/>
    <xf numFmtId="0" fontId="0" fillId="15" borderId="17" xfId="0" applyFill="1" applyBorder="1"/>
    <xf numFmtId="0" fontId="0" fillId="7" borderId="17" xfId="0" applyFill="1" applyBorder="1"/>
    <xf numFmtId="9" fontId="0" fillId="7" borderId="17" xfId="0" applyNumberFormat="1" applyFill="1" applyBorder="1"/>
    <xf numFmtId="164" fontId="0" fillId="2" borderId="15" xfId="1" applyNumberFormat="1" applyFont="1" applyFill="1" applyBorder="1" applyAlignment="1">
      <alignment horizontal="center"/>
    </xf>
    <xf numFmtId="171" fontId="0" fillId="2" borderId="15" xfId="1" applyNumberFormat="1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174" fontId="0" fillId="2" borderId="0" xfId="3" applyNumberFormat="1" applyFont="1" applyFill="1" applyBorder="1" applyAlignment="1">
      <alignment horizontal="center"/>
    </xf>
    <xf numFmtId="2" fontId="4" fillId="6" borderId="2" xfId="0" applyNumberFormat="1" applyFont="1" applyFill="1" applyBorder="1" applyAlignment="1">
      <alignment horizontal="center"/>
    </xf>
    <xf numFmtId="2" fontId="0" fillId="2" borderId="0" xfId="3" applyNumberFormat="1" applyFont="1" applyFill="1" applyBorder="1" applyAlignment="1">
      <alignment horizontal="center"/>
    </xf>
    <xf numFmtId="2" fontId="0" fillId="2" borderId="0" xfId="1" applyNumberFormat="1" applyFont="1" applyFill="1" applyBorder="1" applyAlignment="1">
      <alignment horizontal="center"/>
    </xf>
    <xf numFmtId="2" fontId="0" fillId="0" borderId="0" xfId="0" applyNumberFormat="1"/>
    <xf numFmtId="174" fontId="4" fillId="6" borderId="2" xfId="3" applyNumberFormat="1" applyFont="1" applyFill="1" applyBorder="1" applyAlignment="1">
      <alignment horizontal="center"/>
    </xf>
    <xf numFmtId="174" fontId="0" fillId="0" borderId="0" xfId="3" applyNumberFormat="1" applyFont="1"/>
    <xf numFmtId="41" fontId="4" fillId="6" borderId="2" xfId="2" applyFont="1" applyFill="1" applyBorder="1" applyAlignment="1">
      <alignment horizontal="center"/>
    </xf>
    <xf numFmtId="41" fontId="0" fillId="2" borderId="0" xfId="2" applyFont="1" applyFill="1" applyBorder="1" applyAlignment="1">
      <alignment horizontal="center"/>
    </xf>
    <xf numFmtId="41" fontId="0" fillId="0" borderId="0" xfId="2" applyFont="1" applyAlignment="1">
      <alignment horizontal="center"/>
    </xf>
    <xf numFmtId="16" fontId="3" fillId="7" borderId="2" xfId="0" applyNumberFormat="1" applyFont="1" applyFill="1" applyBorder="1" applyAlignment="1">
      <alignment horizontal="center"/>
    </xf>
    <xf numFmtId="16" fontId="3" fillId="7" borderId="0" xfId="0" applyNumberFormat="1" applyFont="1" applyFill="1" applyAlignment="1">
      <alignment horizontal="center"/>
    </xf>
    <xf numFmtId="16" fontId="3" fillId="7" borderId="19" xfId="0" applyNumberFormat="1" applyFont="1" applyFill="1" applyBorder="1" applyAlignment="1">
      <alignment horizontal="center"/>
    </xf>
    <xf numFmtId="0" fontId="4" fillId="6" borderId="24" xfId="0" applyFont="1" applyFill="1" applyBorder="1" applyAlignment="1">
      <alignment horizontal="center"/>
    </xf>
    <xf numFmtId="172" fontId="3" fillId="7" borderId="25" xfId="1" applyNumberFormat="1" applyFont="1" applyFill="1" applyBorder="1" applyAlignment="1">
      <alignment horizontal="center"/>
    </xf>
    <xf numFmtId="172" fontId="3" fillId="7" borderId="2" xfId="1" applyNumberFormat="1" applyFont="1" applyFill="1" applyBorder="1" applyAlignment="1">
      <alignment horizontal="center"/>
    </xf>
    <xf numFmtId="172" fontId="1" fillId="7" borderId="26" xfId="1" applyNumberFormat="1" applyFont="1" applyFill="1" applyBorder="1" applyAlignment="1">
      <alignment horizontal="center"/>
    </xf>
    <xf numFmtId="0" fontId="4" fillId="6" borderId="28" xfId="0" applyFont="1" applyFill="1" applyBorder="1" applyAlignment="1">
      <alignment horizontal="center"/>
    </xf>
    <xf numFmtId="0" fontId="4" fillId="6" borderId="29" xfId="0" applyFont="1" applyFill="1" applyBorder="1" applyAlignment="1">
      <alignment horizontal="center"/>
    </xf>
    <xf numFmtId="0" fontId="4" fillId="6" borderId="27" xfId="0" applyFont="1" applyFill="1" applyBorder="1" applyAlignment="1">
      <alignment horizontal="center"/>
    </xf>
    <xf numFmtId="0" fontId="0" fillId="0" borderId="0" xfId="0" applyAlignment="1">
      <alignment horizontal="center"/>
    </xf>
    <xf numFmtId="16" fontId="0" fillId="0" borderId="0" xfId="0" applyNumberFormat="1"/>
    <xf numFmtId="165" fontId="1" fillId="2" borderId="0" xfId="1" applyNumberFormat="1" applyFont="1" applyFill="1" applyBorder="1" applyAlignment="1">
      <alignment horizontal="center"/>
    </xf>
    <xf numFmtId="164" fontId="1" fillId="2" borderId="2" xfId="1" applyNumberFormat="1" applyFont="1" applyFill="1" applyBorder="1" applyAlignment="1">
      <alignment horizontal="center"/>
    </xf>
    <xf numFmtId="165" fontId="1" fillId="2" borderId="0" xfId="1" applyNumberFormat="1" applyFont="1" applyFill="1" applyAlignment="1">
      <alignment horizontal="center"/>
    </xf>
    <xf numFmtId="164" fontId="1" fillId="2" borderId="0" xfId="1" applyNumberFormat="1" applyFont="1" applyFill="1" applyAlignment="1">
      <alignment horizontal="center"/>
    </xf>
    <xf numFmtId="165" fontId="1" fillId="2" borderId="2" xfId="1" applyNumberFormat="1" applyFont="1" applyFill="1" applyBorder="1" applyAlignment="1">
      <alignment horizontal="center"/>
    </xf>
    <xf numFmtId="165" fontId="1" fillId="2" borderId="12" xfId="1" applyNumberFormat="1" applyFont="1" applyFill="1" applyBorder="1" applyAlignment="1">
      <alignment horizontal="center"/>
    </xf>
    <xf numFmtId="165" fontId="1" fillId="7" borderId="13" xfId="1" applyNumberFormat="1" applyFont="1" applyFill="1" applyBorder="1" applyAlignment="1">
      <alignment horizontal="center"/>
    </xf>
    <xf numFmtId="165" fontId="1" fillId="4" borderId="0" xfId="1" applyNumberFormat="1" applyFont="1" applyFill="1" applyBorder="1"/>
    <xf numFmtId="165" fontId="1" fillId="8" borderId="0" xfId="1" applyNumberFormat="1" applyFont="1" applyFill="1" applyBorder="1"/>
    <xf numFmtId="165" fontId="1" fillId="3" borderId="0" xfId="1" applyNumberFormat="1" applyFont="1" applyFill="1" applyBorder="1"/>
    <xf numFmtId="164" fontId="1" fillId="2" borderId="0" xfId="1" applyNumberFormat="1" applyFont="1" applyFill="1" applyBorder="1" applyAlignment="1">
      <alignment horizontal="center"/>
    </xf>
    <xf numFmtId="165" fontId="1" fillId="2" borderId="14" xfId="1" applyNumberFormat="1" applyFont="1" applyFill="1" applyBorder="1" applyAlignment="1">
      <alignment horizontal="center"/>
    </xf>
    <xf numFmtId="165" fontId="1" fillId="3" borderId="0" xfId="1" applyNumberFormat="1" applyFont="1" applyFill="1" applyBorder="1" applyAlignment="1">
      <alignment horizontal="center"/>
    </xf>
    <xf numFmtId="16" fontId="0" fillId="0" borderId="19" xfId="0" applyNumberFormat="1" applyBorder="1"/>
    <xf numFmtId="165" fontId="1" fillId="2" borderId="19" xfId="1" applyNumberFormat="1" applyFont="1" applyFill="1" applyBorder="1" applyAlignment="1">
      <alignment horizontal="center"/>
    </xf>
    <xf numFmtId="164" fontId="1" fillId="2" borderId="19" xfId="1" applyNumberFormat="1" applyFont="1" applyFill="1" applyBorder="1" applyAlignment="1">
      <alignment horizontal="center"/>
    </xf>
    <xf numFmtId="165" fontId="1" fillId="2" borderId="20" xfId="1" applyNumberFormat="1" applyFont="1" applyFill="1" applyBorder="1" applyAlignment="1">
      <alignment horizontal="center"/>
    </xf>
    <xf numFmtId="165" fontId="1" fillId="7" borderId="21" xfId="1" applyNumberFormat="1" applyFont="1" applyFill="1" applyBorder="1" applyAlignment="1">
      <alignment horizontal="center"/>
    </xf>
    <xf numFmtId="165" fontId="1" fillId="5" borderId="19" xfId="1" applyNumberFormat="1" applyFont="1" applyFill="1" applyBorder="1"/>
    <xf numFmtId="165" fontId="1" fillId="4" borderId="19" xfId="1" applyNumberFormat="1" applyFont="1" applyFill="1" applyBorder="1"/>
    <xf numFmtId="165" fontId="1" fillId="8" borderId="19" xfId="1" applyNumberFormat="1" applyFont="1" applyFill="1" applyBorder="1"/>
    <xf numFmtId="165" fontId="1" fillId="3" borderId="19" xfId="1" applyNumberFormat="1" applyFont="1" applyFill="1" applyBorder="1"/>
    <xf numFmtId="0" fontId="0" fillId="0" borderId="19" xfId="0" applyBorder="1"/>
    <xf numFmtId="0" fontId="0" fillId="0" borderId="14" xfId="0" applyBorder="1"/>
    <xf numFmtId="0" fontId="0" fillId="0" borderId="13" xfId="0" applyBorder="1"/>
    <xf numFmtId="14" fontId="0" fillId="2" borderId="30" xfId="0" applyNumberFormat="1" applyFill="1" applyBorder="1" applyAlignment="1">
      <alignment horizontal="left" indent="2"/>
    </xf>
    <xf numFmtId="172" fontId="1" fillId="5" borderId="31" xfId="1" applyNumberFormat="1" applyFont="1" applyFill="1" applyBorder="1"/>
    <xf numFmtId="172" fontId="0" fillId="0" borderId="0" xfId="0" applyNumberFormat="1"/>
    <xf numFmtId="10" fontId="0" fillId="0" borderId="0" xfId="3" applyNumberFormat="1" applyFont="1"/>
    <xf numFmtId="175" fontId="0" fillId="0" borderId="0" xfId="3" applyNumberFormat="1" applyFont="1"/>
    <xf numFmtId="14" fontId="4" fillId="9" borderId="0" xfId="0" applyNumberFormat="1" applyFont="1" applyFill="1" applyAlignment="1">
      <alignment horizontal="center"/>
    </xf>
    <xf numFmtId="10" fontId="0" fillId="16" borderId="0" xfId="3" applyNumberFormat="1" applyFont="1" applyFill="1"/>
    <xf numFmtId="175" fontId="0" fillId="7" borderId="0" xfId="3" applyNumberFormat="1" applyFont="1" applyFill="1"/>
    <xf numFmtId="10" fontId="0" fillId="7" borderId="0" xfId="3" applyNumberFormat="1" applyFont="1" applyFill="1"/>
    <xf numFmtId="175" fontId="0" fillId="3" borderId="0" xfId="3" applyNumberFormat="1" applyFont="1" applyFill="1"/>
    <xf numFmtId="10" fontId="0" fillId="3" borderId="0" xfId="3" applyNumberFormat="1" applyFont="1" applyFill="1"/>
    <xf numFmtId="10" fontId="0" fillId="17" borderId="0" xfId="3" applyNumberFormat="1" applyFont="1" applyFill="1"/>
    <xf numFmtId="16" fontId="0" fillId="5" borderId="0" xfId="0" applyNumberFormat="1" applyFill="1" applyAlignment="1">
      <alignment horizontal="center"/>
    </xf>
    <xf numFmtId="14" fontId="0" fillId="0" borderId="0" xfId="3" applyNumberFormat="1" applyFont="1"/>
    <xf numFmtId="174" fontId="0" fillId="0" borderId="0" xfId="3" applyNumberFormat="1" applyFont="1" applyAlignment="1">
      <alignment horizontal="center"/>
    </xf>
  </cellXfs>
  <cellStyles count="4">
    <cellStyle name="Comma [0]" xfId="2" builtinId="6"/>
    <cellStyle name="Currency [0]" xfId="1" builtinId="7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FFFFCC"/>
      <color rgb="FFFF5050"/>
      <color rgb="FFFFFF99"/>
      <color rgb="FFCCFFCC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17/06/relationships/rdSupportingPropertyBag" Target="richData/rdsupportingpropertybag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SupportingPropertyBagStructure" Target="richData/rdsupportingpropertybagstructure.xml"/><Relationship Id="rId2" Type="http://schemas.openxmlformats.org/officeDocument/2006/relationships/worksheet" Target="worksheets/sheet2.xml"/><Relationship Id="rId16" Type="http://schemas.microsoft.com/office/2017/06/relationships/richStyles" Target="richData/rich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06/relationships/rdRichValue" Target="richData/rdrichvalu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sz="2000" b="1" baseline="0"/>
              <a:t>Effective Annualized Yield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IRR!$J$1</c:f>
              <c:strCache>
                <c:ptCount val="1"/>
                <c:pt idx="0">
                  <c:v>Colchón Yield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IRR!$D$2:$D$3000</c:f>
              <c:numCache>
                <c:formatCode>d\-mmm</c:formatCode>
                <c:ptCount val="299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</c:numCache>
            </c:numRef>
          </c:xVal>
          <c:yVal>
            <c:numRef>
              <c:f>IRR!$J$2:$J$3000</c:f>
              <c:numCache>
                <c:formatCode>0.00%;[Red]\-0.00%</c:formatCode>
                <c:ptCount val="2999"/>
                <c:pt idx="0">
                  <c:v>0</c:v>
                </c:pt>
                <c:pt idx="1">
                  <c:v>2.3698264627602939E-4</c:v>
                </c:pt>
                <c:pt idx="2">
                  <c:v>2.3698264627602939E-4</c:v>
                </c:pt>
                <c:pt idx="3">
                  <c:v>4.5562489644890292E-4</c:v>
                </c:pt>
                <c:pt idx="4">
                  <c:v>6.507749538604557E-4</c:v>
                </c:pt>
                <c:pt idx="5">
                  <c:v>1.7705694754812651E-3</c:v>
                </c:pt>
                <c:pt idx="6">
                  <c:v>1.9890056537876788E-3</c:v>
                </c:pt>
                <c:pt idx="7">
                  <c:v>2.1781796270758935E-3</c:v>
                </c:pt>
                <c:pt idx="8">
                  <c:v>3.2903494896423524E-3</c:v>
                </c:pt>
                <c:pt idx="9">
                  <c:v>3.5098160272806211E-3</c:v>
                </c:pt>
                <c:pt idx="10">
                  <c:v>3.7039357253605409E-3</c:v>
                </c:pt>
                <c:pt idx="11">
                  <c:v>3.7039357253605409E-3</c:v>
                </c:pt>
                <c:pt idx="12">
                  <c:v>5.4561648047386502E-3</c:v>
                </c:pt>
                <c:pt idx="13">
                  <c:v>8.2978958413872927E-3</c:v>
                </c:pt>
                <c:pt idx="14">
                  <c:v>8.2978958413872927E-3</c:v>
                </c:pt>
                <c:pt idx="15">
                  <c:v>9.4115082070180822E-3</c:v>
                </c:pt>
                <c:pt idx="16">
                  <c:v>9.3678340100427082E-3</c:v>
                </c:pt>
                <c:pt idx="17">
                  <c:v>9.7523222158422129E-3</c:v>
                </c:pt>
                <c:pt idx="18">
                  <c:v>9.7131964755576838E-3</c:v>
                </c:pt>
                <c:pt idx="19">
                  <c:v>1.0434070613503543E-2</c:v>
                </c:pt>
                <c:pt idx="20">
                  <c:v>1.0665877104976573E-2</c:v>
                </c:pt>
                <c:pt idx="21">
                  <c:v>1.0895379231075086E-2</c:v>
                </c:pt>
                <c:pt idx="22">
                  <c:v>1.1104035969950576E-2</c:v>
                </c:pt>
                <c:pt idx="23">
                  <c:v>1.1068333237070904E-2</c:v>
                </c:pt>
                <c:pt idx="24">
                  <c:v>1.2363568840843886E-2</c:v>
                </c:pt>
                <c:pt idx="25">
                  <c:v>1.2559633539260595E-2</c:v>
                </c:pt>
                <c:pt idx="26">
                  <c:v>1.252890805669904E-2</c:v>
                </c:pt>
                <c:pt idx="27">
                  <c:v>1.3369479885652957E-2</c:v>
                </c:pt>
                <c:pt idx="28">
                  <c:v>1.3602135212306354E-2</c:v>
                </c:pt>
                <c:pt idx="29">
                  <c:v>1.3809034416998323E-2</c:v>
                </c:pt>
                <c:pt idx="30">
                  <c:v>1.4010186628206078E-2</c:v>
                </c:pt>
                <c:pt idx="31">
                  <c:v>1.4794660911045199E-2</c:v>
                </c:pt>
                <c:pt idx="32">
                  <c:v>1.5017686809214892E-2</c:v>
                </c:pt>
                <c:pt idx="33">
                  <c:v>1.5138218178869289E-2</c:v>
                </c:pt>
                <c:pt idx="34">
                  <c:v>1.4939225653035404E-2</c:v>
                </c:pt>
                <c:pt idx="35">
                  <c:v>1.541362253783074E-2</c:v>
                </c:pt>
                <c:pt idx="36">
                  <c:v>1.5320137434415182E-2</c:v>
                </c:pt>
                <c:pt idx="37">
                  <c:v>1.6548836182410431E-2</c:v>
                </c:pt>
                <c:pt idx="38">
                  <c:v>1.6687388768503286E-2</c:v>
                </c:pt>
                <c:pt idx="39" formatCode="0.00%">
                  <c:v>1.6517343064055723E-2</c:v>
                </c:pt>
                <c:pt idx="40" formatCode="0.00%">
                  <c:v>1.7465317991814056E-2</c:v>
                </c:pt>
                <c:pt idx="41" formatCode="0.00%">
                  <c:v>1.7767781856661946E-2</c:v>
                </c:pt>
                <c:pt idx="42" formatCode="0.00%">
                  <c:v>1.8135818642773582E-2</c:v>
                </c:pt>
                <c:pt idx="43" formatCode="0.00%">
                  <c:v>1.8258878182156435E-2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B7-4252-8503-011A76343AA7}"/>
            </c:ext>
          </c:extLst>
        </c:ser>
        <c:ser>
          <c:idx val="1"/>
          <c:order val="1"/>
          <c:tx>
            <c:strRef>
              <c:f>IRR!$K$1</c:f>
              <c:strCache>
                <c:ptCount val="1"/>
                <c:pt idx="0">
                  <c:v>Fondo A Yield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IRR!$D$2:$D$3000</c:f>
              <c:numCache>
                <c:formatCode>d\-mmm</c:formatCode>
                <c:ptCount val="299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</c:numCache>
            </c:numRef>
          </c:xVal>
          <c:yVal>
            <c:numRef>
              <c:f>IRR!$K$2:$K$3000</c:f>
              <c:numCache>
                <c:formatCode>0.00%;[Red]\-0.00%</c:formatCode>
                <c:ptCount val="2999"/>
                <c:pt idx="0">
                  <c:v>0</c:v>
                </c:pt>
                <c:pt idx="1">
                  <c:v>8.642145382743216E-3</c:v>
                </c:pt>
                <c:pt idx="2">
                  <c:v>8.642145382743216E-3</c:v>
                </c:pt>
                <c:pt idx="3">
                  <c:v>3.2603205216519271E-4</c:v>
                </c:pt>
                <c:pt idx="4">
                  <c:v>-8.0819212931071416E-4</c:v>
                </c:pt>
                <c:pt idx="5">
                  <c:v>6.001744960279165E-3</c:v>
                </c:pt>
                <c:pt idx="6">
                  <c:v>9.087569454011124E-3</c:v>
                </c:pt>
                <c:pt idx="7">
                  <c:v>1.3493594158975108E-2</c:v>
                </c:pt>
                <c:pt idx="8">
                  <c:v>2.1019883363181391E-2</c:v>
                </c:pt>
                <c:pt idx="9">
                  <c:v>2.7852780456444792E-2</c:v>
                </c:pt>
                <c:pt idx="10">
                  <c:v>2.7356844377095069E-2</c:v>
                </c:pt>
                <c:pt idx="11">
                  <c:v>2.7356844377095069E-2</c:v>
                </c:pt>
                <c:pt idx="12">
                  <c:v>5.8451577352252482E-2</c:v>
                </c:pt>
                <c:pt idx="13">
                  <c:v>0.11782614685218351</c:v>
                </c:pt>
                <c:pt idx="14">
                  <c:v>0.11187222371386385</c:v>
                </c:pt>
                <c:pt idx="15">
                  <c:v>8.3388030778352551E-2</c:v>
                </c:pt>
                <c:pt idx="16">
                  <c:v>7.8066175539124982E-2</c:v>
                </c:pt>
                <c:pt idx="17">
                  <c:v>0.1964239956948719</c:v>
                </c:pt>
                <c:pt idx="18">
                  <c:v>0.18717360536623784</c:v>
                </c:pt>
                <c:pt idx="19">
                  <c:v>0.19271666274617827</c:v>
                </c:pt>
                <c:pt idx="20">
                  <c:v>0.18217269473606579</c:v>
                </c:pt>
                <c:pt idx="21">
                  <c:v>0.14934830261926213</c:v>
                </c:pt>
                <c:pt idx="22">
                  <c:v>0.13563849774462655</c:v>
                </c:pt>
                <c:pt idx="23">
                  <c:v>0.13121723468796986</c:v>
                </c:pt>
                <c:pt idx="24">
                  <c:v>0.16614126393796491</c:v>
                </c:pt>
                <c:pt idx="25">
                  <c:v>0.20113031818609817</c:v>
                </c:pt>
                <c:pt idx="26">
                  <c:v>0.1967895708540961</c:v>
                </c:pt>
                <c:pt idx="27">
                  <c:v>0.11255096031141254</c:v>
                </c:pt>
                <c:pt idx="28">
                  <c:v>0.13359777929737904</c:v>
                </c:pt>
                <c:pt idx="29">
                  <c:v>8.2593891054657753E-2</c:v>
                </c:pt>
                <c:pt idx="30">
                  <c:v>6.1079775254880619E-2</c:v>
                </c:pt>
                <c:pt idx="31">
                  <c:v>5.321009066843474E-2</c:v>
                </c:pt>
                <c:pt idx="32">
                  <c:v>8.8539611689779418E-2</c:v>
                </c:pt>
                <c:pt idx="33">
                  <c:v>0.13566893779919376</c:v>
                </c:pt>
                <c:pt idx="34">
                  <c:v>0.13250807554273414</c:v>
                </c:pt>
                <c:pt idx="35">
                  <c:v>0.15056461137966881</c:v>
                </c:pt>
                <c:pt idx="36">
                  <c:v>0.14895201277457204</c:v>
                </c:pt>
                <c:pt idx="37">
                  <c:v>0.15114269900660804</c:v>
                </c:pt>
                <c:pt idx="38">
                  <c:v>0.15068484778218694</c:v>
                </c:pt>
                <c:pt idx="39">
                  <c:v>0.14802614252573032</c:v>
                </c:pt>
                <c:pt idx="40">
                  <c:v>0.14629242369409634</c:v>
                </c:pt>
                <c:pt idx="41">
                  <c:v>0.12337777050822063</c:v>
                </c:pt>
                <c:pt idx="42">
                  <c:v>4.8005425348969677E-2</c:v>
                </c:pt>
                <c:pt idx="43">
                  <c:v>6.5550937409277976E-2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B7-4252-8503-011A76343AA7}"/>
            </c:ext>
          </c:extLst>
        </c:ser>
        <c:ser>
          <c:idx val="2"/>
          <c:order val="2"/>
          <c:tx>
            <c:strRef>
              <c:f>IRR!$L$1</c:f>
              <c:strCache>
                <c:ptCount val="1"/>
                <c:pt idx="0">
                  <c:v>APV Yield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IRR!$D$2:$D$3000</c:f>
              <c:numCache>
                <c:formatCode>d\-mmm</c:formatCode>
                <c:ptCount val="299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</c:numCache>
            </c:numRef>
          </c:xVal>
          <c:yVal>
            <c:numRef>
              <c:f>IRR!$L$2:$L$3000</c:f>
              <c:numCache>
                <c:formatCode>0.00%;[Red]\-0.00%</c:formatCode>
                <c:ptCount val="2999"/>
                <c:pt idx="0">
                  <c:v>0</c:v>
                </c:pt>
                <c:pt idx="1">
                  <c:v>5.1308363263211643E-3</c:v>
                </c:pt>
                <c:pt idx="2">
                  <c:v>5.1308363263211643E-3</c:v>
                </c:pt>
                <c:pt idx="3">
                  <c:v>1.4347338616194083E-3</c:v>
                </c:pt>
                <c:pt idx="4">
                  <c:v>1.4822416053816845E-3</c:v>
                </c:pt>
                <c:pt idx="5">
                  <c:v>8.7319233034983679E-3</c:v>
                </c:pt>
                <c:pt idx="6">
                  <c:v>1.1420861600440979E-2</c:v>
                </c:pt>
                <c:pt idx="7">
                  <c:v>1.504570244949921E-2</c:v>
                </c:pt>
                <c:pt idx="8">
                  <c:v>1.9582691978792477E-2</c:v>
                </c:pt>
                <c:pt idx="9">
                  <c:v>2.4889306957033952E-2</c:v>
                </c:pt>
                <c:pt idx="10">
                  <c:v>2.4504494232559848E-2</c:v>
                </c:pt>
                <c:pt idx="11">
                  <c:v>2.4504494232559848E-2</c:v>
                </c:pt>
                <c:pt idx="12">
                  <c:v>4.388290291317487E-2</c:v>
                </c:pt>
                <c:pt idx="13">
                  <c:v>6.8382646371358602E-2</c:v>
                </c:pt>
                <c:pt idx="14">
                  <c:v>6.8382646371358602E-2</c:v>
                </c:pt>
                <c:pt idx="15">
                  <c:v>6.0320582254907551E-2</c:v>
                </c:pt>
                <c:pt idx="16">
                  <c:v>5.7504960379131775E-2</c:v>
                </c:pt>
                <c:pt idx="17">
                  <c:v>0.11233468510858535</c:v>
                </c:pt>
                <c:pt idx="18">
                  <c:v>0.1082994067838321</c:v>
                </c:pt>
                <c:pt idx="19">
                  <c:v>0.11017016792131495</c:v>
                </c:pt>
                <c:pt idx="20">
                  <c:v>0.10240078048156098</c:v>
                </c:pt>
                <c:pt idx="21">
                  <c:v>8.9185629372961372E-2</c:v>
                </c:pt>
                <c:pt idx="22">
                  <c:v>8.1572317428075358E-2</c:v>
                </c:pt>
                <c:pt idx="23">
                  <c:v>7.9474397929672147E-2</c:v>
                </c:pt>
                <c:pt idx="24">
                  <c:v>9.8347188557741383E-2</c:v>
                </c:pt>
                <c:pt idx="25">
                  <c:v>0.11698474773966638</c:v>
                </c:pt>
                <c:pt idx="26">
                  <c:v>0.11494538000833865</c:v>
                </c:pt>
                <c:pt idx="27">
                  <c:v>7.784707339262753E-2</c:v>
                </c:pt>
                <c:pt idx="28">
                  <c:v>8.8820561574364243E-2</c:v>
                </c:pt>
                <c:pt idx="29">
                  <c:v>6.3237609956928065E-2</c:v>
                </c:pt>
                <c:pt idx="30">
                  <c:v>5.4221375799541782E-2</c:v>
                </c:pt>
                <c:pt idx="31">
                  <c:v>4.6611961244774625E-2</c:v>
                </c:pt>
                <c:pt idx="32">
                  <c:v>6.35729577493509E-2</c:v>
                </c:pt>
                <c:pt idx="33">
                  <c:v>7.0053093852681103E-2</c:v>
                </c:pt>
                <c:pt idx="34">
                  <c:v>6.8689454591266852E-2</c:v>
                </c:pt>
                <c:pt idx="35">
                  <c:v>9.370527467546097E-2</c:v>
                </c:pt>
                <c:pt idx="36">
                  <c:v>9.2864247960819934E-2</c:v>
                </c:pt>
                <c:pt idx="37">
                  <c:v>9.291333910742039E-2</c:v>
                </c:pt>
                <c:pt idx="38">
                  <c:v>9.2695774592672642E-2</c:v>
                </c:pt>
                <c:pt idx="39" formatCode="0.00%">
                  <c:v>9.1315575686476969E-2</c:v>
                </c:pt>
                <c:pt idx="40" formatCode="0.00%">
                  <c:v>9.2051533276471753E-2</c:v>
                </c:pt>
                <c:pt idx="41" formatCode="0.00%">
                  <c:v>8.0731424663225138E-2</c:v>
                </c:pt>
                <c:pt idx="42" formatCode="0.00%">
                  <c:v>4.3866691619792508E-2</c:v>
                </c:pt>
                <c:pt idx="43" formatCode="0.00%">
                  <c:v>5.2857677589076113E-2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B7-4252-8503-011A76343AA7}"/>
            </c:ext>
          </c:extLst>
        </c:ser>
        <c:ser>
          <c:idx val="3"/>
          <c:order val="3"/>
          <c:tx>
            <c:strRef>
              <c:f>IRR!$M$1</c:f>
              <c:strCache>
                <c:ptCount val="1"/>
                <c:pt idx="0">
                  <c:v>Acciones Yield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IRR!$D$2:$D$3000</c:f>
              <c:numCache>
                <c:formatCode>d\-mmm</c:formatCode>
                <c:ptCount val="299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</c:numCache>
            </c:numRef>
          </c:xVal>
          <c:yVal>
            <c:numRef>
              <c:f>IRR!$M$2:$M$3000</c:f>
              <c:numCache>
                <c:formatCode>0.00%;[Red]\-0.00%</c:formatCode>
                <c:ptCount val="2999"/>
                <c:pt idx="0">
                  <c:v>0</c:v>
                </c:pt>
                <c:pt idx="1">
                  <c:v>-5.8013560462055747E-4</c:v>
                </c:pt>
                <c:pt idx="2">
                  <c:v>-3.1357267034991532E-3</c:v>
                </c:pt>
                <c:pt idx="3">
                  <c:v>-1.3071796015939885E-3</c:v>
                </c:pt>
                <c:pt idx="4">
                  <c:v>-1.3071796015939885E-3</c:v>
                </c:pt>
                <c:pt idx="5">
                  <c:v>-1.9173249759030897E-2</c:v>
                </c:pt>
                <c:pt idx="6">
                  <c:v>-6.0635798138806152E-3</c:v>
                </c:pt>
                <c:pt idx="7">
                  <c:v>-7.2054801462270168E-3</c:v>
                </c:pt>
                <c:pt idx="8">
                  <c:v>-1.4644099236038599E-3</c:v>
                </c:pt>
                <c:pt idx="9">
                  <c:v>-1.7945771638601116E-3</c:v>
                </c:pt>
                <c:pt idx="10">
                  <c:v>6.6106924365807451E-3</c:v>
                </c:pt>
                <c:pt idx="11">
                  <c:v>1.9213103196980219E-2</c:v>
                </c:pt>
                <c:pt idx="12">
                  <c:v>1.7277820149439016E-2</c:v>
                </c:pt>
                <c:pt idx="13">
                  <c:v>8.0747166724717045E-2</c:v>
                </c:pt>
                <c:pt idx="14">
                  <c:v>8.8724072647898611E-2</c:v>
                </c:pt>
                <c:pt idx="15">
                  <c:v>9.0015048977825751E-2</c:v>
                </c:pt>
                <c:pt idx="16">
                  <c:v>9.4358459433656394E-2</c:v>
                </c:pt>
                <c:pt idx="17">
                  <c:v>0.11338132551091706</c:v>
                </c:pt>
                <c:pt idx="18">
                  <c:v>0.11338132551091706</c:v>
                </c:pt>
                <c:pt idx="19">
                  <c:v>0.12157267653588177</c:v>
                </c:pt>
                <c:pt idx="20">
                  <c:v>0.13159057861015278</c:v>
                </c:pt>
                <c:pt idx="21">
                  <c:v>0.1185201967345404</c:v>
                </c:pt>
                <c:pt idx="22">
                  <c:v>0.11358954184964332</c:v>
                </c:pt>
                <c:pt idx="23">
                  <c:v>0.11495661921342304</c:v>
                </c:pt>
                <c:pt idx="24">
                  <c:v>0.12578064313426141</c:v>
                </c:pt>
                <c:pt idx="25">
                  <c:v>0.1277747967861107</c:v>
                </c:pt>
                <c:pt idx="26">
                  <c:v>0.1277747967861107</c:v>
                </c:pt>
                <c:pt idx="27">
                  <c:v>0.11343645360651355</c:v>
                </c:pt>
                <c:pt idx="28">
                  <c:v>0.12621603147807292</c:v>
                </c:pt>
                <c:pt idx="29">
                  <c:v>0.10859563007980766</c:v>
                </c:pt>
                <c:pt idx="30">
                  <c:v>9.6351089611846019E-2</c:v>
                </c:pt>
                <c:pt idx="31">
                  <c:v>0.17907279040978352</c:v>
                </c:pt>
                <c:pt idx="32">
                  <c:v>0.11292196079907324</c:v>
                </c:pt>
                <c:pt idx="33">
                  <c:v>0.14224613641091777</c:v>
                </c:pt>
                <c:pt idx="34">
                  <c:v>0.13713130449392152</c:v>
                </c:pt>
                <c:pt idx="35">
                  <c:v>0.12989844497971803</c:v>
                </c:pt>
                <c:pt idx="36">
                  <c:v>0.14001652192078451</c:v>
                </c:pt>
                <c:pt idx="37">
                  <c:v>0.14543782667491212</c:v>
                </c:pt>
                <c:pt idx="38">
                  <c:v>0.14953624702945545</c:v>
                </c:pt>
                <c:pt idx="39" formatCode="0.00%">
                  <c:v>0.14953624702945545</c:v>
                </c:pt>
                <c:pt idx="40" formatCode="0.00%">
                  <c:v>0.15151357881315675</c:v>
                </c:pt>
                <c:pt idx="41" formatCode="0.00%">
                  <c:v>0.14525946229184195</c:v>
                </c:pt>
                <c:pt idx="42" formatCode="0.00%">
                  <c:v>9.4889048337326587E-2</c:v>
                </c:pt>
                <c:pt idx="43" formatCode="0.00%">
                  <c:v>9.6855529147519936E-2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BB7-4252-8503-011A76343AA7}"/>
            </c:ext>
          </c:extLst>
        </c:ser>
        <c:ser>
          <c:idx val="4"/>
          <c:order val="4"/>
          <c:tx>
            <c:strRef>
              <c:f>IRR!$AA$1</c:f>
              <c:strCache>
                <c:ptCount val="1"/>
                <c:pt idx="0">
                  <c:v>TPM Yield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IRR!$D$2:$D$3000</c:f>
              <c:numCache>
                <c:formatCode>d\-mmm</c:formatCode>
                <c:ptCount val="299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</c:numCache>
            </c:numRef>
          </c:xVal>
          <c:yVal>
            <c:numRef>
              <c:f>IRR!$AA$2:$AA$3000</c:f>
              <c:numCache>
                <c:formatCode>0.00%;[Red]\-0.00%</c:formatCode>
                <c:ptCount val="2999"/>
                <c:pt idx="0">
                  <c:v>0</c:v>
                </c:pt>
                <c:pt idx="1">
                  <c:v>2.2916666666672469E-4</c:v>
                </c:pt>
                <c:pt idx="2">
                  <c:v>4.5838585069457594E-4</c:v>
                </c:pt>
                <c:pt idx="3">
                  <c:v>6.876575641188154E-4</c:v>
                </c:pt>
                <c:pt idx="4">
                  <c:v>9.169818189773693E-4</c:v>
                </c:pt>
                <c:pt idx="5">
                  <c:v>1.8348044936109531E-3</c:v>
                </c:pt>
                <c:pt idx="6">
                  <c:v>2.0643916363074499E-3</c:v>
                </c:pt>
                <c:pt idx="7">
                  <c:v>2.7534687949501979E-3</c:v>
                </c:pt>
                <c:pt idx="8">
                  <c:v>3.4430198027133319E-3</c:v>
                </c:pt>
                <c:pt idx="9">
                  <c:v>3.6729754947515403E-3</c:v>
                </c:pt>
                <c:pt idx="10">
                  <c:v>4.5933253654788508E-3</c:v>
                </c:pt>
                <c:pt idx="11">
                  <c:v>4.8235446692084238E-3</c:v>
                </c:pt>
                <c:pt idx="12">
                  <c:v>5.8636880247955325E-3</c:v>
                </c:pt>
                <c:pt idx="13">
                  <c:v>8.5002794257196257E-3</c:v>
                </c:pt>
                <c:pt idx="14">
                  <c:v>8.9065218293895576E-3</c:v>
                </c:pt>
                <c:pt idx="15">
                  <c:v>9.3129278749484179E-3</c:v>
                </c:pt>
                <c:pt idx="16">
                  <c:v>9.5161922840345525E-3</c:v>
                </c:pt>
                <c:pt idx="17">
                  <c:v>9.9228439160310433E-3</c:v>
                </c:pt>
                <c:pt idx="18">
                  <c:v>1.0126231155430876E-2</c:v>
                </c:pt>
                <c:pt idx="19">
                  <c:v>1.0329659354760823E-2</c:v>
                </c:pt>
                <c:pt idx="20">
                  <c:v>1.0533128522269841E-2</c:v>
                </c:pt>
                <c:pt idx="21">
                  <c:v>1.0736638666208442E-2</c:v>
                </c:pt>
                <c:pt idx="22">
                  <c:v>1.0940189794828914E-2</c:v>
                </c:pt>
                <c:pt idx="23">
                  <c:v>1.1143781916384876E-2</c:v>
                </c:pt>
                <c:pt idx="24">
                  <c:v>1.2162357707200533E-2</c:v>
                </c:pt>
                <c:pt idx="25">
                  <c:v>1.236619595979449E-2</c:v>
                </c:pt>
                <c:pt idx="26">
                  <c:v>1.2570075263147684E-2</c:v>
                </c:pt>
                <c:pt idx="27">
                  <c:v>1.3181959560442102E-2</c:v>
                </c:pt>
                <c:pt idx="28">
                  <c:v>1.338600314952032E-2</c:v>
                </c:pt>
                <c:pt idx="29">
                  <c:v>1.3590087830710251E-2</c:v>
                </c:pt>
                <c:pt idx="30">
                  <c:v>1.3794213612287276E-2</c:v>
                </c:pt>
                <c:pt idx="31">
                  <c:v>1.461112790803587E-2</c:v>
                </c:pt>
                <c:pt idx="32">
                  <c:v>1.4815459315739687E-2</c:v>
                </c:pt>
                <c:pt idx="33">
                  <c:v>1.501983187351863E-2</c:v>
                </c:pt>
                <c:pt idx="34">
                  <c:v>1.5428700472452261E-2</c:v>
                </c:pt>
                <c:pt idx="35">
                  <c:v>1.5633196530186355E-2</c:v>
                </c:pt>
                <c:pt idx="36">
                  <c:v>1.5837733771154383E-2</c:v>
                </c:pt>
                <c:pt idx="37">
                  <c:v>1.6451592676408389E-2</c:v>
                </c:pt>
                <c:pt idx="38">
                  <c:v>1.6656294733266908E-2</c:v>
                </c:pt>
                <c:pt idx="39" formatCode="0.00%">
                  <c:v>1.7065822529445551E-2</c:v>
                </c:pt>
                <c:pt idx="40" formatCode="0.00%">
                  <c:v>1.7475515290929389E-2</c:v>
                </c:pt>
                <c:pt idx="41" formatCode="0.00%">
                  <c:v>1.7680423554425673E-2</c:v>
                </c:pt>
                <c:pt idx="42" formatCode="0.00%">
                  <c:v>1.8047952439627535E-2</c:v>
                </c:pt>
                <c:pt idx="43" formatCode="0.00%">
                  <c:v>1.8415614055574903E-2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BB7-4252-8503-011A76343AA7}"/>
            </c:ext>
          </c:extLst>
        </c:ser>
        <c:ser>
          <c:idx val="5"/>
          <c:order val="5"/>
          <c:tx>
            <c:strRef>
              <c:f>IRR!$AB$1</c:f>
              <c:strCache>
                <c:ptCount val="1"/>
                <c:pt idx="0">
                  <c:v>CLFCLP Yield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IRR!$D$2:$D$3000</c:f>
              <c:numCache>
                <c:formatCode>d\-mmm</c:formatCode>
                <c:ptCount val="299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</c:numCache>
            </c:numRef>
          </c:xVal>
          <c:yVal>
            <c:numRef>
              <c:f>IRR!$AB$2:$AB$3000</c:f>
              <c:numCache>
                <c:formatCode>0.00%;[Red]\-0.00%</c:formatCode>
                <c:ptCount val="2999"/>
                <c:pt idx="0">
                  <c:v>0</c:v>
                </c:pt>
                <c:pt idx="1">
                  <c:v>-1.6167561036606326E-4</c:v>
                </c:pt>
                <c:pt idx="2">
                  <c:v>-3.2335122073234857E-4</c:v>
                </c:pt>
                <c:pt idx="3">
                  <c:v>-4.8502683109852285E-4</c:v>
                </c:pt>
                <c:pt idx="4">
                  <c:v>-6.4670244146458611E-4</c:v>
                </c:pt>
                <c:pt idx="5">
                  <c:v>-1.292591079521066E-3</c:v>
                </c:pt>
                <c:pt idx="6">
                  <c:v>-1.4542666898872403E-3</c:v>
                </c:pt>
                <c:pt idx="7">
                  <c:v>-1.9384797175776569E-3</c:v>
                </c:pt>
                <c:pt idx="8">
                  <c:v>-2.4224214774656305E-3</c:v>
                </c:pt>
                <c:pt idx="9">
                  <c:v>-2.5838258200290287E-3</c:v>
                </c:pt>
                <c:pt idx="10">
                  <c:v>-3.2286293868751814E-3</c:v>
                </c:pt>
                <c:pt idx="11">
                  <c:v>-3.3897624616359145E-3</c:v>
                </c:pt>
                <c:pt idx="12">
                  <c:v>-4.1951565676376923E-3</c:v>
                </c:pt>
                <c:pt idx="13">
                  <c:v>-3.0835011124693557E-3</c:v>
                </c:pt>
                <c:pt idx="14">
                  <c:v>-2.603899637423579E-3</c:v>
                </c:pt>
                <c:pt idx="15">
                  <c:v>-2.1237556267724722E-3</c:v>
                </c:pt>
                <c:pt idx="16">
                  <c:v>-1.8836836214469743E-3</c:v>
                </c:pt>
                <c:pt idx="17">
                  <c:v>-1.4035396107959786E-3</c:v>
                </c:pt>
                <c:pt idx="18">
                  <c:v>-1.1631963376678156E-3</c:v>
                </c:pt>
                <c:pt idx="19">
                  <c:v>-9.2285306453965266E-4</c:v>
                </c:pt>
                <c:pt idx="20">
                  <c:v>-6.8250979141137869E-4</c:v>
                </c:pt>
                <c:pt idx="21">
                  <c:v>-4.4216651828321574E-4</c:v>
                </c:pt>
                <c:pt idx="22">
                  <c:v>-2.0182324515505279E-4</c:v>
                </c:pt>
                <c:pt idx="23">
                  <c:v>3.8791295775775225E-5</c:v>
                </c:pt>
                <c:pt idx="24">
                  <c:v>1.2421352682323583E-3</c:v>
                </c:pt>
                <c:pt idx="25">
                  <c:v>1.4830210769656293E-3</c:v>
                </c:pt>
                <c:pt idx="26">
                  <c:v>1.7239068856991224E-3</c:v>
                </c:pt>
                <c:pt idx="27">
                  <c:v>2.3518918487821505E-3</c:v>
                </c:pt>
                <c:pt idx="28">
                  <c:v>2.5453057920556965E-3</c:v>
                </c:pt>
                <c:pt idx="29">
                  <c:v>2.7387197353294646E-3</c:v>
                </c:pt>
                <c:pt idx="30">
                  <c:v>2.9324049464056756E-3</c:v>
                </c:pt>
                <c:pt idx="31">
                  <c:v>3.7066032551051897E-3</c:v>
                </c:pt>
                <c:pt idx="32">
                  <c:v>3.9002884661811787E-3</c:v>
                </c:pt>
                <c:pt idx="33">
                  <c:v>4.0942449450600549E-3</c:v>
                </c:pt>
                <c:pt idx="34">
                  <c:v>4.4818866350151421E-3</c:v>
                </c:pt>
                <c:pt idx="35">
                  <c:v>4.6755718460913531E-3</c:v>
                </c:pt>
                <c:pt idx="36">
                  <c:v>4.8695283249700072E-3</c:v>
                </c:pt>
                <c:pt idx="37">
                  <c:v>5.4513977616066356E-3</c:v>
                </c:pt>
                <c:pt idx="38">
                  <c:v>5.6453542404855117E-3</c:v>
                </c:pt>
                <c:pt idx="39">
                  <c:v>6.033538466045707E-3</c:v>
                </c:pt>
                <c:pt idx="40">
                  <c:v>6.4219939594085673E-3</c:v>
                </c:pt>
                <c:pt idx="41">
                  <c:v>6.6162217060898865E-3</c:v>
                </c:pt>
                <c:pt idx="42" formatCode="0.00%">
                  <c:v>7.0046771994529688E-3</c:v>
                </c:pt>
                <c:pt idx="43">
                  <c:v>7.3934039606182722E-3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BB7-4252-8503-011A76343AA7}"/>
            </c:ext>
          </c:extLst>
        </c:ser>
        <c:ser>
          <c:idx val="6"/>
          <c:order val="6"/>
          <c:tx>
            <c:strRef>
              <c:f>IRR!$AC$1</c:f>
              <c:strCache>
                <c:ptCount val="1"/>
                <c:pt idx="0">
                  <c:v>USDCLP OBS Yield</c:v>
                </c:pt>
              </c:strCache>
            </c:strRef>
          </c:tx>
          <c:spPr>
            <a:ln w="22225" cap="rnd" cmpd="sng">
              <a:solidFill>
                <a:schemeClr val="accent1">
                  <a:lumMod val="60000"/>
                </a:schemeClr>
              </a:solidFill>
              <a:prstDash val="sysDot"/>
              <a:round/>
              <a:headEnd type="none"/>
            </a:ln>
            <a:effectLst/>
          </c:spPr>
          <c:marker>
            <c:symbol val="none"/>
          </c:marker>
          <c:xVal>
            <c:numRef>
              <c:f>IRR!$D$2:$D$3000</c:f>
              <c:numCache>
                <c:formatCode>d\-mmm</c:formatCode>
                <c:ptCount val="299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</c:numCache>
            </c:numRef>
          </c:xVal>
          <c:yVal>
            <c:numRef>
              <c:f>IRR!$AC:$AC</c:f>
              <c:numCache>
                <c:formatCode>0.00%;[Red]\-0.00%</c:formatCode>
                <c:ptCount val="1048576"/>
                <c:pt idx="0" formatCode="0.00%">
                  <c:v>0</c:v>
                </c:pt>
                <c:pt idx="1">
                  <c:v>0</c:v>
                </c:pt>
                <c:pt idx="2">
                  <c:v>1.4867248782328035E-2</c:v>
                </c:pt>
                <c:pt idx="3">
                  <c:v>1.970465211747352E-2</c:v>
                </c:pt>
                <c:pt idx="4">
                  <c:v>1.116153154852384E-2</c:v>
                </c:pt>
                <c:pt idx="5">
                  <c:v>1.116153154852384E-2</c:v>
                </c:pt>
                <c:pt idx="6">
                  <c:v>2.3022045689052639E-2</c:v>
                </c:pt>
                <c:pt idx="7">
                  <c:v>2.82477726864232E-2</c:v>
                </c:pt>
                <c:pt idx="8">
                  <c:v>1.9205378837469977E-2</c:v>
                </c:pt>
                <c:pt idx="9">
                  <c:v>8.3877911040597386E-3</c:v>
                </c:pt>
                <c:pt idx="10">
                  <c:v>7.9883724800569045E-3</c:v>
                </c:pt>
                <c:pt idx="11">
                  <c:v>1.647601824011713E-2</c:v>
                </c:pt>
                <c:pt idx="12">
                  <c:v>2.920193939931881E-2</c:v>
                </c:pt>
                <c:pt idx="13">
                  <c:v>3.8499517369162684E-2</c:v>
                </c:pt>
                <c:pt idx="14">
                  <c:v>6.7268753259145164E-2</c:v>
                </c:pt>
                <c:pt idx="15">
                  <c:v>7.514617612142338E-2</c:v>
                </c:pt>
                <c:pt idx="16">
                  <c:v>6.9199276608492122E-2</c:v>
                </c:pt>
                <c:pt idx="17">
                  <c:v>7.3459741931189093E-2</c:v>
                </c:pt>
                <c:pt idx="18">
                  <c:v>7.9284596864563905E-2</c:v>
                </c:pt>
                <c:pt idx="19">
                  <c:v>7.9284596864563905E-2</c:v>
                </c:pt>
                <c:pt idx="20">
                  <c:v>9.1477959858428326E-2</c:v>
                </c:pt>
                <c:pt idx="21">
                  <c:v>9.4906303047786134E-2</c:v>
                </c:pt>
                <c:pt idx="22">
                  <c:v>9.2332271915323227E-2</c:v>
                </c:pt>
                <c:pt idx="23">
                  <c:v>8.751705850373348E-2</c:v>
                </c:pt>
                <c:pt idx="24">
                  <c:v>7.6111437796096748E-2</c:v>
                </c:pt>
                <c:pt idx="25">
                  <c:v>8.3267688142814489E-2</c:v>
                </c:pt>
                <c:pt idx="26">
                  <c:v>8.8704219413964225E-2</c:v>
                </c:pt>
                <c:pt idx="27">
                  <c:v>9.1522339705539801E-2</c:v>
                </c:pt>
                <c:pt idx="28">
                  <c:v>7.0608336754280021E-2</c:v>
                </c:pt>
                <c:pt idx="29">
                  <c:v>7.2095061632512669E-2</c:v>
                </c:pt>
                <c:pt idx="30">
                  <c:v>7.0863520875170671E-2</c:v>
                </c:pt>
                <c:pt idx="31">
                  <c:v>5.2778733177264225E-2</c:v>
                </c:pt>
                <c:pt idx="32">
                  <c:v>4.4501891690983175E-2</c:v>
                </c:pt>
                <c:pt idx="33">
                  <c:v>4.8595932587012225E-2</c:v>
                </c:pt>
                <c:pt idx="34">
                  <c:v>6.7401892800479368E-2</c:v>
                </c:pt>
                <c:pt idx="35">
                  <c:v>7.7919916565887481E-2</c:v>
                </c:pt>
                <c:pt idx="36">
                  <c:v>7.7919916565887481E-2</c:v>
                </c:pt>
                <c:pt idx="37">
                  <c:v>7.7919916565887481E-2</c:v>
                </c:pt>
                <c:pt idx="38">
                  <c:v>8.9203492693967767E-2</c:v>
                </c:pt>
                <c:pt idx="39">
                  <c:v>8.9946855133084203E-2</c:v>
                </c:pt>
                <c:pt idx="40" formatCode="0.00%">
                  <c:v>8.9946855133084203E-2</c:v>
                </c:pt>
                <c:pt idx="41" formatCode="0.00%">
                  <c:v>8.9203492693967767E-2</c:v>
                </c:pt>
                <c:pt idx="42" formatCode="0.00%">
                  <c:v>9.0179849330419115E-2</c:v>
                </c:pt>
                <c:pt idx="43" formatCode="0.00%">
                  <c:v>6.825620485737427E-2</c:v>
                </c:pt>
                <c:pt idx="44" formatCode="0.00%">
                  <c:v>4.594423672210457E-2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BB7-4252-8503-011A7634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883615"/>
        <c:axId val="1103170623"/>
      </c:scatterChart>
      <c:valAx>
        <c:axId val="1343883615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03170623"/>
        <c:crosses val="autoZero"/>
        <c:crossBetween val="midCat"/>
      </c:valAx>
      <c:valAx>
        <c:axId val="1103170623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0%;[Red]\-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343883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772404805850511"/>
          <c:y val="8.8008073441594573E-2"/>
          <c:w val="0.74221323549390639"/>
          <c:h val="0.110164501646950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1" i="0" u="none" strike="noStrike" kern="1200" baseline="0">
              <a:ln w="15875"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sz="2000" b="1" baseline="0"/>
              <a:t>Effective Anualized 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IRR!$E$1</c:f>
              <c:strCache>
                <c:ptCount val="1"/>
                <c:pt idx="0">
                  <c:v>Colchón IRR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IRR!$D$10:$D$3000</c:f>
              <c:numCache>
                <c:formatCode>d\-mmm</c:formatCode>
                <c:ptCount val="2991"/>
                <c:pt idx="0">
                  <c:v>45315</c:v>
                </c:pt>
                <c:pt idx="1">
                  <c:v>45316</c:v>
                </c:pt>
                <c:pt idx="2">
                  <c:v>45320</c:v>
                </c:pt>
                <c:pt idx="3">
                  <c:v>45321</c:v>
                </c:pt>
                <c:pt idx="4">
                  <c:v>45326</c:v>
                </c:pt>
                <c:pt idx="5">
                  <c:v>45339</c:v>
                </c:pt>
                <c:pt idx="6">
                  <c:v>45341</c:v>
                </c:pt>
                <c:pt idx="7">
                  <c:v>45343</c:v>
                </c:pt>
                <c:pt idx="8">
                  <c:v>45344</c:v>
                </c:pt>
                <c:pt idx="9">
                  <c:v>45346</c:v>
                </c:pt>
                <c:pt idx="10">
                  <c:v>45347</c:v>
                </c:pt>
                <c:pt idx="11">
                  <c:v>45348</c:v>
                </c:pt>
                <c:pt idx="12">
                  <c:v>45349</c:v>
                </c:pt>
                <c:pt idx="13">
                  <c:v>45350</c:v>
                </c:pt>
                <c:pt idx="14">
                  <c:v>45351</c:v>
                </c:pt>
                <c:pt idx="15">
                  <c:v>45352</c:v>
                </c:pt>
                <c:pt idx="16">
                  <c:v>45357</c:v>
                </c:pt>
                <c:pt idx="17">
                  <c:v>45358</c:v>
                </c:pt>
                <c:pt idx="18">
                  <c:v>45359</c:v>
                </c:pt>
                <c:pt idx="19">
                  <c:v>45362</c:v>
                </c:pt>
                <c:pt idx="20">
                  <c:v>45363</c:v>
                </c:pt>
                <c:pt idx="21">
                  <c:v>45364</c:v>
                </c:pt>
                <c:pt idx="22">
                  <c:v>45365</c:v>
                </c:pt>
                <c:pt idx="23">
                  <c:v>45369</c:v>
                </c:pt>
                <c:pt idx="24">
                  <c:v>45370</c:v>
                </c:pt>
                <c:pt idx="25">
                  <c:v>45371</c:v>
                </c:pt>
                <c:pt idx="26">
                  <c:v>45373</c:v>
                </c:pt>
                <c:pt idx="27">
                  <c:v>45374</c:v>
                </c:pt>
                <c:pt idx="28">
                  <c:v>45375</c:v>
                </c:pt>
                <c:pt idx="29">
                  <c:v>45378</c:v>
                </c:pt>
                <c:pt idx="30">
                  <c:v>45379</c:v>
                </c:pt>
                <c:pt idx="31">
                  <c:v>45381</c:v>
                </c:pt>
                <c:pt idx="32">
                  <c:v>45383</c:v>
                </c:pt>
                <c:pt idx="33">
                  <c:v>45384</c:v>
                </c:pt>
                <c:pt idx="34">
                  <c:v>45386</c:v>
                </c:pt>
                <c:pt idx="35">
                  <c:v>45388</c:v>
                </c:pt>
              </c:numCache>
            </c:numRef>
          </c:xVal>
          <c:yVal>
            <c:numRef>
              <c:f>IRR!$E$10:$E$3000</c:f>
              <c:numCache>
                <c:formatCode>0.00%;[Red]\-0.00%</c:formatCode>
                <c:ptCount val="2991"/>
                <c:pt idx="0">
                  <c:v>7.9933737945523123E-2</c:v>
                </c:pt>
                <c:pt idx="1">
                  <c:v>7.9927494628790965E-2</c:v>
                </c:pt>
                <c:pt idx="2">
                  <c:v>6.7471948103877077E-2</c:v>
                </c:pt>
                <c:pt idx="3">
                  <c:v>6.4258998194168637E-2</c:v>
                </c:pt>
                <c:pt idx="4">
                  <c:v>7.6387956108911068E-2</c:v>
                </c:pt>
                <c:pt idx="5">
                  <c:v>7.7339359374456185E-2</c:v>
                </c:pt>
                <c:pt idx="6">
                  <c:v>7.356670769765343E-2</c:v>
                </c:pt>
                <c:pt idx="7">
                  <c:v>7.9514790747674577E-2</c:v>
                </c:pt>
                <c:pt idx="8">
                  <c:v>7.7348709304125102E-2</c:v>
                </c:pt>
                <c:pt idx="9">
                  <c:v>7.7007662322498435E-2</c:v>
                </c:pt>
                <c:pt idx="10">
                  <c:v>7.5068281370302747E-2</c:v>
                </c:pt>
                <c:pt idx="11">
                  <c:v>7.893133677807021E-2</c:v>
                </c:pt>
                <c:pt idx="12">
                  <c:v>7.9029188313075704E-2</c:v>
                </c:pt>
                <c:pt idx="13">
                  <c:v>7.9106101219215352E-2</c:v>
                </c:pt>
                <c:pt idx="14">
                  <c:v>7.9032081391323977E-2</c:v>
                </c:pt>
                <c:pt idx="15">
                  <c:v>7.7264375749742834E-2</c:v>
                </c:pt>
                <c:pt idx="16">
                  <c:v>7.8684805173133407E-2</c:v>
                </c:pt>
                <c:pt idx="17">
                  <c:v>7.8546839469312429E-2</c:v>
                </c:pt>
                <c:pt idx="18">
                  <c:v>7.7027810622085691E-2</c:v>
                </c:pt>
                <c:pt idx="19">
                  <c:v>7.8185926202744685E-2</c:v>
                </c:pt>
                <c:pt idx="20">
                  <c:v>7.8274867519875474E-2</c:v>
                </c:pt>
                <c:pt idx="21">
                  <c:v>7.8215841191771579E-2</c:v>
                </c:pt>
                <c:pt idx="22">
                  <c:v>7.8126571578132104E-2</c:v>
                </c:pt>
                <c:pt idx="23">
                  <c:v>7.7688332460825113E-2</c:v>
                </c:pt>
                <c:pt idx="24">
                  <c:v>7.7724339799294329E-2</c:v>
                </c:pt>
                <c:pt idx="25">
                  <c:v>7.7240059865649982E-2</c:v>
                </c:pt>
                <c:pt idx="26">
                  <c:v>7.4143672485966164E-2</c:v>
                </c:pt>
                <c:pt idx="27">
                  <c:v>7.5446680694279608E-2</c:v>
                </c:pt>
                <c:pt idx="28">
                  <c:v>7.3992649634371827E-2</c:v>
                </c:pt>
                <c:pt idx="29">
                  <c:v>7.6806278013699131E-2</c:v>
                </c:pt>
                <c:pt idx="30">
                  <c:v>7.6463730514438485E-2</c:v>
                </c:pt>
                <c:pt idx="31" formatCode="0.00%">
                  <c:v>7.3821995723042363E-2</c:v>
                </c:pt>
                <c:pt idx="32" formatCode="0.00%">
                  <c:v>7.6142308051983951E-2</c:v>
                </c:pt>
                <c:pt idx="33" formatCode="0.00%">
                  <c:v>7.6527377301506203E-2</c:v>
                </c:pt>
                <c:pt idx="34" formatCode="0.00%">
                  <c:v>7.6282140960992117E-2</c:v>
                </c:pt>
                <c:pt idx="35" formatCode="0.00%">
                  <c:v>7.5049751104656545E-2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28-45ED-A53E-080969360727}"/>
            </c:ext>
          </c:extLst>
        </c:ser>
        <c:ser>
          <c:idx val="1"/>
          <c:order val="1"/>
          <c:tx>
            <c:strRef>
              <c:f>IRR!$F$1</c:f>
              <c:strCache>
                <c:ptCount val="1"/>
                <c:pt idx="0">
                  <c:v>Fondo A IRR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IRR!$D$10:$D$3000</c:f>
              <c:numCache>
                <c:formatCode>d\-mmm</c:formatCode>
                <c:ptCount val="2991"/>
                <c:pt idx="0">
                  <c:v>45315</c:v>
                </c:pt>
                <c:pt idx="1">
                  <c:v>45316</c:v>
                </c:pt>
                <c:pt idx="2">
                  <c:v>45320</c:v>
                </c:pt>
                <c:pt idx="3">
                  <c:v>45321</c:v>
                </c:pt>
                <c:pt idx="4">
                  <c:v>45326</c:v>
                </c:pt>
                <c:pt idx="5">
                  <c:v>45339</c:v>
                </c:pt>
                <c:pt idx="6">
                  <c:v>45341</c:v>
                </c:pt>
                <c:pt idx="7">
                  <c:v>45343</c:v>
                </c:pt>
                <c:pt idx="8">
                  <c:v>45344</c:v>
                </c:pt>
                <c:pt idx="9">
                  <c:v>45346</c:v>
                </c:pt>
                <c:pt idx="10">
                  <c:v>45347</c:v>
                </c:pt>
                <c:pt idx="11">
                  <c:v>45348</c:v>
                </c:pt>
                <c:pt idx="12">
                  <c:v>45349</c:v>
                </c:pt>
                <c:pt idx="13">
                  <c:v>45350</c:v>
                </c:pt>
                <c:pt idx="14">
                  <c:v>45351</c:v>
                </c:pt>
                <c:pt idx="15">
                  <c:v>45352</c:v>
                </c:pt>
                <c:pt idx="16">
                  <c:v>45357</c:v>
                </c:pt>
                <c:pt idx="17">
                  <c:v>45358</c:v>
                </c:pt>
                <c:pt idx="18">
                  <c:v>45359</c:v>
                </c:pt>
                <c:pt idx="19">
                  <c:v>45362</c:v>
                </c:pt>
                <c:pt idx="20">
                  <c:v>45363</c:v>
                </c:pt>
                <c:pt idx="21">
                  <c:v>45364</c:v>
                </c:pt>
                <c:pt idx="22">
                  <c:v>45365</c:v>
                </c:pt>
                <c:pt idx="23">
                  <c:v>45369</c:v>
                </c:pt>
                <c:pt idx="24">
                  <c:v>45370</c:v>
                </c:pt>
                <c:pt idx="25">
                  <c:v>45371</c:v>
                </c:pt>
                <c:pt idx="26">
                  <c:v>45373</c:v>
                </c:pt>
                <c:pt idx="27">
                  <c:v>45374</c:v>
                </c:pt>
                <c:pt idx="28">
                  <c:v>45375</c:v>
                </c:pt>
                <c:pt idx="29">
                  <c:v>45378</c:v>
                </c:pt>
                <c:pt idx="30">
                  <c:v>45379</c:v>
                </c:pt>
                <c:pt idx="31">
                  <c:v>45381</c:v>
                </c:pt>
                <c:pt idx="32">
                  <c:v>45383</c:v>
                </c:pt>
                <c:pt idx="33">
                  <c:v>45384</c:v>
                </c:pt>
                <c:pt idx="34">
                  <c:v>45386</c:v>
                </c:pt>
                <c:pt idx="35">
                  <c:v>45388</c:v>
                </c:pt>
              </c:numCache>
            </c:numRef>
          </c:xVal>
          <c:yVal>
            <c:numRef>
              <c:f>IRR!$F$10:$F$3000</c:f>
              <c:numCache>
                <c:formatCode>0.00%;[Red]\-0.00%</c:formatCode>
                <c:ptCount val="2991"/>
                <c:pt idx="0">
                  <c:v>0.50618232591264012</c:v>
                </c:pt>
                <c:pt idx="1">
                  <c:v>0.6267037933275651</c:v>
                </c:pt>
                <c:pt idx="2">
                  <c:v>0.49255533591011663</c:v>
                </c:pt>
                <c:pt idx="3">
                  <c:v>0.46910031991439677</c:v>
                </c:pt>
                <c:pt idx="4">
                  <c:v>0.79748378402647846</c:v>
                </c:pt>
                <c:pt idx="5">
                  <c:v>1.0424573976868086</c:v>
                </c:pt>
                <c:pt idx="6">
                  <c:v>0.94406166122680246</c:v>
                </c:pt>
                <c:pt idx="7">
                  <c:v>0.6798608527231802</c:v>
                </c:pt>
                <c:pt idx="8">
                  <c:v>0.62355984419415822</c:v>
                </c:pt>
                <c:pt idx="9">
                  <c:v>1.4230009351402761</c:v>
                </c:pt>
                <c:pt idx="10">
                  <c:v>1.3324469486193011</c:v>
                </c:pt>
                <c:pt idx="11">
                  <c:v>1.340109781600521</c:v>
                </c:pt>
                <c:pt idx="12">
                  <c:v>1.2466166211128726</c:v>
                </c:pt>
                <c:pt idx="13">
                  <c:v>1.0161241450953422</c:v>
                </c:pt>
                <c:pt idx="14">
                  <c:v>0.91031748492379083</c:v>
                </c:pt>
                <c:pt idx="15">
                  <c:v>0.8654308059094622</c:v>
                </c:pt>
                <c:pt idx="16">
                  <c:v>0.98422079151424435</c:v>
                </c:pt>
                <c:pt idx="17">
                  <c:v>1.1532933021698184</c:v>
                </c:pt>
                <c:pt idx="18">
                  <c:v>1.1113483747911688</c:v>
                </c:pt>
                <c:pt idx="19">
                  <c:v>0.62789149155136648</c:v>
                </c:pt>
                <c:pt idx="20">
                  <c:v>0.72650324443809422</c:v>
                </c:pt>
                <c:pt idx="21">
                  <c:v>0.45259950108250951</c:v>
                </c:pt>
                <c:pt idx="22">
                  <c:v>0.3329195634559779</c:v>
                </c:pt>
                <c:pt idx="23">
                  <c:v>0.27424052590907477</c:v>
                </c:pt>
                <c:pt idx="24">
                  <c:v>0.44236431600000647</c:v>
                </c:pt>
                <c:pt idx="25">
                  <c:v>0.65402781955837075</c:v>
                </c:pt>
                <c:pt idx="26">
                  <c:v>0.62217354535844815</c:v>
                </c:pt>
                <c:pt idx="27">
                  <c:v>0.69178740178790543</c:v>
                </c:pt>
                <c:pt idx="28">
                  <c:v>0.67573780379027826</c:v>
                </c:pt>
                <c:pt idx="29">
                  <c:v>0.65866168749113341</c:v>
                </c:pt>
                <c:pt idx="30">
                  <c:v>0.64848618988586737</c:v>
                </c:pt>
                <c:pt idx="31" formatCode="0.00%">
                  <c:v>0.6220504383168215</c:v>
                </c:pt>
                <c:pt idx="32" formatCode="0.00%">
                  <c:v>0.60041512635424843</c:v>
                </c:pt>
                <c:pt idx="33" formatCode="0.00%">
                  <c:v>0.50552505748608612</c:v>
                </c:pt>
                <c:pt idx="34" formatCode="0.00%">
                  <c:v>0.1990046325811787</c:v>
                </c:pt>
                <c:pt idx="35" formatCode="0.00%">
                  <c:v>0.26334740677148932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28-45ED-A53E-080969360727}"/>
            </c:ext>
          </c:extLst>
        </c:ser>
        <c:ser>
          <c:idx val="2"/>
          <c:order val="2"/>
          <c:tx>
            <c:strRef>
              <c:f>IRR!$G$1</c:f>
              <c:strCache>
                <c:ptCount val="1"/>
                <c:pt idx="0">
                  <c:v>APV IRR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IRR!$D$10:$D$3000</c:f>
              <c:numCache>
                <c:formatCode>d\-mmm</c:formatCode>
                <c:ptCount val="2991"/>
                <c:pt idx="0">
                  <c:v>45315</c:v>
                </c:pt>
                <c:pt idx="1">
                  <c:v>45316</c:v>
                </c:pt>
                <c:pt idx="2">
                  <c:v>45320</c:v>
                </c:pt>
                <c:pt idx="3">
                  <c:v>45321</c:v>
                </c:pt>
                <c:pt idx="4">
                  <c:v>45326</c:v>
                </c:pt>
                <c:pt idx="5">
                  <c:v>45339</c:v>
                </c:pt>
                <c:pt idx="6">
                  <c:v>45341</c:v>
                </c:pt>
                <c:pt idx="7">
                  <c:v>45343</c:v>
                </c:pt>
                <c:pt idx="8">
                  <c:v>45344</c:v>
                </c:pt>
                <c:pt idx="9">
                  <c:v>45346</c:v>
                </c:pt>
                <c:pt idx="10">
                  <c:v>45347</c:v>
                </c:pt>
                <c:pt idx="11">
                  <c:v>45348</c:v>
                </c:pt>
                <c:pt idx="12">
                  <c:v>45349</c:v>
                </c:pt>
                <c:pt idx="13">
                  <c:v>45350</c:v>
                </c:pt>
                <c:pt idx="14">
                  <c:v>45351</c:v>
                </c:pt>
                <c:pt idx="15">
                  <c:v>45352</c:v>
                </c:pt>
                <c:pt idx="16">
                  <c:v>45357</c:v>
                </c:pt>
                <c:pt idx="17">
                  <c:v>45358</c:v>
                </c:pt>
                <c:pt idx="18">
                  <c:v>45359</c:v>
                </c:pt>
                <c:pt idx="19">
                  <c:v>45362</c:v>
                </c:pt>
                <c:pt idx="20">
                  <c:v>45363</c:v>
                </c:pt>
                <c:pt idx="21">
                  <c:v>45364</c:v>
                </c:pt>
                <c:pt idx="22">
                  <c:v>45365</c:v>
                </c:pt>
                <c:pt idx="23">
                  <c:v>45369</c:v>
                </c:pt>
                <c:pt idx="24">
                  <c:v>45370</c:v>
                </c:pt>
                <c:pt idx="25">
                  <c:v>45371</c:v>
                </c:pt>
                <c:pt idx="26">
                  <c:v>45373</c:v>
                </c:pt>
                <c:pt idx="27">
                  <c:v>45374</c:v>
                </c:pt>
                <c:pt idx="28">
                  <c:v>45375</c:v>
                </c:pt>
                <c:pt idx="29">
                  <c:v>45378</c:v>
                </c:pt>
                <c:pt idx="30">
                  <c:v>45379</c:v>
                </c:pt>
                <c:pt idx="31">
                  <c:v>45381</c:v>
                </c:pt>
                <c:pt idx="32">
                  <c:v>45383</c:v>
                </c:pt>
                <c:pt idx="33">
                  <c:v>45384</c:v>
                </c:pt>
                <c:pt idx="34">
                  <c:v>45386</c:v>
                </c:pt>
                <c:pt idx="35">
                  <c:v>45388</c:v>
                </c:pt>
              </c:numCache>
            </c:numRef>
          </c:xVal>
          <c:yVal>
            <c:numRef>
              <c:f>IRR!$G$10:$G$3000</c:f>
              <c:numCache>
                <c:formatCode>0.00%;[Red]\-0.00%</c:formatCode>
                <c:ptCount val="2991"/>
                <c:pt idx="0">
                  <c:v>0.47190650638255816</c:v>
                </c:pt>
                <c:pt idx="1">
                  <c:v>0.56083649651892009</c:v>
                </c:pt>
                <c:pt idx="2">
                  <c:v>0.44181562685680753</c:v>
                </c:pt>
                <c:pt idx="3">
                  <c:v>0.42077678748267383</c:v>
                </c:pt>
                <c:pt idx="4">
                  <c:v>0.60291431697619802</c:v>
                </c:pt>
                <c:pt idx="5">
                  <c:v>0.61905833880901473</c:v>
                </c:pt>
                <c:pt idx="6">
                  <c:v>0.58886037106223355</c:v>
                </c:pt>
                <c:pt idx="7">
                  <c:v>0.49717497554561974</c:v>
                </c:pt>
                <c:pt idx="8">
                  <c:v>0.46381813060218857</c:v>
                </c:pt>
                <c:pt idx="9">
                  <c:v>0.84474589395401989</c:v>
                </c:pt>
                <c:pt idx="10">
                  <c:v>0.79854835555250647</c:v>
                </c:pt>
                <c:pt idx="11">
                  <c:v>0.79473661297701359</c:v>
                </c:pt>
                <c:pt idx="12">
                  <c:v>0.7262034730666771</c:v>
                </c:pt>
                <c:pt idx="13">
                  <c:v>0.62364110229373693</c:v>
                </c:pt>
                <c:pt idx="14">
                  <c:v>0.56121134584479337</c:v>
                </c:pt>
                <c:pt idx="15">
                  <c:v>0.53679043736881982</c:v>
                </c:pt>
                <c:pt idx="16">
                  <c:v>0.60069070705619532</c:v>
                </c:pt>
                <c:pt idx="17">
                  <c:v>0.6962240662962047</c:v>
                </c:pt>
                <c:pt idx="18">
                  <c:v>0.67311825877961806</c:v>
                </c:pt>
                <c:pt idx="19">
                  <c:v>0.44132974786182</c:v>
                </c:pt>
                <c:pt idx="20">
                  <c:v>0.4930110433471564</c:v>
                </c:pt>
                <c:pt idx="21">
                  <c:v>0.3497076525578835</c:v>
                </c:pt>
                <c:pt idx="22">
                  <c:v>0.29650613294069572</c:v>
                </c:pt>
                <c:pt idx="23">
                  <c:v>0.2409965057856118</c:v>
                </c:pt>
                <c:pt idx="24">
                  <c:v>0.32137705032081437</c:v>
                </c:pt>
                <c:pt idx="25">
                  <c:v>0.34807771405672555</c:v>
                </c:pt>
                <c:pt idx="26">
                  <c:v>0.33216544494642386</c:v>
                </c:pt>
                <c:pt idx="27">
                  <c:v>0.44180421806528769</c:v>
                </c:pt>
                <c:pt idx="28">
                  <c:v>0.43216973413173193</c:v>
                </c:pt>
                <c:pt idx="29">
                  <c:v>0.41575801777309263</c:v>
                </c:pt>
                <c:pt idx="30">
                  <c:v>0.40957542006989678</c:v>
                </c:pt>
                <c:pt idx="31" formatCode="0.00%">
                  <c:v>0.3937670407550421</c:v>
                </c:pt>
                <c:pt idx="32" formatCode="0.00%">
                  <c:v>0.38724331044379867</c:v>
                </c:pt>
                <c:pt idx="33" formatCode="0.00%">
                  <c:v>0.33735584277642355</c:v>
                </c:pt>
                <c:pt idx="34" formatCode="0.00%">
                  <c:v>0.18221050953639159</c:v>
                </c:pt>
                <c:pt idx="35" formatCode="0.00%">
                  <c:v>0.21364140609990831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28-45ED-A53E-080969360727}"/>
            </c:ext>
          </c:extLst>
        </c:ser>
        <c:ser>
          <c:idx val="3"/>
          <c:order val="3"/>
          <c:tx>
            <c:strRef>
              <c:f>IRR!$H$1</c:f>
              <c:strCache>
                <c:ptCount val="1"/>
                <c:pt idx="0">
                  <c:v>Acciones IRR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IRR!$D$10:$D$3000</c:f>
              <c:numCache>
                <c:formatCode>d\-mmm</c:formatCode>
                <c:ptCount val="2991"/>
                <c:pt idx="0">
                  <c:v>45315</c:v>
                </c:pt>
                <c:pt idx="1">
                  <c:v>45316</c:v>
                </c:pt>
                <c:pt idx="2">
                  <c:v>45320</c:v>
                </c:pt>
                <c:pt idx="3">
                  <c:v>45321</c:v>
                </c:pt>
                <c:pt idx="4">
                  <c:v>45326</c:v>
                </c:pt>
                <c:pt idx="5">
                  <c:v>45339</c:v>
                </c:pt>
                <c:pt idx="6">
                  <c:v>45341</c:v>
                </c:pt>
                <c:pt idx="7">
                  <c:v>45343</c:v>
                </c:pt>
                <c:pt idx="8">
                  <c:v>45344</c:v>
                </c:pt>
                <c:pt idx="9">
                  <c:v>45346</c:v>
                </c:pt>
                <c:pt idx="10">
                  <c:v>45347</c:v>
                </c:pt>
                <c:pt idx="11">
                  <c:v>45348</c:v>
                </c:pt>
                <c:pt idx="12">
                  <c:v>45349</c:v>
                </c:pt>
                <c:pt idx="13">
                  <c:v>45350</c:v>
                </c:pt>
                <c:pt idx="14">
                  <c:v>45351</c:v>
                </c:pt>
                <c:pt idx="15">
                  <c:v>45352</c:v>
                </c:pt>
                <c:pt idx="16">
                  <c:v>45357</c:v>
                </c:pt>
                <c:pt idx="17">
                  <c:v>45358</c:v>
                </c:pt>
                <c:pt idx="18">
                  <c:v>45359</c:v>
                </c:pt>
                <c:pt idx="19">
                  <c:v>45362</c:v>
                </c:pt>
                <c:pt idx="20">
                  <c:v>45363</c:v>
                </c:pt>
                <c:pt idx="21">
                  <c:v>45364</c:v>
                </c:pt>
                <c:pt idx="22">
                  <c:v>45365</c:v>
                </c:pt>
                <c:pt idx="23">
                  <c:v>45369</c:v>
                </c:pt>
                <c:pt idx="24">
                  <c:v>45370</c:v>
                </c:pt>
                <c:pt idx="25">
                  <c:v>45371</c:v>
                </c:pt>
                <c:pt idx="26">
                  <c:v>45373</c:v>
                </c:pt>
                <c:pt idx="27">
                  <c:v>45374</c:v>
                </c:pt>
                <c:pt idx="28">
                  <c:v>45375</c:v>
                </c:pt>
                <c:pt idx="29">
                  <c:v>45378</c:v>
                </c:pt>
                <c:pt idx="30">
                  <c:v>45379</c:v>
                </c:pt>
                <c:pt idx="31">
                  <c:v>45381</c:v>
                </c:pt>
                <c:pt idx="32">
                  <c:v>45383</c:v>
                </c:pt>
                <c:pt idx="33">
                  <c:v>45384</c:v>
                </c:pt>
                <c:pt idx="34">
                  <c:v>45386</c:v>
                </c:pt>
                <c:pt idx="35">
                  <c:v>45388</c:v>
                </c:pt>
              </c:numCache>
            </c:numRef>
          </c:xVal>
          <c:yVal>
            <c:numRef>
              <c:f>IRR!$H$10:$H$3000</c:f>
              <c:numCache>
                <c:formatCode>0.00%;[Red]\-0.00%</c:formatCode>
                <c:ptCount val="2991"/>
                <c:pt idx="0">
                  <c:v>-3.5660091681176606E-2</c:v>
                </c:pt>
                <c:pt idx="1">
                  <c:v>-4.0975569467902026E-2</c:v>
                </c:pt>
                <c:pt idx="2">
                  <c:v>0.1202481118006805</c:v>
                </c:pt>
                <c:pt idx="3">
                  <c:v>0.33077450806908798</c:v>
                </c:pt>
                <c:pt idx="4">
                  <c:v>0.24048243881260301</c:v>
                </c:pt>
                <c:pt idx="5">
                  <c:v>0.72674890737384756</c:v>
                </c:pt>
                <c:pt idx="6">
                  <c:v>0.75676460453514083</c:v>
                </c:pt>
                <c:pt idx="7">
                  <c:v>0.73162554487926157</c:v>
                </c:pt>
                <c:pt idx="8">
                  <c:v>0.74798711519483552</c:v>
                </c:pt>
                <c:pt idx="9">
                  <c:v>0.85220853935398866</c:v>
                </c:pt>
                <c:pt idx="10">
                  <c:v>0.83407644277198889</c:v>
                </c:pt>
                <c:pt idx="11">
                  <c:v>0.87244030596541511</c:v>
                </c:pt>
                <c:pt idx="12">
                  <c:v>0.92087440123329345</c:v>
                </c:pt>
                <c:pt idx="13">
                  <c:v>0.81764787900039149</c:v>
                </c:pt>
                <c:pt idx="14">
                  <c:v>0.76999698094341962</c:v>
                </c:pt>
                <c:pt idx="15">
                  <c:v>0.7638010890645609</c:v>
                </c:pt>
                <c:pt idx="16">
                  <c:v>0.75866658787202434</c:v>
                </c:pt>
                <c:pt idx="17">
                  <c:v>0.75672356879392944</c:v>
                </c:pt>
                <c:pt idx="18">
                  <c:v>0.74389774559403243</c:v>
                </c:pt>
                <c:pt idx="19">
                  <c:v>0.63257524219931571</c:v>
                </c:pt>
                <c:pt idx="20">
                  <c:v>0.68865285072790672</c:v>
                </c:pt>
                <c:pt idx="21">
                  <c:v>0.58795806090721947</c:v>
                </c:pt>
                <c:pt idx="22">
                  <c:v>0.516545048923852</c:v>
                </c:pt>
                <c:pt idx="23">
                  <c:v>0.87138914415825952</c:v>
                </c:pt>
                <c:pt idx="24">
                  <c:v>0.55787097313369816</c:v>
                </c:pt>
                <c:pt idx="25">
                  <c:v>0.68371501326235418</c:v>
                </c:pt>
                <c:pt idx="26">
                  <c:v>0.64254345692364889</c:v>
                </c:pt>
                <c:pt idx="27">
                  <c:v>0.60238690945886808</c:v>
                </c:pt>
                <c:pt idx="28">
                  <c:v>0.63774140870984497</c:v>
                </c:pt>
                <c:pt idx="29">
                  <c:v>0.63541326963819256</c:v>
                </c:pt>
                <c:pt idx="30">
                  <c:v>0.64387200152313473</c:v>
                </c:pt>
                <c:pt idx="31" formatCode="0.00%">
                  <c:v>0.62797392741145242</c:v>
                </c:pt>
                <c:pt idx="32" formatCode="0.00%">
                  <c:v>0.6203998778238512</c:v>
                </c:pt>
                <c:pt idx="33" formatCode="0.00%">
                  <c:v>0.58934992647960305</c:v>
                </c:pt>
                <c:pt idx="34" formatCode="0.00%">
                  <c:v>0.38474833525111074</c:v>
                </c:pt>
                <c:pt idx="35" formatCode="0.00%">
                  <c:v>0.38344691878579068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28-45ED-A53E-080969360727}"/>
            </c:ext>
          </c:extLst>
        </c:ser>
        <c:ser>
          <c:idx val="4"/>
          <c:order val="4"/>
          <c:tx>
            <c:strRef>
              <c:f>IRR!$W$1</c:f>
              <c:strCache>
                <c:ptCount val="1"/>
                <c:pt idx="0">
                  <c:v>TPM IRR</c:v>
                </c:pt>
              </c:strCache>
            </c:strRef>
          </c:tx>
          <c:spPr>
            <a:ln w="22225" cap="rnd">
              <a:solidFill>
                <a:schemeClr val="accent5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IRR!$D$10:$D$3000</c:f>
              <c:numCache>
                <c:formatCode>d\-mmm</c:formatCode>
                <c:ptCount val="2991"/>
                <c:pt idx="0">
                  <c:v>45315</c:v>
                </c:pt>
                <c:pt idx="1">
                  <c:v>45316</c:v>
                </c:pt>
                <c:pt idx="2">
                  <c:v>45320</c:v>
                </c:pt>
                <c:pt idx="3">
                  <c:v>45321</c:v>
                </c:pt>
                <c:pt idx="4">
                  <c:v>45326</c:v>
                </c:pt>
                <c:pt idx="5">
                  <c:v>45339</c:v>
                </c:pt>
                <c:pt idx="6">
                  <c:v>45341</c:v>
                </c:pt>
                <c:pt idx="7">
                  <c:v>45343</c:v>
                </c:pt>
                <c:pt idx="8">
                  <c:v>45344</c:v>
                </c:pt>
                <c:pt idx="9">
                  <c:v>45346</c:v>
                </c:pt>
                <c:pt idx="10">
                  <c:v>45347</c:v>
                </c:pt>
                <c:pt idx="11">
                  <c:v>45348</c:v>
                </c:pt>
                <c:pt idx="12">
                  <c:v>45349</c:v>
                </c:pt>
                <c:pt idx="13">
                  <c:v>45350</c:v>
                </c:pt>
                <c:pt idx="14">
                  <c:v>45351</c:v>
                </c:pt>
                <c:pt idx="15">
                  <c:v>45352</c:v>
                </c:pt>
                <c:pt idx="16">
                  <c:v>45357</c:v>
                </c:pt>
                <c:pt idx="17">
                  <c:v>45358</c:v>
                </c:pt>
                <c:pt idx="18">
                  <c:v>45359</c:v>
                </c:pt>
                <c:pt idx="19">
                  <c:v>45362</c:v>
                </c:pt>
                <c:pt idx="20">
                  <c:v>45363</c:v>
                </c:pt>
                <c:pt idx="21">
                  <c:v>45364</c:v>
                </c:pt>
                <c:pt idx="22">
                  <c:v>45365</c:v>
                </c:pt>
                <c:pt idx="23">
                  <c:v>45369</c:v>
                </c:pt>
                <c:pt idx="24">
                  <c:v>45370</c:v>
                </c:pt>
                <c:pt idx="25">
                  <c:v>45371</c:v>
                </c:pt>
                <c:pt idx="26">
                  <c:v>45373</c:v>
                </c:pt>
                <c:pt idx="27">
                  <c:v>45374</c:v>
                </c:pt>
                <c:pt idx="28">
                  <c:v>45375</c:v>
                </c:pt>
                <c:pt idx="29">
                  <c:v>45378</c:v>
                </c:pt>
                <c:pt idx="30">
                  <c:v>45379</c:v>
                </c:pt>
                <c:pt idx="31">
                  <c:v>45381</c:v>
                </c:pt>
                <c:pt idx="32">
                  <c:v>45383</c:v>
                </c:pt>
                <c:pt idx="33">
                  <c:v>45384</c:v>
                </c:pt>
                <c:pt idx="34">
                  <c:v>45386</c:v>
                </c:pt>
                <c:pt idx="35">
                  <c:v>45388</c:v>
                </c:pt>
              </c:numCache>
            </c:numRef>
          </c:xVal>
          <c:yVal>
            <c:numRef>
              <c:f>IRR!$W$10:$W$3000</c:f>
              <c:numCache>
                <c:formatCode>0.00%;[Red]\-0.00%</c:formatCode>
                <c:ptCount val="2991"/>
                <c:pt idx="0">
                  <c:v>8.3636250378989044E-2</c:v>
                </c:pt>
                <c:pt idx="1">
                  <c:v>8.363625037898953E-2</c:v>
                </c:pt>
                <c:pt idx="2">
                  <c:v>8.3636250378985907E-2</c:v>
                </c:pt>
                <c:pt idx="3">
                  <c:v>8.3636250378984617E-2</c:v>
                </c:pt>
                <c:pt idx="4">
                  <c:v>8.2076757043320209E-2</c:v>
                </c:pt>
                <c:pt idx="5">
                  <c:v>7.9217685927930562E-2</c:v>
                </c:pt>
                <c:pt idx="6">
                  <c:v>7.8938752160574069E-2</c:v>
                </c:pt>
                <c:pt idx="7">
                  <c:v>7.8685765720414969E-2</c:v>
                </c:pt>
                <c:pt idx="8">
                  <c:v>7.8567897038068879E-2</c:v>
                </c:pt>
                <c:pt idx="9">
                  <c:v>7.834753384933367E-2</c:v>
                </c:pt>
                <c:pt idx="10">
                  <c:v>7.8244385122691273E-2</c:v>
                </c:pt>
                <c:pt idx="11">
                  <c:v>7.8145534259658644E-2</c:v>
                </c:pt>
                <c:pt idx="12">
                  <c:v>7.8050718125729668E-2</c:v>
                </c:pt>
                <c:pt idx="13">
                  <c:v>7.7959694637157989E-2</c:v>
                </c:pt>
                <c:pt idx="14">
                  <c:v>7.7872240697158479E-2</c:v>
                </c:pt>
                <c:pt idx="15">
                  <c:v>7.7788150370234926E-2</c:v>
                </c:pt>
                <c:pt idx="16">
                  <c:v>7.7411956802419177E-2</c:v>
                </c:pt>
                <c:pt idx="17">
                  <c:v>7.7344501404052732E-2</c:v>
                </c:pt>
                <c:pt idx="18">
                  <c:v>7.7279332629359945E-2</c:v>
                </c:pt>
                <c:pt idx="19">
                  <c:v>7.7096439616510234E-2</c:v>
                </c:pt>
                <c:pt idx="20">
                  <c:v>7.7039346030488468E-2</c:v>
                </c:pt>
                <c:pt idx="21">
                  <c:v>7.6984036619030027E-2</c:v>
                </c:pt>
                <c:pt idx="22">
                  <c:v>7.6930429035615949E-2</c:v>
                </c:pt>
                <c:pt idx="23">
                  <c:v>7.6731537131936978E-2</c:v>
                </c:pt>
                <c:pt idx="24">
                  <c:v>7.6685365797154362E-2</c:v>
                </c:pt>
                <c:pt idx="25">
                  <c:v>7.6640495063351355E-2</c:v>
                </c:pt>
                <c:pt idx="26">
                  <c:v>7.6554441601262999E-2</c:v>
                </c:pt>
                <c:pt idx="27">
                  <c:v>7.6513159197153152E-2</c:v>
                </c:pt>
                <c:pt idx="28">
                  <c:v>7.6472977657153288E-2</c:v>
                </c:pt>
                <c:pt idx="29">
                  <c:v>7.6358614812538431E-2</c:v>
                </c:pt>
                <c:pt idx="30">
                  <c:v>7.6322424038925779E-2</c:v>
                </c:pt>
                <c:pt idx="31">
                  <c:v>7.6252723289746124E-2</c:v>
                </c:pt>
                <c:pt idx="32">
                  <c:v>7.6186381612816489E-2</c:v>
                </c:pt>
                <c:pt idx="33">
                  <c:v>7.6154395447154175E-2</c:v>
                </c:pt>
                <c:pt idx="34">
                  <c:v>7.5915847388791036E-2</c:v>
                </c:pt>
                <c:pt idx="35">
                  <c:v>7.5688142423989205E-2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D28-45ED-A53E-080969360727}"/>
            </c:ext>
          </c:extLst>
        </c:ser>
        <c:ser>
          <c:idx val="5"/>
          <c:order val="5"/>
          <c:tx>
            <c:strRef>
              <c:f>IRR!$X$1</c:f>
              <c:strCache>
                <c:ptCount val="1"/>
                <c:pt idx="0">
                  <c:v>CLFCLP IRR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IRR!$D$10:$D$3000</c:f>
              <c:numCache>
                <c:formatCode>d\-mmm</c:formatCode>
                <c:ptCount val="2991"/>
                <c:pt idx="0">
                  <c:v>45315</c:v>
                </c:pt>
                <c:pt idx="1">
                  <c:v>45316</c:v>
                </c:pt>
                <c:pt idx="2">
                  <c:v>45320</c:v>
                </c:pt>
                <c:pt idx="3">
                  <c:v>45321</c:v>
                </c:pt>
                <c:pt idx="4">
                  <c:v>45326</c:v>
                </c:pt>
                <c:pt idx="5">
                  <c:v>45339</c:v>
                </c:pt>
                <c:pt idx="6">
                  <c:v>45341</c:v>
                </c:pt>
                <c:pt idx="7">
                  <c:v>45343</c:v>
                </c:pt>
                <c:pt idx="8">
                  <c:v>45344</c:v>
                </c:pt>
                <c:pt idx="9">
                  <c:v>45346</c:v>
                </c:pt>
                <c:pt idx="10">
                  <c:v>45347</c:v>
                </c:pt>
                <c:pt idx="11">
                  <c:v>45348</c:v>
                </c:pt>
                <c:pt idx="12">
                  <c:v>45349</c:v>
                </c:pt>
                <c:pt idx="13">
                  <c:v>45350</c:v>
                </c:pt>
                <c:pt idx="14">
                  <c:v>45351</c:v>
                </c:pt>
                <c:pt idx="15">
                  <c:v>45352</c:v>
                </c:pt>
                <c:pt idx="16">
                  <c:v>45357</c:v>
                </c:pt>
                <c:pt idx="17">
                  <c:v>45358</c:v>
                </c:pt>
                <c:pt idx="18">
                  <c:v>45359</c:v>
                </c:pt>
                <c:pt idx="19">
                  <c:v>45362</c:v>
                </c:pt>
                <c:pt idx="20">
                  <c:v>45363</c:v>
                </c:pt>
                <c:pt idx="21">
                  <c:v>45364</c:v>
                </c:pt>
                <c:pt idx="22">
                  <c:v>45365</c:v>
                </c:pt>
                <c:pt idx="23">
                  <c:v>45369</c:v>
                </c:pt>
                <c:pt idx="24">
                  <c:v>45370</c:v>
                </c:pt>
                <c:pt idx="25">
                  <c:v>45371</c:v>
                </c:pt>
                <c:pt idx="26">
                  <c:v>45373</c:v>
                </c:pt>
                <c:pt idx="27">
                  <c:v>45374</c:v>
                </c:pt>
                <c:pt idx="28">
                  <c:v>45375</c:v>
                </c:pt>
                <c:pt idx="29">
                  <c:v>45378</c:v>
                </c:pt>
                <c:pt idx="30">
                  <c:v>45379</c:v>
                </c:pt>
                <c:pt idx="31">
                  <c:v>45381</c:v>
                </c:pt>
                <c:pt idx="32">
                  <c:v>45383</c:v>
                </c:pt>
                <c:pt idx="33">
                  <c:v>45384</c:v>
                </c:pt>
                <c:pt idx="34">
                  <c:v>45386</c:v>
                </c:pt>
                <c:pt idx="35">
                  <c:v>45388</c:v>
                </c:pt>
              </c:numCache>
            </c:numRef>
          </c:xVal>
          <c:yVal>
            <c:numRef>
              <c:f>IRR!$X$10:$X$3000</c:f>
              <c:numCache>
                <c:formatCode>0.00%;[Red]\-0.00%</c:formatCode>
                <c:ptCount val="2991"/>
                <c:pt idx="0">
                  <c:v>-5.9017100325670396E-2</c:v>
                </c:pt>
                <c:pt idx="1">
                  <c:v>-5.9019807849062134E-2</c:v>
                </c:pt>
                <c:pt idx="2">
                  <c:v>-5.9017810979881985E-2</c:v>
                </c:pt>
                <c:pt idx="3">
                  <c:v>-5.9017383992393743E-2</c:v>
                </c:pt>
                <c:pt idx="4">
                  <c:v>-5.9017424528341279E-2</c:v>
                </c:pt>
                <c:pt idx="5">
                  <c:v>-2.8902991987573321E-2</c:v>
                </c:pt>
                <c:pt idx="6">
                  <c:v>-2.3211290815714752E-2</c:v>
                </c:pt>
                <c:pt idx="7">
                  <c:v>-1.8046397854348115E-2</c:v>
                </c:pt>
                <c:pt idx="8">
                  <c:v>-1.5640747598923033E-2</c:v>
                </c:pt>
                <c:pt idx="9">
                  <c:v>-1.1144604472057484E-2</c:v>
                </c:pt>
                <c:pt idx="10">
                  <c:v>-9.0385911083628971E-3</c:v>
                </c:pt>
                <c:pt idx="11">
                  <c:v>-7.0207685790072884E-3</c:v>
                </c:pt>
                <c:pt idx="12">
                  <c:v>-5.0857372376698143E-3</c:v>
                </c:pt>
                <c:pt idx="13">
                  <c:v>-3.2285294098844254E-3</c:v>
                </c:pt>
                <c:pt idx="14">
                  <c:v>-1.4445670428531138E-3</c:v>
                </c:pt>
                <c:pt idx="15">
                  <c:v>2.7227977587913552E-4</c:v>
                </c:pt>
                <c:pt idx="16">
                  <c:v>7.9490881860759689E-3</c:v>
                </c:pt>
                <c:pt idx="17">
                  <c:v>9.3258915144560379E-3</c:v>
                </c:pt>
                <c:pt idx="18">
                  <c:v>1.0655665631690061E-2</c:v>
                </c:pt>
                <c:pt idx="19">
                  <c:v>1.3829558470542271E-2</c:v>
                </c:pt>
                <c:pt idx="20">
                  <c:v>1.4727877387627685E-2</c:v>
                </c:pt>
                <c:pt idx="21">
                  <c:v>1.559791157255277E-2</c:v>
                </c:pt>
                <c:pt idx="22">
                  <c:v>1.6442485374568296E-2</c:v>
                </c:pt>
                <c:pt idx="23">
                  <c:v>1.9571145161198285E-2</c:v>
                </c:pt>
                <c:pt idx="24">
                  <c:v>2.0297660745788513E-2</c:v>
                </c:pt>
                <c:pt idx="25">
                  <c:v>2.100490860439562E-2</c:v>
                </c:pt>
                <c:pt idx="26">
                  <c:v>2.2359364451373692E-2</c:v>
                </c:pt>
                <c:pt idx="27">
                  <c:v>2.3008195795012492E-2</c:v>
                </c:pt>
                <c:pt idx="28">
                  <c:v>2.3640857869557413E-2</c:v>
                </c:pt>
                <c:pt idx="29">
                  <c:v>2.5440465718408599E-2</c:v>
                </c:pt>
                <c:pt idx="30">
                  <c:v>2.6009617924202269E-2</c:v>
                </c:pt>
                <c:pt idx="31">
                  <c:v>2.7106475165463686E-2</c:v>
                </c:pt>
                <c:pt idx="32">
                  <c:v>2.8151002394405353E-2</c:v>
                </c:pt>
                <c:pt idx="33">
                  <c:v>2.8654370951266137E-2</c:v>
                </c:pt>
                <c:pt idx="34">
                  <c:v>2.9625515354466097E-2</c:v>
                </c:pt>
                <c:pt idx="35" formatCode="0.00%">
                  <c:v>3.0553016512165874E-2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D28-45ED-A53E-080969360727}"/>
            </c:ext>
          </c:extLst>
        </c:ser>
        <c:ser>
          <c:idx val="6"/>
          <c:order val="6"/>
          <c:tx>
            <c:strRef>
              <c:f>IRR!$Y$1</c:f>
              <c:strCache>
                <c:ptCount val="1"/>
                <c:pt idx="0">
                  <c:v>USDCLP OBS IRR</c:v>
                </c:pt>
              </c:strCache>
            </c:strRef>
          </c:tx>
          <c:spPr>
            <a:ln w="25400" cap="rnd">
              <a:solidFill>
                <a:schemeClr val="accent1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IRR!$D$10:$D$3000</c:f>
              <c:numCache>
                <c:formatCode>d\-mmm</c:formatCode>
                <c:ptCount val="2991"/>
                <c:pt idx="0">
                  <c:v>45315</c:v>
                </c:pt>
                <c:pt idx="1">
                  <c:v>45316</c:v>
                </c:pt>
                <c:pt idx="2">
                  <c:v>45320</c:v>
                </c:pt>
                <c:pt idx="3">
                  <c:v>45321</c:v>
                </c:pt>
                <c:pt idx="4">
                  <c:v>45326</c:v>
                </c:pt>
                <c:pt idx="5">
                  <c:v>45339</c:v>
                </c:pt>
                <c:pt idx="6">
                  <c:v>45341</c:v>
                </c:pt>
                <c:pt idx="7">
                  <c:v>45343</c:v>
                </c:pt>
                <c:pt idx="8">
                  <c:v>45344</c:v>
                </c:pt>
                <c:pt idx="9">
                  <c:v>45346</c:v>
                </c:pt>
                <c:pt idx="10">
                  <c:v>45347</c:v>
                </c:pt>
                <c:pt idx="11">
                  <c:v>45348</c:v>
                </c:pt>
                <c:pt idx="12">
                  <c:v>45349</c:v>
                </c:pt>
                <c:pt idx="13">
                  <c:v>45350</c:v>
                </c:pt>
                <c:pt idx="14">
                  <c:v>45351</c:v>
                </c:pt>
                <c:pt idx="15">
                  <c:v>45352</c:v>
                </c:pt>
                <c:pt idx="16">
                  <c:v>45357</c:v>
                </c:pt>
                <c:pt idx="17">
                  <c:v>45358</c:v>
                </c:pt>
                <c:pt idx="18">
                  <c:v>45359</c:v>
                </c:pt>
                <c:pt idx="19">
                  <c:v>45362</c:v>
                </c:pt>
                <c:pt idx="20">
                  <c:v>45363</c:v>
                </c:pt>
                <c:pt idx="21">
                  <c:v>45364</c:v>
                </c:pt>
                <c:pt idx="22">
                  <c:v>45365</c:v>
                </c:pt>
                <c:pt idx="23">
                  <c:v>45369</c:v>
                </c:pt>
                <c:pt idx="24">
                  <c:v>45370</c:v>
                </c:pt>
                <c:pt idx="25">
                  <c:v>45371</c:v>
                </c:pt>
                <c:pt idx="26">
                  <c:v>45373</c:v>
                </c:pt>
                <c:pt idx="27">
                  <c:v>45374</c:v>
                </c:pt>
                <c:pt idx="28">
                  <c:v>45375</c:v>
                </c:pt>
                <c:pt idx="29">
                  <c:v>45378</c:v>
                </c:pt>
                <c:pt idx="30">
                  <c:v>45379</c:v>
                </c:pt>
                <c:pt idx="31">
                  <c:v>45381</c:v>
                </c:pt>
                <c:pt idx="32">
                  <c:v>45383</c:v>
                </c:pt>
                <c:pt idx="33">
                  <c:v>45384</c:v>
                </c:pt>
                <c:pt idx="34">
                  <c:v>45386</c:v>
                </c:pt>
                <c:pt idx="35">
                  <c:v>45388</c:v>
                </c:pt>
              </c:numCache>
            </c:numRef>
          </c:xVal>
          <c:yVal>
            <c:numRef>
              <c:f>IRR!$Y$10:$Y$3000</c:f>
              <c:numCache>
                <c:formatCode>0.00%;[Red]\-0.00%</c:formatCode>
                <c:ptCount val="2991"/>
                <c:pt idx="0">
                  <c:v>0.20325168719569903</c:v>
                </c:pt>
                <c:pt idx="1">
                  <c:v>0.18151072098634077</c:v>
                </c:pt>
                <c:pt idx="2">
                  <c:v>0.29823714416407132</c:v>
                </c:pt>
                <c:pt idx="3">
                  <c:v>0.5002878722246995</c:v>
                </c:pt>
                <c:pt idx="4">
                  <c:v>0.53032955201393772</c:v>
                </c:pt>
                <c:pt idx="5">
                  <c:v>0.6092956050379853</c:v>
                </c:pt>
                <c:pt idx="6">
                  <c:v>0.64504073158151731</c:v>
                </c:pt>
                <c:pt idx="7">
                  <c:v>0.56795722044296781</c:v>
                </c:pt>
                <c:pt idx="8">
                  <c:v>0.58803852540482116</c:v>
                </c:pt>
                <c:pt idx="9">
                  <c:v>0.60541130733123716</c:v>
                </c:pt>
                <c:pt idx="10">
                  <c:v>0.59253021568589159</c:v>
                </c:pt>
                <c:pt idx="11">
                  <c:v>0.66561327211776311</c:v>
                </c:pt>
                <c:pt idx="12">
                  <c:v>0.67538997835235115</c:v>
                </c:pt>
                <c:pt idx="13">
                  <c:v>0.64470029825640218</c:v>
                </c:pt>
                <c:pt idx="14">
                  <c:v>0.60044052923362534</c:v>
                </c:pt>
                <c:pt idx="15">
                  <c:v>0.51488881600390823</c:v>
                </c:pt>
                <c:pt idx="16">
                  <c:v>0.51216614475669131</c:v>
                </c:pt>
                <c:pt idx="17">
                  <c:v>0.53483953159926245</c:v>
                </c:pt>
                <c:pt idx="18">
                  <c:v>0.54176741996737332</c:v>
                </c:pt>
                <c:pt idx="19">
                  <c:v>0.40165910432082425</c:v>
                </c:pt>
                <c:pt idx="20">
                  <c:v>0.40332346823432191</c:v>
                </c:pt>
                <c:pt idx="21">
                  <c:v>0.39046645980618322</c:v>
                </c:pt>
                <c:pt idx="22">
                  <c:v>0.28881653252915435</c:v>
                </c:pt>
                <c:pt idx="23">
                  <c:v>0.2303208881905954</c:v>
                </c:pt>
                <c:pt idx="24">
                  <c:v>0.24742861030488908</c:v>
                </c:pt>
                <c:pt idx="25">
                  <c:v>0.33532477101507857</c:v>
                </c:pt>
                <c:pt idx="26">
                  <c:v>0.37516590413664785</c:v>
                </c:pt>
                <c:pt idx="27">
                  <c:v>0.37009609462128773</c:v>
                </c:pt>
                <c:pt idx="28">
                  <c:v>0.36516148002633719</c:v>
                </c:pt>
                <c:pt idx="29">
                  <c:v>0.39984668323543743</c:v>
                </c:pt>
                <c:pt idx="30">
                  <c:v>0.39793749971169717</c:v>
                </c:pt>
                <c:pt idx="31">
                  <c:v>0.38811188243486511</c:v>
                </c:pt>
                <c:pt idx="32">
                  <c:v>0.37575953364294112</c:v>
                </c:pt>
                <c:pt idx="33">
                  <c:v>0.37517951114032871</c:v>
                </c:pt>
                <c:pt idx="34">
                  <c:v>0.28023343539900442</c:v>
                </c:pt>
                <c:pt idx="35" formatCode="0.00%">
                  <c:v>0.18631612995124497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D28-45ED-A53E-080969360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883615"/>
        <c:axId val="1103170623"/>
      </c:scatterChart>
      <c:valAx>
        <c:axId val="1343883615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03170623"/>
        <c:crosses val="autoZero"/>
        <c:crossBetween val="midCat"/>
      </c:valAx>
      <c:valAx>
        <c:axId val="1103170623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0%;[Red]\-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343883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772404805850511"/>
          <c:y val="8.8008073441594573E-2"/>
          <c:w val="0.74221323549390639"/>
          <c:h val="0.110164501646950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1" i="0" u="none" strike="noStrike" kern="1200" baseline="0">
              <a:ln w="15875"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sz="2000" b="1"/>
              <a:t>Market</a:t>
            </a:r>
            <a:r>
              <a:rPr lang="es-US" sz="2000" b="1" baseline="0"/>
              <a:t> Variation</a:t>
            </a:r>
            <a:endParaRPr lang="es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ROI!$C$1</c:f>
              <c:strCache>
                <c:ptCount val="1"/>
                <c:pt idx="0">
                  <c:v>Colchón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ROI!$A$3:$A$989</c:f>
              <c:numCache>
                <c:formatCode>d\-mmm</c:formatCode>
                <c:ptCount val="987"/>
                <c:pt idx="0">
                  <c:v>45301</c:v>
                </c:pt>
                <c:pt idx="1">
                  <c:v>45302</c:v>
                </c:pt>
                <c:pt idx="2">
                  <c:v>45303</c:v>
                </c:pt>
                <c:pt idx="3">
                  <c:v>45304</c:v>
                </c:pt>
                <c:pt idx="4">
                  <c:v>45308</c:v>
                </c:pt>
                <c:pt idx="5">
                  <c:v>45309</c:v>
                </c:pt>
                <c:pt idx="6">
                  <c:v>45312</c:v>
                </c:pt>
                <c:pt idx="7">
                  <c:v>45315</c:v>
                </c:pt>
                <c:pt idx="8">
                  <c:v>45316</c:v>
                </c:pt>
                <c:pt idx="9">
                  <c:v>45320</c:v>
                </c:pt>
                <c:pt idx="10">
                  <c:v>45321</c:v>
                </c:pt>
                <c:pt idx="11">
                  <c:v>45326</c:v>
                </c:pt>
                <c:pt idx="12">
                  <c:v>45339</c:v>
                </c:pt>
                <c:pt idx="13">
                  <c:v>45341</c:v>
                </c:pt>
                <c:pt idx="14">
                  <c:v>45343</c:v>
                </c:pt>
                <c:pt idx="15">
                  <c:v>45344</c:v>
                </c:pt>
                <c:pt idx="16">
                  <c:v>45346</c:v>
                </c:pt>
                <c:pt idx="17">
                  <c:v>45347</c:v>
                </c:pt>
                <c:pt idx="18">
                  <c:v>45348</c:v>
                </c:pt>
                <c:pt idx="19">
                  <c:v>45349</c:v>
                </c:pt>
                <c:pt idx="20">
                  <c:v>45350</c:v>
                </c:pt>
                <c:pt idx="21">
                  <c:v>45351</c:v>
                </c:pt>
                <c:pt idx="22">
                  <c:v>45352</c:v>
                </c:pt>
                <c:pt idx="23">
                  <c:v>45357</c:v>
                </c:pt>
                <c:pt idx="24">
                  <c:v>45358</c:v>
                </c:pt>
                <c:pt idx="25">
                  <c:v>45359</c:v>
                </c:pt>
                <c:pt idx="26">
                  <c:v>45362</c:v>
                </c:pt>
                <c:pt idx="27">
                  <c:v>45363</c:v>
                </c:pt>
                <c:pt idx="28">
                  <c:v>45364</c:v>
                </c:pt>
                <c:pt idx="29">
                  <c:v>45365</c:v>
                </c:pt>
                <c:pt idx="30">
                  <c:v>45369</c:v>
                </c:pt>
                <c:pt idx="31">
                  <c:v>45370</c:v>
                </c:pt>
                <c:pt idx="32">
                  <c:v>45371</c:v>
                </c:pt>
                <c:pt idx="33">
                  <c:v>45373</c:v>
                </c:pt>
                <c:pt idx="34">
                  <c:v>45374</c:v>
                </c:pt>
                <c:pt idx="35">
                  <c:v>45375</c:v>
                </c:pt>
                <c:pt idx="36">
                  <c:v>45378</c:v>
                </c:pt>
                <c:pt idx="37">
                  <c:v>45379</c:v>
                </c:pt>
                <c:pt idx="38">
                  <c:v>45381</c:v>
                </c:pt>
                <c:pt idx="39">
                  <c:v>45383</c:v>
                </c:pt>
                <c:pt idx="40">
                  <c:v>45384</c:v>
                </c:pt>
                <c:pt idx="41">
                  <c:v>45386</c:v>
                </c:pt>
                <c:pt idx="42">
                  <c:v>45388</c:v>
                </c:pt>
              </c:numCache>
            </c:numRef>
          </c:xVal>
          <c:yVal>
            <c:numRef>
              <c:f>ROI!$C$3:$C$989</c:f>
              <c:numCache>
                <c:formatCode>#,##0\ "CLP";[Red]\-\ #,##0\ "CLP"</c:formatCode>
                <c:ptCount val="987"/>
                <c:pt idx="0">
                  <c:v>1150</c:v>
                </c:pt>
                <c:pt idx="1">
                  <c:v>1150</c:v>
                </c:pt>
                <c:pt idx="2">
                  <c:v>2211</c:v>
                </c:pt>
                <c:pt idx="3">
                  <c:v>3158</c:v>
                </c:pt>
                <c:pt idx="4">
                  <c:v>8592</c:v>
                </c:pt>
                <c:pt idx="5">
                  <c:v>9652</c:v>
                </c:pt>
                <c:pt idx="6">
                  <c:v>10570</c:v>
                </c:pt>
                <c:pt idx="7">
                  <c:v>15967</c:v>
                </c:pt>
                <c:pt idx="8">
                  <c:v>17032</c:v>
                </c:pt>
                <c:pt idx="9">
                  <c:v>17974</c:v>
                </c:pt>
                <c:pt idx="10">
                  <c:v>17974</c:v>
                </c:pt>
                <c:pt idx="11">
                  <c:v>26477</c:v>
                </c:pt>
                <c:pt idx="12">
                  <c:v>40267</c:v>
                </c:pt>
                <c:pt idx="13">
                  <c:v>40267</c:v>
                </c:pt>
                <c:pt idx="14">
                  <c:v>45671</c:v>
                </c:pt>
                <c:pt idx="15">
                  <c:v>45671</c:v>
                </c:pt>
                <c:pt idx="16">
                  <c:v>47958</c:v>
                </c:pt>
                <c:pt idx="17">
                  <c:v>47958</c:v>
                </c:pt>
                <c:pt idx="18">
                  <c:v>51715</c:v>
                </c:pt>
                <c:pt idx="19">
                  <c:v>53058</c:v>
                </c:pt>
                <c:pt idx="20">
                  <c:v>54390</c:v>
                </c:pt>
                <c:pt idx="21">
                  <c:v>55618</c:v>
                </c:pt>
                <c:pt idx="22">
                  <c:v>55618</c:v>
                </c:pt>
                <c:pt idx="23">
                  <c:v>63019</c:v>
                </c:pt>
                <c:pt idx="24">
                  <c:v>64181</c:v>
                </c:pt>
                <c:pt idx="25">
                  <c:v>64181</c:v>
                </c:pt>
                <c:pt idx="26">
                  <c:v>68956</c:v>
                </c:pt>
                <c:pt idx="27">
                  <c:v>70305</c:v>
                </c:pt>
                <c:pt idx="28">
                  <c:v>71521</c:v>
                </c:pt>
                <c:pt idx="29">
                  <c:v>72707</c:v>
                </c:pt>
                <c:pt idx="30">
                  <c:v>77343</c:v>
                </c:pt>
                <c:pt idx="31">
                  <c:v>78642</c:v>
                </c:pt>
                <c:pt idx="32">
                  <c:v>79827</c:v>
                </c:pt>
                <c:pt idx="33">
                  <c:v>79827</c:v>
                </c:pt>
                <c:pt idx="34">
                  <c:v>82880</c:v>
                </c:pt>
                <c:pt idx="35">
                  <c:v>82880</c:v>
                </c:pt>
                <c:pt idx="36">
                  <c:v>91068</c:v>
                </c:pt>
                <c:pt idx="37">
                  <c:v>92323</c:v>
                </c:pt>
                <c:pt idx="38">
                  <c:v>92323</c:v>
                </c:pt>
                <c:pt idx="39">
                  <c:v>98564</c:v>
                </c:pt>
                <c:pt idx="40">
                  <c:v>100734</c:v>
                </c:pt>
                <c:pt idx="41">
                  <c:v>103734</c:v>
                </c:pt>
                <c:pt idx="42">
                  <c:v>105317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20-46A1-8A54-61A27C121506}"/>
            </c:ext>
          </c:extLst>
        </c:ser>
        <c:ser>
          <c:idx val="1"/>
          <c:order val="1"/>
          <c:tx>
            <c:strRef>
              <c:f>ROI!$D$1</c:f>
              <c:strCache>
                <c:ptCount val="1"/>
                <c:pt idx="0">
                  <c:v>Fondo A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ROI!$A$3:$A$989</c:f>
              <c:numCache>
                <c:formatCode>d\-mmm</c:formatCode>
                <c:ptCount val="987"/>
                <c:pt idx="0">
                  <c:v>45301</c:v>
                </c:pt>
                <c:pt idx="1">
                  <c:v>45302</c:v>
                </c:pt>
                <c:pt idx="2">
                  <c:v>45303</c:v>
                </c:pt>
                <c:pt idx="3">
                  <c:v>45304</c:v>
                </c:pt>
                <c:pt idx="4">
                  <c:v>45308</c:v>
                </c:pt>
                <c:pt idx="5">
                  <c:v>45309</c:v>
                </c:pt>
                <c:pt idx="6">
                  <c:v>45312</c:v>
                </c:pt>
                <c:pt idx="7">
                  <c:v>45315</c:v>
                </c:pt>
                <c:pt idx="8">
                  <c:v>45316</c:v>
                </c:pt>
                <c:pt idx="9">
                  <c:v>45320</c:v>
                </c:pt>
                <c:pt idx="10">
                  <c:v>45321</c:v>
                </c:pt>
                <c:pt idx="11">
                  <c:v>45326</c:v>
                </c:pt>
                <c:pt idx="12">
                  <c:v>45339</c:v>
                </c:pt>
                <c:pt idx="13">
                  <c:v>45341</c:v>
                </c:pt>
                <c:pt idx="14">
                  <c:v>45343</c:v>
                </c:pt>
                <c:pt idx="15">
                  <c:v>45344</c:v>
                </c:pt>
                <c:pt idx="16">
                  <c:v>45346</c:v>
                </c:pt>
                <c:pt idx="17">
                  <c:v>45347</c:v>
                </c:pt>
                <c:pt idx="18">
                  <c:v>45348</c:v>
                </c:pt>
                <c:pt idx="19">
                  <c:v>45349</c:v>
                </c:pt>
                <c:pt idx="20">
                  <c:v>45350</c:v>
                </c:pt>
                <c:pt idx="21">
                  <c:v>45351</c:v>
                </c:pt>
                <c:pt idx="22">
                  <c:v>45352</c:v>
                </c:pt>
                <c:pt idx="23">
                  <c:v>45357</c:v>
                </c:pt>
                <c:pt idx="24">
                  <c:v>45358</c:v>
                </c:pt>
                <c:pt idx="25">
                  <c:v>45359</c:v>
                </c:pt>
                <c:pt idx="26">
                  <c:v>45362</c:v>
                </c:pt>
                <c:pt idx="27">
                  <c:v>45363</c:v>
                </c:pt>
                <c:pt idx="28">
                  <c:v>45364</c:v>
                </c:pt>
                <c:pt idx="29">
                  <c:v>45365</c:v>
                </c:pt>
                <c:pt idx="30">
                  <c:v>45369</c:v>
                </c:pt>
                <c:pt idx="31">
                  <c:v>45370</c:v>
                </c:pt>
                <c:pt idx="32">
                  <c:v>45371</c:v>
                </c:pt>
                <c:pt idx="33">
                  <c:v>45373</c:v>
                </c:pt>
                <c:pt idx="34">
                  <c:v>45374</c:v>
                </c:pt>
                <c:pt idx="35">
                  <c:v>45375</c:v>
                </c:pt>
                <c:pt idx="36">
                  <c:v>45378</c:v>
                </c:pt>
                <c:pt idx="37">
                  <c:v>45379</c:v>
                </c:pt>
                <c:pt idx="38">
                  <c:v>45381</c:v>
                </c:pt>
                <c:pt idx="39">
                  <c:v>45383</c:v>
                </c:pt>
                <c:pt idx="40">
                  <c:v>45384</c:v>
                </c:pt>
                <c:pt idx="41">
                  <c:v>45386</c:v>
                </c:pt>
                <c:pt idx="42">
                  <c:v>45388</c:v>
                </c:pt>
              </c:numCache>
            </c:numRef>
          </c:xVal>
          <c:yVal>
            <c:numRef>
              <c:f>ROI!$D$3:$D$989</c:f>
              <c:numCache>
                <c:formatCode>#,##0\ "CLP";[Red]\-\ #,##0\ "CLP"</c:formatCode>
                <c:ptCount val="987"/>
                <c:pt idx="0">
                  <c:v>3764</c:v>
                </c:pt>
                <c:pt idx="1">
                  <c:v>3764</c:v>
                </c:pt>
                <c:pt idx="2">
                  <c:v>142</c:v>
                </c:pt>
                <c:pt idx="3">
                  <c:v>-352</c:v>
                </c:pt>
                <c:pt idx="4">
                  <c:v>2614</c:v>
                </c:pt>
                <c:pt idx="5">
                  <c:v>3958</c:v>
                </c:pt>
                <c:pt idx="6">
                  <c:v>5877</c:v>
                </c:pt>
                <c:pt idx="7">
                  <c:v>9155</c:v>
                </c:pt>
                <c:pt idx="8">
                  <c:v>12131</c:v>
                </c:pt>
                <c:pt idx="9">
                  <c:v>11915</c:v>
                </c:pt>
                <c:pt idx="10">
                  <c:v>11915</c:v>
                </c:pt>
                <c:pt idx="11">
                  <c:v>25458</c:v>
                </c:pt>
                <c:pt idx="12">
                  <c:v>51318</c:v>
                </c:pt>
                <c:pt idx="13">
                  <c:v>51318</c:v>
                </c:pt>
                <c:pt idx="14">
                  <c:v>40058</c:v>
                </c:pt>
                <c:pt idx="15">
                  <c:v>40058</c:v>
                </c:pt>
                <c:pt idx="16">
                  <c:v>111547</c:v>
                </c:pt>
                <c:pt idx="17">
                  <c:v>111547</c:v>
                </c:pt>
                <c:pt idx="18">
                  <c:v>119889</c:v>
                </c:pt>
                <c:pt idx="19">
                  <c:v>118121</c:v>
                </c:pt>
                <c:pt idx="20">
                  <c:v>100941</c:v>
                </c:pt>
                <c:pt idx="21">
                  <c:v>95102</c:v>
                </c:pt>
                <c:pt idx="22">
                  <c:v>95102</c:v>
                </c:pt>
                <c:pt idx="23">
                  <c:v>137005</c:v>
                </c:pt>
                <c:pt idx="24">
                  <c:v>168719</c:v>
                </c:pt>
                <c:pt idx="25">
                  <c:v>168719</c:v>
                </c:pt>
                <c:pt idx="26">
                  <c:v>103551</c:v>
                </c:pt>
                <c:pt idx="27">
                  <c:v>124640</c:v>
                </c:pt>
                <c:pt idx="28">
                  <c:v>78992</c:v>
                </c:pt>
                <c:pt idx="29">
                  <c:v>59558</c:v>
                </c:pt>
                <c:pt idx="30">
                  <c:v>54969</c:v>
                </c:pt>
                <c:pt idx="31">
                  <c:v>92097</c:v>
                </c:pt>
                <c:pt idx="32">
                  <c:v>141793</c:v>
                </c:pt>
                <c:pt idx="33">
                  <c:v>141793</c:v>
                </c:pt>
                <c:pt idx="34">
                  <c:v>162436</c:v>
                </c:pt>
                <c:pt idx="35">
                  <c:v>162436</c:v>
                </c:pt>
                <c:pt idx="36">
                  <c:v>169692</c:v>
                </c:pt>
                <c:pt idx="37">
                  <c:v>170745</c:v>
                </c:pt>
                <c:pt idx="38">
                  <c:v>170745</c:v>
                </c:pt>
                <c:pt idx="39">
                  <c:v>171565</c:v>
                </c:pt>
                <c:pt idx="40">
                  <c:v>146299</c:v>
                </c:pt>
                <c:pt idx="41">
                  <c:v>58412</c:v>
                </c:pt>
                <c:pt idx="42">
                  <c:v>80662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20-46A1-8A54-61A27C121506}"/>
            </c:ext>
          </c:extLst>
        </c:ser>
        <c:ser>
          <c:idx val="2"/>
          <c:order val="2"/>
          <c:tx>
            <c:strRef>
              <c:f>ROI!$E$1</c:f>
              <c:strCache>
                <c:ptCount val="1"/>
                <c:pt idx="0">
                  <c:v>APV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ROI!$A$3:$A$989</c:f>
              <c:numCache>
                <c:formatCode>d\-mmm</c:formatCode>
                <c:ptCount val="987"/>
                <c:pt idx="0">
                  <c:v>45301</c:v>
                </c:pt>
                <c:pt idx="1">
                  <c:v>45302</c:v>
                </c:pt>
                <c:pt idx="2">
                  <c:v>45303</c:v>
                </c:pt>
                <c:pt idx="3">
                  <c:v>45304</c:v>
                </c:pt>
                <c:pt idx="4">
                  <c:v>45308</c:v>
                </c:pt>
                <c:pt idx="5">
                  <c:v>45309</c:v>
                </c:pt>
                <c:pt idx="6">
                  <c:v>45312</c:v>
                </c:pt>
                <c:pt idx="7">
                  <c:v>45315</c:v>
                </c:pt>
                <c:pt idx="8">
                  <c:v>45316</c:v>
                </c:pt>
                <c:pt idx="9">
                  <c:v>45320</c:v>
                </c:pt>
                <c:pt idx="10">
                  <c:v>45321</c:v>
                </c:pt>
                <c:pt idx="11">
                  <c:v>45326</c:v>
                </c:pt>
                <c:pt idx="12">
                  <c:v>45339</c:v>
                </c:pt>
                <c:pt idx="13">
                  <c:v>45341</c:v>
                </c:pt>
                <c:pt idx="14">
                  <c:v>45343</c:v>
                </c:pt>
                <c:pt idx="15">
                  <c:v>45344</c:v>
                </c:pt>
                <c:pt idx="16">
                  <c:v>45346</c:v>
                </c:pt>
                <c:pt idx="17">
                  <c:v>45347</c:v>
                </c:pt>
                <c:pt idx="18">
                  <c:v>45348</c:v>
                </c:pt>
                <c:pt idx="19">
                  <c:v>45349</c:v>
                </c:pt>
                <c:pt idx="20">
                  <c:v>45350</c:v>
                </c:pt>
                <c:pt idx="21">
                  <c:v>45351</c:v>
                </c:pt>
                <c:pt idx="22">
                  <c:v>45352</c:v>
                </c:pt>
                <c:pt idx="23">
                  <c:v>45357</c:v>
                </c:pt>
                <c:pt idx="24">
                  <c:v>45358</c:v>
                </c:pt>
                <c:pt idx="25">
                  <c:v>45359</c:v>
                </c:pt>
                <c:pt idx="26">
                  <c:v>45362</c:v>
                </c:pt>
                <c:pt idx="27">
                  <c:v>45363</c:v>
                </c:pt>
                <c:pt idx="28">
                  <c:v>45364</c:v>
                </c:pt>
                <c:pt idx="29">
                  <c:v>45365</c:v>
                </c:pt>
                <c:pt idx="30">
                  <c:v>45369</c:v>
                </c:pt>
                <c:pt idx="31">
                  <c:v>45370</c:v>
                </c:pt>
                <c:pt idx="32">
                  <c:v>45371</c:v>
                </c:pt>
                <c:pt idx="33">
                  <c:v>45373</c:v>
                </c:pt>
                <c:pt idx="34">
                  <c:v>45374</c:v>
                </c:pt>
                <c:pt idx="35">
                  <c:v>45375</c:v>
                </c:pt>
                <c:pt idx="36">
                  <c:v>45378</c:v>
                </c:pt>
                <c:pt idx="37">
                  <c:v>45379</c:v>
                </c:pt>
                <c:pt idx="38">
                  <c:v>45381</c:v>
                </c:pt>
                <c:pt idx="39">
                  <c:v>45383</c:v>
                </c:pt>
                <c:pt idx="40">
                  <c:v>45384</c:v>
                </c:pt>
                <c:pt idx="41">
                  <c:v>45386</c:v>
                </c:pt>
                <c:pt idx="42">
                  <c:v>45388</c:v>
                </c:pt>
              </c:numCache>
            </c:numRef>
          </c:xVal>
          <c:yVal>
            <c:numRef>
              <c:f>ROI!$E$3:$E$989</c:f>
              <c:numCache>
                <c:formatCode>#,##0\ "CLP";[Red]\-\ #,##0\ "CLP"</c:formatCode>
                <c:ptCount val="987"/>
                <c:pt idx="0">
                  <c:v>1080</c:v>
                </c:pt>
                <c:pt idx="1">
                  <c:v>1080</c:v>
                </c:pt>
                <c:pt idx="2">
                  <c:v>302</c:v>
                </c:pt>
                <c:pt idx="3">
                  <c:v>312</c:v>
                </c:pt>
                <c:pt idx="4">
                  <c:v>1838</c:v>
                </c:pt>
                <c:pt idx="5">
                  <c:v>2404</c:v>
                </c:pt>
                <c:pt idx="6">
                  <c:v>3167</c:v>
                </c:pt>
                <c:pt idx="7">
                  <c:v>4122</c:v>
                </c:pt>
                <c:pt idx="8">
                  <c:v>5239</c:v>
                </c:pt>
                <c:pt idx="9">
                  <c:v>5158</c:v>
                </c:pt>
                <c:pt idx="10">
                  <c:v>5158</c:v>
                </c:pt>
                <c:pt idx="11">
                  <c:v>9237</c:v>
                </c:pt>
                <c:pt idx="12">
                  <c:v>14394</c:v>
                </c:pt>
                <c:pt idx="13">
                  <c:v>14394</c:v>
                </c:pt>
                <c:pt idx="14">
                  <c:v>12697</c:v>
                </c:pt>
                <c:pt idx="15">
                  <c:v>12697</c:v>
                </c:pt>
                <c:pt idx="16">
                  <c:v>26893</c:v>
                </c:pt>
                <c:pt idx="17">
                  <c:v>26893</c:v>
                </c:pt>
                <c:pt idx="18">
                  <c:v>28292</c:v>
                </c:pt>
                <c:pt idx="19">
                  <c:v>27152</c:v>
                </c:pt>
                <c:pt idx="20">
                  <c:v>24381</c:v>
                </c:pt>
                <c:pt idx="21">
                  <c:v>22939</c:v>
                </c:pt>
                <c:pt idx="22">
                  <c:v>22939</c:v>
                </c:pt>
                <c:pt idx="23">
                  <c:v>31565</c:v>
                </c:pt>
                <c:pt idx="24">
                  <c:v>38153</c:v>
                </c:pt>
                <c:pt idx="25">
                  <c:v>38153</c:v>
                </c:pt>
                <c:pt idx="26">
                  <c:v>27218</c:v>
                </c:pt>
                <c:pt idx="27">
                  <c:v>31459</c:v>
                </c:pt>
                <c:pt idx="28">
                  <c:v>22784</c:v>
                </c:pt>
                <c:pt idx="29">
                  <c:v>19818</c:v>
                </c:pt>
                <c:pt idx="30">
                  <c:v>17882</c:v>
                </c:pt>
                <c:pt idx="31">
                  <c:v>24595</c:v>
                </c:pt>
                <c:pt idx="32">
                  <c:v>27359</c:v>
                </c:pt>
                <c:pt idx="33">
                  <c:v>27359</c:v>
                </c:pt>
                <c:pt idx="34">
                  <c:v>37546</c:v>
                </c:pt>
                <c:pt idx="35">
                  <c:v>37546</c:v>
                </c:pt>
                <c:pt idx="36">
                  <c:v>38515</c:v>
                </c:pt>
                <c:pt idx="37">
                  <c:v>38726</c:v>
                </c:pt>
                <c:pt idx="38">
                  <c:v>38726</c:v>
                </c:pt>
                <c:pt idx="39">
                  <c:v>39582</c:v>
                </c:pt>
                <c:pt idx="40">
                  <c:v>34995</c:v>
                </c:pt>
                <c:pt idx="41">
                  <c:v>19347</c:v>
                </c:pt>
                <c:pt idx="42">
                  <c:v>23566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20-46A1-8A54-61A27C121506}"/>
            </c:ext>
          </c:extLst>
        </c:ser>
        <c:ser>
          <c:idx val="3"/>
          <c:order val="3"/>
          <c:tx>
            <c:strRef>
              <c:f>ROI!$F$1</c:f>
              <c:strCache>
                <c:ptCount val="1"/>
                <c:pt idx="0">
                  <c:v>Acciones</c:v>
                </c:pt>
              </c:strCache>
            </c:strRef>
          </c:tx>
          <c:spPr>
            <a:ln w="2540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ROI!$A$3:$A$989</c:f>
              <c:numCache>
                <c:formatCode>d\-mmm</c:formatCode>
                <c:ptCount val="987"/>
                <c:pt idx="0">
                  <c:v>45301</c:v>
                </c:pt>
                <c:pt idx="1">
                  <c:v>45302</c:v>
                </c:pt>
                <c:pt idx="2">
                  <c:v>45303</c:v>
                </c:pt>
                <c:pt idx="3">
                  <c:v>45304</c:v>
                </c:pt>
                <c:pt idx="4">
                  <c:v>45308</c:v>
                </c:pt>
                <c:pt idx="5">
                  <c:v>45309</c:v>
                </c:pt>
                <c:pt idx="6">
                  <c:v>45312</c:v>
                </c:pt>
                <c:pt idx="7">
                  <c:v>45315</c:v>
                </c:pt>
                <c:pt idx="8">
                  <c:v>45316</c:v>
                </c:pt>
                <c:pt idx="9">
                  <c:v>45320</c:v>
                </c:pt>
                <c:pt idx="10">
                  <c:v>45321</c:v>
                </c:pt>
                <c:pt idx="11">
                  <c:v>45326</c:v>
                </c:pt>
                <c:pt idx="12">
                  <c:v>45339</c:v>
                </c:pt>
                <c:pt idx="13">
                  <c:v>45341</c:v>
                </c:pt>
                <c:pt idx="14">
                  <c:v>45343</c:v>
                </c:pt>
                <c:pt idx="15">
                  <c:v>45344</c:v>
                </c:pt>
                <c:pt idx="16">
                  <c:v>45346</c:v>
                </c:pt>
                <c:pt idx="17">
                  <c:v>45347</c:v>
                </c:pt>
                <c:pt idx="18">
                  <c:v>45348</c:v>
                </c:pt>
                <c:pt idx="19">
                  <c:v>45349</c:v>
                </c:pt>
                <c:pt idx="20">
                  <c:v>45350</c:v>
                </c:pt>
                <c:pt idx="21">
                  <c:v>45351</c:v>
                </c:pt>
                <c:pt idx="22">
                  <c:v>45352</c:v>
                </c:pt>
                <c:pt idx="23">
                  <c:v>45357</c:v>
                </c:pt>
                <c:pt idx="24">
                  <c:v>45358</c:v>
                </c:pt>
                <c:pt idx="25">
                  <c:v>45359</c:v>
                </c:pt>
                <c:pt idx="26">
                  <c:v>45362</c:v>
                </c:pt>
                <c:pt idx="27">
                  <c:v>45363</c:v>
                </c:pt>
                <c:pt idx="28">
                  <c:v>45364</c:v>
                </c:pt>
                <c:pt idx="29">
                  <c:v>45365</c:v>
                </c:pt>
                <c:pt idx="30">
                  <c:v>45369</c:v>
                </c:pt>
                <c:pt idx="31">
                  <c:v>45370</c:v>
                </c:pt>
                <c:pt idx="32">
                  <c:v>45371</c:v>
                </c:pt>
                <c:pt idx="33">
                  <c:v>45373</c:v>
                </c:pt>
                <c:pt idx="34">
                  <c:v>45374</c:v>
                </c:pt>
                <c:pt idx="35">
                  <c:v>45375</c:v>
                </c:pt>
                <c:pt idx="36">
                  <c:v>45378</c:v>
                </c:pt>
                <c:pt idx="37">
                  <c:v>45379</c:v>
                </c:pt>
                <c:pt idx="38">
                  <c:v>45381</c:v>
                </c:pt>
                <c:pt idx="39">
                  <c:v>45383</c:v>
                </c:pt>
                <c:pt idx="40">
                  <c:v>45384</c:v>
                </c:pt>
                <c:pt idx="41">
                  <c:v>45386</c:v>
                </c:pt>
                <c:pt idx="42">
                  <c:v>45388</c:v>
                </c:pt>
              </c:numCache>
            </c:numRef>
          </c:xVal>
          <c:yVal>
            <c:numRef>
              <c:f>ROI!$F$3:$F$989</c:f>
              <c:numCache>
                <c:formatCode>#,##0\ "CLP";[Red]\-\ #,##0\ "CLP"</c:formatCode>
                <c:ptCount val="987"/>
                <c:pt idx="0">
                  <c:v>-161.3059999999823</c:v>
                </c:pt>
                <c:pt idx="1">
                  <c:v>-871.88500000000931</c:v>
                </c:pt>
                <c:pt idx="2">
                  <c:v>-363.45970000000671</c:v>
                </c:pt>
                <c:pt idx="3">
                  <c:v>-363.45970000000671</c:v>
                </c:pt>
                <c:pt idx="4">
                  <c:v>-5331.0988000000943</c:v>
                </c:pt>
                <c:pt idx="5">
                  <c:v>-1685.9710000000196</c:v>
                </c:pt>
                <c:pt idx="6">
                  <c:v>-2003.4750000000349</c:v>
                </c:pt>
                <c:pt idx="7">
                  <c:v>-407.17739999998594</c:v>
                </c:pt>
                <c:pt idx="8">
                  <c:v>-498.98000000003958</c:v>
                </c:pt>
                <c:pt idx="9">
                  <c:v>1838.0949999999721</c:v>
                </c:pt>
                <c:pt idx="10">
                  <c:v>5342.179999999993</c:v>
                </c:pt>
                <c:pt idx="11">
                  <c:v>4804.0769000000437</c:v>
                </c:pt>
                <c:pt idx="12">
                  <c:v>22451.651599999983</c:v>
                </c:pt>
                <c:pt idx="13">
                  <c:v>24669.620599999966</c:v>
                </c:pt>
                <c:pt idx="14">
                  <c:v>25028.574999999953</c:v>
                </c:pt>
                <c:pt idx="15">
                  <c:v>26236.254999999946</c:v>
                </c:pt>
                <c:pt idx="16">
                  <c:v>31525.53979999997</c:v>
                </c:pt>
                <c:pt idx="17">
                  <c:v>31525.53979999997</c:v>
                </c:pt>
                <c:pt idx="18">
                  <c:v>33803.134999999951</c:v>
                </c:pt>
                <c:pt idx="19">
                  <c:v>36588.600499999942</c:v>
                </c:pt>
                <c:pt idx="20">
                  <c:v>32954.396699999925</c:v>
                </c:pt>
                <c:pt idx="21">
                  <c:v>31583.434099999955</c:v>
                </c:pt>
                <c:pt idx="22">
                  <c:v>31963.548299999966</c:v>
                </c:pt>
                <c:pt idx="23">
                  <c:v>34973.15499999997</c:v>
                </c:pt>
                <c:pt idx="24">
                  <c:v>35527.626999999979</c:v>
                </c:pt>
                <c:pt idx="25">
                  <c:v>35527.626999999979</c:v>
                </c:pt>
                <c:pt idx="26">
                  <c:v>31540.868099999963</c:v>
                </c:pt>
                <c:pt idx="27">
                  <c:v>35094.214199999929</c:v>
                </c:pt>
                <c:pt idx="28">
                  <c:v>30194.882999999973</c:v>
                </c:pt>
                <c:pt idx="29">
                  <c:v>26790.303399999917</c:v>
                </c:pt>
                <c:pt idx="30">
                  <c:v>49790.971799999941</c:v>
                </c:pt>
                <c:pt idx="31">
                  <c:v>31397.813999999955</c:v>
                </c:pt>
                <c:pt idx="32">
                  <c:v>39551.365399999951</c:v>
                </c:pt>
                <c:pt idx="33">
                  <c:v>38129.192599999951</c:v>
                </c:pt>
                <c:pt idx="34">
                  <c:v>36118.104799999972</c:v>
                </c:pt>
                <c:pt idx="35">
                  <c:v>38931.42379999999</c:v>
                </c:pt>
                <c:pt idx="36">
                  <c:v>40438.810999999929</c:v>
                </c:pt>
                <c:pt idx="37">
                  <c:v>41578.371799999964</c:v>
                </c:pt>
                <c:pt idx="38">
                  <c:v>41578.371799999964</c:v>
                </c:pt>
                <c:pt idx="39">
                  <c:v>42128.166499999992</c:v>
                </c:pt>
                <c:pt idx="40">
                  <c:v>40389.216999999946</c:v>
                </c:pt>
                <c:pt idx="41">
                  <c:v>26383.784599999955</c:v>
                </c:pt>
                <c:pt idx="42">
                  <c:v>26930.562199999986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820-46A1-8A54-61A27C121506}"/>
            </c:ext>
          </c:extLst>
        </c:ser>
        <c:ser>
          <c:idx val="4"/>
          <c:order val="4"/>
          <c:tx>
            <c:strRef>
              <c:f>ROI!$G$1</c:f>
              <c:strCache>
                <c:ptCount val="1"/>
                <c:pt idx="0">
                  <c:v>Crypto</c:v>
                </c:pt>
              </c:strCache>
            </c:strRef>
          </c:tx>
          <c:spPr>
            <a:ln w="25400" cap="rnd">
              <a:solidFill>
                <a:schemeClr val="accent6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9DEC-49EC-8D18-924334698F7B}"/>
              </c:ext>
            </c:extLst>
          </c:dPt>
          <c:xVal>
            <c:numRef>
              <c:f>ROI!$A$3:$A$989</c:f>
              <c:numCache>
                <c:formatCode>d\-mmm</c:formatCode>
                <c:ptCount val="987"/>
                <c:pt idx="0">
                  <c:v>45301</c:v>
                </c:pt>
                <c:pt idx="1">
                  <c:v>45302</c:v>
                </c:pt>
                <c:pt idx="2">
                  <c:v>45303</c:v>
                </c:pt>
                <c:pt idx="3">
                  <c:v>45304</c:v>
                </c:pt>
                <c:pt idx="4">
                  <c:v>45308</c:v>
                </c:pt>
                <c:pt idx="5">
                  <c:v>45309</c:v>
                </c:pt>
                <c:pt idx="6">
                  <c:v>45312</c:v>
                </c:pt>
                <c:pt idx="7">
                  <c:v>45315</c:v>
                </c:pt>
                <c:pt idx="8">
                  <c:v>45316</c:v>
                </c:pt>
                <c:pt idx="9">
                  <c:v>45320</c:v>
                </c:pt>
                <c:pt idx="10">
                  <c:v>45321</c:v>
                </c:pt>
                <c:pt idx="11">
                  <c:v>45326</c:v>
                </c:pt>
                <c:pt idx="12">
                  <c:v>45339</c:v>
                </c:pt>
                <c:pt idx="13">
                  <c:v>45341</c:v>
                </c:pt>
                <c:pt idx="14">
                  <c:v>45343</c:v>
                </c:pt>
                <c:pt idx="15">
                  <c:v>45344</c:v>
                </c:pt>
                <c:pt idx="16">
                  <c:v>45346</c:v>
                </c:pt>
                <c:pt idx="17">
                  <c:v>45347</c:v>
                </c:pt>
                <c:pt idx="18">
                  <c:v>45348</c:v>
                </c:pt>
                <c:pt idx="19">
                  <c:v>45349</c:v>
                </c:pt>
                <c:pt idx="20">
                  <c:v>45350</c:v>
                </c:pt>
                <c:pt idx="21">
                  <c:v>45351</c:v>
                </c:pt>
                <c:pt idx="22">
                  <c:v>45352</c:v>
                </c:pt>
                <c:pt idx="23">
                  <c:v>45357</c:v>
                </c:pt>
                <c:pt idx="24">
                  <c:v>45358</c:v>
                </c:pt>
                <c:pt idx="25">
                  <c:v>45359</c:v>
                </c:pt>
                <c:pt idx="26">
                  <c:v>45362</c:v>
                </c:pt>
                <c:pt idx="27">
                  <c:v>45363</c:v>
                </c:pt>
                <c:pt idx="28">
                  <c:v>45364</c:v>
                </c:pt>
                <c:pt idx="29">
                  <c:v>45365</c:v>
                </c:pt>
                <c:pt idx="30">
                  <c:v>45369</c:v>
                </c:pt>
                <c:pt idx="31">
                  <c:v>45370</c:v>
                </c:pt>
                <c:pt idx="32">
                  <c:v>45371</c:v>
                </c:pt>
                <c:pt idx="33">
                  <c:v>45373</c:v>
                </c:pt>
                <c:pt idx="34">
                  <c:v>45374</c:v>
                </c:pt>
                <c:pt idx="35">
                  <c:v>45375</c:v>
                </c:pt>
                <c:pt idx="36">
                  <c:v>45378</c:v>
                </c:pt>
                <c:pt idx="37">
                  <c:v>45379</c:v>
                </c:pt>
                <c:pt idx="38">
                  <c:v>45381</c:v>
                </c:pt>
                <c:pt idx="39">
                  <c:v>45383</c:v>
                </c:pt>
                <c:pt idx="40">
                  <c:v>45384</c:v>
                </c:pt>
                <c:pt idx="41">
                  <c:v>45386</c:v>
                </c:pt>
                <c:pt idx="42">
                  <c:v>45388</c:v>
                </c:pt>
              </c:numCache>
            </c:numRef>
          </c:xVal>
          <c:yVal>
            <c:numRef>
              <c:f>ROI!$G$3:$G$989</c:f>
              <c:numCache>
                <c:formatCode>#,##0\ "CLP";[Red]\-\ #,##0\ "CLP"</c:formatCode>
                <c:ptCount val="987"/>
                <c:pt idx="0">
                  <c:v>13488.867000000015</c:v>
                </c:pt>
                <c:pt idx="1">
                  <c:v>29949.850000000006</c:v>
                </c:pt>
                <c:pt idx="2">
                  <c:v>38104.043800000029</c:v>
                </c:pt>
                <c:pt idx="3">
                  <c:v>34914.24880000003</c:v>
                </c:pt>
                <c:pt idx="4">
                  <c:v>43161.41499999995</c:v>
                </c:pt>
                <c:pt idx="5">
                  <c:v>38329.757899999968</c:v>
                </c:pt>
                <c:pt idx="6">
                  <c:v>33160.457400000014</c:v>
                </c:pt>
                <c:pt idx="7">
                  <c:v>14752.02340000002</c:v>
                </c:pt>
                <c:pt idx="8">
                  <c:v>20015.928599999999</c:v>
                </c:pt>
                <c:pt idx="9">
                  <c:v>24811.407599999948</c:v>
                </c:pt>
                <c:pt idx="10">
                  <c:v>32001.491800000018</c:v>
                </c:pt>
                <c:pt idx="11">
                  <c:v>38611.79310000001</c:v>
                </c:pt>
                <c:pt idx="12">
                  <c:v>302689.99600000004</c:v>
                </c:pt>
                <c:pt idx="13">
                  <c:v>383867.29719999997</c:v>
                </c:pt>
                <c:pt idx="14">
                  <c:v>378704.65239999996</c:v>
                </c:pt>
                <c:pt idx="15">
                  <c:v>382403.26359999995</c:v>
                </c:pt>
                <c:pt idx="16">
                  <c:v>492110.55519999989</c:v>
                </c:pt>
                <c:pt idx="17">
                  <c:v>504172.90319999994</c:v>
                </c:pt>
                <c:pt idx="18">
                  <c:v>489338.23479999992</c:v>
                </c:pt>
                <c:pt idx="19">
                  <c:v>547154.28099999996</c:v>
                </c:pt>
                <c:pt idx="20">
                  <c:v>696498.98209999991</c:v>
                </c:pt>
                <c:pt idx="21">
                  <c:v>635939.33409999998</c:v>
                </c:pt>
                <c:pt idx="22">
                  <c:v>635281.51229999983</c:v>
                </c:pt>
                <c:pt idx="23">
                  <c:v>706422.02399999986</c:v>
                </c:pt>
                <c:pt idx="24">
                  <c:v>711709.43599999975</c:v>
                </c:pt>
                <c:pt idx="25">
                  <c:v>722727.99599999981</c:v>
                </c:pt>
                <c:pt idx="26">
                  <c:v>813961.8657999998</c:v>
                </c:pt>
                <c:pt idx="27">
                  <c:v>827211.14659999975</c:v>
                </c:pt>
                <c:pt idx="28">
                  <c:v>760531.07799999998</c:v>
                </c:pt>
                <c:pt idx="29">
                  <c:v>810222.62999999977</c:v>
                </c:pt>
                <c:pt idx="30">
                  <c:v>721737.00659999996</c:v>
                </c:pt>
                <c:pt idx="31">
                  <c:v>689390.49439999985</c:v>
                </c:pt>
                <c:pt idx="32">
                  <c:v>743832.0774999999</c:v>
                </c:pt>
                <c:pt idx="33">
                  <c:v>738040.73499999987</c:v>
                </c:pt>
                <c:pt idx="34">
                  <c:v>742024.04899999988</c:v>
                </c:pt>
                <c:pt idx="35">
                  <c:v>755971.37719999987</c:v>
                </c:pt>
                <c:pt idx="36">
                  <c:v>747691.02099999995</c:v>
                </c:pt>
                <c:pt idx="37">
                  <c:v>747691.02099999995</c:v>
                </c:pt>
                <c:pt idx="38">
                  <c:v>747691.02099999995</c:v>
                </c:pt>
                <c:pt idx="39">
                  <c:v>714127.91589999991</c:v>
                </c:pt>
                <c:pt idx="40">
                  <c:v>683306.82959999994</c:v>
                </c:pt>
                <c:pt idx="41">
                  <c:v>671414.59479999985</c:v>
                </c:pt>
                <c:pt idx="42">
                  <c:v>677391.43959999981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A0-4867-8705-687281AB2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883615"/>
        <c:axId val="1103170623"/>
      </c:scatterChart>
      <c:valAx>
        <c:axId val="1343883615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03170623"/>
        <c:crosses val="autoZero"/>
        <c:crossBetween val="midCat"/>
      </c:valAx>
      <c:valAx>
        <c:axId val="1103170623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#,##0\ &quot;CLP&quot;;[Red]\-\ #,##0\ &quot;CLP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343883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sz="2000" b="1" baseline="0"/>
              <a:t>Acumulated Rentability</a:t>
            </a:r>
            <a:endParaRPr lang="es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ROI!$W$1</c:f>
              <c:strCache>
                <c:ptCount val="1"/>
                <c:pt idx="0">
                  <c:v>Colchón M.AVG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ROI!$A$6:$A$989</c:f>
              <c:numCache>
                <c:formatCode>d\-mmm</c:formatCode>
                <c:ptCount val="984"/>
                <c:pt idx="0">
                  <c:v>45304</c:v>
                </c:pt>
                <c:pt idx="1">
                  <c:v>45308</c:v>
                </c:pt>
                <c:pt idx="2">
                  <c:v>45309</c:v>
                </c:pt>
                <c:pt idx="3">
                  <c:v>45312</c:v>
                </c:pt>
                <c:pt idx="4">
                  <c:v>45315</c:v>
                </c:pt>
                <c:pt idx="5">
                  <c:v>45316</c:v>
                </c:pt>
                <c:pt idx="6">
                  <c:v>45320</c:v>
                </c:pt>
                <c:pt idx="7">
                  <c:v>45321</c:v>
                </c:pt>
                <c:pt idx="8">
                  <c:v>45326</c:v>
                </c:pt>
                <c:pt idx="9">
                  <c:v>45339</c:v>
                </c:pt>
                <c:pt idx="10">
                  <c:v>45341</c:v>
                </c:pt>
                <c:pt idx="11">
                  <c:v>45343</c:v>
                </c:pt>
                <c:pt idx="12">
                  <c:v>45344</c:v>
                </c:pt>
                <c:pt idx="13">
                  <c:v>45346</c:v>
                </c:pt>
                <c:pt idx="14">
                  <c:v>45347</c:v>
                </c:pt>
                <c:pt idx="15">
                  <c:v>45348</c:v>
                </c:pt>
                <c:pt idx="16">
                  <c:v>45349</c:v>
                </c:pt>
                <c:pt idx="17">
                  <c:v>45350</c:v>
                </c:pt>
                <c:pt idx="18">
                  <c:v>45351</c:v>
                </c:pt>
                <c:pt idx="19">
                  <c:v>45352</c:v>
                </c:pt>
                <c:pt idx="20">
                  <c:v>45357</c:v>
                </c:pt>
                <c:pt idx="21">
                  <c:v>45358</c:v>
                </c:pt>
                <c:pt idx="22">
                  <c:v>45359</c:v>
                </c:pt>
                <c:pt idx="23">
                  <c:v>45362</c:v>
                </c:pt>
                <c:pt idx="24">
                  <c:v>45363</c:v>
                </c:pt>
                <c:pt idx="25">
                  <c:v>45364</c:v>
                </c:pt>
                <c:pt idx="26">
                  <c:v>45365</c:v>
                </c:pt>
                <c:pt idx="27">
                  <c:v>45369</c:v>
                </c:pt>
                <c:pt idx="28">
                  <c:v>45370</c:v>
                </c:pt>
                <c:pt idx="29">
                  <c:v>45371</c:v>
                </c:pt>
                <c:pt idx="30">
                  <c:v>45373</c:v>
                </c:pt>
                <c:pt idx="31">
                  <c:v>45374</c:v>
                </c:pt>
                <c:pt idx="32">
                  <c:v>45375</c:v>
                </c:pt>
                <c:pt idx="33">
                  <c:v>45378</c:v>
                </c:pt>
                <c:pt idx="34">
                  <c:v>45379</c:v>
                </c:pt>
                <c:pt idx="35">
                  <c:v>45381</c:v>
                </c:pt>
                <c:pt idx="36">
                  <c:v>45383</c:v>
                </c:pt>
                <c:pt idx="37">
                  <c:v>45384</c:v>
                </c:pt>
                <c:pt idx="38">
                  <c:v>45386</c:v>
                </c:pt>
                <c:pt idx="39">
                  <c:v>45388</c:v>
                </c:pt>
              </c:numCache>
            </c:numRef>
          </c:xVal>
          <c:yVal>
            <c:numRef>
              <c:f>ROI!$W$6:$W$989</c:f>
              <c:numCache>
                <c:formatCode>0%</c:formatCode>
                <c:ptCount val="984"/>
                <c:pt idx="0">
                  <c:v>5.936390036442081E-2</c:v>
                </c:pt>
                <c:pt idx="1">
                  <c:v>8.0710801344715241E-2</c:v>
                </c:pt>
                <c:pt idx="2">
                  <c:v>8.0585113709918277E-2</c:v>
                </c:pt>
                <c:pt idx="3">
                  <c:v>6.6180912836506553E-2</c:v>
                </c:pt>
                <c:pt idx="4">
                  <c:v>7.9933737945528022E-2</c:v>
                </c:pt>
                <c:pt idx="5">
                  <c:v>7.9927494628794685E-2</c:v>
                </c:pt>
                <c:pt idx="6">
                  <c:v>6.7471948103883211E-2</c:v>
                </c:pt>
                <c:pt idx="7">
                  <c:v>6.314752719546475E-2</c:v>
                </c:pt>
                <c:pt idx="8">
                  <c:v>7.9149935027641324E-2</c:v>
                </c:pt>
                <c:pt idx="9">
                  <c:v>7.9165827855820325E-2</c:v>
                </c:pt>
                <c:pt idx="10">
                  <c:v>7.5102146328275068E-2</c:v>
                </c:pt>
                <c:pt idx="11">
                  <c:v>7.9241416896923988E-2</c:v>
                </c:pt>
                <c:pt idx="12">
                  <c:v>7.6967713678879918E-2</c:v>
                </c:pt>
                <c:pt idx="13">
                  <c:v>8.1366504918182245E-2</c:v>
                </c:pt>
                <c:pt idx="14">
                  <c:v>7.3800814127292322E-2</c:v>
                </c:pt>
                <c:pt idx="15">
                  <c:v>7.8566183000841977E-2</c:v>
                </c:pt>
                <c:pt idx="16">
                  <c:v>8.7121775089025827E-2</c:v>
                </c:pt>
                <c:pt idx="17">
                  <c:v>8.9960192341032419E-2</c:v>
                </c:pt>
                <c:pt idx="18">
                  <c:v>8.1922736495590204E-2</c:v>
                </c:pt>
                <c:pt idx="19">
                  <c:v>7.8301558124435011E-2</c:v>
                </c:pt>
                <c:pt idx="20">
                  <c:v>9.217811672354137E-2</c:v>
                </c:pt>
                <c:pt idx="21">
                  <c:v>7.6242503892998817E-2</c:v>
                </c:pt>
                <c:pt idx="22">
                  <c:v>7.6242503892998817E-2</c:v>
                </c:pt>
                <c:pt idx="23">
                  <c:v>8.1036474515948725E-2</c:v>
                </c:pt>
                <c:pt idx="24">
                  <c:v>8.6232771369727068E-2</c:v>
                </c:pt>
                <c:pt idx="25">
                  <c:v>7.6395390093392301E-2</c:v>
                </c:pt>
                <c:pt idx="26">
                  <c:v>7.5773610322436361E-2</c:v>
                </c:pt>
                <c:pt idx="27">
                  <c:v>7.4501410300479992E-2</c:v>
                </c:pt>
                <c:pt idx="28">
                  <c:v>7.471591390799405E-2</c:v>
                </c:pt>
                <c:pt idx="29">
                  <c:v>7.7007967759187251E-2</c:v>
                </c:pt>
                <c:pt idx="30">
                  <c:v>6.288886096659696E-2</c:v>
                </c:pt>
                <c:pt idx="31">
                  <c:v>6.7186526899808113E-2</c:v>
                </c:pt>
                <c:pt idx="32">
                  <c:v>6.7186526899808113E-2</c:v>
                </c:pt>
                <c:pt idx="33">
                  <c:v>7.2309962953950008E-2</c:v>
                </c:pt>
                <c:pt idx="34">
                  <c:v>7.0717436084938079E-2</c:v>
                </c:pt>
                <c:pt idx="35">
                  <c:v>6.2150084055822494E-2</c:v>
                </c:pt>
                <c:pt idx="36">
                  <c:v>7.0560640114030959E-2</c:v>
                </c:pt>
                <c:pt idx="37">
                  <c:v>7.2280175045908168E-2</c:v>
                </c:pt>
                <c:pt idx="38">
                  <c:v>7.1368093565072066E-2</c:v>
                </c:pt>
                <c:pt idx="39">
                  <c:v>6.887905872497245E-2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C3-4BDC-9401-E646906628F0}"/>
            </c:ext>
          </c:extLst>
        </c:ser>
        <c:ser>
          <c:idx val="1"/>
          <c:order val="1"/>
          <c:tx>
            <c:strRef>
              <c:f>ROI!$X$1</c:f>
              <c:strCache>
                <c:ptCount val="1"/>
                <c:pt idx="0">
                  <c:v>Fondo A M.AVG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ROI!$A$6:$A$989</c:f>
              <c:numCache>
                <c:formatCode>d\-mmm</c:formatCode>
                <c:ptCount val="984"/>
                <c:pt idx="0">
                  <c:v>45304</c:v>
                </c:pt>
                <c:pt idx="1">
                  <c:v>45308</c:v>
                </c:pt>
                <c:pt idx="2">
                  <c:v>45309</c:v>
                </c:pt>
                <c:pt idx="3">
                  <c:v>45312</c:v>
                </c:pt>
                <c:pt idx="4">
                  <c:v>45315</c:v>
                </c:pt>
                <c:pt idx="5">
                  <c:v>45316</c:v>
                </c:pt>
                <c:pt idx="6">
                  <c:v>45320</c:v>
                </c:pt>
                <c:pt idx="7">
                  <c:v>45321</c:v>
                </c:pt>
                <c:pt idx="8">
                  <c:v>45326</c:v>
                </c:pt>
                <c:pt idx="9">
                  <c:v>45339</c:v>
                </c:pt>
                <c:pt idx="10">
                  <c:v>45341</c:v>
                </c:pt>
                <c:pt idx="11">
                  <c:v>45343</c:v>
                </c:pt>
                <c:pt idx="12">
                  <c:v>45344</c:v>
                </c:pt>
                <c:pt idx="13">
                  <c:v>45346</c:v>
                </c:pt>
                <c:pt idx="14">
                  <c:v>45347</c:v>
                </c:pt>
                <c:pt idx="15">
                  <c:v>45348</c:v>
                </c:pt>
                <c:pt idx="16">
                  <c:v>45349</c:v>
                </c:pt>
                <c:pt idx="17">
                  <c:v>45350</c:v>
                </c:pt>
                <c:pt idx="18">
                  <c:v>45351</c:v>
                </c:pt>
                <c:pt idx="19">
                  <c:v>45352</c:v>
                </c:pt>
                <c:pt idx="20">
                  <c:v>45357</c:v>
                </c:pt>
                <c:pt idx="21">
                  <c:v>45358</c:v>
                </c:pt>
                <c:pt idx="22">
                  <c:v>45359</c:v>
                </c:pt>
                <c:pt idx="23">
                  <c:v>45362</c:v>
                </c:pt>
                <c:pt idx="24">
                  <c:v>45363</c:v>
                </c:pt>
                <c:pt idx="25">
                  <c:v>45364</c:v>
                </c:pt>
                <c:pt idx="26">
                  <c:v>45365</c:v>
                </c:pt>
                <c:pt idx="27">
                  <c:v>45369</c:v>
                </c:pt>
                <c:pt idx="28">
                  <c:v>45370</c:v>
                </c:pt>
                <c:pt idx="29">
                  <c:v>45371</c:v>
                </c:pt>
                <c:pt idx="30">
                  <c:v>45373</c:v>
                </c:pt>
                <c:pt idx="31">
                  <c:v>45374</c:v>
                </c:pt>
                <c:pt idx="32">
                  <c:v>45375</c:v>
                </c:pt>
                <c:pt idx="33">
                  <c:v>45378</c:v>
                </c:pt>
                <c:pt idx="34">
                  <c:v>45379</c:v>
                </c:pt>
                <c:pt idx="35">
                  <c:v>45381</c:v>
                </c:pt>
                <c:pt idx="36">
                  <c:v>45383</c:v>
                </c:pt>
                <c:pt idx="37">
                  <c:v>45384</c:v>
                </c:pt>
                <c:pt idx="38">
                  <c:v>45386</c:v>
                </c:pt>
                <c:pt idx="39">
                  <c:v>45388</c:v>
                </c:pt>
              </c:numCache>
            </c:numRef>
          </c:xVal>
          <c:yVal>
            <c:numRef>
              <c:f>ROI!$X$6:$X$989</c:f>
              <c:numCache>
                <c:formatCode>0%</c:formatCode>
                <c:ptCount val="984"/>
                <c:pt idx="0">
                  <c:v>-7.3777348953397881E-2</c:v>
                </c:pt>
                <c:pt idx="1">
                  <c:v>0.27301115919833085</c:v>
                </c:pt>
                <c:pt idx="2">
                  <c:v>0.3668868863324673</c:v>
                </c:pt>
                <c:pt idx="3">
                  <c:v>0.4076857272656888</c:v>
                </c:pt>
                <c:pt idx="4">
                  <c:v>0.50618232591263768</c:v>
                </c:pt>
                <c:pt idx="5">
                  <c:v>0.62670379332756498</c:v>
                </c:pt>
                <c:pt idx="6">
                  <c:v>0.4925553359101148</c:v>
                </c:pt>
                <c:pt idx="7">
                  <c:v>0.33551379736990933</c:v>
                </c:pt>
                <c:pt idx="8">
                  <c:v>0.73307281724517681</c:v>
                </c:pt>
                <c:pt idx="9">
                  <c:v>1.1260237834920499</c:v>
                </c:pt>
                <c:pt idx="10">
                  <c:v>1.1067823758270015</c:v>
                </c:pt>
                <c:pt idx="11">
                  <c:v>0.97951932119949314</c:v>
                </c:pt>
                <c:pt idx="12">
                  <c:v>0.94757952967362002</c:v>
                </c:pt>
                <c:pt idx="13">
                  <c:v>1.3039551019474029</c:v>
                </c:pt>
                <c:pt idx="14">
                  <c:v>1.3010614782721999</c:v>
                </c:pt>
                <c:pt idx="15">
                  <c:v>1.2706150909892584</c:v>
                </c:pt>
                <c:pt idx="16">
                  <c:v>1.3974772903266954</c:v>
                </c:pt>
                <c:pt idx="17">
                  <c:v>1.2934680160229899</c:v>
                </c:pt>
                <c:pt idx="18">
                  <c:v>1.0238501532481252</c:v>
                </c:pt>
                <c:pt idx="19">
                  <c:v>0.43653797739277056</c:v>
                </c:pt>
                <c:pt idx="20">
                  <c:v>0.81306511114178626</c:v>
                </c:pt>
                <c:pt idx="21">
                  <c:v>1.5101324767910991</c:v>
                </c:pt>
                <c:pt idx="22">
                  <c:v>1.5101324767910991</c:v>
                </c:pt>
                <c:pt idx="23">
                  <c:v>-8.7823756067235359E-2</c:v>
                </c:pt>
                <c:pt idx="24">
                  <c:v>0.14308035853796491</c:v>
                </c:pt>
                <c:pt idx="25">
                  <c:v>-0.45096524173294777</c:v>
                </c:pt>
                <c:pt idx="26">
                  <c:v>-0.64911426024737762</c:v>
                </c:pt>
                <c:pt idx="27">
                  <c:v>-0.43136933704017438</c:v>
                </c:pt>
                <c:pt idx="28">
                  <c:v>-2.7981840282476359E-2</c:v>
                </c:pt>
                <c:pt idx="29">
                  <c:v>0.42961896527669569</c:v>
                </c:pt>
                <c:pt idx="30">
                  <c:v>5.1794516755916009E-2</c:v>
                </c:pt>
                <c:pt idx="31">
                  <c:v>-6.7133426747312153E-2</c:v>
                </c:pt>
                <c:pt idx="32">
                  <c:v>-6.7133426747312153E-2</c:v>
                </c:pt>
                <c:pt idx="33">
                  <c:v>0.71648695553579744</c:v>
                </c:pt>
                <c:pt idx="34">
                  <c:v>0.49680966193256071</c:v>
                </c:pt>
                <c:pt idx="35">
                  <c:v>0.94079075198577777</c:v>
                </c:pt>
                <c:pt idx="36">
                  <c:v>1.0895913048086818</c:v>
                </c:pt>
                <c:pt idx="37">
                  <c:v>1.0737412890124893</c:v>
                </c:pt>
                <c:pt idx="38">
                  <c:v>-0.37582946645276982</c:v>
                </c:pt>
                <c:pt idx="39">
                  <c:v>-0.63086146961000933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C3-4BDC-9401-E646906628F0}"/>
            </c:ext>
          </c:extLst>
        </c:ser>
        <c:ser>
          <c:idx val="2"/>
          <c:order val="2"/>
          <c:tx>
            <c:strRef>
              <c:f>ROI!$Y$1</c:f>
              <c:strCache>
                <c:ptCount val="1"/>
                <c:pt idx="0">
                  <c:v>APV M.AVG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ROI!$A$6:$A$989</c:f>
              <c:numCache>
                <c:formatCode>d\-mmm</c:formatCode>
                <c:ptCount val="984"/>
                <c:pt idx="0">
                  <c:v>45304</c:v>
                </c:pt>
                <c:pt idx="1">
                  <c:v>45308</c:v>
                </c:pt>
                <c:pt idx="2">
                  <c:v>45309</c:v>
                </c:pt>
                <c:pt idx="3">
                  <c:v>45312</c:v>
                </c:pt>
                <c:pt idx="4">
                  <c:v>45315</c:v>
                </c:pt>
                <c:pt idx="5">
                  <c:v>45316</c:v>
                </c:pt>
                <c:pt idx="6">
                  <c:v>45320</c:v>
                </c:pt>
                <c:pt idx="7">
                  <c:v>45321</c:v>
                </c:pt>
                <c:pt idx="8">
                  <c:v>45326</c:v>
                </c:pt>
                <c:pt idx="9">
                  <c:v>45339</c:v>
                </c:pt>
                <c:pt idx="10">
                  <c:v>45341</c:v>
                </c:pt>
                <c:pt idx="11">
                  <c:v>45343</c:v>
                </c:pt>
                <c:pt idx="12">
                  <c:v>45344</c:v>
                </c:pt>
                <c:pt idx="13">
                  <c:v>45346</c:v>
                </c:pt>
                <c:pt idx="14">
                  <c:v>45347</c:v>
                </c:pt>
                <c:pt idx="15">
                  <c:v>45348</c:v>
                </c:pt>
                <c:pt idx="16">
                  <c:v>45349</c:v>
                </c:pt>
                <c:pt idx="17">
                  <c:v>45350</c:v>
                </c:pt>
                <c:pt idx="18">
                  <c:v>45351</c:v>
                </c:pt>
                <c:pt idx="19">
                  <c:v>45352</c:v>
                </c:pt>
                <c:pt idx="20">
                  <c:v>45357</c:v>
                </c:pt>
                <c:pt idx="21">
                  <c:v>45358</c:v>
                </c:pt>
                <c:pt idx="22">
                  <c:v>45359</c:v>
                </c:pt>
                <c:pt idx="23">
                  <c:v>45362</c:v>
                </c:pt>
                <c:pt idx="24">
                  <c:v>45363</c:v>
                </c:pt>
                <c:pt idx="25">
                  <c:v>45364</c:v>
                </c:pt>
                <c:pt idx="26">
                  <c:v>45365</c:v>
                </c:pt>
                <c:pt idx="27">
                  <c:v>45369</c:v>
                </c:pt>
                <c:pt idx="28">
                  <c:v>45370</c:v>
                </c:pt>
                <c:pt idx="29">
                  <c:v>45371</c:v>
                </c:pt>
                <c:pt idx="30">
                  <c:v>45373</c:v>
                </c:pt>
                <c:pt idx="31">
                  <c:v>45374</c:v>
                </c:pt>
                <c:pt idx="32">
                  <c:v>45375</c:v>
                </c:pt>
                <c:pt idx="33">
                  <c:v>45378</c:v>
                </c:pt>
                <c:pt idx="34">
                  <c:v>45379</c:v>
                </c:pt>
                <c:pt idx="35">
                  <c:v>45381</c:v>
                </c:pt>
                <c:pt idx="36">
                  <c:v>45383</c:v>
                </c:pt>
                <c:pt idx="37">
                  <c:v>45384</c:v>
                </c:pt>
                <c:pt idx="38">
                  <c:v>45386</c:v>
                </c:pt>
                <c:pt idx="39">
                  <c:v>45388</c:v>
                </c:pt>
              </c:numCache>
            </c:numRef>
          </c:xVal>
          <c:yVal>
            <c:numRef>
              <c:f>ROI!$Y$6:$Y$989</c:f>
              <c:numCache>
                <c:formatCode>0%</c:formatCode>
                <c:ptCount val="984"/>
                <c:pt idx="0">
                  <c:v>0.13515440547626245</c:v>
                </c:pt>
                <c:pt idx="1">
                  <c:v>0.39666468732268895</c:v>
                </c:pt>
                <c:pt idx="2">
                  <c:v>0.46055440078769094</c:v>
                </c:pt>
                <c:pt idx="3">
                  <c:v>0.45423150510211907</c:v>
                </c:pt>
                <c:pt idx="4">
                  <c:v>0.47190650638255782</c:v>
                </c:pt>
                <c:pt idx="5">
                  <c:v>0.56083649651892131</c:v>
                </c:pt>
                <c:pt idx="6">
                  <c:v>0.44181562685680975</c:v>
                </c:pt>
                <c:pt idx="7">
                  <c:v>0.34841726538192624</c:v>
                </c:pt>
                <c:pt idx="8">
                  <c:v>0.57532520882847937</c:v>
                </c:pt>
                <c:pt idx="9">
                  <c:v>0.65611035178616661</c:v>
                </c:pt>
                <c:pt idx="10">
                  <c:v>0.63790966463909649</c:v>
                </c:pt>
                <c:pt idx="11">
                  <c:v>0.52014875571086272</c:v>
                </c:pt>
                <c:pt idx="12">
                  <c:v>0.49238669546778535</c:v>
                </c:pt>
                <c:pt idx="13">
                  <c:v>0.68731199165979528</c:v>
                </c:pt>
                <c:pt idx="14">
                  <c:v>0.6793996306850032</c:v>
                </c:pt>
                <c:pt idx="15">
                  <c:v>0.64284830742046961</c:v>
                </c:pt>
                <c:pt idx="16">
                  <c:v>0.69370446496507421</c:v>
                </c:pt>
                <c:pt idx="17">
                  <c:v>0.64404830710741201</c:v>
                </c:pt>
                <c:pt idx="18">
                  <c:v>0.44345246091394797</c:v>
                </c:pt>
                <c:pt idx="19">
                  <c:v>0.20144681159063518</c:v>
                </c:pt>
                <c:pt idx="20">
                  <c:v>0.44325891947308987</c:v>
                </c:pt>
                <c:pt idx="21">
                  <c:v>0.88245330169404401</c:v>
                </c:pt>
                <c:pt idx="22">
                  <c:v>0.88245330169404401</c:v>
                </c:pt>
                <c:pt idx="23">
                  <c:v>1.0536614756398333E-2</c:v>
                </c:pt>
                <c:pt idx="24">
                  <c:v>0.14758708004708773</c:v>
                </c:pt>
                <c:pt idx="25">
                  <c:v>-0.17895816213591079</c:v>
                </c:pt>
                <c:pt idx="26">
                  <c:v>-0.2389857189073058</c:v>
                </c:pt>
                <c:pt idx="27">
                  <c:v>-0.17893924056169974</c:v>
                </c:pt>
                <c:pt idx="28">
                  <c:v>4.5423342029793951E-2</c:v>
                </c:pt>
                <c:pt idx="29">
                  <c:v>0.12100020810529379</c:v>
                </c:pt>
                <c:pt idx="30">
                  <c:v>-0.13589563793066234</c:v>
                </c:pt>
                <c:pt idx="31">
                  <c:v>-1.9381836487605053E-2</c:v>
                </c:pt>
                <c:pt idx="32">
                  <c:v>-1.9381836487605053E-2</c:v>
                </c:pt>
                <c:pt idx="33">
                  <c:v>0.36326051216884248</c:v>
                </c:pt>
                <c:pt idx="34">
                  <c:v>0.23294012714787848</c:v>
                </c:pt>
                <c:pt idx="35">
                  <c:v>0.48391893559969029</c:v>
                </c:pt>
                <c:pt idx="36">
                  <c:v>0.56746523318959696</c:v>
                </c:pt>
                <c:pt idx="37">
                  <c:v>0.59234541951819863</c:v>
                </c:pt>
                <c:pt idx="38">
                  <c:v>-0.17138119693457465</c:v>
                </c:pt>
                <c:pt idx="39">
                  <c:v>-0.11599973972183232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C3-4BDC-9401-E646906628F0}"/>
            </c:ext>
          </c:extLst>
        </c:ser>
        <c:ser>
          <c:idx val="3"/>
          <c:order val="3"/>
          <c:tx>
            <c:strRef>
              <c:f>ROI!$Z$1</c:f>
              <c:strCache>
                <c:ptCount val="1"/>
                <c:pt idx="0">
                  <c:v>Acciones M.AVG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ROI!$A$6:$A$989</c:f>
              <c:numCache>
                <c:formatCode>d\-mmm</c:formatCode>
                <c:ptCount val="984"/>
                <c:pt idx="0">
                  <c:v>45304</c:v>
                </c:pt>
                <c:pt idx="1">
                  <c:v>45308</c:v>
                </c:pt>
                <c:pt idx="2">
                  <c:v>45309</c:v>
                </c:pt>
                <c:pt idx="3">
                  <c:v>45312</c:v>
                </c:pt>
                <c:pt idx="4">
                  <c:v>45315</c:v>
                </c:pt>
                <c:pt idx="5">
                  <c:v>45316</c:v>
                </c:pt>
                <c:pt idx="6">
                  <c:v>45320</c:v>
                </c:pt>
                <c:pt idx="7">
                  <c:v>45321</c:v>
                </c:pt>
                <c:pt idx="8">
                  <c:v>45326</c:v>
                </c:pt>
                <c:pt idx="9">
                  <c:v>45339</c:v>
                </c:pt>
                <c:pt idx="10">
                  <c:v>45341</c:v>
                </c:pt>
                <c:pt idx="11">
                  <c:v>45343</c:v>
                </c:pt>
                <c:pt idx="12">
                  <c:v>45344</c:v>
                </c:pt>
                <c:pt idx="13">
                  <c:v>45346</c:v>
                </c:pt>
                <c:pt idx="14">
                  <c:v>45347</c:v>
                </c:pt>
                <c:pt idx="15">
                  <c:v>45348</c:v>
                </c:pt>
                <c:pt idx="16">
                  <c:v>45349</c:v>
                </c:pt>
                <c:pt idx="17">
                  <c:v>45350</c:v>
                </c:pt>
                <c:pt idx="18">
                  <c:v>45351</c:v>
                </c:pt>
                <c:pt idx="19">
                  <c:v>45352</c:v>
                </c:pt>
                <c:pt idx="20">
                  <c:v>45357</c:v>
                </c:pt>
                <c:pt idx="21">
                  <c:v>45358</c:v>
                </c:pt>
                <c:pt idx="22">
                  <c:v>45359</c:v>
                </c:pt>
                <c:pt idx="23">
                  <c:v>45362</c:v>
                </c:pt>
                <c:pt idx="24">
                  <c:v>45363</c:v>
                </c:pt>
                <c:pt idx="25">
                  <c:v>45364</c:v>
                </c:pt>
                <c:pt idx="26">
                  <c:v>45365</c:v>
                </c:pt>
                <c:pt idx="27">
                  <c:v>45369</c:v>
                </c:pt>
                <c:pt idx="28">
                  <c:v>45370</c:v>
                </c:pt>
                <c:pt idx="29">
                  <c:v>45371</c:v>
                </c:pt>
                <c:pt idx="30">
                  <c:v>45373</c:v>
                </c:pt>
                <c:pt idx="31">
                  <c:v>45374</c:v>
                </c:pt>
                <c:pt idx="32">
                  <c:v>45375</c:v>
                </c:pt>
                <c:pt idx="33">
                  <c:v>45378</c:v>
                </c:pt>
                <c:pt idx="34">
                  <c:v>45379</c:v>
                </c:pt>
                <c:pt idx="35">
                  <c:v>45381</c:v>
                </c:pt>
                <c:pt idx="36">
                  <c:v>45383</c:v>
                </c:pt>
                <c:pt idx="37">
                  <c:v>45384</c:v>
                </c:pt>
                <c:pt idx="38">
                  <c:v>45386</c:v>
                </c:pt>
                <c:pt idx="39">
                  <c:v>45388</c:v>
                </c:pt>
              </c:numCache>
            </c:numRef>
          </c:xVal>
          <c:yVal>
            <c:numRef>
              <c:f>ROI!$Z$6:$Z$989</c:f>
              <c:numCache>
                <c:formatCode>0%</c:formatCode>
                <c:ptCount val="984"/>
                <c:pt idx="0">
                  <c:v>-0.11935816693291704</c:v>
                </c:pt>
                <c:pt idx="1">
                  <c:v>-0.88327446242231922</c:v>
                </c:pt>
                <c:pt idx="2">
                  <c:v>-0.24666042865251045</c:v>
                </c:pt>
                <c:pt idx="3">
                  <c:v>-0.21996010197398649</c:v>
                </c:pt>
                <c:pt idx="4">
                  <c:v>-3.5660091681173227E-2</c:v>
                </c:pt>
                <c:pt idx="5">
                  <c:v>-4.09755694678983E-2</c:v>
                </c:pt>
                <c:pt idx="6">
                  <c:v>0.12024811180068487</c:v>
                </c:pt>
                <c:pt idx="7">
                  <c:v>0.35790378053069738</c:v>
                </c:pt>
                <c:pt idx="8">
                  <c:v>0.30828674578313753</c:v>
                </c:pt>
                <c:pt idx="9">
                  <c:v>0.80057333486977256</c:v>
                </c:pt>
                <c:pt idx="10">
                  <c:v>0.8514805798289895</c:v>
                </c:pt>
                <c:pt idx="11">
                  <c:v>1.1007455465481988</c:v>
                </c:pt>
                <c:pt idx="12">
                  <c:v>1.0037536264698719</c:v>
                </c:pt>
                <c:pt idx="13">
                  <c:v>1.2306210009991614</c:v>
                </c:pt>
                <c:pt idx="14">
                  <c:v>1.2417654432969139</c:v>
                </c:pt>
                <c:pt idx="15">
                  <c:v>1.3291482436820794</c:v>
                </c:pt>
                <c:pt idx="16">
                  <c:v>1.473030462910961</c:v>
                </c:pt>
                <c:pt idx="17">
                  <c:v>1.170211354502374</c:v>
                </c:pt>
                <c:pt idx="18">
                  <c:v>1.3206921047594742</c:v>
                </c:pt>
                <c:pt idx="19">
                  <c:v>0.87495763413671868</c:v>
                </c:pt>
                <c:pt idx="20">
                  <c:v>0.76354042017279511</c:v>
                </c:pt>
                <c:pt idx="21">
                  <c:v>0.82867123734931691</c:v>
                </c:pt>
                <c:pt idx="22">
                  <c:v>0.73190226143168213</c:v>
                </c:pt>
                <c:pt idx="23">
                  <c:v>1.1295128796355858E-3</c:v>
                </c:pt>
                <c:pt idx="24">
                  <c:v>0.26147104909842234</c:v>
                </c:pt>
                <c:pt idx="25">
                  <c:v>-0.26548867426736572</c:v>
                </c:pt>
                <c:pt idx="26">
                  <c:v>-0.72171359252380696</c:v>
                </c:pt>
                <c:pt idx="27">
                  <c:v>1.0128135261526487</c:v>
                </c:pt>
                <c:pt idx="28">
                  <c:v>-1.1519889934499355E-2</c:v>
                </c:pt>
                <c:pt idx="29">
                  <c:v>0.46453206896157656</c:v>
                </c:pt>
                <c:pt idx="30">
                  <c:v>0.22885480292006494</c:v>
                </c:pt>
                <c:pt idx="31">
                  <c:v>4.2916519369276596E-2</c:v>
                </c:pt>
                <c:pt idx="32">
                  <c:v>0.24628991644940845</c:v>
                </c:pt>
                <c:pt idx="33">
                  <c:v>0.64641062596384535</c:v>
                </c:pt>
                <c:pt idx="34">
                  <c:v>0.46754740777934511</c:v>
                </c:pt>
                <c:pt idx="35">
                  <c:v>0.77862189542738924</c:v>
                </c:pt>
                <c:pt idx="36">
                  <c:v>0.99543120440718391</c:v>
                </c:pt>
                <c:pt idx="37">
                  <c:v>-0.70803047484221515</c:v>
                </c:pt>
                <c:pt idx="38">
                  <c:v>-0.37266320548520437</c:v>
                </c:pt>
                <c:pt idx="39">
                  <c:v>-0.87061394638103451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DC3-4BDC-9401-E646906628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883615"/>
        <c:axId val="1103170623"/>
      </c:scatterChart>
      <c:valAx>
        <c:axId val="1343883615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03170623"/>
        <c:crosses val="autoZero"/>
        <c:crossBetween val="midCat"/>
      </c:valAx>
      <c:valAx>
        <c:axId val="1103170623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343883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sz="2000" b="1" baseline="0"/>
              <a:t>Return On Investment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ROI!$H$1</c:f>
              <c:strCache>
                <c:ptCount val="1"/>
                <c:pt idx="0">
                  <c:v>ROI Colchón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ROI!$A$2:$A$985</c:f>
              <c:numCache>
                <c:formatCode>d\-mmm</c:formatCode>
                <c:ptCount val="984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</c:numCache>
            </c:numRef>
          </c:xVal>
          <c:yVal>
            <c:numRef>
              <c:f>ROI!$H$2:$H$985</c:f>
              <c:numCache>
                <c:formatCode>0.00%</c:formatCode>
                <c:ptCount val="984"/>
                <c:pt idx="0">
                  <c:v>0</c:v>
                </c:pt>
                <c:pt idx="1">
                  <c:v>2.3698264627599287E-4</c:v>
                </c:pt>
                <c:pt idx="2">
                  <c:v>2.3698264627599287E-4</c:v>
                </c:pt>
                <c:pt idx="3">
                  <c:v>4.556248964488872E-4</c:v>
                </c:pt>
                <c:pt idx="4">
                  <c:v>6.5077495386050915E-4</c:v>
                </c:pt>
                <c:pt idx="5">
                  <c:v>1.7705694754811571E-3</c:v>
                </c:pt>
                <c:pt idx="6">
                  <c:v>1.9890056537877243E-3</c:v>
                </c:pt>
                <c:pt idx="7">
                  <c:v>2.1781796270758649E-3</c:v>
                </c:pt>
                <c:pt idx="8">
                  <c:v>3.2903494896424157E-3</c:v>
                </c:pt>
                <c:pt idx="9">
                  <c:v>3.5098160272806181E-3</c:v>
                </c:pt>
                <c:pt idx="10">
                  <c:v>3.7039357253606051E-3</c:v>
                </c:pt>
                <c:pt idx="11">
                  <c:v>3.7039357253606051E-3</c:v>
                </c:pt>
                <c:pt idx="12">
                  <c:v>5.4561648047386641E-3</c:v>
                </c:pt>
                <c:pt idx="13">
                  <c:v>8.2978958413873084E-3</c:v>
                </c:pt>
                <c:pt idx="14">
                  <c:v>8.2978958413873084E-3</c:v>
                </c:pt>
                <c:pt idx="15">
                  <c:v>9.4115082070181481E-3</c:v>
                </c:pt>
                <c:pt idx="16">
                  <c:v>7.8034389738984352E-3</c:v>
                </c:pt>
                <c:pt idx="17">
                  <c:v>8.1942003965365592E-3</c:v>
                </c:pt>
                <c:pt idx="18">
                  <c:v>8.1942003965365592E-3</c:v>
                </c:pt>
                <c:pt idx="19">
                  <c:v>8.8361289775822204E-3</c:v>
                </c:pt>
                <c:pt idx="20">
                  <c:v>9.0655966603994474E-3</c:v>
                </c:pt>
                <c:pt idx="21">
                  <c:v>9.2931848610789316E-3</c:v>
                </c:pt>
                <c:pt idx="22">
                  <c:v>9.5030034124561139E-3</c:v>
                </c:pt>
                <c:pt idx="23">
                  <c:v>9.5030034124561139E-3</c:v>
                </c:pt>
                <c:pt idx="24">
                  <c:v>1.0767553167132437E-2</c:v>
                </c:pt>
                <c:pt idx="25">
                  <c:v>1.0966094825683158E-2</c:v>
                </c:pt>
                <c:pt idx="26">
                  <c:v>1.0966094825683158E-2</c:v>
                </c:pt>
                <c:pt idx="27">
                  <c:v>1.1781960935476354E-2</c:v>
                </c:pt>
                <c:pt idx="28">
                  <c:v>1.2012453790368714E-2</c:v>
                </c:pt>
                <c:pt idx="29">
                  <c:v>1.2220221997595629E-2</c:v>
                </c:pt>
                <c:pt idx="30">
                  <c:v>1.2422864344446881E-2</c:v>
                </c:pt>
                <c:pt idx="31">
                  <c:v>1.3214980634499501E-2</c:v>
                </c:pt>
                <c:pt idx="32">
                  <c:v>1.3436930388765754E-2</c:v>
                </c:pt>
                <c:pt idx="33">
                  <c:v>1.0165579224203317E-2</c:v>
                </c:pt>
                <c:pt idx="34">
                  <c:v>1.0165579224203317E-2</c:v>
                </c:pt>
                <c:pt idx="35">
                  <c:v>1.0554363888182832E-2</c:v>
                </c:pt>
                <c:pt idx="36">
                  <c:v>1.0554363888182832E-2</c:v>
                </c:pt>
                <c:pt idx="37">
                  <c:v>1.1597065764587767E-2</c:v>
                </c:pt>
                <c:pt idx="38">
                  <c:v>1.1756883895375284E-2</c:v>
                </c:pt>
                <c:pt idx="39">
                  <c:v>1.1756883895375284E-2</c:v>
                </c:pt>
                <c:pt idx="40">
                  <c:v>1.2551644815092333E-2</c:v>
                </c:pt>
                <c:pt idx="41">
                  <c:v>1.2826316064905483E-2</c:v>
                </c:pt>
                <c:pt idx="42">
                  <c:v>1.3208301771764304E-2</c:v>
                </c:pt>
                <c:pt idx="43">
                  <c:v>1.3409862896416809E-2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27-42FC-AD95-E9562B98AAE7}"/>
            </c:ext>
          </c:extLst>
        </c:ser>
        <c:ser>
          <c:idx val="1"/>
          <c:order val="1"/>
          <c:tx>
            <c:strRef>
              <c:f>ROI!$I$1</c:f>
              <c:strCache>
                <c:ptCount val="1"/>
                <c:pt idx="0">
                  <c:v>ROI Fondo A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ROI!$A$2:$A$985</c:f>
              <c:numCache>
                <c:formatCode>d\-mmm</c:formatCode>
                <c:ptCount val="984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</c:numCache>
            </c:numRef>
          </c:xVal>
          <c:yVal>
            <c:numRef>
              <c:f>ROI!$I$2:$I$985</c:f>
              <c:numCache>
                <c:formatCode>0.00%</c:formatCode>
                <c:ptCount val="984"/>
                <c:pt idx="0">
                  <c:v>0</c:v>
                </c:pt>
                <c:pt idx="1">
                  <c:v>8.6421453827432611E-3</c:v>
                </c:pt>
                <c:pt idx="2">
                  <c:v>8.6421453827432611E-3</c:v>
                </c:pt>
                <c:pt idx="3">
                  <c:v>3.2603205216512836E-4</c:v>
                </c:pt>
                <c:pt idx="4">
                  <c:v>-8.0819212931074072E-4</c:v>
                </c:pt>
                <c:pt idx="5">
                  <c:v>6.0017449602791937E-3</c:v>
                </c:pt>
                <c:pt idx="6">
                  <c:v>9.0875694540111119E-3</c:v>
                </c:pt>
                <c:pt idx="7">
                  <c:v>1.3493594158975065E-2</c:v>
                </c:pt>
                <c:pt idx="8">
                  <c:v>2.1019883363181339E-2</c:v>
                </c:pt>
                <c:pt idx="9">
                  <c:v>2.7852780456444872E-2</c:v>
                </c:pt>
                <c:pt idx="10">
                  <c:v>2.73568443770951E-2</c:v>
                </c:pt>
                <c:pt idx="11">
                  <c:v>2.73568443770951E-2</c:v>
                </c:pt>
                <c:pt idx="12">
                  <c:v>5.8451577352252378E-2</c:v>
                </c:pt>
                <c:pt idx="13">
                  <c:v>5.485388118092225E-2</c:v>
                </c:pt>
                <c:pt idx="14">
                  <c:v>5.485388118092225E-2</c:v>
                </c:pt>
                <c:pt idx="15">
                  <c:v>2.0339792022097652E-2</c:v>
                </c:pt>
                <c:pt idx="16">
                  <c:v>2.0339792022097652E-2</c:v>
                </c:pt>
                <c:pt idx="17">
                  <c:v>5.6638943049800959E-2</c:v>
                </c:pt>
                <c:pt idx="18">
                  <c:v>5.6638943049800959E-2</c:v>
                </c:pt>
                <c:pt idx="19">
                  <c:v>6.0874664879356569E-2</c:v>
                </c:pt>
                <c:pt idx="20">
                  <c:v>5.9976947761800306E-2</c:v>
                </c:pt>
                <c:pt idx="21">
                  <c:v>5.1253655861564711E-2</c:v>
                </c:pt>
                <c:pt idx="22">
                  <c:v>4.8288853684296043E-2</c:v>
                </c:pt>
                <c:pt idx="23">
                  <c:v>4.8288853684296043E-2</c:v>
                </c:pt>
                <c:pt idx="24">
                  <c:v>6.9565460232350315E-2</c:v>
                </c:pt>
                <c:pt idx="25">
                  <c:v>8.5668514907791052E-2</c:v>
                </c:pt>
                <c:pt idx="26">
                  <c:v>8.5668514907791052E-2</c:v>
                </c:pt>
                <c:pt idx="27">
                  <c:v>5.2578905678771631E-2</c:v>
                </c:pt>
                <c:pt idx="28">
                  <c:v>6.3287025753513693E-2</c:v>
                </c:pt>
                <c:pt idx="29">
                  <c:v>4.0108863433260214E-2</c:v>
                </c:pt>
                <c:pt idx="30">
                  <c:v>3.0241083759850514E-2</c:v>
                </c:pt>
                <c:pt idx="31">
                  <c:v>2.7910979770899343E-2</c:v>
                </c:pt>
                <c:pt idx="32">
                  <c:v>4.6763039239580792E-2</c:v>
                </c:pt>
                <c:pt idx="33">
                  <c:v>7.1996608172881629E-2</c:v>
                </c:pt>
                <c:pt idx="34">
                  <c:v>7.1996608172881629E-2</c:v>
                </c:pt>
                <c:pt idx="35">
                  <c:v>8.2478267934032012E-2</c:v>
                </c:pt>
                <c:pt idx="36">
                  <c:v>8.2478267934032012E-2</c:v>
                </c:pt>
                <c:pt idx="37">
                  <c:v>8.6162563977577378E-2</c:v>
                </c:pt>
                <c:pt idx="38">
                  <c:v>8.6697233731416037E-2</c:v>
                </c:pt>
                <c:pt idx="39">
                  <c:v>8.6697233731416037E-2</c:v>
                </c:pt>
                <c:pt idx="40">
                  <c:v>8.7113595742952313E-2</c:v>
                </c:pt>
                <c:pt idx="41">
                  <c:v>7.4284568202128518E-2</c:v>
                </c:pt>
                <c:pt idx="42">
                  <c:v>2.9659192460801041E-2</c:v>
                </c:pt>
                <c:pt idx="43">
                  <c:v>4.0956820212852386E-2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27-42FC-AD95-E9562B98AAE7}"/>
            </c:ext>
          </c:extLst>
        </c:ser>
        <c:ser>
          <c:idx val="2"/>
          <c:order val="2"/>
          <c:tx>
            <c:strRef>
              <c:f>ROI!$J$1</c:f>
              <c:strCache>
                <c:ptCount val="1"/>
                <c:pt idx="0">
                  <c:v>ROI APV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ROI!$A$2:$A$985</c:f>
              <c:numCache>
                <c:formatCode>d\-mmm</c:formatCode>
                <c:ptCount val="984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</c:numCache>
            </c:numRef>
          </c:xVal>
          <c:yVal>
            <c:numRef>
              <c:f>ROI!$J$2:$J$985</c:f>
              <c:numCache>
                <c:formatCode>0.00%</c:formatCode>
                <c:ptCount val="984"/>
                <c:pt idx="0">
                  <c:v>0</c:v>
                </c:pt>
                <c:pt idx="1">
                  <c:v>5.1308363263211903E-3</c:v>
                </c:pt>
                <c:pt idx="2">
                  <c:v>5.1308363263211903E-3</c:v>
                </c:pt>
                <c:pt idx="3">
                  <c:v>1.4347338616194439E-3</c:v>
                </c:pt>
                <c:pt idx="4">
                  <c:v>1.4822416053816771E-3</c:v>
                </c:pt>
                <c:pt idx="5">
                  <c:v>8.7319233034984702E-3</c:v>
                </c:pt>
                <c:pt idx="6">
                  <c:v>1.1420861600440872E-2</c:v>
                </c:pt>
                <c:pt idx="7">
                  <c:v>1.5045702449499269E-2</c:v>
                </c:pt>
                <c:pt idx="8">
                  <c:v>1.9582691978792543E-2</c:v>
                </c:pt>
                <c:pt idx="9">
                  <c:v>2.4889306957033997E-2</c:v>
                </c:pt>
                <c:pt idx="10">
                  <c:v>2.4504494232559907E-2</c:v>
                </c:pt>
                <c:pt idx="11">
                  <c:v>2.4504494232559907E-2</c:v>
                </c:pt>
                <c:pt idx="12">
                  <c:v>4.388290291317485E-2</c:v>
                </c:pt>
                <c:pt idx="13">
                  <c:v>6.8382646371358533E-2</c:v>
                </c:pt>
                <c:pt idx="14">
                  <c:v>6.8382646371358533E-2</c:v>
                </c:pt>
                <c:pt idx="15">
                  <c:v>1.8766110152056186E-2</c:v>
                </c:pt>
                <c:pt idx="16">
                  <c:v>1.8766110152056186E-2</c:v>
                </c:pt>
                <c:pt idx="17">
                  <c:v>3.9747735710738523E-2</c:v>
                </c:pt>
                <c:pt idx="18">
                  <c:v>3.9747735710738523E-2</c:v>
                </c:pt>
                <c:pt idx="19">
                  <c:v>4.1815451557216166E-2</c:v>
                </c:pt>
                <c:pt idx="20">
                  <c:v>4.0130536571523164E-2</c:v>
                </c:pt>
                <c:pt idx="21">
                  <c:v>3.603501075980798E-2</c:v>
                </c:pt>
                <c:pt idx="22">
                  <c:v>3.3903741102466481E-2</c:v>
                </c:pt>
                <c:pt idx="23">
                  <c:v>3.3903741102466481E-2</c:v>
                </c:pt>
                <c:pt idx="24">
                  <c:v>4.6652931160876862E-2</c:v>
                </c:pt>
                <c:pt idx="25">
                  <c:v>5.6389966183460635E-2</c:v>
                </c:pt>
                <c:pt idx="26">
                  <c:v>5.6389966183460635E-2</c:v>
                </c:pt>
                <c:pt idx="27">
                  <c:v>4.0228084281221183E-2</c:v>
                </c:pt>
                <c:pt idx="28">
                  <c:v>4.6496263627119443E-2</c:v>
                </c:pt>
                <c:pt idx="29">
                  <c:v>3.3674651784236287E-2</c:v>
                </c:pt>
                <c:pt idx="30">
                  <c:v>2.9290916830231512E-2</c:v>
                </c:pt>
                <c:pt idx="31">
                  <c:v>2.6429517345756378E-2</c:v>
                </c:pt>
                <c:pt idx="32">
                  <c:v>3.6351301818525791E-2</c:v>
                </c:pt>
                <c:pt idx="33">
                  <c:v>4.0436481661030574E-2</c:v>
                </c:pt>
                <c:pt idx="34">
                  <c:v>4.0436481661030574E-2</c:v>
                </c:pt>
                <c:pt idx="35">
                  <c:v>5.5492822853359186E-2</c:v>
                </c:pt>
                <c:pt idx="36">
                  <c:v>5.5492822853359186E-2</c:v>
                </c:pt>
                <c:pt idx="37">
                  <c:v>5.692500059119824E-2</c:v>
                </c:pt>
                <c:pt idx="38">
                  <c:v>5.7236857663111596E-2</c:v>
                </c:pt>
                <c:pt idx="39">
                  <c:v>5.7236857663111596E-2</c:v>
                </c:pt>
                <c:pt idx="40">
                  <c:v>5.8502021897982828E-2</c:v>
                </c:pt>
                <c:pt idx="41">
                  <c:v>5.1722456073970725E-2</c:v>
                </c:pt>
                <c:pt idx="42">
                  <c:v>2.8594780901932036E-2</c:v>
                </c:pt>
                <c:pt idx="43">
                  <c:v>3.483044434459763E-2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27-42FC-AD95-E9562B98AAE7}"/>
            </c:ext>
          </c:extLst>
        </c:ser>
        <c:ser>
          <c:idx val="3"/>
          <c:order val="3"/>
          <c:tx>
            <c:strRef>
              <c:f>ROI!$K$1</c:f>
              <c:strCache>
                <c:ptCount val="1"/>
                <c:pt idx="0">
                  <c:v>ROI Acciones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ROI!$A$2:$A$985</c:f>
              <c:numCache>
                <c:formatCode>d\-mmm</c:formatCode>
                <c:ptCount val="984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</c:numCache>
            </c:numRef>
          </c:xVal>
          <c:yVal>
            <c:numRef>
              <c:f>ROI!$K$2:$K$985</c:f>
              <c:numCache>
                <c:formatCode>0.00%</c:formatCode>
                <c:ptCount val="984"/>
                <c:pt idx="0">
                  <c:v>0</c:v>
                </c:pt>
                <c:pt idx="1">
                  <c:v>-5.801351560335851E-4</c:v>
                </c:pt>
                <c:pt idx="2">
                  <c:v>-3.1357242788141995E-3</c:v>
                </c:pt>
                <c:pt idx="3">
                  <c:v>-1.3071785908239436E-3</c:v>
                </c:pt>
                <c:pt idx="4">
                  <c:v>-1.3071785908239436E-3</c:v>
                </c:pt>
                <c:pt idx="5">
                  <c:v>-1.9173234933411356E-2</c:v>
                </c:pt>
                <c:pt idx="6">
                  <c:v>-6.0635751252477782E-3</c:v>
                </c:pt>
                <c:pt idx="7">
                  <c:v>-7.2054745746254617E-3</c:v>
                </c:pt>
                <c:pt idx="8">
                  <c:v>-1.4644087912561669E-3</c:v>
                </c:pt>
                <c:pt idx="9">
                  <c:v>-1.7945757762122488E-3</c:v>
                </c:pt>
                <c:pt idx="10">
                  <c:v>6.6106873248958711E-3</c:v>
                </c:pt>
                <c:pt idx="11">
                  <c:v>1.9213088340544266E-2</c:v>
                </c:pt>
                <c:pt idx="12">
                  <c:v>1.7277806789450938E-2</c:v>
                </c:pt>
                <c:pt idx="13">
                  <c:v>8.074710428737375E-2</c:v>
                </c:pt>
                <c:pt idx="14">
                  <c:v>8.8724004042452828E-2</c:v>
                </c:pt>
                <c:pt idx="15">
                  <c:v>9.0014979374138923E-2</c:v>
                </c:pt>
                <c:pt idx="16">
                  <c:v>9.4358386471449091E-2</c:v>
                </c:pt>
                <c:pt idx="17">
                  <c:v>0.11338123783937352</c:v>
                </c:pt>
                <c:pt idx="18">
                  <c:v>0.11338123783937352</c:v>
                </c:pt>
                <c:pt idx="19">
                  <c:v>0.12157258253041713</c:v>
                </c:pt>
                <c:pt idx="20">
                  <c:v>0.13159047685839526</c:v>
                </c:pt>
                <c:pt idx="21">
                  <c:v>0.11852010508939045</c:v>
                </c:pt>
                <c:pt idx="22">
                  <c:v>0.11358945401709754</c:v>
                </c:pt>
                <c:pt idx="23">
                  <c:v>0.11495653032379173</c:v>
                </c:pt>
                <c:pt idx="24">
                  <c:v>0.12578054587500753</c:v>
                </c:pt>
                <c:pt idx="25">
                  <c:v>0.12777469798488747</c:v>
                </c:pt>
                <c:pt idx="26">
                  <c:v>0.12777469798488747</c:v>
                </c:pt>
                <c:pt idx="27">
                  <c:v>0.11343636589234259</c:v>
                </c:pt>
                <c:pt idx="28">
                  <c:v>0.12621593388215721</c:v>
                </c:pt>
                <c:pt idx="29">
                  <c:v>0.10859554610877929</c:v>
                </c:pt>
                <c:pt idx="30">
                  <c:v>9.6351015108847429E-2</c:v>
                </c:pt>
                <c:pt idx="31">
                  <c:v>0.17907265194264299</c:v>
                </c:pt>
                <c:pt idx="32">
                  <c:v>0.11292187348273131</c:v>
                </c:pt>
                <c:pt idx="33">
                  <c:v>0.14224602641980352</c:v>
                </c:pt>
                <c:pt idx="34">
                  <c:v>0.13713119845782559</c:v>
                </c:pt>
                <c:pt idx="35">
                  <c:v>0.12989834453639457</c:v>
                </c:pt>
                <c:pt idx="36">
                  <c:v>0.14001641365370848</c:v>
                </c:pt>
                <c:pt idx="37">
                  <c:v>0.1454377142158394</c:v>
                </c:pt>
                <c:pt idx="38">
                  <c:v>0.14953613140129965</c:v>
                </c:pt>
                <c:pt idx="39">
                  <c:v>0.14953613140129965</c:v>
                </c:pt>
                <c:pt idx="40">
                  <c:v>0.15151346165603902</c:v>
                </c:pt>
                <c:pt idx="41">
                  <c:v>0.14525934997068843</c:v>
                </c:pt>
                <c:pt idx="42">
                  <c:v>9.4888974964844164E-2</c:v>
                </c:pt>
                <c:pt idx="43">
                  <c:v>9.6855454254465886E-2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27-42FC-AD95-E9562B98AAE7}"/>
            </c:ext>
          </c:extLst>
        </c:ser>
        <c:ser>
          <c:idx val="4"/>
          <c:order val="4"/>
          <c:tx>
            <c:strRef>
              <c:f>ROI!$BR$1</c:f>
              <c:strCache>
                <c:ptCount val="1"/>
                <c:pt idx="0">
                  <c:v>ROI TPM</c:v>
                </c:pt>
              </c:strCache>
            </c:strRef>
          </c:tx>
          <c:spPr>
            <a:ln w="25400" cap="rnd">
              <a:solidFill>
                <a:schemeClr val="accent3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ROI!$A$2:$A$985</c:f>
              <c:numCache>
                <c:formatCode>d\-mmm</c:formatCode>
                <c:ptCount val="984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</c:numCache>
            </c:numRef>
          </c:xVal>
          <c:yVal>
            <c:numRef>
              <c:f>ROI!$BR$2:$BR$985</c:f>
              <c:numCache>
                <c:formatCode>0.0%</c:formatCode>
                <c:ptCount val="984"/>
                <c:pt idx="0">
                  <c:v>0</c:v>
                </c:pt>
                <c:pt idx="1">
                  <c:v>2.2602739726025335E-4</c:v>
                </c:pt>
                <c:pt idx="2">
                  <c:v>4.5210588290487406E-4</c:v>
                </c:pt>
                <c:pt idx="3">
                  <c:v>6.7823546848117639E-4</c:v>
                </c:pt>
                <c:pt idx="4">
                  <c:v>9.0441616553917472E-4</c:v>
                </c:pt>
                <c:pt idx="5">
                  <c:v>1.8096502996790774E-3</c:v>
                </c:pt>
                <c:pt idx="6">
                  <c:v>2.0360867274865769E-3</c:v>
                </c:pt>
                <c:pt idx="7">
                  <c:v>2.7157031422034095E-3</c:v>
                </c:pt>
                <c:pt idx="8">
                  <c:v>3.3957804968775917E-3</c:v>
                </c:pt>
                <c:pt idx="9">
                  <c:v>3.6225754335652027E-3</c:v>
                </c:pt>
                <c:pt idx="10">
                  <c:v>4.5302679148875313E-3</c:v>
                </c:pt>
                <c:pt idx="11">
                  <c:v>4.7573192768135186E-3</c:v>
                </c:pt>
                <c:pt idx="12">
                  <c:v>5.755591191653764E-3</c:v>
                </c:pt>
                <c:pt idx="13">
                  <c:v>8.3557423870090023E-3</c:v>
                </c:pt>
                <c:pt idx="14">
                  <c:v>8.756361849089558E-3</c:v>
                </c:pt>
                <c:pt idx="15">
                  <c:v>9.1571404771734425E-3</c:v>
                </c:pt>
                <c:pt idx="16">
                  <c:v>9.3575894982271274E-3</c:v>
                </c:pt>
                <c:pt idx="17">
                  <c:v>9.7586069938924418E-3</c:v>
                </c:pt>
                <c:pt idx="18">
                  <c:v>9.9591754843227423E-3</c:v>
                </c:pt>
                <c:pt idx="19">
                  <c:v>1.0159783813699761E-2</c:v>
                </c:pt>
                <c:pt idx="20">
                  <c:v>1.0360431989936671E-2</c:v>
                </c:pt>
                <c:pt idx="21">
                  <c:v>1.0561120020948351E-2</c:v>
                </c:pt>
                <c:pt idx="22">
                  <c:v>1.0761847914651099E-2</c:v>
                </c:pt>
                <c:pt idx="23">
                  <c:v>1.0962615678962919E-2</c:v>
                </c:pt>
                <c:pt idx="24">
                  <c:v>1.1967052836894965E-2</c:v>
                </c:pt>
                <c:pt idx="25">
                  <c:v>1.2168059991225562E-2</c:v>
                </c:pt>
                <c:pt idx="26">
                  <c:v>1.2369107071634744E-2</c:v>
                </c:pt>
                <c:pt idx="27">
                  <c:v>1.2972487948646859E-2</c:v>
                </c:pt>
                <c:pt idx="28">
                  <c:v>1.3173694812691395E-2</c:v>
                </c:pt>
                <c:pt idx="29">
                  <c:v>1.337494164248298E-2</c:v>
                </c:pt>
                <c:pt idx="30">
                  <c:v>1.3576228445959942E-2</c:v>
                </c:pt>
                <c:pt idx="31">
                  <c:v>1.4381775555544464E-2</c:v>
                </c:pt>
                <c:pt idx="32">
                  <c:v>1.4583262346579459E-2</c:v>
                </c:pt>
                <c:pt idx="33">
                  <c:v>1.4784789158963321E-2</c:v>
                </c:pt>
                <c:pt idx="34">
                  <c:v>1.5187962879577127E-2</c:v>
                </c:pt>
                <c:pt idx="35">
                  <c:v>1.5389609803710727E-2</c:v>
                </c:pt>
                <c:pt idx="36">
                  <c:v>1.5591296781000494E-2</c:v>
                </c:pt>
                <c:pt idx="37">
                  <c:v>1.6196598111372112E-2</c:v>
                </c:pt>
                <c:pt idx="38">
                  <c:v>1.6398445380859952E-2</c:v>
                </c:pt>
                <c:pt idx="39">
                  <c:v>1.6802260206651595E-2</c:v>
                </c:pt>
                <c:pt idx="40">
                  <c:v>1.7206235467963609E-2</c:v>
                </c:pt>
                <c:pt idx="41">
                  <c:v>1.740828328185785E-2</c:v>
                </c:pt>
                <c:pt idx="42">
                  <c:v>1.7770680141243958E-2</c:v>
                </c:pt>
                <c:pt idx="43">
                  <c:v>1.8133206084976764E-2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F5-45A6-9043-86784C06A3F5}"/>
            </c:ext>
          </c:extLst>
        </c:ser>
        <c:ser>
          <c:idx val="5"/>
          <c:order val="5"/>
          <c:tx>
            <c:strRef>
              <c:f>ROI!$BT$1</c:f>
              <c:strCache>
                <c:ptCount val="1"/>
                <c:pt idx="0">
                  <c:v>ROI CLFCLP</c:v>
                </c:pt>
              </c:strCache>
            </c:strRef>
          </c:tx>
          <c:spPr>
            <a:ln w="25400" cap="rnd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ROI!$A$2:$A$985</c:f>
              <c:numCache>
                <c:formatCode>d\-mmm</c:formatCode>
                <c:ptCount val="984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</c:numCache>
            </c:numRef>
          </c:xVal>
          <c:yVal>
            <c:numRef>
              <c:f>ROI!$BT$2:$BT$985</c:f>
              <c:numCache>
                <c:formatCode>0.0%</c:formatCode>
                <c:ptCount val="984"/>
                <c:pt idx="0">
                  <c:v>0</c:v>
                </c:pt>
                <c:pt idx="1">
                  <c:v>-1.616756103660956E-4</c:v>
                </c:pt>
                <c:pt idx="2">
                  <c:v>-3.2335122073238857E-4</c:v>
                </c:pt>
                <c:pt idx="3">
                  <c:v>-4.850268310984842E-4</c:v>
                </c:pt>
                <c:pt idx="4">
                  <c:v>-6.4670244146457982E-4</c:v>
                </c:pt>
                <c:pt idx="5">
                  <c:v>-1.2925910795211107E-3</c:v>
                </c:pt>
                <c:pt idx="6">
                  <c:v>-1.4542666898872062E-3</c:v>
                </c:pt>
                <c:pt idx="7">
                  <c:v>-1.9384797175776415E-3</c:v>
                </c:pt>
                <c:pt idx="8">
                  <c:v>-2.4224214774655911E-3</c:v>
                </c:pt>
                <c:pt idx="9">
                  <c:v>-2.583825820029004E-3</c:v>
                </c:pt>
                <c:pt idx="10">
                  <c:v>-3.2286293868751975E-3</c:v>
                </c:pt>
                <c:pt idx="11">
                  <c:v>-3.3897624616359271E-3</c:v>
                </c:pt>
                <c:pt idx="12">
                  <c:v>-4.1951565676376819E-3</c:v>
                </c:pt>
                <c:pt idx="13">
                  <c:v>-3.0835011124694086E-3</c:v>
                </c:pt>
                <c:pt idx="14">
                  <c:v>-2.6038996374235968E-3</c:v>
                </c:pt>
                <c:pt idx="15">
                  <c:v>-2.1237556267724197E-3</c:v>
                </c:pt>
                <c:pt idx="16">
                  <c:v>-1.8836836214469297E-3</c:v>
                </c:pt>
                <c:pt idx="17">
                  <c:v>-1.4035396107959495E-3</c:v>
                </c:pt>
                <c:pt idx="18">
                  <c:v>-1.1631963376677766E-3</c:v>
                </c:pt>
                <c:pt idx="19">
                  <c:v>-9.2285306453960354E-4</c:v>
                </c:pt>
                <c:pt idx="20">
                  <c:v>-6.8250979141143051E-4</c:v>
                </c:pt>
                <c:pt idx="21">
                  <c:v>-4.4216651828325753E-4</c:v>
                </c:pt>
                <c:pt idx="22">
                  <c:v>-2.0182324515508456E-4</c:v>
                </c:pt>
                <c:pt idx="23">
                  <c:v>3.8791295775771417E-5</c:v>
                </c:pt>
                <c:pt idx="24">
                  <c:v>1.2421352682323394E-3</c:v>
                </c:pt>
                <c:pt idx="25">
                  <c:v>1.4830210769656812E-3</c:v>
                </c:pt>
                <c:pt idx="26">
                  <c:v>1.7239068856990227E-3</c:v>
                </c:pt>
                <c:pt idx="27">
                  <c:v>2.3518918487822268E-3</c:v>
                </c:pt>
                <c:pt idx="28">
                  <c:v>2.5453057920557182E-3</c:v>
                </c:pt>
                <c:pt idx="29">
                  <c:v>2.7387197353294064E-3</c:v>
                </c:pt>
                <c:pt idx="30">
                  <c:v>2.9324049464055806E-3</c:v>
                </c:pt>
                <c:pt idx="31">
                  <c:v>3.7066032551051082E-3</c:v>
                </c:pt>
                <c:pt idx="32">
                  <c:v>3.9002884661812824E-3</c:v>
                </c:pt>
                <c:pt idx="33">
                  <c:v>4.0942449450601399E-3</c:v>
                </c:pt>
                <c:pt idx="34">
                  <c:v>4.4818866350151707E-3</c:v>
                </c:pt>
                <c:pt idx="35">
                  <c:v>4.6755718460913444E-3</c:v>
                </c:pt>
                <c:pt idx="36">
                  <c:v>4.8695283249700046E-3</c:v>
                </c:pt>
                <c:pt idx="37">
                  <c:v>5.4513977616065757E-3</c:v>
                </c:pt>
                <c:pt idx="38">
                  <c:v>5.6453542404854328E-3</c:v>
                </c:pt>
                <c:pt idx="39">
                  <c:v>6.0335384660456324E-3</c:v>
                </c:pt>
                <c:pt idx="40">
                  <c:v>6.4219939594085153E-3</c:v>
                </c:pt>
                <c:pt idx="41">
                  <c:v>6.6162217060898578E-3</c:v>
                </c:pt>
                <c:pt idx="42">
                  <c:v>7.0046771994529385E-3</c:v>
                </c:pt>
                <c:pt idx="43">
                  <c:v>7.3934039606183069E-3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F5-45A6-9043-86784C06A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883615"/>
        <c:axId val="1103170623"/>
      </c:scatterChart>
      <c:valAx>
        <c:axId val="1343883615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03170623"/>
        <c:crosses val="autoZero"/>
        <c:crossBetween val="midCat"/>
      </c:valAx>
      <c:valAx>
        <c:axId val="1103170623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343883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431310792033347E-2"/>
          <c:y val="0.93257794313886333"/>
          <c:w val="0.9"/>
          <c:h val="5.96182698737978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sz="2000" b="1" baseline="0"/>
              <a:t>Health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ROI!$AG$1</c:f>
              <c:strCache>
                <c:ptCount val="1"/>
                <c:pt idx="0">
                  <c:v>Colchón Health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ROI!$A$13:$A$982</c:f>
              <c:numCache>
                <c:formatCode>d\-mmm</c:formatCode>
                <c:ptCount val="970"/>
                <c:pt idx="0">
                  <c:v>45321</c:v>
                </c:pt>
                <c:pt idx="1">
                  <c:v>45326</c:v>
                </c:pt>
                <c:pt idx="2">
                  <c:v>45339</c:v>
                </c:pt>
                <c:pt idx="3">
                  <c:v>45341</c:v>
                </c:pt>
                <c:pt idx="4">
                  <c:v>45343</c:v>
                </c:pt>
                <c:pt idx="5">
                  <c:v>45344</c:v>
                </c:pt>
                <c:pt idx="6">
                  <c:v>45346</c:v>
                </c:pt>
                <c:pt idx="7">
                  <c:v>45347</c:v>
                </c:pt>
                <c:pt idx="8">
                  <c:v>45348</c:v>
                </c:pt>
                <c:pt idx="9">
                  <c:v>45349</c:v>
                </c:pt>
                <c:pt idx="10">
                  <c:v>45350</c:v>
                </c:pt>
                <c:pt idx="11">
                  <c:v>45351</c:v>
                </c:pt>
                <c:pt idx="12">
                  <c:v>45352</c:v>
                </c:pt>
                <c:pt idx="13">
                  <c:v>45357</c:v>
                </c:pt>
                <c:pt idx="14">
                  <c:v>45358</c:v>
                </c:pt>
                <c:pt idx="15">
                  <c:v>45359</c:v>
                </c:pt>
                <c:pt idx="16">
                  <c:v>45362</c:v>
                </c:pt>
                <c:pt idx="17">
                  <c:v>45363</c:v>
                </c:pt>
                <c:pt idx="18">
                  <c:v>45364</c:v>
                </c:pt>
                <c:pt idx="19">
                  <c:v>45365</c:v>
                </c:pt>
                <c:pt idx="20">
                  <c:v>45369</c:v>
                </c:pt>
                <c:pt idx="21">
                  <c:v>45370</c:v>
                </c:pt>
                <c:pt idx="22">
                  <c:v>45371</c:v>
                </c:pt>
                <c:pt idx="23">
                  <c:v>45373</c:v>
                </c:pt>
                <c:pt idx="24">
                  <c:v>45374</c:v>
                </c:pt>
                <c:pt idx="25">
                  <c:v>45375</c:v>
                </c:pt>
                <c:pt idx="26">
                  <c:v>45378</c:v>
                </c:pt>
                <c:pt idx="27">
                  <c:v>45379</c:v>
                </c:pt>
                <c:pt idx="28">
                  <c:v>45381</c:v>
                </c:pt>
                <c:pt idx="29">
                  <c:v>45383</c:v>
                </c:pt>
                <c:pt idx="30">
                  <c:v>45384</c:v>
                </c:pt>
                <c:pt idx="31">
                  <c:v>45386</c:v>
                </c:pt>
                <c:pt idx="32">
                  <c:v>45388</c:v>
                </c:pt>
              </c:numCache>
            </c:numRef>
          </c:xVal>
          <c:yVal>
            <c:numRef>
              <c:f>ROI!$AG$13:$AG$982</c:f>
              <c:numCache>
                <c:formatCode>0%</c:formatCode>
                <c:ptCount val="970"/>
                <c:pt idx="0">
                  <c:v>-6.3723106251327702E-3</c:v>
                </c:pt>
                <c:pt idx="1">
                  <c:v>5.9407039673970465E-2</c:v>
                </c:pt>
                <c:pt idx="2">
                  <c:v>0.12786831203110116</c:v>
                </c:pt>
                <c:pt idx="3">
                  <c:v>0.1474593734646111</c:v>
                </c:pt>
                <c:pt idx="4">
                  <c:v>0.13893489523315056</c:v>
                </c:pt>
                <c:pt idx="5">
                  <c:v>0.15149202185545182</c:v>
                </c:pt>
                <c:pt idx="6">
                  <c:v>0.19765362961477237</c:v>
                </c:pt>
                <c:pt idx="7">
                  <c:v>0.16715256237798273</c:v>
                </c:pt>
                <c:pt idx="8">
                  <c:v>0.10979177683488607</c:v>
                </c:pt>
                <c:pt idx="9">
                  <c:v>0.22842096438869033</c:v>
                </c:pt>
                <c:pt idx="10">
                  <c:v>0.49384477804171761</c:v>
                </c:pt>
                <c:pt idx="11">
                  <c:v>0.59426859953754962</c:v>
                </c:pt>
                <c:pt idx="12">
                  <c:v>0.51444275149721552</c:v>
                </c:pt>
                <c:pt idx="13">
                  <c:v>1.4554210415606863</c:v>
                </c:pt>
                <c:pt idx="14">
                  <c:v>1.422295004687</c:v>
                </c:pt>
                <c:pt idx="15">
                  <c:v>1.2822580834607555</c:v>
                </c:pt>
                <c:pt idx="16">
                  <c:v>1.0533359770126793</c:v>
                </c:pt>
                <c:pt idx="17">
                  <c:v>1.1112842159601655</c:v>
                </c:pt>
                <c:pt idx="18">
                  <c:v>1.0704782576079255</c:v>
                </c:pt>
                <c:pt idx="19">
                  <c:v>0.16246284576107889</c:v>
                </c:pt>
                <c:pt idx="20">
                  <c:v>-4.4849906912113185E-2</c:v>
                </c:pt>
                <c:pt idx="21">
                  <c:v>-8.0832042483734282E-2</c:v>
                </c:pt>
                <c:pt idx="22">
                  <c:v>-0.25880296079550535</c:v>
                </c:pt>
                <c:pt idx="23">
                  <c:v>-0.69852923890217233</c:v>
                </c:pt>
                <c:pt idx="24">
                  <c:v>-0.81061493918735439</c:v>
                </c:pt>
                <c:pt idx="25">
                  <c:v>-0.88973250853950847</c:v>
                </c:pt>
                <c:pt idx="26">
                  <c:v>-0.98552953312164193</c:v>
                </c:pt>
                <c:pt idx="27">
                  <c:v>-1.0307499318864002</c:v>
                </c:pt>
                <c:pt idx="28">
                  <c:v>-1.3966601588847372</c:v>
                </c:pt>
                <c:pt idx="29">
                  <c:v>-1.2979743834911919</c:v>
                </c:pt>
                <c:pt idx="30">
                  <c:v>-1.2476397273100708</c:v>
                </c:pt>
                <c:pt idx="31">
                  <c:v>-1.2345091988362709</c:v>
                </c:pt>
                <c:pt idx="32">
                  <c:v>-1.4596682237520802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B2-456F-AB42-0057C41C5F94}"/>
            </c:ext>
          </c:extLst>
        </c:ser>
        <c:ser>
          <c:idx val="1"/>
          <c:order val="1"/>
          <c:tx>
            <c:strRef>
              <c:f>ROI!$AH$1</c:f>
              <c:strCache>
                <c:ptCount val="1"/>
                <c:pt idx="0">
                  <c:v>Fondo A Health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ROI!$A$13:$A$982</c:f>
              <c:numCache>
                <c:formatCode>d\-mmm</c:formatCode>
                <c:ptCount val="970"/>
                <c:pt idx="0">
                  <c:v>45321</c:v>
                </c:pt>
                <c:pt idx="1">
                  <c:v>45326</c:v>
                </c:pt>
                <c:pt idx="2">
                  <c:v>45339</c:v>
                </c:pt>
                <c:pt idx="3">
                  <c:v>45341</c:v>
                </c:pt>
                <c:pt idx="4">
                  <c:v>45343</c:v>
                </c:pt>
                <c:pt idx="5">
                  <c:v>45344</c:v>
                </c:pt>
                <c:pt idx="6">
                  <c:v>45346</c:v>
                </c:pt>
                <c:pt idx="7">
                  <c:v>45347</c:v>
                </c:pt>
                <c:pt idx="8">
                  <c:v>45348</c:v>
                </c:pt>
                <c:pt idx="9">
                  <c:v>45349</c:v>
                </c:pt>
                <c:pt idx="10">
                  <c:v>45350</c:v>
                </c:pt>
                <c:pt idx="11">
                  <c:v>45351</c:v>
                </c:pt>
                <c:pt idx="12">
                  <c:v>45352</c:v>
                </c:pt>
                <c:pt idx="13">
                  <c:v>45357</c:v>
                </c:pt>
                <c:pt idx="14">
                  <c:v>45358</c:v>
                </c:pt>
                <c:pt idx="15">
                  <c:v>45359</c:v>
                </c:pt>
                <c:pt idx="16">
                  <c:v>45362</c:v>
                </c:pt>
                <c:pt idx="17">
                  <c:v>45363</c:v>
                </c:pt>
                <c:pt idx="18">
                  <c:v>45364</c:v>
                </c:pt>
                <c:pt idx="19">
                  <c:v>45365</c:v>
                </c:pt>
                <c:pt idx="20">
                  <c:v>45369</c:v>
                </c:pt>
                <c:pt idx="21">
                  <c:v>45370</c:v>
                </c:pt>
                <c:pt idx="22">
                  <c:v>45371</c:v>
                </c:pt>
                <c:pt idx="23">
                  <c:v>45373</c:v>
                </c:pt>
                <c:pt idx="24">
                  <c:v>45374</c:v>
                </c:pt>
                <c:pt idx="25">
                  <c:v>45375</c:v>
                </c:pt>
                <c:pt idx="26">
                  <c:v>45378</c:v>
                </c:pt>
                <c:pt idx="27">
                  <c:v>45379</c:v>
                </c:pt>
                <c:pt idx="28">
                  <c:v>45381</c:v>
                </c:pt>
                <c:pt idx="29">
                  <c:v>45383</c:v>
                </c:pt>
                <c:pt idx="30">
                  <c:v>45384</c:v>
                </c:pt>
                <c:pt idx="31">
                  <c:v>45386</c:v>
                </c:pt>
                <c:pt idx="32">
                  <c:v>45388</c:v>
                </c:pt>
              </c:numCache>
            </c:numRef>
          </c:xVal>
          <c:yVal>
            <c:numRef>
              <c:f>ROI!$AH$13:$AH$982</c:f>
              <c:numCache>
                <c:formatCode>0%</c:formatCode>
                <c:ptCount val="970"/>
                <c:pt idx="0">
                  <c:v>-1.1247052235415115E-2</c:v>
                </c:pt>
                <c:pt idx="1">
                  <c:v>-5.2553809536926038E-2</c:v>
                </c:pt>
                <c:pt idx="2">
                  <c:v>9.0032703876538361E-2</c:v>
                </c:pt>
                <c:pt idx="3">
                  <c:v>0.11855451455095303</c:v>
                </c:pt>
                <c:pt idx="4">
                  <c:v>0.14537522090328184</c:v>
                </c:pt>
                <c:pt idx="5">
                  <c:v>0.18002342653732248</c:v>
                </c:pt>
                <c:pt idx="6">
                  <c:v>0.23536742582080716</c:v>
                </c:pt>
                <c:pt idx="7">
                  <c:v>0.35138631832973977</c:v>
                </c:pt>
                <c:pt idx="8">
                  <c:v>0.52112122019804363</c:v>
                </c:pt>
                <c:pt idx="9">
                  <c:v>0.63727477426398504</c:v>
                </c:pt>
                <c:pt idx="10">
                  <c:v>0.76543384236961509</c:v>
                </c:pt>
                <c:pt idx="11">
                  <c:v>0.79110768413243471</c:v>
                </c:pt>
                <c:pt idx="12">
                  <c:v>0.40461841987803621</c:v>
                </c:pt>
                <c:pt idx="13">
                  <c:v>-5.9236149249163872E-2</c:v>
                </c:pt>
                <c:pt idx="14">
                  <c:v>3.4958509278527748E-2</c:v>
                </c:pt>
                <c:pt idx="15">
                  <c:v>8.3646076075203801E-2</c:v>
                </c:pt>
                <c:pt idx="16">
                  <c:v>-0.45148969095596864</c:v>
                </c:pt>
                <c:pt idx="17">
                  <c:v>-0.59902893362753118</c:v>
                </c:pt>
                <c:pt idx="18">
                  <c:v>-0.59395745522005816</c:v>
                </c:pt>
                <c:pt idx="19">
                  <c:v>-0.8050484745956682</c:v>
                </c:pt>
                <c:pt idx="20">
                  <c:v>-1.1760868822175827</c:v>
                </c:pt>
                <c:pt idx="21">
                  <c:v>-1.3967833328617869</c:v>
                </c:pt>
                <c:pt idx="22">
                  <c:v>-1.1853430528631559</c:v>
                </c:pt>
                <c:pt idx="23">
                  <c:v>-1.1340958714563101</c:v>
                </c:pt>
                <c:pt idx="24">
                  <c:v>-1.088398183357234</c:v>
                </c:pt>
                <c:pt idx="25">
                  <c:v>-1.0761695155476576</c:v>
                </c:pt>
                <c:pt idx="26">
                  <c:v>-0.68626796117526312</c:v>
                </c:pt>
                <c:pt idx="27">
                  <c:v>-0.65563474248223974</c:v>
                </c:pt>
                <c:pt idx="28">
                  <c:v>-0.46305620236758005</c:v>
                </c:pt>
                <c:pt idx="29">
                  <c:v>-0.14230083306727939</c:v>
                </c:pt>
                <c:pt idx="30">
                  <c:v>5.4301455913574534E-2</c:v>
                </c:pt>
                <c:pt idx="31">
                  <c:v>-0.11248251093254069</c:v>
                </c:pt>
                <c:pt idx="32">
                  <c:v>-0.4714916340257555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B2-456F-AB42-0057C41C5F94}"/>
            </c:ext>
          </c:extLst>
        </c:ser>
        <c:ser>
          <c:idx val="2"/>
          <c:order val="2"/>
          <c:tx>
            <c:strRef>
              <c:f>ROI!$AI$1</c:f>
              <c:strCache>
                <c:ptCount val="1"/>
                <c:pt idx="0">
                  <c:v>APV Health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ROI!$A$13:$A$982</c:f>
              <c:numCache>
                <c:formatCode>d\-mmm</c:formatCode>
                <c:ptCount val="970"/>
                <c:pt idx="0">
                  <c:v>45321</c:v>
                </c:pt>
                <c:pt idx="1">
                  <c:v>45326</c:v>
                </c:pt>
                <c:pt idx="2">
                  <c:v>45339</c:v>
                </c:pt>
                <c:pt idx="3">
                  <c:v>45341</c:v>
                </c:pt>
                <c:pt idx="4">
                  <c:v>45343</c:v>
                </c:pt>
                <c:pt idx="5">
                  <c:v>45344</c:v>
                </c:pt>
                <c:pt idx="6">
                  <c:v>45346</c:v>
                </c:pt>
                <c:pt idx="7">
                  <c:v>45347</c:v>
                </c:pt>
                <c:pt idx="8">
                  <c:v>45348</c:v>
                </c:pt>
                <c:pt idx="9">
                  <c:v>45349</c:v>
                </c:pt>
                <c:pt idx="10">
                  <c:v>45350</c:v>
                </c:pt>
                <c:pt idx="11">
                  <c:v>45351</c:v>
                </c:pt>
                <c:pt idx="12">
                  <c:v>45352</c:v>
                </c:pt>
                <c:pt idx="13">
                  <c:v>45357</c:v>
                </c:pt>
                <c:pt idx="14">
                  <c:v>45358</c:v>
                </c:pt>
                <c:pt idx="15">
                  <c:v>45359</c:v>
                </c:pt>
                <c:pt idx="16">
                  <c:v>45362</c:v>
                </c:pt>
                <c:pt idx="17">
                  <c:v>45363</c:v>
                </c:pt>
                <c:pt idx="18">
                  <c:v>45364</c:v>
                </c:pt>
                <c:pt idx="19">
                  <c:v>45365</c:v>
                </c:pt>
                <c:pt idx="20">
                  <c:v>45369</c:v>
                </c:pt>
                <c:pt idx="21">
                  <c:v>45370</c:v>
                </c:pt>
                <c:pt idx="22">
                  <c:v>45371</c:v>
                </c:pt>
                <c:pt idx="23">
                  <c:v>45373</c:v>
                </c:pt>
                <c:pt idx="24">
                  <c:v>45374</c:v>
                </c:pt>
                <c:pt idx="25">
                  <c:v>45375</c:v>
                </c:pt>
                <c:pt idx="26">
                  <c:v>45378</c:v>
                </c:pt>
                <c:pt idx="27">
                  <c:v>45379</c:v>
                </c:pt>
                <c:pt idx="28">
                  <c:v>45381</c:v>
                </c:pt>
                <c:pt idx="29">
                  <c:v>45383</c:v>
                </c:pt>
                <c:pt idx="30">
                  <c:v>45384</c:v>
                </c:pt>
                <c:pt idx="31">
                  <c:v>45386</c:v>
                </c:pt>
                <c:pt idx="32">
                  <c:v>45388</c:v>
                </c:pt>
              </c:numCache>
            </c:numRef>
          </c:xVal>
          <c:yVal>
            <c:numRef>
              <c:f>ROI!$AI$13:$AI$982</c:f>
              <c:numCache>
                <c:formatCode>0%</c:formatCode>
                <c:ptCount val="970"/>
                <c:pt idx="0">
                  <c:v>-1.1622906099851877E-2</c:v>
                </c:pt>
                <c:pt idx="1">
                  <c:v>-4.7091833978774145E-2</c:v>
                </c:pt>
                <c:pt idx="2">
                  <c:v>8.2613407708493278E-2</c:v>
                </c:pt>
                <c:pt idx="3">
                  <c:v>0.11149245230384761</c:v>
                </c:pt>
                <c:pt idx="4">
                  <c:v>0.12485974269781053</c:v>
                </c:pt>
                <c:pt idx="5">
                  <c:v>0.14344995125285051</c:v>
                </c:pt>
                <c:pt idx="6">
                  <c:v>0.190857264147205</c:v>
                </c:pt>
                <c:pt idx="7">
                  <c:v>0.28717316484790673</c:v>
                </c:pt>
                <c:pt idx="8">
                  <c:v>0.36134312423332543</c:v>
                </c:pt>
                <c:pt idx="9">
                  <c:v>0.43508303599578324</c:v>
                </c:pt>
                <c:pt idx="10">
                  <c:v>0.55583718283501871</c:v>
                </c:pt>
                <c:pt idx="11">
                  <c:v>0.41029836523790669</c:v>
                </c:pt>
                <c:pt idx="12">
                  <c:v>-6.6259262191013191E-2</c:v>
                </c:pt>
                <c:pt idx="13">
                  <c:v>-0.4461881932976125</c:v>
                </c:pt>
                <c:pt idx="14">
                  <c:v>-0.31313305281740855</c:v>
                </c:pt>
                <c:pt idx="15">
                  <c:v>-0.25581085508070966</c:v>
                </c:pt>
                <c:pt idx="16">
                  <c:v>-0.71027181796639649</c:v>
                </c:pt>
                <c:pt idx="17">
                  <c:v>-0.73003960927886247</c:v>
                </c:pt>
                <c:pt idx="18">
                  <c:v>-0.69621979803008471</c:v>
                </c:pt>
                <c:pt idx="19">
                  <c:v>-0.80841004633951374</c:v>
                </c:pt>
                <c:pt idx="20">
                  <c:v>-1.1980701467430963</c:v>
                </c:pt>
                <c:pt idx="21">
                  <c:v>-1.4114219077739938</c:v>
                </c:pt>
                <c:pt idx="22">
                  <c:v>-1.2420018788295206</c:v>
                </c:pt>
                <c:pt idx="23">
                  <c:v>-1.2632729899522896</c:v>
                </c:pt>
                <c:pt idx="24">
                  <c:v>-1.2164009433015732</c:v>
                </c:pt>
                <c:pt idx="25">
                  <c:v>-1.2151500752888458</c:v>
                </c:pt>
                <c:pt idx="26">
                  <c:v>-0.93721098657459179</c:v>
                </c:pt>
                <c:pt idx="27">
                  <c:v>-0.96157399210755079</c:v>
                </c:pt>
                <c:pt idx="28">
                  <c:v>-0.747044715368818</c:v>
                </c:pt>
                <c:pt idx="29">
                  <c:v>-0.37842666984058682</c:v>
                </c:pt>
                <c:pt idx="30">
                  <c:v>-0.1851546826287474</c:v>
                </c:pt>
                <c:pt idx="31">
                  <c:v>-0.32833538135159057</c:v>
                </c:pt>
                <c:pt idx="32">
                  <c:v>-0.51208530266954677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EB2-456F-AB42-0057C41C5F94}"/>
            </c:ext>
          </c:extLst>
        </c:ser>
        <c:ser>
          <c:idx val="3"/>
          <c:order val="3"/>
          <c:tx>
            <c:strRef>
              <c:f>ROI!$AJ$1</c:f>
              <c:strCache>
                <c:ptCount val="1"/>
                <c:pt idx="0">
                  <c:v>Acciones Health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ROI!$A$13:$A$982</c:f>
              <c:numCache>
                <c:formatCode>d\-mmm</c:formatCode>
                <c:ptCount val="970"/>
                <c:pt idx="0">
                  <c:v>45321</c:v>
                </c:pt>
                <c:pt idx="1">
                  <c:v>45326</c:v>
                </c:pt>
                <c:pt idx="2">
                  <c:v>45339</c:v>
                </c:pt>
                <c:pt idx="3">
                  <c:v>45341</c:v>
                </c:pt>
                <c:pt idx="4">
                  <c:v>45343</c:v>
                </c:pt>
                <c:pt idx="5">
                  <c:v>45344</c:v>
                </c:pt>
                <c:pt idx="6">
                  <c:v>45346</c:v>
                </c:pt>
                <c:pt idx="7">
                  <c:v>45347</c:v>
                </c:pt>
                <c:pt idx="8">
                  <c:v>45348</c:v>
                </c:pt>
                <c:pt idx="9">
                  <c:v>45349</c:v>
                </c:pt>
                <c:pt idx="10">
                  <c:v>45350</c:v>
                </c:pt>
                <c:pt idx="11">
                  <c:v>45351</c:v>
                </c:pt>
                <c:pt idx="12">
                  <c:v>45352</c:v>
                </c:pt>
                <c:pt idx="13">
                  <c:v>45357</c:v>
                </c:pt>
                <c:pt idx="14">
                  <c:v>45358</c:v>
                </c:pt>
                <c:pt idx="15">
                  <c:v>45359</c:v>
                </c:pt>
                <c:pt idx="16">
                  <c:v>45362</c:v>
                </c:pt>
                <c:pt idx="17">
                  <c:v>45363</c:v>
                </c:pt>
                <c:pt idx="18">
                  <c:v>45364</c:v>
                </c:pt>
                <c:pt idx="19">
                  <c:v>45365</c:v>
                </c:pt>
                <c:pt idx="20">
                  <c:v>45369</c:v>
                </c:pt>
                <c:pt idx="21">
                  <c:v>45370</c:v>
                </c:pt>
                <c:pt idx="22">
                  <c:v>45371</c:v>
                </c:pt>
                <c:pt idx="23">
                  <c:v>45373</c:v>
                </c:pt>
                <c:pt idx="24">
                  <c:v>45374</c:v>
                </c:pt>
                <c:pt idx="25">
                  <c:v>45375</c:v>
                </c:pt>
                <c:pt idx="26">
                  <c:v>45378</c:v>
                </c:pt>
                <c:pt idx="27">
                  <c:v>45379</c:v>
                </c:pt>
                <c:pt idx="28">
                  <c:v>45381</c:v>
                </c:pt>
                <c:pt idx="29">
                  <c:v>45383</c:v>
                </c:pt>
                <c:pt idx="30">
                  <c:v>45384</c:v>
                </c:pt>
                <c:pt idx="31">
                  <c:v>45386</c:v>
                </c:pt>
                <c:pt idx="32">
                  <c:v>45388</c:v>
                </c:pt>
              </c:numCache>
            </c:numRef>
          </c:xVal>
          <c:yVal>
            <c:numRef>
              <c:f>ROI!$AJ$13:$AJ$982</c:f>
              <c:numCache>
                <c:formatCode>0%</c:formatCode>
                <c:ptCount val="970"/>
                <c:pt idx="0">
                  <c:v>6.3504263507764124E-3</c:v>
                </c:pt>
                <c:pt idx="1">
                  <c:v>6.0257557698114597E-2</c:v>
                </c:pt>
                <c:pt idx="2">
                  <c:v>0.12150797839614304</c:v>
                </c:pt>
                <c:pt idx="3">
                  <c:v>0.1409380919549332</c:v>
                </c:pt>
                <c:pt idx="4">
                  <c:v>0.18330227899163773</c:v>
                </c:pt>
                <c:pt idx="5">
                  <c:v>0.22761248559372918</c:v>
                </c:pt>
                <c:pt idx="6">
                  <c:v>0.27388725179157886</c:v>
                </c:pt>
                <c:pt idx="7">
                  <c:v>0.31999527348532653</c:v>
                </c:pt>
                <c:pt idx="8">
                  <c:v>0.59998393587400967</c:v>
                </c:pt>
                <c:pt idx="9">
                  <c:v>0.77933721469849226</c:v>
                </c:pt>
                <c:pt idx="10">
                  <c:v>0.84014300604261627</c:v>
                </c:pt>
                <c:pt idx="11">
                  <c:v>1.0080364862718971</c:v>
                </c:pt>
                <c:pt idx="12">
                  <c:v>1.0155929309440979</c:v>
                </c:pt>
                <c:pt idx="13">
                  <c:v>0.53867983464319513</c:v>
                </c:pt>
                <c:pt idx="14">
                  <c:v>0.47647891729500536</c:v>
                </c:pt>
                <c:pt idx="15">
                  <c:v>0.34996890042420664</c:v>
                </c:pt>
                <c:pt idx="16">
                  <c:v>-0.16374590332466818</c:v>
                </c:pt>
                <c:pt idx="17">
                  <c:v>-0.38131009449415515</c:v>
                </c:pt>
                <c:pt idx="18">
                  <c:v>-0.54890124427680276</c:v>
                </c:pt>
                <c:pt idx="19">
                  <c:v>-1.0615100084925508</c:v>
                </c:pt>
                <c:pt idx="20">
                  <c:v>-0.72046857081997129</c:v>
                </c:pt>
                <c:pt idx="21">
                  <c:v>-0.79902147934433365</c:v>
                </c:pt>
                <c:pt idx="22">
                  <c:v>-0.51687119378476976</c:v>
                </c:pt>
                <c:pt idx="23">
                  <c:v>-0.5301148043371976</c:v>
                </c:pt>
                <c:pt idx="24">
                  <c:v>-0.4896722635437401</c:v>
                </c:pt>
                <c:pt idx="25">
                  <c:v>-0.39354246240431845</c:v>
                </c:pt>
                <c:pt idx="26">
                  <c:v>-0.52718964855721806</c:v>
                </c:pt>
                <c:pt idx="27">
                  <c:v>-0.46834357980580715</c:v>
                </c:pt>
                <c:pt idx="28">
                  <c:v>-0.32079324879586368</c:v>
                </c:pt>
                <c:pt idx="29">
                  <c:v>-1.4990822329249864E-2</c:v>
                </c:pt>
                <c:pt idx="30">
                  <c:v>-0.16344281724978077</c:v>
                </c:pt>
                <c:pt idx="31">
                  <c:v>-0.34783610453321656</c:v>
                </c:pt>
                <c:pt idx="32">
                  <c:v>-0.80624396719777169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EB2-456F-AB42-0057C41C5F94}"/>
            </c:ext>
          </c:extLst>
        </c:ser>
        <c:ser>
          <c:idx val="4"/>
          <c:order val="4"/>
          <c:tx>
            <c:strRef>
              <c:f>ROI!$AK$1</c:f>
              <c:strCache>
                <c:ptCount val="1"/>
                <c:pt idx="0">
                  <c:v>Crypto Health</c:v>
                </c:pt>
              </c:strCache>
            </c:strRef>
          </c:tx>
          <c:spPr>
            <a:ln w="254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ROI!$A$13:$A$982</c:f>
              <c:numCache>
                <c:formatCode>d\-mmm</c:formatCode>
                <c:ptCount val="970"/>
                <c:pt idx="0">
                  <c:v>45321</c:v>
                </c:pt>
                <c:pt idx="1">
                  <c:v>45326</c:v>
                </c:pt>
                <c:pt idx="2">
                  <c:v>45339</c:v>
                </c:pt>
                <c:pt idx="3">
                  <c:v>45341</c:v>
                </c:pt>
                <c:pt idx="4">
                  <c:v>45343</c:v>
                </c:pt>
                <c:pt idx="5">
                  <c:v>45344</c:v>
                </c:pt>
                <c:pt idx="6">
                  <c:v>45346</c:v>
                </c:pt>
                <c:pt idx="7">
                  <c:v>45347</c:v>
                </c:pt>
                <c:pt idx="8">
                  <c:v>45348</c:v>
                </c:pt>
                <c:pt idx="9">
                  <c:v>45349</c:v>
                </c:pt>
                <c:pt idx="10">
                  <c:v>45350</c:v>
                </c:pt>
                <c:pt idx="11">
                  <c:v>45351</c:v>
                </c:pt>
                <c:pt idx="12">
                  <c:v>45352</c:v>
                </c:pt>
                <c:pt idx="13">
                  <c:v>45357</c:v>
                </c:pt>
                <c:pt idx="14">
                  <c:v>45358</c:v>
                </c:pt>
                <c:pt idx="15">
                  <c:v>45359</c:v>
                </c:pt>
                <c:pt idx="16">
                  <c:v>45362</c:v>
                </c:pt>
                <c:pt idx="17">
                  <c:v>45363</c:v>
                </c:pt>
                <c:pt idx="18">
                  <c:v>45364</c:v>
                </c:pt>
                <c:pt idx="19">
                  <c:v>45365</c:v>
                </c:pt>
                <c:pt idx="20">
                  <c:v>45369</c:v>
                </c:pt>
                <c:pt idx="21">
                  <c:v>45370</c:v>
                </c:pt>
                <c:pt idx="22">
                  <c:v>45371</c:v>
                </c:pt>
                <c:pt idx="23">
                  <c:v>45373</c:v>
                </c:pt>
                <c:pt idx="24">
                  <c:v>45374</c:v>
                </c:pt>
                <c:pt idx="25">
                  <c:v>45375</c:v>
                </c:pt>
                <c:pt idx="26">
                  <c:v>45378</c:v>
                </c:pt>
                <c:pt idx="27">
                  <c:v>45379</c:v>
                </c:pt>
                <c:pt idx="28">
                  <c:v>45381</c:v>
                </c:pt>
                <c:pt idx="29">
                  <c:v>45383</c:v>
                </c:pt>
                <c:pt idx="30">
                  <c:v>45384</c:v>
                </c:pt>
                <c:pt idx="31">
                  <c:v>45386</c:v>
                </c:pt>
                <c:pt idx="32">
                  <c:v>45388</c:v>
                </c:pt>
              </c:numCache>
            </c:numRef>
          </c:xVal>
          <c:yVal>
            <c:numRef>
              <c:f>ROI!$AK$13:$AK$982</c:f>
              <c:numCache>
                <c:formatCode>0%</c:formatCode>
                <c:ptCount val="970"/>
                <c:pt idx="0">
                  <c:v>-8.5335613086077785E-3</c:v>
                </c:pt>
                <c:pt idx="1">
                  <c:v>-7.154744585345825E-2</c:v>
                </c:pt>
                <c:pt idx="2">
                  <c:v>-0.10995877718656454</c:v>
                </c:pt>
                <c:pt idx="3">
                  <c:v>-0.11822462472021186</c:v>
                </c:pt>
                <c:pt idx="4">
                  <c:v>-0.10394449194720838</c:v>
                </c:pt>
                <c:pt idx="5">
                  <c:v>-0.10741128539110649</c:v>
                </c:pt>
                <c:pt idx="6">
                  <c:v>-5.6427653171268147E-2</c:v>
                </c:pt>
                <c:pt idx="7">
                  <c:v>2.4009937559599671E-2</c:v>
                </c:pt>
                <c:pt idx="8">
                  <c:v>0.33556321422488983</c:v>
                </c:pt>
                <c:pt idx="9">
                  <c:v>0.52608595642686407</c:v>
                </c:pt>
                <c:pt idx="10">
                  <c:v>0.74100448708135047</c:v>
                </c:pt>
                <c:pt idx="11">
                  <c:v>0.94603927786879027</c:v>
                </c:pt>
                <c:pt idx="12">
                  <c:v>1.2146415344929924</c:v>
                </c:pt>
                <c:pt idx="13">
                  <c:v>1.0176380607584399</c:v>
                </c:pt>
                <c:pt idx="14">
                  <c:v>1.0640225553215286</c:v>
                </c:pt>
                <c:pt idx="15">
                  <c:v>1.1060682671801536</c:v>
                </c:pt>
                <c:pt idx="16">
                  <c:v>0.96123283902476697</c:v>
                </c:pt>
                <c:pt idx="17">
                  <c:v>0.8690335461792551</c:v>
                </c:pt>
                <c:pt idx="18">
                  <c:v>0.74332132945143448</c:v>
                </c:pt>
                <c:pt idx="19">
                  <c:v>0.63979615760742925</c:v>
                </c:pt>
                <c:pt idx="20">
                  <c:v>-0.18616623956811987</c:v>
                </c:pt>
                <c:pt idx="21">
                  <c:v>-0.42378992229040241</c:v>
                </c:pt>
                <c:pt idx="22">
                  <c:v>-0.81205648910408224</c:v>
                </c:pt>
                <c:pt idx="23">
                  <c:v>-1.0430705978668211</c:v>
                </c:pt>
                <c:pt idx="24">
                  <c:v>-1.1883759123000586</c:v>
                </c:pt>
                <c:pt idx="25">
                  <c:v>-1.3060887812929933</c:v>
                </c:pt>
                <c:pt idx="26">
                  <c:v>-1.4322906791029812</c:v>
                </c:pt>
                <c:pt idx="27">
                  <c:v>-1.538917418586073</c:v>
                </c:pt>
                <c:pt idx="28">
                  <c:v>-1.6706021510909921</c:v>
                </c:pt>
                <c:pt idx="29">
                  <c:v>-1.9939881479356134</c:v>
                </c:pt>
                <c:pt idx="30">
                  <c:v>-2.2835934917448357</c:v>
                </c:pt>
                <c:pt idx="31">
                  <c:v>-2.6207963116829998</c:v>
                </c:pt>
                <c:pt idx="32">
                  <c:v>-3.1854242646779438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EB2-456F-AB42-0057C41C5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883615"/>
        <c:axId val="1103170623"/>
      </c:scatterChart>
      <c:valAx>
        <c:axId val="1343883615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03170623"/>
        <c:crosses val="autoZero"/>
        <c:crossBetween val="midCat"/>
      </c:valAx>
      <c:valAx>
        <c:axId val="1103170623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343883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Worth</a:t>
            </a:r>
          </a:p>
        </c:rich>
      </c:tx>
      <c:layout>
        <c:manualLayout>
          <c:xMode val="edge"/>
          <c:yMode val="edge"/>
          <c:x val="0.44245969815644792"/>
          <c:y val="2.41942099947234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NetWorth!$B$1</c:f>
              <c:strCache>
                <c:ptCount val="1"/>
                <c:pt idx="0">
                  <c:v>P&amp;L</c:v>
                </c:pt>
              </c:strCache>
            </c:strRef>
          </c:tx>
          <c:spPr>
            <a:ln w="28575" cap="rnd" cmpd="sng">
              <a:solidFill>
                <a:schemeClr val="accent6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x"/>
            <c:size val="4"/>
            <c:spPr>
              <a:noFill/>
              <a:ln w="9525">
                <a:solidFill>
                  <a:schemeClr val="tx1">
                    <a:lumMod val="75000"/>
                    <a:lumOff val="25000"/>
                  </a:schemeClr>
                </a:solidFill>
              </a:ln>
              <a:effectLst/>
            </c:spPr>
          </c:marker>
          <c:xVal>
            <c:numRef>
              <c:f>NetWorth!$A$2:$A$1313</c:f>
              <c:numCache>
                <c:formatCode>d\-mmm</c:formatCode>
                <c:ptCount val="1312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</c:numCache>
            </c:numRef>
          </c:xVal>
          <c:yVal>
            <c:numRef>
              <c:f>NetWorth!$B$2:$B$1313</c:f>
              <c:numCache>
                <c:formatCode>#,##0\ "CLP";[Red]\-\ #,##0\ "CLP"</c:formatCode>
                <c:ptCount val="1312"/>
                <c:pt idx="0">
                  <c:v>5637557.1965000005</c:v>
                </c:pt>
                <c:pt idx="1">
                  <c:v>5701005.8090000004</c:v>
                </c:pt>
                <c:pt idx="2">
                  <c:v>5689249.3000000007</c:v>
                </c:pt>
                <c:pt idx="3">
                  <c:v>5680517.282399999</c:v>
                </c:pt>
                <c:pt idx="4">
                  <c:v>5625729.4873999991</c:v>
                </c:pt>
                <c:pt idx="5">
                  <c:v>7312487.7278000005</c:v>
                </c:pt>
                <c:pt idx="6">
                  <c:v>7201349.3915999997</c:v>
                </c:pt>
                <c:pt idx="7">
                  <c:v>7040859.8155999994</c:v>
                </c:pt>
                <c:pt idx="8">
                  <c:v>9267327.2809999995</c:v>
                </c:pt>
                <c:pt idx="9">
                  <c:v>9029314.183600001</c:v>
                </c:pt>
                <c:pt idx="10">
                  <c:v>8705209.1376000009</c:v>
                </c:pt>
                <c:pt idx="11">
                  <c:v>8103753.2067999998</c:v>
                </c:pt>
                <c:pt idx="12">
                  <c:v>7169763.0049999999</c:v>
                </c:pt>
                <c:pt idx="13">
                  <c:v>14314472.8826</c:v>
                </c:pt>
                <c:pt idx="14">
                  <c:v>14056919.752800001</c:v>
                </c:pt>
                <c:pt idx="15">
                  <c:v>14511505.462400001</c:v>
                </c:pt>
                <c:pt idx="16">
                  <c:v>14516258.153599998</c:v>
                </c:pt>
                <c:pt idx="17">
                  <c:v>17368186.915899999</c:v>
                </c:pt>
                <c:pt idx="18">
                  <c:v>17270835.863899998</c:v>
                </c:pt>
                <c:pt idx="19">
                  <c:v>17118670.164000001</c:v>
                </c:pt>
                <c:pt idx="20">
                  <c:v>16922832.655999999</c:v>
                </c:pt>
                <c:pt idx="21">
                  <c:v>17108809.918900002</c:v>
                </c:pt>
                <c:pt idx="22">
                  <c:v>17002850.840500001</c:v>
                </c:pt>
                <c:pt idx="23">
                  <c:v>16313755.4956</c:v>
                </c:pt>
                <c:pt idx="24">
                  <c:v>16285684.613999998</c:v>
                </c:pt>
                <c:pt idx="25">
                  <c:v>16315734.498</c:v>
                </c:pt>
                <c:pt idx="26">
                  <c:v>16274120.058</c:v>
                </c:pt>
                <c:pt idx="27">
                  <c:v>16041317.168900002</c:v>
                </c:pt>
                <c:pt idx="28">
                  <c:v>16051289.7958</c:v>
                </c:pt>
                <c:pt idx="29">
                  <c:v>15771074.595999999</c:v>
                </c:pt>
                <c:pt idx="30">
                  <c:v>15767644.768400002</c:v>
                </c:pt>
                <c:pt idx="31">
                  <c:v>15501918.3134</c:v>
                </c:pt>
                <c:pt idx="32">
                  <c:v>15475013.1434</c:v>
                </c:pt>
                <c:pt idx="33">
                  <c:v>25201280.777899999</c:v>
                </c:pt>
                <c:pt idx="34">
                  <c:v>27153427.834800001</c:v>
                </c:pt>
                <c:pt idx="35">
                  <c:v>27177902.061000001</c:v>
                </c:pt>
                <c:pt idx="36">
                  <c:v>27062343.499199998</c:v>
                </c:pt>
                <c:pt idx="37">
                  <c:v>26983401.060400002</c:v>
                </c:pt>
                <c:pt idx="38">
                  <c:v>26984179.621199999</c:v>
                </c:pt>
                <c:pt idx="39">
                  <c:v>27598097.827799998</c:v>
                </c:pt>
                <c:pt idx="40">
                  <c:v>26953203.9833</c:v>
                </c:pt>
                <c:pt idx="41">
                  <c:v>26706849.441200003</c:v>
                </c:pt>
                <c:pt idx="42">
                  <c:v>26598189.009599999</c:v>
                </c:pt>
                <c:pt idx="43">
                  <c:v>26597790.631999999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66-431B-8A18-A714A9FE3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997184"/>
        <c:axId val="2070677920"/>
      </c:scatterChart>
      <c:valAx>
        <c:axId val="436997184"/>
        <c:scaling>
          <c:orientation val="minMax"/>
        </c:scaling>
        <c:delete val="0"/>
        <c:axPos val="b"/>
        <c:numFmt formatCode="d\-mmm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2070677920"/>
        <c:crosses val="autoZero"/>
        <c:crossBetween val="midCat"/>
      </c:valAx>
      <c:valAx>
        <c:axId val="207067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sysDash"/>
              <a:round/>
            </a:ln>
            <a:effectLst/>
          </c:spPr>
        </c:majorGridlines>
        <c:numFmt formatCode="#,##0,&quot; K&quot;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36997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761997</xdr:colOff>
      <xdr:row>0</xdr:row>
      <xdr:rowOff>136071</xdr:rowOff>
    </xdr:from>
    <xdr:to>
      <xdr:col>21</xdr:col>
      <xdr:colOff>585103</xdr:colOff>
      <xdr:row>30</xdr:row>
      <xdr:rowOff>108856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2</xdr:row>
          <xdr:rowOff>180975</xdr:rowOff>
        </xdr:from>
        <xdr:to>
          <xdr:col>1</xdr:col>
          <xdr:colOff>323850</xdr:colOff>
          <xdr:row>5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IRR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707571</xdr:colOff>
      <xdr:row>35</xdr:row>
      <xdr:rowOff>68036</xdr:rowOff>
    </xdr:from>
    <xdr:to>
      <xdr:col>21</xdr:col>
      <xdr:colOff>530677</xdr:colOff>
      <xdr:row>65</xdr:row>
      <xdr:rowOff>163286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108858</xdr:colOff>
      <xdr:row>2</xdr:row>
      <xdr:rowOff>43540</xdr:rowOff>
    </xdr:from>
    <xdr:to>
      <xdr:col>52</xdr:col>
      <xdr:colOff>258533</xdr:colOff>
      <xdr:row>27</xdr:row>
      <xdr:rowOff>122462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39</xdr:col>
      <xdr:colOff>108857</xdr:colOff>
      <xdr:row>29</xdr:row>
      <xdr:rowOff>81643</xdr:rowOff>
    </xdr:from>
    <xdr:to>
      <xdr:col>52</xdr:col>
      <xdr:colOff>244928</xdr:colOff>
      <xdr:row>54</xdr:row>
      <xdr:rowOff>160565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53</xdr:col>
      <xdr:colOff>95249</xdr:colOff>
      <xdr:row>2</xdr:row>
      <xdr:rowOff>13607</xdr:rowOff>
    </xdr:from>
    <xdr:to>
      <xdr:col>66</xdr:col>
      <xdr:colOff>231320</xdr:colOff>
      <xdr:row>27</xdr:row>
      <xdr:rowOff>133352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53</xdr:col>
      <xdr:colOff>149679</xdr:colOff>
      <xdr:row>29</xdr:row>
      <xdr:rowOff>95250</xdr:rowOff>
    </xdr:from>
    <xdr:to>
      <xdr:col>66</xdr:col>
      <xdr:colOff>285750</xdr:colOff>
      <xdr:row>55</xdr:row>
      <xdr:rowOff>24495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77386</xdr:colOff>
      <xdr:row>0</xdr:row>
      <xdr:rowOff>110725</xdr:rowOff>
    </xdr:from>
    <xdr:to>
      <xdr:col>15</xdr:col>
      <xdr:colOff>535780</xdr:colOff>
      <xdr:row>24</xdr:row>
      <xdr:rowOff>59530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</xdr:row>
          <xdr:rowOff>38100</xdr:rowOff>
        </xdr:from>
        <xdr:to>
          <xdr:col>1</xdr:col>
          <xdr:colOff>409575</xdr:colOff>
          <xdr:row>5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fb>917.35</fb>
    <v>0</v>
  </rv>
  <rv s="0">
    <fb>915.7</fb>
    <v>0</v>
  </rv>
</rvData>
</file>

<file path=xl/richData/rdrichvaluestructure.xml><?xml version="1.0" encoding="utf-8"?>
<rvStructures xmlns="http://schemas.microsoft.com/office/spreadsheetml/2017/richdata" count="1">
  <s t="_formattednumber">
    <k n="_Format" t="spb"/>
  </s>
</rvStructures>
</file>

<file path=xl/richData/rdsupportingpropertybag.xml><?xml version="1.0" encoding="utf-8"?>
<supportingPropertyBags xmlns="http://schemas.microsoft.com/office/spreadsheetml/2017/richdata2">
  <spbData count="1">
    <spb s="0">
      <v>1</v>
    </spb>
  </spbData>
</supportingPropertyBags>
</file>

<file path=xl/richData/rdsupportingpropertybagstructure.xml><?xml version="1.0" encoding="utf-8"?>
<spbStructures xmlns="http://schemas.microsoft.com/office/spreadsheetml/2017/richdata2" count="1">
  <s>
    <k n="_Self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</richProperties>
  <richStyles>
    <rSty dxfid="0">
      <rpv i="0" xml:space="preserve">_ [$$-es-CL]* #,##0.00_ ;_ [$$-es-CL]* -#,##0.00_ ;_ [$$-es-CL]* "-"??_ ;_ @_ </rpv>
    </rSty>
  </richStyles>
</richStyleShee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84ABC-0FEF-4FFB-A9A8-EC6108554907}">
  <sheetPr codeName="Sheet3">
    <tabColor theme="3" tint="0.59999389629810485"/>
  </sheetPr>
  <dimension ref="A1:AD895"/>
  <sheetViews>
    <sheetView showGridLines="0" topLeftCell="L1" zoomScale="70" zoomScaleNormal="70" workbookViewId="0">
      <selection activeCell="AD45" sqref="AD45"/>
    </sheetView>
  </sheetViews>
  <sheetFormatPr defaultRowHeight="15" x14ac:dyDescent="0.25"/>
  <cols>
    <col min="1" max="1" width="11.7109375" customWidth="1"/>
    <col min="2" max="2" width="14.5703125" customWidth="1"/>
    <col min="4" max="4" width="11.85546875" style="157" customWidth="1"/>
    <col min="5" max="9" width="16.5703125" style="148" customWidth="1"/>
    <col min="10" max="11" width="15" style="148" customWidth="1"/>
    <col min="12" max="12" width="18.5703125" style="148" bestFit="1" customWidth="1"/>
    <col min="13" max="14" width="15" style="148" customWidth="1"/>
    <col min="15" max="22" width="20.42578125" style="148" customWidth="1"/>
    <col min="23" max="30" width="18" style="148" customWidth="1"/>
  </cols>
  <sheetData>
    <row r="1" spans="1:30" x14ac:dyDescent="0.25">
      <c r="A1" s="11" t="s">
        <v>27</v>
      </c>
      <c r="B1" s="9">
        <v>45300</v>
      </c>
      <c r="D1" s="13" t="s">
        <v>3</v>
      </c>
      <c r="E1" s="151" t="s">
        <v>109</v>
      </c>
      <c r="F1" s="151" t="s">
        <v>110</v>
      </c>
      <c r="G1" s="151" t="s">
        <v>111</v>
      </c>
      <c r="H1" s="151" t="s">
        <v>112</v>
      </c>
      <c r="I1" s="151" t="s">
        <v>113</v>
      </c>
      <c r="J1" s="156" t="s">
        <v>118</v>
      </c>
      <c r="K1" s="156" t="s">
        <v>119</v>
      </c>
      <c r="L1" s="156" t="s">
        <v>120</v>
      </c>
      <c r="M1" s="156" t="s">
        <v>121</v>
      </c>
      <c r="N1" s="156" t="s">
        <v>122</v>
      </c>
      <c r="W1" s="151" t="s">
        <v>114</v>
      </c>
      <c r="X1" s="151" t="s">
        <v>115</v>
      </c>
      <c r="Y1" s="151" t="s">
        <v>116</v>
      </c>
      <c r="Z1" s="151" t="s">
        <v>117</v>
      </c>
      <c r="AA1" s="156" t="s">
        <v>123</v>
      </c>
      <c r="AB1" s="156" t="s">
        <v>124</v>
      </c>
      <c r="AC1" s="156" t="s">
        <v>125</v>
      </c>
      <c r="AD1" s="156" t="s">
        <v>126</v>
      </c>
    </row>
    <row r="2" spans="1:30" x14ac:dyDescent="0.25">
      <c r="A2" s="150" t="s">
        <v>28</v>
      </c>
      <c r="B2" s="9">
        <f ca="1">TODAY()</f>
        <v>45388</v>
      </c>
      <c r="D2" s="157">
        <v>45300</v>
      </c>
      <c r="E2" s="152">
        <v>0</v>
      </c>
      <c r="F2" s="152">
        <v>0</v>
      </c>
      <c r="G2" s="152">
        <v>0</v>
      </c>
      <c r="H2" s="152">
        <v>0</v>
      </c>
      <c r="I2" s="152">
        <v>0</v>
      </c>
      <c r="J2" s="154">
        <v>0</v>
      </c>
      <c r="K2" s="154">
        <v>0</v>
      </c>
      <c r="L2" s="154">
        <v>0</v>
      </c>
      <c r="M2" s="154">
        <v>0</v>
      </c>
      <c r="N2" s="154">
        <v>0</v>
      </c>
      <c r="O2" s="149"/>
      <c r="P2" s="149"/>
      <c r="Q2" s="149"/>
      <c r="R2" s="149"/>
      <c r="S2" s="149"/>
      <c r="T2" s="149"/>
      <c r="U2" s="149"/>
      <c r="V2" s="149"/>
      <c r="W2" s="152">
        <v>0</v>
      </c>
      <c r="X2" s="152">
        <v>0</v>
      </c>
      <c r="Y2" s="152">
        <v>0</v>
      </c>
      <c r="Z2" s="152">
        <v>0</v>
      </c>
      <c r="AA2" s="154">
        <v>0</v>
      </c>
      <c r="AB2" s="154">
        <v>0</v>
      </c>
      <c r="AC2" s="154">
        <v>0</v>
      </c>
      <c r="AD2" s="154">
        <v>0</v>
      </c>
    </row>
    <row r="3" spans="1:30" x14ac:dyDescent="0.25">
      <c r="A3" s="1"/>
      <c r="D3" s="157">
        <v>45301</v>
      </c>
      <c r="E3" s="152">
        <v>8.6488418168369274E-2</v>
      </c>
      <c r="F3" s="152">
        <v>3.1408307708041088</v>
      </c>
      <c r="G3" s="152">
        <v>1.8679672294976695</v>
      </c>
      <c r="H3" s="152">
        <v>-0.21181094116297924</v>
      </c>
      <c r="I3" s="152">
        <v>8.851761057614425</v>
      </c>
      <c r="J3" s="154">
        <v>2.3698264627602939E-4</v>
      </c>
      <c r="K3" s="154">
        <v>8.642145382743216E-3</v>
      </c>
      <c r="L3" s="154">
        <v>5.1308363263211643E-3</v>
      </c>
      <c r="M3" s="154">
        <v>-5.8013560462055747E-4</v>
      </c>
      <c r="N3" s="154">
        <v>2.454785700955231E-2</v>
      </c>
      <c r="O3" s="149"/>
      <c r="P3" s="149"/>
      <c r="Q3" s="149"/>
      <c r="R3" s="149"/>
      <c r="S3" s="149"/>
      <c r="T3" s="149"/>
      <c r="U3" s="149"/>
      <c r="V3" s="149"/>
      <c r="W3" s="152">
        <v>8.3636250378986254E-2</v>
      </c>
      <c r="X3" s="152">
        <v>-5.9016368665888726E-2</v>
      </c>
      <c r="Y3" s="152">
        <v>5.3866023155160034</v>
      </c>
      <c r="Z3" s="152">
        <v>7.4488452529470379</v>
      </c>
      <c r="AA3" s="154">
        <v>2.2916666666672469E-4</v>
      </c>
      <c r="AB3" s="154">
        <v>-1.6167561036606326E-4</v>
      </c>
      <c r="AC3" s="154">
        <v>1.4867248782328035E-2</v>
      </c>
      <c r="AD3" s="154">
        <v>2.0617458089790208E-2</v>
      </c>
    </row>
    <row r="4" spans="1:30" x14ac:dyDescent="0.25">
      <c r="A4" s="1"/>
      <c r="D4" s="157">
        <v>45302</v>
      </c>
      <c r="E4" s="152">
        <v>4.3244209084184637E-2</v>
      </c>
      <c r="F4" s="152">
        <v>1.5704153854020544</v>
      </c>
      <c r="G4" s="152">
        <v>0.93398361474883473</v>
      </c>
      <c r="H4" s="152">
        <v>-0.57316924483375675</v>
      </c>
      <c r="I4" s="152">
        <v>9.6854641485268544</v>
      </c>
      <c r="J4" s="154">
        <v>2.3698264627602939E-4</v>
      </c>
      <c r="K4" s="154">
        <v>8.642145382743216E-3</v>
      </c>
      <c r="L4" s="154">
        <v>5.1308363263211643E-3</v>
      </c>
      <c r="M4" s="154">
        <v>-3.1357267034991532E-3</v>
      </c>
      <c r="N4" s="154">
        <v>5.4504550697811904E-2</v>
      </c>
      <c r="O4" s="149"/>
      <c r="P4" s="149"/>
      <c r="Q4" s="149"/>
      <c r="R4" s="149"/>
      <c r="S4" s="149"/>
      <c r="T4" s="149"/>
      <c r="U4" s="149"/>
      <c r="V4" s="149"/>
      <c r="W4" s="152">
        <v>8.3636250378989058E-2</v>
      </c>
      <c r="X4" s="152">
        <v>-5.9021140576915307E-2</v>
      </c>
      <c r="Y4" s="152">
        <v>3.5611277229593781</v>
      </c>
      <c r="Z4" s="152">
        <v>4.4697404389294517</v>
      </c>
      <c r="AA4" s="154">
        <v>4.5838585069457594E-4</v>
      </c>
      <c r="AB4" s="154">
        <v>-3.2335122073234857E-4</v>
      </c>
      <c r="AC4" s="154">
        <v>1.970465211747352E-2</v>
      </c>
      <c r="AD4" s="154">
        <v>2.4794114418439817E-2</v>
      </c>
    </row>
    <row r="5" spans="1:30" x14ac:dyDescent="0.25">
      <c r="A5" s="1"/>
      <c r="D5" s="157">
        <v>45303</v>
      </c>
      <c r="E5" s="152">
        <v>5.542173759810632E-2</v>
      </c>
      <c r="F5" s="152">
        <v>3.9660768023897931E-2</v>
      </c>
      <c r="G5" s="152">
        <v>0.17443418308320291</v>
      </c>
      <c r="H5" s="152">
        <v>-0.15914422257721408</v>
      </c>
      <c r="I5" s="152">
        <v>8.1571927312745185</v>
      </c>
      <c r="J5" s="154">
        <v>4.5562489644890292E-4</v>
      </c>
      <c r="K5" s="154">
        <v>3.2603205216519271E-4</v>
      </c>
      <c r="L5" s="154">
        <v>1.4347338616194083E-3</v>
      </c>
      <c r="M5" s="154">
        <v>-1.3071796015939885E-3</v>
      </c>
      <c r="N5" s="154">
        <v>6.9344046367135093E-2</v>
      </c>
      <c r="O5" s="149"/>
      <c r="P5" s="149"/>
      <c r="Q5" s="149"/>
      <c r="R5" s="149"/>
      <c r="S5" s="149"/>
      <c r="T5" s="149"/>
      <c r="U5" s="149"/>
      <c r="V5" s="149"/>
      <c r="W5" s="152">
        <v>8.3636250378995899E-2</v>
      </c>
      <c r="X5" s="152">
        <v>-5.9025913516986148E-2</v>
      </c>
      <c r="Y5" s="152">
        <v>1.3504636593798016</v>
      </c>
      <c r="Z5" s="152">
        <v>2.0475398766456667</v>
      </c>
      <c r="AA5" s="154">
        <v>6.876575641188154E-4</v>
      </c>
      <c r="AB5" s="154">
        <v>-4.8502683109852285E-4</v>
      </c>
      <c r="AC5" s="154">
        <v>1.116153154852384E-2</v>
      </c>
      <c r="AD5" s="154">
        <v>1.6971501832181213E-2</v>
      </c>
    </row>
    <row r="6" spans="1:30" x14ac:dyDescent="0.25">
      <c r="A6" s="1"/>
      <c r="D6" s="157">
        <v>45304</v>
      </c>
      <c r="E6" s="152">
        <v>5.9363900364415592E-2</v>
      </c>
      <c r="F6" s="152">
        <v>-7.3777348953389402E-2</v>
      </c>
      <c r="G6" s="152">
        <v>0.13515440547625471</v>
      </c>
      <c r="H6" s="152">
        <v>-0.11935816693291056</v>
      </c>
      <c r="I6" s="152">
        <v>5.6211904183973536</v>
      </c>
      <c r="J6" s="154">
        <v>6.507749538604557E-4</v>
      </c>
      <c r="K6" s="154">
        <v>-8.0819212931071416E-4</v>
      </c>
      <c r="L6" s="154">
        <v>1.4822416053816845E-3</v>
      </c>
      <c r="M6" s="154">
        <v>-1.3071796015939885E-3</v>
      </c>
      <c r="N6" s="154">
        <v>6.3539064262279066E-2</v>
      </c>
      <c r="O6" s="149"/>
      <c r="P6" s="149"/>
      <c r="Q6" s="149"/>
      <c r="R6" s="149"/>
      <c r="S6" s="149"/>
      <c r="T6" s="149"/>
      <c r="U6" s="149"/>
      <c r="V6" s="149"/>
      <c r="W6" s="152">
        <v>8.3636250378998217E-2</v>
      </c>
      <c r="X6" s="152">
        <v>-5.9030687486506181E-2</v>
      </c>
      <c r="Y6" s="152">
        <v>1.0128477445348512</v>
      </c>
      <c r="Z6" s="152">
        <v>1.53565490748425</v>
      </c>
      <c r="AA6" s="154">
        <v>9.169818189773693E-4</v>
      </c>
      <c r="AB6" s="154">
        <v>-6.4670244146458611E-4</v>
      </c>
      <c r="AC6" s="154">
        <v>1.116153154852384E-2</v>
      </c>
      <c r="AD6" s="154">
        <v>1.6971501832181213E-2</v>
      </c>
    </row>
    <row r="7" spans="1:30" x14ac:dyDescent="0.25">
      <c r="A7" s="1"/>
      <c r="D7" s="157">
        <v>45308</v>
      </c>
      <c r="E7" s="152">
        <v>8.0710801344719654E-2</v>
      </c>
      <c r="F7" s="152">
        <v>0.27301115919833147</v>
      </c>
      <c r="G7" s="152">
        <v>0.39666468732268434</v>
      </c>
      <c r="H7" s="152">
        <v>-0.88327446242231844</v>
      </c>
      <c r="I7" s="152">
        <v>3.4499556621183469</v>
      </c>
      <c r="J7" s="154">
        <v>1.7705694754812651E-3</v>
      </c>
      <c r="K7" s="154">
        <v>6.001744960279165E-3</v>
      </c>
      <c r="L7" s="154">
        <v>8.7319233034983679E-3</v>
      </c>
      <c r="M7" s="154">
        <v>-1.9173249759030897E-2</v>
      </c>
      <c r="N7" s="154">
        <v>7.8547756735235508E-2</v>
      </c>
      <c r="O7" s="149"/>
      <c r="P7" s="149"/>
      <c r="Q7" s="149"/>
      <c r="R7" s="149"/>
      <c r="S7" s="149"/>
      <c r="T7" s="149"/>
      <c r="U7" s="149"/>
      <c r="V7" s="149"/>
      <c r="W7" s="152">
        <v>8.3636250378992735E-2</v>
      </c>
      <c r="X7" s="152">
        <v>-5.9012615815336705E-2</v>
      </c>
      <c r="Y7" s="152">
        <v>1.0384723028806051</v>
      </c>
      <c r="Z7" s="152">
        <v>0.8723217133472253</v>
      </c>
      <c r="AA7" s="154">
        <v>1.8348044936109531E-3</v>
      </c>
      <c r="AB7" s="154">
        <v>-1.292591079521066E-3</v>
      </c>
      <c r="AC7" s="154">
        <v>2.3022045689052639E-2</v>
      </c>
      <c r="AD7" s="154">
        <v>1.9303325804313376E-2</v>
      </c>
    </row>
    <row r="8" spans="1:30" x14ac:dyDescent="0.25">
      <c r="A8" s="1"/>
      <c r="D8" s="157">
        <v>45309</v>
      </c>
      <c r="E8" s="152">
        <v>8.0585113709911754E-2</v>
      </c>
      <c r="F8" s="152">
        <v>0.3668868863324698</v>
      </c>
      <c r="G8" s="152">
        <v>0.46055440078769866</v>
      </c>
      <c r="H8" s="152">
        <v>-0.2466604286525157</v>
      </c>
      <c r="I8" s="152">
        <v>2.7346398981294557</v>
      </c>
      <c r="J8" s="154">
        <v>1.9890056537876788E-3</v>
      </c>
      <c r="K8" s="154">
        <v>9.087569454011124E-3</v>
      </c>
      <c r="L8" s="154">
        <v>1.1420861600440979E-2</v>
      </c>
      <c r="M8" s="154">
        <v>-6.0635798138806152E-3</v>
      </c>
      <c r="N8" s="154">
        <v>6.9754814554844335E-2</v>
      </c>
      <c r="O8" s="149"/>
      <c r="P8" s="149"/>
      <c r="Q8" s="149"/>
      <c r="R8" s="149"/>
      <c r="S8" s="149"/>
      <c r="T8" s="149"/>
      <c r="U8" s="149"/>
      <c r="V8" s="149"/>
      <c r="W8" s="152">
        <v>8.3636250378991445E-2</v>
      </c>
      <c r="X8" s="152">
        <v>-5.9021520459491696E-2</v>
      </c>
      <c r="Y8" s="152">
        <v>1.1297221257738435</v>
      </c>
      <c r="Z8" s="152">
        <v>1.3375719423084727</v>
      </c>
      <c r="AA8" s="154">
        <v>2.0643916363074499E-3</v>
      </c>
      <c r="AB8" s="154">
        <v>-1.4542666898872403E-3</v>
      </c>
      <c r="AC8" s="154">
        <v>2.82477726864232E-2</v>
      </c>
      <c r="AD8" s="154">
        <v>3.3531135519506927E-2</v>
      </c>
    </row>
    <row r="9" spans="1:30" x14ac:dyDescent="0.25">
      <c r="A9" s="1"/>
      <c r="D9" s="157">
        <v>45312</v>
      </c>
      <c r="E9" s="152">
        <v>6.6180912836506497E-2</v>
      </c>
      <c r="F9" s="152">
        <v>0.4076857272656928</v>
      </c>
      <c r="G9" s="152">
        <v>0.45423150510212051</v>
      </c>
      <c r="H9" s="152">
        <v>-0.21996010197399041</v>
      </c>
      <c r="I9" s="152">
        <v>1.7823131972551709</v>
      </c>
      <c r="J9" s="154">
        <v>2.1781796270758935E-3</v>
      </c>
      <c r="K9" s="154">
        <v>1.3493594158975108E-2</v>
      </c>
      <c r="L9" s="154">
        <v>1.504570244949921E-2</v>
      </c>
      <c r="M9" s="154">
        <v>-7.2054801462270168E-3</v>
      </c>
      <c r="N9" s="154">
        <v>6.0347408468520936E-2</v>
      </c>
      <c r="O9" s="149"/>
      <c r="P9" s="149"/>
      <c r="Q9" s="149"/>
      <c r="R9" s="149"/>
      <c r="S9" s="149"/>
      <c r="T9" s="149"/>
      <c r="U9" s="149"/>
      <c r="V9" s="149"/>
      <c r="W9" s="152">
        <v>8.3636250378990196E-2</v>
      </c>
      <c r="X9" s="152">
        <v>-5.9019313780367053E-2</v>
      </c>
      <c r="Y9" s="152">
        <v>0.57862486798845914</v>
      </c>
      <c r="Z9" s="152">
        <v>1.1067607724627866</v>
      </c>
      <c r="AA9" s="154">
        <v>2.7534687949501979E-3</v>
      </c>
      <c r="AB9" s="154">
        <v>-1.9384797175776569E-3</v>
      </c>
      <c r="AC9" s="154">
        <v>1.9205378837469977E-2</v>
      </c>
      <c r="AD9" s="154">
        <v>3.7056752711119634E-2</v>
      </c>
    </row>
    <row r="10" spans="1:30" x14ac:dyDescent="0.25">
      <c r="A10" s="1"/>
      <c r="D10" s="157">
        <v>45315</v>
      </c>
      <c r="E10" s="152">
        <v>7.9933737945523123E-2</v>
      </c>
      <c r="F10" s="152">
        <v>0.50618232591264012</v>
      </c>
      <c r="G10" s="152">
        <v>0.47190650638255816</v>
      </c>
      <c r="H10" s="152">
        <v>-3.5660091681176606E-2</v>
      </c>
      <c r="I10" s="152">
        <v>0.64465272046277378</v>
      </c>
      <c r="J10" s="154">
        <v>3.2903494896423524E-3</v>
      </c>
      <c r="K10" s="154">
        <v>2.1019883363181391E-2</v>
      </c>
      <c r="L10" s="154">
        <v>1.9582691978792477E-2</v>
      </c>
      <c r="M10" s="154">
        <v>-1.4644099236038599E-3</v>
      </c>
      <c r="N10" s="154">
        <v>2.6846625519012957E-2</v>
      </c>
      <c r="O10" s="149"/>
      <c r="P10" s="149"/>
      <c r="Q10" s="149"/>
      <c r="R10" s="149"/>
      <c r="S10" s="149"/>
      <c r="T10" s="149"/>
      <c r="U10" s="149"/>
      <c r="V10" s="149"/>
      <c r="W10" s="152">
        <v>8.3636250378989044E-2</v>
      </c>
      <c r="X10" s="152">
        <v>-5.9017100325670396E-2</v>
      </c>
      <c r="Y10" s="152">
        <v>0.20325168719569903</v>
      </c>
      <c r="Z10" s="152">
        <v>0.76982920804433852</v>
      </c>
      <c r="AA10" s="154">
        <v>3.4430198027133319E-3</v>
      </c>
      <c r="AB10" s="154">
        <v>-2.4224214774656305E-3</v>
      </c>
      <c r="AC10" s="154">
        <v>8.3877911040597386E-3</v>
      </c>
      <c r="AD10" s="154">
        <v>3.2142580348770933E-2</v>
      </c>
    </row>
    <row r="11" spans="1:30" x14ac:dyDescent="0.25">
      <c r="A11" s="1"/>
      <c r="D11" s="157">
        <v>45316</v>
      </c>
      <c r="E11" s="152">
        <v>7.9927494628790965E-2</v>
      </c>
      <c r="F11" s="152">
        <v>0.6267037933275651</v>
      </c>
      <c r="G11" s="152">
        <v>0.56083649651892009</v>
      </c>
      <c r="H11" s="152">
        <v>-4.0975569467902026E-2</v>
      </c>
      <c r="I11" s="152">
        <v>0.81619584966930259</v>
      </c>
      <c r="J11" s="154">
        <v>3.5098160272806211E-3</v>
      </c>
      <c r="K11" s="154">
        <v>2.7852780456444792E-2</v>
      </c>
      <c r="L11" s="154">
        <v>2.4889306957033952E-2</v>
      </c>
      <c r="M11" s="154">
        <v>-1.7945771638601116E-3</v>
      </c>
      <c r="N11" s="154">
        <v>3.6426198967356438E-2</v>
      </c>
      <c r="O11" s="149"/>
      <c r="P11" s="149"/>
      <c r="Q11" s="149"/>
      <c r="R11" s="149"/>
      <c r="S11" s="149"/>
      <c r="T11" s="149"/>
      <c r="U11" s="149"/>
      <c r="V11" s="149"/>
      <c r="W11" s="152">
        <v>8.363625037898953E-2</v>
      </c>
      <c r="X11" s="152">
        <v>-5.9019807849062134E-2</v>
      </c>
      <c r="Y11" s="152">
        <v>0.18151072098634077</v>
      </c>
      <c r="Z11" s="152">
        <v>0.83236471048612937</v>
      </c>
      <c r="AA11" s="154">
        <v>3.6729754947515403E-3</v>
      </c>
      <c r="AB11" s="154">
        <v>-2.5838258200290287E-3</v>
      </c>
      <c r="AC11" s="154">
        <v>7.9883724800569045E-3</v>
      </c>
      <c r="AD11" s="154">
        <v>3.7161049207437902E-2</v>
      </c>
    </row>
    <row r="12" spans="1:30" x14ac:dyDescent="0.25">
      <c r="A12" s="1"/>
      <c r="D12" s="157">
        <v>45320</v>
      </c>
      <c r="E12" s="152">
        <v>6.7471948103877077E-2</v>
      </c>
      <c r="F12" s="152">
        <v>0.49255533591011663</v>
      </c>
      <c r="G12" s="152">
        <v>0.44181562685680753</v>
      </c>
      <c r="H12" s="152">
        <v>0.1202481118006805</v>
      </c>
      <c r="I12" s="152">
        <v>0.80598524711044151</v>
      </c>
      <c r="J12" s="154">
        <v>3.7039357253605409E-3</v>
      </c>
      <c r="K12" s="154">
        <v>2.7356844377095069E-2</v>
      </c>
      <c r="L12" s="154">
        <v>2.4504494232559848E-2</v>
      </c>
      <c r="M12" s="154">
        <v>6.6106924365807451E-3</v>
      </c>
      <c r="N12" s="154">
        <v>4.5153302050536803E-2</v>
      </c>
      <c r="O12" s="149"/>
      <c r="P12" s="149"/>
      <c r="Q12" s="149"/>
      <c r="R12" s="149"/>
      <c r="S12" s="149"/>
      <c r="T12" s="149"/>
      <c r="U12" s="149"/>
      <c r="V12" s="149"/>
      <c r="W12" s="152">
        <v>8.3636250378985907E-2</v>
      </c>
      <c r="X12" s="152">
        <v>-5.9017810979881985E-2</v>
      </c>
      <c r="Y12" s="152">
        <v>0.29823714416407132</v>
      </c>
      <c r="Z12" s="152">
        <v>0.94441404719811695</v>
      </c>
      <c r="AA12" s="154">
        <v>4.5933253654788508E-3</v>
      </c>
      <c r="AB12" s="154">
        <v>-3.2286293868751814E-3</v>
      </c>
      <c r="AC12" s="154">
        <v>1.647601824011713E-2</v>
      </c>
      <c r="AD12" s="154">
        <v>5.3111078154829405E-2</v>
      </c>
    </row>
    <row r="13" spans="1:30" x14ac:dyDescent="0.25">
      <c r="A13" s="1"/>
      <c r="D13" s="157">
        <v>45321</v>
      </c>
      <c r="E13" s="152">
        <v>6.4258998194168637E-2</v>
      </c>
      <c r="F13" s="152">
        <v>0.46910031991439677</v>
      </c>
      <c r="G13" s="152">
        <v>0.42077678748267383</v>
      </c>
      <c r="H13" s="152">
        <v>0.33077450806908798</v>
      </c>
      <c r="I13" s="152">
        <v>0.98385749407838885</v>
      </c>
      <c r="J13" s="154">
        <v>3.7039357253605409E-3</v>
      </c>
      <c r="K13" s="154">
        <v>2.7356844377095069E-2</v>
      </c>
      <c r="L13" s="154">
        <v>2.4504494232559848E-2</v>
      </c>
      <c r="M13" s="154">
        <v>1.9213103196980219E-2</v>
      </c>
      <c r="N13" s="154">
        <v>5.8238252686364511E-2</v>
      </c>
      <c r="O13" s="149"/>
      <c r="P13" s="149"/>
      <c r="Q13" s="149"/>
      <c r="R13" s="149"/>
      <c r="S13" s="149"/>
      <c r="T13" s="149"/>
      <c r="U13" s="149"/>
      <c r="V13" s="149"/>
      <c r="W13" s="152">
        <v>8.3636250378984617E-2</v>
      </c>
      <c r="X13" s="152">
        <v>-5.9017383992393743E-2</v>
      </c>
      <c r="Y13" s="152">
        <v>0.5002878722246995</v>
      </c>
      <c r="Z13" s="152">
        <v>1.1052514420239221</v>
      </c>
      <c r="AA13" s="154">
        <v>4.8235446692084238E-3</v>
      </c>
      <c r="AB13" s="154">
        <v>-3.3897624616359145E-3</v>
      </c>
      <c r="AC13" s="154">
        <v>2.920193939931881E-2</v>
      </c>
      <c r="AD13" s="154">
        <v>6.5655186923382125E-2</v>
      </c>
    </row>
    <row r="14" spans="1:30" x14ac:dyDescent="0.25">
      <c r="A14" s="1"/>
      <c r="D14" s="157">
        <v>45326</v>
      </c>
      <c r="E14" s="152">
        <v>7.6387956108911068E-2</v>
      </c>
      <c r="F14" s="152">
        <v>0.79748378402647846</v>
      </c>
      <c r="G14" s="152">
        <v>0.60291431697619802</v>
      </c>
      <c r="H14" s="152">
        <v>0.24048243881260301</v>
      </c>
      <c r="I14" s="152">
        <v>0.95334010952878778</v>
      </c>
      <c r="J14" s="154">
        <v>5.4561648047386502E-3</v>
      </c>
      <c r="K14" s="154">
        <v>5.8451577352252482E-2</v>
      </c>
      <c r="L14" s="154">
        <v>4.388290291317487E-2</v>
      </c>
      <c r="M14" s="154">
        <v>1.7277820149439016E-2</v>
      </c>
      <c r="N14" s="154">
        <v>7.0268079290960461E-2</v>
      </c>
      <c r="O14" s="149"/>
      <c r="P14" s="149"/>
      <c r="Q14" s="149"/>
      <c r="R14" s="149"/>
      <c r="S14" s="149"/>
      <c r="T14" s="149"/>
      <c r="U14" s="149"/>
      <c r="V14" s="149"/>
      <c r="W14" s="152">
        <v>8.2076757043320209E-2</v>
      </c>
      <c r="X14" s="152">
        <v>-5.9017424528341279E-2</v>
      </c>
      <c r="Y14" s="152">
        <v>0.53032955201393772</v>
      </c>
      <c r="Z14" s="152">
        <v>1.1145166606987527</v>
      </c>
      <c r="AA14" s="154">
        <v>5.8636880247955325E-3</v>
      </c>
      <c r="AB14" s="154">
        <v>-4.1951565676376923E-3</v>
      </c>
      <c r="AC14" s="154">
        <v>3.8499517369162684E-2</v>
      </c>
      <c r="AD14" s="154">
        <v>8.2626710783043844E-2</v>
      </c>
    </row>
    <row r="15" spans="1:30" x14ac:dyDescent="0.25">
      <c r="A15" s="1"/>
      <c r="D15" s="157">
        <v>45339</v>
      </c>
      <c r="E15" s="152">
        <v>7.7339359374456185E-2</v>
      </c>
      <c r="F15" s="152">
        <v>1.0424573976868086</v>
      </c>
      <c r="G15" s="152">
        <v>0.61905833880901473</v>
      </c>
      <c r="H15" s="152">
        <v>0.72674890737384756</v>
      </c>
      <c r="I15" s="152">
        <v>4.1067692278117685</v>
      </c>
      <c r="J15" s="154">
        <v>8.2978958413872927E-3</v>
      </c>
      <c r="K15" s="154">
        <v>0.11782614685218351</v>
      </c>
      <c r="L15" s="154">
        <v>6.8382646371358602E-2</v>
      </c>
      <c r="M15" s="154">
        <v>8.0747166724717045E-2</v>
      </c>
      <c r="N15" s="154">
        <v>0.55085358466578227</v>
      </c>
      <c r="O15" s="149"/>
      <c r="P15" s="149"/>
      <c r="Q15" s="149"/>
      <c r="R15" s="149"/>
      <c r="S15" s="149"/>
      <c r="T15" s="149"/>
      <c r="U15" s="149"/>
      <c r="V15" s="149"/>
      <c r="W15" s="152">
        <v>7.9217685927930562E-2</v>
      </c>
      <c r="X15" s="152">
        <v>-2.8902991987573321E-2</v>
      </c>
      <c r="Y15" s="152">
        <v>0.6092956050379853</v>
      </c>
      <c r="Z15" s="152">
        <v>1.0869697350248428</v>
      </c>
      <c r="AA15" s="154">
        <v>8.5002794257196257E-3</v>
      </c>
      <c r="AB15" s="154">
        <v>-3.0835011124693557E-3</v>
      </c>
      <c r="AC15" s="154">
        <v>6.7268753259145164E-2</v>
      </c>
      <c r="AD15" s="154">
        <v>0.12315531707043914</v>
      </c>
    </row>
    <row r="16" spans="1:30" x14ac:dyDescent="0.25">
      <c r="A16" s="1"/>
      <c r="D16" s="157">
        <v>45341</v>
      </c>
      <c r="E16" s="152">
        <v>7.356670769765343E-2</v>
      </c>
      <c r="F16" s="152">
        <v>0.94406166122680246</v>
      </c>
      <c r="G16" s="152">
        <v>0.58886037106223355</v>
      </c>
      <c r="H16" s="152">
        <v>0.75676460453514083</v>
      </c>
      <c r="I16" s="152">
        <v>4.7164723476957944</v>
      </c>
      <c r="J16" s="154">
        <v>8.2978958413872927E-3</v>
      </c>
      <c r="K16" s="154">
        <v>0.11187222371386385</v>
      </c>
      <c r="L16" s="154">
        <v>6.8382646371358602E-2</v>
      </c>
      <c r="M16" s="154">
        <v>8.8724072647898611E-2</v>
      </c>
      <c r="N16" s="154">
        <v>0.69858495322912884</v>
      </c>
      <c r="O16" s="149"/>
      <c r="P16" s="149"/>
      <c r="Q16" s="149"/>
      <c r="R16" s="149"/>
      <c r="S16" s="149"/>
      <c r="T16" s="149"/>
      <c r="U16" s="149"/>
      <c r="V16" s="149"/>
      <c r="W16" s="152">
        <v>7.8938752160574069E-2</v>
      </c>
      <c r="X16" s="152">
        <v>-2.3211290815714752E-2</v>
      </c>
      <c r="Y16" s="152">
        <v>0.64504073158151731</v>
      </c>
      <c r="Z16" s="152">
        <v>1.0994136844958444</v>
      </c>
      <c r="AA16" s="154">
        <v>8.9065218293895576E-3</v>
      </c>
      <c r="AB16" s="154">
        <v>-2.603899637423579E-3</v>
      </c>
      <c r="AC16" s="154">
        <v>7.514617612142338E-2</v>
      </c>
      <c r="AD16" s="154">
        <v>0.13144523406235131</v>
      </c>
    </row>
    <row r="17" spans="1:30" x14ac:dyDescent="0.25">
      <c r="A17" s="1"/>
      <c r="D17" s="157">
        <v>45343</v>
      </c>
      <c r="E17" s="152">
        <v>7.9514790747674577E-2</v>
      </c>
      <c r="F17" s="152">
        <v>0.6798608527231802</v>
      </c>
      <c r="G17" s="152">
        <v>0.49717497554561974</v>
      </c>
      <c r="H17" s="152">
        <v>0.73162554487926157</v>
      </c>
      <c r="I17" s="152">
        <v>4.4500199241798359</v>
      </c>
      <c r="J17" s="154">
        <v>9.4115082070180822E-3</v>
      </c>
      <c r="K17" s="154">
        <v>8.3388030778352551E-2</v>
      </c>
      <c r="L17" s="154">
        <v>6.0320582254907551E-2</v>
      </c>
      <c r="M17" s="154">
        <v>9.0015048977825751E-2</v>
      </c>
      <c r="N17" s="154">
        <v>0.68918965958871303</v>
      </c>
      <c r="O17" s="149"/>
      <c r="P17" s="149"/>
      <c r="Q17" s="149"/>
      <c r="R17" s="149"/>
      <c r="S17" s="149"/>
      <c r="T17" s="149"/>
      <c r="U17" s="149"/>
      <c r="V17" s="149"/>
      <c r="W17" s="152">
        <v>7.8685765720414969E-2</v>
      </c>
      <c r="X17" s="152">
        <v>-1.8046397854348115E-2</v>
      </c>
      <c r="Y17" s="152">
        <v>0.56795722044296781</v>
      </c>
      <c r="Z17" s="152">
        <v>0.96079168451685248</v>
      </c>
      <c r="AA17" s="154">
        <v>9.3129278749484179E-3</v>
      </c>
      <c r="AB17" s="154">
        <v>-2.1237556267724722E-3</v>
      </c>
      <c r="AC17" s="154">
        <v>6.9199276608492122E-2</v>
      </c>
      <c r="AD17" s="154">
        <v>0.11984373959428218</v>
      </c>
    </row>
    <row r="18" spans="1:30" x14ac:dyDescent="0.25">
      <c r="A18" s="1"/>
      <c r="D18" s="157">
        <v>45344</v>
      </c>
      <c r="E18" s="152">
        <v>7.7348709304125102E-2</v>
      </c>
      <c r="F18" s="152">
        <v>0.62355984419415822</v>
      </c>
      <c r="G18" s="152">
        <v>0.46381813060218857</v>
      </c>
      <c r="H18" s="152">
        <v>0.74798711519483552</v>
      </c>
      <c r="I18" s="152">
        <v>4.3818725313294875</v>
      </c>
      <c r="J18" s="154">
        <v>9.3678340100427082E-3</v>
      </c>
      <c r="K18" s="154">
        <v>7.8066175539124982E-2</v>
      </c>
      <c r="L18" s="154">
        <v>5.7504960379131775E-2</v>
      </c>
      <c r="M18" s="154">
        <v>9.4358459433656394E-2</v>
      </c>
      <c r="N18" s="154">
        <v>0.69592061622662271</v>
      </c>
      <c r="O18" s="149"/>
      <c r="P18" s="149"/>
      <c r="Q18" s="149"/>
      <c r="R18" s="149"/>
      <c r="S18" s="149"/>
      <c r="T18" s="149"/>
      <c r="U18" s="149"/>
      <c r="V18" s="149"/>
      <c r="W18" s="152">
        <v>7.8567897038068879E-2</v>
      </c>
      <c r="X18" s="152">
        <v>-1.5640747598923033E-2</v>
      </c>
      <c r="Y18" s="152">
        <v>0.58803852540482116</v>
      </c>
      <c r="Z18" s="152">
        <v>1.1453438962778719</v>
      </c>
      <c r="AA18" s="154">
        <v>9.5161922840345525E-3</v>
      </c>
      <c r="AB18" s="154">
        <v>-1.8836836214469743E-3</v>
      </c>
      <c r="AC18" s="154">
        <v>7.3459741931189093E-2</v>
      </c>
      <c r="AD18" s="154">
        <v>0.14805459484286776</v>
      </c>
    </row>
    <row r="19" spans="1:30" x14ac:dyDescent="0.25">
      <c r="A19" s="1"/>
      <c r="D19" s="157">
        <v>45346</v>
      </c>
      <c r="E19" s="152">
        <v>7.7007662322498435E-2</v>
      </c>
      <c r="F19" s="152">
        <v>1.4230009351402761</v>
      </c>
      <c r="G19" s="152">
        <v>0.84474589395401989</v>
      </c>
      <c r="H19" s="152">
        <v>0.85220853935398866</v>
      </c>
      <c r="I19" s="152">
        <v>5.0744597173558983</v>
      </c>
      <c r="J19" s="154">
        <v>9.7523222158422129E-3</v>
      </c>
      <c r="K19" s="154">
        <v>0.1964239956948719</v>
      </c>
      <c r="L19" s="154">
        <v>0.11233468510858535</v>
      </c>
      <c r="M19" s="154">
        <v>0.11338132551091706</v>
      </c>
      <c r="N19" s="154">
        <v>0.8955725890055124</v>
      </c>
      <c r="O19" s="149"/>
      <c r="P19" s="149"/>
      <c r="Q19" s="149"/>
      <c r="R19" s="149"/>
      <c r="S19" s="149"/>
      <c r="T19" s="149"/>
      <c r="U19" s="149"/>
      <c r="V19" s="149"/>
      <c r="W19" s="152">
        <v>7.834753384933367E-2</v>
      </c>
      <c r="X19" s="152">
        <v>-1.1144604472057484E-2</v>
      </c>
      <c r="Y19" s="152">
        <v>0.60541130733123716</v>
      </c>
      <c r="Z19" s="152">
        <v>1.1412464178331387</v>
      </c>
      <c r="AA19" s="154">
        <v>9.9228439160310433E-3</v>
      </c>
      <c r="AB19" s="154">
        <v>-1.4035396107959786E-3</v>
      </c>
      <c r="AC19" s="154">
        <v>7.9284596864563905E-2</v>
      </c>
      <c r="AD19" s="154">
        <v>0.15468585004238822</v>
      </c>
    </row>
    <row r="20" spans="1:30" x14ac:dyDescent="0.25">
      <c r="A20" s="1"/>
      <c r="D20" s="157">
        <v>45347</v>
      </c>
      <c r="E20" s="152">
        <v>7.5068281370302747E-2</v>
      </c>
      <c r="F20" s="152">
        <v>1.3324469486193011</v>
      </c>
      <c r="G20" s="152">
        <v>0.79854835555250647</v>
      </c>
      <c r="H20" s="152">
        <v>0.83407644277198889</v>
      </c>
      <c r="I20" s="152">
        <v>5.0559098643547173</v>
      </c>
      <c r="J20" s="154">
        <v>9.7131964755576838E-3</v>
      </c>
      <c r="K20" s="154">
        <v>0.18717360536623784</v>
      </c>
      <c r="L20" s="154">
        <v>0.1082994067838321</v>
      </c>
      <c r="M20" s="154">
        <v>0.11338132551091706</v>
      </c>
      <c r="N20" s="154">
        <v>0.91752438035340411</v>
      </c>
      <c r="O20" s="149"/>
      <c r="P20" s="149"/>
      <c r="Q20" s="149"/>
      <c r="R20" s="149"/>
      <c r="S20" s="149"/>
      <c r="T20" s="149"/>
      <c r="U20" s="149"/>
      <c r="V20" s="149"/>
      <c r="W20" s="152">
        <v>7.8244385122691273E-2</v>
      </c>
      <c r="X20" s="152">
        <v>-9.0385911083628971E-3</v>
      </c>
      <c r="Y20" s="152">
        <v>0.59253021568589159</v>
      </c>
      <c r="Z20" s="152">
        <v>1.1169645791558378</v>
      </c>
      <c r="AA20" s="154">
        <v>1.0126231155430876E-2</v>
      </c>
      <c r="AB20" s="154">
        <v>-1.1631963376678156E-3</v>
      </c>
      <c r="AC20" s="154">
        <v>7.9284596864563905E-2</v>
      </c>
      <c r="AD20" s="154">
        <v>0.15468585004238822</v>
      </c>
    </row>
    <row r="21" spans="1:30" x14ac:dyDescent="0.25">
      <c r="A21" s="1"/>
      <c r="D21" s="157">
        <v>45348</v>
      </c>
      <c r="E21" s="152">
        <v>7.893133677807021E-2</v>
      </c>
      <c r="F21" s="152">
        <v>1.340109781600521</v>
      </c>
      <c r="G21" s="152">
        <v>0.79473661297701359</v>
      </c>
      <c r="H21" s="152">
        <v>0.87244030596541511</v>
      </c>
      <c r="I21" s="152">
        <v>4.8427577417745606</v>
      </c>
      <c r="J21" s="154">
        <v>1.0434070613503543E-2</v>
      </c>
      <c r="K21" s="154">
        <v>0.19271666274617827</v>
      </c>
      <c r="L21" s="154">
        <v>0.11017016792131495</v>
      </c>
      <c r="M21" s="154">
        <v>0.12157267653588177</v>
      </c>
      <c r="N21" s="154">
        <v>0.89052735245867232</v>
      </c>
      <c r="O21" s="149"/>
      <c r="P21" s="149"/>
      <c r="Q21" s="149"/>
      <c r="R21" s="149"/>
      <c r="S21" s="149"/>
      <c r="T21" s="149"/>
      <c r="U21" s="149"/>
      <c r="V21" s="149"/>
      <c r="W21" s="152">
        <v>7.8145534259658644E-2</v>
      </c>
      <c r="X21" s="152">
        <v>-7.0207685790072884E-3</v>
      </c>
      <c r="Y21" s="152">
        <v>0.66561327211776311</v>
      </c>
      <c r="Z21" s="152">
        <v>1.1502721733424193</v>
      </c>
      <c r="AA21" s="154">
        <v>1.0329659354760823E-2</v>
      </c>
      <c r="AB21" s="154">
        <v>-9.2285306453965266E-4</v>
      </c>
      <c r="AC21" s="154">
        <v>9.1477959858428326E-2</v>
      </c>
      <c r="AD21" s="154">
        <v>0.16330916164067699</v>
      </c>
    </row>
    <row r="22" spans="1:30" x14ac:dyDescent="0.25">
      <c r="A22" s="1"/>
      <c r="D22" s="157">
        <v>45349</v>
      </c>
      <c r="E22" s="152">
        <v>7.9029188313075704E-2</v>
      </c>
      <c r="F22" s="152">
        <v>1.2466166211128726</v>
      </c>
      <c r="G22" s="152">
        <v>0.7262034730666771</v>
      </c>
      <c r="H22" s="152">
        <v>0.92087440123329345</v>
      </c>
      <c r="I22" s="152">
        <v>5.1473727293221812</v>
      </c>
      <c r="J22" s="154">
        <v>1.0665877104976573E-2</v>
      </c>
      <c r="K22" s="154">
        <v>0.18217269473606579</v>
      </c>
      <c r="L22" s="154">
        <v>0.10240078048156098</v>
      </c>
      <c r="M22" s="154">
        <v>0.13159057861015278</v>
      </c>
      <c r="N22" s="154">
        <v>0.99574449448959834</v>
      </c>
      <c r="O22" s="149"/>
      <c r="P22" s="149"/>
      <c r="Q22" s="149"/>
      <c r="R22" s="149"/>
      <c r="S22" s="149"/>
      <c r="T22" s="149"/>
      <c r="U22" s="149"/>
      <c r="V22" s="149"/>
      <c r="W22" s="152">
        <v>7.8050718125729668E-2</v>
      </c>
      <c r="X22" s="152">
        <v>-5.0857372376698143E-3</v>
      </c>
      <c r="Y22" s="152">
        <v>0.67538997835235115</v>
      </c>
      <c r="Z22" s="152">
        <v>1.162857613666977</v>
      </c>
      <c r="AA22" s="154">
        <v>1.0533128522269841E-2</v>
      </c>
      <c r="AB22" s="154">
        <v>-6.8250979141137869E-4</v>
      </c>
      <c r="AC22" s="154">
        <v>9.4906303047786134E-2</v>
      </c>
      <c r="AD22" s="154">
        <v>0.16895437453489026</v>
      </c>
    </row>
    <row r="23" spans="1:30" x14ac:dyDescent="0.25">
      <c r="A23" s="1"/>
      <c r="D23" s="157">
        <v>45350</v>
      </c>
      <c r="E23" s="152">
        <v>7.9106101219215352E-2</v>
      </c>
      <c r="F23" s="152">
        <v>1.0161241450953422</v>
      </c>
      <c r="G23" s="152">
        <v>0.62364110229373693</v>
      </c>
      <c r="H23" s="152">
        <v>0.81764787900039149</v>
      </c>
      <c r="I23" s="152">
        <v>5.9764485745603499</v>
      </c>
      <c r="J23" s="154">
        <v>1.0895379231075086E-2</v>
      </c>
      <c r="K23" s="154">
        <v>0.14934830261926213</v>
      </c>
      <c r="L23" s="154">
        <v>8.9185629372961372E-2</v>
      </c>
      <c r="M23" s="154">
        <v>0.1185201967345404</v>
      </c>
      <c r="N23" s="154">
        <v>1.2675310253922412</v>
      </c>
      <c r="O23" s="149"/>
      <c r="P23" s="149"/>
      <c r="Q23" s="149"/>
      <c r="R23" s="149"/>
      <c r="S23" s="149"/>
      <c r="T23" s="149"/>
      <c r="U23" s="149"/>
      <c r="V23" s="149"/>
      <c r="W23" s="152">
        <v>7.7959694637157989E-2</v>
      </c>
      <c r="X23" s="152">
        <v>-3.2285294098844254E-3</v>
      </c>
      <c r="Y23" s="152">
        <v>0.64470029825640218</v>
      </c>
      <c r="Z23" s="152">
        <v>1.110304002220615</v>
      </c>
      <c r="AA23" s="154">
        <v>1.0736638666208442E-2</v>
      </c>
      <c r="AB23" s="154">
        <v>-4.4216651828321574E-4</v>
      </c>
      <c r="AC23" s="154">
        <v>9.2332271915323227E-2</v>
      </c>
      <c r="AD23" s="154">
        <v>0.16427251189951697</v>
      </c>
    </row>
    <row r="24" spans="1:30" x14ac:dyDescent="0.25">
      <c r="A24" s="1"/>
      <c r="D24" s="157">
        <v>45351</v>
      </c>
      <c r="E24" s="152">
        <v>7.9032081391323977E-2</v>
      </c>
      <c r="F24" s="152">
        <v>0.91031748492379083</v>
      </c>
      <c r="G24" s="152">
        <v>0.56121134584479337</v>
      </c>
      <c r="H24" s="152">
        <v>0.76999698094341962</v>
      </c>
      <c r="I24" s="152">
        <v>5.5026765381344855</v>
      </c>
      <c r="J24" s="154">
        <v>1.1104035969950576E-2</v>
      </c>
      <c r="K24" s="154">
        <v>0.13563849774462655</v>
      </c>
      <c r="L24" s="154">
        <v>8.1572317428075358E-2</v>
      </c>
      <c r="M24" s="154">
        <v>0.11358954184964332</v>
      </c>
      <c r="N24" s="154">
        <v>1.1573209106618623</v>
      </c>
      <c r="O24" s="149"/>
      <c r="P24" s="149"/>
      <c r="Q24" s="149"/>
      <c r="R24" s="149"/>
      <c r="S24" s="149"/>
      <c r="T24" s="149"/>
      <c r="U24" s="149"/>
      <c r="V24" s="149"/>
      <c r="W24" s="152">
        <v>7.7872240697158479E-2</v>
      </c>
      <c r="X24" s="152">
        <v>-1.4445670428531138E-3</v>
      </c>
      <c r="Y24" s="152">
        <v>0.60044052923362534</v>
      </c>
      <c r="Z24" s="152">
        <v>1.0942411550096589</v>
      </c>
      <c r="AA24" s="154">
        <v>1.0940189794828914E-2</v>
      </c>
      <c r="AB24" s="154">
        <v>-2.0182324515505279E-4</v>
      </c>
      <c r="AC24" s="154">
        <v>8.751705850373348E-2</v>
      </c>
      <c r="AD24" s="154">
        <v>0.16520142562417539</v>
      </c>
    </row>
    <row r="25" spans="1:30" x14ac:dyDescent="0.25">
      <c r="A25" s="1"/>
      <c r="D25" s="157">
        <v>45352</v>
      </c>
      <c r="E25" s="152">
        <v>7.7264375749742834E-2</v>
      </c>
      <c r="F25" s="152">
        <v>0.8654308059094622</v>
      </c>
      <c r="G25" s="152">
        <v>0.53679043736881982</v>
      </c>
      <c r="H25" s="152">
        <v>0.7638010890645609</v>
      </c>
      <c r="I25" s="152">
        <v>5.3929596316437998</v>
      </c>
      <c r="J25" s="154">
        <v>1.1068333237070904E-2</v>
      </c>
      <c r="K25" s="154">
        <v>0.13121723468796986</v>
      </c>
      <c r="L25" s="154">
        <v>7.9474397929672147E-2</v>
      </c>
      <c r="M25" s="154">
        <v>0.11495661921342304</v>
      </c>
      <c r="N25" s="154">
        <v>1.1561237667146229</v>
      </c>
      <c r="O25" s="149"/>
      <c r="P25" s="149"/>
      <c r="Q25" s="149"/>
      <c r="R25" s="149"/>
      <c r="S25" s="149"/>
      <c r="T25" s="149"/>
      <c r="U25" s="149"/>
      <c r="V25" s="149"/>
      <c r="W25" s="152">
        <v>7.7788150370234926E-2</v>
      </c>
      <c r="X25" s="152">
        <v>2.7227977587913552E-4</v>
      </c>
      <c r="Y25" s="152">
        <v>0.51488881600390823</v>
      </c>
      <c r="Z25" s="152">
        <v>1.0551782143262973</v>
      </c>
      <c r="AA25" s="154">
        <v>1.1143781916384876E-2</v>
      </c>
      <c r="AB25" s="154">
        <v>3.8791295775775225E-5</v>
      </c>
      <c r="AC25" s="154">
        <v>7.6111437796096748E-2</v>
      </c>
      <c r="AD25" s="154">
        <v>0.16221394490587171</v>
      </c>
    </row>
    <row r="26" spans="1:30" x14ac:dyDescent="0.25">
      <c r="A26" s="1"/>
      <c r="D26" s="157">
        <v>45357</v>
      </c>
      <c r="E26" s="152">
        <v>7.8684805173133407E-2</v>
      </c>
      <c r="F26" s="152">
        <v>0.98422079151424435</v>
      </c>
      <c r="G26" s="152">
        <v>0.60069070705619532</v>
      </c>
      <c r="H26" s="152">
        <v>0.75866658787202434</v>
      </c>
      <c r="I26" s="152">
        <v>5.2932941122439816</v>
      </c>
      <c r="J26" s="154">
        <v>1.2363568840843886E-2</v>
      </c>
      <c r="K26" s="154">
        <v>0.16614126393796491</v>
      </c>
      <c r="L26" s="154">
        <v>9.8347188557741383E-2</v>
      </c>
      <c r="M26" s="154">
        <v>0.12578064313426141</v>
      </c>
      <c r="N26" s="154">
        <v>1.2855895779497688</v>
      </c>
      <c r="O26" s="149"/>
      <c r="P26" s="149"/>
      <c r="Q26" s="149"/>
      <c r="R26" s="149"/>
      <c r="S26" s="149"/>
      <c r="T26" s="149"/>
      <c r="U26" s="149"/>
      <c r="V26" s="149"/>
      <c r="W26" s="152">
        <v>7.7411956802419177E-2</v>
      </c>
      <c r="X26" s="152">
        <v>7.9490881860759689E-3</v>
      </c>
      <c r="Y26" s="152">
        <v>0.51216614475669131</v>
      </c>
      <c r="Z26" s="152">
        <v>0.96464632359069691</v>
      </c>
      <c r="AA26" s="154">
        <v>1.2162357707200533E-2</v>
      </c>
      <c r="AB26" s="154">
        <v>1.2421352682323583E-3</v>
      </c>
      <c r="AC26" s="154">
        <v>8.3267688142814489E-2</v>
      </c>
      <c r="AD26" s="154">
        <v>0.1625820056413434</v>
      </c>
    </row>
    <row r="27" spans="1:30" x14ac:dyDescent="0.25">
      <c r="A27" s="1"/>
      <c r="D27" s="157">
        <v>45358</v>
      </c>
      <c r="E27" s="152">
        <v>7.8546839469312429E-2</v>
      </c>
      <c r="F27" s="152">
        <v>1.1532933021698184</v>
      </c>
      <c r="G27" s="152">
        <v>0.6962240662962047</v>
      </c>
      <c r="H27" s="152">
        <v>0.75672356879392944</v>
      </c>
      <c r="I27" s="152">
        <v>5.2284688284055019</v>
      </c>
      <c r="J27" s="154">
        <v>1.2559633539260595E-2</v>
      </c>
      <c r="K27" s="154">
        <v>0.20113031818609817</v>
      </c>
      <c r="L27" s="154">
        <v>0.11698474773966638</v>
      </c>
      <c r="M27" s="154">
        <v>0.1277747967861107</v>
      </c>
      <c r="N27" s="154">
        <v>1.2952119304962495</v>
      </c>
      <c r="O27" s="149"/>
      <c r="P27" s="149"/>
      <c r="Q27" s="149"/>
      <c r="R27" s="149"/>
      <c r="S27" s="149"/>
      <c r="T27" s="149"/>
      <c r="U27" s="149"/>
      <c r="V27" s="149"/>
      <c r="W27" s="152">
        <v>7.7344501404052732E-2</v>
      </c>
      <c r="X27" s="152">
        <v>9.3258915144560379E-3</v>
      </c>
      <c r="Y27" s="152">
        <v>0.53483953159926245</v>
      </c>
      <c r="Z27" s="152">
        <v>1.0440314631088705</v>
      </c>
      <c r="AA27" s="154">
        <v>1.236619595979449E-2</v>
      </c>
      <c r="AB27" s="154">
        <v>1.4830210769656293E-3</v>
      </c>
      <c r="AC27" s="154">
        <v>8.8704219413964225E-2</v>
      </c>
      <c r="AD27" s="154">
        <v>0.18045610095459308</v>
      </c>
    </row>
    <row r="28" spans="1:30" x14ac:dyDescent="0.25">
      <c r="A28" s="1"/>
      <c r="D28" s="157">
        <v>45359</v>
      </c>
      <c r="E28" s="152">
        <v>7.7027810622085691E-2</v>
      </c>
      <c r="F28" s="152">
        <v>1.1113483747911688</v>
      </c>
      <c r="G28" s="152">
        <v>0.67311825877961806</v>
      </c>
      <c r="H28" s="152">
        <v>0.74389774559403243</v>
      </c>
      <c r="I28" s="152">
        <v>5.1936641538714969</v>
      </c>
      <c r="J28" s="154">
        <v>1.252890805669904E-2</v>
      </c>
      <c r="K28" s="154">
        <v>0.1967895708540961</v>
      </c>
      <c r="L28" s="154">
        <v>0.11494538000833865</v>
      </c>
      <c r="M28" s="154">
        <v>0.1277747967861107</v>
      </c>
      <c r="N28" s="154">
        <v>1.315264173233254</v>
      </c>
      <c r="O28" s="149"/>
      <c r="P28" s="149"/>
      <c r="Q28" s="149"/>
      <c r="R28" s="149"/>
      <c r="S28" s="149"/>
      <c r="T28" s="149"/>
      <c r="U28" s="149"/>
      <c r="V28" s="149"/>
      <c r="W28" s="152">
        <v>7.7279332629359945E-2</v>
      </c>
      <c r="X28" s="152">
        <v>1.0655665631690061E-2</v>
      </c>
      <c r="Y28" s="152">
        <v>0.54176741996737332</v>
      </c>
      <c r="Z28" s="152">
        <v>1.0018082697209147</v>
      </c>
      <c r="AA28" s="154">
        <v>1.2570075263147684E-2</v>
      </c>
      <c r="AB28" s="154">
        <v>1.7239068856991224E-3</v>
      </c>
      <c r="AC28" s="154">
        <v>9.1522339705539801E-2</v>
      </c>
      <c r="AD28" s="154">
        <v>0.17578514301891945</v>
      </c>
    </row>
    <row r="29" spans="1:30" x14ac:dyDescent="0.25">
      <c r="A29" s="1"/>
      <c r="D29" s="157">
        <v>45362</v>
      </c>
      <c r="E29" s="152">
        <v>7.8185926202744685E-2</v>
      </c>
      <c r="F29" s="152">
        <v>0.62789149155136648</v>
      </c>
      <c r="G29" s="152">
        <v>0.44132974786182</v>
      </c>
      <c r="H29" s="152">
        <v>0.63257524219931571</v>
      </c>
      <c r="I29" s="152">
        <v>5.3500843153984681</v>
      </c>
      <c r="J29" s="154">
        <v>1.3369479885652957E-2</v>
      </c>
      <c r="K29" s="154">
        <v>0.11255096031141254</v>
      </c>
      <c r="L29" s="154">
        <v>7.784707339262753E-2</v>
      </c>
      <c r="M29" s="154">
        <v>0.11343645360651355</v>
      </c>
      <c r="N29" s="154">
        <v>1.4812970943287409</v>
      </c>
      <c r="O29" s="149"/>
      <c r="P29" s="149"/>
      <c r="Q29" s="149"/>
      <c r="R29" s="149"/>
      <c r="S29" s="149"/>
      <c r="T29" s="149"/>
      <c r="U29" s="149"/>
      <c r="V29" s="149"/>
      <c r="W29" s="152">
        <v>7.7096439616510234E-2</v>
      </c>
      <c r="X29" s="152">
        <v>1.3829558470542271E-2</v>
      </c>
      <c r="Y29" s="152">
        <v>0.40165910432082425</v>
      </c>
      <c r="Z29" s="152">
        <v>0.83282947879870572</v>
      </c>
      <c r="AA29" s="154">
        <v>1.3181959560442102E-2</v>
      </c>
      <c r="AB29" s="154">
        <v>2.3518918487821505E-3</v>
      </c>
      <c r="AC29" s="154">
        <v>7.0608336754280021E-2</v>
      </c>
      <c r="AD29" s="154">
        <v>0.15196240266524597</v>
      </c>
    </row>
    <row r="30" spans="1:30" x14ac:dyDescent="0.25">
      <c r="A30" s="1"/>
      <c r="D30" s="157">
        <v>45363</v>
      </c>
      <c r="E30" s="152">
        <v>7.8274867519875474E-2</v>
      </c>
      <c r="F30" s="152">
        <v>0.72650324443809422</v>
      </c>
      <c r="G30" s="152">
        <v>0.4930110433471564</v>
      </c>
      <c r="H30" s="152">
        <v>0.68865285072790672</v>
      </c>
      <c r="I30" s="152">
        <v>5.3211899841159163</v>
      </c>
      <c r="J30" s="154">
        <v>1.3602135212306354E-2</v>
      </c>
      <c r="K30" s="154">
        <v>0.13359777929737904</v>
      </c>
      <c r="L30" s="154">
        <v>8.8820561574364243E-2</v>
      </c>
      <c r="M30" s="154">
        <v>0.12621603147807292</v>
      </c>
      <c r="N30" s="154">
        <v>1.505408937862954</v>
      </c>
      <c r="O30" s="149"/>
      <c r="P30" s="149"/>
      <c r="Q30" s="149"/>
      <c r="R30" s="149"/>
      <c r="S30" s="149"/>
      <c r="T30" s="149"/>
      <c r="U30" s="149"/>
      <c r="V30" s="149"/>
      <c r="W30" s="152">
        <v>7.7039346030488468E-2</v>
      </c>
      <c r="X30" s="152">
        <v>1.4727877387627685E-2</v>
      </c>
      <c r="Y30" s="152">
        <v>0.40332346823432191</v>
      </c>
      <c r="Z30" s="152">
        <v>0.89218831445277458</v>
      </c>
      <c r="AA30" s="154">
        <v>1.338600314952032E-2</v>
      </c>
      <c r="AB30" s="154">
        <v>2.5453057920556965E-3</v>
      </c>
      <c r="AC30" s="154">
        <v>7.2095061632512669E-2</v>
      </c>
      <c r="AD30" s="154">
        <v>0.16648405982429315</v>
      </c>
    </row>
    <row r="31" spans="1:30" x14ac:dyDescent="0.25">
      <c r="A31" s="1"/>
      <c r="D31" s="157">
        <v>45364</v>
      </c>
      <c r="E31" s="152">
        <v>7.8215841191771579E-2</v>
      </c>
      <c r="F31" s="152">
        <v>0.45259950108250951</v>
      </c>
      <c r="G31" s="152">
        <v>0.3497076525578835</v>
      </c>
      <c r="H31" s="152">
        <v>0.58795806090721947</v>
      </c>
      <c r="I31" s="152">
        <v>4.9549042630207722</v>
      </c>
      <c r="J31" s="154">
        <v>1.3809034416998323E-2</v>
      </c>
      <c r="K31" s="154">
        <v>8.2593891054657753E-2</v>
      </c>
      <c r="L31" s="154">
        <v>6.3237609956928065E-2</v>
      </c>
      <c r="M31" s="154">
        <v>0.10859563007980766</v>
      </c>
      <c r="N31" s="154">
        <v>1.3840605110914588</v>
      </c>
      <c r="O31" s="149"/>
      <c r="P31" s="149"/>
      <c r="Q31" s="149"/>
      <c r="R31" s="149"/>
      <c r="S31" s="149"/>
      <c r="T31" s="149"/>
      <c r="U31" s="149"/>
      <c r="V31" s="149"/>
      <c r="W31" s="152">
        <v>7.6984036619030027E-2</v>
      </c>
      <c r="X31" s="152">
        <v>1.559791157255277E-2</v>
      </c>
      <c r="Y31" s="152">
        <v>0.39046645980618322</v>
      </c>
      <c r="Z31" s="152">
        <v>0.86070638404037103</v>
      </c>
      <c r="AA31" s="154">
        <v>1.3590087830710251E-2</v>
      </c>
      <c r="AB31" s="154">
        <v>2.7387197353294646E-3</v>
      </c>
      <c r="AC31" s="154">
        <v>7.0863520875170671E-2</v>
      </c>
      <c r="AD31" s="154">
        <v>0.16290173778148587</v>
      </c>
    </row>
    <row r="32" spans="1:30" x14ac:dyDescent="0.25">
      <c r="A32" s="1"/>
      <c r="D32" s="157">
        <v>45365</v>
      </c>
      <c r="E32" s="152">
        <v>7.8126571578132104E-2</v>
      </c>
      <c r="F32" s="152">
        <v>0.3329195634559779</v>
      </c>
      <c r="G32" s="152">
        <v>0.29650613294069572</v>
      </c>
      <c r="H32" s="152">
        <v>0.516545048923852</v>
      </c>
      <c r="I32" s="152">
        <v>5.0877361562834658</v>
      </c>
      <c r="J32" s="154">
        <v>1.4010186628206078E-2</v>
      </c>
      <c r="K32" s="154">
        <v>6.1079775254880619E-2</v>
      </c>
      <c r="L32" s="154">
        <v>5.4221375799541782E-2</v>
      </c>
      <c r="M32" s="154">
        <v>9.6351089611846019E-2</v>
      </c>
      <c r="N32" s="154">
        <v>1.4744922065836543</v>
      </c>
      <c r="O32" s="149"/>
      <c r="P32" s="149"/>
      <c r="Q32" s="149"/>
      <c r="R32" s="149"/>
      <c r="S32" s="149"/>
      <c r="T32" s="149"/>
      <c r="U32" s="149"/>
      <c r="V32" s="149"/>
      <c r="W32" s="152">
        <v>7.6930429035615949E-2</v>
      </c>
      <c r="X32" s="152">
        <v>1.6442485374568296E-2</v>
      </c>
      <c r="Y32" s="152">
        <v>0.28881653252915435</v>
      </c>
      <c r="Z32" s="152">
        <v>0.73567652433211161</v>
      </c>
      <c r="AA32" s="154">
        <v>1.3794213612287276E-2</v>
      </c>
      <c r="AB32" s="154">
        <v>2.9324049464056756E-3</v>
      </c>
      <c r="AC32" s="154">
        <v>5.2778733177264225E-2</v>
      </c>
      <c r="AD32" s="154">
        <v>0.13998019322879229</v>
      </c>
    </row>
    <row r="33" spans="1:30" x14ac:dyDescent="0.25">
      <c r="A33" s="1"/>
      <c r="D33" s="157">
        <v>45369</v>
      </c>
      <c r="E33" s="152">
        <v>7.7688332460825113E-2</v>
      </c>
      <c r="F33" s="152">
        <v>0.27424052590907477</v>
      </c>
      <c r="G33" s="152">
        <v>0.2409965057856118</v>
      </c>
      <c r="H33" s="152">
        <v>0.87138914415825952</v>
      </c>
      <c r="I33" s="152">
        <v>4.4368370943447157</v>
      </c>
      <c r="J33" s="154">
        <v>1.4794660911045199E-2</v>
      </c>
      <c r="K33" s="154">
        <v>5.321009066843474E-2</v>
      </c>
      <c r="L33" s="154">
        <v>4.6611961244774625E-2</v>
      </c>
      <c r="M33" s="154">
        <v>0.17907279040978352</v>
      </c>
      <c r="N33" s="154">
        <v>1.3134607107119631</v>
      </c>
      <c r="O33" s="149"/>
      <c r="P33" s="149"/>
      <c r="Q33" s="149"/>
      <c r="R33" s="149"/>
      <c r="S33" s="149"/>
      <c r="T33" s="149"/>
      <c r="U33" s="149"/>
      <c r="V33" s="149"/>
      <c r="W33" s="152">
        <v>7.6731537131936978E-2</v>
      </c>
      <c r="X33" s="152">
        <v>1.9571145161198285E-2</v>
      </c>
      <c r="Y33" s="152">
        <v>0.2303208881905954</v>
      </c>
      <c r="Z33" s="152">
        <v>0.65018709645774542</v>
      </c>
      <c r="AA33" s="154">
        <v>1.461112790803587E-2</v>
      </c>
      <c r="AB33" s="154">
        <v>3.7066032551051897E-3</v>
      </c>
      <c r="AC33" s="154">
        <v>4.4501891690983175E-2</v>
      </c>
      <c r="AD33" s="154">
        <v>0.13078499937131749</v>
      </c>
    </row>
    <row r="34" spans="1:30" x14ac:dyDescent="0.25">
      <c r="A34" s="1"/>
      <c r="D34" s="157">
        <v>45370</v>
      </c>
      <c r="E34" s="152">
        <v>7.7724339799294329E-2</v>
      </c>
      <c r="F34" s="152">
        <v>0.44236431600000647</v>
      </c>
      <c r="G34" s="152">
        <v>0.32137705032081437</v>
      </c>
      <c r="H34" s="152">
        <v>0.55787097313369816</v>
      </c>
      <c r="I34" s="152">
        <v>4.2390587163324147</v>
      </c>
      <c r="J34" s="154">
        <v>1.5017686809214892E-2</v>
      </c>
      <c r="K34" s="154">
        <v>8.8539611689779418E-2</v>
      </c>
      <c r="L34" s="154">
        <v>6.35729577493509E-2</v>
      </c>
      <c r="M34" s="154">
        <v>0.11292196079907324</v>
      </c>
      <c r="N34" s="154">
        <v>1.2545945690083387</v>
      </c>
      <c r="O34" s="149"/>
      <c r="P34" s="149"/>
      <c r="Q34" s="149"/>
      <c r="R34" s="149"/>
      <c r="S34" s="149"/>
      <c r="T34" s="149"/>
      <c r="U34" s="149"/>
      <c r="V34" s="149"/>
      <c r="W34" s="152">
        <v>7.6685365797154362E-2</v>
      </c>
      <c r="X34" s="152">
        <v>2.0297660745788513E-2</v>
      </c>
      <c r="Y34" s="152">
        <v>0.24742861030488908</v>
      </c>
      <c r="Z34" s="152">
        <v>0.69067012075658429</v>
      </c>
      <c r="AA34" s="154">
        <v>1.4815459315739687E-2</v>
      </c>
      <c r="AB34" s="154">
        <v>3.9002884661811787E-3</v>
      </c>
      <c r="AC34" s="154">
        <v>4.8595932587012225E-2</v>
      </c>
      <c r="AD34" s="154">
        <v>0.1416302485223373</v>
      </c>
    </row>
    <row r="35" spans="1:30" x14ac:dyDescent="0.25">
      <c r="A35" s="1"/>
      <c r="D35" s="157">
        <v>45371</v>
      </c>
      <c r="E35" s="152">
        <v>7.7240059865649982E-2</v>
      </c>
      <c r="F35" s="152">
        <v>0.65402781955837075</v>
      </c>
      <c r="G35" s="152">
        <v>0.34807771405672555</v>
      </c>
      <c r="H35" s="152">
        <v>0.68371501326235418</v>
      </c>
      <c r="I35" s="152">
        <v>4.4004404728250357</v>
      </c>
      <c r="J35" s="154">
        <v>1.5138218178869289E-2</v>
      </c>
      <c r="K35" s="154">
        <v>0.13566893779919376</v>
      </c>
      <c r="L35" s="154">
        <v>7.0053093852681103E-2</v>
      </c>
      <c r="M35" s="154">
        <v>0.14224613641091777</v>
      </c>
      <c r="N35" s="154">
        <v>1.3536706587431149</v>
      </c>
      <c r="O35" s="149"/>
      <c r="P35" s="149"/>
      <c r="Q35" s="149"/>
      <c r="R35" s="149"/>
      <c r="S35" s="149"/>
      <c r="T35" s="149"/>
      <c r="U35" s="149"/>
      <c r="V35" s="149"/>
      <c r="W35" s="152">
        <v>7.6640495063351355E-2</v>
      </c>
      <c r="X35" s="152">
        <v>2.100490860439562E-2</v>
      </c>
      <c r="Y35" s="152">
        <v>0.33532477101507857</v>
      </c>
      <c r="Z35" s="152">
        <v>0.81789582939662986</v>
      </c>
      <c r="AA35" s="154">
        <v>1.501983187351863E-2</v>
      </c>
      <c r="AB35" s="154">
        <v>4.0942449450600549E-3</v>
      </c>
      <c r="AC35" s="154">
        <v>6.7401892800479368E-2</v>
      </c>
      <c r="AD35" s="154">
        <v>0.17245230784177434</v>
      </c>
    </row>
    <row r="36" spans="1:30" x14ac:dyDescent="0.25">
      <c r="A36" s="1"/>
      <c r="D36" s="157">
        <v>45373</v>
      </c>
      <c r="E36" s="152">
        <v>7.4143672485966164E-2</v>
      </c>
      <c r="F36" s="152">
        <v>0.62217354535844815</v>
      </c>
      <c r="G36" s="152">
        <v>0.33216544494642386</v>
      </c>
      <c r="H36" s="152">
        <v>0.64254345692364889</v>
      </c>
      <c r="I36" s="152">
        <v>4.257440821703792</v>
      </c>
      <c r="J36" s="154">
        <v>1.4939225653035404E-2</v>
      </c>
      <c r="K36" s="154">
        <v>0.13250807554273414</v>
      </c>
      <c r="L36" s="154">
        <v>6.8689454591266852E-2</v>
      </c>
      <c r="M36" s="154">
        <v>0.13713130449392152</v>
      </c>
      <c r="N36" s="154">
        <v>1.3431312229563033</v>
      </c>
      <c r="O36" s="149"/>
      <c r="P36" s="149"/>
      <c r="Q36" s="149"/>
      <c r="R36" s="149"/>
      <c r="S36" s="149"/>
      <c r="T36" s="149"/>
      <c r="U36" s="149"/>
      <c r="V36" s="149"/>
      <c r="W36" s="152">
        <v>7.6554441601262999E-2</v>
      </c>
      <c r="X36" s="152">
        <v>2.2359364451373692E-2</v>
      </c>
      <c r="Y36" s="152">
        <v>0.37516590413664785</v>
      </c>
      <c r="Z36" s="152">
        <v>0.85365652393204394</v>
      </c>
      <c r="AA36" s="154">
        <v>1.5428700472452261E-2</v>
      </c>
      <c r="AB36" s="154">
        <v>4.4818866350151421E-3</v>
      </c>
      <c r="AC36" s="154">
        <v>7.7919916565887481E-2</v>
      </c>
      <c r="AD36" s="154">
        <v>0.1861719874632497</v>
      </c>
    </row>
    <row r="37" spans="1:30" x14ac:dyDescent="0.25">
      <c r="A37" s="1"/>
      <c r="D37" s="157">
        <v>45374</v>
      </c>
      <c r="E37" s="152">
        <v>7.5446680694279608E-2</v>
      </c>
      <c r="F37" s="152">
        <v>0.69178740178790543</v>
      </c>
      <c r="G37" s="152">
        <v>0.44180421806528769</v>
      </c>
      <c r="H37" s="152">
        <v>0.60238690945886808</v>
      </c>
      <c r="I37" s="152">
        <v>4.2151440231561832</v>
      </c>
      <c r="J37" s="154">
        <v>1.541362253783074E-2</v>
      </c>
      <c r="K37" s="154">
        <v>0.15056461137966881</v>
      </c>
      <c r="L37" s="154">
        <v>9.370527467546097E-2</v>
      </c>
      <c r="M37" s="154">
        <v>0.12989844497971803</v>
      </c>
      <c r="N37" s="154">
        <v>1.3503802989903506</v>
      </c>
      <c r="O37" s="149"/>
      <c r="P37" s="149"/>
      <c r="Q37" s="149"/>
      <c r="R37" s="149"/>
      <c r="S37" s="149"/>
      <c r="T37" s="149"/>
      <c r="U37" s="149"/>
      <c r="V37" s="149"/>
      <c r="W37" s="152">
        <v>7.6513159197153152E-2</v>
      </c>
      <c r="X37" s="152">
        <v>2.3008195795012492E-2</v>
      </c>
      <c r="Y37" s="152">
        <v>0.37009609462128773</v>
      </c>
      <c r="Z37" s="152">
        <v>0.84212062495998941</v>
      </c>
      <c r="AA37" s="154">
        <v>1.5633196530186355E-2</v>
      </c>
      <c r="AB37" s="154">
        <v>4.6755718460913531E-3</v>
      </c>
      <c r="AC37" s="154">
        <v>7.7919916565887481E-2</v>
      </c>
      <c r="AD37" s="154">
        <v>0.1861719874632497</v>
      </c>
    </row>
    <row r="38" spans="1:30" x14ac:dyDescent="0.25">
      <c r="A38" s="1"/>
      <c r="D38" s="157">
        <v>45375</v>
      </c>
      <c r="E38" s="152">
        <v>7.3992649634371827E-2</v>
      </c>
      <c r="F38" s="152">
        <v>0.67573780379027826</v>
      </c>
      <c r="G38" s="152">
        <v>0.43216973413173193</v>
      </c>
      <c r="H38" s="152">
        <v>0.63774140870984497</v>
      </c>
      <c r="I38" s="152">
        <v>4.2112163836419159</v>
      </c>
      <c r="J38" s="154">
        <v>1.5320137434415182E-2</v>
      </c>
      <c r="K38" s="154">
        <v>0.14895201277457204</v>
      </c>
      <c r="L38" s="154">
        <v>9.2864247960819934E-2</v>
      </c>
      <c r="M38" s="154">
        <v>0.14001652192078451</v>
      </c>
      <c r="N38" s="154">
        <v>1.3757624914546169</v>
      </c>
      <c r="O38" s="149"/>
      <c r="P38" s="149"/>
      <c r="Q38" s="149"/>
      <c r="R38" s="149"/>
      <c r="S38" s="149"/>
      <c r="T38" s="149"/>
      <c r="U38" s="149"/>
      <c r="V38" s="149"/>
      <c r="W38" s="152">
        <v>7.6472977657153288E-2</v>
      </c>
      <c r="X38" s="152">
        <v>2.3640857869557413E-2</v>
      </c>
      <c r="Y38" s="152">
        <v>0.36516148002633719</v>
      </c>
      <c r="Z38" s="152">
        <v>0.83089234996052275</v>
      </c>
      <c r="AA38" s="154">
        <v>1.5837733771154383E-2</v>
      </c>
      <c r="AB38" s="154">
        <v>4.8695283249700072E-3</v>
      </c>
      <c r="AC38" s="154">
        <v>7.7919916565887481E-2</v>
      </c>
      <c r="AD38" s="154">
        <v>0.1861719874632497</v>
      </c>
    </row>
    <row r="39" spans="1:30" x14ac:dyDescent="0.25">
      <c r="A39" s="1"/>
      <c r="D39" s="157">
        <v>45378</v>
      </c>
      <c r="E39" s="152">
        <v>7.6806278013699131E-2</v>
      </c>
      <c r="F39" s="152">
        <v>0.65866168749113341</v>
      </c>
      <c r="G39" s="152">
        <v>0.41575801777309263</v>
      </c>
      <c r="H39" s="152">
        <v>0.63541326963819256</v>
      </c>
      <c r="I39" s="152">
        <v>4.0194707283041096</v>
      </c>
      <c r="J39" s="154">
        <v>1.6548836182410431E-2</v>
      </c>
      <c r="K39" s="154">
        <v>0.15114269900660804</v>
      </c>
      <c r="L39" s="154">
        <v>9.291333910742039E-2</v>
      </c>
      <c r="M39" s="154">
        <v>0.14543782667491212</v>
      </c>
      <c r="N39" s="154">
        <v>1.3606933978097797</v>
      </c>
      <c r="O39" s="149"/>
      <c r="P39" s="149"/>
      <c r="Q39" s="149"/>
      <c r="R39" s="149"/>
      <c r="S39" s="149"/>
      <c r="T39" s="149"/>
      <c r="U39" s="149"/>
      <c r="V39" s="149"/>
      <c r="W39" s="152">
        <v>7.6358614812538431E-2</v>
      </c>
      <c r="X39" s="152">
        <v>2.5440465718408599E-2</v>
      </c>
      <c r="Y39" s="152">
        <v>0.39984668323543743</v>
      </c>
      <c r="Z39" s="152">
        <v>0.86044091874294848</v>
      </c>
      <c r="AA39" s="154">
        <v>1.6451592676408389E-2</v>
      </c>
      <c r="AB39" s="154">
        <v>5.4513977616066356E-3</v>
      </c>
      <c r="AC39" s="154">
        <v>8.9203492693967767E-2</v>
      </c>
      <c r="AD39" s="154">
        <v>0.20186563537294888</v>
      </c>
    </row>
    <row r="40" spans="1:30" x14ac:dyDescent="0.25">
      <c r="A40" s="1"/>
      <c r="D40" s="157">
        <v>45379</v>
      </c>
      <c r="E40" s="152">
        <v>7.6463730514438485E-2</v>
      </c>
      <c r="F40" s="152">
        <v>0.64848618988586737</v>
      </c>
      <c r="G40" s="152">
        <v>0.40957542006989678</v>
      </c>
      <c r="H40" s="152">
        <v>0.64387200152313473</v>
      </c>
      <c r="I40" s="152">
        <v>3.9685913519964622</v>
      </c>
      <c r="J40" s="154">
        <v>1.6687388768503286E-2</v>
      </c>
      <c r="K40" s="154">
        <v>0.15068484778218694</v>
      </c>
      <c r="L40" s="154">
        <v>9.2695774592672642E-2</v>
      </c>
      <c r="M40" s="154">
        <v>0.14953624702945545</v>
      </c>
      <c r="N40" s="154">
        <v>1.3606933978097797</v>
      </c>
      <c r="O40" s="149"/>
      <c r="P40" s="149"/>
      <c r="Q40" s="149"/>
      <c r="R40" s="149"/>
      <c r="S40" s="149"/>
      <c r="T40" s="149"/>
      <c r="U40" s="149"/>
      <c r="V40" s="149"/>
      <c r="W40" s="152">
        <v>7.6322424038925779E-2</v>
      </c>
      <c r="X40" s="152">
        <v>2.6009617924202269E-2</v>
      </c>
      <c r="Y40" s="152">
        <v>0.39793749971169717</v>
      </c>
      <c r="Z40" s="152">
        <v>0.85785699661503689</v>
      </c>
      <c r="AA40" s="154">
        <v>1.6656294733266908E-2</v>
      </c>
      <c r="AB40" s="154">
        <v>5.6453542404855117E-3</v>
      </c>
      <c r="AC40" s="154">
        <v>8.9946855133084203E-2</v>
      </c>
      <c r="AD40" s="154">
        <v>0.20402866912827577</v>
      </c>
    </row>
    <row r="41" spans="1:30" x14ac:dyDescent="0.25">
      <c r="A41" s="1"/>
      <c r="D41" s="157">
        <v>45381</v>
      </c>
      <c r="E41" s="153">
        <v>7.3821995723042363E-2</v>
      </c>
      <c r="F41" s="153">
        <v>0.6220504383168215</v>
      </c>
      <c r="G41" s="153">
        <v>0.3937670407550421</v>
      </c>
      <c r="H41" s="153">
        <v>0.62797392741145242</v>
      </c>
      <c r="I41" s="153">
        <v>3.8706014420706238</v>
      </c>
      <c r="J41" s="155">
        <v>1.6517343064055723E-2</v>
      </c>
      <c r="K41" s="154">
        <v>0.14802614252573032</v>
      </c>
      <c r="L41" s="155">
        <v>9.1315575686476969E-2</v>
      </c>
      <c r="M41" s="155">
        <v>0.14953624702945545</v>
      </c>
      <c r="N41" s="155">
        <v>1.3606933978097797</v>
      </c>
      <c r="U41" s="158"/>
      <c r="W41" s="152">
        <v>7.6252723289746124E-2</v>
      </c>
      <c r="X41" s="152">
        <v>2.7106475165463686E-2</v>
      </c>
      <c r="Y41" s="152">
        <v>0.38811188243486511</v>
      </c>
      <c r="Z41" s="152">
        <v>0.83667534237762853</v>
      </c>
      <c r="AA41" s="155">
        <v>1.7065822529445551E-2</v>
      </c>
      <c r="AB41" s="154">
        <v>6.033538466045707E-3</v>
      </c>
      <c r="AC41" s="155">
        <v>8.9946855133084203E-2</v>
      </c>
      <c r="AD41" s="155">
        <v>0.20402866912827577</v>
      </c>
    </row>
    <row r="42" spans="1:30" x14ac:dyDescent="0.25">
      <c r="D42" s="157">
        <v>45383</v>
      </c>
      <c r="E42" s="153">
        <v>7.6142308051983951E-2</v>
      </c>
      <c r="F42" s="153">
        <v>0.60041512635424843</v>
      </c>
      <c r="G42" s="153">
        <v>0.38724331044379867</v>
      </c>
      <c r="H42" s="153">
        <v>0.6203998778238512</v>
      </c>
      <c r="I42" s="153">
        <v>3.6620535598149493</v>
      </c>
      <c r="J42" s="155">
        <v>1.7465317991814056E-2</v>
      </c>
      <c r="K42" s="154">
        <v>0.14629242369409634</v>
      </c>
      <c r="L42" s="155">
        <v>9.2051533276471753E-2</v>
      </c>
      <c r="M42" s="155">
        <v>0.15151357881315675</v>
      </c>
      <c r="N42" s="155">
        <v>1.2996132266737326</v>
      </c>
      <c r="U42" s="158"/>
      <c r="W42" s="152">
        <v>7.6186381612816489E-2</v>
      </c>
      <c r="X42" s="152">
        <v>2.8151002394405353E-2</v>
      </c>
      <c r="Y42" s="152">
        <v>0.37575953364294112</v>
      </c>
      <c r="Z42" s="152">
        <v>0.80465038849865544</v>
      </c>
      <c r="AA42" s="155">
        <v>1.7475515290929389E-2</v>
      </c>
      <c r="AB42" s="154">
        <v>6.4219939594085673E-3</v>
      </c>
      <c r="AC42" s="155">
        <v>8.9203492693967767E-2</v>
      </c>
      <c r="AD42" s="155">
        <v>0.20078474091398157</v>
      </c>
    </row>
    <row r="43" spans="1:30" x14ac:dyDescent="0.25">
      <c r="D43" s="157">
        <v>45384</v>
      </c>
      <c r="E43" s="153">
        <v>7.6527377301506203E-2</v>
      </c>
      <c r="F43" s="153">
        <v>0.50552505748608612</v>
      </c>
      <c r="G43" s="153">
        <v>0.33735584277642355</v>
      </c>
      <c r="H43" s="153">
        <v>0.58934992647960305</v>
      </c>
      <c r="I43" s="153">
        <v>3.5111586229826206</v>
      </c>
      <c r="J43" s="155">
        <v>1.7767781856661946E-2</v>
      </c>
      <c r="K43" s="154">
        <v>0.12337777050822063</v>
      </c>
      <c r="L43" s="155">
        <v>8.0731424663225138E-2</v>
      </c>
      <c r="M43" s="155">
        <v>0.14525946229184195</v>
      </c>
      <c r="N43" s="155">
        <v>1.2435231473978772</v>
      </c>
      <c r="U43" s="158"/>
      <c r="W43" s="152">
        <v>7.6154395447154175E-2</v>
      </c>
      <c r="X43" s="152">
        <v>2.8654370951266137E-2</v>
      </c>
      <c r="Y43" s="152">
        <v>0.37517951114032871</v>
      </c>
      <c r="Z43" s="152">
        <v>0.76739468088656482</v>
      </c>
      <c r="AA43" s="155">
        <v>1.7680423554425673E-2</v>
      </c>
      <c r="AB43" s="154">
        <v>6.6162217060898865E-3</v>
      </c>
      <c r="AC43" s="155">
        <v>9.0179849330419115E-2</v>
      </c>
      <c r="AD43" s="155">
        <v>0.19316077479670235</v>
      </c>
    </row>
    <row r="44" spans="1:30" x14ac:dyDescent="0.25">
      <c r="D44" s="157">
        <v>45386</v>
      </c>
      <c r="E44" s="153">
        <v>7.6282140960992117E-2</v>
      </c>
      <c r="F44" s="153">
        <v>0.1990046325811787</v>
      </c>
      <c r="G44" s="153">
        <v>0.18221050953639159</v>
      </c>
      <c r="H44" s="153">
        <v>0.38474833525111074</v>
      </c>
      <c r="I44" s="153">
        <v>3.3883633597562306</v>
      </c>
      <c r="J44" s="155">
        <v>1.8135818642773582E-2</v>
      </c>
      <c r="K44" s="154">
        <v>4.8005425348969677E-2</v>
      </c>
      <c r="L44" s="155">
        <v>4.3866691619792508E-2</v>
      </c>
      <c r="M44" s="155">
        <v>9.4889048337326587E-2</v>
      </c>
      <c r="N44" s="155">
        <v>1.2218809383528604</v>
      </c>
      <c r="U44" s="158"/>
      <c r="W44" s="152">
        <v>7.5915847388791036E-2</v>
      </c>
      <c r="X44" s="152">
        <v>2.9625515354466097E-2</v>
      </c>
      <c r="Y44" s="152">
        <v>0.28023343539900442</v>
      </c>
      <c r="Z44" s="152">
        <v>0.61528097962774286</v>
      </c>
      <c r="AA44" s="155">
        <v>1.8047952439627535E-2</v>
      </c>
      <c r="AB44" s="155">
        <v>7.0046771994529688E-3</v>
      </c>
      <c r="AC44" s="155">
        <v>6.825620485737427E-2</v>
      </c>
      <c r="AD44" s="155">
        <v>0.15600525144016997</v>
      </c>
    </row>
    <row r="45" spans="1:30" x14ac:dyDescent="0.25">
      <c r="D45" s="157">
        <v>45388</v>
      </c>
      <c r="E45" s="153">
        <v>7.5049751104656545E-2</v>
      </c>
      <c r="F45" s="153">
        <v>0.26334740677148932</v>
      </c>
      <c r="G45" s="153">
        <v>0.21364140609990831</v>
      </c>
      <c r="H45" s="153">
        <v>0.38344691878579068</v>
      </c>
      <c r="I45" s="153">
        <v>3.3316103995709208</v>
      </c>
      <c r="J45" s="155">
        <v>1.8258878182156435E-2</v>
      </c>
      <c r="K45" s="154">
        <v>6.5550937409277976E-2</v>
      </c>
      <c r="L45" s="155">
        <v>5.2857677589076113E-2</v>
      </c>
      <c r="M45" s="155">
        <v>9.6855529147519936E-2</v>
      </c>
      <c r="N45" s="155">
        <v>1.2327579624586424</v>
      </c>
      <c r="U45" s="158"/>
      <c r="W45" s="152">
        <v>7.5688142423989205E-2</v>
      </c>
      <c r="X45" s="153">
        <v>3.0553016512165874E-2</v>
      </c>
      <c r="Y45" s="153">
        <v>0.18631612995124497</v>
      </c>
      <c r="Z45" s="153">
        <v>0.5595317788512657</v>
      </c>
      <c r="AA45" s="155">
        <v>1.8415614055574903E-2</v>
      </c>
      <c r="AB45" s="154">
        <v>7.3934039606182722E-3</v>
      </c>
      <c r="AC45" s="155">
        <v>4.594423672210457E-2</v>
      </c>
      <c r="AD45" s="155">
        <v>0.14442326616493872</v>
      </c>
    </row>
    <row r="46" spans="1:30" x14ac:dyDescent="0.25">
      <c r="E46" s="153"/>
      <c r="F46" s="153"/>
      <c r="G46" s="153"/>
      <c r="H46" s="153"/>
      <c r="I46" s="153"/>
      <c r="J46" s="155"/>
      <c r="K46" s="154"/>
      <c r="L46" s="155"/>
      <c r="M46" s="155"/>
      <c r="N46" s="155"/>
      <c r="U46" s="158"/>
      <c r="W46" s="152"/>
      <c r="X46" s="153"/>
      <c r="Y46" s="153"/>
      <c r="Z46" s="153"/>
      <c r="AA46" s="155"/>
      <c r="AB46" s="154"/>
      <c r="AC46" s="155"/>
      <c r="AD46" s="155"/>
    </row>
    <row r="47" spans="1:30" x14ac:dyDescent="0.25">
      <c r="E47" s="153"/>
      <c r="F47" s="153"/>
      <c r="G47" s="153"/>
      <c r="H47" s="153"/>
      <c r="I47" s="153"/>
      <c r="J47" s="155"/>
      <c r="K47" s="154"/>
      <c r="L47" s="155"/>
      <c r="M47" s="155"/>
      <c r="N47" s="155"/>
      <c r="U47" s="158"/>
      <c r="W47" s="152"/>
      <c r="X47" s="153"/>
      <c r="Y47" s="153"/>
      <c r="Z47" s="153"/>
      <c r="AA47" s="155"/>
      <c r="AB47" s="154"/>
      <c r="AC47" s="155"/>
      <c r="AD47" s="155"/>
    </row>
    <row r="48" spans="1:30" x14ac:dyDescent="0.25">
      <c r="E48" s="153"/>
      <c r="F48" s="153"/>
      <c r="G48" s="153"/>
      <c r="H48" s="153"/>
      <c r="I48" s="153"/>
      <c r="J48" s="155"/>
      <c r="K48" s="154"/>
      <c r="L48" s="155"/>
      <c r="M48" s="155"/>
      <c r="N48" s="155"/>
      <c r="U48" s="158"/>
      <c r="W48" s="152"/>
      <c r="X48" s="153"/>
      <c r="Y48" s="153"/>
      <c r="Z48" s="153"/>
      <c r="AA48" s="155"/>
      <c r="AB48" s="154"/>
      <c r="AC48" s="155"/>
      <c r="AD48" s="155"/>
    </row>
    <row r="49" spans="5:30" x14ac:dyDescent="0.25">
      <c r="E49" s="153"/>
      <c r="F49" s="153"/>
      <c r="G49" s="153"/>
      <c r="H49" s="153"/>
      <c r="I49" s="153"/>
      <c r="J49" s="155"/>
      <c r="K49" s="154"/>
      <c r="L49" s="155"/>
      <c r="M49" s="155"/>
      <c r="N49" s="155"/>
      <c r="U49" s="158"/>
      <c r="W49" s="152"/>
      <c r="X49" s="153"/>
      <c r="Y49" s="153"/>
      <c r="Z49" s="153"/>
      <c r="AA49" s="155"/>
      <c r="AB49" s="154"/>
      <c r="AC49" s="155"/>
      <c r="AD49" s="155"/>
    </row>
    <row r="50" spans="5:30" x14ac:dyDescent="0.25">
      <c r="E50" s="153"/>
      <c r="F50" s="153"/>
      <c r="G50" s="153"/>
      <c r="H50" s="153"/>
      <c r="I50" s="153"/>
      <c r="J50" s="155"/>
      <c r="K50" s="154"/>
      <c r="L50" s="155"/>
      <c r="M50" s="155"/>
      <c r="N50" s="155"/>
      <c r="U50" s="158"/>
      <c r="W50" s="152"/>
      <c r="X50" s="153"/>
      <c r="Y50" s="153"/>
      <c r="Z50" s="153"/>
      <c r="AA50" s="155"/>
      <c r="AB50" s="154"/>
      <c r="AC50" s="155"/>
      <c r="AD50" s="155"/>
    </row>
    <row r="51" spans="5:30" x14ac:dyDescent="0.25">
      <c r="E51" s="153"/>
      <c r="F51" s="153"/>
      <c r="G51" s="153"/>
      <c r="H51" s="153"/>
      <c r="I51" s="153"/>
      <c r="J51" s="155"/>
      <c r="K51" s="154"/>
      <c r="L51" s="155"/>
      <c r="M51" s="155"/>
      <c r="N51" s="155"/>
      <c r="U51" s="158"/>
      <c r="W51" s="152"/>
      <c r="X51" s="153"/>
      <c r="Y51" s="153"/>
      <c r="Z51" s="153"/>
      <c r="AA51" s="155"/>
      <c r="AB51" s="154"/>
      <c r="AC51" s="155"/>
      <c r="AD51" s="155"/>
    </row>
    <row r="52" spans="5:30" x14ac:dyDescent="0.25">
      <c r="E52" s="153"/>
      <c r="F52" s="153"/>
      <c r="G52" s="153"/>
      <c r="H52" s="153"/>
      <c r="I52" s="153"/>
      <c r="J52" s="155"/>
      <c r="K52" s="154"/>
      <c r="L52" s="155"/>
      <c r="M52" s="155"/>
      <c r="N52" s="155"/>
      <c r="U52" s="158"/>
      <c r="W52" s="152"/>
      <c r="X52" s="153"/>
      <c r="Y52" s="153"/>
      <c r="Z52" s="153"/>
      <c r="AA52" s="155"/>
      <c r="AB52" s="154"/>
      <c r="AC52" s="155"/>
      <c r="AD52" s="155"/>
    </row>
    <row r="53" spans="5:30" x14ac:dyDescent="0.25">
      <c r="E53" s="153"/>
      <c r="F53" s="153"/>
      <c r="G53" s="153"/>
      <c r="H53" s="153"/>
      <c r="I53" s="153"/>
      <c r="J53" s="155"/>
      <c r="K53" s="154"/>
      <c r="L53" s="155"/>
      <c r="M53" s="155"/>
      <c r="N53" s="155"/>
      <c r="U53" s="158"/>
      <c r="W53" s="152"/>
      <c r="X53" s="153"/>
      <c r="Y53" s="153"/>
      <c r="Z53" s="153"/>
      <c r="AA53" s="155"/>
      <c r="AB53" s="154"/>
      <c r="AC53" s="155"/>
      <c r="AD53" s="155"/>
    </row>
    <row r="54" spans="5:30" x14ac:dyDescent="0.25">
      <c r="E54" s="153"/>
      <c r="F54" s="153"/>
      <c r="G54" s="153"/>
      <c r="H54" s="153"/>
      <c r="I54" s="153"/>
      <c r="J54" s="155"/>
      <c r="K54" s="154"/>
      <c r="L54" s="155"/>
      <c r="M54" s="155"/>
      <c r="N54" s="155"/>
      <c r="U54" s="158"/>
      <c r="W54" s="152"/>
      <c r="X54" s="153"/>
      <c r="Y54" s="153"/>
      <c r="Z54" s="153"/>
      <c r="AA54" s="155"/>
      <c r="AB54" s="154"/>
      <c r="AC54" s="155"/>
      <c r="AD54" s="155"/>
    </row>
    <row r="55" spans="5:30" x14ac:dyDescent="0.25">
      <c r="E55" s="153"/>
      <c r="F55" s="153"/>
      <c r="G55" s="153"/>
      <c r="H55" s="153"/>
      <c r="I55" s="153"/>
      <c r="J55" s="155"/>
      <c r="K55" s="154"/>
      <c r="L55" s="155"/>
      <c r="M55" s="155"/>
      <c r="N55" s="155"/>
      <c r="U55" s="158"/>
      <c r="W55" s="152"/>
      <c r="X55" s="153"/>
      <c r="Y55" s="153"/>
      <c r="Z55" s="153"/>
      <c r="AA55" s="155"/>
      <c r="AB55" s="154"/>
      <c r="AC55" s="155"/>
      <c r="AD55" s="155"/>
    </row>
    <row r="56" spans="5:30" x14ac:dyDescent="0.25">
      <c r="E56" s="153"/>
      <c r="F56" s="153"/>
      <c r="G56" s="153"/>
      <c r="H56" s="153"/>
      <c r="I56" s="153"/>
      <c r="J56" s="155"/>
      <c r="K56" s="154"/>
      <c r="L56" s="155"/>
      <c r="M56" s="155"/>
      <c r="N56" s="155"/>
      <c r="U56" s="158"/>
      <c r="W56" s="152"/>
      <c r="X56" s="153"/>
      <c r="Y56" s="153"/>
      <c r="Z56" s="153"/>
      <c r="AA56" s="155"/>
      <c r="AB56" s="154"/>
      <c r="AC56" s="155"/>
      <c r="AD56" s="155"/>
    </row>
    <row r="57" spans="5:30" x14ac:dyDescent="0.25">
      <c r="E57" s="153"/>
      <c r="F57" s="153"/>
      <c r="G57" s="153"/>
      <c r="H57" s="153"/>
      <c r="I57" s="153"/>
      <c r="J57" s="155"/>
      <c r="K57" s="154"/>
      <c r="L57" s="155"/>
      <c r="M57" s="155"/>
      <c r="N57" s="155"/>
      <c r="U57" s="158"/>
      <c r="W57" s="152"/>
      <c r="X57" s="153"/>
      <c r="Y57" s="153"/>
      <c r="Z57" s="153"/>
      <c r="AA57" s="155"/>
      <c r="AB57" s="154"/>
      <c r="AC57" s="155"/>
      <c r="AD57" s="155"/>
    </row>
    <row r="58" spans="5:30" x14ac:dyDescent="0.25">
      <c r="E58" s="153"/>
      <c r="F58" s="153"/>
      <c r="G58" s="153"/>
      <c r="H58" s="153"/>
      <c r="I58" s="153"/>
      <c r="J58" s="155"/>
      <c r="K58" s="154"/>
      <c r="L58" s="155"/>
      <c r="M58" s="155"/>
      <c r="N58" s="155"/>
      <c r="U58" s="158"/>
      <c r="W58" s="152"/>
      <c r="X58" s="153"/>
      <c r="Y58" s="153"/>
      <c r="Z58" s="153"/>
      <c r="AA58" s="155"/>
      <c r="AB58" s="154"/>
      <c r="AC58" s="155"/>
      <c r="AD58" s="155"/>
    </row>
    <row r="59" spans="5:30" x14ac:dyDescent="0.25">
      <c r="E59" s="153"/>
      <c r="F59" s="153"/>
      <c r="G59" s="153"/>
      <c r="H59" s="153"/>
      <c r="I59" s="153"/>
      <c r="J59" s="155"/>
      <c r="K59" s="154"/>
      <c r="L59" s="155"/>
      <c r="M59" s="155"/>
      <c r="N59" s="155"/>
      <c r="U59" s="158"/>
      <c r="W59" s="152"/>
      <c r="X59" s="153"/>
      <c r="Y59" s="153"/>
      <c r="Z59" s="153"/>
      <c r="AA59" s="155"/>
      <c r="AB59" s="154"/>
      <c r="AC59" s="155"/>
      <c r="AD59" s="155"/>
    </row>
    <row r="60" spans="5:30" x14ac:dyDescent="0.25">
      <c r="E60" s="153"/>
      <c r="F60" s="153"/>
      <c r="G60" s="153"/>
      <c r="H60" s="153"/>
      <c r="I60" s="153"/>
      <c r="J60" s="155"/>
      <c r="K60" s="154"/>
      <c r="L60" s="155"/>
      <c r="M60" s="155"/>
      <c r="N60" s="155"/>
      <c r="U60" s="158"/>
      <c r="W60" s="152"/>
      <c r="X60" s="153"/>
      <c r="Y60" s="153"/>
      <c r="Z60" s="153"/>
      <c r="AA60" s="155"/>
      <c r="AB60" s="154"/>
      <c r="AC60" s="155"/>
      <c r="AD60" s="155"/>
    </row>
    <row r="61" spans="5:30" x14ac:dyDescent="0.25">
      <c r="E61" s="153"/>
      <c r="F61" s="153"/>
      <c r="G61" s="153"/>
      <c r="H61" s="153"/>
      <c r="I61" s="153"/>
      <c r="J61" s="155"/>
      <c r="K61" s="154"/>
      <c r="L61" s="155"/>
      <c r="M61" s="155"/>
      <c r="N61" s="155"/>
      <c r="U61" s="158"/>
      <c r="W61" s="152"/>
      <c r="X61" s="153"/>
      <c r="Y61" s="153"/>
      <c r="Z61" s="153"/>
      <c r="AA61" s="155"/>
      <c r="AB61" s="154"/>
      <c r="AC61" s="155"/>
      <c r="AD61" s="155"/>
    </row>
    <row r="62" spans="5:30" x14ac:dyDescent="0.25">
      <c r="E62" s="153"/>
      <c r="F62" s="153"/>
      <c r="G62" s="153"/>
      <c r="H62" s="153"/>
      <c r="I62" s="153"/>
      <c r="J62" s="155"/>
      <c r="K62" s="154"/>
      <c r="L62" s="155"/>
      <c r="M62" s="155"/>
      <c r="N62" s="155"/>
      <c r="U62" s="158"/>
      <c r="W62" s="152"/>
      <c r="X62" s="153"/>
      <c r="Y62" s="153"/>
      <c r="Z62" s="153"/>
      <c r="AA62" s="155"/>
      <c r="AB62" s="154"/>
      <c r="AC62" s="155"/>
      <c r="AD62" s="155"/>
    </row>
    <row r="63" spans="5:30" x14ac:dyDescent="0.25">
      <c r="E63" s="153"/>
      <c r="F63" s="153"/>
      <c r="G63" s="153"/>
      <c r="H63" s="153"/>
      <c r="I63" s="153"/>
      <c r="J63" s="155"/>
      <c r="K63" s="154"/>
      <c r="L63" s="155"/>
      <c r="M63" s="155"/>
      <c r="N63" s="155"/>
      <c r="U63" s="158"/>
      <c r="W63" s="152"/>
      <c r="X63" s="153"/>
      <c r="Y63" s="153"/>
      <c r="Z63" s="153"/>
      <c r="AA63" s="155"/>
      <c r="AB63" s="154"/>
      <c r="AC63" s="155"/>
      <c r="AD63" s="155"/>
    </row>
    <row r="64" spans="5:30" x14ac:dyDescent="0.25">
      <c r="E64" s="153"/>
      <c r="F64" s="153"/>
      <c r="G64" s="153"/>
      <c r="H64" s="153"/>
      <c r="I64" s="153"/>
      <c r="J64" s="155"/>
      <c r="K64" s="154"/>
      <c r="L64" s="155"/>
      <c r="M64" s="155"/>
      <c r="N64" s="155"/>
      <c r="U64" s="158"/>
      <c r="W64" s="152"/>
      <c r="X64" s="153"/>
      <c r="Y64" s="153"/>
      <c r="Z64" s="153"/>
      <c r="AA64" s="155"/>
      <c r="AB64" s="154"/>
      <c r="AC64" s="155"/>
      <c r="AD64" s="155"/>
    </row>
    <row r="65" spans="5:30" x14ac:dyDescent="0.25">
      <c r="E65" s="153"/>
      <c r="F65" s="153"/>
      <c r="G65" s="153"/>
      <c r="H65" s="153"/>
      <c r="I65" s="153"/>
      <c r="J65" s="155"/>
      <c r="K65" s="154"/>
      <c r="L65" s="155"/>
      <c r="M65" s="155"/>
      <c r="N65" s="155"/>
      <c r="U65" s="158"/>
      <c r="W65" s="152"/>
      <c r="X65" s="153"/>
      <c r="Y65" s="153"/>
      <c r="Z65" s="153"/>
      <c r="AA65" s="155"/>
      <c r="AB65" s="154"/>
      <c r="AC65" s="155"/>
      <c r="AD65" s="155"/>
    </row>
    <row r="66" spans="5:30" x14ac:dyDescent="0.25">
      <c r="E66" s="153"/>
      <c r="F66" s="153"/>
      <c r="G66" s="153"/>
      <c r="H66" s="153"/>
      <c r="I66" s="153"/>
      <c r="J66" s="155"/>
      <c r="K66" s="154"/>
      <c r="L66" s="155"/>
      <c r="M66" s="155"/>
      <c r="N66" s="155"/>
      <c r="U66" s="158"/>
      <c r="W66" s="152"/>
      <c r="X66" s="153"/>
      <c r="Y66" s="153"/>
      <c r="Z66" s="153"/>
      <c r="AA66" s="155"/>
      <c r="AB66" s="154"/>
      <c r="AC66" s="155"/>
      <c r="AD66" s="155"/>
    </row>
    <row r="67" spans="5:30" x14ac:dyDescent="0.25">
      <c r="E67" s="153"/>
      <c r="F67" s="153"/>
      <c r="G67" s="153"/>
      <c r="H67" s="153"/>
      <c r="I67" s="153"/>
      <c r="J67" s="155"/>
      <c r="K67" s="154"/>
      <c r="L67" s="155"/>
      <c r="M67" s="155"/>
      <c r="N67" s="155"/>
      <c r="U67" s="158"/>
      <c r="W67" s="152"/>
      <c r="X67" s="153"/>
      <c r="Y67" s="153"/>
      <c r="Z67" s="153"/>
      <c r="AA67" s="155"/>
      <c r="AB67" s="154"/>
      <c r="AC67" s="155"/>
      <c r="AD67" s="155"/>
    </row>
    <row r="68" spans="5:30" x14ac:dyDescent="0.25">
      <c r="E68" s="153"/>
      <c r="F68" s="153"/>
      <c r="G68" s="153"/>
      <c r="H68" s="153"/>
      <c r="I68" s="153"/>
      <c r="J68" s="155"/>
      <c r="K68" s="154"/>
      <c r="L68" s="155"/>
      <c r="M68" s="155"/>
      <c r="N68" s="155"/>
      <c r="U68" s="158"/>
      <c r="W68" s="152"/>
      <c r="X68" s="153"/>
      <c r="Y68" s="153"/>
      <c r="Z68" s="153"/>
      <c r="AA68" s="155"/>
      <c r="AB68" s="154"/>
      <c r="AC68" s="155"/>
      <c r="AD68" s="155"/>
    </row>
    <row r="69" spans="5:30" x14ac:dyDescent="0.25">
      <c r="E69" s="153"/>
      <c r="F69" s="153"/>
      <c r="G69" s="153"/>
      <c r="H69" s="153"/>
      <c r="I69" s="153"/>
      <c r="J69" s="155"/>
      <c r="K69" s="154"/>
      <c r="L69" s="155"/>
      <c r="M69" s="155"/>
      <c r="N69" s="155"/>
      <c r="U69" s="158"/>
      <c r="W69" s="152"/>
      <c r="X69" s="153"/>
      <c r="Y69" s="153"/>
      <c r="Z69" s="153"/>
      <c r="AA69" s="155"/>
      <c r="AB69" s="154"/>
      <c r="AC69" s="155"/>
      <c r="AD69" s="155"/>
    </row>
    <row r="70" spans="5:30" x14ac:dyDescent="0.25">
      <c r="E70" s="153"/>
      <c r="F70" s="153"/>
      <c r="G70" s="153"/>
      <c r="H70" s="153"/>
      <c r="I70" s="153"/>
      <c r="J70" s="155"/>
      <c r="K70" s="154"/>
      <c r="L70" s="155"/>
      <c r="M70" s="155"/>
      <c r="N70" s="155"/>
      <c r="U70" s="158"/>
      <c r="W70" s="152"/>
      <c r="X70" s="153"/>
      <c r="Y70" s="153"/>
      <c r="Z70" s="153"/>
      <c r="AA70" s="155"/>
      <c r="AB70" s="154"/>
      <c r="AC70" s="155"/>
      <c r="AD70" s="155"/>
    </row>
    <row r="71" spans="5:30" x14ac:dyDescent="0.25">
      <c r="E71" s="153"/>
      <c r="F71" s="153"/>
      <c r="G71" s="153"/>
      <c r="H71" s="153"/>
      <c r="I71" s="153"/>
      <c r="J71" s="155"/>
      <c r="K71" s="154"/>
      <c r="L71" s="155"/>
      <c r="M71" s="155"/>
      <c r="N71" s="155"/>
      <c r="U71" s="158"/>
      <c r="W71" s="152"/>
      <c r="X71" s="153"/>
      <c r="Y71" s="153"/>
      <c r="Z71" s="153"/>
      <c r="AA71" s="155"/>
      <c r="AB71" s="154"/>
      <c r="AC71" s="155"/>
      <c r="AD71" s="155"/>
    </row>
    <row r="72" spans="5:30" x14ac:dyDescent="0.25">
      <c r="E72" s="153"/>
      <c r="F72" s="153"/>
      <c r="G72" s="153"/>
      <c r="H72" s="153"/>
      <c r="I72" s="153"/>
      <c r="J72" s="155"/>
      <c r="K72" s="154"/>
      <c r="L72" s="155"/>
      <c r="M72" s="155"/>
      <c r="N72" s="155"/>
      <c r="U72" s="158"/>
      <c r="W72" s="152"/>
      <c r="X72" s="153"/>
      <c r="Y72" s="153"/>
      <c r="Z72" s="153"/>
      <c r="AA72" s="155"/>
      <c r="AB72" s="154"/>
      <c r="AC72" s="155"/>
      <c r="AD72" s="155"/>
    </row>
    <row r="73" spans="5:30" x14ac:dyDescent="0.25">
      <c r="E73" s="153"/>
      <c r="F73" s="153"/>
      <c r="G73" s="153"/>
      <c r="H73" s="153"/>
      <c r="I73" s="153"/>
      <c r="J73" s="155"/>
      <c r="K73" s="154"/>
      <c r="L73" s="155"/>
      <c r="M73" s="155"/>
      <c r="N73" s="155"/>
      <c r="U73" s="158"/>
      <c r="W73" s="152"/>
      <c r="X73" s="153"/>
      <c r="Y73" s="153"/>
      <c r="Z73" s="153"/>
      <c r="AA73" s="155"/>
      <c r="AB73" s="154"/>
      <c r="AC73" s="155"/>
      <c r="AD73" s="155"/>
    </row>
    <row r="74" spans="5:30" x14ac:dyDescent="0.25">
      <c r="E74" s="153"/>
      <c r="F74" s="153"/>
      <c r="G74" s="153"/>
      <c r="H74" s="153"/>
      <c r="I74" s="153"/>
      <c r="J74" s="155"/>
      <c r="K74" s="154"/>
      <c r="L74" s="155"/>
      <c r="M74" s="155"/>
      <c r="N74" s="155"/>
      <c r="U74" s="158"/>
      <c r="W74" s="152"/>
      <c r="X74" s="153"/>
      <c r="Y74" s="153"/>
      <c r="Z74" s="153"/>
      <c r="AA74" s="155"/>
      <c r="AB74" s="154"/>
      <c r="AC74" s="155"/>
      <c r="AD74" s="155"/>
    </row>
    <row r="75" spans="5:30" x14ac:dyDescent="0.25">
      <c r="E75" s="153"/>
      <c r="F75" s="153"/>
      <c r="G75" s="153"/>
      <c r="H75" s="153"/>
      <c r="I75" s="153"/>
      <c r="J75" s="155"/>
      <c r="K75" s="154"/>
      <c r="L75" s="155"/>
      <c r="M75" s="155"/>
      <c r="N75" s="155"/>
      <c r="U75" s="158"/>
      <c r="W75" s="152"/>
      <c r="X75" s="153"/>
      <c r="Y75" s="153"/>
      <c r="Z75" s="153"/>
      <c r="AA75" s="155"/>
      <c r="AB75" s="154"/>
      <c r="AC75" s="155"/>
      <c r="AD75" s="155"/>
    </row>
    <row r="76" spans="5:30" x14ac:dyDescent="0.25">
      <c r="E76" s="153"/>
      <c r="F76" s="153"/>
      <c r="G76" s="153"/>
      <c r="H76" s="153"/>
      <c r="I76" s="153"/>
      <c r="J76" s="155"/>
      <c r="K76" s="154"/>
      <c r="L76" s="155"/>
      <c r="M76" s="155"/>
      <c r="N76" s="155"/>
      <c r="U76" s="158"/>
      <c r="W76" s="152"/>
      <c r="X76" s="153"/>
      <c r="Y76" s="153"/>
      <c r="Z76" s="153"/>
      <c r="AA76" s="155"/>
      <c r="AB76" s="154"/>
      <c r="AC76" s="155"/>
      <c r="AD76" s="155"/>
    </row>
    <row r="77" spans="5:30" x14ac:dyDescent="0.25">
      <c r="E77" s="153"/>
      <c r="F77" s="153"/>
      <c r="G77" s="153"/>
      <c r="H77" s="153"/>
      <c r="I77" s="153"/>
      <c r="J77" s="155"/>
      <c r="K77" s="154"/>
      <c r="L77" s="155"/>
      <c r="M77" s="155"/>
      <c r="N77" s="155"/>
      <c r="U77" s="158"/>
      <c r="W77" s="152"/>
      <c r="X77" s="153"/>
      <c r="Y77" s="153"/>
      <c r="Z77" s="153"/>
      <c r="AA77" s="155"/>
      <c r="AB77" s="154"/>
      <c r="AC77" s="155"/>
      <c r="AD77" s="155"/>
    </row>
    <row r="78" spans="5:30" x14ac:dyDescent="0.25">
      <c r="E78" s="153"/>
      <c r="F78" s="153"/>
      <c r="G78" s="153"/>
      <c r="H78" s="153"/>
      <c r="I78" s="153"/>
      <c r="J78" s="155"/>
      <c r="K78" s="154"/>
      <c r="L78" s="155"/>
      <c r="M78" s="155"/>
      <c r="N78" s="155"/>
      <c r="U78" s="158"/>
      <c r="W78" s="152"/>
      <c r="X78" s="153"/>
      <c r="Y78" s="153"/>
      <c r="Z78" s="153"/>
      <c r="AA78" s="155"/>
      <c r="AB78" s="154"/>
      <c r="AC78" s="155"/>
      <c r="AD78" s="155"/>
    </row>
    <row r="79" spans="5:30" x14ac:dyDescent="0.25">
      <c r="E79" s="153"/>
      <c r="F79" s="153"/>
      <c r="G79" s="153"/>
      <c r="H79" s="153"/>
      <c r="I79" s="153"/>
      <c r="J79" s="155"/>
      <c r="K79" s="154"/>
      <c r="L79" s="155"/>
      <c r="M79" s="155"/>
      <c r="N79" s="155"/>
      <c r="U79" s="158"/>
      <c r="W79" s="152"/>
      <c r="X79" s="153"/>
      <c r="Y79" s="153"/>
      <c r="Z79" s="153"/>
      <c r="AA79" s="155"/>
      <c r="AB79" s="154"/>
      <c r="AC79" s="155"/>
      <c r="AD79" s="155"/>
    </row>
    <row r="80" spans="5:30" x14ac:dyDescent="0.25">
      <c r="E80" s="153"/>
      <c r="F80" s="153"/>
      <c r="G80" s="153"/>
      <c r="H80" s="153"/>
      <c r="I80" s="153"/>
      <c r="J80" s="155"/>
      <c r="K80" s="154"/>
      <c r="L80" s="155"/>
      <c r="M80" s="155"/>
      <c r="N80" s="155"/>
      <c r="U80" s="158"/>
      <c r="W80" s="152"/>
      <c r="X80" s="153"/>
      <c r="Y80" s="153"/>
      <c r="Z80" s="153"/>
      <c r="AA80" s="155"/>
      <c r="AB80" s="154"/>
      <c r="AC80" s="155"/>
      <c r="AD80" s="155"/>
    </row>
    <row r="81" spans="5:30" x14ac:dyDescent="0.25">
      <c r="E81" s="153"/>
      <c r="F81" s="153"/>
      <c r="G81" s="153"/>
      <c r="H81" s="153"/>
      <c r="I81" s="153"/>
      <c r="J81" s="155"/>
      <c r="K81" s="154"/>
      <c r="L81" s="155"/>
      <c r="M81" s="155"/>
      <c r="N81" s="155"/>
      <c r="U81" s="158"/>
      <c r="W81" s="152"/>
      <c r="X81" s="153"/>
      <c r="Y81" s="153"/>
      <c r="Z81" s="153"/>
      <c r="AA81" s="155"/>
      <c r="AB81" s="154"/>
      <c r="AC81" s="155"/>
      <c r="AD81" s="155"/>
    </row>
    <row r="82" spans="5:30" x14ac:dyDescent="0.25">
      <c r="E82" s="153"/>
      <c r="F82" s="153"/>
      <c r="G82" s="153"/>
      <c r="H82" s="153"/>
      <c r="I82" s="153"/>
      <c r="J82" s="155"/>
      <c r="K82" s="154"/>
      <c r="L82" s="155"/>
      <c r="M82" s="155"/>
      <c r="N82" s="155"/>
      <c r="U82" s="158"/>
      <c r="W82" s="152"/>
      <c r="X82" s="153"/>
      <c r="Y82" s="153"/>
      <c r="Z82" s="153"/>
      <c r="AA82" s="155"/>
      <c r="AB82" s="154"/>
      <c r="AC82" s="155"/>
      <c r="AD82" s="155"/>
    </row>
    <row r="83" spans="5:30" x14ac:dyDescent="0.25">
      <c r="E83" s="153"/>
      <c r="F83" s="153"/>
      <c r="G83" s="153"/>
      <c r="H83" s="153"/>
      <c r="I83" s="153"/>
      <c r="J83" s="155"/>
      <c r="K83" s="154"/>
      <c r="L83" s="155"/>
      <c r="M83" s="155"/>
      <c r="N83" s="155"/>
      <c r="U83" s="158"/>
      <c r="W83" s="152"/>
      <c r="X83" s="153"/>
      <c r="Y83" s="153"/>
      <c r="Z83" s="153"/>
      <c r="AA83" s="155"/>
      <c r="AB83" s="154"/>
      <c r="AC83" s="155"/>
      <c r="AD83" s="155"/>
    </row>
    <row r="84" spans="5:30" x14ac:dyDescent="0.25">
      <c r="E84" s="153"/>
      <c r="F84" s="153"/>
      <c r="G84" s="153"/>
      <c r="H84" s="153"/>
      <c r="I84" s="153"/>
      <c r="J84" s="155"/>
      <c r="K84" s="154"/>
      <c r="L84" s="155"/>
      <c r="M84" s="155"/>
      <c r="N84" s="155"/>
      <c r="U84" s="158"/>
      <c r="W84" s="152"/>
      <c r="X84" s="153"/>
      <c r="Y84" s="153"/>
      <c r="Z84" s="153"/>
      <c r="AA84" s="155"/>
      <c r="AB84" s="154"/>
      <c r="AC84" s="155"/>
      <c r="AD84" s="155"/>
    </row>
    <row r="85" spans="5:30" x14ac:dyDescent="0.25">
      <c r="E85" s="153"/>
      <c r="F85" s="153"/>
      <c r="G85" s="153"/>
      <c r="H85" s="153"/>
      <c r="I85" s="153"/>
      <c r="J85" s="155"/>
      <c r="K85" s="154"/>
      <c r="L85" s="155"/>
      <c r="M85" s="155"/>
      <c r="N85" s="155"/>
      <c r="U85" s="158"/>
      <c r="W85" s="152"/>
      <c r="X85" s="153"/>
      <c r="Y85" s="153"/>
      <c r="Z85" s="153"/>
      <c r="AA85" s="155"/>
      <c r="AB85" s="154"/>
      <c r="AC85" s="155"/>
      <c r="AD85" s="155"/>
    </row>
    <row r="86" spans="5:30" x14ac:dyDescent="0.25">
      <c r="E86" s="153"/>
      <c r="F86" s="153"/>
      <c r="G86" s="153"/>
      <c r="H86" s="153"/>
      <c r="I86" s="153"/>
      <c r="J86" s="155"/>
      <c r="K86" s="154"/>
      <c r="L86" s="155"/>
      <c r="M86" s="155"/>
      <c r="N86" s="155"/>
      <c r="U86" s="158"/>
      <c r="W86" s="152"/>
      <c r="X86" s="153"/>
      <c r="Y86" s="153"/>
      <c r="Z86" s="153"/>
      <c r="AA86" s="155"/>
      <c r="AB86" s="154"/>
      <c r="AC86" s="155"/>
      <c r="AD86" s="155"/>
    </row>
    <row r="87" spans="5:30" x14ac:dyDescent="0.25">
      <c r="E87" s="153"/>
      <c r="F87" s="153"/>
      <c r="G87" s="153"/>
      <c r="H87" s="153"/>
      <c r="I87" s="153"/>
      <c r="J87" s="155"/>
      <c r="K87" s="154"/>
      <c r="L87" s="155"/>
      <c r="M87" s="155"/>
      <c r="N87" s="155"/>
      <c r="U87" s="158"/>
      <c r="W87" s="152"/>
      <c r="X87" s="153"/>
      <c r="Y87" s="153"/>
      <c r="Z87" s="153"/>
      <c r="AA87" s="155"/>
      <c r="AB87" s="154"/>
      <c r="AC87" s="155"/>
      <c r="AD87" s="155"/>
    </row>
    <row r="88" spans="5:30" x14ac:dyDescent="0.25">
      <c r="E88" s="153"/>
      <c r="F88" s="153"/>
      <c r="G88" s="153"/>
      <c r="H88" s="153"/>
      <c r="I88" s="153"/>
      <c r="J88" s="155"/>
      <c r="K88" s="154"/>
      <c r="L88" s="155"/>
      <c r="M88" s="155"/>
      <c r="N88" s="155"/>
      <c r="U88" s="158"/>
      <c r="W88" s="152"/>
      <c r="X88" s="153"/>
      <c r="Y88" s="153"/>
      <c r="Z88" s="153"/>
      <c r="AA88" s="155"/>
      <c r="AB88" s="154"/>
      <c r="AC88" s="155"/>
      <c r="AD88" s="155"/>
    </row>
    <row r="89" spans="5:30" x14ac:dyDescent="0.25">
      <c r="E89" s="153"/>
      <c r="F89" s="153"/>
      <c r="G89" s="153"/>
      <c r="H89" s="153"/>
      <c r="I89" s="153"/>
      <c r="J89" s="155"/>
      <c r="K89" s="154"/>
      <c r="L89" s="155"/>
      <c r="M89" s="155"/>
      <c r="N89" s="155"/>
      <c r="U89" s="158"/>
      <c r="W89" s="152"/>
      <c r="X89" s="153"/>
      <c r="Y89" s="153"/>
      <c r="Z89" s="153"/>
      <c r="AA89" s="155"/>
      <c r="AB89" s="154"/>
      <c r="AC89" s="155"/>
      <c r="AD89" s="155"/>
    </row>
    <row r="90" spans="5:30" x14ac:dyDescent="0.25">
      <c r="E90" s="153"/>
      <c r="F90" s="153"/>
      <c r="G90" s="153"/>
      <c r="H90" s="153"/>
      <c r="I90" s="153"/>
      <c r="J90" s="155"/>
      <c r="K90" s="154"/>
      <c r="L90" s="155"/>
      <c r="M90" s="155"/>
      <c r="N90" s="155"/>
      <c r="U90" s="158"/>
      <c r="W90" s="152"/>
      <c r="X90" s="153"/>
      <c r="Y90" s="153"/>
      <c r="Z90" s="153"/>
      <c r="AA90" s="155"/>
      <c r="AB90" s="154"/>
      <c r="AC90" s="155"/>
      <c r="AD90" s="155"/>
    </row>
    <row r="91" spans="5:30" x14ac:dyDescent="0.25">
      <c r="E91" s="153"/>
      <c r="F91" s="153"/>
      <c r="G91" s="153"/>
      <c r="H91" s="153"/>
      <c r="I91" s="153"/>
      <c r="J91" s="155"/>
      <c r="K91" s="154"/>
      <c r="L91" s="155"/>
      <c r="M91" s="155"/>
      <c r="N91" s="155"/>
      <c r="W91" s="152"/>
      <c r="X91" s="153"/>
      <c r="Y91" s="153"/>
      <c r="Z91" s="153"/>
      <c r="AA91" s="155"/>
      <c r="AB91" s="154"/>
      <c r="AC91" s="155"/>
      <c r="AD91" s="155"/>
    </row>
    <row r="92" spans="5:30" x14ac:dyDescent="0.25">
      <c r="E92" s="153"/>
      <c r="F92" s="153"/>
      <c r="G92" s="153"/>
      <c r="H92" s="153"/>
      <c r="I92" s="153"/>
      <c r="J92" s="155"/>
      <c r="K92" s="154"/>
      <c r="L92" s="155"/>
      <c r="M92" s="155"/>
      <c r="N92" s="155"/>
      <c r="W92" s="152"/>
      <c r="X92" s="153"/>
      <c r="Y92" s="153"/>
      <c r="Z92" s="153"/>
      <c r="AA92" s="155"/>
      <c r="AB92" s="154"/>
      <c r="AC92" s="155"/>
      <c r="AD92" s="155"/>
    </row>
    <row r="93" spans="5:30" x14ac:dyDescent="0.25">
      <c r="E93" s="153"/>
      <c r="F93" s="153"/>
      <c r="G93" s="153"/>
      <c r="H93" s="153"/>
      <c r="I93" s="153"/>
      <c r="J93" s="155"/>
      <c r="K93" s="154"/>
      <c r="L93" s="155"/>
      <c r="M93" s="155"/>
      <c r="N93" s="155"/>
      <c r="W93" s="152"/>
      <c r="X93" s="153"/>
      <c r="Y93" s="153"/>
      <c r="Z93" s="153"/>
      <c r="AA93" s="155"/>
      <c r="AB93" s="154"/>
      <c r="AC93" s="155"/>
      <c r="AD93" s="155"/>
    </row>
    <row r="94" spans="5:30" x14ac:dyDescent="0.25">
      <c r="E94" s="153"/>
      <c r="F94" s="153"/>
      <c r="G94" s="153"/>
      <c r="H94" s="153"/>
      <c r="I94" s="153"/>
      <c r="J94" s="155"/>
      <c r="K94" s="154"/>
      <c r="L94" s="155"/>
      <c r="M94" s="155"/>
      <c r="N94" s="155"/>
      <c r="W94" s="152"/>
      <c r="X94" s="153"/>
      <c r="Y94" s="153"/>
      <c r="Z94" s="153"/>
      <c r="AA94" s="155"/>
      <c r="AB94" s="154"/>
      <c r="AC94" s="155"/>
      <c r="AD94" s="155"/>
    </row>
    <row r="95" spans="5:30" x14ac:dyDescent="0.25">
      <c r="E95" s="153"/>
      <c r="F95" s="153"/>
      <c r="G95" s="153"/>
      <c r="H95" s="153"/>
      <c r="I95" s="153"/>
      <c r="J95" s="155"/>
      <c r="K95" s="154"/>
      <c r="L95" s="155"/>
      <c r="M95" s="155"/>
      <c r="N95" s="155"/>
      <c r="W95" s="152"/>
      <c r="X95" s="153"/>
      <c r="Y95" s="153"/>
      <c r="Z95" s="153"/>
      <c r="AA95" s="155"/>
      <c r="AB95" s="154"/>
      <c r="AC95" s="155"/>
      <c r="AD95" s="155"/>
    </row>
    <row r="96" spans="5:30" x14ac:dyDescent="0.25">
      <c r="E96" s="153"/>
      <c r="F96" s="153"/>
      <c r="G96" s="153"/>
      <c r="H96" s="153"/>
      <c r="I96" s="153"/>
      <c r="J96" s="155"/>
      <c r="K96" s="154"/>
      <c r="L96" s="155"/>
      <c r="M96" s="155"/>
      <c r="N96" s="155"/>
      <c r="W96" s="152"/>
      <c r="X96" s="153"/>
      <c r="Y96" s="153"/>
      <c r="Z96" s="153"/>
      <c r="AA96" s="155"/>
      <c r="AB96" s="154"/>
      <c r="AC96" s="155"/>
      <c r="AD96" s="155"/>
    </row>
    <row r="97" spans="5:30" x14ac:dyDescent="0.25">
      <c r="E97" s="153"/>
      <c r="F97" s="153"/>
      <c r="G97" s="153"/>
      <c r="H97" s="153"/>
      <c r="I97" s="153"/>
      <c r="J97" s="155"/>
      <c r="K97" s="154"/>
      <c r="L97" s="155"/>
      <c r="M97" s="155"/>
      <c r="N97" s="155"/>
      <c r="W97" s="152"/>
      <c r="X97" s="153"/>
      <c r="Y97" s="153"/>
      <c r="Z97" s="153"/>
      <c r="AA97" s="155"/>
      <c r="AB97" s="154"/>
      <c r="AC97" s="155"/>
      <c r="AD97" s="155"/>
    </row>
    <row r="98" spans="5:30" x14ac:dyDescent="0.25">
      <c r="E98" s="153"/>
      <c r="F98" s="153"/>
      <c r="G98" s="153"/>
      <c r="H98" s="153"/>
      <c r="I98" s="153"/>
      <c r="J98" s="155"/>
      <c r="K98" s="154"/>
      <c r="L98" s="155"/>
      <c r="M98" s="155"/>
      <c r="N98" s="155"/>
      <c r="W98" s="152"/>
      <c r="X98" s="153"/>
      <c r="Y98" s="153"/>
      <c r="Z98" s="153"/>
      <c r="AA98" s="155"/>
      <c r="AB98" s="154"/>
      <c r="AC98" s="155"/>
      <c r="AD98" s="155"/>
    </row>
    <row r="99" spans="5:30" x14ac:dyDescent="0.25">
      <c r="E99" s="153"/>
      <c r="F99" s="153"/>
      <c r="G99" s="153"/>
      <c r="H99" s="153"/>
      <c r="I99" s="153"/>
      <c r="J99" s="155"/>
      <c r="K99" s="154"/>
      <c r="L99" s="155"/>
      <c r="M99" s="155"/>
      <c r="N99" s="155"/>
      <c r="W99" s="152"/>
      <c r="X99" s="153"/>
      <c r="Y99" s="153"/>
      <c r="Z99" s="153"/>
      <c r="AA99" s="155"/>
      <c r="AB99" s="154"/>
      <c r="AC99" s="155"/>
      <c r="AD99" s="155"/>
    </row>
    <row r="100" spans="5:30" x14ac:dyDescent="0.25">
      <c r="E100" s="153"/>
      <c r="F100" s="153"/>
      <c r="G100" s="153"/>
      <c r="H100" s="153"/>
      <c r="I100" s="153"/>
      <c r="J100" s="155"/>
      <c r="K100" s="154"/>
      <c r="L100" s="155"/>
      <c r="M100" s="155"/>
      <c r="N100" s="155"/>
      <c r="W100" s="152"/>
      <c r="X100" s="153"/>
      <c r="Y100" s="153"/>
      <c r="Z100" s="153"/>
      <c r="AA100" s="155"/>
      <c r="AB100" s="154"/>
      <c r="AC100" s="155"/>
      <c r="AD100" s="155"/>
    </row>
    <row r="101" spans="5:30" x14ac:dyDescent="0.25">
      <c r="E101" s="153"/>
      <c r="F101" s="153"/>
      <c r="G101" s="153"/>
      <c r="H101" s="153"/>
      <c r="I101" s="153"/>
      <c r="J101" s="155"/>
      <c r="K101" s="154"/>
      <c r="L101" s="155"/>
      <c r="M101" s="155"/>
      <c r="N101" s="155"/>
      <c r="W101" s="152"/>
      <c r="X101" s="153"/>
      <c r="Y101" s="153"/>
      <c r="Z101" s="153"/>
      <c r="AA101" s="155"/>
      <c r="AB101" s="154"/>
      <c r="AC101" s="155"/>
      <c r="AD101" s="155"/>
    </row>
    <row r="102" spans="5:30" x14ac:dyDescent="0.25">
      <c r="E102" s="153"/>
      <c r="F102" s="153"/>
      <c r="G102" s="153"/>
      <c r="H102" s="153"/>
      <c r="I102" s="153"/>
      <c r="J102" s="155"/>
      <c r="K102" s="154"/>
      <c r="L102" s="155"/>
      <c r="M102" s="155"/>
      <c r="N102" s="155"/>
      <c r="W102" s="152"/>
      <c r="X102" s="153"/>
      <c r="Y102" s="153"/>
      <c r="Z102" s="153"/>
      <c r="AA102" s="155"/>
      <c r="AB102" s="154"/>
      <c r="AC102" s="155"/>
      <c r="AD102" s="155"/>
    </row>
    <row r="103" spans="5:30" x14ac:dyDescent="0.25">
      <c r="E103" s="153"/>
      <c r="F103" s="153"/>
      <c r="G103" s="153"/>
      <c r="H103" s="153"/>
      <c r="I103" s="153"/>
      <c r="J103" s="155"/>
      <c r="K103" s="154"/>
      <c r="L103" s="155"/>
      <c r="M103" s="155"/>
      <c r="N103" s="155"/>
      <c r="W103" s="152"/>
      <c r="X103" s="153"/>
      <c r="Y103" s="153"/>
      <c r="Z103" s="153"/>
      <c r="AA103" s="155"/>
      <c r="AB103" s="154"/>
      <c r="AC103" s="155"/>
      <c r="AD103" s="155"/>
    </row>
    <row r="104" spans="5:30" x14ac:dyDescent="0.25">
      <c r="E104" s="153"/>
      <c r="F104" s="153"/>
      <c r="G104" s="153"/>
      <c r="H104" s="153"/>
      <c r="I104" s="153"/>
      <c r="J104" s="155"/>
      <c r="K104" s="154"/>
      <c r="L104" s="155"/>
      <c r="M104" s="155"/>
      <c r="N104" s="155"/>
      <c r="W104" s="152"/>
      <c r="X104" s="153"/>
      <c r="Y104" s="153"/>
      <c r="Z104" s="153"/>
      <c r="AA104" s="155"/>
      <c r="AB104" s="154"/>
      <c r="AC104" s="155"/>
      <c r="AD104" s="155"/>
    </row>
    <row r="105" spans="5:30" x14ac:dyDescent="0.25">
      <c r="E105" s="153"/>
      <c r="F105" s="153"/>
      <c r="G105" s="153"/>
      <c r="H105" s="153"/>
      <c r="I105" s="153"/>
      <c r="J105" s="155"/>
      <c r="K105" s="154"/>
      <c r="L105" s="155"/>
      <c r="M105" s="155"/>
      <c r="N105" s="155"/>
      <c r="W105" s="152"/>
      <c r="X105" s="153"/>
      <c r="Y105" s="153"/>
      <c r="Z105" s="153"/>
      <c r="AA105" s="155"/>
      <c r="AB105" s="154"/>
      <c r="AC105" s="155"/>
      <c r="AD105" s="155"/>
    </row>
    <row r="106" spans="5:30" x14ac:dyDescent="0.25">
      <c r="E106" s="153"/>
      <c r="F106" s="153"/>
      <c r="G106" s="153"/>
      <c r="H106" s="153"/>
      <c r="I106" s="153"/>
      <c r="J106" s="155"/>
      <c r="K106" s="154"/>
      <c r="L106" s="155"/>
      <c r="M106" s="155"/>
      <c r="N106" s="155"/>
      <c r="W106" s="152"/>
      <c r="X106" s="153"/>
      <c r="Y106" s="153"/>
      <c r="Z106" s="153"/>
      <c r="AA106" s="155"/>
      <c r="AB106" s="154"/>
      <c r="AC106" s="155"/>
      <c r="AD106" s="155"/>
    </row>
    <row r="107" spans="5:30" x14ac:dyDescent="0.25">
      <c r="E107" s="153"/>
      <c r="F107" s="153"/>
      <c r="G107" s="153"/>
      <c r="H107" s="153"/>
      <c r="I107" s="153"/>
      <c r="J107" s="155"/>
      <c r="K107" s="154"/>
      <c r="L107" s="155"/>
      <c r="M107" s="155"/>
      <c r="N107" s="155"/>
      <c r="W107" s="152"/>
      <c r="X107" s="153"/>
      <c r="Y107" s="153"/>
      <c r="Z107" s="153"/>
      <c r="AA107" s="155"/>
      <c r="AB107" s="154"/>
      <c r="AC107" s="155"/>
      <c r="AD107" s="155"/>
    </row>
    <row r="108" spans="5:30" x14ac:dyDescent="0.25">
      <c r="E108" s="153"/>
      <c r="F108" s="153"/>
      <c r="G108" s="153"/>
      <c r="H108" s="153"/>
      <c r="I108" s="153"/>
      <c r="J108" s="155"/>
      <c r="K108" s="154"/>
      <c r="L108" s="155"/>
      <c r="M108" s="155"/>
      <c r="N108" s="155"/>
      <c r="W108" s="152"/>
      <c r="X108" s="153"/>
      <c r="Y108" s="153"/>
      <c r="Z108" s="153"/>
      <c r="AA108" s="155"/>
      <c r="AB108" s="154"/>
      <c r="AC108" s="155"/>
      <c r="AD108" s="155"/>
    </row>
    <row r="109" spans="5:30" x14ac:dyDescent="0.25">
      <c r="E109" s="153"/>
      <c r="F109" s="153"/>
      <c r="G109" s="153"/>
      <c r="H109" s="153"/>
      <c r="I109" s="153"/>
      <c r="J109" s="155"/>
      <c r="K109" s="154"/>
      <c r="L109" s="155"/>
      <c r="M109" s="155"/>
      <c r="N109" s="155"/>
      <c r="W109" s="152"/>
      <c r="X109" s="153"/>
      <c r="Y109" s="153"/>
      <c r="Z109" s="153"/>
      <c r="AA109" s="155"/>
      <c r="AB109" s="154"/>
      <c r="AC109" s="155"/>
      <c r="AD109" s="155"/>
    </row>
    <row r="110" spans="5:30" x14ac:dyDescent="0.25">
      <c r="E110" s="153"/>
      <c r="F110" s="153"/>
      <c r="G110" s="153"/>
      <c r="H110" s="153"/>
      <c r="I110" s="153"/>
      <c r="J110" s="155"/>
      <c r="K110" s="154"/>
      <c r="L110" s="155"/>
      <c r="M110" s="155"/>
      <c r="N110" s="155"/>
      <c r="W110" s="152"/>
      <c r="X110" s="153"/>
      <c r="Y110" s="153"/>
      <c r="Z110" s="153"/>
      <c r="AA110" s="155"/>
      <c r="AB110" s="154"/>
      <c r="AC110" s="155"/>
      <c r="AD110" s="155"/>
    </row>
    <row r="111" spans="5:30" x14ac:dyDescent="0.25">
      <c r="E111" s="153"/>
      <c r="F111" s="153"/>
      <c r="G111" s="153"/>
      <c r="H111" s="153"/>
      <c r="I111" s="153"/>
      <c r="J111" s="155"/>
      <c r="K111" s="154"/>
      <c r="L111" s="155"/>
      <c r="M111" s="155"/>
      <c r="N111" s="155"/>
      <c r="W111" s="152"/>
      <c r="X111" s="153"/>
      <c r="Y111" s="153"/>
      <c r="Z111" s="153"/>
      <c r="AA111" s="155"/>
      <c r="AB111" s="154"/>
      <c r="AC111" s="155"/>
      <c r="AD111" s="155"/>
    </row>
    <row r="112" spans="5:30" x14ac:dyDescent="0.25">
      <c r="E112" s="153"/>
      <c r="F112" s="153"/>
      <c r="G112" s="153"/>
      <c r="H112" s="153"/>
      <c r="I112" s="153"/>
      <c r="J112" s="155"/>
      <c r="K112" s="154"/>
      <c r="L112" s="155"/>
      <c r="M112" s="155"/>
      <c r="N112" s="155"/>
      <c r="W112" s="152"/>
      <c r="X112" s="153"/>
      <c r="Y112" s="153"/>
      <c r="Z112" s="153"/>
      <c r="AA112" s="155"/>
      <c r="AB112" s="154"/>
      <c r="AC112" s="155"/>
      <c r="AD112" s="155"/>
    </row>
    <row r="113" spans="5:30" x14ac:dyDescent="0.25">
      <c r="E113" s="153"/>
      <c r="F113" s="153"/>
      <c r="G113" s="153"/>
      <c r="H113" s="153"/>
      <c r="I113" s="153"/>
      <c r="J113" s="155"/>
      <c r="K113" s="154"/>
      <c r="L113" s="155"/>
      <c r="M113" s="155"/>
      <c r="N113" s="155"/>
      <c r="W113" s="152"/>
      <c r="X113" s="153"/>
      <c r="Y113" s="153"/>
      <c r="Z113" s="153"/>
      <c r="AA113" s="155"/>
      <c r="AB113" s="154"/>
      <c r="AC113" s="155"/>
      <c r="AD113" s="155"/>
    </row>
    <row r="114" spans="5:30" x14ac:dyDescent="0.25">
      <c r="E114" s="153"/>
      <c r="F114" s="153"/>
      <c r="G114" s="153"/>
      <c r="H114" s="153"/>
      <c r="I114" s="153"/>
      <c r="J114" s="155"/>
      <c r="K114" s="154"/>
      <c r="L114" s="155"/>
      <c r="M114" s="155"/>
      <c r="N114" s="155"/>
      <c r="W114" s="152"/>
      <c r="X114" s="153"/>
      <c r="Y114" s="153"/>
      <c r="Z114" s="153"/>
      <c r="AA114" s="155"/>
      <c r="AB114" s="154"/>
      <c r="AC114" s="155"/>
      <c r="AD114" s="155"/>
    </row>
    <row r="115" spans="5:30" x14ac:dyDescent="0.25">
      <c r="E115" s="153"/>
      <c r="F115" s="153"/>
      <c r="G115" s="153"/>
      <c r="H115" s="153"/>
      <c r="I115" s="153"/>
      <c r="J115" s="155"/>
      <c r="K115" s="154"/>
      <c r="L115" s="155"/>
      <c r="M115" s="155"/>
      <c r="N115" s="155"/>
      <c r="W115" s="152"/>
      <c r="X115" s="153"/>
      <c r="Y115" s="153"/>
      <c r="Z115" s="153"/>
      <c r="AA115" s="155"/>
      <c r="AB115" s="154"/>
      <c r="AC115" s="155"/>
      <c r="AD115" s="155"/>
    </row>
    <row r="116" spans="5:30" x14ac:dyDescent="0.25">
      <c r="E116" s="153"/>
      <c r="F116" s="153"/>
      <c r="G116" s="153"/>
      <c r="H116" s="153"/>
      <c r="I116" s="153"/>
      <c r="J116" s="155"/>
      <c r="K116" s="154"/>
      <c r="L116" s="155"/>
      <c r="M116" s="155"/>
      <c r="N116" s="155"/>
      <c r="W116" s="152"/>
      <c r="X116" s="153"/>
      <c r="Y116" s="153"/>
      <c r="Z116" s="153"/>
      <c r="AA116" s="155"/>
      <c r="AB116" s="154"/>
      <c r="AC116" s="155"/>
      <c r="AD116" s="155"/>
    </row>
    <row r="117" spans="5:30" x14ac:dyDescent="0.25">
      <c r="E117" s="153"/>
      <c r="F117" s="153"/>
      <c r="G117" s="153"/>
      <c r="H117" s="153"/>
      <c r="I117" s="153"/>
      <c r="J117" s="155"/>
      <c r="K117" s="154"/>
      <c r="L117" s="155"/>
      <c r="M117" s="155"/>
      <c r="N117" s="155"/>
      <c r="W117" s="152"/>
      <c r="X117" s="153"/>
      <c r="Y117" s="153"/>
      <c r="Z117" s="153"/>
      <c r="AA117" s="155"/>
      <c r="AB117" s="154"/>
      <c r="AC117" s="155"/>
      <c r="AD117" s="155"/>
    </row>
    <row r="118" spans="5:30" x14ac:dyDescent="0.25">
      <c r="E118" s="153"/>
      <c r="F118" s="153"/>
      <c r="G118" s="153"/>
      <c r="H118" s="153"/>
      <c r="I118" s="153"/>
      <c r="J118" s="155"/>
      <c r="K118" s="154"/>
      <c r="L118" s="155"/>
      <c r="M118" s="155"/>
      <c r="N118" s="155"/>
      <c r="W118" s="152"/>
      <c r="X118" s="153"/>
      <c r="Y118" s="153"/>
      <c r="Z118" s="153"/>
      <c r="AA118" s="155"/>
      <c r="AB118" s="154"/>
      <c r="AC118" s="155"/>
      <c r="AD118" s="155"/>
    </row>
    <row r="119" spans="5:30" x14ac:dyDescent="0.25">
      <c r="E119" s="153"/>
      <c r="F119" s="153"/>
      <c r="G119" s="153"/>
      <c r="H119" s="153"/>
      <c r="I119" s="153"/>
      <c r="J119" s="155"/>
      <c r="K119" s="154"/>
      <c r="L119" s="155"/>
      <c r="M119" s="155"/>
      <c r="N119" s="155"/>
      <c r="W119" s="152"/>
      <c r="X119" s="153"/>
      <c r="Y119" s="153"/>
      <c r="Z119" s="153"/>
      <c r="AA119" s="155"/>
      <c r="AB119" s="154"/>
      <c r="AC119" s="155"/>
      <c r="AD119" s="155"/>
    </row>
    <row r="120" spans="5:30" x14ac:dyDescent="0.25">
      <c r="E120" s="153"/>
      <c r="F120" s="153"/>
      <c r="G120" s="153"/>
      <c r="H120" s="153"/>
      <c r="I120" s="153"/>
      <c r="J120" s="155"/>
      <c r="K120" s="154"/>
      <c r="L120" s="155"/>
      <c r="M120" s="155"/>
      <c r="N120" s="155"/>
      <c r="W120" s="152"/>
      <c r="X120" s="153"/>
      <c r="Y120" s="153"/>
      <c r="Z120" s="153"/>
      <c r="AA120" s="155"/>
      <c r="AB120" s="154"/>
      <c r="AC120" s="155"/>
      <c r="AD120" s="155"/>
    </row>
    <row r="121" spans="5:30" x14ac:dyDescent="0.25">
      <c r="E121" s="153"/>
      <c r="F121" s="153"/>
      <c r="G121" s="153"/>
      <c r="H121" s="153"/>
      <c r="I121" s="153"/>
      <c r="J121" s="155"/>
      <c r="K121" s="154"/>
      <c r="L121" s="155"/>
      <c r="M121" s="155"/>
      <c r="N121" s="155"/>
      <c r="W121" s="152"/>
      <c r="X121" s="153"/>
      <c r="Y121" s="153"/>
      <c r="Z121" s="153"/>
      <c r="AA121" s="155"/>
      <c r="AB121" s="154"/>
      <c r="AC121" s="155"/>
      <c r="AD121" s="155"/>
    </row>
    <row r="122" spans="5:30" x14ac:dyDescent="0.25">
      <c r="E122" s="153"/>
      <c r="F122" s="153"/>
      <c r="G122" s="153"/>
      <c r="H122" s="153"/>
      <c r="I122" s="153"/>
      <c r="J122" s="155"/>
      <c r="K122" s="154"/>
      <c r="L122" s="155"/>
      <c r="M122" s="155"/>
      <c r="N122" s="155"/>
      <c r="W122" s="152"/>
      <c r="X122" s="153"/>
      <c r="Y122" s="153"/>
      <c r="Z122" s="153"/>
      <c r="AA122" s="155"/>
      <c r="AB122" s="154"/>
      <c r="AC122" s="155"/>
      <c r="AD122" s="155"/>
    </row>
    <row r="123" spans="5:30" x14ac:dyDescent="0.25">
      <c r="E123" s="153"/>
      <c r="F123" s="153"/>
      <c r="G123" s="153"/>
      <c r="H123" s="153"/>
      <c r="I123" s="153"/>
      <c r="J123" s="155"/>
      <c r="K123" s="154"/>
      <c r="L123" s="155"/>
      <c r="M123" s="155"/>
      <c r="N123" s="155"/>
      <c r="W123" s="152"/>
      <c r="X123" s="153"/>
      <c r="Y123" s="153"/>
      <c r="Z123" s="153"/>
      <c r="AA123" s="155"/>
      <c r="AB123" s="154"/>
      <c r="AC123" s="155"/>
      <c r="AD123" s="155"/>
    </row>
    <row r="124" spans="5:30" x14ac:dyDescent="0.25">
      <c r="E124" s="153"/>
      <c r="F124" s="153"/>
      <c r="G124" s="153"/>
      <c r="H124" s="153"/>
      <c r="I124" s="153"/>
      <c r="J124" s="155"/>
      <c r="K124" s="154"/>
      <c r="L124" s="155"/>
      <c r="M124" s="155"/>
      <c r="N124" s="155"/>
      <c r="W124" s="152"/>
      <c r="X124" s="153"/>
      <c r="Y124" s="153"/>
      <c r="Z124" s="153"/>
      <c r="AA124" s="155"/>
      <c r="AB124" s="154"/>
      <c r="AC124" s="155"/>
      <c r="AD124" s="155"/>
    </row>
    <row r="125" spans="5:30" x14ac:dyDescent="0.25">
      <c r="E125" s="153"/>
      <c r="F125" s="153"/>
      <c r="G125" s="153"/>
      <c r="H125" s="153"/>
      <c r="I125" s="153"/>
      <c r="J125" s="155"/>
      <c r="K125" s="154"/>
      <c r="L125" s="155"/>
      <c r="M125" s="155"/>
      <c r="N125" s="155"/>
      <c r="W125" s="152"/>
      <c r="X125" s="153"/>
      <c r="Y125" s="153"/>
      <c r="Z125" s="153"/>
      <c r="AA125" s="155"/>
      <c r="AB125" s="154"/>
      <c r="AC125" s="155"/>
      <c r="AD125" s="155"/>
    </row>
    <row r="126" spans="5:30" x14ac:dyDescent="0.25">
      <c r="E126" s="153"/>
      <c r="F126" s="153"/>
      <c r="G126" s="153"/>
      <c r="H126" s="153"/>
      <c r="I126" s="153"/>
      <c r="J126" s="155"/>
      <c r="K126" s="154"/>
      <c r="L126" s="155"/>
      <c r="M126" s="155"/>
      <c r="N126" s="155"/>
      <c r="W126" s="152"/>
      <c r="X126" s="153"/>
      <c r="Y126" s="153"/>
      <c r="Z126" s="153"/>
      <c r="AA126" s="155"/>
      <c r="AB126" s="154"/>
      <c r="AC126" s="155"/>
      <c r="AD126" s="155"/>
    </row>
    <row r="127" spans="5:30" x14ac:dyDescent="0.25">
      <c r="E127" s="153"/>
      <c r="F127" s="153"/>
      <c r="G127" s="153"/>
      <c r="H127" s="153"/>
      <c r="I127" s="153"/>
      <c r="J127" s="155"/>
      <c r="K127" s="154"/>
      <c r="L127" s="155"/>
      <c r="M127" s="155"/>
      <c r="N127" s="155"/>
      <c r="W127" s="152"/>
      <c r="X127" s="153"/>
      <c r="Y127" s="153"/>
      <c r="Z127" s="153"/>
      <c r="AA127" s="155"/>
      <c r="AB127" s="154"/>
      <c r="AC127" s="155"/>
      <c r="AD127" s="155"/>
    </row>
    <row r="128" spans="5:30" x14ac:dyDescent="0.25">
      <c r="E128" s="153"/>
      <c r="F128" s="153"/>
      <c r="G128" s="153"/>
      <c r="H128" s="153"/>
      <c r="I128" s="153"/>
      <c r="J128" s="155"/>
      <c r="K128" s="154"/>
      <c r="L128" s="155"/>
      <c r="M128" s="155"/>
      <c r="N128" s="155"/>
      <c r="W128" s="152"/>
      <c r="X128" s="153"/>
      <c r="Y128" s="153"/>
      <c r="Z128" s="153"/>
      <c r="AA128" s="155"/>
      <c r="AB128" s="154"/>
      <c r="AC128" s="155"/>
      <c r="AD128" s="155"/>
    </row>
    <row r="129" spans="5:30" x14ac:dyDescent="0.25">
      <c r="E129" s="153"/>
      <c r="F129" s="153"/>
      <c r="G129" s="153"/>
      <c r="H129" s="153"/>
      <c r="I129" s="153"/>
      <c r="J129" s="155"/>
      <c r="K129" s="154"/>
      <c r="L129" s="155"/>
      <c r="M129" s="155"/>
      <c r="N129" s="155"/>
      <c r="W129" s="152"/>
      <c r="X129" s="153"/>
      <c r="Y129" s="153"/>
      <c r="Z129" s="153"/>
      <c r="AA129" s="155"/>
      <c r="AB129" s="154"/>
      <c r="AC129" s="155"/>
      <c r="AD129" s="155"/>
    </row>
    <row r="130" spans="5:30" x14ac:dyDescent="0.25">
      <c r="E130" s="153"/>
      <c r="F130" s="153"/>
      <c r="G130" s="153"/>
      <c r="H130" s="153"/>
      <c r="I130" s="153"/>
      <c r="J130" s="155"/>
      <c r="K130" s="154"/>
      <c r="L130" s="155"/>
      <c r="M130" s="155"/>
      <c r="N130" s="155"/>
      <c r="W130" s="152"/>
      <c r="X130" s="153"/>
      <c r="Y130" s="153"/>
      <c r="Z130" s="153"/>
      <c r="AA130" s="155"/>
      <c r="AB130" s="154"/>
      <c r="AC130" s="155"/>
      <c r="AD130" s="155"/>
    </row>
    <row r="131" spans="5:30" x14ac:dyDescent="0.25">
      <c r="E131" s="153"/>
      <c r="F131" s="153"/>
      <c r="G131" s="153"/>
      <c r="H131" s="153"/>
      <c r="I131" s="153"/>
      <c r="J131" s="155"/>
      <c r="K131" s="154"/>
      <c r="L131" s="155"/>
      <c r="M131" s="155"/>
      <c r="N131" s="155"/>
      <c r="W131" s="152"/>
      <c r="X131" s="153"/>
      <c r="Y131" s="153"/>
      <c r="Z131" s="153"/>
      <c r="AA131" s="155"/>
      <c r="AB131" s="154"/>
      <c r="AC131" s="155"/>
      <c r="AD131" s="155"/>
    </row>
    <row r="132" spans="5:30" x14ac:dyDescent="0.25">
      <c r="E132" s="153"/>
      <c r="F132" s="153"/>
      <c r="G132" s="153"/>
      <c r="H132" s="153"/>
      <c r="I132" s="153"/>
      <c r="J132" s="155"/>
      <c r="K132" s="154"/>
      <c r="L132" s="155"/>
      <c r="M132" s="155"/>
      <c r="N132" s="155"/>
      <c r="W132" s="152"/>
      <c r="X132" s="153"/>
      <c r="Y132" s="153"/>
      <c r="Z132" s="153"/>
      <c r="AA132" s="155"/>
      <c r="AB132" s="154"/>
      <c r="AC132" s="155"/>
      <c r="AD132" s="155"/>
    </row>
    <row r="133" spans="5:30" x14ac:dyDescent="0.25">
      <c r="E133" s="153"/>
      <c r="F133" s="153"/>
      <c r="G133" s="153"/>
      <c r="H133" s="153"/>
      <c r="I133" s="153"/>
      <c r="J133" s="155"/>
      <c r="K133" s="154"/>
      <c r="L133" s="155"/>
      <c r="M133" s="155"/>
      <c r="N133" s="155"/>
      <c r="W133" s="152"/>
      <c r="X133" s="153"/>
      <c r="Y133" s="153"/>
      <c r="Z133" s="153"/>
      <c r="AA133" s="155"/>
      <c r="AB133" s="154"/>
      <c r="AC133" s="155"/>
      <c r="AD133" s="155"/>
    </row>
    <row r="134" spans="5:30" x14ac:dyDescent="0.25">
      <c r="E134" s="153"/>
      <c r="F134" s="153"/>
      <c r="G134" s="153"/>
      <c r="H134" s="153"/>
      <c r="I134" s="153"/>
      <c r="J134" s="155"/>
      <c r="K134" s="154"/>
      <c r="L134" s="155"/>
      <c r="M134" s="155"/>
      <c r="N134" s="155"/>
      <c r="W134" s="152"/>
      <c r="X134" s="153"/>
      <c r="Y134" s="153"/>
      <c r="Z134" s="153"/>
      <c r="AA134" s="155"/>
      <c r="AB134" s="154"/>
      <c r="AC134" s="155"/>
      <c r="AD134" s="155"/>
    </row>
    <row r="135" spans="5:30" x14ac:dyDescent="0.25">
      <c r="E135" s="153"/>
      <c r="F135" s="153"/>
      <c r="G135" s="153"/>
      <c r="H135" s="153"/>
      <c r="I135" s="153"/>
      <c r="J135" s="155"/>
      <c r="K135" s="154"/>
      <c r="L135" s="155"/>
      <c r="M135" s="155"/>
      <c r="N135" s="155"/>
      <c r="W135" s="152"/>
      <c r="X135" s="153"/>
      <c r="Y135" s="153"/>
      <c r="Z135" s="153"/>
      <c r="AA135" s="155"/>
      <c r="AB135" s="154"/>
      <c r="AC135" s="155"/>
      <c r="AD135" s="155"/>
    </row>
    <row r="136" spans="5:30" x14ac:dyDescent="0.25">
      <c r="E136" s="153"/>
      <c r="F136" s="153"/>
      <c r="G136" s="153"/>
      <c r="H136" s="153"/>
      <c r="I136" s="153"/>
      <c r="J136" s="155"/>
      <c r="K136" s="154"/>
      <c r="L136" s="155"/>
      <c r="M136" s="155"/>
      <c r="N136" s="155"/>
      <c r="W136" s="152"/>
      <c r="X136" s="153"/>
      <c r="Y136" s="153"/>
      <c r="Z136" s="153"/>
      <c r="AA136" s="155"/>
      <c r="AB136" s="154"/>
      <c r="AC136" s="155"/>
      <c r="AD136" s="155"/>
    </row>
    <row r="137" spans="5:30" x14ac:dyDescent="0.25">
      <c r="E137" s="153"/>
      <c r="F137" s="153"/>
      <c r="G137" s="153"/>
      <c r="H137" s="153"/>
      <c r="I137" s="153"/>
      <c r="J137" s="155"/>
      <c r="K137" s="154"/>
      <c r="L137" s="155"/>
      <c r="M137" s="155"/>
      <c r="N137" s="155"/>
      <c r="W137" s="152"/>
      <c r="X137" s="153"/>
      <c r="Y137" s="153"/>
      <c r="Z137" s="153"/>
      <c r="AA137" s="155"/>
      <c r="AB137" s="154"/>
      <c r="AC137" s="155"/>
      <c r="AD137" s="155"/>
    </row>
    <row r="138" spans="5:30" x14ac:dyDescent="0.25">
      <c r="E138" s="153"/>
      <c r="F138" s="153"/>
      <c r="G138" s="153"/>
      <c r="H138" s="153"/>
      <c r="I138" s="153"/>
      <c r="J138" s="155"/>
      <c r="K138" s="154"/>
      <c r="L138" s="155"/>
      <c r="M138" s="155"/>
      <c r="N138" s="155"/>
      <c r="W138" s="152"/>
      <c r="X138" s="153"/>
      <c r="Y138" s="153"/>
      <c r="Z138" s="153"/>
      <c r="AA138" s="155"/>
      <c r="AB138" s="154"/>
      <c r="AC138" s="155"/>
      <c r="AD138" s="155"/>
    </row>
    <row r="139" spans="5:30" x14ac:dyDescent="0.25">
      <c r="E139" s="153"/>
      <c r="F139" s="153"/>
      <c r="G139" s="153"/>
      <c r="H139" s="153"/>
      <c r="I139" s="153"/>
      <c r="J139" s="155"/>
      <c r="K139" s="154"/>
      <c r="L139" s="155"/>
      <c r="M139" s="155"/>
      <c r="N139" s="155"/>
      <c r="W139" s="152"/>
      <c r="X139" s="153"/>
      <c r="Y139" s="153"/>
      <c r="Z139" s="153"/>
      <c r="AA139" s="155"/>
      <c r="AB139" s="154"/>
      <c r="AC139" s="155"/>
      <c r="AD139" s="155"/>
    </row>
    <row r="140" spans="5:30" x14ac:dyDescent="0.25">
      <c r="E140" s="153"/>
      <c r="F140" s="153"/>
      <c r="G140" s="153"/>
      <c r="H140" s="153"/>
      <c r="I140" s="153"/>
      <c r="J140" s="155"/>
      <c r="K140" s="154"/>
      <c r="L140" s="155"/>
      <c r="M140" s="155"/>
      <c r="N140" s="155"/>
      <c r="W140" s="152"/>
      <c r="X140" s="153"/>
      <c r="Y140" s="153"/>
      <c r="Z140" s="153"/>
      <c r="AA140" s="155"/>
      <c r="AB140" s="154"/>
      <c r="AC140" s="155"/>
      <c r="AD140" s="155"/>
    </row>
    <row r="141" spans="5:30" x14ac:dyDescent="0.25">
      <c r="E141" s="153"/>
      <c r="F141" s="153"/>
      <c r="G141" s="153"/>
      <c r="H141" s="153"/>
      <c r="I141" s="153"/>
      <c r="J141" s="155"/>
      <c r="K141" s="154"/>
      <c r="L141" s="155"/>
      <c r="M141" s="155"/>
      <c r="N141" s="155"/>
      <c r="W141" s="152"/>
      <c r="X141" s="153"/>
      <c r="Y141" s="153"/>
      <c r="Z141" s="153"/>
      <c r="AA141" s="155"/>
      <c r="AB141" s="154"/>
      <c r="AC141" s="155"/>
      <c r="AD141" s="155"/>
    </row>
    <row r="142" spans="5:30" x14ac:dyDescent="0.25">
      <c r="E142" s="153"/>
      <c r="F142" s="153"/>
      <c r="G142" s="153"/>
      <c r="H142" s="153"/>
      <c r="I142" s="153"/>
      <c r="J142" s="155"/>
      <c r="K142" s="154"/>
      <c r="L142" s="155"/>
      <c r="M142" s="155"/>
      <c r="N142" s="155"/>
      <c r="W142" s="152"/>
      <c r="X142" s="153"/>
      <c r="Y142" s="153"/>
      <c r="Z142" s="153"/>
      <c r="AA142" s="155"/>
      <c r="AB142" s="154"/>
      <c r="AC142" s="155"/>
      <c r="AD142" s="155"/>
    </row>
    <row r="143" spans="5:30" x14ac:dyDescent="0.25">
      <c r="E143" s="153"/>
      <c r="F143" s="153"/>
      <c r="G143" s="153"/>
      <c r="H143" s="153"/>
      <c r="I143" s="153"/>
      <c r="J143" s="155"/>
      <c r="K143" s="154"/>
      <c r="L143" s="155"/>
      <c r="M143" s="155"/>
      <c r="N143" s="155"/>
      <c r="W143" s="152"/>
      <c r="X143" s="153"/>
      <c r="Y143" s="153"/>
      <c r="Z143" s="153"/>
      <c r="AA143" s="155"/>
      <c r="AB143" s="154"/>
      <c r="AC143" s="155"/>
      <c r="AD143" s="155"/>
    </row>
    <row r="144" spans="5:30" x14ac:dyDescent="0.25">
      <c r="E144" s="153"/>
      <c r="F144" s="153"/>
      <c r="G144" s="153"/>
      <c r="H144" s="153"/>
      <c r="I144" s="153"/>
      <c r="J144" s="155"/>
      <c r="K144" s="154"/>
      <c r="L144" s="155"/>
      <c r="M144" s="155"/>
      <c r="N144" s="155"/>
      <c r="W144" s="152"/>
      <c r="X144" s="153"/>
      <c r="Y144" s="153"/>
      <c r="Z144" s="153"/>
      <c r="AA144" s="155"/>
      <c r="AB144" s="154"/>
      <c r="AC144" s="155"/>
      <c r="AD144" s="155"/>
    </row>
    <row r="145" spans="5:30" x14ac:dyDescent="0.25">
      <c r="E145" s="153"/>
      <c r="F145" s="153"/>
      <c r="G145" s="153"/>
      <c r="H145" s="153"/>
      <c r="I145" s="153"/>
      <c r="J145" s="155"/>
      <c r="K145" s="154"/>
      <c r="L145" s="155"/>
      <c r="M145" s="155"/>
      <c r="N145" s="155"/>
      <c r="W145" s="152"/>
      <c r="X145" s="153"/>
      <c r="Y145" s="153"/>
      <c r="Z145" s="153"/>
      <c r="AA145" s="155"/>
      <c r="AB145" s="154"/>
      <c r="AC145" s="155"/>
      <c r="AD145" s="155"/>
    </row>
    <row r="146" spans="5:30" x14ac:dyDescent="0.25">
      <c r="E146" s="153"/>
      <c r="F146" s="153"/>
      <c r="G146" s="153"/>
      <c r="H146" s="153"/>
      <c r="I146" s="153"/>
      <c r="J146" s="155"/>
      <c r="K146" s="154"/>
      <c r="L146" s="155"/>
      <c r="M146" s="155"/>
      <c r="N146" s="155"/>
      <c r="W146" s="152"/>
      <c r="X146" s="153"/>
      <c r="Y146" s="153"/>
      <c r="Z146" s="153"/>
      <c r="AA146" s="155"/>
      <c r="AB146" s="154"/>
      <c r="AC146" s="155"/>
      <c r="AD146" s="155"/>
    </row>
    <row r="147" spans="5:30" x14ac:dyDescent="0.25">
      <c r="E147" s="153"/>
      <c r="F147" s="153"/>
      <c r="G147" s="153"/>
      <c r="H147" s="153"/>
      <c r="I147" s="153"/>
      <c r="J147" s="155"/>
      <c r="K147" s="154"/>
      <c r="L147" s="155"/>
      <c r="M147" s="155"/>
      <c r="N147" s="155"/>
      <c r="W147" s="152"/>
      <c r="X147" s="153"/>
      <c r="Y147" s="153"/>
      <c r="Z147" s="153"/>
      <c r="AA147" s="155"/>
      <c r="AB147" s="154"/>
      <c r="AC147" s="155"/>
      <c r="AD147" s="155"/>
    </row>
    <row r="148" spans="5:30" x14ac:dyDescent="0.25">
      <c r="E148" s="153"/>
      <c r="F148" s="153"/>
      <c r="G148" s="153"/>
      <c r="H148" s="153"/>
      <c r="I148" s="153"/>
      <c r="J148" s="155"/>
      <c r="K148" s="154"/>
      <c r="L148" s="155"/>
      <c r="M148" s="155"/>
      <c r="N148" s="155"/>
      <c r="W148" s="152"/>
      <c r="X148" s="153"/>
      <c r="Y148" s="153"/>
      <c r="Z148" s="153"/>
      <c r="AA148" s="155"/>
      <c r="AB148" s="154"/>
      <c r="AC148" s="155"/>
      <c r="AD148" s="155"/>
    </row>
    <row r="149" spans="5:30" x14ac:dyDescent="0.25">
      <c r="E149" s="153"/>
      <c r="F149" s="153"/>
      <c r="G149" s="153"/>
      <c r="H149" s="153"/>
      <c r="I149" s="153"/>
      <c r="J149" s="155"/>
      <c r="K149" s="154"/>
      <c r="L149" s="155"/>
      <c r="M149" s="155"/>
      <c r="N149" s="155"/>
      <c r="W149" s="152"/>
      <c r="X149" s="153"/>
      <c r="Y149" s="153"/>
      <c r="Z149" s="153"/>
      <c r="AA149" s="155"/>
      <c r="AB149" s="154"/>
      <c r="AC149" s="155"/>
      <c r="AD149" s="155"/>
    </row>
    <row r="150" spans="5:30" x14ac:dyDescent="0.25">
      <c r="E150" s="153"/>
      <c r="F150" s="153"/>
      <c r="G150" s="153"/>
      <c r="H150" s="153"/>
      <c r="I150" s="153"/>
      <c r="J150" s="155"/>
      <c r="K150" s="154"/>
      <c r="L150" s="155"/>
      <c r="M150" s="155"/>
      <c r="N150" s="155"/>
      <c r="W150" s="152"/>
      <c r="X150" s="153"/>
      <c r="Y150" s="153"/>
      <c r="Z150" s="153"/>
      <c r="AA150" s="155"/>
      <c r="AB150" s="154"/>
      <c r="AC150" s="155"/>
      <c r="AD150" s="155"/>
    </row>
    <row r="151" spans="5:30" x14ac:dyDescent="0.25">
      <c r="E151" s="153"/>
      <c r="F151" s="153"/>
      <c r="G151" s="153"/>
      <c r="H151" s="153"/>
      <c r="I151" s="153"/>
      <c r="J151" s="155"/>
      <c r="K151" s="154"/>
      <c r="L151" s="155"/>
      <c r="M151" s="155"/>
      <c r="N151" s="155"/>
      <c r="W151" s="152"/>
      <c r="X151" s="153"/>
      <c r="Y151" s="153"/>
      <c r="Z151" s="153"/>
      <c r="AA151" s="155"/>
      <c r="AB151" s="154"/>
      <c r="AC151" s="155"/>
      <c r="AD151" s="155"/>
    </row>
    <row r="152" spans="5:30" x14ac:dyDescent="0.25">
      <c r="E152" s="153"/>
      <c r="F152" s="153"/>
      <c r="G152" s="153"/>
      <c r="H152" s="153"/>
      <c r="I152" s="153"/>
      <c r="J152" s="155"/>
      <c r="K152" s="154"/>
      <c r="L152" s="155"/>
      <c r="M152" s="155"/>
      <c r="N152" s="155"/>
      <c r="W152" s="152"/>
      <c r="X152" s="153"/>
      <c r="Y152" s="153"/>
      <c r="Z152" s="153"/>
      <c r="AA152" s="155"/>
      <c r="AB152" s="154"/>
      <c r="AC152" s="155"/>
      <c r="AD152" s="155"/>
    </row>
    <row r="153" spans="5:30" x14ac:dyDescent="0.25">
      <c r="E153" s="153"/>
      <c r="F153" s="153"/>
      <c r="G153" s="153"/>
      <c r="H153" s="153"/>
      <c r="I153" s="153"/>
      <c r="J153" s="155"/>
      <c r="K153" s="154"/>
      <c r="L153" s="155"/>
      <c r="M153" s="155"/>
      <c r="N153" s="155"/>
      <c r="W153" s="152"/>
      <c r="X153" s="153"/>
      <c r="Y153" s="153"/>
      <c r="Z153" s="153"/>
      <c r="AA153" s="155"/>
      <c r="AB153" s="154"/>
      <c r="AC153" s="155"/>
      <c r="AD153" s="155"/>
    </row>
    <row r="154" spans="5:30" x14ac:dyDescent="0.25">
      <c r="E154" s="153"/>
      <c r="F154" s="153"/>
      <c r="G154" s="153"/>
      <c r="H154" s="153"/>
      <c r="I154" s="153"/>
      <c r="J154" s="155"/>
      <c r="K154" s="154"/>
      <c r="L154" s="155"/>
      <c r="M154" s="155"/>
      <c r="N154" s="155"/>
      <c r="W154" s="152"/>
      <c r="X154" s="153"/>
      <c r="Y154" s="153"/>
      <c r="Z154" s="153"/>
      <c r="AA154" s="155"/>
      <c r="AB154" s="154"/>
      <c r="AC154" s="155"/>
      <c r="AD154" s="155"/>
    </row>
    <row r="155" spans="5:30" x14ac:dyDescent="0.25">
      <c r="E155" s="153"/>
      <c r="F155" s="153"/>
      <c r="G155" s="153"/>
      <c r="H155" s="153"/>
      <c r="I155" s="153"/>
      <c r="J155" s="155"/>
      <c r="K155" s="154"/>
      <c r="L155" s="155"/>
      <c r="M155" s="155"/>
      <c r="N155" s="155"/>
      <c r="W155" s="152"/>
      <c r="X155" s="153"/>
      <c r="Y155" s="153"/>
      <c r="Z155" s="153"/>
      <c r="AA155" s="155"/>
      <c r="AB155" s="154"/>
      <c r="AC155" s="155"/>
      <c r="AD155" s="155"/>
    </row>
    <row r="156" spans="5:30" x14ac:dyDescent="0.25">
      <c r="E156" s="153"/>
      <c r="F156" s="153"/>
      <c r="G156" s="153"/>
      <c r="H156" s="153"/>
      <c r="I156" s="153"/>
      <c r="J156" s="155"/>
      <c r="K156" s="154"/>
      <c r="L156" s="155"/>
      <c r="M156" s="155"/>
      <c r="N156" s="155"/>
      <c r="W156" s="152"/>
      <c r="X156" s="153"/>
      <c r="Y156" s="153"/>
      <c r="Z156" s="153"/>
      <c r="AA156" s="155"/>
      <c r="AB156" s="154"/>
      <c r="AC156" s="155"/>
      <c r="AD156" s="155"/>
    </row>
    <row r="157" spans="5:30" x14ac:dyDescent="0.25">
      <c r="E157" s="153"/>
      <c r="F157" s="153"/>
      <c r="G157" s="153"/>
      <c r="H157" s="153"/>
      <c r="I157" s="153"/>
      <c r="J157" s="155"/>
      <c r="K157" s="154"/>
      <c r="L157" s="155"/>
      <c r="M157" s="155"/>
      <c r="N157" s="155"/>
      <c r="W157" s="152"/>
      <c r="X157" s="153"/>
      <c r="Y157" s="153"/>
      <c r="Z157" s="153"/>
      <c r="AA157" s="155"/>
      <c r="AB157" s="154"/>
      <c r="AC157" s="155"/>
      <c r="AD157" s="155"/>
    </row>
    <row r="158" spans="5:30" x14ac:dyDescent="0.25">
      <c r="E158" s="153"/>
      <c r="F158" s="153"/>
      <c r="G158" s="153"/>
      <c r="H158" s="153"/>
      <c r="I158" s="153"/>
      <c r="J158" s="155"/>
      <c r="K158" s="154"/>
      <c r="L158" s="155"/>
      <c r="M158" s="155"/>
      <c r="N158" s="155"/>
      <c r="W158" s="152"/>
      <c r="X158" s="153"/>
      <c r="Y158" s="153"/>
      <c r="Z158" s="153"/>
      <c r="AA158" s="155"/>
      <c r="AB158" s="154"/>
      <c r="AC158" s="155"/>
      <c r="AD158" s="155"/>
    </row>
    <row r="159" spans="5:30" x14ac:dyDescent="0.25">
      <c r="E159" s="153"/>
      <c r="F159" s="153"/>
      <c r="G159" s="153"/>
      <c r="H159" s="153"/>
      <c r="I159" s="153"/>
      <c r="J159" s="155"/>
      <c r="K159" s="154"/>
      <c r="L159" s="155"/>
      <c r="M159" s="155"/>
      <c r="N159" s="155"/>
      <c r="W159" s="152"/>
      <c r="X159" s="153"/>
      <c r="Y159" s="153"/>
      <c r="Z159" s="153"/>
      <c r="AA159" s="155"/>
      <c r="AB159" s="154"/>
      <c r="AC159" s="155"/>
      <c r="AD159" s="155"/>
    </row>
    <row r="160" spans="5:30" x14ac:dyDescent="0.25">
      <c r="E160" s="153"/>
      <c r="F160" s="153"/>
      <c r="G160" s="153"/>
      <c r="H160" s="153"/>
      <c r="I160" s="153"/>
      <c r="J160" s="155"/>
      <c r="K160" s="154"/>
      <c r="L160" s="155"/>
      <c r="M160" s="155"/>
      <c r="N160" s="155"/>
      <c r="W160" s="152"/>
      <c r="X160" s="153"/>
      <c r="Y160" s="153"/>
      <c r="Z160" s="153"/>
      <c r="AA160" s="155"/>
      <c r="AB160" s="154"/>
      <c r="AC160" s="155"/>
      <c r="AD160" s="155"/>
    </row>
    <row r="161" spans="5:30" x14ac:dyDescent="0.25">
      <c r="E161" s="153"/>
      <c r="F161" s="153"/>
      <c r="G161" s="153"/>
      <c r="H161" s="153"/>
      <c r="I161" s="153"/>
      <c r="J161" s="155"/>
      <c r="K161" s="154"/>
      <c r="L161" s="155"/>
      <c r="M161" s="155"/>
      <c r="N161" s="155"/>
      <c r="W161" s="152"/>
      <c r="X161" s="153"/>
      <c r="Y161" s="153"/>
      <c r="Z161" s="153"/>
      <c r="AA161" s="155"/>
      <c r="AB161" s="154"/>
      <c r="AC161" s="155"/>
      <c r="AD161" s="155"/>
    </row>
    <row r="162" spans="5:30" x14ac:dyDescent="0.25">
      <c r="E162" s="153"/>
      <c r="F162" s="153"/>
      <c r="G162" s="153"/>
      <c r="H162" s="153"/>
      <c r="I162" s="153"/>
      <c r="J162" s="155"/>
      <c r="K162" s="154"/>
      <c r="L162" s="155"/>
      <c r="M162" s="155"/>
      <c r="N162" s="155"/>
      <c r="W162" s="152"/>
      <c r="X162" s="153"/>
      <c r="Y162" s="153"/>
      <c r="Z162" s="153"/>
      <c r="AA162" s="155"/>
      <c r="AB162" s="154"/>
      <c r="AC162" s="155"/>
      <c r="AD162" s="155"/>
    </row>
    <row r="163" spans="5:30" x14ac:dyDescent="0.25">
      <c r="E163" s="153"/>
      <c r="F163" s="153"/>
      <c r="G163" s="153"/>
      <c r="H163" s="153"/>
      <c r="I163" s="153"/>
      <c r="J163" s="155"/>
      <c r="K163" s="154"/>
      <c r="L163" s="155"/>
      <c r="M163" s="155"/>
      <c r="N163" s="155"/>
      <c r="W163" s="152"/>
      <c r="X163" s="153"/>
      <c r="Y163" s="153"/>
      <c r="Z163" s="153"/>
      <c r="AA163" s="155"/>
      <c r="AB163" s="154"/>
      <c r="AC163" s="155"/>
      <c r="AD163" s="155"/>
    </row>
    <row r="164" spans="5:30" x14ac:dyDescent="0.25">
      <c r="E164" s="153"/>
      <c r="F164" s="153"/>
      <c r="G164" s="153"/>
      <c r="H164" s="153"/>
      <c r="I164" s="153"/>
      <c r="J164" s="155"/>
      <c r="K164" s="154"/>
      <c r="L164" s="155"/>
      <c r="M164" s="155"/>
      <c r="N164" s="155"/>
      <c r="W164" s="152"/>
      <c r="X164" s="153"/>
      <c r="Y164" s="153"/>
      <c r="Z164" s="153"/>
      <c r="AA164" s="155"/>
      <c r="AB164" s="154"/>
      <c r="AC164" s="155"/>
      <c r="AD164" s="155"/>
    </row>
    <row r="165" spans="5:30" x14ac:dyDescent="0.25">
      <c r="E165" s="153"/>
      <c r="F165" s="153"/>
      <c r="G165" s="153"/>
      <c r="H165" s="153"/>
      <c r="I165" s="153"/>
      <c r="J165" s="155"/>
      <c r="K165" s="154"/>
      <c r="L165" s="155"/>
      <c r="M165" s="155"/>
      <c r="N165" s="155"/>
      <c r="W165" s="152"/>
      <c r="X165" s="153"/>
      <c r="Y165" s="153"/>
      <c r="Z165" s="153"/>
      <c r="AA165" s="155"/>
      <c r="AB165" s="154"/>
      <c r="AC165" s="155"/>
      <c r="AD165" s="155"/>
    </row>
    <row r="166" spans="5:30" x14ac:dyDescent="0.25">
      <c r="E166" s="153"/>
      <c r="F166" s="153"/>
      <c r="G166" s="153"/>
      <c r="H166" s="153"/>
      <c r="I166" s="153"/>
      <c r="J166" s="155"/>
      <c r="K166" s="154"/>
      <c r="L166" s="155"/>
      <c r="M166" s="155"/>
      <c r="N166" s="155"/>
      <c r="W166" s="152"/>
      <c r="X166" s="153"/>
      <c r="Y166" s="153"/>
      <c r="Z166" s="153"/>
      <c r="AA166" s="155"/>
      <c r="AB166" s="154"/>
      <c r="AC166" s="155"/>
      <c r="AD166" s="155"/>
    </row>
    <row r="167" spans="5:30" x14ac:dyDescent="0.25">
      <c r="E167" s="153"/>
      <c r="F167" s="153"/>
      <c r="G167" s="153"/>
      <c r="H167" s="153"/>
      <c r="I167" s="153"/>
      <c r="J167" s="155"/>
      <c r="K167" s="154"/>
      <c r="L167" s="155"/>
      <c r="M167" s="155"/>
      <c r="N167" s="155"/>
      <c r="W167" s="152"/>
      <c r="X167" s="153"/>
      <c r="Y167" s="153"/>
      <c r="Z167" s="153"/>
      <c r="AA167" s="155"/>
      <c r="AB167" s="154"/>
      <c r="AC167" s="155"/>
      <c r="AD167" s="155"/>
    </row>
    <row r="168" spans="5:30" x14ac:dyDescent="0.25">
      <c r="E168" s="153"/>
      <c r="F168" s="153"/>
      <c r="G168" s="153"/>
      <c r="H168" s="153"/>
      <c r="I168" s="153"/>
      <c r="J168" s="155"/>
      <c r="K168" s="154"/>
      <c r="L168" s="155"/>
      <c r="M168" s="155"/>
      <c r="N168" s="155"/>
      <c r="W168" s="152"/>
      <c r="X168" s="153"/>
      <c r="Y168" s="153"/>
      <c r="Z168" s="153"/>
      <c r="AA168" s="155"/>
      <c r="AB168" s="154"/>
      <c r="AC168" s="155"/>
      <c r="AD168" s="155"/>
    </row>
    <row r="169" spans="5:30" x14ac:dyDescent="0.25">
      <c r="E169" s="153"/>
      <c r="F169" s="153"/>
      <c r="G169" s="153"/>
      <c r="H169" s="153"/>
      <c r="I169" s="153"/>
      <c r="J169" s="155"/>
      <c r="K169" s="154"/>
      <c r="L169" s="155"/>
      <c r="M169" s="155"/>
      <c r="N169" s="155"/>
      <c r="W169" s="152"/>
      <c r="X169" s="153"/>
      <c r="Y169" s="153"/>
      <c r="Z169" s="153"/>
      <c r="AA169" s="155"/>
      <c r="AB169" s="154"/>
      <c r="AC169" s="155"/>
      <c r="AD169" s="155"/>
    </row>
    <row r="170" spans="5:30" x14ac:dyDescent="0.25">
      <c r="E170" s="153"/>
      <c r="F170" s="153"/>
      <c r="G170" s="153"/>
      <c r="H170" s="153"/>
      <c r="I170" s="153"/>
      <c r="J170" s="155"/>
      <c r="K170" s="154"/>
      <c r="L170" s="155"/>
      <c r="M170" s="155"/>
      <c r="N170" s="155"/>
      <c r="W170" s="152"/>
      <c r="X170" s="153"/>
      <c r="Y170" s="153"/>
      <c r="Z170" s="153"/>
      <c r="AA170" s="155"/>
      <c r="AB170" s="154"/>
      <c r="AC170" s="155"/>
      <c r="AD170" s="155"/>
    </row>
    <row r="171" spans="5:30" x14ac:dyDescent="0.25">
      <c r="E171" s="153"/>
      <c r="F171" s="153"/>
      <c r="G171" s="153"/>
      <c r="H171" s="153"/>
      <c r="I171" s="153"/>
      <c r="J171" s="155"/>
      <c r="K171" s="154"/>
      <c r="L171" s="155"/>
      <c r="M171" s="155"/>
      <c r="N171" s="155"/>
      <c r="W171" s="152"/>
      <c r="X171" s="153"/>
      <c r="Y171" s="153"/>
      <c r="Z171" s="153"/>
      <c r="AA171" s="155"/>
      <c r="AB171" s="154"/>
      <c r="AC171" s="155"/>
      <c r="AD171" s="155"/>
    </row>
    <row r="172" spans="5:30" x14ac:dyDescent="0.25">
      <c r="E172" s="153"/>
      <c r="F172" s="153"/>
      <c r="G172" s="153"/>
      <c r="H172" s="153"/>
      <c r="I172" s="153"/>
      <c r="J172" s="155"/>
      <c r="K172" s="154"/>
      <c r="L172" s="155"/>
      <c r="M172" s="155"/>
      <c r="N172" s="155"/>
      <c r="W172" s="152"/>
      <c r="X172" s="153"/>
      <c r="Y172" s="153"/>
      <c r="Z172" s="153"/>
      <c r="AA172" s="155"/>
      <c r="AB172" s="154"/>
      <c r="AC172" s="155"/>
      <c r="AD172" s="155"/>
    </row>
    <row r="173" spans="5:30" x14ac:dyDescent="0.25">
      <c r="E173" s="153"/>
      <c r="F173" s="153"/>
      <c r="G173" s="153"/>
      <c r="H173" s="153"/>
      <c r="I173" s="153"/>
      <c r="J173" s="155"/>
      <c r="K173" s="154"/>
      <c r="L173" s="155"/>
      <c r="M173" s="155"/>
      <c r="N173" s="155"/>
      <c r="W173" s="152"/>
      <c r="X173" s="153"/>
      <c r="Y173" s="153"/>
      <c r="Z173" s="153"/>
      <c r="AA173" s="155"/>
      <c r="AB173" s="154"/>
      <c r="AC173" s="155"/>
      <c r="AD173" s="155"/>
    </row>
    <row r="174" spans="5:30" x14ac:dyDescent="0.25">
      <c r="E174" s="153"/>
      <c r="F174" s="153"/>
      <c r="G174" s="153"/>
      <c r="H174" s="153"/>
      <c r="I174" s="153"/>
      <c r="J174" s="155"/>
      <c r="K174" s="154"/>
      <c r="L174" s="155"/>
      <c r="M174" s="155"/>
      <c r="N174" s="155"/>
      <c r="W174" s="152"/>
      <c r="X174" s="153"/>
      <c r="Y174" s="153"/>
      <c r="Z174" s="153"/>
      <c r="AA174" s="155"/>
      <c r="AB174" s="154"/>
      <c r="AC174" s="155"/>
      <c r="AD174" s="155"/>
    </row>
    <row r="175" spans="5:30" x14ac:dyDescent="0.25">
      <c r="E175" s="153"/>
      <c r="F175" s="153"/>
      <c r="G175" s="153"/>
      <c r="H175" s="153"/>
      <c r="I175" s="153"/>
      <c r="J175" s="155"/>
      <c r="K175" s="154"/>
      <c r="L175" s="155"/>
      <c r="M175" s="155"/>
      <c r="N175" s="155"/>
      <c r="W175" s="152"/>
      <c r="X175" s="153"/>
      <c r="Y175" s="153"/>
      <c r="Z175" s="153"/>
      <c r="AA175" s="155"/>
      <c r="AB175" s="154"/>
      <c r="AC175" s="155"/>
      <c r="AD175" s="155"/>
    </row>
    <row r="176" spans="5:30" x14ac:dyDescent="0.25">
      <c r="E176" s="153"/>
      <c r="F176" s="153"/>
      <c r="G176" s="153"/>
      <c r="H176" s="153"/>
      <c r="I176" s="153"/>
      <c r="J176" s="155"/>
      <c r="K176" s="154"/>
      <c r="L176" s="155"/>
      <c r="M176" s="155"/>
      <c r="N176" s="155"/>
      <c r="W176" s="152"/>
      <c r="X176" s="153"/>
      <c r="Y176" s="153"/>
      <c r="Z176" s="153"/>
      <c r="AA176" s="155"/>
      <c r="AB176" s="154"/>
      <c r="AC176" s="155"/>
      <c r="AD176" s="155"/>
    </row>
    <row r="177" spans="5:30" x14ac:dyDescent="0.25">
      <c r="E177" s="153"/>
      <c r="F177" s="153"/>
      <c r="G177" s="153"/>
      <c r="H177" s="153"/>
      <c r="I177" s="153"/>
      <c r="J177" s="155"/>
      <c r="K177" s="154"/>
      <c r="L177" s="155"/>
      <c r="M177" s="155"/>
      <c r="N177" s="155"/>
      <c r="W177" s="152"/>
      <c r="X177" s="153"/>
      <c r="Y177" s="153"/>
      <c r="Z177" s="153"/>
      <c r="AA177" s="155"/>
      <c r="AB177" s="154"/>
      <c r="AC177" s="155"/>
      <c r="AD177" s="155"/>
    </row>
    <row r="178" spans="5:30" x14ac:dyDescent="0.25">
      <c r="E178" s="153"/>
      <c r="F178" s="153"/>
      <c r="G178" s="153"/>
      <c r="H178" s="153"/>
      <c r="I178" s="153"/>
      <c r="J178" s="155"/>
      <c r="K178" s="154"/>
      <c r="L178" s="155"/>
      <c r="M178" s="155"/>
      <c r="N178" s="155"/>
      <c r="W178" s="152"/>
      <c r="X178" s="153"/>
      <c r="Y178" s="153"/>
      <c r="Z178" s="153"/>
      <c r="AA178" s="155"/>
      <c r="AB178" s="154"/>
      <c r="AC178" s="155"/>
      <c r="AD178" s="155"/>
    </row>
    <row r="179" spans="5:30" x14ac:dyDescent="0.25">
      <c r="E179" s="153"/>
      <c r="F179" s="153"/>
      <c r="G179" s="153"/>
      <c r="H179" s="153"/>
      <c r="I179" s="153"/>
      <c r="J179" s="155"/>
      <c r="K179" s="154"/>
      <c r="L179" s="155"/>
      <c r="M179" s="155"/>
      <c r="N179" s="155"/>
      <c r="W179" s="152"/>
      <c r="X179" s="153"/>
      <c r="Y179" s="153"/>
      <c r="Z179" s="153"/>
      <c r="AA179" s="155"/>
      <c r="AB179" s="154"/>
      <c r="AC179" s="155"/>
      <c r="AD179" s="155"/>
    </row>
    <row r="180" spans="5:30" x14ac:dyDescent="0.25">
      <c r="E180" s="153"/>
      <c r="F180" s="153"/>
      <c r="G180" s="153"/>
      <c r="H180" s="153"/>
      <c r="I180" s="153"/>
      <c r="J180" s="155"/>
      <c r="K180" s="154"/>
      <c r="L180" s="155"/>
      <c r="M180" s="155"/>
      <c r="N180" s="155"/>
      <c r="W180" s="152"/>
      <c r="X180" s="153"/>
      <c r="Y180" s="153"/>
      <c r="Z180" s="153"/>
      <c r="AA180" s="155"/>
      <c r="AB180" s="154"/>
      <c r="AC180" s="155"/>
      <c r="AD180" s="155"/>
    </row>
    <row r="181" spans="5:30" x14ac:dyDescent="0.25">
      <c r="E181" s="153"/>
      <c r="F181" s="153"/>
      <c r="G181" s="153"/>
      <c r="H181" s="153"/>
      <c r="I181" s="153"/>
      <c r="J181" s="155"/>
      <c r="K181" s="154"/>
      <c r="L181" s="155"/>
      <c r="M181" s="155"/>
      <c r="N181" s="155"/>
      <c r="W181" s="152"/>
      <c r="X181" s="153"/>
      <c r="Y181" s="153"/>
      <c r="Z181" s="153"/>
      <c r="AA181" s="155"/>
      <c r="AB181" s="154"/>
      <c r="AC181" s="155"/>
      <c r="AD181" s="155"/>
    </row>
    <row r="182" spans="5:30" x14ac:dyDescent="0.25">
      <c r="E182" s="153"/>
      <c r="F182" s="153"/>
      <c r="G182" s="153"/>
      <c r="H182" s="153"/>
      <c r="I182" s="153"/>
      <c r="J182" s="155"/>
      <c r="K182" s="154"/>
      <c r="L182" s="155"/>
      <c r="M182" s="155"/>
      <c r="N182" s="155"/>
      <c r="W182" s="152"/>
      <c r="X182" s="153"/>
      <c r="Y182" s="153"/>
      <c r="Z182" s="153"/>
      <c r="AA182" s="155"/>
      <c r="AB182" s="154"/>
      <c r="AC182" s="155"/>
      <c r="AD182" s="155"/>
    </row>
    <row r="183" spans="5:30" x14ac:dyDescent="0.25">
      <c r="E183" s="153"/>
      <c r="F183" s="153"/>
      <c r="G183" s="153"/>
      <c r="H183" s="153"/>
      <c r="I183" s="153"/>
      <c r="J183" s="155"/>
      <c r="K183" s="154"/>
      <c r="L183" s="155"/>
      <c r="M183" s="155"/>
      <c r="N183" s="155"/>
      <c r="W183" s="152"/>
      <c r="X183" s="153"/>
      <c r="Y183" s="153"/>
      <c r="Z183" s="153"/>
      <c r="AA183" s="155"/>
      <c r="AB183" s="154"/>
      <c r="AC183" s="155"/>
      <c r="AD183" s="155"/>
    </row>
    <row r="184" spans="5:30" x14ac:dyDescent="0.25">
      <c r="E184" s="153"/>
      <c r="F184" s="153"/>
      <c r="G184" s="153"/>
      <c r="H184" s="153"/>
      <c r="I184" s="153"/>
      <c r="J184" s="155"/>
      <c r="K184" s="154"/>
      <c r="L184" s="155"/>
      <c r="M184" s="155"/>
      <c r="N184" s="155"/>
      <c r="W184" s="152"/>
      <c r="X184" s="153"/>
      <c r="Y184" s="153"/>
      <c r="Z184" s="153"/>
      <c r="AA184" s="155"/>
      <c r="AB184" s="154"/>
      <c r="AC184" s="155"/>
      <c r="AD184" s="155"/>
    </row>
    <row r="185" spans="5:30" x14ac:dyDescent="0.25">
      <c r="E185" s="153"/>
      <c r="F185" s="153"/>
      <c r="G185" s="153"/>
      <c r="H185" s="153"/>
      <c r="I185" s="153"/>
      <c r="J185" s="155"/>
      <c r="K185" s="154"/>
      <c r="L185" s="155"/>
      <c r="M185" s="155"/>
      <c r="N185" s="155"/>
      <c r="W185" s="152"/>
      <c r="X185" s="153"/>
      <c r="Y185" s="153"/>
      <c r="Z185" s="153"/>
      <c r="AA185" s="155"/>
      <c r="AB185" s="154"/>
      <c r="AC185" s="155"/>
      <c r="AD185" s="155"/>
    </row>
    <row r="186" spans="5:30" x14ac:dyDescent="0.25">
      <c r="E186" s="153"/>
      <c r="F186" s="153"/>
      <c r="G186" s="153"/>
      <c r="H186" s="153"/>
      <c r="I186" s="153"/>
      <c r="J186" s="155"/>
      <c r="K186" s="154"/>
      <c r="L186" s="155"/>
      <c r="M186" s="155"/>
      <c r="N186" s="155"/>
      <c r="W186" s="152"/>
      <c r="X186" s="153"/>
      <c r="Y186" s="153"/>
      <c r="Z186" s="153"/>
      <c r="AA186" s="155"/>
      <c r="AB186" s="154"/>
      <c r="AC186" s="155"/>
      <c r="AD186" s="155"/>
    </row>
    <row r="187" spans="5:30" x14ac:dyDescent="0.25">
      <c r="E187" s="153"/>
      <c r="F187" s="153"/>
      <c r="G187" s="153"/>
      <c r="H187" s="153"/>
      <c r="I187" s="153"/>
      <c r="J187" s="155"/>
      <c r="K187" s="154"/>
      <c r="L187" s="155"/>
      <c r="M187" s="155"/>
      <c r="N187" s="155"/>
      <c r="W187" s="152"/>
      <c r="X187" s="153"/>
      <c r="Y187" s="153"/>
      <c r="Z187" s="153"/>
      <c r="AA187" s="155"/>
      <c r="AB187" s="154"/>
      <c r="AC187" s="155"/>
      <c r="AD187" s="155"/>
    </row>
    <row r="188" spans="5:30" x14ac:dyDescent="0.25">
      <c r="E188" s="153"/>
      <c r="F188" s="153"/>
      <c r="G188" s="153"/>
      <c r="H188" s="153"/>
      <c r="I188" s="153"/>
      <c r="J188" s="155"/>
      <c r="K188" s="154"/>
      <c r="L188" s="155"/>
      <c r="M188" s="155"/>
      <c r="N188" s="155"/>
      <c r="W188" s="152"/>
      <c r="X188" s="153"/>
      <c r="Y188" s="153"/>
      <c r="Z188" s="153"/>
      <c r="AA188" s="155"/>
      <c r="AB188" s="154"/>
      <c r="AC188" s="155"/>
      <c r="AD188" s="155"/>
    </row>
    <row r="189" spans="5:30" x14ac:dyDescent="0.25">
      <c r="E189" s="153"/>
      <c r="F189" s="153"/>
      <c r="G189" s="153"/>
      <c r="H189" s="153"/>
      <c r="I189" s="153"/>
      <c r="J189" s="155"/>
      <c r="K189" s="154"/>
      <c r="L189" s="155"/>
      <c r="M189" s="155"/>
      <c r="N189" s="155"/>
      <c r="W189" s="152"/>
      <c r="X189" s="153"/>
      <c r="Y189" s="153"/>
      <c r="Z189" s="153"/>
      <c r="AA189" s="155"/>
      <c r="AB189" s="154"/>
      <c r="AC189" s="155"/>
      <c r="AD189" s="155"/>
    </row>
    <row r="190" spans="5:30" x14ac:dyDescent="0.25">
      <c r="E190" s="153"/>
      <c r="F190" s="153"/>
      <c r="G190" s="153"/>
      <c r="H190" s="153"/>
      <c r="I190" s="153"/>
      <c r="J190" s="155"/>
      <c r="K190" s="154"/>
      <c r="L190" s="155"/>
      <c r="M190" s="155"/>
      <c r="N190" s="155"/>
      <c r="W190" s="152"/>
      <c r="X190" s="153"/>
      <c r="Y190" s="153"/>
      <c r="Z190" s="153"/>
      <c r="AA190" s="155"/>
      <c r="AB190" s="154"/>
      <c r="AC190" s="155"/>
      <c r="AD190" s="155"/>
    </row>
    <row r="191" spans="5:30" x14ac:dyDescent="0.25">
      <c r="E191" s="153"/>
      <c r="F191" s="153"/>
      <c r="G191" s="153"/>
      <c r="H191" s="153"/>
      <c r="I191" s="153"/>
      <c r="J191" s="155"/>
      <c r="K191" s="154"/>
      <c r="L191" s="155"/>
      <c r="M191" s="155"/>
      <c r="N191" s="155"/>
      <c r="W191" s="152"/>
      <c r="X191" s="153"/>
      <c r="Y191" s="153"/>
      <c r="Z191" s="153"/>
      <c r="AA191" s="155"/>
      <c r="AB191" s="154"/>
      <c r="AC191" s="155"/>
      <c r="AD191" s="155"/>
    </row>
    <row r="192" spans="5:30" x14ac:dyDescent="0.25">
      <c r="E192" s="153"/>
      <c r="F192" s="153"/>
      <c r="G192" s="153"/>
      <c r="H192" s="153"/>
      <c r="I192" s="153"/>
      <c r="J192" s="155"/>
      <c r="K192" s="154"/>
      <c r="L192" s="155"/>
      <c r="M192" s="155"/>
      <c r="N192" s="155"/>
      <c r="W192" s="152"/>
      <c r="X192" s="153"/>
      <c r="Y192" s="153"/>
      <c r="Z192" s="153"/>
      <c r="AA192" s="155"/>
      <c r="AB192" s="154"/>
      <c r="AC192" s="155"/>
      <c r="AD192" s="155"/>
    </row>
    <row r="193" spans="5:30" x14ac:dyDescent="0.25">
      <c r="E193" s="153"/>
      <c r="F193" s="153"/>
      <c r="G193" s="153"/>
      <c r="H193" s="153"/>
      <c r="I193" s="153"/>
      <c r="J193" s="155"/>
      <c r="K193" s="154"/>
      <c r="L193" s="155"/>
      <c r="M193" s="155"/>
      <c r="N193" s="155"/>
      <c r="W193" s="152"/>
      <c r="X193" s="153"/>
      <c r="Y193" s="153"/>
      <c r="Z193" s="153"/>
      <c r="AA193" s="155"/>
      <c r="AB193" s="154"/>
      <c r="AC193" s="155"/>
      <c r="AD193" s="155"/>
    </row>
    <row r="194" spans="5:30" x14ac:dyDescent="0.25">
      <c r="E194" s="153"/>
      <c r="F194" s="153"/>
      <c r="G194" s="153"/>
      <c r="H194" s="153"/>
      <c r="I194" s="153"/>
      <c r="J194" s="155"/>
      <c r="K194" s="154"/>
      <c r="L194" s="155"/>
      <c r="M194" s="155"/>
      <c r="N194" s="155"/>
      <c r="W194" s="152"/>
      <c r="X194" s="153"/>
      <c r="Y194" s="153"/>
      <c r="Z194" s="153"/>
      <c r="AA194" s="155"/>
      <c r="AB194" s="154"/>
      <c r="AC194" s="155"/>
      <c r="AD194" s="155"/>
    </row>
    <row r="195" spans="5:30" x14ac:dyDescent="0.25">
      <c r="E195" s="153"/>
      <c r="F195" s="153"/>
      <c r="G195" s="153"/>
      <c r="H195" s="153"/>
      <c r="I195" s="153"/>
      <c r="J195" s="155"/>
      <c r="K195" s="154"/>
      <c r="L195" s="155"/>
      <c r="M195" s="155"/>
      <c r="N195" s="155"/>
      <c r="W195" s="152"/>
      <c r="X195" s="153"/>
      <c r="Y195" s="153"/>
      <c r="Z195" s="153"/>
      <c r="AA195" s="155"/>
      <c r="AB195" s="154"/>
      <c r="AC195" s="155"/>
      <c r="AD195" s="155"/>
    </row>
    <row r="196" spans="5:30" x14ac:dyDescent="0.25">
      <c r="E196" s="153"/>
      <c r="F196" s="153"/>
      <c r="G196" s="153"/>
      <c r="H196" s="153"/>
      <c r="I196" s="153"/>
      <c r="J196" s="155"/>
      <c r="K196" s="154"/>
      <c r="L196" s="155"/>
      <c r="M196" s="155"/>
      <c r="N196" s="155"/>
      <c r="W196" s="152"/>
      <c r="X196" s="153"/>
      <c r="Y196" s="153"/>
      <c r="Z196" s="153"/>
      <c r="AA196" s="155"/>
      <c r="AB196" s="154"/>
      <c r="AC196" s="155"/>
      <c r="AD196" s="155"/>
    </row>
    <row r="197" spans="5:30" x14ac:dyDescent="0.25">
      <c r="E197" s="153"/>
      <c r="F197" s="153"/>
      <c r="G197" s="153"/>
      <c r="H197" s="153"/>
      <c r="I197" s="153"/>
      <c r="J197" s="155"/>
      <c r="K197" s="154"/>
      <c r="L197" s="155"/>
      <c r="M197" s="155"/>
      <c r="N197" s="155"/>
      <c r="W197" s="152"/>
      <c r="X197" s="153"/>
      <c r="Y197" s="153"/>
      <c r="Z197" s="153"/>
      <c r="AA197" s="155"/>
      <c r="AB197" s="154"/>
      <c r="AC197" s="155"/>
      <c r="AD197" s="155"/>
    </row>
    <row r="198" spans="5:30" x14ac:dyDescent="0.25">
      <c r="E198" s="153"/>
      <c r="F198" s="153"/>
      <c r="G198" s="153"/>
      <c r="H198" s="153"/>
      <c r="I198" s="153"/>
      <c r="J198" s="155"/>
      <c r="K198" s="154"/>
      <c r="L198" s="155"/>
      <c r="M198" s="155"/>
      <c r="N198" s="155"/>
      <c r="W198" s="152"/>
      <c r="X198" s="153"/>
      <c r="Y198" s="153"/>
      <c r="Z198" s="153"/>
      <c r="AA198" s="155"/>
      <c r="AB198" s="154"/>
      <c r="AC198" s="155"/>
      <c r="AD198" s="155"/>
    </row>
    <row r="199" spans="5:30" x14ac:dyDescent="0.25">
      <c r="E199" s="153"/>
      <c r="F199" s="153"/>
      <c r="G199" s="153"/>
      <c r="H199" s="153"/>
      <c r="I199" s="153"/>
      <c r="J199" s="155"/>
      <c r="K199" s="154"/>
      <c r="L199" s="155"/>
      <c r="M199" s="155"/>
      <c r="N199" s="155"/>
      <c r="W199" s="152"/>
      <c r="X199" s="153"/>
      <c r="Y199" s="153"/>
      <c r="Z199" s="153"/>
      <c r="AA199" s="155"/>
      <c r="AB199" s="154"/>
      <c r="AC199" s="155"/>
      <c r="AD199" s="155"/>
    </row>
    <row r="200" spans="5:30" x14ac:dyDescent="0.25">
      <c r="E200" s="153"/>
      <c r="F200" s="153"/>
      <c r="G200" s="153"/>
      <c r="H200" s="153"/>
      <c r="I200" s="153"/>
      <c r="J200" s="155"/>
      <c r="K200" s="154"/>
      <c r="L200" s="155"/>
      <c r="M200" s="155"/>
      <c r="N200" s="155"/>
      <c r="W200" s="152"/>
      <c r="X200" s="153"/>
      <c r="Y200" s="153"/>
      <c r="Z200" s="153"/>
      <c r="AA200" s="155"/>
      <c r="AB200" s="154"/>
      <c r="AC200" s="155"/>
      <c r="AD200" s="155"/>
    </row>
    <row r="201" spans="5:30" x14ac:dyDescent="0.25">
      <c r="E201" s="153"/>
      <c r="F201" s="153"/>
      <c r="G201" s="153"/>
      <c r="H201" s="153"/>
      <c r="I201" s="153"/>
      <c r="J201" s="155"/>
      <c r="K201" s="154"/>
      <c r="L201" s="155"/>
      <c r="M201" s="155"/>
      <c r="N201" s="155"/>
      <c r="W201" s="152"/>
      <c r="X201" s="153"/>
      <c r="Y201" s="153"/>
      <c r="Z201" s="153"/>
      <c r="AA201" s="155"/>
      <c r="AB201" s="154"/>
      <c r="AC201" s="155"/>
      <c r="AD201" s="155"/>
    </row>
    <row r="202" spans="5:30" x14ac:dyDescent="0.25">
      <c r="E202" s="153"/>
      <c r="F202" s="153"/>
      <c r="G202" s="153"/>
      <c r="H202" s="153"/>
      <c r="I202" s="153"/>
      <c r="J202" s="155"/>
      <c r="K202" s="154"/>
      <c r="L202" s="155"/>
      <c r="M202" s="155"/>
      <c r="N202" s="155"/>
      <c r="W202" s="152"/>
      <c r="X202" s="153"/>
      <c r="Y202" s="153"/>
      <c r="Z202" s="153"/>
      <c r="AA202" s="155"/>
      <c r="AB202" s="154"/>
      <c r="AC202" s="155"/>
      <c r="AD202" s="155"/>
    </row>
    <row r="203" spans="5:30" x14ac:dyDescent="0.25">
      <c r="E203" s="153"/>
      <c r="F203" s="153"/>
      <c r="G203" s="153"/>
      <c r="H203" s="153"/>
      <c r="I203" s="153"/>
      <c r="J203" s="155"/>
      <c r="K203" s="154"/>
      <c r="L203" s="155"/>
      <c r="M203" s="155"/>
      <c r="N203" s="155"/>
      <c r="W203" s="152"/>
      <c r="X203" s="153"/>
      <c r="Y203" s="153"/>
      <c r="Z203" s="153"/>
      <c r="AA203" s="155"/>
      <c r="AB203" s="154"/>
      <c r="AC203" s="155"/>
      <c r="AD203" s="155"/>
    </row>
    <row r="204" spans="5:30" x14ac:dyDescent="0.25">
      <c r="E204" s="153"/>
      <c r="F204" s="153"/>
      <c r="G204" s="153"/>
      <c r="H204" s="153"/>
      <c r="I204" s="153"/>
      <c r="J204" s="155"/>
      <c r="K204" s="154"/>
      <c r="L204" s="155"/>
      <c r="M204" s="155"/>
      <c r="N204" s="155"/>
      <c r="W204" s="152"/>
      <c r="X204" s="153"/>
      <c r="Y204" s="153"/>
      <c r="Z204" s="153"/>
      <c r="AA204" s="155"/>
      <c r="AB204" s="154"/>
      <c r="AC204" s="155"/>
      <c r="AD204" s="155"/>
    </row>
    <row r="205" spans="5:30" x14ac:dyDescent="0.25">
      <c r="E205" s="153"/>
      <c r="F205" s="153"/>
      <c r="G205" s="153"/>
      <c r="H205" s="153"/>
      <c r="I205" s="153"/>
      <c r="J205" s="155"/>
      <c r="K205" s="154"/>
      <c r="L205" s="155"/>
      <c r="M205" s="155"/>
      <c r="N205" s="155"/>
      <c r="W205" s="152"/>
      <c r="X205" s="153"/>
      <c r="Y205" s="153"/>
      <c r="Z205" s="153"/>
      <c r="AA205" s="155"/>
      <c r="AB205" s="154"/>
      <c r="AC205" s="155"/>
      <c r="AD205" s="155"/>
    </row>
    <row r="206" spans="5:30" x14ac:dyDescent="0.25">
      <c r="E206" s="153"/>
      <c r="F206" s="153"/>
      <c r="G206" s="153"/>
      <c r="H206" s="153"/>
      <c r="I206" s="153"/>
      <c r="J206" s="155"/>
      <c r="K206" s="154"/>
      <c r="L206" s="155"/>
      <c r="M206" s="155"/>
      <c r="N206" s="155"/>
      <c r="W206" s="152"/>
      <c r="X206" s="153"/>
      <c r="Y206" s="153"/>
      <c r="Z206" s="153"/>
      <c r="AA206" s="155"/>
      <c r="AB206" s="154"/>
      <c r="AC206" s="155"/>
      <c r="AD206" s="155"/>
    </row>
    <row r="207" spans="5:30" x14ac:dyDescent="0.25">
      <c r="E207" s="153"/>
      <c r="F207" s="153"/>
      <c r="G207" s="153"/>
      <c r="H207" s="153"/>
      <c r="I207" s="153"/>
      <c r="J207" s="155"/>
      <c r="K207" s="154"/>
      <c r="L207" s="155"/>
      <c r="M207" s="155"/>
      <c r="N207" s="155"/>
      <c r="W207" s="152"/>
      <c r="X207" s="153"/>
      <c r="Y207" s="153"/>
      <c r="Z207" s="153"/>
      <c r="AA207" s="155"/>
      <c r="AB207" s="154"/>
      <c r="AC207" s="155"/>
      <c r="AD207" s="155"/>
    </row>
    <row r="208" spans="5:30" x14ac:dyDescent="0.25">
      <c r="E208" s="153"/>
      <c r="F208" s="153"/>
      <c r="G208" s="153"/>
      <c r="H208" s="153"/>
      <c r="I208" s="153"/>
      <c r="J208" s="155"/>
      <c r="K208" s="154"/>
      <c r="L208" s="155"/>
      <c r="M208" s="155"/>
      <c r="N208" s="155"/>
      <c r="W208" s="152"/>
      <c r="X208" s="153"/>
      <c r="Y208" s="153"/>
      <c r="Z208" s="153"/>
      <c r="AA208" s="155"/>
      <c r="AB208" s="154"/>
      <c r="AC208" s="155"/>
      <c r="AD208" s="155"/>
    </row>
    <row r="209" spans="5:30" x14ac:dyDescent="0.25">
      <c r="E209" s="153"/>
      <c r="F209" s="153"/>
      <c r="G209" s="153"/>
      <c r="H209" s="153"/>
      <c r="I209" s="153"/>
      <c r="J209" s="155"/>
      <c r="K209" s="154"/>
      <c r="L209" s="155"/>
      <c r="M209" s="155"/>
      <c r="N209" s="155"/>
      <c r="W209" s="152"/>
      <c r="X209" s="153"/>
      <c r="Y209" s="153"/>
      <c r="Z209" s="153"/>
      <c r="AA209" s="155"/>
      <c r="AB209" s="154"/>
      <c r="AC209" s="155"/>
      <c r="AD209" s="155"/>
    </row>
    <row r="210" spans="5:30" x14ac:dyDescent="0.25">
      <c r="E210" s="153"/>
      <c r="F210" s="153"/>
      <c r="G210" s="153"/>
      <c r="H210" s="153"/>
      <c r="I210" s="153"/>
      <c r="J210" s="155"/>
      <c r="K210" s="154"/>
      <c r="L210" s="155"/>
      <c r="M210" s="155"/>
      <c r="N210" s="155"/>
      <c r="W210" s="152"/>
      <c r="X210" s="153"/>
      <c r="Y210" s="153"/>
      <c r="Z210" s="153"/>
      <c r="AA210" s="155"/>
      <c r="AB210" s="154"/>
      <c r="AC210" s="155"/>
      <c r="AD210" s="155"/>
    </row>
    <row r="211" spans="5:30" x14ac:dyDescent="0.25">
      <c r="E211" s="153"/>
      <c r="F211" s="153"/>
      <c r="G211" s="153"/>
      <c r="H211" s="153"/>
      <c r="I211" s="153"/>
      <c r="J211" s="155"/>
      <c r="K211" s="154"/>
      <c r="L211" s="155"/>
      <c r="M211" s="155"/>
      <c r="N211" s="155"/>
      <c r="W211" s="152"/>
      <c r="X211" s="153"/>
      <c r="Y211" s="153"/>
      <c r="Z211" s="153"/>
      <c r="AA211" s="155"/>
      <c r="AB211" s="154"/>
      <c r="AC211" s="155"/>
      <c r="AD211" s="155"/>
    </row>
    <row r="212" spans="5:30" x14ac:dyDescent="0.25">
      <c r="E212" s="153"/>
      <c r="F212" s="153"/>
      <c r="G212" s="153"/>
      <c r="H212" s="153"/>
      <c r="I212" s="153"/>
      <c r="J212" s="155"/>
      <c r="K212" s="154"/>
      <c r="L212" s="155"/>
      <c r="M212" s="155"/>
      <c r="N212" s="155"/>
      <c r="W212" s="152"/>
      <c r="X212" s="153"/>
      <c r="Y212" s="153"/>
      <c r="Z212" s="153"/>
      <c r="AA212" s="155"/>
      <c r="AB212" s="154"/>
      <c r="AC212" s="155"/>
      <c r="AD212" s="155"/>
    </row>
    <row r="213" spans="5:30" x14ac:dyDescent="0.25">
      <c r="E213" s="153"/>
      <c r="F213" s="153"/>
      <c r="G213" s="153"/>
      <c r="H213" s="153"/>
      <c r="I213" s="153"/>
      <c r="J213" s="155"/>
      <c r="K213" s="154"/>
      <c r="L213" s="155"/>
      <c r="M213" s="155"/>
      <c r="N213" s="155"/>
      <c r="W213" s="152"/>
      <c r="X213" s="153"/>
      <c r="Y213" s="153"/>
      <c r="Z213" s="153"/>
      <c r="AA213" s="155"/>
      <c r="AB213" s="154"/>
      <c r="AC213" s="155"/>
      <c r="AD213" s="155"/>
    </row>
    <row r="214" spans="5:30" x14ac:dyDescent="0.25">
      <c r="E214" s="153"/>
      <c r="F214" s="153"/>
      <c r="G214" s="153"/>
      <c r="H214" s="153"/>
      <c r="I214" s="153"/>
      <c r="J214" s="155"/>
      <c r="K214" s="154"/>
      <c r="L214" s="155"/>
      <c r="M214" s="155"/>
      <c r="N214" s="155"/>
      <c r="W214" s="152"/>
      <c r="X214" s="153"/>
      <c r="Y214" s="153"/>
      <c r="Z214" s="153"/>
      <c r="AA214" s="155"/>
      <c r="AB214" s="154"/>
      <c r="AC214" s="155"/>
      <c r="AD214" s="155"/>
    </row>
    <row r="215" spans="5:30" x14ac:dyDescent="0.25">
      <c r="E215" s="153"/>
      <c r="F215" s="153"/>
      <c r="G215" s="153"/>
      <c r="H215" s="153"/>
      <c r="I215" s="153"/>
      <c r="J215" s="155"/>
      <c r="K215" s="154"/>
      <c r="L215" s="155"/>
      <c r="M215" s="155"/>
      <c r="N215" s="155"/>
      <c r="W215" s="152"/>
      <c r="X215" s="153"/>
      <c r="Y215" s="153"/>
      <c r="Z215" s="153"/>
      <c r="AA215" s="155"/>
      <c r="AB215" s="154"/>
      <c r="AC215" s="155"/>
      <c r="AD215" s="155"/>
    </row>
    <row r="216" spans="5:30" x14ac:dyDescent="0.25">
      <c r="E216" s="153"/>
      <c r="F216" s="153"/>
      <c r="G216" s="153"/>
      <c r="H216" s="153"/>
      <c r="I216" s="153"/>
      <c r="J216" s="155"/>
      <c r="K216" s="154"/>
      <c r="L216" s="155"/>
      <c r="M216" s="155"/>
      <c r="N216" s="155"/>
      <c r="W216" s="152"/>
      <c r="X216" s="153"/>
      <c r="Y216" s="153"/>
      <c r="Z216" s="153"/>
      <c r="AA216" s="155"/>
      <c r="AB216" s="154"/>
      <c r="AC216" s="155"/>
      <c r="AD216" s="155"/>
    </row>
    <row r="217" spans="5:30" x14ac:dyDescent="0.25">
      <c r="E217" s="153"/>
      <c r="F217" s="153"/>
      <c r="G217" s="153"/>
      <c r="H217" s="153"/>
      <c r="I217" s="153"/>
      <c r="J217" s="155"/>
      <c r="K217" s="154"/>
      <c r="L217" s="155"/>
      <c r="M217" s="155"/>
      <c r="N217" s="155"/>
      <c r="W217" s="152"/>
      <c r="X217" s="153"/>
      <c r="Y217" s="153"/>
      <c r="Z217" s="153"/>
      <c r="AA217" s="155"/>
      <c r="AB217" s="154"/>
      <c r="AC217" s="155"/>
      <c r="AD217" s="155"/>
    </row>
    <row r="218" spans="5:30" x14ac:dyDescent="0.25">
      <c r="E218" s="153"/>
      <c r="F218" s="153"/>
      <c r="G218" s="153"/>
      <c r="H218" s="153"/>
      <c r="I218" s="153"/>
      <c r="J218" s="155"/>
      <c r="K218" s="154"/>
      <c r="L218" s="155"/>
      <c r="M218" s="155"/>
      <c r="N218" s="155"/>
      <c r="W218" s="152"/>
      <c r="X218" s="153"/>
      <c r="Y218" s="153"/>
      <c r="Z218" s="153"/>
      <c r="AA218" s="155"/>
      <c r="AB218" s="154"/>
      <c r="AC218" s="155"/>
      <c r="AD218" s="155"/>
    </row>
    <row r="219" spans="5:30" x14ac:dyDescent="0.25">
      <c r="E219" s="153"/>
      <c r="F219" s="153"/>
      <c r="G219" s="153"/>
      <c r="H219" s="153"/>
      <c r="I219" s="153"/>
      <c r="J219" s="155"/>
      <c r="K219" s="154"/>
      <c r="L219" s="155"/>
      <c r="M219" s="155"/>
      <c r="N219" s="155"/>
      <c r="W219" s="152"/>
      <c r="X219" s="153"/>
      <c r="Y219" s="153"/>
      <c r="Z219" s="153"/>
      <c r="AA219" s="155"/>
      <c r="AB219" s="154"/>
      <c r="AC219" s="155"/>
      <c r="AD219" s="155"/>
    </row>
    <row r="220" spans="5:30" x14ac:dyDescent="0.25">
      <c r="E220" s="153"/>
      <c r="F220" s="153"/>
      <c r="G220" s="153"/>
      <c r="H220" s="153"/>
      <c r="I220" s="153"/>
      <c r="J220" s="155"/>
      <c r="K220" s="154"/>
      <c r="L220" s="155"/>
      <c r="M220" s="155"/>
      <c r="N220" s="155"/>
      <c r="W220" s="152"/>
      <c r="X220" s="153"/>
      <c r="Y220" s="153"/>
      <c r="Z220" s="153"/>
      <c r="AA220" s="155"/>
      <c r="AB220" s="154"/>
      <c r="AC220" s="155"/>
      <c r="AD220" s="155"/>
    </row>
    <row r="221" spans="5:30" x14ac:dyDescent="0.25">
      <c r="E221" s="153"/>
      <c r="F221" s="153"/>
      <c r="G221" s="153"/>
      <c r="H221" s="153"/>
      <c r="I221" s="153"/>
      <c r="J221" s="155"/>
      <c r="K221" s="154"/>
      <c r="L221" s="155"/>
      <c r="M221" s="155"/>
      <c r="N221" s="155"/>
      <c r="W221" s="152"/>
      <c r="X221" s="153"/>
      <c r="Y221" s="153"/>
      <c r="Z221" s="153"/>
      <c r="AA221" s="155"/>
      <c r="AB221" s="154"/>
      <c r="AC221" s="155"/>
      <c r="AD221" s="155"/>
    </row>
    <row r="222" spans="5:30" x14ac:dyDescent="0.25">
      <c r="E222" s="153"/>
      <c r="F222" s="153"/>
      <c r="G222" s="153"/>
      <c r="H222" s="153"/>
      <c r="I222" s="153"/>
      <c r="J222" s="155"/>
      <c r="K222" s="154"/>
      <c r="L222" s="155"/>
      <c r="M222" s="155"/>
      <c r="N222" s="155"/>
      <c r="W222" s="152"/>
      <c r="X222" s="153"/>
      <c r="Y222" s="153"/>
      <c r="Z222" s="153"/>
      <c r="AA222" s="155"/>
      <c r="AB222" s="154"/>
      <c r="AC222" s="155"/>
      <c r="AD222" s="155"/>
    </row>
    <row r="223" spans="5:30" x14ac:dyDescent="0.25">
      <c r="E223" s="153"/>
      <c r="F223" s="153"/>
      <c r="G223" s="153"/>
      <c r="H223" s="153"/>
      <c r="I223" s="153"/>
      <c r="J223" s="155"/>
      <c r="K223" s="154"/>
      <c r="L223" s="155"/>
      <c r="M223" s="155"/>
      <c r="N223" s="155"/>
      <c r="W223" s="152"/>
      <c r="X223" s="153"/>
      <c r="Y223" s="153"/>
      <c r="Z223" s="153"/>
      <c r="AA223" s="155"/>
      <c r="AB223" s="154"/>
      <c r="AC223" s="155"/>
      <c r="AD223" s="155"/>
    </row>
    <row r="224" spans="5:30" x14ac:dyDescent="0.25">
      <c r="E224" s="153"/>
      <c r="F224" s="153"/>
      <c r="G224" s="153"/>
      <c r="H224" s="153"/>
      <c r="I224" s="153"/>
      <c r="J224" s="155"/>
      <c r="K224" s="154"/>
      <c r="L224" s="155"/>
      <c r="M224" s="155"/>
      <c r="N224" s="155"/>
      <c r="W224" s="152"/>
      <c r="X224" s="153"/>
      <c r="Y224" s="153"/>
      <c r="Z224" s="153"/>
      <c r="AA224" s="155"/>
      <c r="AB224" s="154"/>
      <c r="AC224" s="155"/>
      <c r="AD224" s="155"/>
    </row>
    <row r="225" spans="5:30" x14ac:dyDescent="0.25">
      <c r="E225" s="153"/>
      <c r="F225" s="153"/>
      <c r="G225" s="153"/>
      <c r="H225" s="153"/>
      <c r="I225" s="153"/>
      <c r="J225" s="155"/>
      <c r="K225" s="154"/>
      <c r="L225" s="155"/>
      <c r="M225" s="155"/>
      <c r="N225" s="155"/>
      <c r="W225" s="152"/>
      <c r="X225" s="153"/>
      <c r="Y225" s="153"/>
      <c r="Z225" s="153"/>
      <c r="AA225" s="155"/>
      <c r="AB225" s="154"/>
      <c r="AC225" s="155"/>
      <c r="AD225" s="155"/>
    </row>
    <row r="226" spans="5:30" x14ac:dyDescent="0.25">
      <c r="E226" s="153"/>
      <c r="F226" s="153"/>
      <c r="G226" s="153"/>
      <c r="H226" s="153"/>
      <c r="I226" s="153"/>
      <c r="J226" s="155"/>
      <c r="K226" s="154"/>
      <c r="L226" s="155"/>
      <c r="M226" s="155"/>
      <c r="N226" s="155"/>
      <c r="W226" s="152"/>
      <c r="X226" s="153"/>
      <c r="Y226" s="153"/>
      <c r="Z226" s="153"/>
      <c r="AA226" s="155"/>
      <c r="AB226" s="154"/>
      <c r="AC226" s="155"/>
      <c r="AD226" s="155"/>
    </row>
    <row r="227" spans="5:30" x14ac:dyDescent="0.25">
      <c r="E227" s="153"/>
      <c r="F227" s="153"/>
      <c r="G227" s="153"/>
      <c r="H227" s="153"/>
      <c r="I227" s="153"/>
      <c r="J227" s="155"/>
      <c r="K227" s="154"/>
      <c r="L227" s="155"/>
      <c r="M227" s="155"/>
      <c r="N227" s="155"/>
      <c r="W227" s="152"/>
      <c r="X227" s="153"/>
      <c r="Y227" s="153"/>
      <c r="Z227" s="153"/>
      <c r="AA227" s="155"/>
      <c r="AB227" s="154"/>
      <c r="AC227" s="155"/>
      <c r="AD227" s="155"/>
    </row>
    <row r="228" spans="5:30" x14ac:dyDescent="0.25">
      <c r="E228" s="153"/>
      <c r="F228" s="153"/>
      <c r="G228" s="153"/>
      <c r="H228" s="153"/>
      <c r="I228" s="153"/>
      <c r="J228" s="155"/>
      <c r="K228" s="154"/>
      <c r="L228" s="155"/>
      <c r="M228" s="155"/>
      <c r="N228" s="155"/>
      <c r="W228" s="152"/>
      <c r="X228" s="153"/>
      <c r="Y228" s="153"/>
      <c r="Z228" s="153"/>
      <c r="AA228" s="155"/>
      <c r="AB228" s="154"/>
      <c r="AC228" s="155"/>
      <c r="AD228" s="155"/>
    </row>
    <row r="229" spans="5:30" x14ac:dyDescent="0.25">
      <c r="E229" s="153"/>
      <c r="F229" s="153"/>
      <c r="G229" s="153"/>
      <c r="H229" s="153"/>
      <c r="I229" s="153"/>
      <c r="J229" s="155"/>
      <c r="K229" s="154"/>
      <c r="L229" s="155"/>
      <c r="M229" s="155"/>
      <c r="N229" s="155"/>
      <c r="W229" s="152"/>
      <c r="X229" s="153"/>
      <c r="Y229" s="153"/>
      <c r="Z229" s="153"/>
      <c r="AA229" s="155"/>
      <c r="AB229" s="154"/>
      <c r="AC229" s="155"/>
      <c r="AD229" s="155"/>
    </row>
    <row r="230" spans="5:30" x14ac:dyDescent="0.25">
      <c r="E230" s="153"/>
      <c r="F230" s="153"/>
      <c r="G230" s="153"/>
      <c r="H230" s="153"/>
      <c r="I230" s="153"/>
      <c r="J230" s="155"/>
      <c r="K230" s="154"/>
      <c r="L230" s="155"/>
      <c r="M230" s="155"/>
      <c r="N230" s="155"/>
      <c r="W230" s="152"/>
      <c r="X230" s="153"/>
      <c r="Y230" s="153"/>
      <c r="Z230" s="153"/>
      <c r="AA230" s="155"/>
      <c r="AB230" s="154"/>
      <c r="AC230" s="155"/>
      <c r="AD230" s="155"/>
    </row>
    <row r="231" spans="5:30" x14ac:dyDescent="0.25">
      <c r="E231" s="153"/>
      <c r="F231" s="153"/>
      <c r="G231" s="153"/>
      <c r="H231" s="153"/>
      <c r="I231" s="153"/>
      <c r="J231" s="155"/>
      <c r="K231" s="154"/>
      <c r="L231" s="155"/>
      <c r="M231" s="155"/>
      <c r="N231" s="155"/>
      <c r="W231" s="152"/>
      <c r="X231" s="153"/>
      <c r="Y231" s="153"/>
      <c r="Z231" s="153"/>
      <c r="AA231" s="155"/>
      <c r="AB231" s="154"/>
      <c r="AC231" s="155"/>
      <c r="AD231" s="155"/>
    </row>
    <row r="232" spans="5:30" x14ac:dyDescent="0.25">
      <c r="E232" s="153"/>
      <c r="F232" s="153"/>
      <c r="G232" s="153"/>
      <c r="H232" s="153"/>
      <c r="I232" s="153"/>
      <c r="J232" s="155"/>
      <c r="K232" s="154"/>
      <c r="L232" s="155"/>
      <c r="M232" s="155"/>
      <c r="N232" s="155"/>
      <c r="W232" s="152"/>
      <c r="X232" s="153"/>
      <c r="Y232" s="153"/>
      <c r="Z232" s="153"/>
      <c r="AA232" s="155"/>
      <c r="AB232" s="154"/>
      <c r="AC232" s="155"/>
      <c r="AD232" s="155"/>
    </row>
    <row r="233" spans="5:30" x14ac:dyDescent="0.25">
      <c r="E233" s="153"/>
      <c r="F233" s="153"/>
      <c r="G233" s="153"/>
      <c r="H233" s="153"/>
      <c r="I233" s="153"/>
      <c r="J233" s="155"/>
      <c r="K233" s="154"/>
      <c r="L233" s="155"/>
      <c r="M233" s="155"/>
      <c r="N233" s="155"/>
      <c r="W233" s="152"/>
      <c r="X233" s="153"/>
      <c r="Y233" s="153"/>
      <c r="Z233" s="153"/>
      <c r="AA233" s="155"/>
      <c r="AB233" s="154"/>
      <c r="AC233" s="155"/>
      <c r="AD233" s="155"/>
    </row>
    <row r="234" spans="5:30" x14ac:dyDescent="0.25">
      <c r="E234" s="153"/>
      <c r="F234" s="153"/>
      <c r="G234" s="153"/>
      <c r="H234" s="153"/>
      <c r="I234" s="153"/>
      <c r="J234" s="155"/>
      <c r="K234" s="154"/>
      <c r="L234" s="155"/>
      <c r="M234" s="155"/>
      <c r="N234" s="155"/>
      <c r="W234" s="152"/>
      <c r="X234" s="153"/>
      <c r="Y234" s="153"/>
      <c r="Z234" s="153"/>
      <c r="AA234" s="155"/>
      <c r="AB234" s="154"/>
      <c r="AC234" s="155"/>
      <c r="AD234" s="155"/>
    </row>
    <row r="235" spans="5:30" x14ac:dyDescent="0.25">
      <c r="E235" s="153"/>
      <c r="F235" s="153"/>
      <c r="G235" s="153"/>
      <c r="H235" s="153"/>
      <c r="I235" s="153"/>
      <c r="J235" s="155"/>
      <c r="K235" s="154"/>
      <c r="L235" s="155"/>
      <c r="M235" s="155"/>
      <c r="N235" s="155"/>
      <c r="W235" s="152"/>
      <c r="X235" s="153"/>
      <c r="Y235" s="153"/>
      <c r="Z235" s="153"/>
      <c r="AA235" s="155"/>
      <c r="AB235" s="154"/>
      <c r="AC235" s="155"/>
      <c r="AD235" s="155"/>
    </row>
    <row r="236" spans="5:30" x14ac:dyDescent="0.25">
      <c r="E236" s="153"/>
      <c r="F236" s="153"/>
      <c r="G236" s="153"/>
      <c r="H236" s="153"/>
      <c r="I236" s="153"/>
      <c r="J236" s="155"/>
      <c r="K236" s="154"/>
      <c r="L236" s="155"/>
      <c r="M236" s="155"/>
      <c r="N236" s="155"/>
      <c r="W236" s="152"/>
      <c r="X236" s="153"/>
      <c r="Y236" s="153"/>
      <c r="Z236" s="153"/>
      <c r="AA236" s="155"/>
      <c r="AB236" s="154"/>
      <c r="AC236" s="155"/>
      <c r="AD236" s="155"/>
    </row>
    <row r="237" spans="5:30" x14ac:dyDescent="0.25">
      <c r="E237" s="153"/>
      <c r="F237" s="153"/>
      <c r="G237" s="153"/>
      <c r="H237" s="153"/>
      <c r="I237" s="153"/>
      <c r="J237" s="155"/>
      <c r="K237" s="154"/>
      <c r="L237" s="155"/>
      <c r="M237" s="155"/>
      <c r="N237" s="155"/>
      <c r="W237" s="152"/>
      <c r="X237" s="153"/>
      <c r="Y237" s="153"/>
      <c r="Z237" s="153"/>
      <c r="AA237" s="155"/>
      <c r="AB237" s="154"/>
      <c r="AC237" s="155"/>
      <c r="AD237" s="155"/>
    </row>
    <row r="238" spans="5:30" x14ac:dyDescent="0.25">
      <c r="E238" s="153"/>
      <c r="F238" s="153"/>
      <c r="G238" s="153"/>
      <c r="H238" s="153"/>
      <c r="I238" s="153"/>
      <c r="J238" s="155"/>
      <c r="K238" s="154"/>
      <c r="L238" s="155"/>
      <c r="M238" s="155"/>
      <c r="N238" s="155"/>
      <c r="W238" s="152"/>
      <c r="X238" s="153"/>
      <c r="Y238" s="153"/>
      <c r="Z238" s="153"/>
      <c r="AA238" s="155"/>
      <c r="AB238" s="154"/>
      <c r="AC238" s="155"/>
      <c r="AD238" s="155"/>
    </row>
    <row r="239" spans="5:30" x14ac:dyDescent="0.25">
      <c r="E239" s="153"/>
      <c r="F239" s="153"/>
      <c r="G239" s="153"/>
      <c r="H239" s="153"/>
      <c r="I239" s="153"/>
      <c r="J239" s="155"/>
      <c r="K239" s="154"/>
      <c r="L239" s="155"/>
      <c r="M239" s="155"/>
      <c r="N239" s="155"/>
      <c r="W239" s="152"/>
      <c r="X239" s="153"/>
      <c r="Y239" s="153"/>
      <c r="Z239" s="153"/>
      <c r="AA239" s="155"/>
      <c r="AB239" s="154"/>
      <c r="AC239" s="155"/>
      <c r="AD239" s="155"/>
    </row>
    <row r="240" spans="5:30" x14ac:dyDescent="0.25">
      <c r="E240" s="153"/>
      <c r="F240" s="153"/>
      <c r="G240" s="153"/>
      <c r="H240" s="153"/>
      <c r="I240" s="153"/>
      <c r="J240" s="155"/>
      <c r="K240" s="154"/>
      <c r="L240" s="155"/>
      <c r="M240" s="155"/>
      <c r="N240" s="155"/>
      <c r="W240" s="152"/>
      <c r="X240" s="153"/>
      <c r="Y240" s="153"/>
      <c r="Z240" s="153"/>
      <c r="AA240" s="155"/>
      <c r="AB240" s="154"/>
      <c r="AC240" s="155"/>
      <c r="AD240" s="155"/>
    </row>
    <row r="241" spans="5:30" x14ac:dyDescent="0.25">
      <c r="E241" s="153"/>
      <c r="F241" s="153"/>
      <c r="G241" s="153"/>
      <c r="H241" s="153"/>
      <c r="I241" s="153"/>
      <c r="J241" s="155"/>
      <c r="K241" s="154"/>
      <c r="L241" s="155"/>
      <c r="M241" s="155"/>
      <c r="N241" s="155"/>
      <c r="W241" s="152"/>
      <c r="X241" s="153"/>
      <c r="Y241" s="153"/>
      <c r="Z241" s="153"/>
      <c r="AA241" s="155"/>
      <c r="AB241" s="154"/>
      <c r="AC241" s="155"/>
      <c r="AD241" s="155"/>
    </row>
    <row r="242" spans="5:30" x14ac:dyDescent="0.25">
      <c r="E242" s="153"/>
      <c r="F242" s="153"/>
      <c r="G242" s="153"/>
      <c r="H242" s="153"/>
      <c r="I242" s="153"/>
      <c r="J242" s="155"/>
      <c r="K242" s="154"/>
      <c r="L242" s="155"/>
      <c r="M242" s="155"/>
      <c r="N242" s="155"/>
      <c r="W242" s="152"/>
      <c r="X242" s="153"/>
      <c r="Y242" s="153"/>
      <c r="Z242" s="153"/>
      <c r="AA242" s="155"/>
      <c r="AB242" s="154"/>
      <c r="AC242" s="155"/>
      <c r="AD242" s="155"/>
    </row>
    <row r="243" spans="5:30" x14ac:dyDescent="0.25">
      <c r="E243" s="153"/>
      <c r="F243" s="153"/>
      <c r="G243" s="153"/>
      <c r="H243" s="153"/>
      <c r="I243" s="153"/>
      <c r="J243" s="155"/>
      <c r="K243" s="154"/>
      <c r="L243" s="155"/>
      <c r="M243" s="155"/>
      <c r="N243" s="155"/>
      <c r="W243" s="152"/>
      <c r="X243" s="153"/>
      <c r="Y243" s="153"/>
      <c r="Z243" s="153"/>
      <c r="AA243" s="155"/>
      <c r="AB243" s="154"/>
      <c r="AC243" s="155"/>
      <c r="AD243" s="155"/>
    </row>
    <row r="244" spans="5:30" x14ac:dyDescent="0.25">
      <c r="E244" s="153"/>
      <c r="F244" s="153"/>
      <c r="G244" s="153"/>
      <c r="H244" s="153"/>
      <c r="I244" s="153"/>
      <c r="J244" s="155"/>
      <c r="K244" s="154"/>
      <c r="L244" s="155"/>
      <c r="M244" s="155"/>
      <c r="N244" s="155"/>
      <c r="W244" s="152"/>
      <c r="X244" s="153"/>
      <c r="Y244" s="153"/>
      <c r="Z244" s="153"/>
      <c r="AA244" s="155"/>
      <c r="AB244" s="154"/>
      <c r="AC244" s="155"/>
      <c r="AD244" s="155"/>
    </row>
    <row r="245" spans="5:30" x14ac:dyDescent="0.25">
      <c r="E245" s="153"/>
      <c r="F245" s="153"/>
      <c r="G245" s="153"/>
      <c r="H245" s="153"/>
      <c r="I245" s="153"/>
      <c r="J245" s="155"/>
      <c r="K245" s="154"/>
      <c r="L245" s="155"/>
      <c r="M245" s="155"/>
      <c r="N245" s="155"/>
      <c r="W245" s="152"/>
      <c r="X245" s="153"/>
      <c r="Y245" s="153"/>
      <c r="Z245" s="153"/>
      <c r="AA245" s="155"/>
      <c r="AB245" s="154"/>
      <c r="AC245" s="155"/>
      <c r="AD245" s="155"/>
    </row>
    <row r="246" spans="5:30" x14ac:dyDescent="0.25">
      <c r="E246" s="153"/>
      <c r="F246" s="153"/>
      <c r="G246" s="153"/>
      <c r="H246" s="153"/>
      <c r="I246" s="153"/>
      <c r="J246" s="155"/>
      <c r="K246" s="154"/>
      <c r="L246" s="155"/>
      <c r="M246" s="155"/>
      <c r="N246" s="155"/>
      <c r="W246" s="152"/>
      <c r="X246" s="153"/>
      <c r="Y246" s="153"/>
      <c r="Z246" s="153"/>
      <c r="AA246" s="155"/>
      <c r="AB246" s="154"/>
      <c r="AC246" s="155"/>
      <c r="AD246" s="155"/>
    </row>
    <row r="247" spans="5:30" x14ac:dyDescent="0.25">
      <c r="E247" s="153"/>
      <c r="F247" s="153"/>
      <c r="G247" s="153"/>
      <c r="H247" s="153"/>
      <c r="I247" s="153"/>
      <c r="J247" s="155"/>
      <c r="K247" s="154"/>
      <c r="L247" s="155"/>
      <c r="M247" s="155"/>
      <c r="N247" s="155"/>
      <c r="W247" s="152"/>
      <c r="X247" s="153"/>
      <c r="Y247" s="153"/>
      <c r="Z247" s="153"/>
      <c r="AA247" s="155"/>
      <c r="AB247" s="154"/>
      <c r="AC247" s="155"/>
      <c r="AD247" s="155"/>
    </row>
    <row r="248" spans="5:30" x14ac:dyDescent="0.25">
      <c r="E248" s="153"/>
      <c r="F248" s="153"/>
      <c r="G248" s="153"/>
      <c r="H248" s="153"/>
      <c r="I248" s="153"/>
      <c r="J248" s="155"/>
      <c r="K248" s="154"/>
      <c r="L248" s="155"/>
      <c r="M248" s="155"/>
      <c r="N248" s="155"/>
      <c r="W248" s="152"/>
      <c r="X248" s="153"/>
      <c r="Y248" s="153"/>
      <c r="Z248" s="153"/>
      <c r="AA248" s="155"/>
      <c r="AB248" s="154"/>
      <c r="AC248" s="155"/>
      <c r="AD248" s="155"/>
    </row>
    <row r="249" spans="5:30" x14ac:dyDescent="0.25">
      <c r="E249" s="153"/>
      <c r="F249" s="153"/>
      <c r="G249" s="153"/>
      <c r="H249" s="153"/>
      <c r="I249" s="153"/>
      <c r="J249" s="155"/>
      <c r="K249" s="154"/>
      <c r="L249" s="155"/>
      <c r="M249" s="155"/>
      <c r="N249" s="155"/>
      <c r="W249" s="152"/>
      <c r="X249" s="153"/>
      <c r="Y249" s="153"/>
      <c r="Z249" s="153"/>
      <c r="AA249" s="155"/>
      <c r="AB249" s="154"/>
      <c r="AC249" s="155"/>
      <c r="AD249" s="155"/>
    </row>
    <row r="250" spans="5:30" x14ac:dyDescent="0.25">
      <c r="E250" s="153"/>
      <c r="F250" s="153"/>
      <c r="G250" s="153"/>
      <c r="H250" s="153"/>
      <c r="I250" s="153"/>
      <c r="J250" s="155"/>
      <c r="K250" s="154"/>
      <c r="L250" s="155"/>
      <c r="M250" s="155"/>
      <c r="N250" s="155"/>
      <c r="W250" s="152"/>
      <c r="X250" s="153"/>
      <c r="Y250" s="153"/>
      <c r="Z250" s="153"/>
      <c r="AA250" s="155"/>
      <c r="AB250" s="154"/>
      <c r="AC250" s="155"/>
      <c r="AD250" s="155"/>
    </row>
    <row r="251" spans="5:30" x14ac:dyDescent="0.25">
      <c r="E251" s="153"/>
      <c r="F251" s="153"/>
      <c r="G251" s="153"/>
      <c r="H251" s="153"/>
      <c r="I251" s="153"/>
      <c r="J251" s="155"/>
      <c r="K251" s="154"/>
      <c r="L251" s="155"/>
      <c r="M251" s="155"/>
      <c r="N251" s="155"/>
      <c r="W251" s="152"/>
      <c r="X251" s="153"/>
      <c r="Y251" s="153"/>
      <c r="Z251" s="153"/>
      <c r="AA251" s="155"/>
      <c r="AB251" s="154"/>
      <c r="AC251" s="155"/>
      <c r="AD251" s="155"/>
    </row>
    <row r="252" spans="5:30" x14ac:dyDescent="0.25">
      <c r="E252" s="153"/>
      <c r="F252" s="153"/>
      <c r="G252" s="153"/>
      <c r="H252" s="153"/>
      <c r="I252" s="153"/>
      <c r="J252" s="155"/>
      <c r="K252" s="154"/>
      <c r="L252" s="155"/>
      <c r="M252" s="155"/>
      <c r="N252" s="155"/>
      <c r="W252" s="152"/>
      <c r="X252" s="153"/>
      <c r="Y252" s="153"/>
      <c r="Z252" s="153"/>
      <c r="AA252" s="155"/>
      <c r="AB252" s="154"/>
      <c r="AC252" s="155"/>
      <c r="AD252" s="155"/>
    </row>
    <row r="253" spans="5:30" x14ac:dyDescent="0.25">
      <c r="E253" s="153"/>
      <c r="F253" s="153"/>
      <c r="G253" s="153"/>
      <c r="H253" s="153"/>
      <c r="I253" s="153"/>
      <c r="J253" s="155"/>
      <c r="K253" s="154"/>
      <c r="L253" s="155"/>
      <c r="M253" s="155"/>
      <c r="N253" s="155"/>
      <c r="W253" s="152"/>
      <c r="X253" s="153"/>
      <c r="Y253" s="153"/>
      <c r="Z253" s="153"/>
      <c r="AA253" s="155"/>
      <c r="AB253" s="154"/>
      <c r="AC253" s="155"/>
      <c r="AD253" s="155"/>
    </row>
    <row r="254" spans="5:30" x14ac:dyDescent="0.25">
      <c r="E254" s="153"/>
      <c r="F254" s="153"/>
      <c r="G254" s="153"/>
      <c r="H254" s="153"/>
      <c r="I254" s="153"/>
      <c r="J254" s="155"/>
      <c r="K254" s="154"/>
      <c r="L254" s="155"/>
      <c r="M254" s="155"/>
      <c r="N254" s="155"/>
      <c r="W254" s="152"/>
      <c r="X254" s="153"/>
      <c r="Y254" s="153"/>
      <c r="Z254" s="153"/>
      <c r="AA254" s="155"/>
      <c r="AB254" s="154"/>
      <c r="AC254" s="155"/>
      <c r="AD254" s="155"/>
    </row>
    <row r="255" spans="5:30" x14ac:dyDescent="0.25">
      <c r="E255" s="153"/>
      <c r="F255" s="153"/>
      <c r="G255" s="153"/>
      <c r="H255" s="153"/>
      <c r="I255" s="153"/>
      <c r="J255" s="155"/>
      <c r="K255" s="154"/>
      <c r="L255" s="155"/>
      <c r="M255" s="155"/>
      <c r="N255" s="155"/>
      <c r="W255" s="152"/>
      <c r="X255" s="153"/>
      <c r="Y255" s="153"/>
      <c r="Z255" s="153"/>
      <c r="AA255" s="155"/>
      <c r="AB255" s="154"/>
      <c r="AC255" s="155"/>
      <c r="AD255" s="155"/>
    </row>
    <row r="256" spans="5:30" x14ac:dyDescent="0.25">
      <c r="E256" s="153"/>
      <c r="F256" s="153"/>
      <c r="G256" s="153"/>
      <c r="H256" s="153"/>
      <c r="I256" s="153"/>
      <c r="J256" s="155"/>
      <c r="K256" s="154"/>
      <c r="L256" s="155"/>
      <c r="M256" s="155"/>
      <c r="N256" s="155"/>
      <c r="W256" s="152"/>
      <c r="X256" s="153"/>
      <c r="Y256" s="153"/>
      <c r="Z256" s="153"/>
      <c r="AA256" s="155"/>
      <c r="AB256" s="154"/>
      <c r="AC256" s="155"/>
      <c r="AD256" s="155"/>
    </row>
    <row r="257" spans="5:30" x14ac:dyDescent="0.25">
      <c r="E257" s="153"/>
      <c r="F257" s="153"/>
      <c r="G257" s="153"/>
      <c r="H257" s="153"/>
      <c r="I257" s="153"/>
      <c r="J257" s="155"/>
      <c r="K257" s="154"/>
      <c r="L257" s="155"/>
      <c r="M257" s="155"/>
      <c r="N257" s="155"/>
      <c r="W257" s="152"/>
      <c r="X257" s="153"/>
      <c r="Y257" s="153"/>
      <c r="Z257" s="153"/>
      <c r="AA257" s="155"/>
      <c r="AB257" s="154"/>
      <c r="AC257" s="155"/>
      <c r="AD257" s="155"/>
    </row>
    <row r="258" spans="5:30" x14ac:dyDescent="0.25">
      <c r="E258" s="153"/>
      <c r="F258" s="153"/>
      <c r="G258" s="153"/>
      <c r="H258" s="153"/>
      <c r="I258" s="153"/>
      <c r="J258" s="155"/>
      <c r="K258" s="154"/>
      <c r="L258" s="155"/>
      <c r="M258" s="155"/>
      <c r="N258" s="155"/>
      <c r="W258" s="152"/>
      <c r="X258" s="153"/>
      <c r="Y258" s="153"/>
      <c r="Z258" s="153"/>
      <c r="AA258" s="155"/>
      <c r="AB258" s="154"/>
      <c r="AC258" s="155"/>
      <c r="AD258" s="155"/>
    </row>
    <row r="259" spans="5:30" x14ac:dyDescent="0.25">
      <c r="E259" s="153"/>
      <c r="F259" s="153"/>
      <c r="G259" s="153"/>
      <c r="H259" s="153"/>
      <c r="I259" s="153"/>
      <c r="J259" s="155"/>
      <c r="K259" s="154"/>
      <c r="L259" s="155"/>
      <c r="M259" s="155"/>
      <c r="N259" s="155"/>
      <c r="W259" s="152"/>
      <c r="X259" s="153"/>
      <c r="Y259" s="153"/>
      <c r="Z259" s="153"/>
      <c r="AA259" s="155"/>
      <c r="AB259" s="154"/>
      <c r="AC259" s="155"/>
      <c r="AD259" s="155"/>
    </row>
    <row r="260" spans="5:30" x14ac:dyDescent="0.25">
      <c r="E260" s="153"/>
      <c r="F260" s="153"/>
      <c r="G260" s="153"/>
      <c r="H260" s="153"/>
      <c r="I260" s="153"/>
      <c r="J260" s="155"/>
      <c r="K260" s="154"/>
      <c r="L260" s="155"/>
      <c r="M260" s="155"/>
      <c r="N260" s="155"/>
      <c r="W260" s="152"/>
      <c r="X260" s="153"/>
      <c r="Y260" s="153"/>
      <c r="Z260" s="153"/>
      <c r="AA260" s="155"/>
      <c r="AB260" s="154"/>
      <c r="AC260" s="155"/>
      <c r="AD260" s="155"/>
    </row>
    <row r="261" spans="5:30" x14ac:dyDescent="0.25">
      <c r="E261" s="153"/>
      <c r="F261" s="153"/>
      <c r="G261" s="153"/>
      <c r="H261" s="153"/>
      <c r="I261" s="153"/>
      <c r="J261" s="155"/>
      <c r="K261" s="154"/>
      <c r="L261" s="155"/>
      <c r="M261" s="155"/>
      <c r="N261" s="155"/>
      <c r="W261" s="152"/>
      <c r="X261" s="153"/>
      <c r="Y261" s="153"/>
      <c r="Z261" s="153"/>
      <c r="AA261" s="155"/>
      <c r="AB261" s="154"/>
      <c r="AC261" s="155"/>
      <c r="AD261" s="155"/>
    </row>
    <row r="262" spans="5:30" x14ac:dyDescent="0.25">
      <c r="E262" s="153"/>
      <c r="F262" s="153"/>
      <c r="G262" s="153"/>
      <c r="H262" s="153"/>
      <c r="I262" s="153"/>
      <c r="J262" s="155"/>
      <c r="K262" s="154"/>
      <c r="L262" s="155"/>
      <c r="M262" s="155"/>
      <c r="N262" s="155"/>
      <c r="W262" s="152"/>
      <c r="X262" s="153"/>
      <c r="Y262" s="153"/>
      <c r="Z262" s="153"/>
      <c r="AA262" s="155"/>
      <c r="AB262" s="154"/>
      <c r="AC262" s="155"/>
      <c r="AD262" s="155"/>
    </row>
    <row r="263" spans="5:30" x14ac:dyDescent="0.25">
      <c r="E263" s="153"/>
      <c r="F263" s="153"/>
      <c r="G263" s="153"/>
      <c r="H263" s="153"/>
      <c r="I263" s="153"/>
      <c r="J263" s="155"/>
      <c r="K263" s="154"/>
      <c r="L263" s="155"/>
      <c r="M263" s="155"/>
      <c r="N263" s="155"/>
      <c r="W263" s="152"/>
      <c r="X263" s="153"/>
      <c r="Y263" s="153"/>
      <c r="Z263" s="153"/>
      <c r="AA263" s="155"/>
      <c r="AB263" s="154"/>
      <c r="AC263" s="155"/>
      <c r="AD263" s="155"/>
    </row>
    <row r="264" spans="5:30" x14ac:dyDescent="0.25">
      <c r="E264" s="153"/>
      <c r="F264" s="153"/>
      <c r="G264" s="153"/>
      <c r="H264" s="153"/>
      <c r="I264" s="153"/>
      <c r="J264" s="155"/>
      <c r="K264" s="154"/>
      <c r="L264" s="155"/>
      <c r="M264" s="155"/>
      <c r="N264" s="155"/>
      <c r="W264" s="152"/>
      <c r="X264" s="153"/>
      <c r="Y264" s="153"/>
      <c r="Z264" s="153"/>
      <c r="AA264" s="155"/>
      <c r="AB264" s="154"/>
      <c r="AC264" s="155"/>
      <c r="AD264" s="155"/>
    </row>
    <row r="265" spans="5:30" x14ac:dyDescent="0.25">
      <c r="E265" s="153"/>
      <c r="F265" s="153"/>
      <c r="G265" s="153"/>
      <c r="H265" s="153"/>
      <c r="I265" s="153"/>
      <c r="J265" s="155"/>
      <c r="K265" s="154"/>
      <c r="L265" s="155"/>
      <c r="M265" s="155"/>
      <c r="N265" s="155"/>
      <c r="W265" s="152"/>
      <c r="X265" s="153"/>
      <c r="Y265" s="153"/>
      <c r="Z265" s="153"/>
      <c r="AA265" s="155"/>
      <c r="AB265" s="154"/>
      <c r="AC265" s="155"/>
      <c r="AD265" s="155"/>
    </row>
    <row r="266" spans="5:30" x14ac:dyDescent="0.25">
      <c r="E266" s="153"/>
      <c r="F266" s="153"/>
      <c r="G266" s="153"/>
      <c r="H266" s="153"/>
      <c r="I266" s="153"/>
      <c r="J266" s="155"/>
      <c r="K266" s="154"/>
      <c r="L266" s="155"/>
      <c r="M266" s="155"/>
      <c r="N266" s="155"/>
      <c r="W266" s="152"/>
      <c r="X266" s="153"/>
      <c r="Y266" s="153"/>
      <c r="Z266" s="153"/>
      <c r="AA266" s="155"/>
      <c r="AB266" s="154"/>
      <c r="AC266" s="155"/>
      <c r="AD266" s="155"/>
    </row>
    <row r="267" spans="5:30" x14ac:dyDescent="0.25">
      <c r="E267" s="153"/>
      <c r="F267" s="153"/>
      <c r="G267" s="153"/>
      <c r="H267" s="153"/>
      <c r="I267" s="153"/>
      <c r="J267" s="155"/>
      <c r="K267" s="154"/>
      <c r="L267" s="155"/>
      <c r="M267" s="155"/>
      <c r="N267" s="155"/>
      <c r="W267" s="152"/>
      <c r="X267" s="153"/>
      <c r="Y267" s="153"/>
      <c r="Z267" s="153"/>
      <c r="AA267" s="155"/>
      <c r="AB267" s="154"/>
      <c r="AC267" s="155"/>
      <c r="AD267" s="155"/>
    </row>
    <row r="268" spans="5:30" x14ac:dyDescent="0.25">
      <c r="E268" s="153"/>
      <c r="F268" s="153"/>
      <c r="G268" s="153"/>
      <c r="H268" s="153"/>
      <c r="I268" s="153"/>
      <c r="J268" s="155"/>
      <c r="K268" s="154"/>
      <c r="L268" s="155"/>
      <c r="M268" s="155"/>
      <c r="N268" s="155"/>
      <c r="W268" s="152"/>
      <c r="X268" s="153"/>
      <c r="Y268" s="153"/>
      <c r="Z268" s="153"/>
      <c r="AA268" s="155"/>
      <c r="AB268" s="154"/>
      <c r="AC268" s="155"/>
      <c r="AD268" s="155"/>
    </row>
    <row r="269" spans="5:30" x14ac:dyDescent="0.25">
      <c r="E269" s="153"/>
      <c r="F269" s="153"/>
      <c r="G269" s="153"/>
      <c r="H269" s="153"/>
      <c r="I269" s="153"/>
      <c r="J269" s="155"/>
      <c r="K269" s="154"/>
      <c r="L269" s="155"/>
      <c r="M269" s="155"/>
      <c r="N269" s="155"/>
      <c r="W269" s="152"/>
      <c r="X269" s="153"/>
      <c r="Y269" s="153"/>
      <c r="Z269" s="153"/>
      <c r="AA269" s="155"/>
      <c r="AB269" s="154"/>
      <c r="AC269" s="155"/>
      <c r="AD269" s="155"/>
    </row>
    <row r="270" spans="5:30" x14ac:dyDescent="0.25">
      <c r="E270" s="153"/>
      <c r="F270" s="153"/>
      <c r="G270" s="153"/>
      <c r="H270" s="153"/>
      <c r="I270" s="153"/>
      <c r="J270" s="155"/>
      <c r="K270" s="154"/>
      <c r="L270" s="155"/>
      <c r="M270" s="155"/>
      <c r="N270" s="155"/>
      <c r="W270" s="152"/>
      <c r="X270" s="153"/>
      <c r="Y270" s="153"/>
      <c r="Z270" s="153"/>
      <c r="AA270" s="155"/>
      <c r="AB270" s="154"/>
      <c r="AC270" s="155"/>
      <c r="AD270" s="155"/>
    </row>
    <row r="271" spans="5:30" x14ac:dyDescent="0.25">
      <c r="E271" s="153"/>
      <c r="F271" s="153"/>
      <c r="G271" s="153"/>
      <c r="H271" s="153"/>
      <c r="I271" s="153"/>
      <c r="J271" s="155"/>
      <c r="K271" s="154"/>
      <c r="L271" s="155"/>
      <c r="M271" s="155"/>
      <c r="N271" s="155"/>
      <c r="W271" s="152"/>
      <c r="X271" s="153"/>
      <c r="Y271" s="153"/>
      <c r="Z271" s="153"/>
      <c r="AA271" s="155"/>
      <c r="AB271" s="154"/>
      <c r="AC271" s="155"/>
      <c r="AD271" s="155"/>
    </row>
    <row r="272" spans="5:30" x14ac:dyDescent="0.25">
      <c r="E272" s="153"/>
      <c r="F272" s="153"/>
      <c r="G272" s="153"/>
      <c r="H272" s="153"/>
      <c r="I272" s="153"/>
      <c r="J272" s="155"/>
      <c r="K272" s="154"/>
      <c r="L272" s="155"/>
      <c r="M272" s="155"/>
      <c r="N272" s="155"/>
      <c r="W272" s="152"/>
      <c r="X272" s="153"/>
      <c r="Y272" s="153"/>
      <c r="Z272" s="153"/>
      <c r="AA272" s="155"/>
      <c r="AB272" s="154"/>
      <c r="AC272" s="155"/>
      <c r="AD272" s="155"/>
    </row>
    <row r="273" spans="5:30" x14ac:dyDescent="0.25">
      <c r="E273" s="153"/>
      <c r="F273" s="153"/>
      <c r="G273" s="153"/>
      <c r="H273" s="153"/>
      <c r="I273" s="153"/>
      <c r="J273" s="155"/>
      <c r="K273" s="154"/>
      <c r="L273" s="155"/>
      <c r="M273" s="155"/>
      <c r="N273" s="155"/>
      <c r="W273" s="152"/>
      <c r="X273" s="153"/>
      <c r="Y273" s="153"/>
      <c r="Z273" s="153"/>
      <c r="AA273" s="155"/>
      <c r="AB273" s="154"/>
      <c r="AC273" s="155"/>
      <c r="AD273" s="155"/>
    </row>
    <row r="274" spans="5:30" x14ac:dyDescent="0.25">
      <c r="E274" s="153"/>
      <c r="F274" s="153"/>
      <c r="G274" s="153"/>
      <c r="H274" s="153"/>
      <c r="I274" s="153"/>
      <c r="J274" s="155"/>
      <c r="K274" s="154"/>
      <c r="L274" s="155"/>
      <c r="M274" s="155"/>
      <c r="N274" s="155"/>
      <c r="W274" s="152"/>
      <c r="X274" s="153"/>
      <c r="Y274" s="153"/>
      <c r="Z274" s="153"/>
      <c r="AA274" s="155"/>
      <c r="AB274" s="154"/>
      <c r="AC274" s="155"/>
      <c r="AD274" s="155"/>
    </row>
    <row r="275" spans="5:30" x14ac:dyDescent="0.25">
      <c r="E275" s="153"/>
      <c r="F275" s="153"/>
      <c r="G275" s="153"/>
      <c r="H275" s="153"/>
      <c r="I275" s="153"/>
      <c r="J275" s="155"/>
      <c r="K275" s="154"/>
      <c r="L275" s="155"/>
      <c r="M275" s="155"/>
      <c r="N275" s="155"/>
      <c r="W275" s="152"/>
      <c r="X275" s="153"/>
      <c r="Y275" s="153"/>
      <c r="Z275" s="153"/>
      <c r="AA275" s="155"/>
      <c r="AB275" s="154"/>
      <c r="AC275" s="155"/>
      <c r="AD275" s="155"/>
    </row>
    <row r="276" spans="5:30" x14ac:dyDescent="0.25">
      <c r="E276" s="153"/>
      <c r="F276" s="153"/>
      <c r="G276" s="153"/>
      <c r="H276" s="153"/>
      <c r="I276" s="153"/>
      <c r="J276" s="155"/>
      <c r="K276" s="154"/>
      <c r="L276" s="155"/>
      <c r="M276" s="155"/>
      <c r="N276" s="155"/>
      <c r="W276" s="152"/>
      <c r="X276" s="153"/>
      <c r="Y276" s="153"/>
      <c r="Z276" s="153"/>
      <c r="AA276" s="155"/>
      <c r="AB276" s="154"/>
      <c r="AC276" s="155"/>
      <c r="AD276" s="155"/>
    </row>
    <row r="277" spans="5:30" x14ac:dyDescent="0.25">
      <c r="E277" s="153"/>
      <c r="F277" s="153"/>
      <c r="G277" s="153"/>
      <c r="H277" s="153"/>
      <c r="I277" s="153"/>
      <c r="J277" s="155"/>
      <c r="K277" s="154"/>
      <c r="L277" s="155"/>
      <c r="M277" s="155"/>
      <c r="N277" s="155"/>
      <c r="W277" s="152"/>
      <c r="X277" s="153"/>
      <c r="Y277" s="153"/>
      <c r="Z277" s="153"/>
      <c r="AA277" s="155"/>
      <c r="AB277" s="154"/>
      <c r="AC277" s="155"/>
      <c r="AD277" s="155"/>
    </row>
    <row r="278" spans="5:30" x14ac:dyDescent="0.25">
      <c r="E278" s="153"/>
      <c r="F278" s="153"/>
      <c r="G278" s="153"/>
      <c r="H278" s="153"/>
      <c r="I278" s="153"/>
      <c r="J278" s="155"/>
      <c r="K278" s="154"/>
      <c r="L278" s="155"/>
      <c r="M278" s="155"/>
      <c r="N278" s="155"/>
      <c r="W278" s="152"/>
      <c r="X278" s="153"/>
      <c r="Y278" s="153"/>
      <c r="Z278" s="153"/>
      <c r="AA278" s="155"/>
      <c r="AB278" s="154"/>
      <c r="AC278" s="155"/>
      <c r="AD278" s="155"/>
    </row>
    <row r="279" spans="5:30" x14ac:dyDescent="0.25">
      <c r="E279" s="153"/>
      <c r="F279" s="153"/>
      <c r="G279" s="153"/>
      <c r="H279" s="153"/>
      <c r="I279" s="153"/>
      <c r="J279" s="155"/>
      <c r="K279" s="154"/>
      <c r="L279" s="155"/>
      <c r="M279" s="155"/>
      <c r="N279" s="155"/>
      <c r="W279" s="152"/>
      <c r="X279" s="153"/>
      <c r="Y279" s="153"/>
      <c r="Z279" s="153"/>
      <c r="AA279" s="155"/>
      <c r="AB279" s="154"/>
      <c r="AC279" s="155"/>
      <c r="AD279" s="155"/>
    </row>
    <row r="280" spans="5:30" x14ac:dyDescent="0.25">
      <c r="E280" s="153"/>
      <c r="F280" s="153"/>
      <c r="G280" s="153"/>
      <c r="H280" s="153"/>
      <c r="I280" s="153"/>
      <c r="J280" s="155"/>
      <c r="K280" s="154"/>
      <c r="L280" s="155"/>
      <c r="M280" s="155"/>
      <c r="N280" s="155"/>
      <c r="W280" s="152"/>
      <c r="X280" s="153"/>
      <c r="Y280" s="153"/>
      <c r="Z280" s="153"/>
      <c r="AA280" s="155"/>
      <c r="AB280" s="154"/>
      <c r="AC280" s="155"/>
      <c r="AD280" s="155"/>
    </row>
    <row r="281" spans="5:30" x14ac:dyDescent="0.25">
      <c r="E281" s="153"/>
      <c r="F281" s="153"/>
      <c r="G281" s="153"/>
      <c r="H281" s="153"/>
      <c r="I281" s="153"/>
      <c r="J281" s="155"/>
      <c r="K281" s="154"/>
      <c r="L281" s="155"/>
      <c r="M281" s="155"/>
      <c r="N281" s="155"/>
      <c r="W281" s="152"/>
      <c r="X281" s="153"/>
      <c r="Y281" s="153"/>
      <c r="Z281" s="153"/>
      <c r="AA281" s="155"/>
      <c r="AB281" s="154"/>
      <c r="AC281" s="155"/>
      <c r="AD281" s="155"/>
    </row>
    <row r="282" spans="5:30" x14ac:dyDescent="0.25">
      <c r="E282" s="153"/>
      <c r="F282" s="153"/>
      <c r="G282" s="153"/>
      <c r="H282" s="153"/>
      <c r="I282" s="153"/>
      <c r="J282" s="155"/>
      <c r="K282" s="154"/>
      <c r="L282" s="155"/>
      <c r="M282" s="155"/>
      <c r="N282" s="155"/>
      <c r="W282" s="152"/>
      <c r="X282" s="153"/>
      <c r="Y282" s="153"/>
      <c r="Z282" s="153"/>
      <c r="AA282" s="155"/>
      <c r="AB282" s="154"/>
      <c r="AC282" s="155"/>
      <c r="AD282" s="155"/>
    </row>
    <row r="283" spans="5:30" x14ac:dyDescent="0.25">
      <c r="E283" s="153"/>
      <c r="F283" s="153"/>
      <c r="G283" s="153"/>
      <c r="H283" s="153"/>
      <c r="I283" s="153"/>
      <c r="J283" s="155"/>
      <c r="K283" s="154"/>
      <c r="L283" s="155"/>
      <c r="M283" s="155"/>
      <c r="N283" s="155"/>
      <c r="W283" s="152"/>
      <c r="X283" s="153"/>
      <c r="Y283" s="153"/>
      <c r="Z283" s="153"/>
      <c r="AA283" s="155"/>
      <c r="AB283" s="154"/>
      <c r="AC283" s="155"/>
      <c r="AD283" s="155"/>
    </row>
    <row r="284" spans="5:30" x14ac:dyDescent="0.25">
      <c r="E284" s="153"/>
      <c r="F284" s="153"/>
      <c r="G284" s="153"/>
      <c r="H284" s="153"/>
      <c r="I284" s="153"/>
      <c r="J284" s="155"/>
      <c r="K284" s="154"/>
      <c r="L284" s="155"/>
      <c r="M284" s="155"/>
      <c r="N284" s="155"/>
      <c r="W284" s="152"/>
      <c r="X284" s="153"/>
      <c r="Y284" s="153"/>
      <c r="Z284" s="153"/>
      <c r="AA284" s="155"/>
      <c r="AB284" s="154"/>
      <c r="AC284" s="155"/>
      <c r="AD284" s="155"/>
    </row>
    <row r="285" spans="5:30" x14ac:dyDescent="0.25">
      <c r="E285" s="153"/>
      <c r="F285" s="153"/>
      <c r="G285" s="153"/>
      <c r="H285" s="153"/>
      <c r="I285" s="153"/>
      <c r="J285" s="155"/>
      <c r="K285" s="154"/>
      <c r="L285" s="155"/>
      <c r="M285" s="155"/>
      <c r="N285" s="155"/>
      <c r="W285" s="152"/>
      <c r="X285" s="153"/>
      <c r="Y285" s="153"/>
      <c r="Z285" s="153"/>
      <c r="AA285" s="155"/>
      <c r="AB285" s="154"/>
      <c r="AC285" s="155"/>
      <c r="AD285" s="155"/>
    </row>
    <row r="286" spans="5:30" x14ac:dyDescent="0.25">
      <c r="E286" s="153"/>
      <c r="F286" s="153"/>
      <c r="G286" s="153"/>
      <c r="H286" s="153"/>
      <c r="I286" s="153"/>
      <c r="J286" s="155"/>
      <c r="K286" s="154"/>
      <c r="L286" s="155"/>
      <c r="M286" s="155"/>
      <c r="N286" s="155"/>
      <c r="W286" s="152"/>
      <c r="X286" s="153"/>
      <c r="Y286" s="153"/>
      <c r="Z286" s="153"/>
      <c r="AA286" s="155"/>
      <c r="AB286" s="154"/>
      <c r="AC286" s="155"/>
      <c r="AD286" s="155"/>
    </row>
    <row r="287" spans="5:30" x14ac:dyDescent="0.25">
      <c r="E287" s="153"/>
      <c r="F287" s="153"/>
      <c r="G287" s="153"/>
      <c r="H287" s="153"/>
      <c r="I287" s="153"/>
      <c r="J287" s="155"/>
      <c r="K287" s="154"/>
      <c r="L287" s="155"/>
      <c r="M287" s="155"/>
      <c r="N287" s="155"/>
      <c r="W287" s="152"/>
      <c r="X287" s="153"/>
      <c r="Y287" s="153"/>
      <c r="Z287" s="153"/>
      <c r="AA287" s="155"/>
      <c r="AB287" s="154"/>
      <c r="AC287" s="155"/>
      <c r="AD287" s="155"/>
    </row>
    <row r="288" spans="5:30" x14ac:dyDescent="0.25">
      <c r="E288" s="153"/>
      <c r="F288" s="153"/>
      <c r="G288" s="153"/>
      <c r="H288" s="153"/>
      <c r="I288" s="153"/>
      <c r="J288" s="155"/>
      <c r="K288" s="154"/>
      <c r="L288" s="155"/>
      <c r="M288" s="155"/>
      <c r="N288" s="155"/>
      <c r="W288" s="152"/>
      <c r="X288" s="153"/>
      <c r="Y288" s="153"/>
      <c r="Z288" s="153"/>
      <c r="AA288" s="155"/>
      <c r="AB288" s="154"/>
      <c r="AC288" s="155"/>
      <c r="AD288" s="155"/>
    </row>
    <row r="289" spans="5:30" x14ac:dyDescent="0.25">
      <c r="E289" s="153"/>
      <c r="F289" s="153"/>
      <c r="G289" s="153"/>
      <c r="H289" s="153"/>
      <c r="I289" s="153"/>
      <c r="J289" s="155"/>
      <c r="K289" s="154"/>
      <c r="L289" s="155"/>
      <c r="M289" s="155"/>
      <c r="N289" s="155"/>
      <c r="W289" s="152"/>
      <c r="X289" s="153"/>
      <c r="Y289" s="153"/>
      <c r="Z289" s="153"/>
      <c r="AA289" s="155"/>
      <c r="AB289" s="154"/>
      <c r="AC289" s="155"/>
      <c r="AD289" s="155"/>
    </row>
    <row r="290" spans="5:30" x14ac:dyDescent="0.25">
      <c r="E290" s="153"/>
      <c r="F290" s="153"/>
      <c r="G290" s="153"/>
      <c r="H290" s="153"/>
      <c r="I290" s="153"/>
      <c r="J290" s="155"/>
      <c r="K290" s="154"/>
      <c r="L290" s="155"/>
      <c r="M290" s="155"/>
      <c r="N290" s="155"/>
      <c r="W290" s="152"/>
      <c r="X290" s="153"/>
      <c r="Y290" s="153"/>
      <c r="Z290" s="153"/>
      <c r="AA290" s="155"/>
      <c r="AB290" s="154"/>
      <c r="AC290" s="155"/>
      <c r="AD290" s="155"/>
    </row>
    <row r="291" spans="5:30" x14ac:dyDescent="0.25">
      <c r="E291" s="153"/>
      <c r="F291" s="153"/>
      <c r="G291" s="153"/>
      <c r="H291" s="153"/>
      <c r="I291" s="153"/>
      <c r="J291" s="155"/>
      <c r="K291" s="154"/>
      <c r="L291" s="155"/>
      <c r="M291" s="155"/>
      <c r="N291" s="155"/>
      <c r="W291" s="152"/>
      <c r="X291" s="153"/>
      <c r="Y291" s="153"/>
      <c r="Z291" s="153"/>
      <c r="AA291" s="155"/>
      <c r="AB291" s="154"/>
      <c r="AC291" s="155"/>
      <c r="AD291" s="155"/>
    </row>
    <row r="292" spans="5:30" x14ac:dyDescent="0.25">
      <c r="E292" s="153"/>
      <c r="F292" s="153"/>
      <c r="G292" s="153"/>
      <c r="H292" s="153"/>
      <c r="I292" s="153"/>
      <c r="J292" s="155"/>
      <c r="K292" s="154"/>
      <c r="L292" s="155"/>
      <c r="M292" s="155"/>
      <c r="N292" s="155"/>
      <c r="W292" s="152"/>
      <c r="X292" s="153"/>
      <c r="Y292" s="153"/>
      <c r="Z292" s="153"/>
      <c r="AA292" s="155"/>
      <c r="AB292" s="154"/>
      <c r="AC292" s="155"/>
      <c r="AD292" s="155"/>
    </row>
    <row r="293" spans="5:30" x14ac:dyDescent="0.25">
      <c r="E293" s="153"/>
      <c r="F293" s="153"/>
      <c r="G293" s="153"/>
      <c r="H293" s="153"/>
      <c r="I293" s="153"/>
      <c r="J293" s="155"/>
      <c r="K293" s="154"/>
      <c r="L293" s="155"/>
      <c r="M293" s="155"/>
      <c r="N293" s="155"/>
      <c r="W293" s="152"/>
      <c r="X293" s="153"/>
      <c r="Y293" s="153"/>
      <c r="Z293" s="153"/>
      <c r="AA293" s="155"/>
      <c r="AB293" s="154"/>
      <c r="AC293" s="155"/>
      <c r="AD293" s="155"/>
    </row>
    <row r="294" spans="5:30" x14ac:dyDescent="0.25">
      <c r="E294" s="153"/>
      <c r="F294" s="153"/>
      <c r="G294" s="153"/>
      <c r="H294" s="153"/>
      <c r="I294" s="153"/>
      <c r="J294" s="155"/>
      <c r="K294" s="154"/>
      <c r="L294" s="155"/>
      <c r="M294" s="155"/>
      <c r="N294" s="155"/>
      <c r="W294" s="152"/>
      <c r="X294" s="153"/>
      <c r="Y294" s="153"/>
      <c r="Z294" s="153"/>
      <c r="AA294" s="155"/>
      <c r="AB294" s="154"/>
      <c r="AC294" s="155"/>
      <c r="AD294" s="155"/>
    </row>
    <row r="295" spans="5:30" x14ac:dyDescent="0.25">
      <c r="E295" s="153"/>
      <c r="F295" s="153"/>
      <c r="G295" s="153"/>
      <c r="H295" s="153"/>
      <c r="I295" s="153"/>
      <c r="J295" s="155"/>
      <c r="K295" s="154"/>
      <c r="L295" s="155"/>
      <c r="M295" s="155"/>
      <c r="N295" s="155"/>
      <c r="W295" s="152"/>
      <c r="X295" s="153"/>
      <c r="Y295" s="153"/>
      <c r="Z295" s="153"/>
      <c r="AA295" s="155"/>
      <c r="AB295" s="154"/>
      <c r="AC295" s="155"/>
      <c r="AD295" s="155"/>
    </row>
    <row r="296" spans="5:30" x14ac:dyDescent="0.25">
      <c r="E296" s="153"/>
      <c r="F296" s="153"/>
      <c r="G296" s="153"/>
      <c r="H296" s="153"/>
      <c r="I296" s="153"/>
      <c r="J296" s="155"/>
      <c r="K296" s="154"/>
      <c r="L296" s="155"/>
      <c r="M296" s="155"/>
      <c r="N296" s="155"/>
      <c r="W296" s="152"/>
      <c r="X296" s="153"/>
      <c r="Y296" s="153"/>
      <c r="Z296" s="153"/>
      <c r="AA296" s="155"/>
      <c r="AB296" s="154"/>
      <c r="AC296" s="155"/>
      <c r="AD296" s="155"/>
    </row>
    <row r="297" spans="5:30" x14ac:dyDescent="0.25">
      <c r="E297" s="153"/>
      <c r="F297" s="153"/>
      <c r="G297" s="153"/>
      <c r="H297" s="153"/>
      <c r="I297" s="153"/>
      <c r="J297" s="155"/>
      <c r="K297" s="154"/>
      <c r="L297" s="155"/>
      <c r="M297" s="155"/>
      <c r="N297" s="155"/>
      <c r="W297" s="152"/>
      <c r="X297" s="153"/>
      <c r="Y297" s="153"/>
      <c r="Z297" s="153"/>
      <c r="AA297" s="155"/>
      <c r="AB297" s="154"/>
      <c r="AC297" s="155"/>
      <c r="AD297" s="155"/>
    </row>
    <row r="298" spans="5:30" x14ac:dyDescent="0.25">
      <c r="E298" s="153"/>
      <c r="F298" s="153"/>
      <c r="G298" s="153"/>
      <c r="H298" s="153"/>
      <c r="I298" s="153"/>
      <c r="J298" s="155"/>
      <c r="K298" s="154"/>
      <c r="L298" s="155"/>
      <c r="M298" s="155"/>
      <c r="N298" s="155"/>
      <c r="W298" s="152"/>
      <c r="X298" s="153"/>
      <c r="Y298" s="153"/>
      <c r="Z298" s="153"/>
      <c r="AA298" s="155"/>
      <c r="AB298" s="154"/>
      <c r="AC298" s="155"/>
      <c r="AD298" s="155"/>
    </row>
    <row r="299" spans="5:30" x14ac:dyDescent="0.25">
      <c r="E299" s="153"/>
      <c r="F299" s="153"/>
      <c r="G299" s="153"/>
      <c r="H299" s="153"/>
      <c r="I299" s="153"/>
      <c r="J299" s="155"/>
      <c r="K299" s="154"/>
      <c r="L299" s="155"/>
      <c r="M299" s="155"/>
      <c r="N299" s="155"/>
      <c r="W299" s="152"/>
      <c r="X299" s="153"/>
      <c r="Y299" s="153"/>
      <c r="Z299" s="153"/>
      <c r="AA299" s="155"/>
      <c r="AB299" s="154"/>
      <c r="AC299" s="155"/>
      <c r="AD299" s="155"/>
    </row>
    <row r="300" spans="5:30" x14ac:dyDescent="0.25">
      <c r="E300" s="153"/>
      <c r="F300" s="153"/>
      <c r="G300" s="153"/>
      <c r="H300" s="153"/>
      <c r="I300" s="153"/>
      <c r="J300" s="155"/>
      <c r="K300" s="154"/>
      <c r="L300" s="155"/>
      <c r="M300" s="155"/>
      <c r="N300" s="155"/>
      <c r="W300" s="152"/>
      <c r="X300" s="153"/>
      <c r="Y300" s="153"/>
      <c r="Z300" s="153"/>
      <c r="AA300" s="155"/>
      <c r="AB300" s="154"/>
      <c r="AC300" s="155"/>
      <c r="AD300" s="155"/>
    </row>
    <row r="301" spans="5:30" x14ac:dyDescent="0.25">
      <c r="E301" s="153"/>
      <c r="F301" s="153"/>
      <c r="G301" s="153"/>
      <c r="H301" s="153"/>
      <c r="I301" s="153"/>
      <c r="J301" s="155"/>
      <c r="K301" s="154"/>
      <c r="L301" s="155"/>
      <c r="M301" s="155"/>
      <c r="N301" s="155"/>
      <c r="W301" s="152"/>
      <c r="X301" s="153"/>
      <c r="Y301" s="153"/>
      <c r="Z301" s="153"/>
      <c r="AA301" s="155"/>
      <c r="AB301" s="154"/>
      <c r="AC301" s="155"/>
      <c r="AD301" s="155"/>
    </row>
    <row r="302" spans="5:30" x14ac:dyDescent="0.25">
      <c r="E302" s="153"/>
      <c r="F302" s="153"/>
      <c r="G302" s="153"/>
      <c r="H302" s="153"/>
      <c r="I302" s="153"/>
      <c r="J302" s="155"/>
      <c r="K302" s="154"/>
      <c r="L302" s="155"/>
      <c r="M302" s="155"/>
      <c r="N302" s="155"/>
      <c r="W302" s="152"/>
      <c r="X302" s="153"/>
      <c r="Y302" s="153"/>
      <c r="Z302" s="153"/>
      <c r="AA302" s="155"/>
      <c r="AB302" s="154"/>
      <c r="AC302" s="155"/>
      <c r="AD302" s="155"/>
    </row>
    <row r="303" spans="5:30" x14ac:dyDescent="0.25">
      <c r="E303" s="153"/>
      <c r="F303" s="153"/>
      <c r="G303" s="153"/>
      <c r="H303" s="153"/>
      <c r="I303" s="153"/>
      <c r="J303" s="155"/>
      <c r="K303" s="154"/>
      <c r="L303" s="155"/>
      <c r="M303" s="155"/>
      <c r="N303" s="155"/>
      <c r="W303" s="152"/>
      <c r="X303" s="153"/>
      <c r="Y303" s="153"/>
      <c r="Z303" s="153"/>
      <c r="AA303" s="155"/>
      <c r="AB303" s="154"/>
      <c r="AC303" s="155"/>
      <c r="AD303" s="155"/>
    </row>
    <row r="304" spans="5:30" x14ac:dyDescent="0.25">
      <c r="E304" s="153"/>
      <c r="F304" s="153"/>
      <c r="G304" s="153"/>
      <c r="H304" s="153"/>
      <c r="I304" s="153"/>
      <c r="J304" s="155"/>
      <c r="K304" s="154"/>
      <c r="L304" s="155"/>
      <c r="M304" s="155"/>
      <c r="N304" s="155"/>
      <c r="W304" s="152"/>
      <c r="X304" s="153"/>
      <c r="Y304" s="153"/>
      <c r="Z304" s="153"/>
      <c r="AA304" s="155"/>
      <c r="AB304" s="154"/>
      <c r="AC304" s="155"/>
      <c r="AD304" s="155"/>
    </row>
    <row r="305" spans="5:30" x14ac:dyDescent="0.25">
      <c r="E305" s="153"/>
      <c r="F305" s="153"/>
      <c r="G305" s="153"/>
      <c r="H305" s="153"/>
      <c r="I305" s="153"/>
      <c r="J305" s="155"/>
      <c r="K305" s="154"/>
      <c r="L305" s="155"/>
      <c r="M305" s="155"/>
      <c r="N305" s="155"/>
      <c r="W305" s="152"/>
      <c r="X305" s="153"/>
      <c r="Y305" s="153"/>
      <c r="Z305" s="153"/>
      <c r="AA305" s="155"/>
      <c r="AB305" s="154"/>
      <c r="AC305" s="155"/>
      <c r="AD305" s="155"/>
    </row>
    <row r="306" spans="5:30" x14ac:dyDescent="0.25">
      <c r="E306" s="153"/>
      <c r="F306" s="153"/>
      <c r="G306" s="153"/>
      <c r="H306" s="153"/>
      <c r="I306" s="153"/>
      <c r="J306" s="155"/>
      <c r="K306" s="154"/>
      <c r="L306" s="155"/>
      <c r="M306" s="155"/>
      <c r="N306" s="155"/>
      <c r="W306" s="152"/>
      <c r="X306" s="153"/>
      <c r="Y306" s="153"/>
      <c r="Z306" s="153"/>
      <c r="AA306" s="155"/>
      <c r="AB306" s="154"/>
      <c r="AC306" s="155"/>
      <c r="AD306" s="155"/>
    </row>
    <row r="307" spans="5:30" x14ac:dyDescent="0.25">
      <c r="E307" s="153"/>
      <c r="F307" s="153"/>
      <c r="G307" s="153"/>
      <c r="H307" s="153"/>
      <c r="I307" s="153"/>
      <c r="J307" s="155"/>
      <c r="K307" s="154"/>
      <c r="L307" s="155"/>
      <c r="M307" s="155"/>
      <c r="N307" s="155"/>
      <c r="W307" s="152"/>
      <c r="X307" s="153"/>
      <c r="Y307" s="153"/>
      <c r="Z307" s="153"/>
      <c r="AA307" s="155"/>
      <c r="AB307" s="154"/>
      <c r="AC307" s="155"/>
      <c r="AD307" s="155"/>
    </row>
    <row r="308" spans="5:30" x14ac:dyDescent="0.25">
      <c r="E308" s="153"/>
      <c r="F308" s="153"/>
      <c r="G308" s="153"/>
      <c r="H308" s="153"/>
      <c r="I308" s="153"/>
      <c r="J308" s="155"/>
      <c r="K308" s="154"/>
      <c r="L308" s="155"/>
      <c r="M308" s="155"/>
      <c r="N308" s="155"/>
      <c r="W308" s="152"/>
      <c r="X308" s="153"/>
      <c r="Y308" s="153"/>
      <c r="Z308" s="153"/>
      <c r="AA308" s="155"/>
      <c r="AB308" s="154"/>
      <c r="AC308" s="155"/>
      <c r="AD308" s="155"/>
    </row>
    <row r="309" spans="5:30" x14ac:dyDescent="0.25">
      <c r="E309" s="153"/>
      <c r="F309" s="153"/>
      <c r="G309" s="153"/>
      <c r="H309" s="153"/>
      <c r="I309" s="153"/>
      <c r="J309" s="155"/>
      <c r="K309" s="154"/>
      <c r="L309" s="155"/>
      <c r="M309" s="155"/>
      <c r="N309" s="155"/>
      <c r="W309" s="152"/>
      <c r="X309" s="153"/>
      <c r="Y309" s="153"/>
      <c r="Z309" s="153"/>
      <c r="AA309" s="155"/>
      <c r="AB309" s="154"/>
      <c r="AC309" s="155"/>
      <c r="AD309" s="155"/>
    </row>
    <row r="310" spans="5:30" x14ac:dyDescent="0.25">
      <c r="E310" s="153"/>
      <c r="F310" s="153"/>
      <c r="G310" s="153"/>
      <c r="H310" s="153"/>
      <c r="I310" s="153"/>
      <c r="J310" s="155"/>
      <c r="K310" s="154"/>
      <c r="L310" s="155"/>
      <c r="M310" s="155"/>
      <c r="N310" s="155"/>
      <c r="W310" s="152"/>
      <c r="X310" s="153"/>
      <c r="Y310" s="153"/>
      <c r="Z310" s="153"/>
      <c r="AA310" s="155"/>
      <c r="AB310" s="154"/>
      <c r="AC310" s="155"/>
      <c r="AD310" s="155"/>
    </row>
    <row r="311" spans="5:30" x14ac:dyDescent="0.25">
      <c r="E311" s="153"/>
      <c r="F311" s="153"/>
      <c r="G311" s="153"/>
      <c r="H311" s="153"/>
      <c r="I311" s="153"/>
      <c r="J311" s="155"/>
      <c r="K311" s="154"/>
      <c r="L311" s="155"/>
      <c r="M311" s="155"/>
      <c r="N311" s="155"/>
      <c r="W311" s="152"/>
      <c r="X311" s="153"/>
      <c r="Y311" s="153"/>
      <c r="Z311" s="153"/>
      <c r="AA311" s="155"/>
      <c r="AB311" s="154"/>
      <c r="AC311" s="155"/>
      <c r="AD311" s="155"/>
    </row>
    <row r="312" spans="5:30" x14ac:dyDescent="0.25">
      <c r="E312" s="153"/>
      <c r="F312" s="153"/>
      <c r="G312" s="153"/>
      <c r="H312" s="153"/>
      <c r="I312" s="153"/>
      <c r="J312" s="155"/>
      <c r="K312" s="154"/>
      <c r="L312" s="155"/>
      <c r="M312" s="155"/>
      <c r="N312" s="155"/>
      <c r="W312" s="152"/>
      <c r="X312" s="153"/>
      <c r="Y312" s="153"/>
      <c r="Z312" s="153"/>
      <c r="AA312" s="155"/>
      <c r="AB312" s="154"/>
      <c r="AC312" s="155"/>
      <c r="AD312" s="155"/>
    </row>
    <row r="313" spans="5:30" x14ac:dyDescent="0.25">
      <c r="E313" s="153"/>
      <c r="F313" s="153"/>
      <c r="G313" s="153"/>
      <c r="H313" s="153"/>
      <c r="I313" s="153"/>
      <c r="J313" s="155"/>
      <c r="K313" s="154"/>
      <c r="L313" s="155"/>
      <c r="M313" s="155"/>
      <c r="N313" s="155"/>
      <c r="W313" s="152"/>
      <c r="X313" s="153"/>
      <c r="Y313" s="153"/>
      <c r="Z313" s="153"/>
      <c r="AA313" s="155"/>
      <c r="AB313" s="154"/>
      <c r="AC313" s="155"/>
      <c r="AD313" s="155"/>
    </row>
    <row r="314" spans="5:30" x14ac:dyDescent="0.25">
      <c r="E314" s="153"/>
      <c r="F314" s="153"/>
      <c r="G314" s="153"/>
      <c r="H314" s="153"/>
      <c r="I314" s="153"/>
      <c r="J314" s="155"/>
      <c r="K314" s="154"/>
      <c r="L314" s="155"/>
      <c r="M314" s="155"/>
      <c r="N314" s="155"/>
      <c r="W314" s="152"/>
      <c r="X314" s="153"/>
      <c r="Y314" s="153"/>
      <c r="Z314" s="153"/>
      <c r="AA314" s="155"/>
      <c r="AB314" s="154"/>
      <c r="AC314" s="155"/>
      <c r="AD314" s="155"/>
    </row>
    <row r="315" spans="5:30" x14ac:dyDescent="0.25">
      <c r="E315" s="153"/>
      <c r="F315" s="153"/>
      <c r="G315" s="153"/>
      <c r="H315" s="153"/>
      <c r="I315" s="153"/>
      <c r="J315" s="155"/>
      <c r="K315" s="154"/>
      <c r="L315" s="155"/>
      <c r="M315" s="155"/>
      <c r="N315" s="155"/>
      <c r="W315" s="152"/>
      <c r="X315" s="153"/>
      <c r="Y315" s="153"/>
      <c r="Z315" s="153"/>
      <c r="AA315" s="155"/>
      <c r="AB315" s="154"/>
      <c r="AC315" s="155"/>
      <c r="AD315" s="155"/>
    </row>
    <row r="316" spans="5:30" x14ac:dyDescent="0.25">
      <c r="E316" s="153"/>
      <c r="F316" s="153"/>
      <c r="G316" s="153"/>
      <c r="H316" s="153"/>
      <c r="I316" s="153"/>
      <c r="J316" s="155"/>
      <c r="K316" s="154"/>
      <c r="L316" s="155"/>
      <c r="M316" s="155"/>
      <c r="N316" s="155"/>
      <c r="W316" s="152"/>
      <c r="X316" s="153"/>
      <c r="Y316" s="153"/>
      <c r="Z316" s="153"/>
      <c r="AA316" s="155"/>
      <c r="AB316" s="154"/>
      <c r="AC316" s="155"/>
      <c r="AD316" s="155"/>
    </row>
    <row r="317" spans="5:30" x14ac:dyDescent="0.25">
      <c r="E317" s="153"/>
      <c r="F317" s="153"/>
      <c r="G317" s="153"/>
      <c r="H317" s="153"/>
      <c r="I317" s="153"/>
      <c r="J317" s="155"/>
      <c r="K317" s="154"/>
      <c r="L317" s="155"/>
      <c r="M317" s="155"/>
      <c r="N317" s="155"/>
      <c r="W317" s="152"/>
      <c r="X317" s="153"/>
      <c r="Y317" s="153"/>
      <c r="Z317" s="153"/>
      <c r="AA317" s="155"/>
      <c r="AB317" s="154"/>
      <c r="AC317" s="155"/>
      <c r="AD317" s="155"/>
    </row>
    <row r="318" spans="5:30" x14ac:dyDescent="0.25">
      <c r="E318" s="153"/>
      <c r="F318" s="153"/>
      <c r="G318" s="153"/>
      <c r="H318" s="153"/>
      <c r="I318" s="153"/>
      <c r="J318" s="155"/>
      <c r="K318" s="154"/>
      <c r="L318" s="155"/>
      <c r="M318" s="155"/>
      <c r="N318" s="155"/>
      <c r="W318" s="152"/>
      <c r="X318" s="153"/>
      <c r="Y318" s="153"/>
      <c r="Z318" s="153"/>
      <c r="AA318" s="155"/>
      <c r="AB318" s="154"/>
      <c r="AC318" s="155"/>
      <c r="AD318" s="155"/>
    </row>
    <row r="319" spans="5:30" x14ac:dyDescent="0.25">
      <c r="E319" s="153"/>
      <c r="F319" s="153"/>
      <c r="G319" s="153"/>
      <c r="H319" s="153"/>
      <c r="I319" s="153"/>
      <c r="J319" s="155"/>
      <c r="K319" s="154"/>
      <c r="L319" s="155"/>
      <c r="M319" s="155"/>
      <c r="N319" s="155"/>
      <c r="W319" s="152"/>
      <c r="X319" s="153"/>
      <c r="Y319" s="153"/>
      <c r="Z319" s="153"/>
      <c r="AA319" s="155"/>
      <c r="AB319" s="154"/>
      <c r="AC319" s="155"/>
      <c r="AD319" s="155"/>
    </row>
    <row r="320" spans="5:30" x14ac:dyDescent="0.25">
      <c r="E320" s="153"/>
      <c r="F320" s="153"/>
      <c r="G320" s="153"/>
      <c r="H320" s="153"/>
      <c r="I320" s="153"/>
      <c r="J320" s="155"/>
      <c r="K320" s="154"/>
      <c r="L320" s="155"/>
      <c r="M320" s="155"/>
      <c r="N320" s="155"/>
      <c r="W320" s="152"/>
      <c r="X320" s="153"/>
      <c r="Y320" s="153"/>
      <c r="Z320" s="153"/>
      <c r="AA320" s="155"/>
      <c r="AB320" s="154"/>
      <c r="AC320" s="155"/>
      <c r="AD320" s="155"/>
    </row>
    <row r="321" spans="5:30" x14ac:dyDescent="0.25">
      <c r="E321" s="153"/>
      <c r="F321" s="153"/>
      <c r="G321" s="153"/>
      <c r="H321" s="153"/>
      <c r="I321" s="153"/>
      <c r="J321" s="155"/>
      <c r="K321" s="154"/>
      <c r="L321" s="155"/>
      <c r="M321" s="155"/>
      <c r="N321" s="155"/>
      <c r="W321" s="152"/>
      <c r="X321" s="153"/>
      <c r="Y321" s="153"/>
      <c r="Z321" s="153"/>
      <c r="AA321" s="155"/>
      <c r="AB321" s="154"/>
      <c r="AC321" s="155"/>
      <c r="AD321" s="155"/>
    </row>
    <row r="322" spans="5:30" x14ac:dyDescent="0.25">
      <c r="E322" s="153"/>
      <c r="F322" s="153"/>
      <c r="G322" s="153"/>
      <c r="H322" s="153"/>
      <c r="I322" s="153"/>
      <c r="J322" s="155"/>
      <c r="K322" s="154"/>
      <c r="L322" s="155"/>
      <c r="M322" s="155"/>
      <c r="N322" s="155"/>
      <c r="W322" s="152"/>
      <c r="X322" s="153"/>
      <c r="Y322" s="153"/>
      <c r="Z322" s="153"/>
      <c r="AA322" s="155"/>
      <c r="AB322" s="154"/>
      <c r="AC322" s="155"/>
      <c r="AD322" s="155"/>
    </row>
    <row r="323" spans="5:30" x14ac:dyDescent="0.25">
      <c r="E323" s="153"/>
      <c r="F323" s="153"/>
      <c r="G323" s="153"/>
      <c r="H323" s="153"/>
      <c r="I323" s="153"/>
      <c r="J323" s="155"/>
      <c r="K323" s="154"/>
      <c r="L323" s="155"/>
      <c r="M323" s="155"/>
      <c r="N323" s="155"/>
      <c r="W323" s="152"/>
      <c r="X323" s="153"/>
      <c r="Y323" s="153"/>
      <c r="Z323" s="153"/>
      <c r="AA323" s="155"/>
      <c r="AB323" s="154"/>
      <c r="AC323" s="155"/>
      <c r="AD323" s="155"/>
    </row>
    <row r="324" spans="5:30" x14ac:dyDescent="0.25">
      <c r="E324" s="153"/>
      <c r="F324" s="153"/>
      <c r="G324" s="153"/>
      <c r="H324" s="153"/>
      <c r="I324" s="153"/>
      <c r="J324" s="155"/>
      <c r="K324" s="154"/>
      <c r="L324" s="155"/>
      <c r="M324" s="155"/>
      <c r="N324" s="155"/>
      <c r="W324" s="152"/>
      <c r="X324" s="153"/>
      <c r="Y324" s="153"/>
      <c r="Z324" s="153"/>
      <c r="AA324" s="155"/>
      <c r="AB324" s="154"/>
      <c r="AC324" s="155"/>
      <c r="AD324" s="155"/>
    </row>
    <row r="325" spans="5:30" x14ac:dyDescent="0.25">
      <c r="E325" s="153"/>
      <c r="F325" s="153"/>
      <c r="G325" s="153"/>
      <c r="H325" s="153"/>
      <c r="I325" s="153"/>
      <c r="J325" s="155"/>
      <c r="K325" s="154"/>
      <c r="L325" s="155"/>
      <c r="M325" s="155"/>
      <c r="N325" s="155"/>
      <c r="W325" s="152"/>
      <c r="X325" s="153"/>
      <c r="Y325" s="153"/>
      <c r="Z325" s="153"/>
      <c r="AA325" s="155"/>
      <c r="AB325" s="154"/>
      <c r="AC325" s="155"/>
      <c r="AD325" s="155"/>
    </row>
    <row r="326" spans="5:30" x14ac:dyDescent="0.25">
      <c r="E326" s="153"/>
      <c r="F326" s="153"/>
      <c r="G326" s="153"/>
      <c r="H326" s="153"/>
      <c r="I326" s="153"/>
      <c r="J326" s="155"/>
      <c r="K326" s="154"/>
      <c r="L326" s="155"/>
      <c r="M326" s="155"/>
      <c r="N326" s="155"/>
      <c r="W326" s="152"/>
      <c r="X326" s="153"/>
      <c r="Y326" s="153"/>
      <c r="Z326" s="153"/>
      <c r="AA326" s="155"/>
      <c r="AB326" s="154"/>
      <c r="AC326" s="155"/>
      <c r="AD326" s="155"/>
    </row>
    <row r="327" spans="5:30" x14ac:dyDescent="0.25">
      <c r="E327" s="153"/>
      <c r="F327" s="153"/>
      <c r="G327" s="153"/>
      <c r="H327" s="153"/>
      <c r="I327" s="153"/>
      <c r="J327" s="155"/>
      <c r="K327" s="154"/>
      <c r="L327" s="155"/>
      <c r="M327" s="155"/>
      <c r="N327" s="155"/>
      <c r="W327" s="152"/>
      <c r="X327" s="153"/>
      <c r="Y327" s="153"/>
      <c r="Z327" s="153"/>
      <c r="AA327" s="155"/>
      <c r="AB327" s="154"/>
      <c r="AC327" s="155"/>
      <c r="AD327" s="155"/>
    </row>
    <row r="328" spans="5:30" x14ac:dyDescent="0.25">
      <c r="E328" s="153"/>
      <c r="F328" s="153"/>
      <c r="G328" s="153"/>
      <c r="H328" s="153"/>
      <c r="I328" s="153"/>
      <c r="J328" s="155"/>
      <c r="K328" s="154"/>
      <c r="L328" s="155"/>
      <c r="M328" s="155"/>
      <c r="N328" s="155"/>
      <c r="W328" s="152"/>
      <c r="X328" s="153"/>
      <c r="Y328" s="153"/>
      <c r="Z328" s="153"/>
      <c r="AA328" s="155"/>
      <c r="AB328" s="154"/>
      <c r="AC328" s="155"/>
      <c r="AD328" s="155"/>
    </row>
    <row r="329" spans="5:30" x14ac:dyDescent="0.25">
      <c r="E329" s="153"/>
      <c r="F329" s="153"/>
      <c r="G329" s="153"/>
      <c r="H329" s="153"/>
      <c r="I329" s="153"/>
      <c r="J329" s="155"/>
      <c r="K329" s="154"/>
      <c r="L329" s="155"/>
      <c r="M329" s="155"/>
      <c r="N329" s="155"/>
      <c r="W329" s="152"/>
      <c r="X329" s="153"/>
      <c r="Y329" s="153"/>
      <c r="Z329" s="153"/>
      <c r="AA329" s="155"/>
      <c r="AB329" s="154"/>
      <c r="AC329" s="155"/>
      <c r="AD329" s="155"/>
    </row>
    <row r="330" spans="5:30" x14ac:dyDescent="0.25">
      <c r="E330" s="153"/>
      <c r="F330" s="153"/>
      <c r="G330" s="153"/>
      <c r="H330" s="153"/>
      <c r="I330" s="153"/>
      <c r="J330" s="155"/>
      <c r="K330" s="154"/>
      <c r="L330" s="155"/>
      <c r="M330" s="155"/>
      <c r="N330" s="155"/>
      <c r="W330" s="152"/>
      <c r="X330" s="153"/>
      <c r="Y330" s="153"/>
      <c r="Z330" s="153"/>
      <c r="AA330" s="155"/>
      <c r="AB330" s="154"/>
      <c r="AC330" s="155"/>
      <c r="AD330" s="155"/>
    </row>
    <row r="331" spans="5:30" x14ac:dyDescent="0.25">
      <c r="E331" s="153"/>
      <c r="F331" s="153"/>
      <c r="G331" s="153"/>
      <c r="H331" s="153"/>
      <c r="I331" s="153"/>
      <c r="J331" s="155"/>
      <c r="K331" s="154"/>
      <c r="L331" s="155"/>
      <c r="M331" s="155"/>
      <c r="N331" s="155"/>
      <c r="W331" s="152"/>
      <c r="X331" s="153"/>
      <c r="Y331" s="153"/>
      <c r="Z331" s="153"/>
      <c r="AA331" s="155"/>
      <c r="AB331" s="154"/>
      <c r="AC331" s="155"/>
      <c r="AD331" s="155"/>
    </row>
    <row r="332" spans="5:30" x14ac:dyDescent="0.25">
      <c r="E332" s="153"/>
      <c r="F332" s="153"/>
      <c r="G332" s="153"/>
      <c r="H332" s="153"/>
      <c r="I332" s="153"/>
      <c r="J332" s="155"/>
      <c r="K332" s="154"/>
      <c r="L332" s="155"/>
      <c r="M332" s="155"/>
      <c r="N332" s="155"/>
      <c r="W332" s="152"/>
      <c r="X332" s="153"/>
      <c r="Y332" s="153"/>
      <c r="Z332" s="153"/>
      <c r="AA332" s="155"/>
      <c r="AB332" s="154"/>
      <c r="AC332" s="155"/>
      <c r="AD332" s="155"/>
    </row>
    <row r="333" spans="5:30" x14ac:dyDescent="0.25">
      <c r="E333" s="153"/>
      <c r="F333" s="153"/>
      <c r="G333" s="153"/>
      <c r="H333" s="153"/>
      <c r="I333" s="153"/>
      <c r="J333" s="155"/>
      <c r="K333" s="154"/>
      <c r="L333" s="155"/>
      <c r="M333" s="155"/>
      <c r="N333" s="155"/>
      <c r="W333" s="152"/>
      <c r="X333" s="153"/>
      <c r="Y333" s="153"/>
      <c r="Z333" s="153"/>
      <c r="AA333" s="155"/>
      <c r="AB333" s="154"/>
      <c r="AC333" s="155"/>
      <c r="AD333" s="155"/>
    </row>
    <row r="334" spans="5:30" x14ac:dyDescent="0.25">
      <c r="E334" s="153"/>
      <c r="F334" s="153"/>
      <c r="G334" s="153"/>
      <c r="H334" s="153"/>
      <c r="I334" s="153"/>
      <c r="J334" s="155"/>
      <c r="K334" s="154"/>
      <c r="L334" s="155"/>
      <c r="M334" s="155"/>
      <c r="N334" s="155"/>
      <c r="W334" s="152"/>
      <c r="X334" s="153"/>
      <c r="Y334" s="153"/>
      <c r="Z334" s="153"/>
      <c r="AA334" s="155"/>
      <c r="AB334" s="154"/>
      <c r="AC334" s="155"/>
      <c r="AD334" s="155"/>
    </row>
    <row r="335" spans="5:30" x14ac:dyDescent="0.25">
      <c r="E335" s="153"/>
      <c r="F335" s="153"/>
      <c r="G335" s="153"/>
      <c r="H335" s="153"/>
      <c r="I335" s="153"/>
      <c r="J335" s="155"/>
      <c r="K335" s="154"/>
      <c r="L335" s="155"/>
      <c r="M335" s="155"/>
      <c r="N335" s="155"/>
      <c r="W335" s="152"/>
      <c r="X335" s="153"/>
      <c r="Y335" s="153"/>
      <c r="Z335" s="153"/>
      <c r="AA335" s="155"/>
      <c r="AB335" s="154"/>
      <c r="AC335" s="155"/>
      <c r="AD335" s="155"/>
    </row>
    <row r="336" spans="5:30" x14ac:dyDescent="0.25">
      <c r="E336" s="153"/>
      <c r="F336" s="153"/>
      <c r="G336" s="153"/>
      <c r="H336" s="153"/>
      <c r="I336" s="153"/>
      <c r="J336" s="155"/>
      <c r="K336" s="154"/>
      <c r="L336" s="155"/>
      <c r="M336" s="155"/>
      <c r="N336" s="155"/>
      <c r="W336" s="152"/>
      <c r="X336" s="153"/>
      <c r="Y336" s="153"/>
      <c r="Z336" s="153"/>
      <c r="AA336" s="155"/>
      <c r="AB336" s="154"/>
      <c r="AC336" s="155"/>
      <c r="AD336" s="155"/>
    </row>
    <row r="337" spans="5:30" x14ac:dyDescent="0.25">
      <c r="E337" s="153"/>
      <c r="F337" s="153"/>
      <c r="G337" s="153"/>
      <c r="H337" s="153"/>
      <c r="I337" s="153"/>
      <c r="J337" s="155"/>
      <c r="K337" s="154"/>
      <c r="L337" s="155"/>
      <c r="M337" s="155"/>
      <c r="N337" s="155"/>
      <c r="W337" s="152"/>
      <c r="X337" s="153"/>
      <c r="Y337" s="153"/>
      <c r="Z337" s="153"/>
      <c r="AA337" s="155"/>
      <c r="AB337" s="154"/>
      <c r="AC337" s="155"/>
      <c r="AD337" s="155"/>
    </row>
    <row r="338" spans="5:30" x14ac:dyDescent="0.25">
      <c r="E338" s="153"/>
      <c r="F338" s="153"/>
      <c r="G338" s="153"/>
      <c r="H338" s="153"/>
      <c r="I338" s="153"/>
      <c r="J338" s="155"/>
      <c r="K338" s="154"/>
      <c r="L338" s="155"/>
      <c r="M338" s="155"/>
      <c r="N338" s="155"/>
      <c r="W338" s="152"/>
      <c r="X338" s="153"/>
      <c r="Y338" s="153"/>
      <c r="Z338" s="153"/>
      <c r="AA338" s="155"/>
      <c r="AB338" s="154"/>
      <c r="AC338" s="155"/>
      <c r="AD338" s="155"/>
    </row>
    <row r="339" spans="5:30" x14ac:dyDescent="0.25">
      <c r="E339" s="153"/>
      <c r="F339" s="153"/>
      <c r="G339" s="153"/>
      <c r="H339" s="153"/>
      <c r="I339" s="153"/>
      <c r="J339" s="155"/>
      <c r="K339" s="154"/>
      <c r="L339" s="155"/>
      <c r="M339" s="155"/>
      <c r="N339" s="155"/>
      <c r="W339" s="152"/>
      <c r="X339" s="153"/>
      <c r="Y339" s="153"/>
      <c r="Z339" s="153"/>
      <c r="AA339" s="155"/>
      <c r="AB339" s="154"/>
      <c r="AC339" s="155"/>
      <c r="AD339" s="155"/>
    </row>
    <row r="340" spans="5:30" x14ac:dyDescent="0.25">
      <c r="E340" s="153"/>
      <c r="F340" s="153"/>
      <c r="G340" s="153"/>
      <c r="H340" s="153"/>
      <c r="I340" s="153"/>
      <c r="J340" s="155"/>
      <c r="K340" s="154"/>
      <c r="L340" s="155"/>
      <c r="M340" s="155"/>
      <c r="N340" s="155"/>
      <c r="W340" s="152"/>
      <c r="X340" s="153"/>
      <c r="Y340" s="153"/>
      <c r="Z340" s="153"/>
      <c r="AA340" s="155"/>
      <c r="AB340" s="154"/>
      <c r="AC340" s="155"/>
      <c r="AD340" s="155"/>
    </row>
    <row r="341" spans="5:30" x14ac:dyDescent="0.25">
      <c r="E341" s="153"/>
      <c r="F341" s="153"/>
      <c r="G341" s="153"/>
      <c r="H341" s="153"/>
      <c r="I341" s="153"/>
      <c r="J341" s="155"/>
      <c r="K341" s="154"/>
      <c r="L341" s="155"/>
      <c r="M341" s="155"/>
      <c r="N341" s="155"/>
      <c r="W341" s="152"/>
      <c r="X341" s="153"/>
      <c r="Y341" s="153"/>
      <c r="Z341" s="153"/>
      <c r="AA341" s="155"/>
      <c r="AB341" s="154"/>
      <c r="AC341" s="155"/>
      <c r="AD341" s="155"/>
    </row>
    <row r="342" spans="5:30" x14ac:dyDescent="0.25">
      <c r="E342" s="153"/>
      <c r="F342" s="153"/>
      <c r="G342" s="153"/>
      <c r="H342" s="153"/>
      <c r="I342" s="153"/>
      <c r="J342" s="155"/>
      <c r="K342" s="154"/>
      <c r="L342" s="155"/>
      <c r="M342" s="155"/>
      <c r="N342" s="155"/>
      <c r="W342" s="152"/>
      <c r="X342" s="153"/>
      <c r="Y342" s="153"/>
      <c r="Z342" s="153"/>
      <c r="AA342" s="155"/>
      <c r="AB342" s="154"/>
      <c r="AC342" s="155"/>
      <c r="AD342" s="155"/>
    </row>
    <row r="343" spans="5:30" x14ac:dyDescent="0.25">
      <c r="E343" s="153"/>
      <c r="F343" s="153"/>
      <c r="G343" s="153"/>
      <c r="H343" s="153"/>
      <c r="I343" s="153"/>
      <c r="J343" s="155"/>
      <c r="K343" s="154"/>
      <c r="L343" s="155"/>
      <c r="M343" s="155"/>
      <c r="N343" s="155"/>
      <c r="W343" s="152"/>
      <c r="X343" s="153"/>
      <c r="Y343" s="153"/>
      <c r="Z343" s="153"/>
      <c r="AA343" s="155"/>
      <c r="AB343" s="154"/>
      <c r="AC343" s="155"/>
      <c r="AD343" s="155"/>
    </row>
    <row r="344" spans="5:30" x14ac:dyDescent="0.25">
      <c r="E344" s="153"/>
      <c r="F344" s="153"/>
      <c r="G344" s="153"/>
      <c r="H344" s="153"/>
      <c r="I344" s="153"/>
      <c r="J344" s="155"/>
      <c r="K344" s="154"/>
      <c r="L344" s="155"/>
      <c r="M344" s="155"/>
      <c r="N344" s="155"/>
      <c r="W344" s="152"/>
      <c r="X344" s="153"/>
      <c r="Y344" s="153"/>
      <c r="Z344" s="153"/>
      <c r="AA344" s="155"/>
      <c r="AB344" s="154"/>
      <c r="AC344" s="155"/>
      <c r="AD344" s="155"/>
    </row>
    <row r="345" spans="5:30" x14ac:dyDescent="0.25">
      <c r="E345" s="153"/>
      <c r="F345" s="153"/>
      <c r="G345" s="153"/>
      <c r="H345" s="153"/>
      <c r="I345" s="153"/>
      <c r="J345" s="155"/>
      <c r="K345" s="154"/>
      <c r="L345" s="155"/>
      <c r="M345" s="155"/>
      <c r="N345" s="155"/>
      <c r="W345" s="152"/>
      <c r="X345" s="153"/>
      <c r="Y345" s="153"/>
      <c r="Z345" s="153"/>
      <c r="AA345" s="155"/>
      <c r="AB345" s="154"/>
      <c r="AC345" s="155"/>
      <c r="AD345" s="155"/>
    </row>
    <row r="346" spans="5:30" x14ac:dyDescent="0.25">
      <c r="E346" s="153"/>
      <c r="F346" s="153"/>
      <c r="G346" s="153"/>
      <c r="H346" s="153"/>
      <c r="I346" s="153"/>
      <c r="J346" s="155"/>
      <c r="K346" s="154"/>
      <c r="L346" s="155"/>
      <c r="M346" s="155"/>
      <c r="N346" s="155"/>
      <c r="W346" s="152"/>
      <c r="X346" s="153"/>
      <c r="Y346" s="153"/>
      <c r="Z346" s="153"/>
      <c r="AA346" s="155"/>
      <c r="AB346" s="154"/>
      <c r="AC346" s="155"/>
      <c r="AD346" s="155"/>
    </row>
    <row r="347" spans="5:30" x14ac:dyDescent="0.25">
      <c r="E347" s="153"/>
      <c r="F347" s="153"/>
      <c r="G347" s="153"/>
      <c r="H347" s="153"/>
      <c r="I347" s="153"/>
      <c r="J347" s="155"/>
      <c r="K347" s="154"/>
      <c r="L347" s="155"/>
      <c r="M347" s="155"/>
      <c r="N347" s="155"/>
      <c r="W347" s="152"/>
      <c r="X347" s="153"/>
      <c r="Y347" s="153"/>
      <c r="Z347" s="153"/>
      <c r="AA347" s="155"/>
      <c r="AB347" s="154"/>
      <c r="AC347" s="155"/>
      <c r="AD347" s="155"/>
    </row>
    <row r="348" spans="5:30" x14ac:dyDescent="0.25">
      <c r="E348" s="153"/>
      <c r="F348" s="153"/>
      <c r="G348" s="153"/>
      <c r="H348" s="153"/>
      <c r="I348" s="153"/>
      <c r="J348" s="155"/>
      <c r="K348" s="154"/>
      <c r="L348" s="155"/>
      <c r="M348" s="155"/>
      <c r="N348" s="155"/>
      <c r="W348" s="152"/>
      <c r="X348" s="153"/>
      <c r="Y348" s="153"/>
      <c r="Z348" s="153"/>
      <c r="AA348" s="155"/>
      <c r="AB348" s="154"/>
      <c r="AC348" s="155"/>
      <c r="AD348" s="155"/>
    </row>
    <row r="349" spans="5:30" x14ac:dyDescent="0.25">
      <c r="E349" s="153"/>
      <c r="F349" s="153"/>
      <c r="G349" s="153"/>
      <c r="H349" s="153"/>
      <c r="I349" s="153"/>
      <c r="J349" s="155"/>
      <c r="K349" s="154"/>
      <c r="L349" s="155"/>
      <c r="M349" s="155"/>
      <c r="N349" s="155"/>
      <c r="W349" s="152"/>
      <c r="X349" s="153"/>
      <c r="Y349" s="153"/>
      <c r="Z349" s="153"/>
      <c r="AA349" s="155"/>
      <c r="AB349" s="154"/>
      <c r="AC349" s="155"/>
      <c r="AD349" s="155"/>
    </row>
    <row r="350" spans="5:30" x14ac:dyDescent="0.25">
      <c r="E350" s="153"/>
      <c r="F350" s="153"/>
      <c r="G350" s="153"/>
      <c r="H350" s="153"/>
      <c r="I350" s="153"/>
      <c r="J350" s="155"/>
      <c r="K350" s="154"/>
      <c r="L350" s="155"/>
      <c r="M350" s="155"/>
      <c r="N350" s="155"/>
      <c r="W350" s="152"/>
      <c r="X350" s="153"/>
      <c r="Y350" s="153"/>
      <c r="Z350" s="153"/>
      <c r="AA350" s="155"/>
      <c r="AB350" s="154"/>
      <c r="AC350" s="155"/>
      <c r="AD350" s="155"/>
    </row>
    <row r="351" spans="5:30" x14ac:dyDescent="0.25">
      <c r="E351" s="153"/>
      <c r="F351" s="153"/>
      <c r="G351" s="153"/>
      <c r="H351" s="153"/>
      <c r="I351" s="153"/>
      <c r="J351" s="155"/>
      <c r="K351" s="154"/>
      <c r="L351" s="155"/>
      <c r="M351" s="155"/>
      <c r="N351" s="155"/>
      <c r="W351" s="152"/>
      <c r="X351" s="153"/>
      <c r="Y351" s="153"/>
      <c r="Z351" s="153"/>
      <c r="AA351" s="155"/>
      <c r="AB351" s="154"/>
      <c r="AC351" s="155"/>
      <c r="AD351" s="155"/>
    </row>
    <row r="352" spans="5:30" x14ac:dyDescent="0.25">
      <c r="E352" s="153"/>
      <c r="F352" s="153"/>
      <c r="G352" s="153"/>
      <c r="H352" s="153"/>
      <c r="I352" s="153"/>
      <c r="J352" s="155"/>
      <c r="K352" s="154"/>
      <c r="L352" s="155"/>
      <c r="M352" s="155"/>
      <c r="N352" s="155"/>
      <c r="W352" s="152"/>
      <c r="X352" s="153"/>
      <c r="Y352" s="153"/>
      <c r="Z352" s="153"/>
      <c r="AA352" s="155"/>
      <c r="AB352" s="154"/>
      <c r="AC352" s="155"/>
      <c r="AD352" s="155"/>
    </row>
    <row r="353" spans="5:30" x14ac:dyDescent="0.25">
      <c r="E353" s="153"/>
      <c r="F353" s="153"/>
      <c r="G353" s="153"/>
      <c r="H353" s="153"/>
      <c r="I353" s="153"/>
      <c r="J353" s="155"/>
      <c r="K353" s="154"/>
      <c r="L353" s="155"/>
      <c r="M353" s="155"/>
      <c r="N353" s="155"/>
      <c r="W353" s="152"/>
      <c r="X353" s="153"/>
      <c r="Y353" s="153"/>
      <c r="Z353" s="153"/>
      <c r="AA353" s="155"/>
      <c r="AB353" s="154"/>
      <c r="AC353" s="155"/>
      <c r="AD353" s="155"/>
    </row>
    <row r="354" spans="5:30" x14ac:dyDescent="0.25">
      <c r="E354" s="153"/>
      <c r="F354" s="153"/>
      <c r="G354" s="153"/>
      <c r="H354" s="153"/>
      <c r="I354" s="153"/>
      <c r="J354" s="155"/>
      <c r="K354" s="154"/>
      <c r="L354" s="155"/>
      <c r="M354" s="155"/>
      <c r="N354" s="155"/>
      <c r="W354" s="152"/>
      <c r="X354" s="153"/>
      <c r="Y354" s="153"/>
      <c r="Z354" s="153"/>
      <c r="AA354" s="155"/>
      <c r="AB354" s="154"/>
      <c r="AC354" s="155"/>
      <c r="AD354" s="155"/>
    </row>
    <row r="355" spans="5:30" x14ac:dyDescent="0.25">
      <c r="E355" s="153"/>
      <c r="F355" s="153"/>
      <c r="G355" s="153"/>
      <c r="H355" s="153"/>
      <c r="I355" s="153"/>
      <c r="J355" s="155"/>
      <c r="K355" s="154"/>
      <c r="L355" s="155"/>
      <c r="M355" s="155"/>
      <c r="N355" s="155"/>
      <c r="W355" s="152"/>
      <c r="X355" s="153"/>
      <c r="Y355" s="153"/>
      <c r="Z355" s="153"/>
      <c r="AA355" s="155"/>
      <c r="AB355" s="154"/>
      <c r="AC355" s="155"/>
      <c r="AD355" s="155"/>
    </row>
    <row r="356" spans="5:30" x14ac:dyDescent="0.25">
      <c r="E356" s="153"/>
      <c r="F356" s="153"/>
      <c r="G356" s="153"/>
      <c r="H356" s="153"/>
      <c r="I356" s="153"/>
      <c r="J356" s="155"/>
      <c r="K356" s="154"/>
      <c r="L356" s="155"/>
      <c r="M356" s="155"/>
      <c r="N356" s="155"/>
      <c r="W356" s="152"/>
      <c r="X356" s="153"/>
      <c r="Y356" s="153"/>
      <c r="Z356" s="153"/>
      <c r="AA356" s="155"/>
      <c r="AB356" s="154"/>
      <c r="AC356" s="155"/>
      <c r="AD356" s="155"/>
    </row>
    <row r="357" spans="5:30" x14ac:dyDescent="0.25">
      <c r="E357" s="153"/>
      <c r="F357" s="153"/>
      <c r="G357" s="153"/>
      <c r="H357" s="153"/>
      <c r="I357" s="153"/>
      <c r="J357" s="155"/>
      <c r="K357" s="154"/>
      <c r="L357" s="155"/>
      <c r="M357" s="155"/>
      <c r="N357" s="155"/>
      <c r="W357" s="152"/>
      <c r="X357" s="153"/>
      <c r="Y357" s="153"/>
      <c r="Z357" s="153"/>
      <c r="AA357" s="155"/>
      <c r="AB357" s="154"/>
      <c r="AC357" s="155"/>
      <c r="AD357" s="155"/>
    </row>
    <row r="358" spans="5:30" x14ac:dyDescent="0.25">
      <c r="E358" s="153"/>
      <c r="F358" s="153"/>
      <c r="G358" s="153"/>
      <c r="H358" s="153"/>
      <c r="I358" s="153"/>
      <c r="J358" s="155"/>
      <c r="K358" s="154"/>
      <c r="L358" s="155"/>
      <c r="M358" s="155"/>
      <c r="N358" s="155"/>
      <c r="W358" s="152"/>
      <c r="X358" s="153"/>
      <c r="Y358" s="153"/>
      <c r="Z358" s="153"/>
      <c r="AA358" s="155"/>
      <c r="AB358" s="154"/>
      <c r="AC358" s="155"/>
      <c r="AD358" s="155"/>
    </row>
    <row r="359" spans="5:30" x14ac:dyDescent="0.25">
      <c r="E359" s="153"/>
      <c r="F359" s="153"/>
      <c r="G359" s="153"/>
      <c r="H359" s="153"/>
      <c r="I359" s="153"/>
      <c r="J359" s="155"/>
      <c r="K359" s="154"/>
      <c r="L359" s="155"/>
      <c r="M359" s="155"/>
      <c r="N359" s="155"/>
      <c r="W359" s="152"/>
      <c r="X359" s="153"/>
      <c r="Y359" s="153"/>
      <c r="Z359" s="153"/>
      <c r="AA359" s="155"/>
      <c r="AB359" s="154"/>
      <c r="AC359" s="155"/>
      <c r="AD359" s="155"/>
    </row>
    <row r="360" spans="5:30" x14ac:dyDescent="0.25">
      <c r="E360" s="153"/>
      <c r="F360" s="153"/>
      <c r="G360" s="153"/>
      <c r="H360" s="153"/>
      <c r="I360" s="153"/>
      <c r="J360" s="155"/>
      <c r="K360" s="154"/>
      <c r="L360" s="155"/>
      <c r="M360" s="155"/>
      <c r="N360" s="155"/>
      <c r="W360" s="152"/>
      <c r="X360" s="153"/>
      <c r="Y360" s="153"/>
      <c r="Z360" s="153"/>
      <c r="AA360" s="155"/>
      <c r="AB360" s="154"/>
      <c r="AC360" s="155"/>
      <c r="AD360" s="155"/>
    </row>
    <row r="361" spans="5:30" x14ac:dyDescent="0.25">
      <c r="E361" s="153"/>
      <c r="F361" s="153"/>
      <c r="G361" s="153"/>
      <c r="H361" s="153"/>
      <c r="I361" s="153"/>
      <c r="J361" s="155"/>
      <c r="K361" s="154"/>
      <c r="L361" s="155"/>
      <c r="M361" s="155"/>
      <c r="N361" s="155"/>
      <c r="W361" s="152"/>
      <c r="X361" s="153"/>
      <c r="Y361" s="153"/>
      <c r="Z361" s="153"/>
      <c r="AA361" s="155"/>
      <c r="AB361" s="154"/>
      <c r="AC361" s="155"/>
      <c r="AD361" s="155"/>
    </row>
    <row r="362" spans="5:30" x14ac:dyDescent="0.25">
      <c r="E362" s="153"/>
      <c r="F362" s="153"/>
      <c r="G362" s="153"/>
      <c r="H362" s="153"/>
      <c r="I362" s="153"/>
      <c r="J362" s="155"/>
      <c r="K362" s="154"/>
      <c r="L362" s="155"/>
      <c r="M362" s="155"/>
      <c r="N362" s="155"/>
      <c r="W362" s="152"/>
      <c r="X362" s="153"/>
      <c r="Y362" s="153"/>
      <c r="Z362" s="153"/>
      <c r="AA362" s="155"/>
      <c r="AB362" s="154"/>
      <c r="AC362" s="155"/>
      <c r="AD362" s="155"/>
    </row>
    <row r="363" spans="5:30" x14ac:dyDescent="0.25">
      <c r="E363" s="153"/>
      <c r="F363" s="153"/>
      <c r="G363" s="153"/>
      <c r="H363" s="153"/>
      <c r="I363" s="153"/>
      <c r="J363" s="155"/>
      <c r="K363" s="154"/>
      <c r="L363" s="155"/>
      <c r="M363" s="155"/>
      <c r="N363" s="155"/>
      <c r="W363" s="152"/>
      <c r="X363" s="153"/>
      <c r="Y363" s="153"/>
      <c r="Z363" s="153"/>
      <c r="AA363" s="155"/>
      <c r="AB363" s="154"/>
      <c r="AC363" s="155"/>
      <c r="AD363" s="155"/>
    </row>
    <row r="364" spans="5:30" x14ac:dyDescent="0.25">
      <c r="E364" s="153"/>
      <c r="F364" s="153"/>
      <c r="G364" s="153"/>
      <c r="H364" s="153"/>
      <c r="I364" s="153"/>
      <c r="J364" s="155"/>
      <c r="K364" s="154"/>
      <c r="L364" s="155"/>
      <c r="M364" s="155"/>
      <c r="N364" s="155"/>
      <c r="W364" s="152"/>
      <c r="X364" s="153"/>
      <c r="Y364" s="153"/>
      <c r="Z364" s="153"/>
      <c r="AA364" s="155"/>
      <c r="AB364" s="154"/>
      <c r="AC364" s="155"/>
      <c r="AD364" s="155"/>
    </row>
    <row r="365" spans="5:30" x14ac:dyDescent="0.25">
      <c r="E365" s="153"/>
      <c r="F365" s="153"/>
      <c r="G365" s="153"/>
      <c r="H365" s="153"/>
      <c r="I365" s="153"/>
      <c r="J365" s="155"/>
      <c r="K365" s="154"/>
      <c r="L365" s="155"/>
      <c r="M365" s="155"/>
      <c r="N365" s="155"/>
      <c r="W365" s="152"/>
      <c r="X365" s="153"/>
      <c r="Y365" s="153"/>
      <c r="Z365" s="153"/>
      <c r="AA365" s="155"/>
      <c r="AB365" s="154"/>
      <c r="AC365" s="155"/>
      <c r="AD365" s="155"/>
    </row>
    <row r="366" spans="5:30" x14ac:dyDescent="0.25">
      <c r="E366" s="153"/>
      <c r="F366" s="153"/>
      <c r="G366" s="153"/>
      <c r="H366" s="153"/>
      <c r="I366" s="153"/>
      <c r="J366" s="155"/>
      <c r="K366" s="154"/>
      <c r="L366" s="155"/>
      <c r="M366" s="155"/>
      <c r="N366" s="155"/>
      <c r="W366" s="152"/>
      <c r="X366" s="153"/>
      <c r="Y366" s="153"/>
      <c r="Z366" s="153"/>
      <c r="AA366" s="155"/>
      <c r="AB366" s="154"/>
      <c r="AC366" s="155"/>
      <c r="AD366" s="155"/>
    </row>
    <row r="367" spans="5:30" x14ac:dyDescent="0.25">
      <c r="E367" s="153"/>
      <c r="F367" s="153"/>
      <c r="G367" s="153"/>
      <c r="H367" s="153"/>
      <c r="I367" s="153"/>
      <c r="J367" s="155"/>
      <c r="K367" s="154"/>
      <c r="L367" s="155"/>
      <c r="M367" s="155"/>
      <c r="N367" s="155"/>
      <c r="W367" s="152"/>
      <c r="X367" s="153"/>
      <c r="Y367" s="153"/>
      <c r="Z367" s="153"/>
      <c r="AA367" s="155"/>
      <c r="AB367" s="154"/>
      <c r="AC367" s="155"/>
      <c r="AD367" s="155"/>
    </row>
    <row r="368" spans="5:30" x14ac:dyDescent="0.25">
      <c r="E368" s="153"/>
      <c r="F368" s="153"/>
      <c r="G368" s="153"/>
      <c r="H368" s="153"/>
      <c r="I368" s="153"/>
      <c r="J368" s="155"/>
      <c r="K368" s="154"/>
      <c r="L368" s="155"/>
      <c r="M368" s="155"/>
      <c r="N368" s="155"/>
      <c r="W368" s="152"/>
      <c r="X368" s="153"/>
      <c r="Y368" s="153"/>
      <c r="Z368" s="153"/>
      <c r="AA368" s="155"/>
      <c r="AB368" s="154"/>
      <c r="AC368" s="155"/>
      <c r="AD368" s="155"/>
    </row>
    <row r="369" spans="5:30" x14ac:dyDescent="0.25">
      <c r="E369" s="153"/>
      <c r="F369" s="153"/>
      <c r="G369" s="153"/>
      <c r="H369" s="153"/>
      <c r="I369" s="153"/>
      <c r="J369" s="155"/>
      <c r="K369" s="154"/>
      <c r="L369" s="155"/>
      <c r="M369" s="155"/>
      <c r="N369" s="155"/>
      <c r="W369" s="152"/>
      <c r="X369" s="153"/>
      <c r="Y369" s="153"/>
      <c r="Z369" s="153"/>
      <c r="AA369" s="155"/>
      <c r="AB369" s="154"/>
      <c r="AC369" s="155"/>
      <c r="AD369" s="155"/>
    </row>
    <row r="370" spans="5:30" x14ac:dyDescent="0.25">
      <c r="E370" s="153"/>
      <c r="F370" s="153"/>
      <c r="G370" s="153"/>
      <c r="H370" s="153"/>
      <c r="I370" s="153"/>
      <c r="J370" s="155"/>
      <c r="K370" s="154"/>
      <c r="L370" s="155"/>
      <c r="M370" s="155"/>
      <c r="N370" s="155"/>
      <c r="W370" s="152"/>
      <c r="X370" s="153"/>
      <c r="Y370" s="153"/>
      <c r="Z370" s="153"/>
      <c r="AA370" s="155"/>
      <c r="AB370" s="154"/>
      <c r="AC370" s="155"/>
      <c r="AD370" s="155"/>
    </row>
    <row r="371" spans="5:30" x14ac:dyDescent="0.25">
      <c r="E371" s="153"/>
      <c r="F371" s="153"/>
      <c r="G371" s="153"/>
      <c r="H371" s="153"/>
      <c r="I371" s="153"/>
      <c r="J371" s="155"/>
      <c r="K371" s="154"/>
      <c r="L371" s="155"/>
      <c r="M371" s="155"/>
      <c r="N371" s="155"/>
      <c r="W371" s="152"/>
      <c r="X371" s="153"/>
      <c r="Y371" s="153"/>
      <c r="Z371" s="153"/>
      <c r="AA371" s="155"/>
      <c r="AB371" s="154"/>
      <c r="AC371" s="155"/>
      <c r="AD371" s="155"/>
    </row>
    <row r="372" spans="5:30" x14ac:dyDescent="0.25">
      <c r="E372" s="153"/>
      <c r="F372" s="153"/>
      <c r="G372" s="153"/>
      <c r="H372" s="153"/>
      <c r="I372" s="153"/>
      <c r="J372" s="155"/>
      <c r="K372" s="154"/>
      <c r="L372" s="155"/>
      <c r="M372" s="155"/>
      <c r="N372" s="155"/>
      <c r="W372" s="152"/>
      <c r="X372" s="153"/>
      <c r="Y372" s="153"/>
      <c r="Z372" s="153"/>
      <c r="AA372" s="155"/>
      <c r="AB372" s="154"/>
      <c r="AC372" s="155"/>
      <c r="AD372" s="155"/>
    </row>
    <row r="373" spans="5:30" x14ac:dyDescent="0.25">
      <c r="E373" s="153"/>
      <c r="F373" s="153"/>
      <c r="G373" s="153"/>
      <c r="H373" s="153"/>
      <c r="I373" s="153"/>
      <c r="J373" s="155"/>
      <c r="K373" s="154"/>
      <c r="L373" s="155"/>
      <c r="M373" s="155"/>
      <c r="N373" s="155"/>
      <c r="W373" s="152"/>
      <c r="X373" s="153"/>
      <c r="Y373" s="153"/>
      <c r="Z373" s="153"/>
      <c r="AA373" s="155"/>
      <c r="AB373" s="154"/>
      <c r="AC373" s="155"/>
      <c r="AD373" s="155"/>
    </row>
    <row r="374" spans="5:30" x14ac:dyDescent="0.25">
      <c r="E374" s="153"/>
      <c r="F374" s="153"/>
      <c r="G374" s="153"/>
      <c r="H374" s="153"/>
      <c r="I374" s="153"/>
      <c r="J374" s="155"/>
      <c r="K374" s="154"/>
      <c r="L374" s="155"/>
      <c r="M374" s="155"/>
      <c r="N374" s="155"/>
      <c r="W374" s="152"/>
      <c r="X374" s="153"/>
      <c r="Y374" s="153"/>
      <c r="Z374" s="153"/>
      <c r="AA374" s="155"/>
      <c r="AB374" s="154"/>
      <c r="AC374" s="155"/>
      <c r="AD374" s="155"/>
    </row>
    <row r="375" spans="5:30" x14ac:dyDescent="0.25">
      <c r="E375" s="153"/>
      <c r="F375" s="153"/>
      <c r="G375" s="153"/>
      <c r="H375" s="153"/>
      <c r="I375" s="153"/>
      <c r="J375" s="155"/>
      <c r="K375" s="154"/>
      <c r="L375" s="155"/>
      <c r="M375" s="155"/>
      <c r="N375" s="155"/>
      <c r="W375" s="152"/>
      <c r="X375" s="153"/>
      <c r="Y375" s="153"/>
      <c r="Z375" s="153"/>
      <c r="AA375" s="155"/>
      <c r="AB375" s="154"/>
      <c r="AC375" s="155"/>
      <c r="AD375" s="155"/>
    </row>
    <row r="376" spans="5:30" x14ac:dyDescent="0.25">
      <c r="E376" s="153"/>
      <c r="F376" s="153"/>
      <c r="G376" s="153"/>
      <c r="H376" s="153"/>
      <c r="I376" s="153"/>
      <c r="J376" s="155"/>
      <c r="K376" s="154"/>
      <c r="L376" s="155"/>
      <c r="M376" s="155"/>
      <c r="N376" s="155"/>
      <c r="W376" s="152"/>
      <c r="X376" s="153"/>
      <c r="Y376" s="153"/>
      <c r="Z376" s="153"/>
      <c r="AA376" s="155"/>
      <c r="AB376" s="154"/>
      <c r="AC376" s="155"/>
      <c r="AD376" s="155"/>
    </row>
    <row r="377" spans="5:30" x14ac:dyDescent="0.25">
      <c r="E377" s="153"/>
      <c r="F377" s="153"/>
      <c r="G377" s="153"/>
      <c r="H377" s="153"/>
      <c r="I377" s="153"/>
      <c r="J377" s="155"/>
      <c r="K377" s="154"/>
      <c r="L377" s="155"/>
      <c r="M377" s="155"/>
      <c r="N377" s="155"/>
      <c r="W377" s="152"/>
      <c r="X377" s="153"/>
      <c r="Y377" s="153"/>
      <c r="Z377" s="153"/>
      <c r="AA377" s="155"/>
      <c r="AB377" s="154"/>
      <c r="AC377" s="155"/>
      <c r="AD377" s="155"/>
    </row>
    <row r="378" spans="5:30" x14ac:dyDescent="0.25">
      <c r="E378" s="153"/>
      <c r="F378" s="153"/>
      <c r="G378" s="153"/>
      <c r="H378" s="153"/>
      <c r="I378" s="153"/>
      <c r="J378" s="155"/>
      <c r="K378" s="154"/>
      <c r="L378" s="155"/>
      <c r="M378" s="155"/>
      <c r="N378" s="155"/>
      <c r="W378" s="152"/>
      <c r="X378" s="153"/>
      <c r="Y378" s="153"/>
      <c r="Z378" s="153"/>
      <c r="AA378" s="155"/>
      <c r="AB378" s="154"/>
      <c r="AC378" s="155"/>
      <c r="AD378" s="155"/>
    </row>
    <row r="379" spans="5:30" x14ac:dyDescent="0.25">
      <c r="E379" s="153"/>
      <c r="F379" s="153"/>
      <c r="G379" s="153"/>
      <c r="H379" s="153"/>
      <c r="I379" s="153"/>
      <c r="J379" s="155"/>
      <c r="K379" s="154"/>
      <c r="L379" s="155"/>
      <c r="M379" s="155"/>
      <c r="N379" s="155"/>
      <c r="W379" s="152"/>
      <c r="X379" s="153"/>
      <c r="Y379" s="153"/>
      <c r="Z379" s="153"/>
      <c r="AA379" s="155"/>
      <c r="AB379" s="154"/>
      <c r="AC379" s="155"/>
      <c r="AD379" s="155"/>
    </row>
    <row r="380" spans="5:30" x14ac:dyDescent="0.25">
      <c r="E380" s="153"/>
      <c r="F380" s="153"/>
      <c r="G380" s="153"/>
      <c r="H380" s="153"/>
      <c r="I380" s="153"/>
      <c r="J380" s="155"/>
      <c r="K380" s="154"/>
      <c r="L380" s="155"/>
      <c r="M380" s="155"/>
      <c r="N380" s="155"/>
      <c r="W380" s="152"/>
      <c r="X380" s="153"/>
      <c r="Y380" s="153"/>
      <c r="Z380" s="153"/>
      <c r="AA380" s="155"/>
      <c r="AB380" s="154"/>
      <c r="AC380" s="155"/>
      <c r="AD380" s="155"/>
    </row>
    <row r="381" spans="5:30" x14ac:dyDescent="0.25">
      <c r="E381" s="153"/>
      <c r="F381" s="153"/>
      <c r="G381" s="153"/>
      <c r="H381" s="153"/>
      <c r="I381" s="153"/>
      <c r="J381" s="155"/>
      <c r="K381" s="154"/>
      <c r="L381" s="155"/>
      <c r="M381" s="155"/>
      <c r="N381" s="155"/>
      <c r="W381" s="152"/>
      <c r="X381" s="153"/>
      <c r="Y381" s="153"/>
      <c r="Z381" s="153"/>
      <c r="AA381" s="155"/>
      <c r="AB381" s="154"/>
      <c r="AC381" s="155"/>
      <c r="AD381" s="155"/>
    </row>
    <row r="382" spans="5:30" x14ac:dyDescent="0.25">
      <c r="E382" s="153"/>
      <c r="F382" s="153"/>
      <c r="G382" s="153"/>
      <c r="H382" s="153"/>
      <c r="I382" s="153"/>
      <c r="J382" s="155"/>
      <c r="K382" s="154"/>
      <c r="L382" s="155"/>
      <c r="M382" s="155"/>
      <c r="N382" s="155"/>
      <c r="W382" s="152"/>
      <c r="X382" s="153"/>
      <c r="Y382" s="153"/>
      <c r="Z382" s="153"/>
      <c r="AA382" s="155"/>
      <c r="AB382" s="154"/>
      <c r="AC382" s="155"/>
      <c r="AD382" s="155"/>
    </row>
    <row r="383" spans="5:30" x14ac:dyDescent="0.25">
      <c r="E383" s="153"/>
      <c r="F383" s="153"/>
      <c r="G383" s="153"/>
      <c r="H383" s="153"/>
      <c r="I383" s="153"/>
      <c r="J383" s="155"/>
      <c r="K383" s="154"/>
      <c r="L383" s="155"/>
      <c r="M383" s="155"/>
      <c r="N383" s="155"/>
      <c r="W383" s="152"/>
      <c r="X383" s="153"/>
      <c r="Y383" s="153"/>
      <c r="Z383" s="153"/>
      <c r="AA383" s="155"/>
      <c r="AB383" s="154"/>
      <c r="AC383" s="155"/>
      <c r="AD383" s="155"/>
    </row>
    <row r="384" spans="5:30" x14ac:dyDescent="0.25">
      <c r="E384" s="153"/>
      <c r="F384" s="153"/>
      <c r="G384" s="153"/>
      <c r="H384" s="153"/>
      <c r="I384" s="153"/>
      <c r="J384" s="155"/>
      <c r="K384" s="154"/>
      <c r="L384" s="155"/>
      <c r="M384" s="155"/>
      <c r="N384" s="155"/>
      <c r="W384" s="152"/>
      <c r="X384" s="153"/>
      <c r="Y384" s="153"/>
      <c r="Z384" s="153"/>
      <c r="AA384" s="155"/>
      <c r="AB384" s="154"/>
      <c r="AC384" s="155"/>
      <c r="AD384" s="155"/>
    </row>
    <row r="385" spans="5:30" x14ac:dyDescent="0.25">
      <c r="E385" s="153"/>
      <c r="F385" s="153"/>
      <c r="G385" s="153"/>
      <c r="H385" s="153"/>
      <c r="I385" s="153"/>
      <c r="J385" s="155"/>
      <c r="K385" s="154"/>
      <c r="L385" s="155"/>
      <c r="M385" s="155"/>
      <c r="N385" s="155"/>
      <c r="W385" s="152"/>
      <c r="X385" s="153"/>
      <c r="Y385" s="153"/>
      <c r="Z385" s="153"/>
      <c r="AA385" s="155"/>
      <c r="AB385" s="154"/>
      <c r="AC385" s="155"/>
      <c r="AD385" s="155"/>
    </row>
    <row r="386" spans="5:30" x14ac:dyDescent="0.25">
      <c r="E386" s="153"/>
      <c r="F386" s="153"/>
      <c r="G386" s="153"/>
      <c r="H386" s="153"/>
      <c r="I386" s="153"/>
      <c r="J386" s="155"/>
      <c r="K386" s="154"/>
      <c r="L386" s="155"/>
      <c r="M386" s="155"/>
      <c r="N386" s="155"/>
      <c r="W386" s="152"/>
      <c r="X386" s="153"/>
      <c r="Y386" s="153"/>
      <c r="Z386" s="153"/>
      <c r="AA386" s="155"/>
      <c r="AB386" s="154"/>
      <c r="AC386" s="155"/>
      <c r="AD386" s="155"/>
    </row>
    <row r="387" spans="5:30" x14ac:dyDescent="0.25">
      <c r="E387" s="153"/>
      <c r="F387" s="153"/>
      <c r="G387" s="153"/>
      <c r="H387" s="153"/>
      <c r="I387" s="153"/>
      <c r="J387" s="155"/>
      <c r="K387" s="154"/>
      <c r="L387" s="155"/>
      <c r="M387" s="155"/>
      <c r="N387" s="155"/>
      <c r="W387" s="152"/>
      <c r="X387" s="153"/>
      <c r="Y387" s="153"/>
      <c r="Z387" s="153"/>
      <c r="AA387" s="155"/>
      <c r="AB387" s="154"/>
      <c r="AC387" s="155"/>
      <c r="AD387" s="155"/>
    </row>
    <row r="388" spans="5:30" x14ac:dyDescent="0.25">
      <c r="E388" s="153"/>
      <c r="F388" s="153"/>
      <c r="G388" s="153"/>
      <c r="H388" s="153"/>
      <c r="I388" s="153"/>
      <c r="J388" s="155"/>
      <c r="K388" s="154"/>
      <c r="L388" s="155"/>
      <c r="M388" s="155"/>
      <c r="N388" s="155"/>
      <c r="W388" s="152"/>
      <c r="X388" s="153"/>
      <c r="Y388" s="153"/>
      <c r="Z388" s="153"/>
      <c r="AA388" s="155"/>
      <c r="AB388" s="154"/>
      <c r="AC388" s="155"/>
      <c r="AD388" s="155"/>
    </row>
    <row r="389" spans="5:30" x14ac:dyDescent="0.25">
      <c r="E389" s="153"/>
      <c r="F389" s="153"/>
      <c r="G389" s="153"/>
      <c r="H389" s="153"/>
      <c r="I389" s="153"/>
      <c r="J389" s="155"/>
      <c r="K389" s="154"/>
      <c r="L389" s="155"/>
      <c r="M389" s="155"/>
      <c r="N389" s="155"/>
      <c r="W389" s="152"/>
      <c r="X389" s="153"/>
      <c r="Y389" s="153"/>
      <c r="Z389" s="153"/>
      <c r="AA389" s="155"/>
      <c r="AB389" s="154"/>
      <c r="AC389" s="155"/>
      <c r="AD389" s="155"/>
    </row>
    <row r="390" spans="5:30" x14ac:dyDescent="0.25">
      <c r="E390" s="153"/>
      <c r="F390" s="153"/>
      <c r="G390" s="153"/>
      <c r="H390" s="153"/>
      <c r="I390" s="153"/>
      <c r="J390" s="155"/>
      <c r="K390" s="154"/>
      <c r="L390" s="155"/>
      <c r="M390" s="155"/>
      <c r="N390" s="155"/>
      <c r="W390" s="152"/>
      <c r="X390" s="153"/>
      <c r="Y390" s="153"/>
      <c r="Z390" s="153"/>
      <c r="AA390" s="155"/>
      <c r="AB390" s="154"/>
      <c r="AC390" s="155"/>
      <c r="AD390" s="155"/>
    </row>
    <row r="391" spans="5:30" x14ac:dyDescent="0.25">
      <c r="E391" s="153"/>
      <c r="F391" s="153"/>
      <c r="G391" s="153"/>
      <c r="H391" s="153"/>
      <c r="I391" s="153"/>
      <c r="J391" s="155"/>
      <c r="K391" s="154"/>
      <c r="L391" s="155"/>
      <c r="M391" s="155"/>
      <c r="N391" s="155"/>
      <c r="W391" s="152"/>
      <c r="X391" s="153"/>
      <c r="Y391" s="153"/>
      <c r="Z391" s="153"/>
      <c r="AA391" s="155"/>
      <c r="AB391" s="154"/>
      <c r="AC391" s="155"/>
      <c r="AD391" s="155"/>
    </row>
    <row r="392" spans="5:30" x14ac:dyDescent="0.25">
      <c r="E392" s="153"/>
      <c r="F392" s="153"/>
      <c r="G392" s="153"/>
      <c r="H392" s="153"/>
      <c r="I392" s="153"/>
      <c r="J392" s="155"/>
      <c r="K392" s="154"/>
      <c r="L392" s="155"/>
      <c r="M392" s="155"/>
      <c r="N392" s="155"/>
      <c r="W392" s="152"/>
      <c r="X392" s="153"/>
      <c r="Y392" s="153"/>
      <c r="Z392" s="153"/>
      <c r="AA392" s="155"/>
      <c r="AB392" s="154"/>
      <c r="AC392" s="155"/>
      <c r="AD392" s="155"/>
    </row>
    <row r="393" spans="5:30" x14ac:dyDescent="0.25">
      <c r="E393" s="153"/>
      <c r="F393" s="153"/>
      <c r="G393" s="153"/>
      <c r="H393" s="153"/>
      <c r="I393" s="153"/>
      <c r="J393" s="155"/>
      <c r="K393" s="154"/>
      <c r="L393" s="155"/>
      <c r="M393" s="155"/>
      <c r="N393" s="155"/>
      <c r="W393" s="152"/>
      <c r="X393" s="153"/>
      <c r="Y393" s="153"/>
      <c r="Z393" s="153"/>
      <c r="AA393" s="155"/>
      <c r="AB393" s="154"/>
      <c r="AC393" s="155"/>
      <c r="AD393" s="155"/>
    </row>
    <row r="394" spans="5:30" x14ac:dyDescent="0.25">
      <c r="E394" s="153"/>
      <c r="F394" s="153"/>
      <c r="G394" s="153"/>
      <c r="H394" s="153"/>
      <c r="I394" s="153"/>
      <c r="J394" s="155"/>
      <c r="K394" s="154"/>
      <c r="L394" s="155"/>
      <c r="M394" s="155"/>
      <c r="N394" s="155"/>
      <c r="W394" s="152"/>
      <c r="X394" s="153"/>
      <c r="Y394" s="153"/>
      <c r="Z394" s="153"/>
      <c r="AA394" s="155"/>
      <c r="AB394" s="154"/>
      <c r="AC394" s="155"/>
      <c r="AD394" s="155"/>
    </row>
    <row r="395" spans="5:30" x14ac:dyDescent="0.25">
      <c r="E395" s="153"/>
      <c r="F395" s="153"/>
      <c r="G395" s="153"/>
      <c r="H395" s="153"/>
      <c r="I395" s="153"/>
      <c r="J395" s="155"/>
      <c r="K395" s="154"/>
      <c r="L395" s="155"/>
      <c r="M395" s="155"/>
      <c r="N395" s="155"/>
      <c r="W395" s="152"/>
      <c r="X395" s="153"/>
      <c r="Y395" s="153"/>
      <c r="Z395" s="153"/>
      <c r="AA395" s="155"/>
      <c r="AB395" s="154"/>
      <c r="AC395" s="155"/>
      <c r="AD395" s="155"/>
    </row>
    <row r="396" spans="5:30" x14ac:dyDescent="0.25">
      <c r="E396" s="153"/>
      <c r="F396" s="153"/>
      <c r="G396" s="153"/>
      <c r="H396" s="153"/>
      <c r="I396" s="153"/>
      <c r="J396" s="155"/>
      <c r="K396" s="154"/>
      <c r="L396" s="155"/>
      <c r="M396" s="155"/>
      <c r="N396" s="155"/>
      <c r="W396" s="152"/>
      <c r="X396" s="153"/>
      <c r="Y396" s="153"/>
      <c r="Z396" s="153"/>
      <c r="AA396" s="155"/>
      <c r="AB396" s="154"/>
      <c r="AC396" s="155"/>
      <c r="AD396" s="155"/>
    </row>
    <row r="397" spans="5:30" x14ac:dyDescent="0.25">
      <c r="E397" s="153"/>
      <c r="F397" s="153"/>
      <c r="G397" s="153"/>
      <c r="H397" s="153"/>
      <c r="I397" s="153"/>
      <c r="J397" s="155"/>
      <c r="K397" s="154"/>
      <c r="L397" s="155"/>
      <c r="M397" s="155"/>
      <c r="N397" s="155"/>
      <c r="W397" s="152"/>
      <c r="X397" s="153"/>
      <c r="Y397" s="153"/>
      <c r="Z397" s="153"/>
      <c r="AA397" s="155"/>
      <c r="AB397" s="154"/>
      <c r="AC397" s="155"/>
      <c r="AD397" s="155"/>
    </row>
    <row r="398" spans="5:30" x14ac:dyDescent="0.25">
      <c r="E398" s="153"/>
      <c r="F398" s="153"/>
      <c r="G398" s="153"/>
      <c r="H398" s="153"/>
      <c r="I398" s="153"/>
      <c r="J398" s="155"/>
      <c r="K398" s="154"/>
      <c r="L398" s="155"/>
      <c r="M398" s="155"/>
      <c r="N398" s="155"/>
      <c r="W398" s="152"/>
      <c r="X398" s="153"/>
      <c r="Y398" s="153"/>
      <c r="Z398" s="153"/>
      <c r="AA398" s="155"/>
      <c r="AB398" s="154"/>
      <c r="AC398" s="155"/>
      <c r="AD398" s="155"/>
    </row>
    <row r="399" spans="5:30" x14ac:dyDescent="0.25">
      <c r="E399" s="153"/>
      <c r="F399" s="153"/>
      <c r="G399" s="153"/>
      <c r="H399" s="153"/>
      <c r="I399" s="153"/>
      <c r="J399" s="155"/>
      <c r="K399" s="154"/>
      <c r="L399" s="155"/>
      <c r="M399" s="155"/>
      <c r="N399" s="155"/>
      <c r="W399" s="152"/>
      <c r="X399" s="153"/>
      <c r="Y399" s="153"/>
      <c r="Z399" s="153"/>
      <c r="AA399" s="155"/>
      <c r="AB399" s="154"/>
      <c r="AC399" s="155"/>
      <c r="AD399" s="155"/>
    </row>
    <row r="400" spans="5:30" x14ac:dyDescent="0.25">
      <c r="E400" s="153"/>
      <c r="F400" s="153"/>
      <c r="G400" s="153"/>
      <c r="H400" s="153"/>
      <c r="I400" s="153"/>
      <c r="J400" s="155"/>
      <c r="K400" s="154"/>
      <c r="L400" s="155"/>
      <c r="M400" s="155"/>
      <c r="N400" s="155"/>
      <c r="W400" s="152"/>
      <c r="X400" s="153"/>
      <c r="Y400" s="153"/>
      <c r="Z400" s="153"/>
      <c r="AA400" s="155"/>
      <c r="AB400" s="154"/>
      <c r="AC400" s="155"/>
      <c r="AD400" s="155"/>
    </row>
    <row r="401" spans="5:30" x14ac:dyDescent="0.25">
      <c r="E401" s="153"/>
      <c r="F401" s="153"/>
      <c r="G401" s="153"/>
      <c r="H401" s="153"/>
      <c r="I401" s="153"/>
      <c r="J401" s="155"/>
      <c r="K401" s="154"/>
      <c r="L401" s="155"/>
      <c r="M401" s="155"/>
      <c r="N401" s="155"/>
      <c r="W401" s="152"/>
      <c r="X401" s="153"/>
      <c r="Y401" s="153"/>
      <c r="Z401" s="153"/>
      <c r="AA401" s="155"/>
      <c r="AB401" s="154"/>
      <c r="AC401" s="155"/>
      <c r="AD401" s="155"/>
    </row>
    <row r="402" spans="5:30" x14ac:dyDescent="0.25">
      <c r="E402" s="153"/>
      <c r="F402" s="153"/>
      <c r="G402" s="153"/>
      <c r="H402" s="153"/>
      <c r="I402" s="153"/>
      <c r="J402" s="155"/>
      <c r="K402" s="154"/>
      <c r="L402" s="155"/>
      <c r="M402" s="155"/>
      <c r="N402" s="155"/>
      <c r="W402" s="152"/>
      <c r="X402" s="153"/>
      <c r="Y402" s="153"/>
      <c r="Z402" s="153"/>
      <c r="AA402" s="155"/>
      <c r="AB402" s="154"/>
      <c r="AC402" s="155"/>
      <c r="AD402" s="155"/>
    </row>
    <row r="403" spans="5:30" x14ac:dyDescent="0.25">
      <c r="E403" s="153"/>
      <c r="F403" s="153"/>
      <c r="G403" s="153"/>
      <c r="H403" s="153"/>
      <c r="I403" s="153"/>
      <c r="J403" s="155"/>
      <c r="K403" s="154"/>
      <c r="L403" s="155"/>
      <c r="M403" s="155"/>
      <c r="N403" s="155"/>
      <c r="W403" s="152"/>
      <c r="X403" s="153"/>
      <c r="Y403" s="153"/>
      <c r="Z403" s="153"/>
      <c r="AA403" s="155"/>
      <c r="AB403" s="154"/>
      <c r="AC403" s="155"/>
      <c r="AD403" s="155"/>
    </row>
    <row r="404" spans="5:30" x14ac:dyDescent="0.25">
      <c r="E404" s="153"/>
      <c r="F404" s="153"/>
      <c r="G404" s="153"/>
      <c r="H404" s="153"/>
      <c r="I404" s="153"/>
      <c r="J404" s="155"/>
      <c r="K404" s="154"/>
      <c r="L404" s="155"/>
      <c r="M404" s="155"/>
      <c r="N404" s="155"/>
      <c r="W404" s="152"/>
      <c r="X404" s="153"/>
      <c r="Y404" s="153"/>
      <c r="Z404" s="153"/>
      <c r="AA404" s="155"/>
      <c r="AB404" s="154"/>
      <c r="AC404" s="155"/>
      <c r="AD404" s="155"/>
    </row>
    <row r="405" spans="5:30" x14ac:dyDescent="0.25">
      <c r="E405" s="153"/>
      <c r="F405" s="153"/>
      <c r="G405" s="153"/>
      <c r="H405" s="153"/>
      <c r="I405" s="153"/>
      <c r="J405" s="155"/>
      <c r="K405" s="154"/>
      <c r="L405" s="155"/>
      <c r="M405" s="155"/>
      <c r="N405" s="155"/>
      <c r="W405" s="152"/>
      <c r="X405" s="153"/>
      <c r="Y405" s="153"/>
      <c r="Z405" s="153"/>
      <c r="AA405" s="155"/>
      <c r="AB405" s="154"/>
      <c r="AC405" s="155"/>
      <c r="AD405" s="155"/>
    </row>
    <row r="406" spans="5:30" x14ac:dyDescent="0.25">
      <c r="E406" s="153"/>
      <c r="F406" s="153"/>
      <c r="G406" s="153"/>
      <c r="H406" s="153"/>
      <c r="I406" s="153"/>
      <c r="J406" s="155"/>
      <c r="K406" s="154"/>
      <c r="L406" s="155"/>
      <c r="M406" s="155"/>
      <c r="N406" s="155"/>
      <c r="W406" s="152"/>
      <c r="X406" s="153"/>
      <c r="Y406" s="153"/>
      <c r="Z406" s="153"/>
      <c r="AA406" s="155"/>
      <c r="AB406" s="154"/>
      <c r="AC406" s="155"/>
      <c r="AD406" s="155"/>
    </row>
    <row r="407" spans="5:30" x14ac:dyDescent="0.25">
      <c r="E407" s="153"/>
      <c r="F407" s="153"/>
      <c r="G407" s="153"/>
      <c r="H407" s="153"/>
      <c r="I407" s="153"/>
      <c r="J407" s="155"/>
      <c r="K407" s="154"/>
      <c r="L407" s="155"/>
      <c r="M407" s="155"/>
      <c r="N407" s="155"/>
      <c r="W407" s="152"/>
      <c r="X407" s="153"/>
      <c r="Y407" s="153"/>
      <c r="Z407" s="153"/>
      <c r="AA407" s="155"/>
      <c r="AB407" s="154"/>
      <c r="AC407" s="155"/>
      <c r="AD407" s="155"/>
    </row>
    <row r="408" spans="5:30" x14ac:dyDescent="0.25">
      <c r="E408" s="153"/>
      <c r="F408" s="153"/>
      <c r="G408" s="153"/>
      <c r="H408" s="153"/>
      <c r="I408" s="153"/>
      <c r="J408" s="155"/>
      <c r="K408" s="154"/>
      <c r="L408" s="155"/>
      <c r="M408" s="155"/>
      <c r="N408" s="155"/>
      <c r="W408" s="152"/>
      <c r="X408" s="153"/>
      <c r="Y408" s="153"/>
      <c r="Z408" s="153"/>
      <c r="AA408" s="155"/>
      <c r="AB408" s="154"/>
      <c r="AC408" s="155"/>
      <c r="AD408" s="155"/>
    </row>
    <row r="409" spans="5:30" x14ac:dyDescent="0.25">
      <c r="E409" s="153"/>
      <c r="F409" s="153"/>
      <c r="G409" s="153"/>
      <c r="H409" s="153"/>
      <c r="I409" s="153"/>
      <c r="J409" s="155"/>
      <c r="K409" s="154"/>
      <c r="L409" s="155"/>
      <c r="M409" s="155"/>
      <c r="N409" s="155"/>
      <c r="W409" s="152"/>
      <c r="X409" s="153"/>
      <c r="Y409" s="153"/>
      <c r="Z409" s="153"/>
      <c r="AA409" s="155"/>
      <c r="AB409" s="154"/>
      <c r="AC409" s="155"/>
      <c r="AD409" s="155"/>
    </row>
    <row r="410" spans="5:30" x14ac:dyDescent="0.25">
      <c r="E410" s="153"/>
      <c r="F410" s="153"/>
      <c r="G410" s="153"/>
      <c r="H410" s="153"/>
      <c r="I410" s="153"/>
      <c r="J410" s="155"/>
      <c r="K410" s="154"/>
      <c r="L410" s="155"/>
      <c r="M410" s="155"/>
      <c r="N410" s="155"/>
      <c r="W410" s="152"/>
      <c r="X410" s="153"/>
      <c r="Y410" s="153"/>
      <c r="Z410" s="153"/>
      <c r="AA410" s="155"/>
      <c r="AB410" s="154"/>
      <c r="AC410" s="155"/>
      <c r="AD410" s="155"/>
    </row>
    <row r="411" spans="5:30" x14ac:dyDescent="0.25">
      <c r="E411" s="153"/>
      <c r="F411" s="153"/>
      <c r="G411" s="153"/>
      <c r="H411" s="153"/>
      <c r="I411" s="153"/>
      <c r="J411" s="155"/>
      <c r="K411" s="154"/>
      <c r="L411" s="155"/>
      <c r="M411" s="155"/>
      <c r="N411" s="155"/>
      <c r="W411" s="152"/>
      <c r="X411" s="153"/>
      <c r="Y411" s="153"/>
      <c r="Z411" s="153"/>
      <c r="AA411" s="155"/>
      <c r="AB411" s="154"/>
      <c r="AC411" s="155"/>
      <c r="AD411" s="155"/>
    </row>
    <row r="412" spans="5:30" x14ac:dyDescent="0.25">
      <c r="E412" s="153"/>
      <c r="F412" s="153"/>
      <c r="G412" s="153"/>
      <c r="H412" s="153"/>
      <c r="I412" s="153"/>
      <c r="J412" s="155"/>
      <c r="K412" s="154"/>
      <c r="L412" s="155"/>
      <c r="M412" s="155"/>
      <c r="N412" s="155"/>
      <c r="W412" s="152"/>
      <c r="X412" s="153"/>
      <c r="Y412" s="153"/>
      <c r="Z412" s="153"/>
      <c r="AA412" s="155"/>
      <c r="AB412" s="154"/>
      <c r="AC412" s="155"/>
      <c r="AD412" s="155"/>
    </row>
    <row r="413" spans="5:30" x14ac:dyDescent="0.25">
      <c r="E413" s="153"/>
      <c r="F413" s="153"/>
      <c r="G413" s="153"/>
      <c r="H413" s="153"/>
      <c r="I413" s="153"/>
      <c r="J413" s="155"/>
      <c r="K413" s="154"/>
      <c r="L413" s="155"/>
      <c r="M413" s="155"/>
      <c r="N413" s="155"/>
      <c r="W413" s="152"/>
      <c r="X413" s="153"/>
      <c r="Y413" s="153"/>
      <c r="Z413" s="153"/>
      <c r="AA413" s="155"/>
      <c r="AB413" s="154"/>
      <c r="AC413" s="155"/>
      <c r="AD413" s="155"/>
    </row>
    <row r="414" spans="5:30" x14ac:dyDescent="0.25">
      <c r="E414" s="153"/>
      <c r="F414" s="153"/>
      <c r="G414" s="153"/>
      <c r="H414" s="153"/>
      <c r="I414" s="153"/>
      <c r="J414" s="155"/>
      <c r="K414" s="154"/>
      <c r="L414" s="155"/>
      <c r="M414" s="155"/>
      <c r="N414" s="155"/>
      <c r="W414" s="152"/>
      <c r="X414" s="153"/>
      <c r="Y414" s="153"/>
      <c r="Z414" s="153"/>
      <c r="AA414" s="155"/>
      <c r="AB414" s="154"/>
      <c r="AC414" s="155"/>
      <c r="AD414" s="155"/>
    </row>
    <row r="415" spans="5:30" x14ac:dyDescent="0.25">
      <c r="E415" s="153"/>
      <c r="F415" s="153"/>
      <c r="G415" s="153"/>
      <c r="H415" s="153"/>
      <c r="I415" s="153"/>
      <c r="J415" s="155"/>
      <c r="K415" s="154"/>
      <c r="L415" s="155"/>
      <c r="M415" s="155"/>
      <c r="N415" s="155"/>
      <c r="W415" s="152"/>
      <c r="X415" s="153"/>
      <c r="Y415" s="153"/>
      <c r="Z415" s="153"/>
      <c r="AA415" s="155"/>
      <c r="AB415" s="154"/>
      <c r="AC415" s="155"/>
      <c r="AD415" s="155"/>
    </row>
    <row r="416" spans="5:30" x14ac:dyDescent="0.25">
      <c r="E416" s="153"/>
      <c r="F416" s="153"/>
      <c r="G416" s="153"/>
      <c r="H416" s="153"/>
      <c r="I416" s="153"/>
      <c r="J416" s="155"/>
      <c r="K416" s="154"/>
      <c r="L416" s="155"/>
      <c r="M416" s="155"/>
      <c r="N416" s="155"/>
      <c r="W416" s="152"/>
      <c r="X416" s="153"/>
      <c r="Y416" s="153"/>
      <c r="Z416" s="153"/>
      <c r="AA416" s="155"/>
      <c r="AB416" s="154"/>
      <c r="AC416" s="155"/>
      <c r="AD416" s="155"/>
    </row>
    <row r="417" spans="5:30" x14ac:dyDescent="0.25">
      <c r="E417" s="153"/>
      <c r="F417" s="153"/>
      <c r="G417" s="153"/>
      <c r="H417" s="153"/>
      <c r="I417" s="153"/>
      <c r="J417" s="155"/>
      <c r="K417" s="154"/>
      <c r="L417" s="155"/>
      <c r="M417" s="155"/>
      <c r="N417" s="155"/>
      <c r="W417" s="152"/>
      <c r="X417" s="153"/>
      <c r="Y417" s="153"/>
      <c r="Z417" s="153"/>
      <c r="AA417" s="155"/>
      <c r="AB417" s="154"/>
      <c r="AC417" s="155"/>
      <c r="AD417" s="155"/>
    </row>
    <row r="418" spans="5:30" x14ac:dyDescent="0.25">
      <c r="E418" s="153"/>
      <c r="F418" s="153"/>
      <c r="G418" s="153"/>
      <c r="H418" s="153"/>
      <c r="I418" s="153"/>
      <c r="J418" s="155"/>
      <c r="K418" s="154"/>
      <c r="L418" s="155"/>
      <c r="M418" s="155"/>
      <c r="N418" s="155"/>
      <c r="W418" s="152"/>
      <c r="X418" s="153"/>
      <c r="Y418" s="153"/>
      <c r="Z418" s="153"/>
      <c r="AA418" s="155"/>
      <c r="AB418" s="154"/>
      <c r="AC418" s="155"/>
      <c r="AD418" s="155"/>
    </row>
    <row r="419" spans="5:30" x14ac:dyDescent="0.25">
      <c r="E419" s="153"/>
      <c r="F419" s="153"/>
      <c r="G419" s="153"/>
      <c r="H419" s="153"/>
      <c r="I419" s="153"/>
      <c r="J419" s="155"/>
      <c r="K419" s="154"/>
      <c r="L419" s="155"/>
      <c r="M419" s="155"/>
      <c r="N419" s="155"/>
      <c r="W419" s="152"/>
      <c r="X419" s="153"/>
      <c r="Y419" s="153"/>
      <c r="Z419" s="153"/>
      <c r="AA419" s="155"/>
      <c r="AB419" s="154"/>
      <c r="AC419" s="155"/>
      <c r="AD419" s="155"/>
    </row>
    <row r="420" spans="5:30" x14ac:dyDescent="0.25">
      <c r="E420" s="153"/>
      <c r="F420" s="153"/>
      <c r="G420" s="153"/>
      <c r="H420" s="153"/>
      <c r="I420" s="153"/>
      <c r="J420" s="155"/>
      <c r="K420" s="154"/>
      <c r="L420" s="155"/>
      <c r="M420" s="155"/>
      <c r="N420" s="155"/>
      <c r="W420" s="152"/>
      <c r="X420" s="153"/>
      <c r="Y420" s="153"/>
      <c r="Z420" s="153"/>
      <c r="AA420" s="155"/>
      <c r="AB420" s="154"/>
      <c r="AC420" s="155"/>
      <c r="AD420" s="155"/>
    </row>
    <row r="421" spans="5:30" x14ac:dyDescent="0.25">
      <c r="E421" s="153"/>
      <c r="F421" s="153"/>
      <c r="G421" s="153"/>
      <c r="H421" s="153"/>
      <c r="I421" s="153"/>
      <c r="J421" s="155"/>
      <c r="K421" s="154"/>
      <c r="L421" s="155"/>
      <c r="M421" s="155"/>
      <c r="N421" s="155"/>
      <c r="W421" s="152"/>
      <c r="X421" s="153"/>
      <c r="Y421" s="153"/>
      <c r="Z421" s="153"/>
      <c r="AA421" s="155"/>
      <c r="AB421" s="154"/>
      <c r="AC421" s="155"/>
      <c r="AD421" s="155"/>
    </row>
    <row r="422" spans="5:30" x14ac:dyDescent="0.25">
      <c r="E422" s="153"/>
      <c r="F422" s="153"/>
      <c r="G422" s="153"/>
      <c r="H422" s="153"/>
      <c r="I422" s="153"/>
      <c r="J422" s="155"/>
      <c r="K422" s="154"/>
      <c r="L422" s="155"/>
      <c r="M422" s="155"/>
      <c r="N422" s="155"/>
      <c r="W422" s="152"/>
      <c r="X422" s="153"/>
      <c r="Y422" s="153"/>
      <c r="Z422" s="153"/>
      <c r="AA422" s="155"/>
      <c r="AB422" s="154"/>
      <c r="AC422" s="155"/>
      <c r="AD422" s="155"/>
    </row>
    <row r="423" spans="5:30" x14ac:dyDescent="0.25">
      <c r="E423" s="153"/>
      <c r="F423" s="153"/>
      <c r="G423" s="153"/>
      <c r="H423" s="153"/>
      <c r="I423" s="153"/>
      <c r="J423" s="155"/>
      <c r="K423" s="154"/>
      <c r="L423" s="155"/>
      <c r="M423" s="155"/>
      <c r="N423" s="155"/>
      <c r="W423" s="152"/>
      <c r="X423" s="153"/>
      <c r="Y423" s="153"/>
      <c r="Z423" s="153"/>
      <c r="AA423" s="155"/>
      <c r="AB423" s="154"/>
      <c r="AC423" s="155"/>
      <c r="AD423" s="155"/>
    </row>
    <row r="424" spans="5:30" x14ac:dyDescent="0.25">
      <c r="E424" s="153"/>
      <c r="F424" s="153"/>
      <c r="G424" s="153"/>
      <c r="H424" s="153"/>
      <c r="I424" s="153"/>
      <c r="J424" s="155"/>
      <c r="K424" s="154"/>
      <c r="L424" s="155"/>
      <c r="M424" s="155"/>
      <c r="N424" s="155"/>
      <c r="W424" s="152"/>
      <c r="X424" s="153"/>
      <c r="Y424" s="153"/>
      <c r="Z424" s="153"/>
      <c r="AA424" s="155"/>
      <c r="AB424" s="154"/>
      <c r="AC424" s="155"/>
      <c r="AD424" s="155"/>
    </row>
    <row r="425" spans="5:30" x14ac:dyDescent="0.25">
      <c r="E425" s="153"/>
      <c r="F425" s="153"/>
      <c r="G425" s="153"/>
      <c r="H425" s="153"/>
      <c r="I425" s="153"/>
      <c r="J425" s="155"/>
      <c r="K425" s="154"/>
      <c r="L425" s="155"/>
      <c r="M425" s="155"/>
      <c r="N425" s="155"/>
      <c r="W425" s="152"/>
      <c r="X425" s="153"/>
      <c r="Y425" s="153"/>
      <c r="Z425" s="153"/>
      <c r="AA425" s="155"/>
      <c r="AB425" s="154"/>
      <c r="AC425" s="155"/>
      <c r="AD425" s="155"/>
    </row>
    <row r="426" spans="5:30" x14ac:dyDescent="0.25">
      <c r="E426" s="153"/>
      <c r="F426" s="153"/>
      <c r="G426" s="153"/>
      <c r="H426" s="153"/>
      <c r="I426" s="153"/>
      <c r="J426" s="155"/>
      <c r="K426" s="154"/>
      <c r="L426" s="155"/>
      <c r="M426" s="155"/>
      <c r="N426" s="155"/>
      <c r="W426" s="152"/>
      <c r="X426" s="153"/>
      <c r="Y426" s="153"/>
      <c r="Z426" s="153"/>
      <c r="AA426" s="155"/>
      <c r="AB426" s="154"/>
      <c r="AC426" s="155"/>
      <c r="AD426" s="155"/>
    </row>
    <row r="427" spans="5:30" x14ac:dyDescent="0.25">
      <c r="E427" s="153"/>
      <c r="F427" s="153"/>
      <c r="G427" s="153"/>
      <c r="H427" s="153"/>
      <c r="I427" s="153"/>
      <c r="J427" s="155"/>
      <c r="K427" s="154"/>
      <c r="L427" s="155"/>
      <c r="M427" s="155"/>
      <c r="N427" s="155"/>
      <c r="W427" s="152"/>
      <c r="X427" s="153"/>
      <c r="Y427" s="153"/>
      <c r="Z427" s="153"/>
      <c r="AA427" s="155"/>
      <c r="AB427" s="154"/>
      <c r="AC427" s="155"/>
      <c r="AD427" s="155"/>
    </row>
    <row r="428" spans="5:30" x14ac:dyDescent="0.25">
      <c r="E428" s="153"/>
      <c r="F428" s="153"/>
      <c r="G428" s="153"/>
      <c r="H428" s="153"/>
      <c r="I428" s="153"/>
      <c r="J428" s="155"/>
      <c r="K428" s="154"/>
      <c r="L428" s="155"/>
      <c r="M428" s="155"/>
      <c r="N428" s="155"/>
      <c r="W428" s="152"/>
      <c r="X428" s="153"/>
      <c r="Y428" s="153"/>
      <c r="Z428" s="153"/>
      <c r="AA428" s="155"/>
      <c r="AB428" s="154"/>
      <c r="AC428" s="155"/>
      <c r="AD428" s="155"/>
    </row>
    <row r="429" spans="5:30" x14ac:dyDescent="0.25">
      <c r="E429" s="153"/>
      <c r="F429" s="153"/>
      <c r="G429" s="153"/>
      <c r="H429" s="153"/>
      <c r="I429" s="153"/>
      <c r="J429" s="155"/>
      <c r="K429" s="154"/>
      <c r="L429" s="155"/>
      <c r="M429" s="155"/>
      <c r="N429" s="155"/>
      <c r="W429" s="152"/>
      <c r="X429" s="153"/>
      <c r="Y429" s="153"/>
      <c r="Z429" s="153"/>
      <c r="AA429" s="155"/>
      <c r="AB429" s="154"/>
      <c r="AC429" s="155"/>
      <c r="AD429" s="155"/>
    </row>
    <row r="430" spans="5:30" x14ac:dyDescent="0.25">
      <c r="E430" s="153"/>
      <c r="F430" s="153"/>
      <c r="G430" s="153"/>
      <c r="H430" s="153"/>
      <c r="I430" s="153"/>
      <c r="J430" s="155"/>
      <c r="K430" s="154"/>
      <c r="L430" s="155"/>
      <c r="M430" s="155"/>
      <c r="N430" s="155"/>
      <c r="W430" s="152"/>
      <c r="X430" s="153"/>
      <c r="Y430" s="153"/>
      <c r="Z430" s="153"/>
      <c r="AA430" s="155"/>
      <c r="AB430" s="154"/>
      <c r="AC430" s="155"/>
      <c r="AD430" s="155"/>
    </row>
    <row r="431" spans="5:30" x14ac:dyDescent="0.25">
      <c r="E431" s="153"/>
      <c r="F431" s="153"/>
      <c r="G431" s="153"/>
      <c r="H431" s="153"/>
      <c r="I431" s="153"/>
      <c r="J431" s="155"/>
      <c r="K431" s="154"/>
      <c r="L431" s="155"/>
      <c r="M431" s="155"/>
      <c r="N431" s="155"/>
      <c r="W431" s="152"/>
      <c r="X431" s="153"/>
      <c r="Y431" s="153"/>
      <c r="Z431" s="153"/>
      <c r="AA431" s="155"/>
      <c r="AB431" s="154"/>
      <c r="AC431" s="155"/>
      <c r="AD431" s="155"/>
    </row>
    <row r="432" spans="5:30" x14ac:dyDescent="0.25">
      <c r="E432" s="153"/>
      <c r="F432" s="153"/>
      <c r="G432" s="153"/>
      <c r="H432" s="153"/>
      <c r="I432" s="153"/>
      <c r="J432" s="155"/>
      <c r="K432" s="154"/>
      <c r="L432" s="155"/>
      <c r="M432" s="155"/>
      <c r="N432" s="155"/>
      <c r="W432" s="152"/>
      <c r="X432" s="153"/>
      <c r="Y432" s="153"/>
      <c r="Z432" s="153"/>
      <c r="AA432" s="155"/>
      <c r="AB432" s="154"/>
      <c r="AC432" s="155"/>
      <c r="AD432" s="155"/>
    </row>
    <row r="433" spans="5:30" x14ac:dyDescent="0.25">
      <c r="E433" s="153"/>
      <c r="F433" s="153"/>
      <c r="G433" s="153"/>
      <c r="H433" s="153"/>
      <c r="I433" s="153"/>
      <c r="J433" s="155"/>
      <c r="K433" s="154"/>
      <c r="L433" s="155"/>
      <c r="M433" s="155"/>
      <c r="N433" s="155"/>
      <c r="W433" s="152"/>
      <c r="X433" s="153"/>
      <c r="Y433" s="153"/>
      <c r="Z433" s="153"/>
      <c r="AA433" s="155"/>
      <c r="AB433" s="154"/>
      <c r="AC433" s="155"/>
      <c r="AD433" s="155"/>
    </row>
    <row r="434" spans="5:30" x14ac:dyDescent="0.25">
      <c r="E434" s="153"/>
      <c r="F434" s="153"/>
      <c r="G434" s="153"/>
      <c r="H434" s="153"/>
      <c r="I434" s="153"/>
      <c r="J434" s="155"/>
      <c r="K434" s="154"/>
      <c r="L434" s="155"/>
      <c r="M434" s="155"/>
      <c r="N434" s="155"/>
      <c r="W434" s="152"/>
      <c r="X434" s="153"/>
      <c r="Y434" s="153"/>
      <c r="Z434" s="153"/>
      <c r="AA434" s="155"/>
      <c r="AB434" s="154"/>
      <c r="AC434" s="155"/>
      <c r="AD434" s="155"/>
    </row>
    <row r="435" spans="5:30" x14ac:dyDescent="0.25">
      <c r="E435" s="153"/>
      <c r="F435" s="153"/>
      <c r="G435" s="153"/>
      <c r="H435" s="153"/>
      <c r="I435" s="153"/>
      <c r="J435" s="155"/>
      <c r="K435" s="154"/>
      <c r="L435" s="155"/>
      <c r="M435" s="155"/>
      <c r="N435" s="155"/>
      <c r="W435" s="152"/>
      <c r="X435" s="153"/>
      <c r="Y435" s="153"/>
      <c r="Z435" s="153"/>
      <c r="AA435" s="155"/>
      <c r="AB435" s="154"/>
      <c r="AC435" s="155"/>
      <c r="AD435" s="155"/>
    </row>
    <row r="436" spans="5:30" x14ac:dyDescent="0.25">
      <c r="E436" s="153"/>
      <c r="F436" s="153"/>
      <c r="G436" s="153"/>
      <c r="H436" s="153"/>
      <c r="I436" s="153"/>
      <c r="J436" s="155"/>
      <c r="K436" s="154"/>
      <c r="L436" s="155"/>
      <c r="M436" s="155"/>
      <c r="N436" s="155"/>
      <c r="W436" s="152"/>
      <c r="X436" s="153"/>
      <c r="Y436" s="153"/>
      <c r="Z436" s="153"/>
      <c r="AA436" s="155"/>
      <c r="AB436" s="154"/>
      <c r="AC436" s="155"/>
      <c r="AD436" s="155"/>
    </row>
    <row r="437" spans="5:30" x14ac:dyDescent="0.25">
      <c r="E437" s="153"/>
      <c r="F437" s="153"/>
      <c r="G437" s="153"/>
      <c r="H437" s="153"/>
      <c r="I437" s="153"/>
      <c r="J437" s="155"/>
      <c r="K437" s="154"/>
      <c r="L437" s="155"/>
      <c r="M437" s="155"/>
      <c r="N437" s="155"/>
      <c r="W437" s="152"/>
      <c r="X437" s="153"/>
      <c r="Y437" s="153"/>
      <c r="Z437" s="153"/>
      <c r="AA437" s="155"/>
      <c r="AB437" s="154"/>
      <c r="AC437" s="155"/>
      <c r="AD437" s="155"/>
    </row>
    <row r="438" spans="5:30" x14ac:dyDescent="0.25">
      <c r="E438" s="153"/>
      <c r="F438" s="153"/>
      <c r="G438" s="153"/>
      <c r="H438" s="153"/>
      <c r="I438" s="153"/>
      <c r="J438" s="155"/>
      <c r="K438" s="154"/>
      <c r="L438" s="155"/>
      <c r="M438" s="155"/>
      <c r="N438" s="155"/>
      <c r="W438" s="152"/>
      <c r="X438" s="153"/>
      <c r="Y438" s="153"/>
      <c r="Z438" s="153"/>
      <c r="AA438" s="155"/>
      <c r="AB438" s="154"/>
      <c r="AC438" s="155"/>
      <c r="AD438" s="155"/>
    </row>
    <row r="439" spans="5:30" x14ac:dyDescent="0.25">
      <c r="E439" s="153"/>
      <c r="F439" s="153"/>
      <c r="G439" s="153"/>
      <c r="H439" s="153"/>
      <c r="I439" s="153"/>
      <c r="J439" s="155"/>
      <c r="K439" s="154"/>
      <c r="L439" s="155"/>
      <c r="M439" s="155"/>
      <c r="N439" s="155"/>
      <c r="W439" s="152"/>
      <c r="X439" s="153"/>
      <c r="Y439" s="153"/>
      <c r="Z439" s="153"/>
      <c r="AA439" s="155"/>
      <c r="AB439" s="154"/>
      <c r="AC439" s="155"/>
      <c r="AD439" s="155"/>
    </row>
    <row r="440" spans="5:30" x14ac:dyDescent="0.25">
      <c r="E440" s="153"/>
      <c r="F440" s="153"/>
      <c r="G440" s="153"/>
      <c r="H440" s="153"/>
      <c r="I440" s="153"/>
      <c r="J440" s="155"/>
      <c r="K440" s="154"/>
      <c r="L440" s="155"/>
      <c r="M440" s="155"/>
      <c r="N440" s="155"/>
      <c r="W440" s="152"/>
      <c r="X440" s="153"/>
      <c r="Y440" s="153"/>
      <c r="Z440" s="153"/>
      <c r="AA440" s="155"/>
      <c r="AB440" s="154"/>
      <c r="AC440" s="155"/>
      <c r="AD440" s="155"/>
    </row>
    <row r="441" spans="5:30" x14ac:dyDescent="0.25">
      <c r="E441" s="153"/>
      <c r="F441" s="153"/>
      <c r="G441" s="153"/>
      <c r="H441" s="153"/>
      <c r="I441" s="153"/>
      <c r="J441" s="155"/>
      <c r="K441" s="154"/>
      <c r="L441" s="155"/>
      <c r="M441" s="155"/>
      <c r="N441" s="155"/>
      <c r="W441" s="152"/>
      <c r="X441" s="153"/>
      <c r="Y441" s="153"/>
      <c r="Z441" s="153"/>
      <c r="AA441" s="155"/>
      <c r="AB441" s="154"/>
      <c r="AC441" s="155"/>
      <c r="AD441" s="155"/>
    </row>
    <row r="442" spans="5:30" x14ac:dyDescent="0.25">
      <c r="E442" s="153"/>
      <c r="F442" s="153"/>
      <c r="G442" s="153"/>
      <c r="H442" s="153"/>
      <c r="I442" s="153"/>
      <c r="J442" s="155"/>
      <c r="K442" s="154"/>
      <c r="L442" s="155"/>
      <c r="M442" s="155"/>
      <c r="N442" s="155"/>
      <c r="W442" s="152"/>
      <c r="X442" s="153"/>
      <c r="Y442" s="153"/>
      <c r="Z442" s="153"/>
      <c r="AA442" s="155"/>
      <c r="AB442" s="154"/>
      <c r="AC442" s="155"/>
      <c r="AD442" s="155"/>
    </row>
    <row r="443" spans="5:30" x14ac:dyDescent="0.25">
      <c r="E443" s="153"/>
      <c r="F443" s="153"/>
      <c r="G443" s="153"/>
      <c r="H443" s="153"/>
      <c r="I443" s="153"/>
      <c r="J443" s="155"/>
      <c r="K443" s="154"/>
      <c r="L443" s="155"/>
      <c r="M443" s="155"/>
      <c r="N443" s="155"/>
      <c r="W443" s="152"/>
      <c r="X443" s="153"/>
      <c r="Y443" s="153"/>
      <c r="Z443" s="153"/>
      <c r="AA443" s="155"/>
      <c r="AB443" s="154"/>
      <c r="AC443" s="155"/>
      <c r="AD443" s="155"/>
    </row>
    <row r="444" spans="5:30" x14ac:dyDescent="0.25">
      <c r="E444" s="153"/>
      <c r="F444" s="153"/>
      <c r="G444" s="153"/>
      <c r="H444" s="153"/>
      <c r="I444" s="153"/>
      <c r="J444" s="155"/>
      <c r="K444" s="154"/>
      <c r="L444" s="155"/>
      <c r="M444" s="155"/>
      <c r="N444" s="155"/>
      <c r="W444" s="152"/>
      <c r="X444" s="153"/>
      <c r="Y444" s="153"/>
      <c r="Z444" s="153"/>
      <c r="AA444" s="155"/>
      <c r="AB444" s="154"/>
      <c r="AC444" s="155"/>
      <c r="AD444" s="155"/>
    </row>
    <row r="445" spans="5:30" x14ac:dyDescent="0.25">
      <c r="E445" s="153"/>
      <c r="F445" s="153"/>
      <c r="G445" s="153"/>
      <c r="H445" s="153"/>
      <c r="I445" s="153"/>
      <c r="J445" s="155"/>
      <c r="K445" s="154"/>
      <c r="L445" s="155"/>
      <c r="M445" s="155"/>
      <c r="N445" s="155"/>
      <c r="W445" s="152"/>
      <c r="X445" s="153"/>
      <c r="Y445" s="153"/>
      <c r="Z445" s="153"/>
      <c r="AA445" s="155"/>
      <c r="AB445" s="154"/>
      <c r="AC445" s="155"/>
      <c r="AD445" s="155"/>
    </row>
    <row r="446" spans="5:30" x14ac:dyDescent="0.25">
      <c r="E446" s="153"/>
      <c r="F446" s="153"/>
      <c r="G446" s="153"/>
      <c r="H446" s="153"/>
      <c r="I446" s="153"/>
      <c r="J446" s="155"/>
      <c r="K446" s="154"/>
      <c r="L446" s="155"/>
      <c r="M446" s="155"/>
      <c r="N446" s="155"/>
      <c r="W446" s="152"/>
      <c r="X446" s="153"/>
      <c r="Y446" s="153"/>
      <c r="Z446" s="153"/>
      <c r="AA446" s="155"/>
      <c r="AB446" s="154"/>
      <c r="AC446" s="155"/>
      <c r="AD446" s="155"/>
    </row>
    <row r="447" spans="5:30" x14ac:dyDescent="0.25">
      <c r="E447" s="153"/>
      <c r="F447" s="153"/>
      <c r="G447" s="153"/>
      <c r="H447" s="153"/>
      <c r="I447" s="153"/>
      <c r="J447" s="155"/>
      <c r="K447" s="154"/>
      <c r="L447" s="155"/>
      <c r="M447" s="155"/>
      <c r="N447" s="155"/>
      <c r="W447" s="152"/>
      <c r="X447" s="153"/>
      <c r="Y447" s="153"/>
      <c r="Z447" s="153"/>
      <c r="AA447" s="155"/>
      <c r="AB447" s="154"/>
      <c r="AC447" s="155"/>
      <c r="AD447" s="155"/>
    </row>
    <row r="448" spans="5:30" x14ac:dyDescent="0.25">
      <c r="E448" s="153"/>
      <c r="F448" s="153"/>
      <c r="G448" s="153"/>
      <c r="H448" s="153"/>
      <c r="I448" s="153"/>
      <c r="J448" s="155"/>
      <c r="K448" s="154"/>
      <c r="L448" s="155"/>
      <c r="M448" s="155"/>
      <c r="N448" s="155"/>
      <c r="W448" s="152"/>
      <c r="X448" s="153"/>
      <c r="Y448" s="153"/>
      <c r="Z448" s="153"/>
      <c r="AA448" s="155"/>
      <c r="AB448" s="154"/>
      <c r="AC448" s="155"/>
      <c r="AD448" s="155"/>
    </row>
    <row r="449" spans="5:30" x14ac:dyDescent="0.25">
      <c r="E449" s="153"/>
      <c r="F449" s="153"/>
      <c r="G449" s="153"/>
      <c r="H449" s="153"/>
      <c r="I449" s="153"/>
      <c r="J449" s="155"/>
      <c r="K449" s="154"/>
      <c r="L449" s="155"/>
      <c r="M449" s="155"/>
      <c r="N449" s="155"/>
      <c r="W449" s="152"/>
      <c r="X449" s="153"/>
      <c r="Y449" s="153"/>
      <c r="Z449" s="153"/>
      <c r="AA449" s="155"/>
      <c r="AB449" s="154"/>
      <c r="AC449" s="155"/>
      <c r="AD449" s="155"/>
    </row>
    <row r="450" spans="5:30" x14ac:dyDescent="0.25">
      <c r="E450" s="153"/>
      <c r="F450" s="153"/>
      <c r="G450" s="153"/>
      <c r="H450" s="153"/>
      <c r="I450" s="153"/>
      <c r="J450" s="155"/>
      <c r="K450" s="154"/>
      <c r="L450" s="155"/>
      <c r="M450" s="155"/>
      <c r="N450" s="155"/>
      <c r="W450" s="152"/>
      <c r="X450" s="153"/>
      <c r="Y450" s="153"/>
      <c r="Z450" s="153"/>
      <c r="AA450" s="155"/>
      <c r="AB450" s="154"/>
      <c r="AC450" s="155"/>
      <c r="AD450" s="155"/>
    </row>
    <row r="451" spans="5:30" x14ac:dyDescent="0.25">
      <c r="E451" s="153"/>
      <c r="F451" s="153"/>
      <c r="G451" s="153"/>
      <c r="H451" s="153"/>
      <c r="I451" s="153"/>
      <c r="J451" s="155"/>
      <c r="K451" s="154"/>
      <c r="L451" s="155"/>
      <c r="M451" s="155"/>
      <c r="N451" s="155"/>
      <c r="W451" s="152"/>
      <c r="X451" s="153"/>
      <c r="Y451" s="153"/>
      <c r="Z451" s="153"/>
      <c r="AA451" s="155"/>
      <c r="AB451" s="154"/>
      <c r="AC451" s="155"/>
      <c r="AD451" s="155"/>
    </row>
    <row r="452" spans="5:30" x14ac:dyDescent="0.25">
      <c r="E452" s="153"/>
      <c r="F452" s="153"/>
      <c r="G452" s="153"/>
      <c r="H452" s="153"/>
      <c r="I452" s="153"/>
      <c r="J452" s="155"/>
      <c r="K452" s="154"/>
      <c r="L452" s="155"/>
      <c r="M452" s="155"/>
      <c r="N452" s="155"/>
      <c r="W452" s="152"/>
      <c r="X452" s="153"/>
      <c r="Y452" s="153"/>
      <c r="Z452" s="153"/>
      <c r="AA452" s="155"/>
      <c r="AB452" s="154"/>
      <c r="AC452" s="155"/>
      <c r="AD452" s="155"/>
    </row>
    <row r="453" spans="5:30" x14ac:dyDescent="0.25">
      <c r="E453" s="153"/>
      <c r="F453" s="153"/>
      <c r="G453" s="153"/>
      <c r="H453" s="153"/>
      <c r="I453" s="153"/>
      <c r="J453" s="155"/>
      <c r="K453" s="154"/>
      <c r="L453" s="155"/>
      <c r="M453" s="155"/>
      <c r="N453" s="155"/>
      <c r="W453" s="152"/>
      <c r="X453" s="153"/>
      <c r="Y453" s="153"/>
      <c r="Z453" s="153"/>
      <c r="AA453" s="155"/>
      <c r="AB453" s="154"/>
      <c r="AC453" s="155"/>
      <c r="AD453" s="155"/>
    </row>
    <row r="454" spans="5:30" x14ac:dyDescent="0.25">
      <c r="E454" s="153"/>
      <c r="F454" s="153"/>
      <c r="G454" s="153"/>
      <c r="H454" s="153"/>
      <c r="I454" s="153"/>
      <c r="J454" s="155"/>
      <c r="K454" s="154"/>
      <c r="L454" s="155"/>
      <c r="M454" s="155"/>
      <c r="N454" s="155"/>
      <c r="W454" s="152"/>
      <c r="X454" s="153"/>
      <c r="Y454" s="153"/>
      <c r="Z454" s="153"/>
      <c r="AA454" s="155"/>
      <c r="AB454" s="154"/>
      <c r="AC454" s="155"/>
      <c r="AD454" s="155"/>
    </row>
    <row r="455" spans="5:30" x14ac:dyDescent="0.25">
      <c r="E455" s="153"/>
      <c r="F455" s="153"/>
      <c r="G455" s="153"/>
      <c r="H455" s="153"/>
      <c r="I455" s="153"/>
      <c r="J455" s="155"/>
      <c r="K455" s="154"/>
      <c r="L455" s="155"/>
      <c r="M455" s="155"/>
      <c r="N455" s="155"/>
      <c r="W455" s="152"/>
      <c r="X455" s="153"/>
      <c r="Y455" s="153"/>
      <c r="Z455" s="153"/>
      <c r="AA455" s="155"/>
      <c r="AB455" s="154"/>
      <c r="AC455" s="155"/>
      <c r="AD455" s="155"/>
    </row>
    <row r="456" spans="5:30" x14ac:dyDescent="0.25">
      <c r="E456" s="153"/>
      <c r="F456" s="153"/>
      <c r="G456" s="153"/>
      <c r="H456" s="153"/>
      <c r="I456" s="153"/>
      <c r="J456" s="155"/>
      <c r="K456" s="154"/>
      <c r="L456" s="155"/>
      <c r="M456" s="155"/>
      <c r="N456" s="155"/>
      <c r="W456" s="152"/>
      <c r="X456" s="153"/>
      <c r="Y456" s="153"/>
      <c r="Z456" s="153"/>
      <c r="AA456" s="155"/>
      <c r="AB456" s="154"/>
      <c r="AC456" s="155"/>
      <c r="AD456" s="155"/>
    </row>
    <row r="457" spans="5:30" x14ac:dyDescent="0.25">
      <c r="E457" s="153"/>
      <c r="F457" s="153"/>
      <c r="G457" s="153"/>
      <c r="H457" s="153"/>
      <c r="I457" s="153"/>
      <c r="J457" s="155"/>
      <c r="K457" s="154"/>
      <c r="L457" s="155"/>
      <c r="M457" s="155"/>
      <c r="N457" s="155"/>
      <c r="W457" s="152"/>
      <c r="X457" s="153"/>
      <c r="Y457" s="153"/>
      <c r="Z457" s="153"/>
      <c r="AA457" s="155"/>
      <c r="AB457" s="154"/>
      <c r="AC457" s="155"/>
      <c r="AD457" s="155"/>
    </row>
    <row r="458" spans="5:30" x14ac:dyDescent="0.25">
      <c r="E458" s="153"/>
      <c r="F458" s="153"/>
      <c r="G458" s="153"/>
      <c r="H458" s="153"/>
      <c r="I458" s="153"/>
      <c r="J458" s="155"/>
      <c r="K458" s="154"/>
      <c r="L458" s="155"/>
      <c r="M458" s="155"/>
      <c r="N458" s="155"/>
      <c r="W458" s="152"/>
      <c r="X458" s="153"/>
      <c r="Y458" s="153"/>
      <c r="Z458" s="153"/>
      <c r="AA458" s="155"/>
      <c r="AB458" s="154"/>
      <c r="AC458" s="155"/>
      <c r="AD458" s="155"/>
    </row>
    <row r="459" spans="5:30" x14ac:dyDescent="0.25">
      <c r="E459" s="153"/>
      <c r="F459" s="153"/>
      <c r="G459" s="153"/>
      <c r="H459" s="153"/>
      <c r="I459" s="153"/>
      <c r="J459" s="155"/>
      <c r="K459" s="154"/>
      <c r="L459" s="155"/>
      <c r="M459" s="155"/>
      <c r="N459" s="155"/>
      <c r="W459" s="152"/>
      <c r="X459" s="153"/>
      <c r="Y459" s="153"/>
      <c r="Z459" s="153"/>
      <c r="AA459" s="155"/>
      <c r="AB459" s="154"/>
      <c r="AC459" s="155"/>
      <c r="AD459" s="155"/>
    </row>
    <row r="460" spans="5:30" x14ac:dyDescent="0.25">
      <c r="E460" s="153"/>
      <c r="F460" s="153"/>
      <c r="G460" s="153"/>
      <c r="H460" s="153"/>
      <c r="I460" s="153"/>
      <c r="J460" s="155"/>
      <c r="K460" s="154"/>
      <c r="L460" s="155"/>
      <c r="M460" s="155"/>
      <c r="N460" s="155"/>
      <c r="W460" s="152"/>
      <c r="X460" s="153"/>
      <c r="Y460" s="153"/>
      <c r="Z460" s="153"/>
      <c r="AA460" s="155"/>
      <c r="AB460" s="154"/>
      <c r="AC460" s="155"/>
      <c r="AD460" s="155"/>
    </row>
    <row r="461" spans="5:30" x14ac:dyDescent="0.25">
      <c r="E461" s="153"/>
      <c r="F461" s="153"/>
      <c r="G461" s="153"/>
      <c r="H461" s="153"/>
      <c r="I461" s="153"/>
      <c r="J461" s="155"/>
      <c r="K461" s="154"/>
      <c r="L461" s="155"/>
      <c r="M461" s="155"/>
      <c r="N461" s="155"/>
      <c r="W461" s="152"/>
      <c r="X461" s="153"/>
      <c r="Y461" s="153"/>
      <c r="Z461" s="153"/>
      <c r="AA461" s="155"/>
      <c r="AB461" s="154"/>
      <c r="AC461" s="155"/>
      <c r="AD461" s="155"/>
    </row>
    <row r="462" spans="5:30" x14ac:dyDescent="0.25">
      <c r="E462" s="153"/>
      <c r="F462" s="153"/>
      <c r="G462" s="153"/>
      <c r="H462" s="153"/>
      <c r="I462" s="153"/>
      <c r="J462" s="155"/>
      <c r="K462" s="154"/>
      <c r="L462" s="155"/>
      <c r="M462" s="155"/>
      <c r="N462" s="155"/>
      <c r="W462" s="152"/>
      <c r="X462" s="153"/>
      <c r="Y462" s="153"/>
      <c r="Z462" s="153"/>
      <c r="AA462" s="155"/>
      <c r="AB462" s="154"/>
      <c r="AC462" s="155"/>
      <c r="AD462" s="155"/>
    </row>
    <row r="463" spans="5:30" x14ac:dyDescent="0.25">
      <c r="E463" s="153"/>
      <c r="F463" s="153"/>
      <c r="G463" s="153"/>
      <c r="H463" s="153"/>
      <c r="I463" s="153"/>
      <c r="J463" s="155"/>
      <c r="K463" s="154"/>
      <c r="L463" s="155"/>
      <c r="M463" s="155"/>
      <c r="N463" s="155"/>
      <c r="W463" s="152"/>
      <c r="X463" s="153"/>
      <c r="Y463" s="153"/>
      <c r="Z463" s="153"/>
      <c r="AA463" s="155"/>
      <c r="AB463" s="154"/>
      <c r="AC463" s="155"/>
      <c r="AD463" s="155"/>
    </row>
    <row r="464" spans="5:30" x14ac:dyDescent="0.25">
      <c r="E464" s="153"/>
      <c r="F464" s="153"/>
      <c r="G464" s="153"/>
      <c r="H464" s="153"/>
      <c r="I464" s="153"/>
      <c r="J464" s="155"/>
      <c r="K464" s="154"/>
      <c r="L464" s="155"/>
      <c r="M464" s="155"/>
      <c r="N464" s="155"/>
      <c r="W464" s="152"/>
      <c r="X464" s="153"/>
      <c r="Y464" s="153"/>
      <c r="Z464" s="153"/>
      <c r="AA464" s="155"/>
      <c r="AB464" s="154"/>
      <c r="AC464" s="155"/>
      <c r="AD464" s="155"/>
    </row>
    <row r="465" spans="5:30" x14ac:dyDescent="0.25">
      <c r="E465" s="153"/>
      <c r="F465" s="153"/>
      <c r="G465" s="153"/>
      <c r="H465" s="153"/>
      <c r="I465" s="153"/>
      <c r="J465" s="155"/>
      <c r="K465" s="154"/>
      <c r="L465" s="155"/>
      <c r="M465" s="155"/>
      <c r="N465" s="155"/>
      <c r="W465" s="152"/>
      <c r="X465" s="153"/>
      <c r="Y465" s="153"/>
      <c r="Z465" s="153"/>
      <c r="AA465" s="155"/>
      <c r="AB465" s="154"/>
      <c r="AC465" s="155"/>
      <c r="AD465" s="155"/>
    </row>
    <row r="466" spans="5:30" x14ac:dyDescent="0.25">
      <c r="E466" s="153"/>
      <c r="F466" s="153"/>
      <c r="G466" s="153"/>
      <c r="H466" s="153"/>
      <c r="I466" s="153"/>
      <c r="J466" s="155"/>
      <c r="K466" s="154"/>
      <c r="L466" s="155"/>
      <c r="M466" s="155"/>
      <c r="N466" s="155"/>
      <c r="W466" s="152"/>
      <c r="X466" s="153"/>
      <c r="Y466" s="153"/>
      <c r="Z466" s="153"/>
      <c r="AA466" s="155"/>
      <c r="AB466" s="154"/>
      <c r="AC466" s="155"/>
      <c r="AD466" s="155"/>
    </row>
    <row r="467" spans="5:30" x14ac:dyDescent="0.25">
      <c r="E467" s="153"/>
      <c r="F467" s="153"/>
      <c r="G467" s="153"/>
      <c r="H467" s="153"/>
      <c r="I467" s="153"/>
      <c r="J467" s="155"/>
      <c r="K467" s="154"/>
      <c r="L467" s="155"/>
      <c r="M467" s="155"/>
      <c r="N467" s="155"/>
      <c r="W467" s="152"/>
      <c r="X467" s="153"/>
      <c r="Y467" s="153"/>
      <c r="Z467" s="153"/>
      <c r="AA467" s="155"/>
      <c r="AB467" s="154"/>
      <c r="AC467" s="155"/>
      <c r="AD467" s="155"/>
    </row>
    <row r="468" spans="5:30" x14ac:dyDescent="0.25">
      <c r="E468" s="153"/>
      <c r="F468" s="153"/>
      <c r="G468" s="153"/>
      <c r="H468" s="153"/>
      <c r="I468" s="153"/>
      <c r="J468" s="155"/>
      <c r="K468" s="154"/>
      <c r="L468" s="155"/>
      <c r="M468" s="155"/>
      <c r="N468" s="155"/>
      <c r="W468" s="152"/>
      <c r="X468" s="153"/>
      <c r="Y468" s="153"/>
      <c r="Z468" s="153"/>
      <c r="AA468" s="155"/>
      <c r="AB468" s="154"/>
      <c r="AC468" s="155"/>
      <c r="AD468" s="155"/>
    </row>
    <row r="469" spans="5:30" x14ac:dyDescent="0.25">
      <c r="E469" s="153"/>
      <c r="F469" s="153"/>
      <c r="G469" s="153"/>
      <c r="H469" s="153"/>
      <c r="I469" s="153"/>
      <c r="J469" s="155"/>
      <c r="K469" s="154"/>
      <c r="L469" s="155"/>
      <c r="M469" s="155"/>
      <c r="N469" s="155"/>
      <c r="W469" s="152"/>
      <c r="X469" s="153"/>
      <c r="Y469" s="153"/>
      <c r="Z469" s="153"/>
      <c r="AA469" s="155"/>
      <c r="AB469" s="154"/>
      <c r="AC469" s="155"/>
      <c r="AD469" s="155"/>
    </row>
    <row r="470" spans="5:30" x14ac:dyDescent="0.25">
      <c r="E470" s="153"/>
      <c r="F470" s="153"/>
      <c r="G470" s="153"/>
      <c r="H470" s="153"/>
      <c r="I470" s="153"/>
      <c r="J470" s="155"/>
      <c r="K470" s="154"/>
      <c r="L470" s="155"/>
      <c r="M470" s="155"/>
      <c r="N470" s="155"/>
      <c r="W470" s="152"/>
      <c r="X470" s="153"/>
      <c r="Y470" s="153"/>
      <c r="Z470" s="153"/>
      <c r="AA470" s="155"/>
      <c r="AB470" s="154"/>
      <c r="AC470" s="155"/>
      <c r="AD470" s="155"/>
    </row>
    <row r="471" spans="5:30" x14ac:dyDescent="0.25">
      <c r="E471" s="153"/>
      <c r="F471" s="153"/>
      <c r="G471" s="153"/>
      <c r="H471" s="153"/>
      <c r="I471" s="153"/>
      <c r="J471" s="155"/>
      <c r="K471" s="154"/>
      <c r="L471" s="155"/>
      <c r="M471" s="155"/>
      <c r="N471" s="155"/>
      <c r="W471" s="152"/>
      <c r="X471" s="153"/>
      <c r="Y471" s="153"/>
      <c r="Z471" s="153"/>
      <c r="AA471" s="155"/>
      <c r="AB471" s="154"/>
      <c r="AC471" s="155"/>
      <c r="AD471" s="155"/>
    </row>
    <row r="472" spans="5:30" x14ac:dyDescent="0.25">
      <c r="E472" s="153"/>
      <c r="F472" s="153"/>
      <c r="G472" s="153"/>
      <c r="H472" s="153"/>
      <c r="I472" s="153"/>
      <c r="J472" s="155"/>
      <c r="K472" s="154"/>
      <c r="L472" s="155"/>
      <c r="M472" s="155"/>
      <c r="N472" s="155"/>
      <c r="W472" s="152"/>
      <c r="X472" s="153"/>
      <c r="Y472" s="153"/>
      <c r="Z472" s="153"/>
      <c r="AA472" s="155"/>
      <c r="AB472" s="154"/>
      <c r="AC472" s="155"/>
      <c r="AD472" s="155"/>
    </row>
    <row r="473" spans="5:30" x14ac:dyDescent="0.25">
      <c r="E473" s="153"/>
      <c r="F473" s="153"/>
      <c r="G473" s="153"/>
      <c r="H473" s="153"/>
      <c r="I473" s="153"/>
      <c r="J473" s="155"/>
      <c r="K473" s="154"/>
      <c r="L473" s="155"/>
      <c r="M473" s="155"/>
      <c r="N473" s="155"/>
      <c r="W473" s="152"/>
      <c r="X473" s="153"/>
      <c r="Y473" s="153"/>
      <c r="Z473" s="153"/>
      <c r="AA473" s="155"/>
      <c r="AB473" s="154"/>
      <c r="AC473" s="155"/>
      <c r="AD473" s="155"/>
    </row>
    <row r="474" spans="5:30" x14ac:dyDescent="0.25">
      <c r="E474" s="153"/>
      <c r="F474" s="153"/>
      <c r="G474" s="153"/>
      <c r="H474" s="153"/>
      <c r="I474" s="153"/>
      <c r="J474" s="155"/>
      <c r="K474" s="154"/>
      <c r="L474" s="155"/>
      <c r="M474" s="155"/>
      <c r="N474" s="155"/>
      <c r="W474" s="152"/>
      <c r="X474" s="153"/>
      <c r="Y474" s="153"/>
      <c r="Z474" s="153"/>
      <c r="AA474" s="155"/>
      <c r="AB474" s="154"/>
      <c r="AC474" s="155"/>
      <c r="AD474" s="155"/>
    </row>
    <row r="475" spans="5:30" x14ac:dyDescent="0.25">
      <c r="E475" s="153"/>
      <c r="F475" s="153"/>
      <c r="G475" s="153"/>
      <c r="H475" s="153"/>
      <c r="I475" s="153"/>
      <c r="J475" s="155"/>
      <c r="K475" s="154"/>
      <c r="L475" s="155"/>
      <c r="M475" s="155"/>
      <c r="N475" s="155"/>
      <c r="W475" s="152"/>
      <c r="X475" s="153"/>
      <c r="Y475" s="153"/>
      <c r="Z475" s="153"/>
      <c r="AA475" s="155"/>
      <c r="AB475" s="154"/>
      <c r="AC475" s="155"/>
      <c r="AD475" s="155"/>
    </row>
    <row r="476" spans="5:30" x14ac:dyDescent="0.25">
      <c r="E476" s="153"/>
      <c r="F476" s="153"/>
      <c r="G476" s="153"/>
      <c r="H476" s="153"/>
      <c r="I476" s="153"/>
      <c r="J476" s="155"/>
      <c r="K476" s="154"/>
      <c r="L476" s="155"/>
      <c r="M476" s="155"/>
      <c r="N476" s="155"/>
      <c r="W476" s="152"/>
      <c r="X476" s="153"/>
      <c r="Y476" s="153"/>
      <c r="Z476" s="153"/>
      <c r="AA476" s="155"/>
      <c r="AB476" s="154"/>
      <c r="AC476" s="155"/>
      <c r="AD476" s="155"/>
    </row>
    <row r="477" spans="5:30" x14ac:dyDescent="0.25">
      <c r="E477" s="153"/>
      <c r="F477" s="153"/>
      <c r="G477" s="153"/>
      <c r="H477" s="153"/>
      <c r="I477" s="153"/>
      <c r="J477" s="155"/>
      <c r="K477" s="154"/>
      <c r="L477" s="155"/>
      <c r="M477" s="155"/>
      <c r="N477" s="155"/>
      <c r="W477" s="152"/>
      <c r="X477" s="153"/>
      <c r="Y477" s="153"/>
      <c r="Z477" s="153"/>
      <c r="AA477" s="155"/>
      <c r="AB477" s="154"/>
      <c r="AC477" s="155"/>
      <c r="AD477" s="155"/>
    </row>
    <row r="478" spans="5:30" x14ac:dyDescent="0.25">
      <c r="E478" s="153"/>
      <c r="F478" s="153"/>
      <c r="G478" s="153"/>
      <c r="H478" s="153"/>
      <c r="I478" s="153"/>
      <c r="J478" s="155"/>
      <c r="K478" s="154"/>
      <c r="L478" s="155"/>
      <c r="M478" s="155"/>
      <c r="N478" s="155"/>
      <c r="W478" s="152"/>
      <c r="X478" s="153"/>
      <c r="Y478" s="153"/>
      <c r="Z478" s="153"/>
      <c r="AA478" s="155"/>
      <c r="AB478" s="154"/>
      <c r="AC478" s="155"/>
      <c r="AD478" s="155"/>
    </row>
    <row r="479" spans="5:30" x14ac:dyDescent="0.25">
      <c r="E479" s="153"/>
      <c r="F479" s="153"/>
      <c r="G479" s="153"/>
      <c r="H479" s="153"/>
      <c r="I479" s="153"/>
      <c r="J479" s="155"/>
      <c r="K479" s="154"/>
      <c r="L479" s="155"/>
      <c r="M479" s="155"/>
      <c r="N479" s="155"/>
      <c r="W479" s="152"/>
      <c r="X479" s="153"/>
      <c r="Y479" s="153"/>
      <c r="Z479" s="153"/>
      <c r="AA479" s="155"/>
      <c r="AB479" s="154"/>
      <c r="AC479" s="155"/>
      <c r="AD479" s="155"/>
    </row>
    <row r="480" spans="5:30" x14ac:dyDescent="0.25">
      <c r="E480" s="153"/>
      <c r="F480" s="153"/>
      <c r="G480" s="153"/>
      <c r="H480" s="153"/>
      <c r="I480" s="153"/>
      <c r="J480" s="155"/>
      <c r="K480" s="154"/>
      <c r="L480" s="155"/>
      <c r="M480" s="155"/>
      <c r="N480" s="155"/>
      <c r="W480" s="152"/>
      <c r="X480" s="153"/>
      <c r="Y480" s="153"/>
      <c r="Z480" s="153"/>
      <c r="AA480" s="155"/>
      <c r="AB480" s="154"/>
      <c r="AC480" s="155"/>
      <c r="AD480" s="155"/>
    </row>
    <row r="481" spans="5:30" x14ac:dyDescent="0.25">
      <c r="E481" s="153"/>
      <c r="F481" s="153"/>
      <c r="G481" s="153"/>
      <c r="H481" s="153"/>
      <c r="I481" s="153"/>
      <c r="J481" s="155"/>
      <c r="K481" s="154"/>
      <c r="L481" s="155"/>
      <c r="M481" s="155"/>
      <c r="N481" s="155"/>
      <c r="W481" s="152"/>
      <c r="X481" s="153"/>
      <c r="Y481" s="153"/>
      <c r="Z481" s="153"/>
      <c r="AA481" s="155"/>
      <c r="AB481" s="154"/>
      <c r="AC481" s="155"/>
      <c r="AD481" s="155"/>
    </row>
    <row r="482" spans="5:30" x14ac:dyDescent="0.25">
      <c r="E482" s="153"/>
      <c r="F482" s="153"/>
      <c r="G482" s="153"/>
      <c r="H482" s="153"/>
      <c r="I482" s="153"/>
      <c r="J482" s="155"/>
      <c r="K482" s="154"/>
      <c r="L482" s="155"/>
      <c r="M482" s="155"/>
      <c r="N482" s="155"/>
      <c r="W482" s="152"/>
      <c r="X482" s="153"/>
      <c r="Y482" s="153"/>
      <c r="Z482" s="153"/>
      <c r="AA482" s="155"/>
      <c r="AB482" s="154"/>
      <c r="AC482" s="155"/>
      <c r="AD482" s="155"/>
    </row>
    <row r="483" spans="5:30" x14ac:dyDescent="0.25">
      <c r="E483" s="153"/>
      <c r="F483" s="153"/>
      <c r="G483" s="153"/>
      <c r="H483" s="153"/>
      <c r="I483" s="153"/>
      <c r="J483" s="155"/>
      <c r="K483" s="154"/>
      <c r="L483" s="155"/>
      <c r="M483" s="155"/>
      <c r="N483" s="155"/>
      <c r="W483" s="152"/>
      <c r="X483" s="153"/>
      <c r="Y483" s="153"/>
      <c r="Z483" s="153"/>
      <c r="AA483" s="155"/>
      <c r="AB483" s="154"/>
      <c r="AC483" s="155"/>
      <c r="AD483" s="155"/>
    </row>
    <row r="484" spans="5:30" x14ac:dyDescent="0.25">
      <c r="E484" s="153"/>
      <c r="F484" s="153"/>
      <c r="G484" s="153"/>
      <c r="H484" s="153"/>
      <c r="I484" s="153"/>
      <c r="J484" s="155"/>
      <c r="K484" s="154"/>
      <c r="L484" s="155"/>
      <c r="M484" s="155"/>
      <c r="N484" s="155"/>
      <c r="W484" s="152"/>
      <c r="X484" s="153"/>
      <c r="Y484" s="153"/>
      <c r="Z484" s="153"/>
      <c r="AA484" s="155"/>
      <c r="AB484" s="154"/>
      <c r="AC484" s="155"/>
      <c r="AD484" s="155"/>
    </row>
    <row r="485" spans="5:30" x14ac:dyDescent="0.25">
      <c r="E485" s="153"/>
      <c r="F485" s="153"/>
      <c r="G485" s="153"/>
      <c r="H485" s="153"/>
      <c r="I485" s="153"/>
      <c r="J485" s="155"/>
      <c r="K485" s="154"/>
      <c r="L485" s="155"/>
      <c r="M485" s="155"/>
      <c r="N485" s="155"/>
      <c r="W485" s="152"/>
      <c r="X485" s="153"/>
      <c r="Y485" s="153"/>
      <c r="Z485" s="153"/>
      <c r="AA485" s="155"/>
      <c r="AB485" s="154"/>
      <c r="AC485" s="155"/>
      <c r="AD485" s="155"/>
    </row>
    <row r="486" spans="5:30" x14ac:dyDescent="0.25">
      <c r="E486" s="153"/>
      <c r="F486" s="153"/>
      <c r="G486" s="153"/>
      <c r="H486" s="153"/>
      <c r="I486" s="153"/>
      <c r="J486" s="155"/>
      <c r="K486" s="154"/>
      <c r="L486" s="155"/>
      <c r="M486" s="155"/>
      <c r="N486" s="155"/>
      <c r="W486" s="152"/>
      <c r="X486" s="153"/>
      <c r="Y486" s="153"/>
      <c r="Z486" s="153"/>
      <c r="AA486" s="155"/>
      <c r="AB486" s="154"/>
      <c r="AC486" s="155"/>
      <c r="AD486" s="155"/>
    </row>
    <row r="487" spans="5:30" x14ac:dyDescent="0.25">
      <c r="E487" s="153"/>
      <c r="F487" s="153"/>
      <c r="G487" s="153"/>
      <c r="H487" s="153"/>
      <c r="I487" s="153"/>
      <c r="J487" s="155"/>
      <c r="K487" s="154"/>
      <c r="L487" s="155"/>
      <c r="M487" s="155"/>
      <c r="N487" s="155"/>
      <c r="W487" s="152"/>
      <c r="X487" s="153"/>
      <c r="Y487" s="153"/>
      <c r="Z487" s="153"/>
      <c r="AA487" s="155"/>
      <c r="AB487" s="154"/>
      <c r="AC487" s="155"/>
      <c r="AD487" s="155"/>
    </row>
    <row r="488" spans="5:30" x14ac:dyDescent="0.25">
      <c r="E488" s="153"/>
      <c r="F488" s="153"/>
      <c r="G488" s="153"/>
      <c r="H488" s="153"/>
      <c r="I488" s="153"/>
      <c r="J488" s="155"/>
      <c r="K488" s="154"/>
      <c r="L488" s="155"/>
      <c r="M488" s="155"/>
      <c r="N488" s="155"/>
      <c r="W488" s="152"/>
      <c r="X488" s="153"/>
      <c r="Y488" s="153"/>
      <c r="Z488" s="153"/>
      <c r="AA488" s="155"/>
      <c r="AB488" s="154"/>
      <c r="AC488" s="155"/>
      <c r="AD488" s="155"/>
    </row>
    <row r="489" spans="5:30" x14ac:dyDescent="0.25">
      <c r="E489" s="153"/>
      <c r="F489" s="153"/>
      <c r="G489" s="153"/>
      <c r="H489" s="153"/>
      <c r="I489" s="153"/>
      <c r="J489" s="155"/>
      <c r="K489" s="154"/>
      <c r="L489" s="155"/>
      <c r="M489" s="155"/>
      <c r="N489" s="155"/>
      <c r="W489" s="152"/>
      <c r="X489" s="153"/>
      <c r="Y489" s="153"/>
      <c r="Z489" s="153"/>
      <c r="AA489" s="155"/>
      <c r="AB489" s="154"/>
      <c r="AC489" s="155"/>
      <c r="AD489" s="155"/>
    </row>
    <row r="490" spans="5:30" x14ac:dyDescent="0.25">
      <c r="E490" s="153"/>
      <c r="F490" s="153"/>
      <c r="G490" s="153"/>
      <c r="H490" s="153"/>
      <c r="I490" s="153"/>
      <c r="J490" s="155"/>
      <c r="K490" s="154"/>
      <c r="L490" s="155"/>
      <c r="M490" s="155"/>
      <c r="N490" s="155"/>
      <c r="W490" s="152"/>
      <c r="X490" s="153"/>
      <c r="Y490" s="153"/>
      <c r="Z490" s="153"/>
      <c r="AA490" s="155"/>
      <c r="AB490" s="154"/>
      <c r="AC490" s="155"/>
      <c r="AD490" s="155"/>
    </row>
    <row r="491" spans="5:30" x14ac:dyDescent="0.25">
      <c r="E491" s="153"/>
      <c r="F491" s="153"/>
      <c r="G491" s="153"/>
      <c r="H491" s="153"/>
      <c r="I491" s="153"/>
      <c r="J491" s="155"/>
      <c r="K491" s="154"/>
      <c r="L491" s="155"/>
      <c r="M491" s="155"/>
      <c r="N491" s="155"/>
      <c r="W491" s="152"/>
      <c r="X491" s="153"/>
      <c r="Y491" s="153"/>
      <c r="Z491" s="153"/>
      <c r="AA491" s="155"/>
      <c r="AB491" s="154"/>
      <c r="AC491" s="155"/>
      <c r="AD491" s="155"/>
    </row>
    <row r="492" spans="5:30" x14ac:dyDescent="0.25">
      <c r="E492" s="153"/>
      <c r="F492" s="153"/>
      <c r="G492" s="153"/>
      <c r="H492" s="153"/>
      <c r="I492" s="153"/>
      <c r="J492" s="155"/>
      <c r="K492" s="154"/>
      <c r="L492" s="155"/>
      <c r="M492" s="155"/>
      <c r="N492" s="155"/>
      <c r="W492" s="152"/>
      <c r="X492" s="153"/>
      <c r="Y492" s="153"/>
      <c r="Z492" s="153"/>
      <c r="AA492" s="155"/>
      <c r="AB492" s="154"/>
      <c r="AC492" s="155"/>
      <c r="AD492" s="155"/>
    </row>
    <row r="493" spans="5:30" x14ac:dyDescent="0.25">
      <c r="E493" s="153"/>
      <c r="F493" s="153"/>
      <c r="G493" s="153"/>
      <c r="H493" s="153"/>
      <c r="I493" s="153"/>
      <c r="J493" s="155"/>
      <c r="K493" s="154"/>
      <c r="L493" s="155"/>
      <c r="M493" s="155"/>
      <c r="N493" s="155"/>
      <c r="W493" s="152"/>
      <c r="X493" s="153"/>
      <c r="Y493" s="153"/>
      <c r="Z493" s="153"/>
      <c r="AA493" s="155"/>
      <c r="AB493" s="154"/>
      <c r="AC493" s="155"/>
      <c r="AD493" s="155"/>
    </row>
    <row r="494" spans="5:30" x14ac:dyDescent="0.25">
      <c r="E494" s="153"/>
      <c r="F494" s="153"/>
      <c r="G494" s="153"/>
      <c r="H494" s="153"/>
      <c r="I494" s="153"/>
      <c r="J494" s="155"/>
      <c r="K494" s="154"/>
      <c r="L494" s="155"/>
      <c r="M494" s="155"/>
      <c r="N494" s="155"/>
      <c r="W494" s="152"/>
      <c r="X494" s="153"/>
      <c r="Y494" s="153"/>
      <c r="Z494" s="153"/>
      <c r="AA494" s="155"/>
      <c r="AB494" s="154"/>
      <c r="AC494" s="155"/>
      <c r="AD494" s="155"/>
    </row>
    <row r="495" spans="5:30" x14ac:dyDescent="0.25">
      <c r="E495" s="153"/>
      <c r="F495" s="153"/>
      <c r="G495" s="153"/>
      <c r="H495" s="153"/>
      <c r="I495" s="153"/>
      <c r="J495" s="155"/>
      <c r="K495" s="154"/>
      <c r="L495" s="155"/>
      <c r="M495" s="155"/>
      <c r="N495" s="155"/>
      <c r="W495" s="152"/>
      <c r="X495" s="153"/>
      <c r="Y495" s="153"/>
      <c r="Z495" s="153"/>
      <c r="AA495" s="155"/>
      <c r="AB495" s="154"/>
      <c r="AC495" s="155"/>
      <c r="AD495" s="155"/>
    </row>
    <row r="496" spans="5:30" x14ac:dyDescent="0.25">
      <c r="E496" s="153"/>
      <c r="F496" s="153"/>
      <c r="G496" s="153"/>
      <c r="H496" s="153"/>
      <c r="I496" s="153"/>
      <c r="J496" s="155"/>
      <c r="K496" s="154"/>
      <c r="L496" s="155"/>
      <c r="M496" s="155"/>
      <c r="N496" s="155"/>
      <c r="W496" s="152"/>
      <c r="X496" s="153"/>
      <c r="Y496" s="153"/>
      <c r="Z496" s="153"/>
      <c r="AA496" s="155"/>
      <c r="AB496" s="154"/>
      <c r="AC496" s="155"/>
      <c r="AD496" s="155"/>
    </row>
    <row r="497" spans="5:30" x14ac:dyDescent="0.25">
      <c r="E497" s="153"/>
      <c r="F497" s="153"/>
      <c r="G497" s="153"/>
      <c r="H497" s="153"/>
      <c r="I497" s="153"/>
      <c r="J497" s="155"/>
      <c r="K497" s="154"/>
      <c r="L497" s="155"/>
      <c r="M497" s="155"/>
      <c r="N497" s="155"/>
      <c r="W497" s="152"/>
      <c r="X497" s="153"/>
      <c r="Y497" s="153"/>
      <c r="Z497" s="153"/>
      <c r="AA497" s="155"/>
      <c r="AB497" s="154"/>
      <c r="AC497" s="155"/>
      <c r="AD497" s="155"/>
    </row>
    <row r="498" spans="5:30" x14ac:dyDescent="0.25">
      <c r="E498" s="153"/>
      <c r="F498" s="153"/>
      <c r="G498" s="153"/>
      <c r="H498" s="153"/>
      <c r="I498" s="153"/>
      <c r="J498" s="155"/>
      <c r="K498" s="154"/>
      <c r="L498" s="155"/>
      <c r="M498" s="155"/>
      <c r="N498" s="155"/>
      <c r="W498" s="152"/>
      <c r="X498" s="153"/>
      <c r="Y498" s="153"/>
      <c r="Z498" s="153"/>
      <c r="AA498" s="155"/>
      <c r="AB498" s="154"/>
      <c r="AC498" s="155"/>
      <c r="AD498" s="155"/>
    </row>
    <row r="499" spans="5:30" x14ac:dyDescent="0.25">
      <c r="E499" s="153"/>
      <c r="F499" s="153"/>
      <c r="G499" s="153"/>
      <c r="H499" s="153"/>
      <c r="I499" s="153"/>
      <c r="J499" s="155"/>
      <c r="K499" s="154"/>
      <c r="L499" s="155"/>
      <c r="M499" s="155"/>
      <c r="N499" s="155"/>
      <c r="W499" s="152"/>
      <c r="X499" s="153"/>
      <c r="Y499" s="153"/>
      <c r="Z499" s="153"/>
      <c r="AA499" s="155"/>
      <c r="AB499" s="154"/>
      <c r="AC499" s="155"/>
      <c r="AD499" s="155"/>
    </row>
    <row r="500" spans="5:30" x14ac:dyDescent="0.25">
      <c r="E500" s="153"/>
      <c r="F500" s="153"/>
      <c r="G500" s="153"/>
      <c r="H500" s="153"/>
      <c r="I500" s="153"/>
      <c r="J500" s="155"/>
      <c r="K500" s="154"/>
      <c r="L500" s="155"/>
      <c r="M500" s="155"/>
      <c r="N500" s="155"/>
      <c r="W500" s="152"/>
      <c r="X500" s="153"/>
      <c r="Y500" s="153"/>
      <c r="Z500" s="153"/>
      <c r="AA500" s="155"/>
      <c r="AB500" s="154"/>
      <c r="AC500" s="155"/>
      <c r="AD500" s="155"/>
    </row>
    <row r="501" spans="5:30" x14ac:dyDescent="0.25">
      <c r="E501" s="153"/>
      <c r="F501" s="153"/>
      <c r="G501" s="153"/>
      <c r="H501" s="153"/>
      <c r="I501" s="153"/>
      <c r="J501" s="155"/>
      <c r="K501" s="154"/>
      <c r="L501" s="155"/>
      <c r="M501" s="155"/>
      <c r="N501" s="155"/>
      <c r="W501" s="152"/>
      <c r="X501" s="153"/>
      <c r="Y501" s="153"/>
      <c r="Z501" s="153"/>
      <c r="AA501" s="155"/>
      <c r="AB501" s="154"/>
      <c r="AC501" s="155"/>
      <c r="AD501" s="155"/>
    </row>
    <row r="502" spans="5:30" x14ac:dyDescent="0.25">
      <c r="E502" s="153"/>
      <c r="F502" s="153"/>
      <c r="G502" s="153"/>
      <c r="H502" s="153"/>
      <c r="I502" s="153"/>
      <c r="J502" s="155"/>
      <c r="K502" s="154"/>
      <c r="L502" s="155"/>
      <c r="M502" s="155"/>
      <c r="N502" s="155"/>
      <c r="W502" s="152"/>
      <c r="X502" s="153"/>
      <c r="Y502" s="153"/>
      <c r="Z502" s="153"/>
      <c r="AA502" s="155"/>
      <c r="AB502" s="154"/>
      <c r="AC502" s="155"/>
      <c r="AD502" s="155"/>
    </row>
    <row r="503" spans="5:30" x14ac:dyDescent="0.25">
      <c r="E503" s="153"/>
      <c r="F503" s="153"/>
      <c r="G503" s="153"/>
      <c r="H503" s="153"/>
      <c r="I503" s="153"/>
      <c r="J503" s="155"/>
      <c r="K503" s="154"/>
      <c r="L503" s="155"/>
      <c r="M503" s="155"/>
      <c r="N503" s="155"/>
      <c r="W503" s="152"/>
      <c r="X503" s="153"/>
      <c r="Y503" s="153"/>
      <c r="Z503" s="153"/>
      <c r="AA503" s="155"/>
      <c r="AB503" s="154"/>
      <c r="AC503" s="155"/>
      <c r="AD503" s="155"/>
    </row>
    <row r="504" spans="5:30" x14ac:dyDescent="0.25">
      <c r="E504" s="153"/>
      <c r="F504" s="153"/>
      <c r="G504" s="153"/>
      <c r="H504" s="153"/>
      <c r="I504" s="153"/>
      <c r="J504" s="155"/>
      <c r="K504" s="154"/>
      <c r="L504" s="155"/>
      <c r="M504" s="155"/>
      <c r="N504" s="155"/>
      <c r="W504" s="152"/>
      <c r="X504" s="153"/>
      <c r="Y504" s="153"/>
      <c r="Z504" s="153"/>
      <c r="AA504" s="155"/>
      <c r="AB504" s="154"/>
      <c r="AC504" s="155"/>
      <c r="AD504" s="155"/>
    </row>
    <row r="505" spans="5:30" x14ac:dyDescent="0.25">
      <c r="E505" s="153"/>
      <c r="F505" s="153"/>
      <c r="G505" s="153"/>
      <c r="H505" s="153"/>
      <c r="I505" s="153"/>
      <c r="J505" s="155"/>
      <c r="K505" s="154"/>
      <c r="L505" s="155"/>
      <c r="M505" s="155"/>
      <c r="N505" s="155"/>
      <c r="W505" s="152"/>
      <c r="X505" s="153"/>
      <c r="Y505" s="153"/>
      <c r="Z505" s="153"/>
      <c r="AA505" s="155"/>
      <c r="AB505" s="154"/>
      <c r="AC505" s="155"/>
      <c r="AD505" s="155"/>
    </row>
    <row r="506" spans="5:30" x14ac:dyDescent="0.25">
      <c r="E506" s="153"/>
      <c r="F506" s="153"/>
      <c r="G506" s="153"/>
      <c r="H506" s="153"/>
      <c r="I506" s="153"/>
      <c r="J506" s="155"/>
      <c r="K506" s="154"/>
      <c r="L506" s="155"/>
      <c r="M506" s="155"/>
      <c r="N506" s="155"/>
      <c r="W506" s="152"/>
      <c r="X506" s="153"/>
      <c r="Y506" s="153"/>
      <c r="Z506" s="153"/>
      <c r="AA506" s="155"/>
      <c r="AB506" s="154"/>
      <c r="AC506" s="155"/>
      <c r="AD506" s="155"/>
    </row>
    <row r="507" spans="5:30" x14ac:dyDescent="0.25">
      <c r="E507" s="153"/>
      <c r="F507" s="153"/>
      <c r="G507" s="153"/>
      <c r="H507" s="153"/>
      <c r="I507" s="153"/>
      <c r="J507" s="155"/>
      <c r="K507" s="154"/>
      <c r="L507" s="155"/>
      <c r="M507" s="155"/>
      <c r="N507" s="155"/>
      <c r="W507" s="152"/>
      <c r="X507" s="153"/>
      <c r="Y507" s="153"/>
      <c r="Z507" s="153"/>
      <c r="AA507" s="155"/>
      <c r="AB507" s="154"/>
      <c r="AC507" s="155"/>
      <c r="AD507" s="155"/>
    </row>
    <row r="508" spans="5:30" x14ac:dyDescent="0.25">
      <c r="E508" s="153"/>
      <c r="F508" s="153"/>
      <c r="G508" s="153"/>
      <c r="H508" s="153"/>
      <c r="I508" s="153"/>
      <c r="J508" s="155"/>
      <c r="K508" s="154"/>
      <c r="L508" s="155"/>
      <c r="M508" s="155"/>
      <c r="N508" s="155"/>
      <c r="W508" s="152"/>
      <c r="X508" s="153"/>
      <c r="Y508" s="153"/>
      <c r="Z508" s="153"/>
      <c r="AA508" s="155"/>
      <c r="AB508" s="154"/>
      <c r="AC508" s="155"/>
      <c r="AD508" s="155"/>
    </row>
    <row r="509" spans="5:30" x14ac:dyDescent="0.25">
      <c r="E509" s="153"/>
      <c r="F509" s="153"/>
      <c r="G509" s="153"/>
      <c r="H509" s="153"/>
      <c r="I509" s="153"/>
      <c r="J509" s="155"/>
      <c r="K509" s="154"/>
      <c r="L509" s="155"/>
      <c r="M509" s="155"/>
      <c r="N509" s="155"/>
      <c r="W509" s="152"/>
      <c r="X509" s="153"/>
      <c r="Y509" s="153"/>
      <c r="Z509" s="153"/>
      <c r="AA509" s="155"/>
      <c r="AB509" s="154"/>
      <c r="AC509" s="155"/>
      <c r="AD509" s="155"/>
    </row>
    <row r="510" spans="5:30" x14ac:dyDescent="0.25">
      <c r="E510" s="153"/>
      <c r="F510" s="153"/>
      <c r="G510" s="153"/>
      <c r="H510" s="153"/>
      <c r="I510" s="153"/>
      <c r="J510" s="155"/>
      <c r="K510" s="154"/>
      <c r="L510" s="155"/>
      <c r="M510" s="155"/>
      <c r="N510" s="155"/>
      <c r="W510" s="152"/>
      <c r="X510" s="153"/>
      <c r="Y510" s="153"/>
      <c r="Z510" s="153"/>
      <c r="AA510" s="155"/>
      <c r="AB510" s="154"/>
      <c r="AC510" s="155"/>
      <c r="AD510" s="155"/>
    </row>
    <row r="511" spans="5:30" x14ac:dyDescent="0.25">
      <c r="E511" s="153"/>
      <c r="F511" s="153"/>
      <c r="G511" s="153"/>
      <c r="H511" s="153"/>
      <c r="I511" s="153"/>
      <c r="J511" s="155"/>
      <c r="K511" s="154"/>
      <c r="L511" s="155"/>
      <c r="M511" s="155"/>
      <c r="N511" s="155"/>
      <c r="W511" s="152"/>
      <c r="X511" s="153"/>
      <c r="Y511" s="153"/>
      <c r="Z511" s="153"/>
      <c r="AA511" s="155"/>
      <c r="AB511" s="154"/>
      <c r="AC511" s="155"/>
      <c r="AD511" s="155"/>
    </row>
    <row r="512" spans="5:30" x14ac:dyDescent="0.25">
      <c r="E512" s="153"/>
      <c r="F512" s="153"/>
      <c r="G512" s="153"/>
      <c r="H512" s="153"/>
      <c r="I512" s="153"/>
      <c r="J512" s="155"/>
      <c r="K512" s="154"/>
      <c r="L512" s="155"/>
      <c r="M512" s="155"/>
      <c r="N512" s="155"/>
      <c r="W512" s="152"/>
      <c r="X512" s="153"/>
      <c r="Y512" s="153"/>
      <c r="Z512" s="153"/>
      <c r="AA512" s="155"/>
      <c r="AB512" s="154"/>
      <c r="AC512" s="155"/>
      <c r="AD512" s="155"/>
    </row>
    <row r="513" spans="5:30" x14ac:dyDescent="0.25">
      <c r="E513" s="153"/>
      <c r="F513" s="153"/>
      <c r="G513" s="153"/>
      <c r="H513" s="153"/>
      <c r="I513" s="153"/>
      <c r="J513" s="155"/>
      <c r="K513" s="154"/>
      <c r="L513" s="155"/>
      <c r="M513" s="155"/>
      <c r="N513" s="155"/>
      <c r="W513" s="152"/>
      <c r="X513" s="153"/>
      <c r="Y513" s="153"/>
      <c r="Z513" s="153"/>
      <c r="AA513" s="155"/>
      <c r="AB513" s="154"/>
      <c r="AC513" s="155"/>
      <c r="AD513" s="155"/>
    </row>
    <row r="514" spans="5:30" x14ac:dyDescent="0.25">
      <c r="E514" s="153"/>
      <c r="F514" s="153"/>
      <c r="G514" s="153"/>
      <c r="H514" s="153"/>
      <c r="I514" s="153"/>
      <c r="J514" s="155"/>
      <c r="K514" s="154"/>
      <c r="L514" s="155"/>
      <c r="M514" s="155"/>
      <c r="N514" s="155"/>
      <c r="W514" s="152"/>
      <c r="X514" s="153"/>
      <c r="Y514" s="153"/>
      <c r="Z514" s="153"/>
      <c r="AA514" s="155"/>
      <c r="AB514" s="154"/>
      <c r="AC514" s="155"/>
      <c r="AD514" s="155"/>
    </row>
    <row r="515" spans="5:30" x14ac:dyDescent="0.25">
      <c r="E515" s="153"/>
      <c r="F515" s="153"/>
      <c r="G515" s="153"/>
      <c r="H515" s="153"/>
      <c r="I515" s="153"/>
      <c r="J515" s="155"/>
      <c r="K515" s="154"/>
      <c r="L515" s="155"/>
      <c r="M515" s="155"/>
      <c r="N515" s="155"/>
      <c r="W515" s="152"/>
      <c r="X515" s="153"/>
      <c r="Y515" s="153"/>
      <c r="Z515" s="153"/>
      <c r="AA515" s="155"/>
      <c r="AB515" s="154"/>
      <c r="AC515" s="155"/>
      <c r="AD515" s="155"/>
    </row>
    <row r="516" spans="5:30" x14ac:dyDescent="0.25">
      <c r="E516" s="153"/>
      <c r="F516" s="153"/>
      <c r="G516" s="153"/>
      <c r="H516" s="153"/>
      <c r="I516" s="153"/>
      <c r="J516" s="155"/>
      <c r="K516" s="154"/>
      <c r="L516" s="155"/>
      <c r="M516" s="155"/>
      <c r="N516" s="155"/>
      <c r="W516" s="152"/>
      <c r="X516" s="153"/>
      <c r="Y516" s="153"/>
      <c r="Z516" s="153"/>
      <c r="AA516" s="155"/>
      <c r="AB516" s="154"/>
      <c r="AC516" s="155"/>
      <c r="AD516" s="155"/>
    </row>
    <row r="517" spans="5:30" x14ac:dyDescent="0.25">
      <c r="E517" s="153"/>
      <c r="F517" s="153"/>
      <c r="G517" s="153"/>
      <c r="H517" s="153"/>
      <c r="I517" s="153"/>
      <c r="J517" s="155"/>
      <c r="K517" s="154"/>
      <c r="L517" s="155"/>
      <c r="M517" s="155"/>
      <c r="N517" s="155"/>
      <c r="W517" s="152"/>
      <c r="X517" s="153"/>
      <c r="Y517" s="153"/>
      <c r="Z517" s="153"/>
      <c r="AA517" s="155"/>
      <c r="AB517" s="154"/>
      <c r="AC517" s="155"/>
      <c r="AD517" s="155"/>
    </row>
    <row r="518" spans="5:30" x14ac:dyDescent="0.25">
      <c r="E518" s="153"/>
      <c r="F518" s="153"/>
      <c r="G518" s="153"/>
      <c r="H518" s="153"/>
      <c r="I518" s="153"/>
      <c r="J518" s="155"/>
      <c r="K518" s="154"/>
      <c r="L518" s="155"/>
      <c r="M518" s="155"/>
      <c r="N518" s="155"/>
      <c r="W518" s="152"/>
      <c r="X518" s="153"/>
      <c r="Y518" s="153"/>
      <c r="Z518" s="153"/>
      <c r="AA518" s="155"/>
      <c r="AB518" s="154"/>
      <c r="AC518" s="155"/>
      <c r="AD518" s="155"/>
    </row>
    <row r="519" spans="5:30" x14ac:dyDescent="0.25">
      <c r="E519" s="153"/>
      <c r="F519" s="153"/>
      <c r="G519" s="153"/>
      <c r="H519" s="153"/>
      <c r="I519" s="153"/>
      <c r="J519" s="155"/>
      <c r="K519" s="154"/>
      <c r="L519" s="155"/>
      <c r="M519" s="155"/>
      <c r="N519" s="155"/>
      <c r="W519" s="152"/>
      <c r="X519" s="153"/>
      <c r="Y519" s="153"/>
      <c r="Z519" s="153"/>
      <c r="AA519" s="155"/>
      <c r="AB519" s="154"/>
      <c r="AC519" s="155"/>
      <c r="AD519" s="155"/>
    </row>
    <row r="520" spans="5:30" x14ac:dyDescent="0.25">
      <c r="E520" s="153"/>
      <c r="F520" s="153"/>
      <c r="G520" s="153"/>
      <c r="H520" s="153"/>
      <c r="I520" s="153"/>
      <c r="J520" s="155"/>
      <c r="K520" s="154"/>
      <c r="L520" s="155"/>
      <c r="M520" s="155"/>
      <c r="N520" s="155"/>
      <c r="W520" s="152"/>
      <c r="X520" s="153"/>
      <c r="Y520" s="153"/>
      <c r="Z520" s="153"/>
      <c r="AA520" s="155"/>
      <c r="AB520" s="154"/>
      <c r="AC520" s="155"/>
      <c r="AD520" s="155"/>
    </row>
    <row r="521" spans="5:30" x14ac:dyDescent="0.25">
      <c r="E521" s="153"/>
      <c r="F521" s="153"/>
      <c r="G521" s="153"/>
      <c r="H521" s="153"/>
      <c r="I521" s="153"/>
      <c r="J521" s="155"/>
      <c r="K521" s="154"/>
      <c r="L521" s="155"/>
      <c r="M521" s="155"/>
      <c r="N521" s="155"/>
      <c r="W521" s="152"/>
      <c r="X521" s="153"/>
      <c r="Y521" s="153"/>
      <c r="Z521" s="153"/>
      <c r="AA521" s="155"/>
      <c r="AB521" s="154"/>
      <c r="AC521" s="155"/>
      <c r="AD521" s="155"/>
    </row>
    <row r="522" spans="5:30" x14ac:dyDescent="0.25">
      <c r="E522" s="153"/>
      <c r="F522" s="153"/>
      <c r="G522" s="153"/>
      <c r="H522" s="153"/>
      <c r="I522" s="153"/>
      <c r="J522" s="155"/>
      <c r="K522" s="154"/>
      <c r="L522" s="155"/>
      <c r="M522" s="155"/>
      <c r="N522" s="155"/>
      <c r="W522" s="152"/>
      <c r="X522" s="153"/>
      <c r="Y522" s="153"/>
      <c r="Z522" s="153"/>
      <c r="AA522" s="155"/>
      <c r="AB522" s="154"/>
      <c r="AC522" s="155"/>
      <c r="AD522" s="155"/>
    </row>
    <row r="523" spans="5:30" x14ac:dyDescent="0.25">
      <c r="E523" s="153"/>
      <c r="F523" s="153"/>
      <c r="G523" s="153"/>
      <c r="H523" s="153"/>
      <c r="I523" s="153"/>
      <c r="J523" s="155"/>
      <c r="K523" s="154"/>
      <c r="L523" s="155"/>
      <c r="M523" s="155"/>
      <c r="N523" s="155"/>
      <c r="W523" s="152"/>
      <c r="X523" s="153"/>
      <c r="Y523" s="153"/>
      <c r="Z523" s="153"/>
      <c r="AA523" s="155"/>
      <c r="AB523" s="154"/>
      <c r="AC523" s="155"/>
      <c r="AD523" s="155"/>
    </row>
    <row r="524" spans="5:30" x14ac:dyDescent="0.25">
      <c r="E524" s="153"/>
      <c r="F524" s="153"/>
      <c r="G524" s="153"/>
      <c r="H524" s="153"/>
      <c r="I524" s="153"/>
      <c r="J524" s="155"/>
      <c r="K524" s="154"/>
      <c r="L524" s="155"/>
      <c r="M524" s="155"/>
      <c r="N524" s="155"/>
      <c r="W524" s="152"/>
      <c r="X524" s="153"/>
      <c r="Y524" s="153"/>
      <c r="Z524" s="153"/>
      <c r="AA524" s="155"/>
      <c r="AB524" s="154"/>
      <c r="AC524" s="155"/>
      <c r="AD524" s="155"/>
    </row>
    <row r="525" spans="5:30" x14ac:dyDescent="0.25">
      <c r="E525" s="153"/>
      <c r="F525" s="153"/>
      <c r="G525" s="153"/>
      <c r="H525" s="153"/>
      <c r="I525" s="153"/>
      <c r="J525" s="155"/>
      <c r="K525" s="154"/>
      <c r="L525" s="155"/>
      <c r="M525" s="155"/>
      <c r="N525" s="155"/>
      <c r="W525" s="152"/>
      <c r="X525" s="153"/>
      <c r="Y525" s="153"/>
      <c r="Z525" s="153"/>
      <c r="AA525" s="155"/>
      <c r="AB525" s="154"/>
      <c r="AC525" s="155"/>
      <c r="AD525" s="155"/>
    </row>
    <row r="526" spans="5:30" x14ac:dyDescent="0.25">
      <c r="E526" s="153"/>
      <c r="F526" s="153"/>
      <c r="G526" s="153"/>
      <c r="H526" s="153"/>
      <c r="I526" s="153"/>
      <c r="J526" s="155"/>
      <c r="K526" s="154"/>
      <c r="L526" s="155"/>
      <c r="M526" s="155"/>
      <c r="N526" s="155"/>
      <c r="W526" s="152"/>
      <c r="X526" s="153"/>
      <c r="Y526" s="153"/>
      <c r="Z526" s="153"/>
      <c r="AA526" s="155"/>
      <c r="AB526" s="154"/>
      <c r="AC526" s="155"/>
      <c r="AD526" s="155"/>
    </row>
    <row r="527" spans="5:30" x14ac:dyDescent="0.25">
      <c r="E527" s="153"/>
      <c r="F527" s="153"/>
      <c r="G527" s="153"/>
      <c r="H527" s="153"/>
      <c r="I527" s="153"/>
      <c r="J527" s="155"/>
      <c r="K527" s="154"/>
      <c r="L527" s="155"/>
      <c r="M527" s="155"/>
      <c r="N527" s="155"/>
      <c r="W527" s="152"/>
      <c r="X527" s="153"/>
      <c r="Y527" s="153"/>
      <c r="Z527" s="153"/>
      <c r="AA527" s="155"/>
      <c r="AB527" s="154"/>
      <c r="AC527" s="155"/>
      <c r="AD527" s="155"/>
    </row>
    <row r="528" spans="5:30" x14ac:dyDescent="0.25">
      <c r="E528" s="153"/>
      <c r="F528" s="153"/>
      <c r="G528" s="153"/>
      <c r="H528" s="153"/>
      <c r="I528" s="153"/>
      <c r="J528" s="155"/>
      <c r="K528" s="154"/>
      <c r="L528" s="155"/>
      <c r="M528" s="155"/>
      <c r="N528" s="155"/>
      <c r="W528" s="152"/>
      <c r="X528" s="153"/>
      <c r="Y528" s="153"/>
      <c r="Z528" s="153"/>
      <c r="AA528" s="155"/>
      <c r="AB528" s="154"/>
      <c r="AC528" s="155"/>
      <c r="AD528" s="155"/>
    </row>
    <row r="529" spans="5:30" x14ac:dyDescent="0.25">
      <c r="E529" s="153"/>
      <c r="F529" s="153"/>
      <c r="G529" s="153"/>
      <c r="H529" s="153"/>
      <c r="I529" s="153"/>
      <c r="J529" s="155"/>
      <c r="K529" s="154"/>
      <c r="L529" s="155"/>
      <c r="M529" s="155"/>
      <c r="N529" s="155"/>
      <c r="W529" s="152"/>
      <c r="X529" s="153"/>
      <c r="Y529" s="153"/>
      <c r="Z529" s="153"/>
      <c r="AA529" s="155"/>
      <c r="AB529" s="154"/>
      <c r="AC529" s="155"/>
      <c r="AD529" s="155"/>
    </row>
    <row r="530" spans="5:30" x14ac:dyDescent="0.25">
      <c r="E530" s="153"/>
      <c r="F530" s="153"/>
      <c r="G530" s="153"/>
      <c r="H530" s="153"/>
      <c r="I530" s="153"/>
      <c r="J530" s="155"/>
      <c r="K530" s="154"/>
      <c r="L530" s="155"/>
      <c r="M530" s="155"/>
      <c r="N530" s="155"/>
      <c r="W530" s="152"/>
      <c r="X530" s="153"/>
      <c r="Y530" s="153"/>
      <c r="Z530" s="153"/>
      <c r="AA530" s="155"/>
      <c r="AB530" s="154"/>
      <c r="AC530" s="155"/>
      <c r="AD530" s="155"/>
    </row>
    <row r="531" spans="5:30" x14ac:dyDescent="0.25">
      <c r="E531" s="153"/>
      <c r="F531" s="153"/>
      <c r="G531" s="153"/>
      <c r="H531" s="153"/>
      <c r="I531" s="153"/>
      <c r="J531" s="155"/>
      <c r="K531" s="154"/>
      <c r="L531" s="155"/>
      <c r="M531" s="155"/>
      <c r="N531" s="155"/>
      <c r="W531" s="152"/>
      <c r="X531" s="153"/>
      <c r="Y531" s="153"/>
      <c r="Z531" s="153"/>
      <c r="AA531" s="155"/>
      <c r="AB531" s="154"/>
      <c r="AC531" s="155"/>
      <c r="AD531" s="155"/>
    </row>
    <row r="532" spans="5:30" x14ac:dyDescent="0.25">
      <c r="E532" s="153"/>
      <c r="F532" s="153"/>
      <c r="G532" s="153"/>
      <c r="H532" s="153"/>
      <c r="I532" s="153"/>
      <c r="J532" s="155"/>
      <c r="K532" s="154"/>
      <c r="L532" s="155"/>
      <c r="M532" s="155"/>
      <c r="N532" s="155"/>
      <c r="W532" s="152"/>
      <c r="X532" s="153"/>
      <c r="Y532" s="153"/>
      <c r="Z532" s="153"/>
      <c r="AA532" s="155"/>
      <c r="AB532" s="154"/>
      <c r="AC532" s="155"/>
      <c r="AD532" s="155"/>
    </row>
    <row r="533" spans="5:30" x14ac:dyDescent="0.25">
      <c r="E533" s="153"/>
      <c r="F533" s="153"/>
      <c r="G533" s="153"/>
      <c r="H533" s="153"/>
      <c r="I533" s="153"/>
      <c r="J533" s="155"/>
      <c r="K533" s="154"/>
      <c r="L533" s="155"/>
      <c r="M533" s="155"/>
      <c r="N533" s="155"/>
      <c r="W533" s="152"/>
      <c r="X533" s="153"/>
      <c r="Y533" s="153"/>
      <c r="Z533" s="153"/>
      <c r="AA533" s="155"/>
      <c r="AB533" s="154"/>
      <c r="AC533" s="155"/>
      <c r="AD533" s="155"/>
    </row>
    <row r="534" spans="5:30" x14ac:dyDescent="0.25">
      <c r="E534" s="153"/>
      <c r="F534" s="153"/>
      <c r="G534" s="153"/>
      <c r="H534" s="153"/>
      <c r="I534" s="153"/>
      <c r="J534" s="155"/>
      <c r="K534" s="154"/>
      <c r="L534" s="155"/>
      <c r="M534" s="155"/>
      <c r="N534" s="155"/>
      <c r="W534" s="152"/>
      <c r="X534" s="153"/>
      <c r="Y534" s="153"/>
      <c r="Z534" s="153"/>
      <c r="AA534" s="155"/>
      <c r="AB534" s="154"/>
      <c r="AC534" s="155"/>
      <c r="AD534" s="155"/>
    </row>
    <row r="535" spans="5:30" x14ac:dyDescent="0.25">
      <c r="E535" s="153"/>
      <c r="F535" s="153"/>
      <c r="G535" s="153"/>
      <c r="H535" s="153"/>
      <c r="I535" s="153"/>
      <c r="J535" s="155"/>
      <c r="K535" s="154"/>
      <c r="L535" s="155"/>
      <c r="M535" s="155"/>
      <c r="N535" s="155"/>
      <c r="W535" s="152"/>
      <c r="X535" s="153"/>
      <c r="Y535" s="153"/>
      <c r="Z535" s="153"/>
      <c r="AA535" s="155"/>
      <c r="AB535" s="154"/>
      <c r="AC535" s="155"/>
      <c r="AD535" s="155"/>
    </row>
    <row r="536" spans="5:30" x14ac:dyDescent="0.25">
      <c r="E536" s="153"/>
      <c r="F536" s="153"/>
      <c r="G536" s="153"/>
      <c r="H536" s="153"/>
      <c r="I536" s="153"/>
      <c r="J536" s="155"/>
      <c r="K536" s="154"/>
      <c r="L536" s="155"/>
      <c r="M536" s="155"/>
      <c r="N536" s="155"/>
      <c r="W536" s="152"/>
      <c r="X536" s="153"/>
      <c r="Y536" s="153"/>
      <c r="Z536" s="153"/>
      <c r="AA536" s="155"/>
      <c r="AB536" s="154"/>
      <c r="AC536" s="155"/>
      <c r="AD536" s="155"/>
    </row>
    <row r="537" spans="5:30" x14ac:dyDescent="0.25">
      <c r="E537" s="153"/>
      <c r="F537" s="153"/>
      <c r="G537" s="153"/>
      <c r="H537" s="153"/>
      <c r="I537" s="153"/>
      <c r="J537" s="155"/>
      <c r="K537" s="154"/>
      <c r="L537" s="155"/>
      <c r="M537" s="155"/>
      <c r="N537" s="155"/>
      <c r="W537" s="152"/>
      <c r="X537" s="153"/>
      <c r="Y537" s="153"/>
      <c r="Z537" s="153"/>
      <c r="AA537" s="155"/>
      <c r="AB537" s="154"/>
      <c r="AC537" s="155"/>
      <c r="AD537" s="155"/>
    </row>
    <row r="538" spans="5:30" x14ac:dyDescent="0.25">
      <c r="E538" s="153"/>
      <c r="F538" s="153"/>
      <c r="G538" s="153"/>
      <c r="H538" s="153"/>
      <c r="I538" s="153"/>
      <c r="J538" s="155"/>
      <c r="K538" s="154"/>
      <c r="L538" s="155"/>
      <c r="M538" s="155"/>
      <c r="N538" s="155"/>
      <c r="W538" s="152"/>
      <c r="X538" s="153"/>
      <c r="Y538" s="153"/>
      <c r="Z538" s="153"/>
      <c r="AA538" s="155"/>
      <c r="AB538" s="154"/>
      <c r="AC538" s="155"/>
      <c r="AD538" s="155"/>
    </row>
    <row r="539" spans="5:30" x14ac:dyDescent="0.25">
      <c r="E539" s="153"/>
      <c r="F539" s="153"/>
      <c r="G539" s="153"/>
      <c r="H539" s="153"/>
      <c r="I539" s="153"/>
      <c r="J539" s="155"/>
      <c r="K539" s="154"/>
      <c r="L539" s="155"/>
      <c r="M539" s="155"/>
      <c r="N539" s="155"/>
      <c r="W539" s="152"/>
      <c r="X539" s="153"/>
      <c r="Y539" s="153"/>
      <c r="Z539" s="153"/>
      <c r="AA539" s="155"/>
      <c r="AB539" s="154"/>
      <c r="AC539" s="155"/>
      <c r="AD539" s="155"/>
    </row>
    <row r="540" spans="5:30" x14ac:dyDescent="0.25">
      <c r="E540" s="153"/>
      <c r="F540" s="153"/>
      <c r="G540" s="153"/>
      <c r="H540" s="153"/>
      <c r="I540" s="153"/>
      <c r="J540" s="155"/>
      <c r="K540" s="154"/>
      <c r="L540" s="155"/>
      <c r="M540" s="155"/>
      <c r="N540" s="155"/>
      <c r="W540" s="152"/>
      <c r="X540" s="153"/>
      <c r="Y540" s="153"/>
      <c r="Z540" s="153"/>
      <c r="AA540" s="155"/>
      <c r="AB540" s="154"/>
      <c r="AC540" s="155"/>
      <c r="AD540" s="155"/>
    </row>
    <row r="541" spans="5:30" x14ac:dyDescent="0.25">
      <c r="E541" s="153"/>
      <c r="F541" s="153"/>
      <c r="G541" s="153"/>
      <c r="H541" s="153"/>
      <c r="I541" s="153"/>
      <c r="J541" s="155"/>
      <c r="K541" s="154"/>
      <c r="L541" s="155"/>
      <c r="M541" s="155"/>
      <c r="N541" s="155"/>
      <c r="W541" s="152"/>
      <c r="X541" s="153"/>
      <c r="Y541" s="153"/>
      <c r="Z541" s="153"/>
      <c r="AA541" s="155"/>
      <c r="AB541" s="154"/>
      <c r="AC541" s="155"/>
      <c r="AD541" s="155"/>
    </row>
    <row r="542" spans="5:30" x14ac:dyDescent="0.25">
      <c r="E542" s="153"/>
      <c r="F542" s="153"/>
      <c r="G542" s="153"/>
      <c r="H542" s="153"/>
      <c r="I542" s="153"/>
      <c r="J542" s="155"/>
      <c r="K542" s="154"/>
      <c r="L542" s="155"/>
      <c r="M542" s="155"/>
      <c r="N542" s="155"/>
      <c r="W542" s="152"/>
      <c r="X542" s="153"/>
      <c r="Y542" s="153"/>
      <c r="Z542" s="153"/>
      <c r="AA542" s="155"/>
      <c r="AB542" s="154"/>
      <c r="AC542" s="155"/>
      <c r="AD542" s="155"/>
    </row>
    <row r="543" spans="5:30" x14ac:dyDescent="0.25">
      <c r="E543" s="153"/>
      <c r="F543" s="153"/>
      <c r="G543" s="153"/>
      <c r="H543" s="153"/>
      <c r="I543" s="153"/>
      <c r="J543" s="155"/>
      <c r="K543" s="154"/>
      <c r="L543" s="155"/>
      <c r="M543" s="155"/>
      <c r="N543" s="155"/>
      <c r="W543" s="152"/>
      <c r="X543" s="153"/>
      <c r="Y543" s="153"/>
      <c r="Z543" s="153"/>
      <c r="AA543" s="155"/>
      <c r="AB543" s="154"/>
      <c r="AC543" s="155"/>
      <c r="AD543" s="155"/>
    </row>
    <row r="544" spans="5:30" x14ac:dyDescent="0.25">
      <c r="E544" s="153"/>
      <c r="F544" s="153"/>
      <c r="G544" s="153"/>
      <c r="H544" s="153"/>
      <c r="I544" s="153"/>
      <c r="J544" s="155"/>
      <c r="K544" s="154"/>
      <c r="L544" s="155"/>
      <c r="M544" s="155"/>
      <c r="N544" s="155"/>
      <c r="W544" s="152"/>
      <c r="X544" s="153"/>
      <c r="Y544" s="153"/>
      <c r="Z544" s="153"/>
      <c r="AA544" s="155"/>
      <c r="AB544" s="154"/>
      <c r="AC544" s="155"/>
      <c r="AD544" s="155"/>
    </row>
    <row r="545" spans="5:30" x14ac:dyDescent="0.25">
      <c r="E545" s="153"/>
      <c r="F545" s="153"/>
      <c r="G545" s="153"/>
      <c r="H545" s="153"/>
      <c r="I545" s="153"/>
      <c r="J545" s="155"/>
      <c r="K545" s="154"/>
      <c r="L545" s="155"/>
      <c r="M545" s="155"/>
      <c r="N545" s="155"/>
      <c r="W545" s="152"/>
      <c r="X545" s="153"/>
      <c r="Y545" s="153"/>
      <c r="Z545" s="153"/>
      <c r="AA545" s="155"/>
      <c r="AB545" s="154"/>
      <c r="AC545" s="155"/>
      <c r="AD545" s="155"/>
    </row>
    <row r="546" spans="5:30" x14ac:dyDescent="0.25">
      <c r="E546" s="153"/>
      <c r="F546" s="153"/>
      <c r="G546" s="153"/>
      <c r="H546" s="153"/>
      <c r="I546" s="153"/>
      <c r="J546" s="155"/>
      <c r="K546" s="154"/>
      <c r="L546" s="155"/>
      <c r="M546" s="155"/>
      <c r="N546" s="155"/>
      <c r="W546" s="152"/>
      <c r="X546" s="153"/>
      <c r="Y546" s="153"/>
      <c r="Z546" s="153"/>
      <c r="AA546" s="155"/>
      <c r="AB546" s="154"/>
      <c r="AC546" s="155"/>
      <c r="AD546" s="155"/>
    </row>
    <row r="547" spans="5:30" x14ac:dyDescent="0.25">
      <c r="E547" s="153"/>
      <c r="F547" s="153"/>
      <c r="G547" s="153"/>
      <c r="H547" s="153"/>
      <c r="I547" s="153"/>
      <c r="J547" s="155"/>
      <c r="K547" s="154"/>
      <c r="L547" s="155"/>
      <c r="M547" s="155"/>
      <c r="N547" s="155"/>
      <c r="W547" s="152"/>
      <c r="X547" s="153"/>
      <c r="Y547" s="153"/>
      <c r="Z547" s="153"/>
      <c r="AA547" s="155"/>
      <c r="AB547" s="154"/>
      <c r="AC547" s="155"/>
      <c r="AD547" s="155"/>
    </row>
    <row r="548" spans="5:30" x14ac:dyDescent="0.25">
      <c r="E548" s="153"/>
      <c r="F548" s="153"/>
      <c r="G548" s="153"/>
      <c r="H548" s="153"/>
      <c r="I548" s="153"/>
      <c r="J548" s="155"/>
      <c r="K548" s="154"/>
      <c r="L548" s="155"/>
      <c r="M548" s="155"/>
      <c r="N548" s="155"/>
      <c r="W548" s="152"/>
      <c r="X548" s="153"/>
      <c r="Y548" s="153"/>
      <c r="Z548" s="153"/>
      <c r="AA548" s="155"/>
      <c r="AB548" s="154"/>
      <c r="AC548" s="155"/>
      <c r="AD548" s="155"/>
    </row>
    <row r="549" spans="5:30" x14ac:dyDescent="0.25">
      <c r="E549" s="153"/>
      <c r="F549" s="153"/>
      <c r="G549" s="153"/>
      <c r="H549" s="153"/>
      <c r="I549" s="153"/>
      <c r="J549" s="155"/>
      <c r="K549" s="154"/>
      <c r="L549" s="155"/>
      <c r="M549" s="155"/>
      <c r="N549" s="155"/>
      <c r="W549" s="152"/>
      <c r="X549" s="153"/>
      <c r="Y549" s="153"/>
      <c r="Z549" s="153"/>
      <c r="AA549" s="155"/>
      <c r="AB549" s="154"/>
      <c r="AC549" s="155"/>
      <c r="AD549" s="155"/>
    </row>
    <row r="550" spans="5:30" x14ac:dyDescent="0.25">
      <c r="E550" s="153"/>
      <c r="F550" s="153"/>
      <c r="G550" s="153"/>
      <c r="H550" s="153"/>
      <c r="I550" s="153"/>
      <c r="J550" s="155"/>
      <c r="K550" s="154"/>
      <c r="L550" s="155"/>
      <c r="M550" s="155"/>
      <c r="N550" s="155"/>
      <c r="W550" s="152"/>
      <c r="X550" s="153"/>
      <c r="Y550" s="153"/>
      <c r="Z550" s="153"/>
      <c r="AA550" s="155"/>
      <c r="AB550" s="154"/>
      <c r="AC550" s="155"/>
      <c r="AD550" s="155"/>
    </row>
    <row r="551" spans="5:30" x14ac:dyDescent="0.25">
      <c r="E551" s="153"/>
      <c r="F551" s="153"/>
      <c r="G551" s="153"/>
      <c r="H551" s="153"/>
      <c r="I551" s="153"/>
      <c r="J551" s="155"/>
      <c r="K551" s="154"/>
      <c r="L551" s="155"/>
      <c r="M551" s="155"/>
      <c r="N551" s="155"/>
      <c r="W551" s="152"/>
      <c r="X551" s="153"/>
      <c r="Y551" s="153"/>
      <c r="Z551" s="153"/>
      <c r="AA551" s="155"/>
      <c r="AB551" s="154"/>
      <c r="AC551" s="155"/>
      <c r="AD551" s="155"/>
    </row>
    <row r="552" spans="5:30" x14ac:dyDescent="0.25">
      <c r="E552" s="153"/>
      <c r="F552" s="153"/>
      <c r="G552" s="153"/>
      <c r="H552" s="153"/>
      <c r="I552" s="153"/>
      <c r="J552" s="155"/>
      <c r="K552" s="154"/>
      <c r="L552" s="155"/>
      <c r="M552" s="155"/>
      <c r="N552" s="155"/>
      <c r="W552" s="152"/>
      <c r="X552" s="153"/>
      <c r="Y552" s="153"/>
      <c r="Z552" s="153"/>
      <c r="AA552" s="155"/>
      <c r="AB552" s="154"/>
      <c r="AC552" s="155"/>
      <c r="AD552" s="155"/>
    </row>
    <row r="553" spans="5:30" x14ac:dyDescent="0.25">
      <c r="E553" s="153"/>
      <c r="F553" s="153"/>
      <c r="G553" s="153"/>
      <c r="H553" s="153"/>
      <c r="I553" s="153"/>
      <c r="J553" s="155"/>
      <c r="K553" s="154"/>
      <c r="L553" s="155"/>
      <c r="M553" s="155"/>
      <c r="N553" s="155"/>
      <c r="W553" s="152"/>
      <c r="X553" s="153"/>
      <c r="Y553" s="153"/>
      <c r="Z553" s="153"/>
      <c r="AA553" s="155"/>
      <c r="AB553" s="154"/>
      <c r="AC553" s="155"/>
      <c r="AD553" s="155"/>
    </row>
    <row r="554" spans="5:30" x14ac:dyDescent="0.25">
      <c r="E554" s="153"/>
      <c r="F554" s="153"/>
      <c r="G554" s="153"/>
      <c r="H554" s="153"/>
      <c r="I554" s="153"/>
      <c r="J554" s="155"/>
      <c r="K554" s="154"/>
      <c r="L554" s="155"/>
      <c r="M554" s="155"/>
      <c r="N554" s="155"/>
      <c r="W554" s="152"/>
      <c r="X554" s="153"/>
      <c r="Y554" s="153"/>
      <c r="Z554" s="153"/>
      <c r="AA554" s="155"/>
      <c r="AB554" s="154"/>
      <c r="AC554" s="155"/>
      <c r="AD554" s="155"/>
    </row>
    <row r="555" spans="5:30" x14ac:dyDescent="0.25">
      <c r="E555" s="153"/>
      <c r="F555" s="153"/>
      <c r="G555" s="153"/>
      <c r="H555" s="153"/>
      <c r="I555" s="153"/>
      <c r="J555" s="155"/>
      <c r="K555" s="154"/>
      <c r="L555" s="155"/>
      <c r="M555" s="155"/>
      <c r="N555" s="155"/>
      <c r="W555" s="152"/>
      <c r="X555" s="153"/>
      <c r="Y555" s="153"/>
      <c r="Z555" s="153"/>
      <c r="AA555" s="155"/>
      <c r="AB555" s="154"/>
      <c r="AC555" s="155"/>
      <c r="AD555" s="155"/>
    </row>
    <row r="556" spans="5:30" x14ac:dyDescent="0.25">
      <c r="E556" s="153"/>
      <c r="F556" s="153"/>
      <c r="G556" s="153"/>
      <c r="H556" s="153"/>
      <c r="I556" s="153"/>
      <c r="J556" s="155"/>
      <c r="K556" s="154"/>
      <c r="L556" s="155"/>
      <c r="M556" s="155"/>
      <c r="N556" s="155"/>
      <c r="W556" s="152"/>
      <c r="X556" s="153"/>
      <c r="Y556" s="153"/>
      <c r="Z556" s="153"/>
      <c r="AA556" s="155"/>
      <c r="AB556" s="154"/>
      <c r="AC556" s="155"/>
      <c r="AD556" s="155"/>
    </row>
    <row r="557" spans="5:30" x14ac:dyDescent="0.25">
      <c r="E557" s="153"/>
      <c r="F557" s="153"/>
      <c r="G557" s="153"/>
      <c r="H557" s="153"/>
      <c r="I557" s="153"/>
      <c r="J557" s="155"/>
      <c r="K557" s="154"/>
      <c r="L557" s="155"/>
      <c r="M557" s="155"/>
      <c r="N557" s="155"/>
      <c r="W557" s="152"/>
      <c r="X557" s="153"/>
      <c r="Y557" s="153"/>
      <c r="Z557" s="153"/>
      <c r="AA557" s="155"/>
      <c r="AB557" s="154"/>
      <c r="AC557" s="155"/>
      <c r="AD557" s="155"/>
    </row>
    <row r="558" spans="5:30" x14ac:dyDescent="0.25">
      <c r="E558" s="153"/>
      <c r="F558" s="153"/>
      <c r="G558" s="153"/>
      <c r="H558" s="153"/>
      <c r="I558" s="153"/>
      <c r="J558" s="155"/>
      <c r="K558" s="154"/>
      <c r="L558" s="155"/>
      <c r="M558" s="155"/>
      <c r="N558" s="155"/>
      <c r="W558" s="152"/>
      <c r="X558" s="153"/>
      <c r="Y558" s="153"/>
      <c r="Z558" s="153"/>
      <c r="AA558" s="155"/>
      <c r="AB558" s="154"/>
      <c r="AC558" s="155"/>
      <c r="AD558" s="155"/>
    </row>
    <row r="559" spans="5:30" x14ac:dyDescent="0.25">
      <c r="E559" s="153"/>
      <c r="F559" s="153"/>
      <c r="G559" s="153"/>
      <c r="H559" s="153"/>
      <c r="I559" s="153"/>
      <c r="J559" s="155"/>
      <c r="K559" s="154"/>
      <c r="L559" s="155"/>
      <c r="M559" s="155"/>
      <c r="N559" s="155"/>
      <c r="W559" s="152"/>
      <c r="X559" s="153"/>
      <c r="Y559" s="153"/>
      <c r="Z559" s="153"/>
      <c r="AA559" s="155"/>
      <c r="AB559" s="154"/>
      <c r="AC559" s="155"/>
      <c r="AD559" s="155"/>
    </row>
    <row r="560" spans="5:30" x14ac:dyDescent="0.25">
      <c r="E560" s="153"/>
      <c r="F560" s="153"/>
      <c r="G560" s="153"/>
      <c r="H560" s="153"/>
      <c r="I560" s="153"/>
      <c r="J560" s="155"/>
      <c r="K560" s="154"/>
      <c r="L560" s="155"/>
      <c r="M560" s="155"/>
      <c r="N560" s="155"/>
      <c r="W560" s="152"/>
      <c r="X560" s="153"/>
      <c r="Y560" s="153"/>
      <c r="Z560" s="153"/>
      <c r="AA560" s="155"/>
      <c r="AB560" s="154"/>
      <c r="AC560" s="155"/>
      <c r="AD560" s="155"/>
    </row>
    <row r="561" spans="5:30" x14ac:dyDescent="0.25">
      <c r="E561" s="153"/>
      <c r="F561" s="153"/>
      <c r="G561" s="153"/>
      <c r="H561" s="153"/>
      <c r="I561" s="153"/>
      <c r="J561" s="155"/>
      <c r="K561" s="154"/>
      <c r="L561" s="155"/>
      <c r="M561" s="155"/>
      <c r="N561" s="155"/>
      <c r="W561" s="152"/>
      <c r="X561" s="153"/>
      <c r="Y561" s="153"/>
      <c r="Z561" s="153"/>
      <c r="AA561" s="155"/>
      <c r="AB561" s="154"/>
      <c r="AC561" s="155"/>
      <c r="AD561" s="155"/>
    </row>
    <row r="562" spans="5:30" x14ac:dyDescent="0.25">
      <c r="E562" s="153"/>
      <c r="F562" s="153"/>
      <c r="G562" s="153"/>
      <c r="H562" s="153"/>
      <c r="I562" s="153"/>
      <c r="J562" s="155"/>
      <c r="K562" s="154"/>
      <c r="L562" s="155"/>
      <c r="M562" s="155"/>
      <c r="N562" s="155"/>
      <c r="W562" s="152"/>
      <c r="X562" s="153"/>
      <c r="Y562" s="153"/>
      <c r="Z562" s="153"/>
      <c r="AA562" s="155"/>
      <c r="AB562" s="154"/>
      <c r="AC562" s="155"/>
      <c r="AD562" s="155"/>
    </row>
    <row r="563" spans="5:30" x14ac:dyDescent="0.25">
      <c r="E563" s="153"/>
      <c r="F563" s="153"/>
      <c r="G563" s="153"/>
      <c r="H563" s="153"/>
      <c r="I563" s="153"/>
      <c r="J563" s="155"/>
      <c r="K563" s="154"/>
      <c r="L563" s="155"/>
      <c r="M563" s="155"/>
      <c r="N563" s="155"/>
      <c r="W563" s="152"/>
      <c r="X563" s="153"/>
      <c r="Y563" s="153"/>
      <c r="Z563" s="153"/>
      <c r="AA563" s="155"/>
      <c r="AB563" s="154"/>
      <c r="AC563" s="155"/>
      <c r="AD563" s="155"/>
    </row>
    <row r="564" spans="5:30" x14ac:dyDescent="0.25">
      <c r="E564" s="153"/>
      <c r="F564" s="153"/>
      <c r="G564" s="153"/>
      <c r="H564" s="153"/>
      <c r="I564" s="153"/>
      <c r="J564" s="155"/>
      <c r="K564" s="154"/>
      <c r="L564" s="155"/>
      <c r="M564" s="155"/>
      <c r="N564" s="155"/>
      <c r="W564" s="152"/>
      <c r="X564" s="153"/>
      <c r="Y564" s="153"/>
      <c r="Z564" s="153"/>
      <c r="AA564" s="155"/>
      <c r="AB564" s="154"/>
      <c r="AC564" s="155"/>
      <c r="AD564" s="155"/>
    </row>
    <row r="565" spans="5:30" x14ac:dyDescent="0.25">
      <c r="E565" s="153"/>
      <c r="F565" s="153"/>
      <c r="G565" s="153"/>
      <c r="H565" s="153"/>
      <c r="I565" s="153"/>
      <c r="J565" s="155"/>
      <c r="K565" s="154"/>
      <c r="L565" s="155"/>
      <c r="M565" s="155"/>
      <c r="N565" s="155"/>
      <c r="W565" s="152"/>
      <c r="X565" s="153"/>
      <c r="Y565" s="153"/>
      <c r="Z565" s="153"/>
      <c r="AA565" s="155"/>
      <c r="AB565" s="154"/>
      <c r="AC565" s="155"/>
      <c r="AD565" s="155"/>
    </row>
    <row r="566" spans="5:30" x14ac:dyDescent="0.25">
      <c r="E566" s="153"/>
      <c r="F566" s="153"/>
      <c r="G566" s="153"/>
      <c r="H566" s="153"/>
      <c r="I566" s="153"/>
      <c r="J566" s="155"/>
      <c r="K566" s="154"/>
      <c r="L566" s="155"/>
      <c r="M566" s="155"/>
      <c r="N566" s="155"/>
      <c r="W566" s="152"/>
      <c r="X566" s="153"/>
      <c r="Y566" s="153"/>
      <c r="Z566" s="153"/>
      <c r="AA566" s="155"/>
      <c r="AB566" s="154"/>
      <c r="AC566" s="155"/>
      <c r="AD566" s="155"/>
    </row>
    <row r="567" spans="5:30" x14ac:dyDescent="0.25">
      <c r="E567" s="153"/>
      <c r="F567" s="153"/>
      <c r="G567" s="153"/>
      <c r="H567" s="153"/>
      <c r="I567" s="153"/>
      <c r="J567" s="155"/>
      <c r="K567" s="154"/>
      <c r="L567" s="155"/>
      <c r="M567" s="155"/>
      <c r="N567" s="155"/>
      <c r="W567" s="152"/>
      <c r="X567" s="153"/>
      <c r="Y567" s="153"/>
      <c r="Z567" s="153"/>
      <c r="AA567" s="155"/>
      <c r="AB567" s="154"/>
      <c r="AC567" s="155"/>
      <c r="AD567" s="155"/>
    </row>
    <row r="568" spans="5:30" x14ac:dyDescent="0.25">
      <c r="E568" s="153"/>
      <c r="F568" s="153"/>
      <c r="G568" s="153"/>
      <c r="H568" s="153"/>
      <c r="I568" s="153"/>
      <c r="J568" s="155"/>
      <c r="K568" s="154"/>
      <c r="L568" s="155"/>
      <c r="M568" s="155"/>
      <c r="N568" s="155"/>
      <c r="W568" s="152"/>
      <c r="X568" s="153"/>
      <c r="Y568" s="153"/>
      <c r="Z568" s="153"/>
      <c r="AA568" s="155"/>
      <c r="AB568" s="154"/>
      <c r="AC568" s="155"/>
      <c r="AD568" s="155"/>
    </row>
    <row r="569" spans="5:30" x14ac:dyDescent="0.25">
      <c r="E569" s="153"/>
      <c r="F569" s="153"/>
      <c r="G569" s="153"/>
      <c r="H569" s="153"/>
      <c r="I569" s="153"/>
      <c r="J569" s="155"/>
      <c r="K569" s="154"/>
      <c r="L569" s="155"/>
      <c r="M569" s="155"/>
      <c r="N569" s="155"/>
      <c r="W569" s="152"/>
      <c r="X569" s="153"/>
      <c r="Y569" s="153"/>
      <c r="Z569" s="153"/>
      <c r="AA569" s="155"/>
      <c r="AB569" s="154"/>
      <c r="AC569" s="155"/>
      <c r="AD569" s="155"/>
    </row>
    <row r="570" spans="5:30" x14ac:dyDescent="0.25">
      <c r="E570" s="153"/>
      <c r="F570" s="153"/>
      <c r="G570" s="153"/>
      <c r="H570" s="153"/>
      <c r="I570" s="153"/>
      <c r="J570" s="155"/>
      <c r="K570" s="154"/>
      <c r="L570" s="155"/>
      <c r="M570" s="155"/>
      <c r="N570" s="155"/>
      <c r="W570" s="152"/>
      <c r="X570" s="153"/>
      <c r="Y570" s="153"/>
      <c r="Z570" s="153"/>
      <c r="AA570" s="155"/>
      <c r="AB570" s="154"/>
      <c r="AC570" s="155"/>
      <c r="AD570" s="155"/>
    </row>
    <row r="571" spans="5:30" x14ac:dyDescent="0.25">
      <c r="E571" s="153"/>
      <c r="F571" s="153"/>
      <c r="G571" s="153"/>
      <c r="H571" s="153"/>
      <c r="I571" s="153"/>
      <c r="J571" s="155"/>
      <c r="K571" s="154"/>
      <c r="L571" s="155"/>
      <c r="M571" s="155"/>
      <c r="N571" s="155"/>
      <c r="W571" s="152"/>
      <c r="X571" s="153"/>
      <c r="Y571" s="153"/>
      <c r="Z571" s="153"/>
      <c r="AA571" s="155"/>
      <c r="AB571" s="154"/>
      <c r="AC571" s="155"/>
      <c r="AD571" s="155"/>
    </row>
    <row r="572" spans="5:30" x14ac:dyDescent="0.25">
      <c r="E572" s="153"/>
      <c r="F572" s="153"/>
      <c r="G572" s="153"/>
      <c r="H572" s="153"/>
      <c r="I572" s="153"/>
      <c r="J572" s="155"/>
      <c r="K572" s="154"/>
      <c r="L572" s="155"/>
      <c r="M572" s="155"/>
      <c r="N572" s="155"/>
      <c r="W572" s="152"/>
      <c r="X572" s="153"/>
      <c r="Y572" s="153"/>
      <c r="Z572" s="153"/>
      <c r="AA572" s="155"/>
      <c r="AB572" s="154"/>
      <c r="AC572" s="155"/>
      <c r="AD572" s="155"/>
    </row>
    <row r="573" spans="5:30" x14ac:dyDescent="0.25">
      <c r="E573" s="153"/>
      <c r="F573" s="153"/>
      <c r="G573" s="153"/>
      <c r="H573" s="153"/>
      <c r="I573" s="153"/>
      <c r="J573" s="155"/>
      <c r="K573" s="154"/>
      <c r="L573" s="155"/>
      <c r="M573" s="155"/>
      <c r="N573" s="155"/>
      <c r="W573" s="152"/>
      <c r="X573" s="153"/>
      <c r="Y573" s="153"/>
      <c r="Z573" s="153"/>
      <c r="AA573" s="155"/>
      <c r="AB573" s="154"/>
      <c r="AC573" s="155"/>
      <c r="AD573" s="155"/>
    </row>
    <row r="574" spans="5:30" x14ac:dyDescent="0.25">
      <c r="E574" s="153"/>
      <c r="F574" s="153"/>
      <c r="G574" s="153"/>
      <c r="H574" s="153"/>
      <c r="I574" s="153"/>
      <c r="J574" s="155"/>
      <c r="K574" s="154"/>
      <c r="L574" s="155"/>
      <c r="M574" s="155"/>
      <c r="N574" s="155"/>
      <c r="W574" s="152"/>
      <c r="X574" s="153"/>
      <c r="Y574" s="153"/>
      <c r="Z574" s="153"/>
      <c r="AA574" s="155"/>
      <c r="AB574" s="154"/>
      <c r="AC574" s="155"/>
      <c r="AD574" s="155"/>
    </row>
    <row r="575" spans="5:30" x14ac:dyDescent="0.25">
      <c r="E575" s="153"/>
      <c r="F575" s="153"/>
      <c r="G575" s="153"/>
      <c r="H575" s="153"/>
      <c r="I575" s="153"/>
      <c r="J575" s="155"/>
      <c r="K575" s="154"/>
      <c r="L575" s="155"/>
      <c r="M575" s="155"/>
      <c r="N575" s="155"/>
      <c r="W575" s="152"/>
      <c r="X575" s="153"/>
      <c r="Y575" s="153"/>
      <c r="Z575" s="153"/>
      <c r="AA575" s="155"/>
      <c r="AB575" s="154"/>
      <c r="AC575" s="155"/>
      <c r="AD575" s="155"/>
    </row>
    <row r="576" spans="5:30" x14ac:dyDescent="0.25">
      <c r="E576" s="153"/>
      <c r="F576" s="153"/>
      <c r="G576" s="153"/>
      <c r="H576" s="153"/>
      <c r="I576" s="153"/>
      <c r="J576" s="155"/>
      <c r="K576" s="154"/>
      <c r="L576" s="155"/>
      <c r="M576" s="155"/>
      <c r="N576" s="155"/>
      <c r="W576" s="152"/>
      <c r="X576" s="153"/>
      <c r="Y576" s="153"/>
      <c r="Z576" s="153"/>
      <c r="AA576" s="155"/>
      <c r="AB576" s="154"/>
      <c r="AC576" s="155"/>
      <c r="AD576" s="155"/>
    </row>
    <row r="577" spans="5:30" x14ac:dyDescent="0.25">
      <c r="E577" s="153"/>
      <c r="F577" s="153"/>
      <c r="G577" s="153"/>
      <c r="H577" s="153"/>
      <c r="I577" s="153"/>
      <c r="J577" s="155"/>
      <c r="K577" s="154"/>
      <c r="L577" s="155"/>
      <c r="M577" s="155"/>
      <c r="N577" s="155"/>
      <c r="W577" s="152"/>
      <c r="X577" s="153"/>
      <c r="Y577" s="153"/>
      <c r="Z577" s="153"/>
      <c r="AA577" s="155"/>
      <c r="AB577" s="154"/>
      <c r="AC577" s="155"/>
      <c r="AD577" s="155"/>
    </row>
    <row r="578" spans="5:30" x14ac:dyDescent="0.25">
      <c r="E578" s="153"/>
      <c r="F578" s="153"/>
      <c r="G578" s="153"/>
      <c r="H578" s="153"/>
      <c r="I578" s="153"/>
      <c r="J578" s="155"/>
      <c r="K578" s="154"/>
      <c r="L578" s="155"/>
      <c r="M578" s="155"/>
      <c r="N578" s="155"/>
      <c r="W578" s="152"/>
      <c r="X578" s="153"/>
      <c r="Y578" s="153"/>
      <c r="Z578" s="153"/>
      <c r="AA578" s="155"/>
      <c r="AB578" s="154"/>
      <c r="AC578" s="155"/>
      <c r="AD578" s="155"/>
    </row>
    <row r="579" spans="5:30" x14ac:dyDescent="0.25">
      <c r="E579" s="153"/>
      <c r="F579" s="153"/>
      <c r="G579" s="153"/>
      <c r="H579" s="153"/>
      <c r="I579" s="153"/>
      <c r="J579" s="155"/>
      <c r="K579" s="154"/>
      <c r="L579" s="155"/>
      <c r="M579" s="155"/>
      <c r="N579" s="155"/>
      <c r="W579" s="152"/>
      <c r="X579" s="153"/>
      <c r="Y579" s="153"/>
      <c r="Z579" s="153"/>
      <c r="AA579" s="155"/>
      <c r="AB579" s="154"/>
      <c r="AC579" s="155"/>
      <c r="AD579" s="155"/>
    </row>
    <row r="580" spans="5:30" x14ac:dyDescent="0.25">
      <c r="E580" s="153"/>
      <c r="F580" s="153"/>
      <c r="G580" s="153"/>
      <c r="H580" s="153"/>
      <c r="I580" s="153"/>
      <c r="J580" s="155"/>
      <c r="K580" s="154"/>
      <c r="L580" s="155"/>
      <c r="M580" s="155"/>
      <c r="N580" s="155"/>
      <c r="W580" s="152"/>
      <c r="X580" s="153"/>
      <c r="Y580" s="153"/>
      <c r="Z580" s="153"/>
      <c r="AA580" s="155"/>
      <c r="AB580" s="154"/>
      <c r="AC580" s="155"/>
      <c r="AD580" s="155"/>
    </row>
    <row r="581" spans="5:30" x14ac:dyDescent="0.25">
      <c r="E581" s="153"/>
      <c r="F581" s="153"/>
      <c r="G581" s="153"/>
      <c r="H581" s="153"/>
      <c r="I581" s="153"/>
      <c r="J581" s="155"/>
      <c r="K581" s="154"/>
      <c r="L581" s="155"/>
      <c r="M581" s="155"/>
      <c r="N581" s="155"/>
      <c r="W581" s="152"/>
      <c r="X581" s="153"/>
      <c r="Y581" s="153"/>
      <c r="Z581" s="153"/>
      <c r="AA581" s="155"/>
      <c r="AB581" s="154"/>
      <c r="AC581" s="155"/>
      <c r="AD581" s="155"/>
    </row>
    <row r="582" spans="5:30" x14ac:dyDescent="0.25">
      <c r="E582" s="153"/>
      <c r="F582" s="153"/>
      <c r="G582" s="153"/>
      <c r="H582" s="153"/>
      <c r="I582" s="153"/>
      <c r="J582" s="155"/>
      <c r="K582" s="154"/>
      <c r="L582" s="155"/>
      <c r="M582" s="155"/>
      <c r="N582" s="155"/>
      <c r="W582" s="152"/>
      <c r="X582" s="153"/>
      <c r="Y582" s="153"/>
      <c r="Z582" s="153"/>
      <c r="AA582" s="155"/>
      <c r="AB582" s="154"/>
      <c r="AC582" s="155"/>
      <c r="AD582" s="155"/>
    </row>
    <row r="583" spans="5:30" x14ac:dyDescent="0.25">
      <c r="E583" s="153"/>
      <c r="F583" s="153"/>
      <c r="G583" s="153"/>
      <c r="H583" s="153"/>
      <c r="I583" s="153"/>
      <c r="J583" s="155"/>
      <c r="K583" s="154"/>
      <c r="L583" s="155"/>
      <c r="M583" s="155"/>
      <c r="N583" s="155"/>
      <c r="W583" s="152"/>
      <c r="X583" s="153"/>
      <c r="Y583" s="153"/>
      <c r="Z583" s="153"/>
      <c r="AA583" s="155"/>
      <c r="AB583" s="154"/>
      <c r="AC583" s="155"/>
      <c r="AD583" s="155"/>
    </row>
    <row r="584" spans="5:30" x14ac:dyDescent="0.25">
      <c r="E584" s="153"/>
      <c r="F584" s="153"/>
      <c r="G584" s="153"/>
      <c r="H584" s="153"/>
      <c r="I584" s="153"/>
      <c r="J584" s="155"/>
      <c r="K584" s="154"/>
      <c r="L584" s="155"/>
      <c r="M584" s="155"/>
      <c r="N584" s="155"/>
      <c r="W584" s="152"/>
      <c r="X584" s="153"/>
      <c r="Y584" s="153"/>
      <c r="Z584" s="153"/>
      <c r="AA584" s="155"/>
      <c r="AB584" s="154"/>
      <c r="AC584" s="155"/>
      <c r="AD584" s="155"/>
    </row>
    <row r="585" spans="5:30" x14ac:dyDescent="0.25">
      <c r="E585" s="153"/>
      <c r="F585" s="153"/>
      <c r="G585" s="153"/>
      <c r="H585" s="153"/>
      <c r="I585" s="153"/>
      <c r="J585" s="155"/>
      <c r="K585" s="154"/>
      <c r="L585" s="155"/>
      <c r="M585" s="155"/>
      <c r="N585" s="155"/>
      <c r="W585" s="152"/>
      <c r="X585" s="153"/>
      <c r="Y585" s="153"/>
      <c r="Z585" s="153"/>
      <c r="AA585" s="155"/>
      <c r="AB585" s="154"/>
      <c r="AC585" s="155"/>
      <c r="AD585" s="155"/>
    </row>
    <row r="586" spans="5:30" x14ac:dyDescent="0.25">
      <c r="E586" s="153"/>
      <c r="F586" s="153"/>
      <c r="G586" s="153"/>
      <c r="H586" s="153"/>
      <c r="I586" s="153"/>
      <c r="J586" s="155"/>
      <c r="K586" s="154"/>
      <c r="L586" s="155"/>
      <c r="M586" s="155"/>
      <c r="N586" s="155"/>
      <c r="W586" s="152"/>
      <c r="X586" s="153"/>
      <c r="Y586" s="153"/>
      <c r="Z586" s="153"/>
      <c r="AA586" s="155"/>
      <c r="AB586" s="154"/>
      <c r="AC586" s="155"/>
      <c r="AD586" s="155"/>
    </row>
    <row r="587" spans="5:30" x14ac:dyDescent="0.25">
      <c r="E587" s="153"/>
      <c r="F587" s="153"/>
      <c r="G587" s="153"/>
      <c r="H587" s="153"/>
      <c r="I587" s="153"/>
      <c r="J587" s="155"/>
      <c r="K587" s="154"/>
      <c r="L587" s="155"/>
      <c r="M587" s="155"/>
      <c r="N587" s="155"/>
      <c r="W587" s="152"/>
      <c r="X587" s="153"/>
      <c r="Y587" s="153"/>
      <c r="Z587" s="153"/>
      <c r="AA587" s="155"/>
      <c r="AB587" s="154"/>
      <c r="AC587" s="155"/>
      <c r="AD587" s="155"/>
    </row>
    <row r="588" spans="5:30" x14ac:dyDescent="0.25">
      <c r="E588" s="153"/>
      <c r="F588" s="153"/>
      <c r="G588" s="153"/>
      <c r="H588" s="153"/>
      <c r="I588" s="153"/>
      <c r="J588" s="155"/>
      <c r="K588" s="154"/>
      <c r="L588" s="155"/>
      <c r="M588" s="155"/>
      <c r="N588" s="155"/>
      <c r="W588" s="152"/>
      <c r="X588" s="153"/>
      <c r="Y588" s="153"/>
      <c r="Z588" s="153"/>
      <c r="AA588" s="155"/>
      <c r="AB588" s="154"/>
      <c r="AC588" s="155"/>
      <c r="AD588" s="155"/>
    </row>
    <row r="589" spans="5:30" x14ac:dyDescent="0.25">
      <c r="E589" s="153"/>
      <c r="F589" s="153"/>
      <c r="G589" s="153"/>
      <c r="H589" s="153"/>
      <c r="I589" s="153"/>
      <c r="J589" s="155"/>
      <c r="K589" s="154"/>
      <c r="L589" s="155"/>
      <c r="M589" s="155"/>
      <c r="N589" s="155"/>
      <c r="W589" s="152"/>
      <c r="X589" s="153"/>
      <c r="Y589" s="153"/>
      <c r="Z589" s="153"/>
      <c r="AA589" s="155"/>
      <c r="AB589" s="154"/>
      <c r="AC589" s="155"/>
      <c r="AD589" s="155"/>
    </row>
    <row r="590" spans="5:30" x14ac:dyDescent="0.25">
      <c r="E590" s="153"/>
      <c r="F590" s="153"/>
      <c r="G590" s="153"/>
      <c r="H590" s="153"/>
      <c r="I590" s="153"/>
      <c r="J590" s="155"/>
      <c r="K590" s="154"/>
      <c r="L590" s="155"/>
      <c r="M590" s="155"/>
      <c r="N590" s="155"/>
      <c r="W590" s="152"/>
      <c r="X590" s="153"/>
      <c r="Y590" s="153"/>
      <c r="Z590" s="153"/>
      <c r="AA590" s="155"/>
      <c r="AB590" s="154"/>
      <c r="AC590" s="155"/>
      <c r="AD590" s="155"/>
    </row>
    <row r="591" spans="5:30" x14ac:dyDescent="0.25">
      <c r="E591" s="153"/>
      <c r="F591" s="153"/>
      <c r="G591" s="153"/>
      <c r="H591" s="153"/>
      <c r="I591" s="153"/>
      <c r="J591" s="155"/>
      <c r="K591" s="154"/>
      <c r="L591" s="155"/>
      <c r="M591" s="155"/>
      <c r="N591" s="155"/>
      <c r="W591" s="152"/>
      <c r="X591" s="153"/>
      <c r="Y591" s="153"/>
      <c r="Z591" s="153"/>
      <c r="AA591" s="155"/>
      <c r="AB591" s="154"/>
      <c r="AC591" s="155"/>
      <c r="AD591" s="155"/>
    </row>
    <row r="592" spans="5:30" x14ac:dyDescent="0.25">
      <c r="E592" s="153"/>
      <c r="F592" s="153"/>
      <c r="G592" s="153"/>
      <c r="H592" s="153"/>
      <c r="I592" s="153"/>
      <c r="J592" s="155"/>
      <c r="K592" s="154"/>
      <c r="L592" s="155"/>
      <c r="M592" s="155"/>
      <c r="N592" s="155"/>
      <c r="W592" s="152"/>
      <c r="X592" s="153"/>
      <c r="Y592" s="153"/>
      <c r="Z592" s="153"/>
      <c r="AA592" s="155"/>
      <c r="AB592" s="154"/>
      <c r="AC592" s="155"/>
      <c r="AD592" s="155"/>
    </row>
    <row r="593" spans="5:30" x14ac:dyDescent="0.25">
      <c r="E593" s="153"/>
      <c r="F593" s="153"/>
      <c r="G593" s="153"/>
      <c r="H593" s="153"/>
      <c r="I593" s="153"/>
      <c r="J593" s="155"/>
      <c r="K593" s="154"/>
      <c r="L593" s="155"/>
      <c r="M593" s="155"/>
      <c r="N593" s="155"/>
      <c r="W593" s="152"/>
      <c r="X593" s="153"/>
      <c r="Y593" s="153"/>
      <c r="Z593" s="153"/>
      <c r="AA593" s="155"/>
      <c r="AB593" s="154"/>
      <c r="AC593" s="155"/>
      <c r="AD593" s="155"/>
    </row>
    <row r="594" spans="5:30" x14ac:dyDescent="0.25">
      <c r="E594" s="153"/>
      <c r="F594" s="153"/>
      <c r="G594" s="153"/>
      <c r="H594" s="153"/>
      <c r="I594" s="153"/>
      <c r="J594" s="155"/>
      <c r="K594" s="154"/>
      <c r="L594" s="155"/>
      <c r="M594" s="155"/>
      <c r="N594" s="155"/>
      <c r="W594" s="152"/>
      <c r="X594" s="153"/>
      <c r="Y594" s="153"/>
      <c r="Z594" s="153"/>
      <c r="AA594" s="155"/>
      <c r="AB594" s="154"/>
      <c r="AC594" s="155"/>
      <c r="AD594" s="155"/>
    </row>
    <row r="595" spans="5:30" x14ac:dyDescent="0.25">
      <c r="E595" s="153"/>
      <c r="F595" s="153"/>
      <c r="G595" s="153"/>
      <c r="H595" s="153"/>
      <c r="I595" s="153"/>
      <c r="J595" s="155"/>
      <c r="K595" s="154"/>
      <c r="L595" s="155"/>
      <c r="M595" s="155"/>
      <c r="N595" s="155"/>
      <c r="W595" s="152"/>
      <c r="X595" s="153"/>
      <c r="Y595" s="153"/>
      <c r="Z595" s="153"/>
      <c r="AA595" s="155"/>
      <c r="AB595" s="154"/>
      <c r="AC595" s="155"/>
      <c r="AD595" s="155"/>
    </row>
    <row r="596" spans="5:30" x14ac:dyDescent="0.25">
      <c r="E596" s="153"/>
      <c r="F596" s="153"/>
      <c r="G596" s="153"/>
      <c r="H596" s="153"/>
      <c r="I596" s="153"/>
      <c r="J596" s="155"/>
      <c r="K596" s="154"/>
      <c r="L596" s="155"/>
      <c r="M596" s="155"/>
      <c r="N596" s="155"/>
      <c r="W596" s="152"/>
      <c r="X596" s="153"/>
      <c r="Y596" s="153"/>
      <c r="Z596" s="153"/>
      <c r="AA596" s="155"/>
      <c r="AB596" s="154"/>
      <c r="AC596" s="155"/>
      <c r="AD596" s="155"/>
    </row>
    <row r="597" spans="5:30" x14ac:dyDescent="0.25">
      <c r="E597" s="153"/>
      <c r="F597" s="153"/>
      <c r="G597" s="153"/>
      <c r="H597" s="153"/>
      <c r="I597" s="153"/>
      <c r="J597" s="155"/>
      <c r="K597" s="154"/>
      <c r="L597" s="155"/>
      <c r="M597" s="155"/>
      <c r="N597" s="155"/>
      <c r="W597" s="152"/>
      <c r="X597" s="153"/>
      <c r="Y597" s="153"/>
      <c r="Z597" s="153"/>
      <c r="AA597" s="155"/>
      <c r="AB597" s="154"/>
      <c r="AC597" s="155"/>
      <c r="AD597" s="155"/>
    </row>
    <row r="598" spans="5:30" x14ac:dyDescent="0.25">
      <c r="E598" s="153"/>
      <c r="F598" s="153"/>
      <c r="G598" s="153"/>
      <c r="H598" s="153"/>
      <c r="I598" s="153"/>
      <c r="J598" s="155"/>
      <c r="K598" s="154"/>
      <c r="L598" s="155"/>
      <c r="M598" s="155"/>
      <c r="N598" s="155"/>
      <c r="W598" s="152"/>
      <c r="X598" s="153"/>
      <c r="Y598" s="153"/>
      <c r="Z598" s="153"/>
      <c r="AA598" s="155"/>
      <c r="AB598" s="154"/>
      <c r="AC598" s="155"/>
      <c r="AD598" s="155"/>
    </row>
    <row r="599" spans="5:30" x14ac:dyDescent="0.25">
      <c r="E599" s="153"/>
      <c r="F599" s="153"/>
      <c r="G599" s="153"/>
      <c r="H599" s="153"/>
      <c r="I599" s="153"/>
      <c r="J599" s="155"/>
      <c r="K599" s="154"/>
      <c r="L599" s="155"/>
      <c r="M599" s="155"/>
      <c r="N599" s="155"/>
      <c r="W599" s="152"/>
      <c r="X599" s="153"/>
      <c r="Y599" s="153"/>
      <c r="Z599" s="153"/>
      <c r="AA599" s="155"/>
      <c r="AB599" s="154"/>
      <c r="AC599" s="155"/>
      <c r="AD599" s="155"/>
    </row>
    <row r="600" spans="5:30" x14ac:dyDescent="0.25">
      <c r="E600" s="153"/>
      <c r="F600" s="153"/>
      <c r="G600" s="153"/>
      <c r="H600" s="153"/>
      <c r="I600" s="153"/>
      <c r="J600" s="155"/>
      <c r="K600" s="154"/>
      <c r="L600" s="155"/>
      <c r="M600" s="155"/>
      <c r="N600" s="155"/>
      <c r="W600" s="152"/>
      <c r="X600" s="153"/>
      <c r="Y600" s="153"/>
      <c r="Z600" s="153"/>
      <c r="AA600" s="155"/>
      <c r="AB600" s="154"/>
      <c r="AC600" s="155"/>
      <c r="AD600" s="155"/>
    </row>
    <row r="601" spans="5:30" x14ac:dyDescent="0.25">
      <c r="E601" s="153"/>
      <c r="F601" s="153"/>
      <c r="G601" s="153"/>
      <c r="H601" s="153"/>
      <c r="I601" s="153"/>
      <c r="J601" s="155"/>
      <c r="K601" s="154"/>
      <c r="L601" s="155"/>
      <c r="M601" s="155"/>
      <c r="N601" s="155"/>
      <c r="W601" s="152"/>
      <c r="X601" s="153"/>
      <c r="Y601" s="153"/>
      <c r="Z601" s="153"/>
      <c r="AA601" s="155"/>
      <c r="AB601" s="154"/>
      <c r="AC601" s="155"/>
      <c r="AD601" s="155"/>
    </row>
    <row r="602" spans="5:30" x14ac:dyDescent="0.25">
      <c r="E602" s="153"/>
      <c r="F602" s="153"/>
      <c r="G602" s="153"/>
      <c r="H602" s="153"/>
      <c r="I602" s="153"/>
      <c r="J602" s="155"/>
      <c r="K602" s="154"/>
      <c r="L602" s="155"/>
      <c r="M602" s="155"/>
      <c r="N602" s="155"/>
      <c r="W602" s="152"/>
      <c r="X602" s="153"/>
      <c r="Y602" s="153"/>
      <c r="Z602" s="153"/>
      <c r="AA602" s="155"/>
      <c r="AB602" s="154"/>
      <c r="AC602" s="155"/>
      <c r="AD602" s="155"/>
    </row>
    <row r="603" spans="5:30" x14ac:dyDescent="0.25">
      <c r="E603" s="153"/>
      <c r="F603" s="153"/>
      <c r="G603" s="153"/>
      <c r="H603" s="153"/>
      <c r="I603" s="153"/>
      <c r="J603" s="155"/>
      <c r="K603" s="154"/>
      <c r="L603" s="155"/>
      <c r="M603" s="155"/>
      <c r="N603" s="155"/>
      <c r="W603" s="152"/>
      <c r="X603" s="153"/>
      <c r="Y603" s="153"/>
      <c r="Z603" s="153"/>
      <c r="AA603" s="155"/>
      <c r="AB603" s="154"/>
      <c r="AC603" s="155"/>
      <c r="AD603" s="155"/>
    </row>
    <row r="604" spans="5:30" x14ac:dyDescent="0.25">
      <c r="E604" s="153"/>
      <c r="F604" s="153"/>
      <c r="G604" s="153"/>
      <c r="H604" s="153"/>
      <c r="I604" s="153"/>
      <c r="J604" s="155"/>
      <c r="K604" s="154"/>
      <c r="L604" s="155"/>
      <c r="M604" s="155"/>
      <c r="N604" s="155"/>
      <c r="W604" s="152"/>
      <c r="X604" s="153"/>
      <c r="Y604" s="153"/>
      <c r="Z604" s="153"/>
      <c r="AA604" s="155"/>
      <c r="AB604" s="154"/>
      <c r="AC604" s="155"/>
      <c r="AD604" s="155"/>
    </row>
    <row r="605" spans="5:30" x14ac:dyDescent="0.25">
      <c r="E605" s="153"/>
      <c r="F605" s="153"/>
      <c r="G605" s="153"/>
      <c r="H605" s="153"/>
      <c r="I605" s="153"/>
      <c r="J605" s="155"/>
      <c r="K605" s="154"/>
      <c r="L605" s="155"/>
      <c r="M605" s="155"/>
      <c r="N605" s="155"/>
      <c r="W605" s="152"/>
      <c r="X605" s="153"/>
      <c r="Y605" s="153"/>
      <c r="Z605" s="153"/>
      <c r="AA605" s="155"/>
      <c r="AB605" s="154"/>
      <c r="AC605" s="155"/>
      <c r="AD605" s="155"/>
    </row>
    <row r="606" spans="5:30" x14ac:dyDescent="0.25">
      <c r="E606" s="153"/>
      <c r="F606" s="153"/>
      <c r="G606" s="153"/>
      <c r="H606" s="153"/>
      <c r="I606" s="153"/>
      <c r="J606" s="155"/>
      <c r="K606" s="154"/>
      <c r="L606" s="155"/>
      <c r="M606" s="155"/>
      <c r="N606" s="155"/>
      <c r="W606" s="152"/>
      <c r="X606" s="153"/>
      <c r="Y606" s="153"/>
      <c r="Z606" s="153"/>
      <c r="AA606" s="155"/>
      <c r="AB606" s="154"/>
      <c r="AC606" s="155"/>
      <c r="AD606" s="155"/>
    </row>
    <row r="607" spans="5:30" x14ac:dyDescent="0.25">
      <c r="E607" s="153"/>
      <c r="F607" s="153"/>
      <c r="G607" s="153"/>
      <c r="H607" s="153"/>
      <c r="I607" s="153"/>
      <c r="J607" s="155"/>
      <c r="K607" s="154"/>
      <c r="L607" s="155"/>
      <c r="M607" s="155"/>
      <c r="N607" s="155"/>
      <c r="W607" s="152"/>
      <c r="X607" s="153"/>
      <c r="Y607" s="153"/>
      <c r="Z607" s="153"/>
      <c r="AA607" s="155"/>
      <c r="AB607" s="154"/>
      <c r="AC607" s="155"/>
      <c r="AD607" s="155"/>
    </row>
    <row r="608" spans="5:30" x14ac:dyDescent="0.25">
      <c r="E608" s="153"/>
      <c r="F608" s="153"/>
      <c r="G608" s="153"/>
      <c r="H608" s="153"/>
      <c r="I608" s="153"/>
      <c r="J608" s="155"/>
      <c r="K608" s="154"/>
      <c r="L608" s="155"/>
      <c r="M608" s="155"/>
      <c r="N608" s="155"/>
      <c r="W608" s="152"/>
      <c r="X608" s="153"/>
      <c r="Y608" s="153"/>
      <c r="Z608" s="153"/>
      <c r="AA608" s="155"/>
      <c r="AB608" s="154"/>
      <c r="AC608" s="155"/>
      <c r="AD608" s="155"/>
    </row>
    <row r="609" spans="5:30" x14ac:dyDescent="0.25">
      <c r="E609" s="153"/>
      <c r="F609" s="153"/>
      <c r="G609" s="153"/>
      <c r="H609" s="153"/>
      <c r="I609" s="153"/>
      <c r="J609" s="155"/>
      <c r="K609" s="154"/>
      <c r="L609" s="155"/>
      <c r="M609" s="155"/>
      <c r="N609" s="155"/>
      <c r="W609" s="152"/>
      <c r="X609" s="153"/>
      <c r="Y609" s="153"/>
      <c r="Z609" s="153"/>
      <c r="AA609" s="155"/>
      <c r="AB609" s="154"/>
      <c r="AC609" s="155"/>
      <c r="AD609" s="155"/>
    </row>
    <row r="610" spans="5:30" x14ac:dyDescent="0.25">
      <c r="E610" s="153"/>
      <c r="F610" s="153"/>
      <c r="G610" s="153"/>
      <c r="H610" s="153"/>
      <c r="I610" s="153"/>
      <c r="J610" s="155"/>
      <c r="K610" s="154"/>
      <c r="L610" s="155"/>
      <c r="M610" s="155"/>
      <c r="N610" s="155"/>
      <c r="W610" s="152"/>
      <c r="X610" s="153"/>
      <c r="Y610" s="153"/>
      <c r="Z610" s="153"/>
      <c r="AA610" s="155"/>
      <c r="AB610" s="154"/>
      <c r="AC610" s="155"/>
      <c r="AD610" s="155"/>
    </row>
    <row r="611" spans="5:30" x14ac:dyDescent="0.25">
      <c r="E611" s="153"/>
      <c r="F611" s="153"/>
      <c r="G611" s="153"/>
      <c r="H611" s="153"/>
      <c r="I611" s="153"/>
      <c r="J611" s="155"/>
      <c r="K611" s="154"/>
      <c r="L611" s="155"/>
      <c r="M611" s="155"/>
      <c r="N611" s="155"/>
      <c r="W611" s="152"/>
      <c r="X611" s="153"/>
      <c r="Y611" s="153"/>
      <c r="Z611" s="153"/>
      <c r="AA611" s="155"/>
      <c r="AB611" s="154"/>
      <c r="AC611" s="155"/>
      <c r="AD611" s="155"/>
    </row>
    <row r="612" spans="5:30" x14ac:dyDescent="0.25">
      <c r="E612" s="153"/>
      <c r="F612" s="153"/>
      <c r="G612" s="153"/>
      <c r="H612" s="153"/>
      <c r="I612" s="153"/>
      <c r="J612" s="155"/>
      <c r="K612" s="154"/>
      <c r="L612" s="155"/>
      <c r="M612" s="155"/>
      <c r="N612" s="155"/>
      <c r="W612" s="152"/>
      <c r="X612" s="153"/>
      <c r="Y612" s="153"/>
      <c r="Z612" s="153"/>
      <c r="AA612" s="155"/>
      <c r="AB612" s="154"/>
      <c r="AC612" s="155"/>
      <c r="AD612" s="155"/>
    </row>
    <row r="613" spans="5:30" x14ac:dyDescent="0.25">
      <c r="E613" s="153"/>
      <c r="F613" s="153"/>
      <c r="G613" s="153"/>
      <c r="H613" s="153"/>
      <c r="I613" s="153"/>
      <c r="J613" s="155"/>
      <c r="K613" s="154"/>
      <c r="L613" s="155"/>
      <c r="M613" s="155"/>
      <c r="N613" s="155"/>
      <c r="W613" s="152"/>
      <c r="X613" s="153"/>
      <c r="Y613" s="153"/>
      <c r="Z613" s="153"/>
      <c r="AA613" s="155"/>
      <c r="AB613" s="154"/>
      <c r="AC613" s="155"/>
      <c r="AD613" s="155"/>
    </row>
    <row r="614" spans="5:30" x14ac:dyDescent="0.25">
      <c r="E614" s="153"/>
      <c r="F614" s="153"/>
      <c r="G614" s="153"/>
      <c r="H614" s="153"/>
      <c r="I614" s="153"/>
      <c r="J614" s="155"/>
      <c r="K614" s="154"/>
      <c r="L614" s="155"/>
      <c r="M614" s="155"/>
      <c r="N614" s="155"/>
      <c r="W614" s="152"/>
      <c r="X614" s="153"/>
      <c r="Y614" s="153"/>
      <c r="Z614" s="153"/>
      <c r="AA614" s="155"/>
      <c r="AB614" s="154"/>
      <c r="AC614" s="155"/>
      <c r="AD614" s="155"/>
    </row>
    <row r="615" spans="5:30" x14ac:dyDescent="0.25">
      <c r="E615" s="153"/>
      <c r="F615" s="153"/>
      <c r="G615" s="153"/>
      <c r="H615" s="153"/>
      <c r="I615" s="153"/>
      <c r="J615" s="155"/>
      <c r="K615" s="154"/>
      <c r="L615" s="155"/>
      <c r="M615" s="155"/>
      <c r="N615" s="155"/>
      <c r="W615" s="152"/>
      <c r="X615" s="153"/>
      <c r="Y615" s="153"/>
      <c r="Z615" s="153"/>
      <c r="AA615" s="155"/>
      <c r="AB615" s="154"/>
      <c r="AC615" s="155"/>
      <c r="AD615" s="155"/>
    </row>
    <row r="616" spans="5:30" x14ac:dyDescent="0.25">
      <c r="E616" s="153"/>
      <c r="F616" s="153"/>
      <c r="G616" s="153"/>
      <c r="H616" s="153"/>
      <c r="I616" s="153"/>
      <c r="J616" s="155"/>
      <c r="K616" s="154"/>
      <c r="L616" s="155"/>
      <c r="M616" s="155"/>
      <c r="N616" s="155"/>
      <c r="W616" s="152"/>
      <c r="X616" s="153"/>
      <c r="Y616" s="153"/>
      <c r="Z616" s="153"/>
      <c r="AA616" s="155"/>
      <c r="AB616" s="154"/>
      <c r="AC616" s="155"/>
      <c r="AD616" s="155"/>
    </row>
    <row r="617" spans="5:30" x14ac:dyDescent="0.25">
      <c r="E617" s="153"/>
      <c r="F617" s="153"/>
      <c r="G617" s="153"/>
      <c r="H617" s="153"/>
      <c r="I617" s="153"/>
      <c r="J617" s="155"/>
      <c r="K617" s="154"/>
      <c r="L617" s="155"/>
      <c r="M617" s="155"/>
      <c r="N617" s="155"/>
      <c r="W617" s="152"/>
      <c r="X617" s="153"/>
      <c r="Y617" s="153"/>
      <c r="Z617" s="153"/>
      <c r="AA617" s="155"/>
      <c r="AB617" s="154"/>
      <c r="AC617" s="155"/>
      <c r="AD617" s="155"/>
    </row>
    <row r="618" spans="5:30" x14ac:dyDescent="0.25">
      <c r="E618" s="153"/>
      <c r="F618" s="153"/>
      <c r="G618" s="153"/>
      <c r="H618" s="153"/>
      <c r="I618" s="153"/>
      <c r="J618" s="155"/>
      <c r="K618" s="154"/>
      <c r="L618" s="155"/>
      <c r="M618" s="155"/>
      <c r="N618" s="155"/>
      <c r="W618" s="152"/>
      <c r="X618" s="153"/>
      <c r="Y618" s="153"/>
      <c r="Z618" s="153"/>
      <c r="AA618" s="155"/>
      <c r="AB618" s="154"/>
      <c r="AC618" s="155"/>
      <c r="AD618" s="155"/>
    </row>
    <row r="619" spans="5:30" x14ac:dyDescent="0.25">
      <c r="E619" s="153"/>
      <c r="F619" s="153"/>
      <c r="G619" s="153"/>
      <c r="H619" s="153"/>
      <c r="I619" s="153"/>
      <c r="J619" s="155"/>
      <c r="K619" s="154"/>
      <c r="L619" s="155"/>
      <c r="M619" s="155"/>
      <c r="N619" s="155"/>
      <c r="W619" s="152"/>
      <c r="X619" s="153"/>
      <c r="Y619" s="153"/>
      <c r="Z619" s="153"/>
      <c r="AA619" s="155"/>
      <c r="AB619" s="154"/>
      <c r="AC619" s="155"/>
      <c r="AD619" s="155"/>
    </row>
    <row r="620" spans="5:30" x14ac:dyDescent="0.25">
      <c r="E620" s="153"/>
      <c r="F620" s="153"/>
      <c r="G620" s="153"/>
      <c r="H620" s="153"/>
      <c r="I620" s="153"/>
      <c r="J620" s="155"/>
      <c r="K620" s="154"/>
      <c r="L620" s="155"/>
      <c r="M620" s="155"/>
      <c r="N620" s="155"/>
      <c r="W620" s="152"/>
      <c r="X620" s="153"/>
      <c r="Y620" s="153"/>
      <c r="Z620" s="153"/>
      <c r="AA620" s="155"/>
      <c r="AB620" s="154"/>
      <c r="AC620" s="155"/>
      <c r="AD620" s="155"/>
    </row>
    <row r="621" spans="5:30" x14ac:dyDescent="0.25">
      <c r="E621" s="153"/>
      <c r="F621" s="153"/>
      <c r="G621" s="153"/>
      <c r="H621" s="153"/>
      <c r="I621" s="153"/>
      <c r="J621" s="155"/>
      <c r="K621" s="154"/>
      <c r="L621" s="155"/>
      <c r="M621" s="155"/>
      <c r="N621" s="155"/>
      <c r="W621" s="152"/>
      <c r="X621" s="153"/>
      <c r="Y621" s="153"/>
      <c r="Z621" s="153"/>
      <c r="AA621" s="155"/>
      <c r="AB621" s="154"/>
      <c r="AC621" s="155"/>
      <c r="AD621" s="155"/>
    </row>
    <row r="622" spans="5:30" x14ac:dyDescent="0.25">
      <c r="E622" s="153"/>
      <c r="F622" s="153"/>
      <c r="G622" s="153"/>
      <c r="H622" s="153"/>
      <c r="I622" s="153"/>
      <c r="J622" s="155"/>
      <c r="K622" s="154"/>
      <c r="L622" s="155"/>
      <c r="M622" s="155"/>
      <c r="N622" s="155"/>
      <c r="W622" s="152"/>
      <c r="X622" s="153"/>
      <c r="Y622" s="153"/>
      <c r="Z622" s="153"/>
      <c r="AA622" s="155"/>
      <c r="AB622" s="154"/>
      <c r="AC622" s="155"/>
      <c r="AD622" s="155"/>
    </row>
    <row r="623" spans="5:30" x14ac:dyDescent="0.25">
      <c r="E623" s="153"/>
      <c r="F623" s="153"/>
      <c r="G623" s="153"/>
      <c r="H623" s="153"/>
      <c r="I623" s="153"/>
      <c r="J623" s="155"/>
      <c r="K623" s="154"/>
      <c r="L623" s="155"/>
      <c r="M623" s="155"/>
      <c r="N623" s="155"/>
      <c r="W623" s="152"/>
      <c r="X623" s="153"/>
      <c r="Y623" s="153"/>
      <c r="Z623" s="153"/>
      <c r="AA623" s="155"/>
      <c r="AB623" s="154"/>
      <c r="AC623" s="155"/>
      <c r="AD623" s="155"/>
    </row>
    <row r="624" spans="5:30" x14ac:dyDescent="0.25">
      <c r="E624" s="153"/>
      <c r="F624" s="153"/>
      <c r="G624" s="153"/>
      <c r="H624" s="153"/>
      <c r="I624" s="153"/>
      <c r="J624" s="155"/>
      <c r="K624" s="154"/>
      <c r="L624" s="155"/>
      <c r="M624" s="155"/>
      <c r="N624" s="155"/>
      <c r="W624" s="152"/>
      <c r="X624" s="153"/>
      <c r="Y624" s="153"/>
      <c r="Z624" s="153"/>
      <c r="AA624" s="155"/>
      <c r="AB624" s="154"/>
      <c r="AC624" s="155"/>
      <c r="AD624" s="155"/>
    </row>
    <row r="625" spans="5:30" x14ac:dyDescent="0.25">
      <c r="E625" s="153"/>
      <c r="F625" s="153"/>
      <c r="G625" s="153"/>
      <c r="H625" s="153"/>
      <c r="I625" s="153"/>
      <c r="J625" s="155"/>
      <c r="K625" s="154"/>
      <c r="L625" s="155"/>
      <c r="M625" s="155"/>
      <c r="N625" s="155"/>
      <c r="W625" s="152"/>
      <c r="X625" s="153"/>
      <c r="Y625" s="153"/>
      <c r="Z625" s="153"/>
      <c r="AA625" s="155"/>
      <c r="AB625" s="154"/>
      <c r="AC625" s="155"/>
      <c r="AD625" s="155"/>
    </row>
    <row r="626" spans="5:30" x14ac:dyDescent="0.25">
      <c r="E626" s="153"/>
      <c r="F626" s="153"/>
      <c r="G626" s="153"/>
      <c r="H626" s="153"/>
      <c r="I626" s="153"/>
      <c r="J626" s="155"/>
      <c r="K626" s="154"/>
      <c r="L626" s="155"/>
      <c r="M626" s="155"/>
      <c r="N626" s="155"/>
      <c r="W626" s="152"/>
      <c r="X626" s="153"/>
      <c r="Y626" s="153"/>
      <c r="Z626" s="153"/>
      <c r="AA626" s="155"/>
      <c r="AB626" s="154"/>
      <c r="AC626" s="155"/>
      <c r="AD626" s="155"/>
    </row>
    <row r="627" spans="5:30" x14ac:dyDescent="0.25">
      <c r="E627" s="153"/>
      <c r="F627" s="153"/>
      <c r="G627" s="153"/>
      <c r="H627" s="153"/>
      <c r="I627" s="153"/>
      <c r="J627" s="155"/>
      <c r="K627" s="154"/>
      <c r="L627" s="155"/>
      <c r="M627" s="155"/>
      <c r="N627" s="155"/>
      <c r="W627" s="152"/>
      <c r="X627" s="153"/>
      <c r="Y627" s="153"/>
      <c r="Z627" s="153"/>
      <c r="AA627" s="155"/>
      <c r="AB627" s="154"/>
      <c r="AC627" s="155"/>
      <c r="AD627" s="155"/>
    </row>
    <row r="628" spans="5:30" x14ac:dyDescent="0.25">
      <c r="E628" s="153"/>
      <c r="F628" s="153"/>
      <c r="G628" s="153"/>
      <c r="H628" s="153"/>
      <c r="I628" s="153"/>
      <c r="J628" s="155"/>
      <c r="K628" s="154"/>
      <c r="L628" s="155"/>
      <c r="M628" s="155"/>
      <c r="N628" s="155"/>
      <c r="W628" s="152"/>
      <c r="X628" s="153"/>
      <c r="Y628" s="153"/>
      <c r="Z628" s="153"/>
      <c r="AA628" s="155"/>
      <c r="AB628" s="154"/>
      <c r="AC628" s="155"/>
      <c r="AD628" s="155"/>
    </row>
    <row r="629" spans="5:30" x14ac:dyDescent="0.25">
      <c r="E629" s="153"/>
      <c r="F629" s="153"/>
      <c r="G629" s="153"/>
      <c r="H629" s="153"/>
      <c r="I629" s="153"/>
      <c r="J629" s="155"/>
      <c r="K629" s="154"/>
      <c r="L629" s="155"/>
      <c r="M629" s="155"/>
      <c r="N629" s="155"/>
      <c r="W629" s="152"/>
      <c r="X629" s="153"/>
      <c r="Y629" s="153"/>
      <c r="Z629" s="153"/>
      <c r="AA629" s="155"/>
      <c r="AB629" s="154"/>
      <c r="AC629" s="155"/>
      <c r="AD629" s="155"/>
    </row>
    <row r="630" spans="5:30" x14ac:dyDescent="0.25">
      <c r="E630" s="153"/>
      <c r="F630" s="153"/>
      <c r="G630" s="153"/>
      <c r="H630" s="153"/>
      <c r="I630" s="153"/>
      <c r="J630" s="155"/>
      <c r="K630" s="154"/>
      <c r="L630" s="155"/>
      <c r="M630" s="155"/>
      <c r="N630" s="155"/>
      <c r="W630" s="152"/>
      <c r="X630" s="153"/>
      <c r="Y630" s="153"/>
      <c r="Z630" s="153"/>
      <c r="AA630" s="155"/>
      <c r="AB630" s="154"/>
      <c r="AC630" s="155"/>
      <c r="AD630" s="155"/>
    </row>
    <row r="631" spans="5:30" x14ac:dyDescent="0.25">
      <c r="E631" s="153"/>
      <c r="F631" s="153"/>
      <c r="G631" s="153"/>
      <c r="H631" s="153"/>
      <c r="I631" s="153"/>
      <c r="J631" s="155"/>
      <c r="K631" s="154"/>
      <c r="L631" s="155"/>
      <c r="M631" s="155"/>
      <c r="N631" s="155"/>
      <c r="W631" s="152"/>
      <c r="X631" s="153"/>
      <c r="Y631" s="153"/>
      <c r="Z631" s="153"/>
      <c r="AA631" s="155"/>
      <c r="AB631" s="154"/>
      <c r="AC631" s="155"/>
      <c r="AD631" s="155"/>
    </row>
    <row r="632" spans="5:30" x14ac:dyDescent="0.25">
      <c r="E632" s="153"/>
      <c r="F632" s="153"/>
      <c r="G632" s="153"/>
      <c r="H632" s="153"/>
      <c r="I632" s="153"/>
      <c r="J632" s="155"/>
      <c r="K632" s="154"/>
      <c r="L632" s="155"/>
      <c r="M632" s="155"/>
      <c r="N632" s="155"/>
      <c r="W632" s="152"/>
      <c r="X632" s="153"/>
      <c r="Y632" s="153"/>
      <c r="Z632" s="153"/>
      <c r="AA632" s="155"/>
      <c r="AB632" s="154"/>
      <c r="AC632" s="155"/>
      <c r="AD632" s="155"/>
    </row>
    <row r="633" spans="5:30" x14ac:dyDescent="0.25">
      <c r="E633" s="153"/>
      <c r="F633" s="153"/>
      <c r="G633" s="153"/>
      <c r="H633" s="153"/>
      <c r="I633" s="153"/>
      <c r="J633" s="155"/>
      <c r="K633" s="154"/>
      <c r="L633" s="155"/>
      <c r="M633" s="155"/>
      <c r="N633" s="155"/>
      <c r="W633" s="152"/>
      <c r="X633" s="153"/>
      <c r="Y633" s="153"/>
      <c r="Z633" s="153"/>
      <c r="AA633" s="155"/>
      <c r="AB633" s="154"/>
      <c r="AC633" s="155"/>
      <c r="AD633" s="155"/>
    </row>
    <row r="634" spans="5:30" x14ac:dyDescent="0.25">
      <c r="E634" s="153"/>
      <c r="F634" s="153"/>
      <c r="G634" s="153"/>
      <c r="H634" s="153"/>
      <c r="I634" s="153"/>
      <c r="J634" s="155"/>
      <c r="K634" s="154"/>
      <c r="L634" s="155"/>
      <c r="M634" s="155"/>
      <c r="N634" s="155"/>
      <c r="W634" s="152"/>
      <c r="X634" s="153"/>
      <c r="Y634" s="153"/>
      <c r="Z634" s="153"/>
      <c r="AA634" s="155"/>
      <c r="AB634" s="154"/>
      <c r="AC634" s="155"/>
      <c r="AD634" s="155"/>
    </row>
    <row r="635" spans="5:30" x14ac:dyDescent="0.25">
      <c r="E635" s="153"/>
      <c r="F635" s="153"/>
      <c r="G635" s="153"/>
      <c r="H635" s="153"/>
      <c r="I635" s="153"/>
      <c r="J635" s="155"/>
      <c r="K635" s="154"/>
      <c r="L635" s="155"/>
      <c r="M635" s="155"/>
      <c r="N635" s="155"/>
      <c r="W635" s="152"/>
      <c r="X635" s="153"/>
      <c r="Y635" s="153"/>
      <c r="Z635" s="153"/>
      <c r="AA635" s="155"/>
      <c r="AB635" s="154"/>
      <c r="AC635" s="155"/>
      <c r="AD635" s="155"/>
    </row>
    <row r="636" spans="5:30" x14ac:dyDescent="0.25">
      <c r="E636" s="153"/>
      <c r="F636" s="153"/>
      <c r="G636" s="153"/>
      <c r="H636" s="153"/>
      <c r="I636" s="153"/>
      <c r="J636" s="155"/>
      <c r="K636" s="154"/>
      <c r="L636" s="155"/>
      <c r="M636" s="155"/>
      <c r="N636" s="155"/>
      <c r="W636" s="152"/>
      <c r="X636" s="153"/>
      <c r="Y636" s="153"/>
      <c r="Z636" s="153"/>
      <c r="AA636" s="155"/>
      <c r="AB636" s="154"/>
      <c r="AC636" s="155"/>
      <c r="AD636" s="155"/>
    </row>
    <row r="637" spans="5:30" x14ac:dyDescent="0.25">
      <c r="E637" s="153"/>
      <c r="F637" s="153"/>
      <c r="G637" s="153"/>
      <c r="H637" s="153"/>
      <c r="I637" s="153"/>
      <c r="J637" s="155"/>
      <c r="K637" s="154"/>
      <c r="L637" s="155"/>
      <c r="M637" s="155"/>
      <c r="N637" s="155"/>
      <c r="W637" s="152"/>
      <c r="X637" s="153"/>
      <c r="Y637" s="153"/>
      <c r="Z637" s="153"/>
      <c r="AA637" s="155"/>
      <c r="AB637" s="154"/>
      <c r="AC637" s="155"/>
      <c r="AD637" s="155"/>
    </row>
    <row r="638" spans="5:30" x14ac:dyDescent="0.25">
      <c r="E638" s="153"/>
      <c r="F638" s="153"/>
      <c r="G638" s="153"/>
      <c r="H638" s="153"/>
      <c r="I638" s="153"/>
      <c r="J638" s="155"/>
      <c r="K638" s="154"/>
      <c r="L638" s="155"/>
      <c r="M638" s="155"/>
      <c r="N638" s="155"/>
      <c r="W638" s="152"/>
      <c r="X638" s="153"/>
      <c r="Y638" s="153"/>
      <c r="Z638" s="153"/>
      <c r="AA638" s="155"/>
      <c r="AB638" s="154"/>
      <c r="AC638" s="155"/>
      <c r="AD638" s="155"/>
    </row>
    <row r="639" spans="5:30" x14ac:dyDescent="0.25">
      <c r="E639" s="153"/>
      <c r="F639" s="153"/>
      <c r="G639" s="153"/>
      <c r="H639" s="153"/>
      <c r="I639" s="153"/>
      <c r="J639" s="155"/>
      <c r="K639" s="154"/>
      <c r="L639" s="155"/>
      <c r="M639" s="155"/>
      <c r="N639" s="155"/>
      <c r="W639" s="152"/>
      <c r="X639" s="153"/>
      <c r="Y639" s="153"/>
      <c r="Z639" s="153"/>
      <c r="AA639" s="155"/>
      <c r="AB639" s="154"/>
      <c r="AC639" s="155"/>
      <c r="AD639" s="155"/>
    </row>
    <row r="640" spans="5:30" x14ac:dyDescent="0.25">
      <c r="E640" s="153"/>
      <c r="F640" s="153"/>
      <c r="G640" s="153"/>
      <c r="H640" s="153"/>
      <c r="I640" s="153"/>
      <c r="J640" s="155"/>
      <c r="K640" s="154"/>
      <c r="L640" s="155"/>
      <c r="M640" s="155"/>
      <c r="N640" s="155"/>
      <c r="W640" s="152"/>
      <c r="X640" s="153"/>
      <c r="Y640" s="153"/>
      <c r="Z640" s="153"/>
      <c r="AA640" s="155"/>
      <c r="AB640" s="154"/>
      <c r="AC640" s="155"/>
      <c r="AD640" s="155"/>
    </row>
    <row r="641" spans="5:30" x14ac:dyDescent="0.25">
      <c r="E641" s="153"/>
      <c r="F641" s="153"/>
      <c r="G641" s="153"/>
      <c r="H641" s="153"/>
      <c r="I641" s="153"/>
      <c r="J641" s="155"/>
      <c r="K641" s="154"/>
      <c r="L641" s="155"/>
      <c r="M641" s="155"/>
      <c r="N641" s="155"/>
      <c r="W641" s="152"/>
      <c r="X641" s="153"/>
      <c r="Y641" s="153"/>
      <c r="Z641" s="153"/>
      <c r="AA641" s="155"/>
      <c r="AB641" s="154"/>
      <c r="AC641" s="155"/>
      <c r="AD641" s="155"/>
    </row>
    <row r="642" spans="5:30" x14ac:dyDescent="0.25">
      <c r="E642" s="153"/>
      <c r="F642" s="153"/>
      <c r="G642" s="153"/>
      <c r="H642" s="153"/>
      <c r="I642" s="153"/>
      <c r="J642" s="155"/>
      <c r="K642" s="154"/>
      <c r="L642" s="155"/>
      <c r="M642" s="155"/>
      <c r="N642" s="155"/>
      <c r="W642" s="152"/>
      <c r="X642" s="153"/>
      <c r="Y642" s="153"/>
      <c r="Z642" s="153"/>
      <c r="AA642" s="155"/>
      <c r="AB642" s="154"/>
      <c r="AC642" s="155"/>
      <c r="AD642" s="155"/>
    </row>
    <row r="643" spans="5:30" x14ac:dyDescent="0.25">
      <c r="E643" s="153"/>
      <c r="F643" s="153"/>
      <c r="G643" s="153"/>
      <c r="H643" s="153"/>
      <c r="I643" s="153"/>
      <c r="J643" s="155"/>
      <c r="K643" s="154"/>
      <c r="L643" s="155"/>
      <c r="M643" s="155"/>
      <c r="N643" s="155"/>
      <c r="W643" s="152"/>
      <c r="X643" s="153"/>
      <c r="Y643" s="153"/>
      <c r="Z643" s="153"/>
      <c r="AA643" s="155"/>
      <c r="AB643" s="154"/>
      <c r="AC643" s="155"/>
      <c r="AD643" s="155"/>
    </row>
    <row r="644" spans="5:30" x14ac:dyDescent="0.25">
      <c r="E644" s="153"/>
      <c r="F644" s="153"/>
      <c r="G644" s="153"/>
      <c r="H644" s="153"/>
      <c r="I644" s="153"/>
      <c r="J644" s="155"/>
      <c r="K644" s="154"/>
      <c r="L644" s="155"/>
      <c r="M644" s="155"/>
      <c r="N644" s="155"/>
      <c r="W644" s="152"/>
      <c r="X644" s="153"/>
      <c r="Y644" s="153"/>
      <c r="Z644" s="153"/>
      <c r="AA644" s="155"/>
      <c r="AB644" s="154"/>
      <c r="AC644" s="155"/>
      <c r="AD644" s="155"/>
    </row>
    <row r="645" spans="5:30" x14ac:dyDescent="0.25">
      <c r="E645" s="153"/>
      <c r="F645" s="153"/>
      <c r="G645" s="153"/>
      <c r="H645" s="153"/>
      <c r="I645" s="153"/>
      <c r="J645" s="155"/>
      <c r="K645" s="154"/>
      <c r="L645" s="155"/>
      <c r="M645" s="155"/>
      <c r="N645" s="155"/>
      <c r="W645" s="152"/>
      <c r="X645" s="153"/>
      <c r="Y645" s="153"/>
      <c r="Z645" s="153"/>
      <c r="AA645" s="155"/>
      <c r="AB645" s="154"/>
      <c r="AC645" s="155"/>
      <c r="AD645" s="155"/>
    </row>
    <row r="646" spans="5:30" x14ac:dyDescent="0.25">
      <c r="E646" s="153"/>
      <c r="F646" s="153"/>
      <c r="G646" s="153"/>
      <c r="H646" s="153"/>
      <c r="I646" s="153"/>
      <c r="J646" s="155"/>
      <c r="K646" s="154"/>
      <c r="L646" s="155"/>
      <c r="M646" s="155"/>
      <c r="N646" s="155"/>
      <c r="W646" s="152"/>
      <c r="X646" s="153"/>
      <c r="Y646" s="153"/>
      <c r="Z646" s="153"/>
      <c r="AA646" s="155"/>
      <c r="AB646" s="154"/>
      <c r="AC646" s="155"/>
      <c r="AD646" s="155"/>
    </row>
    <row r="647" spans="5:30" x14ac:dyDescent="0.25">
      <c r="E647" s="153"/>
      <c r="F647" s="153"/>
      <c r="G647" s="153"/>
      <c r="H647" s="153"/>
      <c r="I647" s="153"/>
      <c r="J647" s="155"/>
      <c r="K647" s="154"/>
      <c r="L647" s="155"/>
      <c r="M647" s="155"/>
      <c r="N647" s="155"/>
      <c r="W647" s="152"/>
      <c r="X647" s="153"/>
      <c r="Y647" s="153"/>
      <c r="Z647" s="153"/>
      <c r="AA647" s="155"/>
      <c r="AB647" s="154"/>
      <c r="AC647" s="155"/>
      <c r="AD647" s="155"/>
    </row>
    <row r="648" spans="5:30" x14ac:dyDescent="0.25">
      <c r="E648" s="153"/>
      <c r="F648" s="153"/>
      <c r="G648" s="153"/>
      <c r="H648" s="153"/>
      <c r="I648" s="153"/>
      <c r="J648" s="155"/>
      <c r="K648" s="154"/>
      <c r="L648" s="155"/>
      <c r="M648" s="155"/>
      <c r="N648" s="155"/>
      <c r="W648" s="152"/>
      <c r="X648" s="153"/>
      <c r="Y648" s="153"/>
      <c r="Z648" s="153"/>
      <c r="AA648" s="155"/>
      <c r="AB648" s="154"/>
      <c r="AC648" s="155"/>
      <c r="AD648" s="155"/>
    </row>
    <row r="649" spans="5:30" x14ac:dyDescent="0.25">
      <c r="E649" s="153"/>
      <c r="F649" s="153"/>
      <c r="G649" s="153"/>
      <c r="H649" s="153"/>
      <c r="I649" s="153"/>
      <c r="J649" s="155"/>
      <c r="K649" s="154"/>
      <c r="L649" s="155"/>
      <c r="M649" s="155"/>
      <c r="N649" s="155"/>
      <c r="W649" s="152"/>
      <c r="X649" s="153"/>
      <c r="Y649" s="153"/>
      <c r="Z649" s="153"/>
      <c r="AA649" s="155"/>
      <c r="AB649" s="154"/>
      <c r="AC649" s="155"/>
      <c r="AD649" s="155"/>
    </row>
    <row r="650" spans="5:30" x14ac:dyDescent="0.25">
      <c r="E650" s="153"/>
      <c r="F650" s="153"/>
      <c r="G650" s="153"/>
      <c r="H650" s="153"/>
      <c r="I650" s="153"/>
      <c r="J650" s="155"/>
      <c r="K650" s="154"/>
      <c r="L650" s="155"/>
      <c r="M650" s="155"/>
      <c r="N650" s="155"/>
      <c r="W650" s="152"/>
      <c r="X650" s="153"/>
      <c r="Y650" s="153"/>
      <c r="Z650" s="153"/>
      <c r="AA650" s="155"/>
      <c r="AB650" s="154"/>
      <c r="AC650" s="155"/>
      <c r="AD650" s="155"/>
    </row>
    <row r="651" spans="5:30" x14ac:dyDescent="0.25">
      <c r="E651" s="153"/>
      <c r="F651" s="153"/>
      <c r="G651" s="153"/>
      <c r="H651" s="153"/>
      <c r="I651" s="153"/>
      <c r="J651" s="155"/>
      <c r="K651" s="154"/>
      <c r="L651" s="155"/>
      <c r="M651" s="155"/>
      <c r="N651" s="155"/>
      <c r="W651" s="152"/>
      <c r="X651" s="153"/>
      <c r="Y651" s="153"/>
      <c r="Z651" s="153"/>
      <c r="AA651" s="155"/>
      <c r="AB651" s="154"/>
      <c r="AC651" s="155"/>
      <c r="AD651" s="155"/>
    </row>
    <row r="652" spans="5:30" x14ac:dyDescent="0.25">
      <c r="E652" s="153"/>
      <c r="F652" s="153"/>
      <c r="G652" s="153"/>
      <c r="H652" s="153"/>
      <c r="I652" s="153"/>
      <c r="J652" s="155"/>
      <c r="K652" s="154"/>
      <c r="L652" s="155"/>
      <c r="M652" s="155"/>
      <c r="N652" s="155"/>
      <c r="W652" s="152"/>
      <c r="X652" s="153"/>
      <c r="Y652" s="153"/>
      <c r="Z652" s="153"/>
      <c r="AA652" s="155"/>
      <c r="AB652" s="154"/>
      <c r="AC652" s="155"/>
      <c r="AD652" s="155"/>
    </row>
    <row r="653" spans="5:30" x14ac:dyDescent="0.25">
      <c r="E653" s="153"/>
      <c r="F653" s="153"/>
      <c r="G653" s="153"/>
      <c r="H653" s="153"/>
      <c r="I653" s="153"/>
      <c r="J653" s="155"/>
      <c r="K653" s="154"/>
      <c r="L653" s="155"/>
      <c r="M653" s="155"/>
      <c r="N653" s="155"/>
      <c r="W653" s="152"/>
      <c r="X653" s="153"/>
      <c r="Y653" s="153"/>
      <c r="Z653" s="153"/>
      <c r="AA653" s="155"/>
      <c r="AB653" s="154"/>
      <c r="AC653" s="155"/>
      <c r="AD653" s="155"/>
    </row>
    <row r="654" spans="5:30" x14ac:dyDescent="0.25">
      <c r="E654" s="153"/>
      <c r="F654" s="153"/>
      <c r="G654" s="153"/>
      <c r="H654" s="153"/>
      <c r="I654" s="153"/>
      <c r="J654" s="155"/>
      <c r="K654" s="154"/>
      <c r="L654" s="155"/>
      <c r="M654" s="155"/>
      <c r="N654" s="155"/>
      <c r="W654" s="152"/>
      <c r="X654" s="153"/>
      <c r="Y654" s="153"/>
      <c r="Z654" s="153"/>
      <c r="AA654" s="155"/>
      <c r="AB654" s="154"/>
      <c r="AC654" s="155"/>
      <c r="AD654" s="155"/>
    </row>
    <row r="655" spans="5:30" x14ac:dyDescent="0.25">
      <c r="E655" s="153"/>
      <c r="F655" s="153"/>
      <c r="G655" s="153"/>
      <c r="H655" s="153"/>
      <c r="I655" s="153"/>
      <c r="J655" s="155"/>
      <c r="K655" s="154"/>
      <c r="L655" s="155"/>
      <c r="M655" s="155"/>
      <c r="N655" s="155"/>
      <c r="W655" s="152"/>
      <c r="X655" s="153"/>
      <c r="Y655" s="153"/>
      <c r="Z655" s="153"/>
      <c r="AA655" s="155"/>
      <c r="AB655" s="154"/>
      <c r="AC655" s="155"/>
      <c r="AD655" s="155"/>
    </row>
    <row r="656" spans="5:30" x14ac:dyDescent="0.25">
      <c r="E656" s="153"/>
      <c r="F656" s="153"/>
      <c r="G656" s="153"/>
      <c r="H656" s="153"/>
      <c r="I656" s="153"/>
      <c r="J656" s="155"/>
      <c r="K656" s="154"/>
      <c r="L656" s="155"/>
      <c r="M656" s="155"/>
      <c r="N656" s="155"/>
      <c r="W656" s="152"/>
      <c r="X656" s="153"/>
      <c r="Y656" s="153"/>
      <c r="Z656" s="153"/>
      <c r="AA656" s="155"/>
      <c r="AB656" s="154"/>
      <c r="AC656" s="155"/>
      <c r="AD656" s="155"/>
    </row>
    <row r="657" spans="5:30" x14ac:dyDescent="0.25">
      <c r="E657" s="153"/>
      <c r="F657" s="153"/>
      <c r="G657" s="153"/>
      <c r="H657" s="153"/>
      <c r="I657" s="153"/>
      <c r="J657" s="155"/>
      <c r="K657" s="154"/>
      <c r="L657" s="155"/>
      <c r="M657" s="155"/>
      <c r="N657" s="155"/>
      <c r="W657" s="152"/>
      <c r="X657" s="153"/>
      <c r="Y657" s="153"/>
      <c r="Z657" s="153"/>
      <c r="AA657" s="155"/>
      <c r="AB657" s="154"/>
      <c r="AC657" s="155"/>
      <c r="AD657" s="155"/>
    </row>
    <row r="658" spans="5:30" x14ac:dyDescent="0.25">
      <c r="E658" s="153"/>
      <c r="F658" s="153"/>
      <c r="G658" s="153"/>
      <c r="H658" s="153"/>
      <c r="I658" s="153"/>
      <c r="J658" s="155"/>
      <c r="K658" s="154"/>
      <c r="L658" s="155"/>
      <c r="M658" s="155"/>
      <c r="N658" s="155"/>
      <c r="W658" s="152"/>
      <c r="X658" s="153"/>
      <c r="Y658" s="153"/>
      <c r="Z658" s="153"/>
      <c r="AA658" s="155"/>
      <c r="AB658" s="154"/>
      <c r="AC658" s="155"/>
      <c r="AD658" s="155"/>
    </row>
    <row r="659" spans="5:30" x14ac:dyDescent="0.25">
      <c r="E659" s="153"/>
      <c r="F659" s="153"/>
      <c r="G659" s="153"/>
      <c r="H659" s="153"/>
      <c r="I659" s="153"/>
      <c r="J659" s="155"/>
      <c r="K659" s="154"/>
      <c r="L659" s="155"/>
      <c r="M659" s="155"/>
      <c r="N659" s="155"/>
      <c r="W659" s="152"/>
      <c r="X659" s="153"/>
      <c r="Y659" s="153"/>
      <c r="Z659" s="153"/>
      <c r="AA659" s="155"/>
      <c r="AB659" s="154"/>
      <c r="AC659" s="155"/>
      <c r="AD659" s="155"/>
    </row>
    <row r="660" spans="5:30" x14ac:dyDescent="0.25">
      <c r="E660" s="153"/>
      <c r="F660" s="153"/>
      <c r="G660" s="153"/>
      <c r="H660" s="153"/>
      <c r="I660" s="153"/>
      <c r="J660" s="155"/>
      <c r="K660" s="154"/>
      <c r="L660" s="155"/>
      <c r="M660" s="155"/>
      <c r="N660" s="155"/>
      <c r="W660" s="152"/>
      <c r="X660" s="153"/>
      <c r="Y660" s="153"/>
      <c r="Z660" s="153"/>
      <c r="AA660" s="155"/>
      <c r="AB660" s="154"/>
      <c r="AC660" s="155"/>
      <c r="AD660" s="155"/>
    </row>
    <row r="661" spans="5:30" x14ac:dyDescent="0.25">
      <c r="E661" s="153"/>
      <c r="F661" s="153"/>
      <c r="G661" s="153"/>
      <c r="H661" s="153"/>
      <c r="I661" s="153"/>
      <c r="J661" s="155"/>
      <c r="K661" s="154"/>
      <c r="L661" s="155"/>
      <c r="M661" s="155"/>
      <c r="N661" s="155"/>
      <c r="W661" s="152"/>
      <c r="X661" s="153"/>
      <c r="Y661" s="153"/>
      <c r="Z661" s="153"/>
      <c r="AA661" s="155"/>
      <c r="AB661" s="154"/>
      <c r="AC661" s="155"/>
      <c r="AD661" s="155"/>
    </row>
    <row r="662" spans="5:30" x14ac:dyDescent="0.25">
      <c r="E662" s="153"/>
      <c r="F662" s="153"/>
      <c r="G662" s="153"/>
      <c r="H662" s="153"/>
      <c r="I662" s="153"/>
      <c r="J662" s="155"/>
      <c r="K662" s="154"/>
      <c r="L662" s="155"/>
      <c r="M662" s="155"/>
      <c r="N662" s="155"/>
      <c r="W662" s="152"/>
      <c r="X662" s="153"/>
      <c r="Y662" s="153"/>
      <c r="Z662" s="153"/>
      <c r="AA662" s="155"/>
      <c r="AB662" s="154"/>
      <c r="AC662" s="155"/>
      <c r="AD662" s="155"/>
    </row>
    <row r="663" spans="5:30" x14ac:dyDescent="0.25">
      <c r="E663" s="153"/>
      <c r="F663" s="153"/>
      <c r="G663" s="153"/>
      <c r="H663" s="153"/>
      <c r="I663" s="153"/>
      <c r="J663" s="155"/>
      <c r="K663" s="154"/>
      <c r="L663" s="155"/>
      <c r="M663" s="155"/>
      <c r="N663" s="155"/>
      <c r="W663" s="152"/>
      <c r="X663" s="153"/>
      <c r="Y663" s="153"/>
      <c r="Z663" s="153"/>
      <c r="AA663" s="155"/>
      <c r="AB663" s="154"/>
      <c r="AC663" s="155"/>
      <c r="AD663" s="155"/>
    </row>
    <row r="664" spans="5:30" x14ac:dyDescent="0.25">
      <c r="E664" s="153"/>
      <c r="F664" s="153"/>
      <c r="G664" s="153"/>
      <c r="H664" s="153"/>
      <c r="I664" s="153"/>
      <c r="J664" s="155"/>
      <c r="K664" s="154"/>
      <c r="L664" s="155"/>
      <c r="M664" s="155"/>
      <c r="N664" s="155"/>
      <c r="W664" s="152"/>
      <c r="X664" s="153"/>
      <c r="Y664" s="153"/>
      <c r="Z664" s="153"/>
      <c r="AA664" s="155"/>
      <c r="AB664" s="154"/>
      <c r="AC664" s="155"/>
      <c r="AD664" s="155"/>
    </row>
    <row r="665" spans="5:30" x14ac:dyDescent="0.25">
      <c r="E665" s="153"/>
      <c r="F665" s="153"/>
      <c r="G665" s="153"/>
      <c r="H665" s="153"/>
      <c r="I665" s="153"/>
      <c r="J665" s="155"/>
      <c r="K665" s="154"/>
      <c r="L665" s="155"/>
      <c r="M665" s="155"/>
      <c r="N665" s="155"/>
      <c r="W665" s="152"/>
      <c r="X665" s="153"/>
      <c r="Y665" s="153"/>
      <c r="Z665" s="153"/>
      <c r="AA665" s="155"/>
      <c r="AB665" s="154"/>
      <c r="AC665" s="155"/>
      <c r="AD665" s="155"/>
    </row>
    <row r="666" spans="5:30" x14ac:dyDescent="0.25">
      <c r="E666" s="153"/>
      <c r="F666" s="153"/>
      <c r="G666" s="153"/>
      <c r="H666" s="153"/>
      <c r="I666" s="153"/>
      <c r="J666" s="155"/>
      <c r="K666" s="154"/>
      <c r="L666" s="155"/>
      <c r="M666" s="155"/>
      <c r="N666" s="155"/>
      <c r="W666" s="152"/>
      <c r="X666" s="153"/>
      <c r="Y666" s="153"/>
      <c r="Z666" s="153"/>
      <c r="AA666" s="155"/>
      <c r="AB666" s="154"/>
      <c r="AC666" s="155"/>
      <c r="AD666" s="155"/>
    </row>
    <row r="667" spans="5:30" x14ac:dyDescent="0.25">
      <c r="E667" s="153"/>
      <c r="F667" s="153"/>
      <c r="G667" s="153"/>
      <c r="H667" s="153"/>
      <c r="I667" s="153"/>
      <c r="J667" s="155"/>
      <c r="K667" s="154"/>
      <c r="L667" s="155"/>
      <c r="M667" s="155"/>
      <c r="N667" s="155"/>
      <c r="W667" s="152"/>
      <c r="X667" s="153"/>
      <c r="Y667" s="153"/>
      <c r="Z667" s="153"/>
      <c r="AA667" s="155"/>
      <c r="AB667" s="154"/>
      <c r="AC667" s="155"/>
      <c r="AD667" s="155"/>
    </row>
    <row r="668" spans="5:30" x14ac:dyDescent="0.25">
      <c r="E668" s="153"/>
      <c r="F668" s="153"/>
      <c r="G668" s="153"/>
      <c r="H668" s="153"/>
      <c r="I668" s="153"/>
      <c r="J668" s="155"/>
      <c r="K668" s="154"/>
      <c r="L668" s="155"/>
      <c r="M668" s="155"/>
      <c r="N668" s="155"/>
      <c r="W668" s="152"/>
      <c r="X668" s="153"/>
      <c r="Y668" s="153"/>
      <c r="Z668" s="153"/>
      <c r="AA668" s="155"/>
      <c r="AB668" s="154"/>
      <c r="AC668" s="155"/>
      <c r="AD668" s="155"/>
    </row>
    <row r="669" spans="5:30" x14ac:dyDescent="0.25">
      <c r="E669" s="153"/>
      <c r="F669" s="153"/>
      <c r="G669" s="153"/>
      <c r="H669" s="153"/>
      <c r="I669" s="153"/>
      <c r="J669" s="155"/>
      <c r="K669" s="154"/>
      <c r="L669" s="155"/>
      <c r="M669" s="155"/>
      <c r="N669" s="155"/>
      <c r="W669" s="152"/>
      <c r="X669" s="153"/>
      <c r="Y669" s="153"/>
      <c r="Z669" s="153"/>
      <c r="AA669" s="155"/>
      <c r="AB669" s="154"/>
      <c r="AC669" s="155"/>
      <c r="AD669" s="155"/>
    </row>
    <row r="670" spans="5:30" x14ac:dyDescent="0.25">
      <c r="E670" s="153"/>
      <c r="F670" s="153"/>
      <c r="G670" s="153"/>
      <c r="H670" s="153"/>
      <c r="I670" s="153"/>
      <c r="J670" s="155"/>
      <c r="K670" s="154"/>
      <c r="L670" s="155"/>
      <c r="M670" s="155"/>
      <c r="N670" s="155"/>
      <c r="W670" s="152"/>
      <c r="X670" s="153"/>
      <c r="Y670" s="153"/>
      <c r="Z670" s="153"/>
      <c r="AA670" s="155"/>
      <c r="AB670" s="154"/>
      <c r="AC670" s="155"/>
      <c r="AD670" s="155"/>
    </row>
    <row r="671" spans="5:30" x14ac:dyDescent="0.25">
      <c r="E671" s="153"/>
      <c r="F671" s="153"/>
      <c r="G671" s="153"/>
      <c r="H671" s="153"/>
      <c r="I671" s="153"/>
      <c r="J671" s="155"/>
      <c r="K671" s="154"/>
      <c r="L671" s="155"/>
      <c r="M671" s="155"/>
      <c r="N671" s="155"/>
      <c r="W671" s="152"/>
      <c r="X671" s="153"/>
      <c r="Y671" s="153"/>
      <c r="Z671" s="153"/>
      <c r="AA671" s="155"/>
      <c r="AB671" s="154"/>
      <c r="AC671" s="155"/>
      <c r="AD671" s="155"/>
    </row>
    <row r="672" spans="5:30" x14ac:dyDescent="0.25">
      <c r="E672" s="153"/>
      <c r="F672" s="153"/>
      <c r="G672" s="153"/>
      <c r="H672" s="153"/>
      <c r="I672" s="153"/>
      <c r="J672" s="155"/>
      <c r="K672" s="154"/>
      <c r="L672" s="155"/>
      <c r="M672" s="155"/>
      <c r="N672" s="155"/>
      <c r="W672" s="152"/>
      <c r="X672" s="153"/>
      <c r="Y672" s="153"/>
      <c r="Z672" s="153"/>
      <c r="AA672" s="155"/>
      <c r="AB672" s="154"/>
      <c r="AC672" s="155"/>
      <c r="AD672" s="155"/>
    </row>
    <row r="673" spans="5:30" x14ac:dyDescent="0.25">
      <c r="E673" s="153"/>
      <c r="F673" s="153"/>
      <c r="G673" s="153"/>
      <c r="H673" s="153"/>
      <c r="I673" s="153"/>
      <c r="J673" s="155"/>
      <c r="K673" s="154"/>
      <c r="L673" s="155"/>
      <c r="M673" s="155"/>
      <c r="N673" s="155"/>
      <c r="W673" s="152"/>
      <c r="X673" s="153"/>
      <c r="Y673" s="153"/>
      <c r="Z673" s="153"/>
      <c r="AA673" s="155"/>
      <c r="AB673" s="154"/>
      <c r="AC673" s="155"/>
      <c r="AD673" s="155"/>
    </row>
    <row r="674" spans="5:30" x14ac:dyDescent="0.25">
      <c r="E674" s="153"/>
      <c r="F674" s="153"/>
      <c r="G674" s="153"/>
      <c r="H674" s="153"/>
      <c r="I674" s="153"/>
      <c r="J674" s="155"/>
      <c r="K674" s="154"/>
      <c r="L674" s="155"/>
      <c r="M674" s="155"/>
      <c r="N674" s="155"/>
      <c r="W674" s="152"/>
      <c r="X674" s="153"/>
      <c r="Y674" s="153"/>
      <c r="Z674" s="153"/>
      <c r="AA674" s="155"/>
      <c r="AB674" s="154"/>
      <c r="AC674" s="155"/>
      <c r="AD674" s="155"/>
    </row>
    <row r="675" spans="5:30" x14ac:dyDescent="0.25">
      <c r="E675" s="153"/>
      <c r="F675" s="153"/>
      <c r="G675" s="153"/>
      <c r="H675" s="153"/>
      <c r="I675" s="153"/>
      <c r="J675" s="155"/>
      <c r="K675" s="154"/>
      <c r="L675" s="155"/>
      <c r="M675" s="155"/>
      <c r="N675" s="155"/>
      <c r="W675" s="152"/>
      <c r="X675" s="153"/>
      <c r="Y675" s="153"/>
      <c r="Z675" s="153"/>
      <c r="AA675" s="155"/>
      <c r="AB675" s="154"/>
      <c r="AC675" s="155"/>
      <c r="AD675" s="155"/>
    </row>
    <row r="676" spans="5:30" x14ac:dyDescent="0.25">
      <c r="E676" s="153"/>
      <c r="F676" s="153"/>
      <c r="G676" s="153"/>
      <c r="H676" s="153"/>
      <c r="I676" s="153"/>
      <c r="J676" s="155"/>
      <c r="K676" s="154"/>
      <c r="L676" s="155"/>
      <c r="M676" s="155"/>
      <c r="N676" s="155"/>
      <c r="W676" s="152"/>
      <c r="X676" s="153"/>
      <c r="Y676" s="153"/>
      <c r="Z676" s="153"/>
      <c r="AA676" s="155"/>
      <c r="AB676" s="154"/>
      <c r="AC676" s="155"/>
      <c r="AD676" s="155"/>
    </row>
    <row r="677" spans="5:30" x14ac:dyDescent="0.25">
      <c r="E677" s="153"/>
      <c r="F677" s="153"/>
      <c r="G677" s="153"/>
      <c r="H677" s="153"/>
      <c r="I677" s="153"/>
      <c r="J677" s="155"/>
      <c r="K677" s="154"/>
      <c r="L677" s="155"/>
      <c r="M677" s="155"/>
      <c r="N677" s="155"/>
      <c r="W677" s="152"/>
      <c r="X677" s="153"/>
      <c r="Y677" s="153"/>
      <c r="Z677" s="153"/>
      <c r="AA677" s="155"/>
      <c r="AB677" s="154"/>
      <c r="AC677" s="155"/>
      <c r="AD677" s="155"/>
    </row>
    <row r="678" spans="5:30" x14ac:dyDescent="0.25">
      <c r="E678" s="153"/>
      <c r="F678" s="153"/>
      <c r="G678" s="153"/>
      <c r="H678" s="153"/>
      <c r="I678" s="153"/>
      <c r="J678" s="155"/>
      <c r="K678" s="154"/>
      <c r="L678" s="155"/>
      <c r="M678" s="155"/>
      <c r="N678" s="155"/>
      <c r="W678" s="152"/>
      <c r="X678" s="153"/>
      <c r="Y678" s="153"/>
      <c r="Z678" s="153"/>
      <c r="AA678" s="155"/>
      <c r="AB678" s="154"/>
      <c r="AC678" s="155"/>
      <c r="AD678" s="155"/>
    </row>
    <row r="679" spans="5:30" x14ac:dyDescent="0.25">
      <c r="E679" s="153"/>
      <c r="F679" s="153"/>
      <c r="G679" s="153"/>
      <c r="H679" s="153"/>
      <c r="I679" s="153"/>
      <c r="J679" s="155"/>
      <c r="K679" s="154"/>
      <c r="L679" s="155"/>
      <c r="M679" s="155"/>
      <c r="N679" s="155"/>
      <c r="W679" s="152"/>
      <c r="X679" s="153"/>
      <c r="Y679" s="153"/>
      <c r="Z679" s="153"/>
      <c r="AA679" s="155"/>
      <c r="AB679" s="154"/>
      <c r="AC679" s="155"/>
      <c r="AD679" s="155"/>
    </row>
    <row r="680" spans="5:30" x14ac:dyDescent="0.25">
      <c r="E680" s="153"/>
      <c r="F680" s="153"/>
      <c r="G680" s="153"/>
      <c r="H680" s="153"/>
      <c r="I680" s="153"/>
      <c r="J680" s="155"/>
      <c r="K680" s="154"/>
      <c r="L680" s="155"/>
      <c r="M680" s="155"/>
      <c r="N680" s="155"/>
      <c r="W680" s="152"/>
      <c r="X680" s="153"/>
      <c r="Y680" s="153"/>
      <c r="Z680" s="153"/>
      <c r="AA680" s="155"/>
      <c r="AB680" s="154"/>
      <c r="AC680" s="155"/>
      <c r="AD680" s="155"/>
    </row>
    <row r="681" spans="5:30" x14ac:dyDescent="0.25">
      <c r="E681" s="153"/>
      <c r="F681" s="153"/>
      <c r="G681" s="153"/>
      <c r="H681" s="153"/>
      <c r="I681" s="153"/>
      <c r="J681" s="155"/>
      <c r="K681" s="154"/>
      <c r="L681" s="155"/>
      <c r="M681" s="155"/>
      <c r="N681" s="155"/>
      <c r="W681" s="152"/>
      <c r="X681" s="153"/>
      <c r="Y681" s="153"/>
      <c r="Z681" s="153"/>
      <c r="AA681" s="155"/>
      <c r="AB681" s="154"/>
      <c r="AC681" s="155"/>
      <c r="AD681" s="155"/>
    </row>
    <row r="682" spans="5:30" x14ac:dyDescent="0.25">
      <c r="E682" s="153"/>
      <c r="F682" s="153"/>
      <c r="G682" s="153"/>
      <c r="H682" s="153"/>
      <c r="I682" s="153"/>
      <c r="J682" s="155"/>
      <c r="K682" s="154"/>
      <c r="L682" s="155"/>
      <c r="M682" s="155"/>
      <c r="N682" s="155"/>
      <c r="W682" s="152"/>
      <c r="X682" s="153"/>
      <c r="Y682" s="153"/>
      <c r="Z682" s="153"/>
      <c r="AA682" s="155"/>
      <c r="AB682" s="154"/>
      <c r="AC682" s="155"/>
      <c r="AD682" s="155"/>
    </row>
    <row r="683" spans="5:30" x14ac:dyDescent="0.25">
      <c r="E683" s="153"/>
      <c r="F683" s="153"/>
      <c r="G683" s="153"/>
      <c r="H683" s="153"/>
      <c r="I683" s="153"/>
      <c r="J683" s="155"/>
      <c r="K683" s="154"/>
      <c r="L683" s="155"/>
      <c r="M683" s="155"/>
      <c r="N683" s="155"/>
      <c r="W683" s="152"/>
      <c r="X683" s="153"/>
      <c r="Y683" s="153"/>
      <c r="Z683" s="153"/>
      <c r="AA683" s="155"/>
      <c r="AB683" s="154"/>
      <c r="AC683" s="155"/>
      <c r="AD683" s="155"/>
    </row>
    <row r="684" spans="5:30" x14ac:dyDescent="0.25">
      <c r="E684" s="153"/>
      <c r="F684" s="153"/>
      <c r="G684" s="153"/>
      <c r="H684" s="153"/>
      <c r="I684" s="153"/>
      <c r="J684" s="155"/>
      <c r="K684" s="154"/>
      <c r="L684" s="155"/>
      <c r="M684" s="155"/>
      <c r="N684" s="155"/>
      <c r="W684" s="152"/>
      <c r="X684" s="153"/>
      <c r="Y684" s="153"/>
      <c r="Z684" s="153"/>
      <c r="AA684" s="155"/>
      <c r="AB684" s="154"/>
      <c r="AC684" s="155"/>
      <c r="AD684" s="155"/>
    </row>
    <row r="685" spans="5:30" x14ac:dyDescent="0.25">
      <c r="E685" s="153"/>
      <c r="F685" s="153"/>
      <c r="G685" s="153"/>
      <c r="H685" s="153"/>
      <c r="I685" s="153"/>
      <c r="J685" s="155"/>
      <c r="K685" s="154"/>
      <c r="L685" s="155"/>
      <c r="M685" s="155"/>
      <c r="N685" s="155"/>
      <c r="W685" s="152"/>
      <c r="X685" s="153"/>
      <c r="Y685" s="153"/>
      <c r="Z685" s="153"/>
      <c r="AA685" s="155"/>
      <c r="AB685" s="154"/>
      <c r="AC685" s="155"/>
      <c r="AD685" s="155"/>
    </row>
    <row r="686" spans="5:30" x14ac:dyDescent="0.25">
      <c r="E686" s="153"/>
      <c r="F686" s="153"/>
      <c r="G686" s="153"/>
      <c r="H686" s="153"/>
      <c r="I686" s="153"/>
      <c r="J686" s="155"/>
      <c r="K686" s="154"/>
      <c r="L686" s="155"/>
      <c r="M686" s="155"/>
      <c r="N686" s="155"/>
      <c r="W686" s="152"/>
      <c r="X686" s="153"/>
      <c r="Y686" s="153"/>
      <c r="Z686" s="153"/>
      <c r="AA686" s="155"/>
      <c r="AB686" s="154"/>
      <c r="AC686" s="155"/>
      <c r="AD686" s="155"/>
    </row>
    <row r="687" spans="5:30" x14ac:dyDescent="0.25">
      <c r="E687" s="153"/>
      <c r="F687" s="153"/>
      <c r="G687" s="153"/>
      <c r="H687" s="153"/>
      <c r="I687" s="153"/>
      <c r="J687" s="155"/>
      <c r="K687" s="154"/>
      <c r="L687" s="155"/>
      <c r="M687" s="155"/>
      <c r="N687" s="155"/>
      <c r="W687" s="152"/>
      <c r="X687" s="153"/>
      <c r="Y687" s="153"/>
      <c r="Z687" s="153"/>
      <c r="AA687" s="155"/>
      <c r="AB687" s="154"/>
      <c r="AC687" s="155"/>
      <c r="AD687" s="155"/>
    </row>
    <row r="688" spans="5:30" x14ac:dyDescent="0.25">
      <c r="E688" s="153"/>
      <c r="F688" s="153"/>
      <c r="G688" s="153"/>
      <c r="H688" s="153"/>
      <c r="I688" s="153"/>
      <c r="J688" s="155"/>
      <c r="K688" s="154"/>
      <c r="L688" s="155"/>
      <c r="M688" s="155"/>
      <c r="N688" s="155"/>
      <c r="W688" s="152"/>
      <c r="X688" s="153"/>
      <c r="Y688" s="153"/>
      <c r="Z688" s="153"/>
      <c r="AA688" s="155"/>
      <c r="AB688" s="154"/>
      <c r="AC688" s="155"/>
      <c r="AD688" s="155"/>
    </row>
    <row r="689" spans="5:30" x14ac:dyDescent="0.25">
      <c r="E689" s="153"/>
      <c r="F689" s="153"/>
      <c r="G689" s="153"/>
      <c r="H689" s="153"/>
      <c r="I689" s="153"/>
      <c r="J689" s="155"/>
      <c r="K689" s="154"/>
      <c r="L689" s="155"/>
      <c r="M689" s="155"/>
      <c r="N689" s="155"/>
      <c r="W689" s="152"/>
      <c r="X689" s="153"/>
      <c r="Y689" s="153"/>
      <c r="Z689" s="153"/>
      <c r="AA689" s="155"/>
      <c r="AB689" s="154"/>
      <c r="AC689" s="155"/>
      <c r="AD689" s="155"/>
    </row>
    <row r="690" spans="5:30" x14ac:dyDescent="0.25">
      <c r="E690" s="153"/>
      <c r="F690" s="153"/>
      <c r="G690" s="153"/>
      <c r="H690" s="153"/>
      <c r="I690" s="153"/>
      <c r="J690" s="155"/>
      <c r="K690" s="154"/>
      <c r="L690" s="155"/>
      <c r="M690" s="155"/>
      <c r="N690" s="155"/>
      <c r="W690" s="152"/>
      <c r="X690" s="153"/>
      <c r="Y690" s="153"/>
      <c r="Z690" s="153"/>
      <c r="AA690" s="155"/>
      <c r="AB690" s="154"/>
      <c r="AC690" s="155"/>
      <c r="AD690" s="155"/>
    </row>
    <row r="691" spans="5:30" x14ac:dyDescent="0.25">
      <c r="E691" s="153"/>
      <c r="F691" s="153"/>
      <c r="G691" s="153"/>
      <c r="H691" s="153"/>
      <c r="I691" s="153"/>
      <c r="J691" s="155"/>
      <c r="K691" s="154"/>
      <c r="L691" s="155"/>
      <c r="M691" s="155"/>
      <c r="N691" s="155"/>
      <c r="W691" s="152"/>
      <c r="X691" s="153"/>
      <c r="Y691" s="153"/>
      <c r="Z691" s="153"/>
      <c r="AA691" s="155"/>
      <c r="AB691" s="154"/>
      <c r="AC691" s="155"/>
      <c r="AD691" s="155"/>
    </row>
    <row r="692" spans="5:30" x14ac:dyDescent="0.25">
      <c r="E692" s="153"/>
      <c r="F692" s="153"/>
      <c r="G692" s="153"/>
      <c r="H692" s="153"/>
      <c r="I692" s="153"/>
      <c r="J692" s="155"/>
      <c r="K692" s="154"/>
      <c r="L692" s="155"/>
      <c r="M692" s="155"/>
      <c r="N692" s="155"/>
      <c r="W692" s="152"/>
      <c r="X692" s="153"/>
      <c r="Y692" s="153"/>
      <c r="Z692" s="153"/>
      <c r="AA692" s="155"/>
      <c r="AB692" s="154"/>
      <c r="AC692" s="155"/>
      <c r="AD692" s="155"/>
    </row>
    <row r="693" spans="5:30" x14ac:dyDescent="0.25">
      <c r="E693" s="153"/>
      <c r="F693" s="153"/>
      <c r="G693" s="153"/>
      <c r="H693" s="153"/>
      <c r="I693" s="153"/>
      <c r="J693" s="155"/>
      <c r="K693" s="154"/>
      <c r="L693" s="155"/>
      <c r="M693" s="155"/>
      <c r="N693" s="155"/>
      <c r="W693" s="152"/>
      <c r="X693" s="153"/>
      <c r="Y693" s="153"/>
      <c r="Z693" s="153"/>
      <c r="AA693" s="155"/>
      <c r="AB693" s="154"/>
      <c r="AC693" s="155"/>
      <c r="AD693" s="155"/>
    </row>
    <row r="694" spans="5:30" x14ac:dyDescent="0.25">
      <c r="E694" s="153"/>
      <c r="F694" s="153"/>
      <c r="G694" s="153"/>
      <c r="H694" s="153"/>
      <c r="I694" s="153"/>
      <c r="J694" s="155"/>
      <c r="K694" s="154"/>
      <c r="L694" s="155"/>
      <c r="M694" s="155"/>
      <c r="N694" s="155"/>
      <c r="W694" s="152"/>
      <c r="X694" s="153"/>
      <c r="Y694" s="153"/>
      <c r="Z694" s="153"/>
      <c r="AA694" s="155"/>
      <c r="AB694" s="154"/>
      <c r="AC694" s="155"/>
      <c r="AD694" s="155"/>
    </row>
    <row r="695" spans="5:30" x14ac:dyDescent="0.25">
      <c r="E695" s="153"/>
      <c r="F695" s="153"/>
      <c r="G695" s="153"/>
      <c r="H695" s="153"/>
      <c r="I695" s="153"/>
      <c r="J695" s="155"/>
      <c r="K695" s="154"/>
      <c r="L695" s="155"/>
      <c r="M695" s="155"/>
      <c r="N695" s="155"/>
      <c r="W695" s="152"/>
      <c r="X695" s="153"/>
      <c r="Y695" s="153"/>
      <c r="Z695" s="153"/>
      <c r="AA695" s="155"/>
      <c r="AB695" s="154"/>
      <c r="AC695" s="155"/>
      <c r="AD695" s="155"/>
    </row>
    <row r="696" spans="5:30" x14ac:dyDescent="0.25">
      <c r="E696" s="153"/>
      <c r="F696" s="153"/>
      <c r="G696" s="153"/>
      <c r="H696" s="153"/>
      <c r="I696" s="153"/>
      <c r="J696" s="155"/>
      <c r="K696" s="154"/>
      <c r="L696" s="155"/>
      <c r="M696" s="155"/>
      <c r="N696" s="155"/>
      <c r="W696" s="152"/>
      <c r="X696" s="153"/>
      <c r="Y696" s="153"/>
      <c r="Z696" s="153"/>
      <c r="AA696" s="155"/>
      <c r="AB696" s="154"/>
      <c r="AC696" s="155"/>
      <c r="AD696" s="155"/>
    </row>
    <row r="697" spans="5:30" x14ac:dyDescent="0.25">
      <c r="E697" s="153"/>
      <c r="F697" s="153"/>
      <c r="G697" s="153"/>
      <c r="H697" s="153"/>
      <c r="I697" s="153"/>
      <c r="J697" s="155"/>
      <c r="K697" s="154"/>
      <c r="L697" s="155"/>
      <c r="M697" s="155"/>
      <c r="N697" s="155"/>
      <c r="W697" s="152"/>
      <c r="X697" s="153"/>
      <c r="Y697" s="153"/>
      <c r="Z697" s="153"/>
      <c r="AA697" s="155"/>
      <c r="AB697" s="154"/>
      <c r="AC697" s="155"/>
      <c r="AD697" s="155"/>
    </row>
    <row r="698" spans="5:30" x14ac:dyDescent="0.25">
      <c r="E698" s="153"/>
      <c r="F698" s="153"/>
      <c r="G698" s="153"/>
      <c r="H698" s="153"/>
      <c r="I698" s="153"/>
      <c r="J698" s="155"/>
      <c r="K698" s="154"/>
      <c r="L698" s="155"/>
      <c r="M698" s="155"/>
      <c r="N698" s="155"/>
      <c r="W698" s="152"/>
      <c r="X698" s="153"/>
      <c r="Y698" s="153"/>
      <c r="Z698" s="153"/>
      <c r="AA698" s="155"/>
      <c r="AB698" s="154"/>
      <c r="AC698" s="155"/>
      <c r="AD698" s="155"/>
    </row>
    <row r="699" spans="5:30" x14ac:dyDescent="0.25">
      <c r="E699" s="153"/>
      <c r="F699" s="153"/>
      <c r="G699" s="153"/>
      <c r="H699" s="153"/>
      <c r="I699" s="153"/>
      <c r="J699" s="155"/>
      <c r="K699" s="154"/>
      <c r="L699" s="155"/>
      <c r="M699" s="155"/>
      <c r="N699" s="155"/>
      <c r="W699" s="152"/>
      <c r="X699" s="153"/>
      <c r="Y699" s="153"/>
      <c r="Z699" s="153"/>
      <c r="AA699" s="155"/>
      <c r="AB699" s="154"/>
      <c r="AC699" s="155"/>
      <c r="AD699" s="155"/>
    </row>
    <row r="700" spans="5:30" x14ac:dyDescent="0.25">
      <c r="E700" s="153"/>
      <c r="F700" s="153"/>
      <c r="G700" s="153"/>
      <c r="H700" s="153"/>
      <c r="I700" s="153"/>
      <c r="J700" s="155"/>
      <c r="K700" s="154"/>
      <c r="L700" s="155"/>
      <c r="M700" s="155"/>
      <c r="N700" s="155"/>
      <c r="W700" s="152"/>
      <c r="X700" s="153"/>
      <c r="Y700" s="153"/>
      <c r="Z700" s="153"/>
      <c r="AA700" s="155"/>
      <c r="AB700" s="154"/>
      <c r="AC700" s="155"/>
      <c r="AD700" s="155"/>
    </row>
    <row r="701" spans="5:30" x14ac:dyDescent="0.25">
      <c r="E701" s="153"/>
      <c r="F701" s="153"/>
      <c r="G701" s="153"/>
      <c r="H701" s="153"/>
      <c r="I701" s="153"/>
      <c r="J701" s="155"/>
      <c r="K701" s="154"/>
      <c r="L701" s="155"/>
      <c r="M701" s="155"/>
      <c r="N701" s="155"/>
      <c r="W701" s="152"/>
      <c r="X701" s="153"/>
      <c r="Y701" s="153"/>
      <c r="Z701" s="153"/>
      <c r="AA701" s="155"/>
      <c r="AB701" s="154"/>
      <c r="AC701" s="155"/>
      <c r="AD701" s="155"/>
    </row>
    <row r="702" spans="5:30" x14ac:dyDescent="0.25">
      <c r="E702" s="153"/>
      <c r="F702" s="153"/>
      <c r="G702" s="153"/>
      <c r="H702" s="153"/>
      <c r="I702" s="153"/>
      <c r="J702" s="155"/>
      <c r="K702" s="154"/>
      <c r="L702" s="155"/>
      <c r="M702" s="155"/>
      <c r="N702" s="155"/>
      <c r="W702" s="152"/>
      <c r="X702" s="153"/>
      <c r="Y702" s="153"/>
      <c r="Z702" s="153"/>
      <c r="AA702" s="155"/>
      <c r="AB702" s="154"/>
      <c r="AC702" s="155"/>
      <c r="AD702" s="155"/>
    </row>
    <row r="703" spans="5:30" x14ac:dyDescent="0.25">
      <c r="E703" s="153"/>
      <c r="F703" s="153"/>
      <c r="G703" s="153"/>
      <c r="H703" s="153"/>
      <c r="I703" s="153"/>
      <c r="J703" s="155"/>
      <c r="K703" s="154"/>
      <c r="L703" s="155"/>
      <c r="M703" s="155"/>
      <c r="N703" s="155"/>
      <c r="W703" s="152"/>
      <c r="X703" s="153"/>
      <c r="Y703" s="153"/>
      <c r="Z703" s="153"/>
      <c r="AA703" s="155"/>
      <c r="AB703" s="154"/>
      <c r="AC703" s="155"/>
      <c r="AD703" s="155"/>
    </row>
    <row r="704" spans="5:30" x14ac:dyDescent="0.25">
      <c r="E704" s="153"/>
      <c r="F704" s="153"/>
      <c r="G704" s="153"/>
      <c r="H704" s="153"/>
      <c r="I704" s="153"/>
      <c r="J704" s="155"/>
      <c r="K704" s="154"/>
      <c r="L704" s="155"/>
      <c r="M704" s="155"/>
      <c r="N704" s="155"/>
      <c r="W704" s="152"/>
      <c r="X704" s="153"/>
      <c r="Y704" s="153"/>
      <c r="Z704" s="153"/>
      <c r="AA704" s="155"/>
      <c r="AB704" s="154"/>
      <c r="AC704" s="155"/>
      <c r="AD704" s="155"/>
    </row>
    <row r="705" spans="5:30" x14ac:dyDescent="0.25">
      <c r="E705" s="153"/>
      <c r="F705" s="153"/>
      <c r="G705" s="153"/>
      <c r="H705" s="153"/>
      <c r="I705" s="153"/>
      <c r="J705" s="155"/>
      <c r="K705" s="154"/>
      <c r="L705" s="155"/>
      <c r="M705" s="155"/>
      <c r="N705" s="155"/>
      <c r="W705" s="152"/>
      <c r="X705" s="153"/>
      <c r="Y705" s="153"/>
      <c r="Z705" s="153"/>
      <c r="AA705" s="155"/>
      <c r="AB705" s="154"/>
      <c r="AC705" s="155"/>
      <c r="AD705" s="155"/>
    </row>
    <row r="706" spans="5:30" x14ac:dyDescent="0.25">
      <c r="E706" s="153"/>
      <c r="F706" s="153"/>
      <c r="G706" s="153"/>
      <c r="H706" s="153"/>
      <c r="I706" s="153"/>
      <c r="J706" s="155"/>
      <c r="K706" s="154"/>
      <c r="L706" s="155"/>
      <c r="M706" s="155"/>
      <c r="N706" s="155"/>
      <c r="W706" s="152"/>
      <c r="X706" s="153"/>
      <c r="Y706" s="153"/>
      <c r="Z706" s="153"/>
      <c r="AA706" s="155"/>
      <c r="AB706" s="154"/>
      <c r="AC706" s="155"/>
      <c r="AD706" s="155"/>
    </row>
    <row r="707" spans="5:30" x14ac:dyDescent="0.25">
      <c r="E707" s="153"/>
      <c r="F707" s="153"/>
      <c r="G707" s="153"/>
      <c r="H707" s="153"/>
      <c r="I707" s="153"/>
      <c r="J707" s="155"/>
      <c r="K707" s="154"/>
      <c r="L707" s="155"/>
      <c r="M707" s="155"/>
      <c r="N707" s="155"/>
      <c r="W707" s="152"/>
      <c r="X707" s="153"/>
      <c r="Y707" s="153"/>
      <c r="Z707" s="153"/>
      <c r="AA707" s="155"/>
      <c r="AB707" s="154"/>
      <c r="AC707" s="155"/>
      <c r="AD707" s="155"/>
    </row>
    <row r="708" spans="5:30" x14ac:dyDescent="0.25">
      <c r="E708" s="153"/>
      <c r="F708" s="153"/>
      <c r="G708" s="153"/>
      <c r="H708" s="153"/>
      <c r="I708" s="153"/>
      <c r="J708" s="155"/>
      <c r="K708" s="154"/>
      <c r="L708" s="155"/>
      <c r="M708" s="155"/>
      <c r="N708" s="155"/>
      <c r="W708" s="152"/>
      <c r="X708" s="153"/>
      <c r="Y708" s="153"/>
      <c r="Z708" s="153"/>
      <c r="AA708" s="155"/>
      <c r="AB708" s="154"/>
      <c r="AC708" s="155"/>
      <c r="AD708" s="155"/>
    </row>
    <row r="709" spans="5:30" x14ac:dyDescent="0.25">
      <c r="E709" s="153"/>
      <c r="F709" s="153"/>
      <c r="G709" s="153"/>
      <c r="H709" s="153"/>
      <c r="I709" s="153"/>
      <c r="J709" s="155"/>
      <c r="K709" s="154"/>
      <c r="L709" s="155"/>
      <c r="M709" s="155"/>
      <c r="N709" s="155"/>
      <c r="W709" s="152"/>
      <c r="X709" s="153"/>
      <c r="Y709" s="153"/>
      <c r="Z709" s="153"/>
      <c r="AA709" s="155"/>
      <c r="AB709" s="154"/>
      <c r="AC709" s="155"/>
      <c r="AD709" s="155"/>
    </row>
    <row r="710" spans="5:30" x14ac:dyDescent="0.25">
      <c r="E710" s="153"/>
      <c r="F710" s="153"/>
      <c r="G710" s="153"/>
      <c r="H710" s="153"/>
      <c r="I710" s="153"/>
      <c r="J710" s="155"/>
      <c r="K710" s="154"/>
      <c r="L710" s="155"/>
      <c r="M710" s="155"/>
      <c r="N710" s="155"/>
      <c r="W710" s="152"/>
      <c r="X710" s="153"/>
      <c r="Y710" s="153"/>
      <c r="Z710" s="153"/>
      <c r="AA710" s="155"/>
      <c r="AB710" s="154"/>
      <c r="AC710" s="155"/>
      <c r="AD710" s="155"/>
    </row>
    <row r="711" spans="5:30" x14ac:dyDescent="0.25">
      <c r="E711" s="153"/>
      <c r="F711" s="153"/>
      <c r="G711" s="153"/>
      <c r="H711" s="153"/>
      <c r="I711" s="153"/>
      <c r="J711" s="155"/>
      <c r="K711" s="154"/>
      <c r="L711" s="155"/>
      <c r="M711" s="155"/>
      <c r="N711" s="155"/>
      <c r="W711" s="152"/>
      <c r="X711" s="153"/>
      <c r="Y711" s="153"/>
      <c r="Z711" s="153"/>
      <c r="AA711" s="155"/>
      <c r="AB711" s="154"/>
      <c r="AC711" s="155"/>
      <c r="AD711" s="155"/>
    </row>
    <row r="712" spans="5:30" x14ac:dyDescent="0.25">
      <c r="E712" s="153"/>
      <c r="F712" s="153"/>
      <c r="G712" s="153"/>
      <c r="H712" s="153"/>
      <c r="I712" s="153"/>
      <c r="J712" s="155"/>
      <c r="K712" s="154"/>
      <c r="L712" s="155"/>
      <c r="M712" s="155"/>
      <c r="N712" s="155"/>
      <c r="W712" s="152"/>
      <c r="X712" s="153"/>
      <c r="Y712" s="153"/>
      <c r="Z712" s="153"/>
      <c r="AA712" s="155"/>
      <c r="AB712" s="154"/>
      <c r="AC712" s="155"/>
      <c r="AD712" s="155"/>
    </row>
    <row r="713" spans="5:30" x14ac:dyDescent="0.25">
      <c r="E713" s="153"/>
      <c r="F713" s="153"/>
      <c r="G713" s="153"/>
      <c r="H713" s="153"/>
      <c r="I713" s="153"/>
      <c r="J713" s="155"/>
      <c r="K713" s="154"/>
      <c r="L713" s="155"/>
      <c r="M713" s="155"/>
      <c r="N713" s="155"/>
      <c r="W713" s="152"/>
      <c r="X713" s="153"/>
      <c r="Y713" s="153"/>
      <c r="Z713" s="153"/>
      <c r="AA713" s="155"/>
      <c r="AB713" s="154"/>
      <c r="AC713" s="155"/>
      <c r="AD713" s="155"/>
    </row>
    <row r="714" spans="5:30" x14ac:dyDescent="0.25">
      <c r="E714" s="153"/>
      <c r="F714" s="153"/>
      <c r="G714" s="153"/>
      <c r="H714" s="153"/>
      <c r="I714" s="153"/>
      <c r="J714" s="155"/>
      <c r="K714" s="154"/>
      <c r="L714" s="155"/>
      <c r="M714" s="155"/>
      <c r="N714" s="155"/>
      <c r="W714" s="152"/>
      <c r="X714" s="153"/>
      <c r="Y714" s="153"/>
      <c r="Z714" s="153"/>
      <c r="AA714" s="155"/>
      <c r="AB714" s="154"/>
      <c r="AC714" s="155"/>
      <c r="AD714" s="155"/>
    </row>
    <row r="715" spans="5:30" x14ac:dyDescent="0.25">
      <c r="E715" s="153"/>
      <c r="F715" s="153"/>
      <c r="G715" s="153"/>
      <c r="H715" s="153"/>
      <c r="I715" s="153"/>
      <c r="J715" s="155"/>
      <c r="K715" s="154"/>
      <c r="L715" s="155"/>
      <c r="M715" s="155"/>
      <c r="N715" s="155"/>
      <c r="W715" s="152"/>
      <c r="X715" s="153"/>
      <c r="Y715" s="153"/>
      <c r="Z715" s="153"/>
      <c r="AA715" s="155"/>
      <c r="AB715" s="154"/>
      <c r="AC715" s="155"/>
      <c r="AD715" s="155"/>
    </row>
    <row r="716" spans="5:30" x14ac:dyDescent="0.25">
      <c r="E716" s="153"/>
      <c r="F716" s="153"/>
      <c r="G716" s="153"/>
      <c r="H716" s="153"/>
      <c r="I716" s="153"/>
      <c r="J716" s="155"/>
      <c r="K716" s="154"/>
      <c r="L716" s="155"/>
      <c r="M716" s="155"/>
      <c r="N716" s="155"/>
      <c r="W716" s="152"/>
      <c r="X716" s="153"/>
      <c r="Y716" s="153"/>
      <c r="Z716" s="153"/>
      <c r="AA716" s="155"/>
      <c r="AB716" s="154"/>
      <c r="AC716" s="155"/>
      <c r="AD716" s="155"/>
    </row>
    <row r="717" spans="5:30" x14ac:dyDescent="0.25">
      <c r="E717" s="153"/>
      <c r="F717" s="153"/>
      <c r="G717" s="153"/>
      <c r="H717" s="153"/>
      <c r="I717" s="153"/>
      <c r="J717" s="155"/>
      <c r="K717" s="154"/>
      <c r="L717" s="155"/>
      <c r="M717" s="155"/>
      <c r="N717" s="155"/>
      <c r="W717" s="152"/>
      <c r="X717" s="153"/>
      <c r="Y717" s="153"/>
      <c r="Z717" s="153"/>
      <c r="AA717" s="155"/>
      <c r="AB717" s="154"/>
      <c r="AC717" s="155"/>
      <c r="AD717" s="155"/>
    </row>
    <row r="718" spans="5:30" x14ac:dyDescent="0.25">
      <c r="E718" s="153"/>
      <c r="F718" s="153"/>
      <c r="G718" s="153"/>
      <c r="H718" s="153"/>
      <c r="I718" s="153"/>
      <c r="J718" s="155"/>
      <c r="K718" s="154"/>
      <c r="L718" s="155"/>
      <c r="M718" s="155"/>
      <c r="N718" s="155"/>
      <c r="W718" s="152"/>
      <c r="X718" s="153"/>
      <c r="Y718" s="153"/>
      <c r="Z718" s="153"/>
      <c r="AA718" s="155"/>
      <c r="AB718" s="154"/>
      <c r="AC718" s="155"/>
      <c r="AD718" s="155"/>
    </row>
    <row r="719" spans="5:30" x14ac:dyDescent="0.25">
      <c r="E719" s="153"/>
      <c r="F719" s="153"/>
      <c r="G719" s="153"/>
      <c r="H719" s="153"/>
      <c r="I719" s="153"/>
      <c r="J719" s="155"/>
      <c r="K719" s="154"/>
      <c r="L719" s="155"/>
      <c r="M719" s="155"/>
      <c r="N719" s="155"/>
      <c r="W719" s="152"/>
      <c r="X719" s="153"/>
      <c r="Y719" s="153"/>
      <c r="Z719" s="153"/>
      <c r="AA719" s="155"/>
      <c r="AB719" s="154"/>
      <c r="AC719" s="155"/>
      <c r="AD719" s="155"/>
    </row>
    <row r="720" spans="5:30" x14ac:dyDescent="0.25">
      <c r="E720" s="153"/>
      <c r="F720" s="153"/>
      <c r="G720" s="153"/>
      <c r="H720" s="153"/>
      <c r="I720" s="153"/>
      <c r="J720" s="155"/>
      <c r="K720" s="154"/>
      <c r="L720" s="155"/>
      <c r="M720" s="155"/>
      <c r="N720" s="155"/>
      <c r="W720" s="152"/>
      <c r="X720" s="153"/>
      <c r="Y720" s="153"/>
      <c r="Z720" s="153"/>
      <c r="AA720" s="155"/>
      <c r="AB720" s="154"/>
      <c r="AC720" s="155"/>
      <c r="AD720" s="155"/>
    </row>
    <row r="721" spans="5:30" x14ac:dyDescent="0.25">
      <c r="E721" s="153"/>
      <c r="F721" s="153"/>
      <c r="G721" s="153"/>
      <c r="H721" s="153"/>
      <c r="I721" s="153"/>
      <c r="J721" s="155"/>
      <c r="K721" s="154"/>
      <c r="L721" s="155"/>
      <c r="M721" s="155"/>
      <c r="N721" s="155"/>
      <c r="W721" s="152"/>
      <c r="X721" s="153"/>
      <c r="Y721" s="153"/>
      <c r="Z721" s="153"/>
      <c r="AA721" s="155"/>
      <c r="AB721" s="154"/>
      <c r="AC721" s="155"/>
      <c r="AD721" s="155"/>
    </row>
    <row r="722" spans="5:30" x14ac:dyDescent="0.25">
      <c r="E722" s="153"/>
      <c r="F722" s="153"/>
      <c r="G722" s="153"/>
      <c r="H722" s="153"/>
      <c r="I722" s="153"/>
      <c r="J722" s="155"/>
      <c r="K722" s="154"/>
      <c r="L722" s="155"/>
      <c r="M722" s="155"/>
      <c r="N722" s="155"/>
      <c r="W722" s="152"/>
      <c r="X722" s="153"/>
      <c r="Y722" s="153"/>
      <c r="Z722" s="153"/>
      <c r="AA722" s="155"/>
      <c r="AB722" s="154"/>
      <c r="AC722" s="155"/>
      <c r="AD722" s="155"/>
    </row>
    <row r="723" spans="5:30" x14ac:dyDescent="0.25">
      <c r="E723" s="153"/>
      <c r="F723" s="153"/>
      <c r="G723" s="153"/>
      <c r="H723" s="153"/>
      <c r="I723" s="153"/>
      <c r="J723" s="155"/>
      <c r="K723" s="154"/>
      <c r="L723" s="155"/>
      <c r="M723" s="155"/>
      <c r="N723" s="155"/>
      <c r="W723" s="152"/>
      <c r="X723" s="153"/>
      <c r="Y723" s="153"/>
      <c r="Z723" s="153"/>
      <c r="AA723" s="155"/>
      <c r="AB723" s="154"/>
      <c r="AC723" s="155"/>
      <c r="AD723" s="155"/>
    </row>
    <row r="724" spans="5:30" x14ac:dyDescent="0.25">
      <c r="E724" s="153"/>
      <c r="F724" s="153"/>
      <c r="G724" s="153"/>
      <c r="H724" s="153"/>
      <c r="I724" s="153"/>
      <c r="J724" s="155"/>
      <c r="K724" s="154"/>
      <c r="L724" s="155"/>
      <c r="M724" s="155"/>
      <c r="N724" s="155"/>
      <c r="W724" s="152"/>
      <c r="X724" s="153"/>
      <c r="Y724" s="153"/>
      <c r="Z724" s="153"/>
      <c r="AA724" s="155"/>
      <c r="AB724" s="154"/>
      <c r="AC724" s="155"/>
      <c r="AD724" s="155"/>
    </row>
    <row r="725" spans="5:30" x14ac:dyDescent="0.25">
      <c r="E725" s="153"/>
      <c r="F725" s="153"/>
      <c r="G725" s="153"/>
      <c r="H725" s="153"/>
      <c r="I725" s="153"/>
      <c r="J725" s="155"/>
      <c r="K725" s="154"/>
      <c r="L725" s="155"/>
      <c r="M725" s="155"/>
      <c r="N725" s="155"/>
      <c r="W725" s="152"/>
      <c r="X725" s="153"/>
      <c r="Y725" s="153"/>
      <c r="Z725" s="153"/>
      <c r="AA725" s="155"/>
      <c r="AB725" s="154"/>
      <c r="AC725" s="155"/>
      <c r="AD725" s="155"/>
    </row>
    <row r="726" spans="5:30" x14ac:dyDescent="0.25">
      <c r="E726" s="153"/>
      <c r="F726" s="153"/>
      <c r="G726" s="153"/>
      <c r="H726" s="153"/>
      <c r="I726" s="153"/>
      <c r="J726" s="155"/>
      <c r="K726" s="154"/>
      <c r="L726" s="155"/>
      <c r="M726" s="155"/>
      <c r="N726" s="155"/>
      <c r="W726" s="152"/>
      <c r="X726" s="153"/>
      <c r="Y726" s="153"/>
      <c r="Z726" s="153"/>
      <c r="AA726" s="155"/>
      <c r="AB726" s="154"/>
      <c r="AC726" s="155"/>
      <c r="AD726" s="155"/>
    </row>
    <row r="727" spans="5:30" x14ac:dyDescent="0.25">
      <c r="E727" s="153"/>
      <c r="F727" s="153"/>
      <c r="G727" s="153"/>
      <c r="H727" s="153"/>
      <c r="I727" s="153"/>
      <c r="J727" s="155"/>
      <c r="K727" s="154"/>
      <c r="L727" s="155"/>
      <c r="M727" s="155"/>
      <c r="N727" s="155"/>
      <c r="W727" s="152"/>
      <c r="X727" s="153"/>
      <c r="Y727" s="153"/>
      <c r="Z727" s="153"/>
      <c r="AA727" s="155"/>
      <c r="AB727" s="154"/>
      <c r="AC727" s="155"/>
      <c r="AD727" s="155"/>
    </row>
    <row r="728" spans="5:30" x14ac:dyDescent="0.25">
      <c r="E728" s="153"/>
      <c r="F728" s="153"/>
      <c r="G728" s="153"/>
      <c r="H728" s="153"/>
      <c r="I728" s="153"/>
      <c r="J728" s="155"/>
      <c r="K728" s="154"/>
      <c r="L728" s="155"/>
      <c r="M728" s="155"/>
      <c r="N728" s="155"/>
      <c r="W728" s="152"/>
      <c r="X728" s="153"/>
      <c r="Y728" s="153"/>
      <c r="Z728" s="153"/>
      <c r="AA728" s="155"/>
      <c r="AB728" s="154"/>
      <c r="AC728" s="155"/>
      <c r="AD728" s="155"/>
    </row>
    <row r="729" spans="5:30" x14ac:dyDescent="0.25">
      <c r="E729" s="153"/>
      <c r="F729" s="153"/>
      <c r="G729" s="153"/>
      <c r="H729" s="153"/>
      <c r="I729" s="153"/>
      <c r="J729" s="155"/>
      <c r="K729" s="154"/>
      <c r="L729" s="155"/>
      <c r="M729" s="155"/>
      <c r="N729" s="155"/>
      <c r="W729" s="152"/>
      <c r="X729" s="153"/>
      <c r="Y729" s="153"/>
      <c r="Z729" s="153"/>
      <c r="AA729" s="155"/>
      <c r="AB729" s="154"/>
      <c r="AC729" s="155"/>
      <c r="AD729" s="155"/>
    </row>
    <row r="730" spans="5:30" x14ac:dyDescent="0.25">
      <c r="E730" s="153"/>
      <c r="F730" s="153"/>
      <c r="G730" s="153"/>
      <c r="H730" s="153"/>
      <c r="I730" s="153"/>
      <c r="J730" s="155"/>
      <c r="K730" s="154"/>
      <c r="L730" s="155"/>
      <c r="M730" s="155"/>
      <c r="N730" s="155"/>
      <c r="W730" s="152"/>
      <c r="X730" s="153"/>
      <c r="Y730" s="153"/>
      <c r="Z730" s="153"/>
      <c r="AA730" s="155"/>
      <c r="AB730" s="154"/>
      <c r="AC730" s="155"/>
      <c r="AD730" s="155"/>
    </row>
    <row r="731" spans="5:30" x14ac:dyDescent="0.25">
      <c r="E731" s="153"/>
      <c r="F731" s="153"/>
      <c r="G731" s="153"/>
      <c r="H731" s="153"/>
      <c r="I731" s="153"/>
      <c r="J731" s="155"/>
      <c r="K731" s="154"/>
      <c r="L731" s="155"/>
      <c r="M731" s="155"/>
      <c r="N731" s="155"/>
      <c r="W731" s="152"/>
      <c r="X731" s="153"/>
      <c r="Y731" s="153"/>
      <c r="Z731" s="153"/>
      <c r="AA731" s="155"/>
      <c r="AB731" s="154"/>
      <c r="AC731" s="155"/>
      <c r="AD731" s="155"/>
    </row>
    <row r="732" spans="5:30" x14ac:dyDescent="0.25">
      <c r="E732" s="153"/>
      <c r="F732" s="153"/>
      <c r="G732" s="153"/>
      <c r="H732" s="153"/>
      <c r="I732" s="153"/>
      <c r="J732" s="155"/>
      <c r="K732" s="154"/>
      <c r="L732" s="155"/>
      <c r="M732" s="155"/>
      <c r="N732" s="155"/>
      <c r="W732" s="152"/>
      <c r="X732" s="153"/>
      <c r="Y732" s="153"/>
      <c r="Z732" s="153"/>
      <c r="AA732" s="155"/>
      <c r="AB732" s="154"/>
      <c r="AC732" s="155"/>
      <c r="AD732" s="155"/>
    </row>
    <row r="733" spans="5:30" x14ac:dyDescent="0.25">
      <c r="E733" s="153"/>
      <c r="F733" s="153"/>
      <c r="G733" s="153"/>
      <c r="H733" s="153"/>
      <c r="I733" s="153"/>
      <c r="J733" s="155"/>
      <c r="K733" s="154"/>
      <c r="L733" s="155"/>
      <c r="M733" s="155"/>
      <c r="N733" s="155"/>
      <c r="W733" s="152"/>
      <c r="X733" s="153"/>
      <c r="Y733" s="153"/>
      <c r="Z733" s="153"/>
      <c r="AA733" s="155"/>
      <c r="AB733" s="154"/>
      <c r="AC733" s="155"/>
      <c r="AD733" s="155"/>
    </row>
    <row r="734" spans="5:30" x14ac:dyDescent="0.25">
      <c r="E734" s="153"/>
      <c r="F734" s="153"/>
      <c r="G734" s="153"/>
      <c r="H734" s="153"/>
      <c r="I734" s="153"/>
      <c r="J734" s="155"/>
      <c r="K734" s="154"/>
      <c r="L734" s="155"/>
      <c r="M734" s="155"/>
      <c r="N734" s="155"/>
      <c r="W734" s="152"/>
      <c r="X734" s="153"/>
      <c r="Y734" s="153"/>
      <c r="Z734" s="153"/>
      <c r="AA734" s="155"/>
      <c r="AB734" s="154"/>
      <c r="AC734" s="155"/>
      <c r="AD734" s="155"/>
    </row>
    <row r="735" spans="5:30" x14ac:dyDescent="0.25">
      <c r="E735" s="153"/>
      <c r="F735" s="153"/>
      <c r="G735" s="153"/>
      <c r="H735" s="153"/>
      <c r="I735" s="153"/>
      <c r="J735" s="155"/>
      <c r="K735" s="154"/>
      <c r="L735" s="155"/>
      <c r="M735" s="155"/>
      <c r="N735" s="155"/>
      <c r="W735" s="152"/>
      <c r="X735" s="153"/>
      <c r="Y735" s="153"/>
      <c r="Z735" s="153"/>
      <c r="AA735" s="155"/>
      <c r="AB735" s="154"/>
      <c r="AC735" s="155"/>
      <c r="AD735" s="155"/>
    </row>
    <row r="736" spans="5:30" x14ac:dyDescent="0.25">
      <c r="E736" s="153"/>
      <c r="F736" s="153"/>
      <c r="G736" s="153"/>
      <c r="H736" s="153"/>
      <c r="I736" s="153"/>
      <c r="J736" s="155"/>
      <c r="K736" s="154"/>
      <c r="L736" s="155"/>
      <c r="M736" s="155"/>
      <c r="N736" s="155"/>
      <c r="W736" s="152"/>
      <c r="X736" s="153"/>
      <c r="Y736" s="153"/>
      <c r="Z736" s="153"/>
      <c r="AA736" s="155"/>
      <c r="AB736" s="154"/>
      <c r="AC736" s="155"/>
      <c r="AD736" s="155"/>
    </row>
    <row r="737" spans="5:30" x14ac:dyDescent="0.25">
      <c r="E737" s="153"/>
      <c r="F737" s="153"/>
      <c r="G737" s="153"/>
      <c r="H737" s="153"/>
      <c r="I737" s="153"/>
      <c r="J737" s="155"/>
      <c r="K737" s="154"/>
      <c r="L737" s="155"/>
      <c r="M737" s="155"/>
      <c r="N737" s="155"/>
      <c r="W737" s="152"/>
      <c r="X737" s="153"/>
      <c r="Y737" s="153"/>
      <c r="Z737" s="153"/>
      <c r="AA737" s="155"/>
      <c r="AB737" s="154"/>
      <c r="AC737" s="155"/>
      <c r="AD737" s="155"/>
    </row>
    <row r="738" spans="5:30" x14ac:dyDescent="0.25">
      <c r="E738" s="153"/>
      <c r="F738" s="153"/>
      <c r="G738" s="153"/>
      <c r="H738" s="153"/>
      <c r="I738" s="153"/>
      <c r="J738" s="155"/>
      <c r="K738" s="154"/>
      <c r="L738" s="155"/>
      <c r="M738" s="155"/>
      <c r="N738" s="155"/>
      <c r="W738" s="152"/>
      <c r="X738" s="153"/>
      <c r="Y738" s="153"/>
      <c r="Z738" s="153"/>
      <c r="AA738" s="155"/>
      <c r="AB738" s="154"/>
      <c r="AC738" s="155"/>
      <c r="AD738" s="155"/>
    </row>
    <row r="739" spans="5:30" x14ac:dyDescent="0.25">
      <c r="E739" s="153"/>
      <c r="F739" s="153"/>
      <c r="G739" s="153"/>
      <c r="H739" s="153"/>
      <c r="I739" s="153"/>
      <c r="J739" s="155"/>
      <c r="K739" s="154"/>
      <c r="L739" s="155"/>
      <c r="M739" s="155"/>
      <c r="N739" s="155"/>
      <c r="W739" s="152"/>
      <c r="X739" s="153"/>
      <c r="Y739" s="153"/>
      <c r="Z739" s="153"/>
      <c r="AA739" s="155"/>
      <c r="AB739" s="154"/>
      <c r="AC739" s="155"/>
      <c r="AD739" s="155"/>
    </row>
    <row r="740" spans="5:30" x14ac:dyDescent="0.25">
      <c r="E740" s="153"/>
      <c r="F740" s="153"/>
      <c r="G740" s="153"/>
      <c r="H740" s="153"/>
      <c r="I740" s="153"/>
      <c r="J740" s="155"/>
      <c r="K740" s="154"/>
      <c r="L740" s="155"/>
      <c r="M740" s="155"/>
      <c r="N740" s="155"/>
      <c r="W740" s="152"/>
      <c r="X740" s="153"/>
      <c r="Y740" s="153"/>
      <c r="Z740" s="153"/>
      <c r="AA740" s="155"/>
      <c r="AB740" s="154"/>
      <c r="AC740" s="155"/>
      <c r="AD740" s="155"/>
    </row>
    <row r="741" spans="5:30" x14ac:dyDescent="0.25">
      <c r="E741" s="153"/>
      <c r="F741" s="153"/>
      <c r="G741" s="153"/>
      <c r="H741" s="153"/>
      <c r="I741" s="153"/>
      <c r="J741" s="155"/>
      <c r="K741" s="154"/>
      <c r="L741" s="155"/>
      <c r="M741" s="155"/>
      <c r="N741" s="155"/>
      <c r="W741" s="152"/>
      <c r="X741" s="153"/>
      <c r="Y741" s="153"/>
      <c r="Z741" s="153"/>
      <c r="AA741" s="155"/>
      <c r="AB741" s="154"/>
      <c r="AC741" s="155"/>
      <c r="AD741" s="155"/>
    </row>
    <row r="742" spans="5:30" x14ac:dyDescent="0.25">
      <c r="E742" s="153"/>
      <c r="F742" s="153"/>
      <c r="G742" s="153"/>
      <c r="H742" s="153"/>
      <c r="I742" s="153"/>
      <c r="J742" s="155"/>
      <c r="K742" s="154"/>
      <c r="L742" s="155"/>
      <c r="M742" s="155"/>
      <c r="N742" s="155"/>
      <c r="W742" s="152"/>
      <c r="X742" s="153"/>
      <c r="Y742" s="153"/>
      <c r="Z742" s="153"/>
      <c r="AA742" s="155"/>
      <c r="AB742" s="154"/>
      <c r="AC742" s="155"/>
      <c r="AD742" s="155"/>
    </row>
    <row r="743" spans="5:30" x14ac:dyDescent="0.25">
      <c r="E743" s="153"/>
      <c r="F743" s="153"/>
      <c r="G743" s="153"/>
      <c r="H743" s="153"/>
      <c r="I743" s="153"/>
      <c r="J743" s="155"/>
      <c r="K743" s="154"/>
      <c r="L743" s="155"/>
      <c r="M743" s="155"/>
      <c r="N743" s="155"/>
      <c r="W743" s="152"/>
      <c r="X743" s="153"/>
      <c r="Y743" s="153"/>
      <c r="Z743" s="153"/>
      <c r="AA743" s="155"/>
      <c r="AB743" s="154"/>
      <c r="AC743" s="155"/>
      <c r="AD743" s="155"/>
    </row>
    <row r="744" spans="5:30" x14ac:dyDescent="0.25">
      <c r="E744" s="153"/>
      <c r="F744" s="153"/>
      <c r="G744" s="153"/>
      <c r="H744" s="153"/>
      <c r="I744" s="153"/>
      <c r="J744" s="155"/>
      <c r="K744" s="154"/>
      <c r="L744" s="155"/>
      <c r="M744" s="155"/>
      <c r="N744" s="155"/>
      <c r="W744" s="152"/>
      <c r="X744" s="153"/>
      <c r="Y744" s="153"/>
      <c r="Z744" s="153"/>
      <c r="AA744" s="155"/>
      <c r="AB744" s="154"/>
      <c r="AC744" s="155"/>
      <c r="AD744" s="155"/>
    </row>
    <row r="745" spans="5:30" x14ac:dyDescent="0.25">
      <c r="E745" s="153"/>
      <c r="F745" s="153"/>
      <c r="G745" s="153"/>
      <c r="H745" s="153"/>
      <c r="I745" s="153"/>
      <c r="J745" s="155"/>
      <c r="K745" s="154"/>
      <c r="L745" s="155"/>
      <c r="M745" s="155"/>
      <c r="N745" s="155"/>
      <c r="W745" s="152"/>
      <c r="X745" s="153"/>
      <c r="Y745" s="153"/>
      <c r="Z745" s="153"/>
      <c r="AA745" s="155"/>
      <c r="AB745" s="154"/>
      <c r="AC745" s="155"/>
      <c r="AD745" s="155"/>
    </row>
    <row r="746" spans="5:30" x14ac:dyDescent="0.25">
      <c r="E746" s="153"/>
      <c r="F746" s="153"/>
      <c r="G746" s="153"/>
      <c r="H746" s="153"/>
      <c r="I746" s="153"/>
      <c r="J746" s="155"/>
      <c r="K746" s="154"/>
      <c r="L746" s="155"/>
      <c r="M746" s="155"/>
      <c r="N746" s="155"/>
      <c r="W746" s="152"/>
      <c r="X746" s="153"/>
      <c r="Y746" s="153"/>
      <c r="Z746" s="153"/>
      <c r="AA746" s="155"/>
      <c r="AB746" s="154"/>
      <c r="AC746" s="155"/>
      <c r="AD746" s="155"/>
    </row>
    <row r="747" spans="5:30" x14ac:dyDescent="0.25">
      <c r="E747" s="153"/>
      <c r="F747" s="153"/>
      <c r="G747" s="153"/>
      <c r="H747" s="153"/>
      <c r="I747" s="153"/>
      <c r="J747" s="155"/>
      <c r="K747" s="154"/>
      <c r="L747" s="155"/>
      <c r="M747" s="155"/>
      <c r="N747" s="155"/>
      <c r="W747" s="152"/>
      <c r="X747" s="153"/>
      <c r="Y747" s="153"/>
      <c r="Z747" s="153"/>
      <c r="AA747" s="155"/>
      <c r="AB747" s="154"/>
      <c r="AC747" s="155"/>
      <c r="AD747" s="155"/>
    </row>
    <row r="748" spans="5:30" x14ac:dyDescent="0.25">
      <c r="E748" s="153"/>
      <c r="F748" s="153"/>
      <c r="G748" s="153"/>
      <c r="H748" s="153"/>
      <c r="I748" s="153"/>
      <c r="J748" s="155"/>
      <c r="K748" s="154"/>
      <c r="L748" s="155"/>
      <c r="M748" s="155"/>
      <c r="N748" s="155"/>
      <c r="W748" s="152"/>
      <c r="X748" s="153"/>
      <c r="Y748" s="153"/>
      <c r="Z748" s="153"/>
      <c r="AA748" s="155"/>
      <c r="AB748" s="154"/>
      <c r="AC748" s="155"/>
      <c r="AD748" s="155"/>
    </row>
    <row r="749" spans="5:30" x14ac:dyDescent="0.25">
      <c r="E749" s="153"/>
      <c r="F749" s="153"/>
      <c r="G749" s="153"/>
      <c r="H749" s="153"/>
      <c r="I749" s="153"/>
      <c r="J749" s="155"/>
      <c r="K749" s="154"/>
      <c r="L749" s="155"/>
      <c r="M749" s="155"/>
      <c r="N749" s="155"/>
      <c r="W749" s="152"/>
      <c r="X749" s="153"/>
      <c r="Y749" s="153"/>
      <c r="Z749" s="153"/>
      <c r="AA749" s="155"/>
      <c r="AB749" s="154"/>
      <c r="AC749" s="155"/>
      <c r="AD749" s="155"/>
    </row>
    <row r="750" spans="5:30" x14ac:dyDescent="0.25">
      <c r="E750" s="153"/>
      <c r="F750" s="153"/>
      <c r="G750" s="153"/>
      <c r="H750" s="153"/>
      <c r="I750" s="153"/>
      <c r="J750" s="155"/>
      <c r="K750" s="154"/>
      <c r="L750" s="155"/>
      <c r="M750" s="155"/>
      <c r="N750" s="155"/>
      <c r="W750" s="152"/>
      <c r="X750" s="153"/>
      <c r="Y750" s="153"/>
      <c r="Z750" s="153"/>
      <c r="AA750" s="155"/>
      <c r="AB750" s="154"/>
      <c r="AC750" s="155"/>
      <c r="AD750" s="155"/>
    </row>
    <row r="751" spans="5:30" x14ac:dyDescent="0.25">
      <c r="E751" s="153"/>
      <c r="F751" s="153"/>
      <c r="G751" s="153"/>
      <c r="H751" s="153"/>
      <c r="I751" s="153"/>
      <c r="J751" s="155"/>
      <c r="K751" s="154"/>
      <c r="L751" s="155"/>
      <c r="M751" s="155"/>
      <c r="N751" s="155"/>
      <c r="W751" s="152"/>
      <c r="X751" s="153"/>
      <c r="Y751" s="153"/>
      <c r="Z751" s="153"/>
      <c r="AA751" s="155"/>
      <c r="AB751" s="154"/>
      <c r="AC751" s="155"/>
      <c r="AD751" s="155"/>
    </row>
    <row r="752" spans="5:30" x14ac:dyDescent="0.25">
      <c r="E752" s="153"/>
      <c r="F752" s="153"/>
      <c r="G752" s="153"/>
      <c r="H752" s="153"/>
      <c r="I752" s="153"/>
      <c r="J752" s="155"/>
      <c r="K752" s="154"/>
      <c r="L752" s="155"/>
      <c r="M752" s="155"/>
      <c r="N752" s="155"/>
      <c r="W752" s="152"/>
      <c r="X752" s="153"/>
      <c r="Y752" s="153"/>
      <c r="Z752" s="153"/>
      <c r="AA752" s="155"/>
      <c r="AB752" s="154"/>
      <c r="AC752" s="155"/>
      <c r="AD752" s="155"/>
    </row>
    <row r="753" spans="5:30" x14ac:dyDescent="0.25">
      <c r="E753" s="153"/>
      <c r="F753" s="153"/>
      <c r="G753" s="153"/>
      <c r="H753" s="153"/>
      <c r="I753" s="153"/>
      <c r="J753" s="155"/>
      <c r="K753" s="154"/>
      <c r="L753" s="155"/>
      <c r="M753" s="155"/>
      <c r="N753" s="155"/>
      <c r="W753" s="152"/>
      <c r="X753" s="153"/>
      <c r="Y753" s="153"/>
      <c r="Z753" s="153"/>
      <c r="AA753" s="155"/>
      <c r="AB753" s="154"/>
      <c r="AC753" s="155"/>
      <c r="AD753" s="155"/>
    </row>
    <row r="754" spans="5:30" x14ac:dyDescent="0.25">
      <c r="E754" s="153"/>
      <c r="F754" s="153"/>
      <c r="G754" s="153"/>
      <c r="H754" s="153"/>
      <c r="I754" s="153"/>
      <c r="J754" s="155"/>
      <c r="K754" s="154"/>
      <c r="L754" s="155"/>
      <c r="M754" s="155"/>
      <c r="N754" s="155"/>
      <c r="W754" s="152"/>
      <c r="X754" s="153"/>
      <c r="Y754" s="153"/>
      <c r="Z754" s="153"/>
      <c r="AA754" s="155"/>
      <c r="AB754" s="154"/>
      <c r="AC754" s="155"/>
      <c r="AD754" s="155"/>
    </row>
    <row r="755" spans="5:30" x14ac:dyDescent="0.25">
      <c r="E755" s="153"/>
      <c r="F755" s="153"/>
      <c r="G755" s="153"/>
      <c r="H755" s="153"/>
      <c r="I755" s="153"/>
      <c r="J755" s="155"/>
      <c r="K755" s="154"/>
      <c r="L755" s="155"/>
      <c r="M755" s="155"/>
      <c r="N755" s="155"/>
      <c r="W755" s="152"/>
      <c r="X755" s="153"/>
      <c r="Y755" s="153"/>
      <c r="Z755" s="153"/>
      <c r="AA755" s="155"/>
      <c r="AB755" s="154"/>
      <c r="AC755" s="155"/>
      <c r="AD755" s="155"/>
    </row>
    <row r="756" spans="5:30" x14ac:dyDescent="0.25">
      <c r="E756" s="153"/>
      <c r="F756" s="153"/>
      <c r="G756" s="153"/>
      <c r="H756" s="153"/>
      <c r="I756" s="153"/>
      <c r="J756" s="155"/>
      <c r="K756" s="154"/>
      <c r="L756" s="155"/>
      <c r="M756" s="155"/>
      <c r="N756" s="155"/>
      <c r="W756" s="152"/>
      <c r="X756" s="153"/>
      <c r="Y756" s="153"/>
      <c r="Z756" s="153"/>
      <c r="AA756" s="155"/>
      <c r="AB756" s="154"/>
      <c r="AC756" s="155"/>
      <c r="AD756" s="155"/>
    </row>
    <row r="757" spans="5:30" x14ac:dyDescent="0.25">
      <c r="E757" s="153"/>
      <c r="F757" s="153"/>
      <c r="G757" s="153"/>
      <c r="H757" s="153"/>
      <c r="I757" s="153"/>
      <c r="J757" s="155"/>
      <c r="K757" s="154"/>
      <c r="L757" s="155"/>
      <c r="M757" s="155"/>
      <c r="N757" s="155"/>
      <c r="W757" s="152"/>
      <c r="X757" s="153"/>
      <c r="Y757" s="153"/>
      <c r="Z757" s="153"/>
      <c r="AA757" s="155"/>
      <c r="AB757" s="154"/>
      <c r="AC757" s="155"/>
      <c r="AD757" s="155"/>
    </row>
    <row r="758" spans="5:30" x14ac:dyDescent="0.25">
      <c r="E758" s="153"/>
      <c r="F758" s="153"/>
      <c r="G758" s="153"/>
      <c r="H758" s="153"/>
      <c r="I758" s="153"/>
      <c r="J758" s="155"/>
      <c r="K758" s="154"/>
      <c r="L758" s="155"/>
      <c r="M758" s="155"/>
      <c r="N758" s="155"/>
      <c r="W758" s="152"/>
      <c r="X758" s="153"/>
      <c r="Y758" s="153"/>
      <c r="Z758" s="153"/>
      <c r="AA758" s="155"/>
      <c r="AB758" s="154"/>
      <c r="AC758" s="155"/>
      <c r="AD758" s="155"/>
    </row>
    <row r="759" spans="5:30" x14ac:dyDescent="0.25">
      <c r="E759" s="153"/>
      <c r="F759" s="153"/>
      <c r="G759" s="153"/>
      <c r="H759" s="153"/>
      <c r="I759" s="153"/>
      <c r="J759" s="155"/>
      <c r="K759" s="154"/>
      <c r="L759" s="155"/>
      <c r="M759" s="155"/>
      <c r="N759" s="155"/>
      <c r="W759" s="152"/>
      <c r="X759" s="153"/>
      <c r="Y759" s="153"/>
      <c r="Z759" s="153"/>
      <c r="AA759" s="155"/>
      <c r="AB759" s="154"/>
      <c r="AC759" s="155"/>
      <c r="AD759" s="155"/>
    </row>
    <row r="760" spans="5:30" x14ac:dyDescent="0.25">
      <c r="E760" s="153"/>
      <c r="F760" s="153"/>
      <c r="G760" s="153"/>
      <c r="H760" s="153"/>
      <c r="I760" s="153"/>
      <c r="J760" s="155"/>
      <c r="K760" s="154"/>
      <c r="L760" s="155"/>
      <c r="M760" s="155"/>
      <c r="N760" s="155"/>
      <c r="W760" s="152"/>
      <c r="X760" s="153"/>
      <c r="Y760" s="153"/>
      <c r="Z760" s="153"/>
      <c r="AA760" s="155"/>
      <c r="AB760" s="154"/>
      <c r="AC760" s="155"/>
      <c r="AD760" s="155"/>
    </row>
    <row r="761" spans="5:30" x14ac:dyDescent="0.25">
      <c r="E761" s="153"/>
      <c r="F761" s="153"/>
      <c r="G761" s="153"/>
      <c r="H761" s="153"/>
      <c r="I761" s="153"/>
      <c r="J761" s="155"/>
      <c r="K761" s="154"/>
      <c r="L761" s="155"/>
      <c r="M761" s="155"/>
      <c r="N761" s="155"/>
      <c r="W761" s="152"/>
      <c r="X761" s="153"/>
      <c r="Y761" s="153"/>
      <c r="Z761" s="153"/>
      <c r="AA761" s="155"/>
      <c r="AB761" s="154"/>
      <c r="AC761" s="155"/>
      <c r="AD761" s="155"/>
    </row>
    <row r="762" spans="5:30" x14ac:dyDescent="0.25">
      <c r="E762" s="153"/>
      <c r="F762" s="153"/>
      <c r="G762" s="153"/>
      <c r="H762" s="153"/>
      <c r="I762" s="153"/>
      <c r="J762" s="155"/>
      <c r="K762" s="154"/>
      <c r="L762" s="155"/>
      <c r="M762" s="155"/>
      <c r="N762" s="155"/>
      <c r="W762" s="152"/>
      <c r="X762" s="153"/>
      <c r="Y762" s="153"/>
      <c r="Z762" s="153"/>
      <c r="AA762" s="155"/>
      <c r="AB762" s="154"/>
      <c r="AC762" s="155"/>
      <c r="AD762" s="155"/>
    </row>
    <row r="763" spans="5:30" x14ac:dyDescent="0.25">
      <c r="E763" s="153"/>
      <c r="F763" s="153"/>
      <c r="G763" s="153"/>
      <c r="H763" s="153"/>
      <c r="I763" s="153"/>
      <c r="J763" s="155"/>
      <c r="K763" s="154"/>
      <c r="L763" s="155"/>
      <c r="M763" s="155"/>
      <c r="N763" s="155"/>
      <c r="W763" s="152"/>
      <c r="X763" s="153"/>
      <c r="Y763" s="153"/>
      <c r="Z763" s="153"/>
      <c r="AA763" s="155"/>
      <c r="AB763" s="154"/>
      <c r="AC763" s="155"/>
      <c r="AD763" s="155"/>
    </row>
    <row r="764" spans="5:30" x14ac:dyDescent="0.25">
      <c r="E764" s="153"/>
      <c r="F764" s="153"/>
      <c r="G764" s="153"/>
      <c r="H764" s="153"/>
      <c r="I764" s="153"/>
      <c r="J764" s="155"/>
      <c r="K764" s="154"/>
      <c r="L764" s="155"/>
      <c r="M764" s="155"/>
      <c r="N764" s="155"/>
      <c r="W764" s="152"/>
      <c r="X764" s="153"/>
      <c r="Y764" s="153"/>
      <c r="Z764" s="153"/>
      <c r="AA764" s="155"/>
      <c r="AB764" s="154"/>
      <c r="AC764" s="155"/>
      <c r="AD764" s="155"/>
    </row>
    <row r="765" spans="5:30" x14ac:dyDescent="0.25">
      <c r="E765" s="153"/>
      <c r="F765" s="153"/>
      <c r="G765" s="153"/>
      <c r="H765" s="153"/>
      <c r="I765" s="153"/>
      <c r="J765" s="155"/>
      <c r="K765" s="154"/>
      <c r="L765" s="155"/>
      <c r="M765" s="155"/>
      <c r="N765" s="155"/>
      <c r="W765" s="152"/>
      <c r="X765" s="153"/>
      <c r="Y765" s="153"/>
      <c r="Z765" s="153"/>
      <c r="AA765" s="155"/>
      <c r="AB765" s="154"/>
      <c r="AC765" s="155"/>
      <c r="AD765" s="155"/>
    </row>
    <row r="766" spans="5:30" x14ac:dyDescent="0.25">
      <c r="E766" s="153"/>
      <c r="F766" s="153"/>
      <c r="G766" s="153"/>
      <c r="H766" s="153"/>
      <c r="I766" s="153"/>
      <c r="J766" s="155"/>
      <c r="K766" s="154"/>
      <c r="L766" s="155"/>
      <c r="M766" s="155"/>
      <c r="N766" s="155"/>
      <c r="W766" s="152"/>
      <c r="X766" s="153"/>
      <c r="Y766" s="153"/>
      <c r="Z766" s="153"/>
      <c r="AA766" s="155"/>
      <c r="AB766" s="154"/>
      <c r="AC766" s="155"/>
      <c r="AD766" s="155"/>
    </row>
    <row r="767" spans="5:30" x14ac:dyDescent="0.25">
      <c r="E767" s="153"/>
      <c r="F767" s="153"/>
      <c r="G767" s="153"/>
      <c r="H767" s="153"/>
      <c r="I767" s="153"/>
      <c r="J767" s="155"/>
      <c r="K767" s="154"/>
      <c r="L767" s="155"/>
      <c r="M767" s="155"/>
      <c r="N767" s="155"/>
      <c r="W767" s="152"/>
      <c r="X767" s="153"/>
      <c r="Y767" s="153"/>
      <c r="Z767" s="153"/>
      <c r="AA767" s="155"/>
      <c r="AB767" s="154"/>
      <c r="AC767" s="155"/>
      <c r="AD767" s="155"/>
    </row>
    <row r="768" spans="5:30" x14ac:dyDescent="0.25">
      <c r="E768" s="153"/>
      <c r="F768" s="153"/>
      <c r="G768" s="153"/>
      <c r="H768" s="153"/>
      <c r="I768" s="153"/>
      <c r="J768" s="155"/>
      <c r="K768" s="154"/>
      <c r="L768" s="155"/>
      <c r="M768" s="155"/>
      <c r="N768" s="155"/>
      <c r="W768" s="152"/>
      <c r="X768" s="153"/>
      <c r="Y768" s="153"/>
      <c r="Z768" s="153"/>
      <c r="AA768" s="155"/>
      <c r="AB768" s="154"/>
      <c r="AC768" s="155"/>
      <c r="AD768" s="155"/>
    </row>
    <row r="769" spans="5:30" x14ac:dyDescent="0.25">
      <c r="E769" s="153"/>
      <c r="F769" s="153"/>
      <c r="G769" s="153"/>
      <c r="H769" s="153"/>
      <c r="I769" s="153"/>
      <c r="J769" s="155"/>
      <c r="K769" s="154"/>
      <c r="L769" s="155"/>
      <c r="M769" s="155"/>
      <c r="N769" s="155"/>
      <c r="W769" s="152"/>
      <c r="X769" s="153"/>
      <c r="Y769" s="153"/>
      <c r="Z769" s="153"/>
      <c r="AA769" s="155"/>
      <c r="AB769" s="154"/>
      <c r="AC769" s="155"/>
      <c r="AD769" s="155"/>
    </row>
    <row r="770" spans="5:30" x14ac:dyDescent="0.25">
      <c r="E770" s="153"/>
      <c r="F770" s="153"/>
      <c r="G770" s="153"/>
      <c r="H770" s="153"/>
      <c r="I770" s="153"/>
      <c r="J770" s="155"/>
      <c r="K770" s="154"/>
      <c r="L770" s="155"/>
      <c r="M770" s="155"/>
      <c r="N770" s="155"/>
      <c r="W770" s="152"/>
      <c r="X770" s="153"/>
      <c r="Y770" s="153"/>
      <c r="Z770" s="153"/>
      <c r="AA770" s="155"/>
      <c r="AB770" s="154"/>
      <c r="AC770" s="155"/>
      <c r="AD770" s="155"/>
    </row>
    <row r="771" spans="5:30" x14ac:dyDescent="0.25">
      <c r="E771" s="153"/>
      <c r="F771" s="153"/>
      <c r="G771" s="153"/>
      <c r="H771" s="153"/>
      <c r="I771" s="153"/>
      <c r="J771" s="155"/>
      <c r="K771" s="154"/>
      <c r="L771" s="155"/>
      <c r="M771" s="155"/>
      <c r="N771" s="155"/>
      <c r="W771" s="152"/>
      <c r="X771" s="153"/>
      <c r="Y771" s="153"/>
      <c r="Z771" s="153"/>
      <c r="AA771" s="155"/>
      <c r="AB771" s="154"/>
      <c r="AC771" s="155"/>
      <c r="AD771" s="155"/>
    </row>
    <row r="772" spans="5:30" x14ac:dyDescent="0.25">
      <c r="E772" s="153"/>
      <c r="F772" s="153"/>
      <c r="G772" s="153"/>
      <c r="H772" s="153"/>
      <c r="I772" s="153"/>
      <c r="J772" s="155"/>
      <c r="K772" s="154"/>
      <c r="L772" s="155"/>
      <c r="M772" s="155"/>
      <c r="N772" s="155"/>
      <c r="W772" s="152"/>
      <c r="X772" s="153"/>
      <c r="Y772" s="153"/>
      <c r="Z772" s="153"/>
      <c r="AA772" s="155"/>
      <c r="AB772" s="154"/>
      <c r="AC772" s="155"/>
      <c r="AD772" s="155"/>
    </row>
    <row r="773" spans="5:30" x14ac:dyDescent="0.25">
      <c r="E773" s="153"/>
      <c r="F773" s="153"/>
      <c r="G773" s="153"/>
      <c r="H773" s="153"/>
      <c r="I773" s="153"/>
      <c r="J773" s="155"/>
      <c r="K773" s="154"/>
      <c r="L773" s="155"/>
      <c r="M773" s="155"/>
      <c r="N773" s="155"/>
      <c r="W773" s="152"/>
      <c r="X773" s="153"/>
      <c r="Y773" s="153"/>
      <c r="Z773" s="153"/>
      <c r="AA773" s="155"/>
      <c r="AB773" s="154"/>
      <c r="AC773" s="155"/>
      <c r="AD773" s="155"/>
    </row>
    <row r="774" spans="5:30" x14ac:dyDescent="0.25">
      <c r="E774" s="153"/>
      <c r="F774" s="153"/>
      <c r="G774" s="153"/>
      <c r="H774" s="153"/>
      <c r="I774" s="153"/>
      <c r="J774" s="155"/>
      <c r="K774" s="154"/>
      <c r="L774" s="155"/>
      <c r="M774" s="155"/>
      <c r="N774" s="155"/>
      <c r="W774" s="152"/>
      <c r="X774" s="153"/>
      <c r="Y774" s="153"/>
      <c r="Z774" s="153"/>
      <c r="AA774" s="155"/>
      <c r="AB774" s="154"/>
      <c r="AC774" s="155"/>
      <c r="AD774" s="155"/>
    </row>
    <row r="775" spans="5:30" x14ac:dyDescent="0.25">
      <c r="E775" s="153"/>
      <c r="F775" s="153"/>
      <c r="G775" s="153"/>
      <c r="H775" s="153"/>
      <c r="I775" s="153"/>
      <c r="J775" s="155"/>
      <c r="K775" s="154"/>
      <c r="L775" s="155"/>
      <c r="M775" s="155"/>
      <c r="N775" s="155"/>
      <c r="W775" s="152"/>
      <c r="X775" s="153"/>
      <c r="Y775" s="153"/>
      <c r="Z775" s="153"/>
      <c r="AA775" s="155"/>
      <c r="AB775" s="154"/>
      <c r="AC775" s="155"/>
      <c r="AD775" s="155"/>
    </row>
    <row r="776" spans="5:30" x14ac:dyDescent="0.25">
      <c r="E776" s="153"/>
      <c r="F776" s="153"/>
      <c r="G776" s="153"/>
      <c r="H776" s="153"/>
      <c r="I776" s="153"/>
      <c r="J776" s="155"/>
      <c r="K776" s="154"/>
      <c r="L776" s="155"/>
      <c r="M776" s="155"/>
      <c r="N776" s="155"/>
      <c r="W776" s="152"/>
      <c r="X776" s="153"/>
      <c r="Y776" s="153"/>
      <c r="Z776" s="153"/>
      <c r="AA776" s="155"/>
      <c r="AB776" s="154"/>
      <c r="AC776" s="155"/>
      <c r="AD776" s="155"/>
    </row>
    <row r="777" spans="5:30" x14ac:dyDescent="0.25">
      <c r="E777" s="153"/>
      <c r="F777" s="153"/>
      <c r="G777" s="153"/>
      <c r="H777" s="153"/>
      <c r="I777" s="153"/>
      <c r="J777" s="155"/>
      <c r="K777" s="154"/>
      <c r="L777" s="155"/>
      <c r="M777" s="155"/>
      <c r="N777" s="155"/>
      <c r="W777" s="152"/>
      <c r="X777" s="153"/>
      <c r="Y777" s="153"/>
      <c r="Z777" s="153"/>
      <c r="AA777" s="155"/>
      <c r="AB777" s="154"/>
      <c r="AC777" s="155"/>
      <c r="AD777" s="155"/>
    </row>
    <row r="778" spans="5:30" x14ac:dyDescent="0.25">
      <c r="E778" s="153"/>
      <c r="F778" s="153"/>
      <c r="G778" s="153"/>
      <c r="H778" s="153"/>
      <c r="I778" s="153"/>
      <c r="J778" s="155"/>
      <c r="K778" s="154"/>
      <c r="L778" s="155"/>
      <c r="M778" s="155"/>
      <c r="N778" s="155"/>
      <c r="W778" s="152"/>
      <c r="X778" s="153"/>
      <c r="Y778" s="153"/>
      <c r="Z778" s="153"/>
      <c r="AA778" s="155"/>
      <c r="AB778" s="154"/>
      <c r="AC778" s="155"/>
      <c r="AD778" s="155"/>
    </row>
    <row r="779" spans="5:30" x14ac:dyDescent="0.25">
      <c r="E779" s="153"/>
      <c r="F779" s="153"/>
      <c r="G779" s="153"/>
      <c r="H779" s="153"/>
      <c r="I779" s="153"/>
      <c r="J779" s="155"/>
      <c r="K779" s="154"/>
      <c r="L779" s="155"/>
      <c r="M779" s="155"/>
      <c r="N779" s="155"/>
      <c r="W779" s="152"/>
      <c r="X779" s="153"/>
      <c r="Y779" s="153"/>
      <c r="Z779" s="153"/>
      <c r="AA779" s="155"/>
      <c r="AB779" s="154"/>
      <c r="AC779" s="155"/>
      <c r="AD779" s="155"/>
    </row>
    <row r="780" spans="5:30" x14ac:dyDescent="0.25">
      <c r="E780" s="153"/>
      <c r="F780" s="153"/>
      <c r="G780" s="153"/>
      <c r="H780" s="153"/>
      <c r="I780" s="153"/>
      <c r="J780" s="155"/>
      <c r="K780" s="154"/>
      <c r="L780" s="155"/>
      <c r="M780" s="155"/>
      <c r="N780" s="155"/>
      <c r="W780" s="152"/>
      <c r="X780" s="153"/>
      <c r="Y780" s="153"/>
      <c r="Z780" s="153"/>
      <c r="AA780" s="155"/>
      <c r="AB780" s="154"/>
      <c r="AC780" s="155"/>
      <c r="AD780" s="155"/>
    </row>
    <row r="781" spans="5:30" x14ac:dyDescent="0.25">
      <c r="E781" s="153"/>
      <c r="F781" s="153"/>
      <c r="G781" s="153"/>
      <c r="H781" s="153"/>
      <c r="I781" s="153"/>
      <c r="J781" s="155"/>
      <c r="K781" s="154"/>
      <c r="L781" s="155"/>
      <c r="M781" s="155"/>
      <c r="N781" s="155"/>
      <c r="W781" s="152"/>
      <c r="X781" s="153"/>
      <c r="Y781" s="153"/>
      <c r="Z781" s="153"/>
      <c r="AA781" s="155"/>
      <c r="AB781" s="154"/>
      <c r="AC781" s="155"/>
      <c r="AD781" s="155"/>
    </row>
    <row r="782" spans="5:30" x14ac:dyDescent="0.25">
      <c r="E782" s="153"/>
      <c r="F782" s="153"/>
      <c r="G782" s="153"/>
      <c r="H782" s="153"/>
      <c r="I782" s="153"/>
      <c r="J782" s="155"/>
      <c r="K782" s="154"/>
      <c r="L782" s="155"/>
      <c r="M782" s="155"/>
      <c r="N782" s="155"/>
      <c r="W782" s="152"/>
      <c r="X782" s="153"/>
      <c r="Y782" s="153"/>
      <c r="Z782" s="153"/>
      <c r="AA782" s="155"/>
      <c r="AB782" s="154"/>
      <c r="AC782" s="155"/>
      <c r="AD782" s="155"/>
    </row>
    <row r="783" spans="5:30" x14ac:dyDescent="0.25">
      <c r="E783" s="153"/>
      <c r="F783" s="153"/>
      <c r="G783" s="153"/>
      <c r="H783" s="153"/>
      <c r="I783" s="153"/>
      <c r="J783" s="155"/>
      <c r="K783" s="154"/>
      <c r="L783" s="155"/>
      <c r="M783" s="155"/>
      <c r="N783" s="155"/>
      <c r="W783" s="152"/>
      <c r="X783" s="153"/>
      <c r="Y783" s="153"/>
      <c r="Z783" s="153"/>
      <c r="AA783" s="155"/>
      <c r="AB783" s="154"/>
      <c r="AC783" s="155"/>
      <c r="AD783" s="155"/>
    </row>
    <row r="784" spans="5:30" x14ac:dyDescent="0.25">
      <c r="E784" s="153"/>
      <c r="F784" s="153"/>
      <c r="G784" s="153"/>
      <c r="H784" s="153"/>
      <c r="I784" s="153"/>
      <c r="J784" s="155"/>
      <c r="K784" s="154"/>
      <c r="L784" s="155"/>
      <c r="M784" s="155"/>
      <c r="N784" s="155"/>
      <c r="W784" s="152"/>
      <c r="X784" s="153"/>
      <c r="Y784" s="153"/>
      <c r="Z784" s="153"/>
      <c r="AA784" s="155"/>
      <c r="AB784" s="154"/>
      <c r="AC784" s="155"/>
      <c r="AD784" s="155"/>
    </row>
    <row r="785" spans="5:30" x14ac:dyDescent="0.25">
      <c r="E785" s="153"/>
      <c r="F785" s="153"/>
      <c r="G785" s="153"/>
      <c r="H785" s="153"/>
      <c r="I785" s="153"/>
      <c r="J785" s="155"/>
      <c r="K785" s="154"/>
      <c r="L785" s="155"/>
      <c r="M785" s="155"/>
      <c r="N785" s="155"/>
      <c r="W785" s="152"/>
      <c r="X785" s="153"/>
      <c r="Y785" s="153"/>
      <c r="Z785" s="153"/>
      <c r="AA785" s="155"/>
      <c r="AB785" s="154"/>
      <c r="AC785" s="155"/>
      <c r="AD785" s="155"/>
    </row>
    <row r="786" spans="5:30" x14ac:dyDescent="0.25">
      <c r="E786" s="153"/>
      <c r="F786" s="153"/>
      <c r="G786" s="153"/>
      <c r="H786" s="153"/>
      <c r="I786" s="153"/>
      <c r="J786" s="155"/>
      <c r="K786" s="154"/>
      <c r="L786" s="155"/>
      <c r="M786" s="155"/>
      <c r="N786" s="155"/>
      <c r="W786" s="152"/>
      <c r="X786" s="153"/>
      <c r="Y786" s="153"/>
      <c r="Z786" s="153"/>
      <c r="AA786" s="155"/>
      <c r="AB786" s="154"/>
      <c r="AC786" s="155"/>
      <c r="AD786" s="155"/>
    </row>
    <row r="787" spans="5:30" x14ac:dyDescent="0.25">
      <c r="E787" s="153"/>
      <c r="F787" s="153"/>
      <c r="G787" s="153"/>
      <c r="H787" s="153"/>
      <c r="I787" s="153"/>
      <c r="J787" s="155"/>
      <c r="K787" s="154"/>
      <c r="L787" s="155"/>
      <c r="M787" s="155"/>
      <c r="N787" s="155"/>
      <c r="W787" s="152"/>
      <c r="X787" s="153"/>
      <c r="Y787" s="153"/>
      <c r="Z787" s="153"/>
      <c r="AA787" s="155"/>
      <c r="AB787" s="154"/>
      <c r="AC787" s="155"/>
      <c r="AD787" s="155"/>
    </row>
    <row r="788" spans="5:30" x14ac:dyDescent="0.25">
      <c r="E788" s="153"/>
      <c r="F788" s="153"/>
      <c r="G788" s="153"/>
      <c r="H788" s="153"/>
      <c r="I788" s="153"/>
      <c r="J788" s="155"/>
      <c r="K788" s="154"/>
      <c r="L788" s="155"/>
      <c r="M788" s="155"/>
      <c r="N788" s="155"/>
      <c r="W788" s="152"/>
      <c r="X788" s="153"/>
      <c r="Y788" s="153"/>
      <c r="Z788" s="153"/>
      <c r="AA788" s="155"/>
      <c r="AB788" s="154"/>
      <c r="AC788" s="155"/>
      <c r="AD788" s="155"/>
    </row>
    <row r="789" spans="5:30" x14ac:dyDescent="0.25">
      <c r="E789" s="153"/>
      <c r="F789" s="153"/>
      <c r="G789" s="153"/>
      <c r="H789" s="153"/>
      <c r="I789" s="153"/>
      <c r="J789" s="155"/>
      <c r="K789" s="154"/>
      <c r="L789" s="155"/>
      <c r="M789" s="155"/>
      <c r="N789" s="155"/>
      <c r="W789" s="152"/>
      <c r="X789" s="153"/>
      <c r="Y789" s="153"/>
      <c r="Z789" s="153"/>
      <c r="AA789" s="155"/>
      <c r="AB789" s="154"/>
      <c r="AC789" s="155"/>
      <c r="AD789" s="155"/>
    </row>
    <row r="790" spans="5:30" x14ac:dyDescent="0.25">
      <c r="E790" s="153"/>
      <c r="F790" s="153"/>
      <c r="G790" s="153"/>
      <c r="H790" s="153"/>
      <c r="I790" s="153"/>
      <c r="J790" s="155"/>
      <c r="K790" s="154"/>
      <c r="L790" s="155"/>
      <c r="M790" s="155"/>
      <c r="N790" s="155"/>
      <c r="W790" s="152"/>
      <c r="X790" s="153"/>
      <c r="Y790" s="153"/>
      <c r="Z790" s="153"/>
      <c r="AA790" s="155"/>
      <c r="AB790" s="154"/>
      <c r="AC790" s="155"/>
      <c r="AD790" s="155"/>
    </row>
    <row r="791" spans="5:30" x14ac:dyDescent="0.25">
      <c r="E791" s="153"/>
      <c r="F791" s="153"/>
      <c r="G791" s="153"/>
      <c r="H791" s="153"/>
      <c r="I791" s="153"/>
      <c r="J791" s="155"/>
      <c r="K791" s="154"/>
      <c r="L791" s="155"/>
      <c r="M791" s="155"/>
      <c r="N791" s="155"/>
      <c r="W791" s="152"/>
      <c r="X791" s="153"/>
      <c r="Y791" s="153"/>
      <c r="Z791" s="153"/>
      <c r="AA791" s="155"/>
      <c r="AB791" s="154"/>
      <c r="AC791" s="155"/>
      <c r="AD791" s="155"/>
    </row>
    <row r="792" spans="5:30" x14ac:dyDescent="0.25">
      <c r="E792" s="153"/>
      <c r="F792" s="153"/>
      <c r="G792" s="153"/>
      <c r="H792" s="153"/>
      <c r="I792" s="153"/>
      <c r="J792" s="155"/>
      <c r="K792" s="154"/>
      <c r="L792" s="155"/>
      <c r="M792" s="155"/>
      <c r="N792" s="155"/>
      <c r="W792" s="152"/>
      <c r="X792" s="153"/>
      <c r="Y792" s="153"/>
      <c r="Z792" s="153"/>
      <c r="AA792" s="155"/>
      <c r="AB792" s="154"/>
      <c r="AC792" s="155"/>
      <c r="AD792" s="155"/>
    </row>
    <row r="793" spans="5:30" x14ac:dyDescent="0.25">
      <c r="E793" s="153"/>
      <c r="F793" s="153"/>
      <c r="G793" s="153"/>
      <c r="H793" s="153"/>
      <c r="I793" s="153"/>
      <c r="J793" s="155"/>
      <c r="K793" s="154"/>
      <c r="L793" s="155"/>
      <c r="M793" s="155"/>
      <c r="N793" s="155"/>
      <c r="W793" s="152"/>
      <c r="X793" s="153"/>
      <c r="Y793" s="153"/>
      <c r="Z793" s="153"/>
      <c r="AA793" s="155"/>
      <c r="AB793" s="154"/>
      <c r="AC793" s="155"/>
      <c r="AD793" s="155"/>
    </row>
    <row r="794" spans="5:30" x14ac:dyDescent="0.25">
      <c r="E794" s="153"/>
      <c r="F794" s="153"/>
      <c r="G794" s="153"/>
      <c r="H794" s="153"/>
      <c r="I794" s="153"/>
      <c r="J794" s="155"/>
      <c r="K794" s="154"/>
      <c r="L794" s="155"/>
      <c r="M794" s="155"/>
      <c r="N794" s="155"/>
      <c r="W794" s="152"/>
      <c r="X794" s="153"/>
      <c r="Y794" s="153"/>
      <c r="Z794" s="153"/>
      <c r="AA794" s="155"/>
      <c r="AB794" s="154"/>
      <c r="AC794" s="155"/>
      <c r="AD794" s="155"/>
    </row>
    <row r="795" spans="5:30" x14ac:dyDescent="0.25">
      <c r="E795" s="153"/>
      <c r="F795" s="153"/>
      <c r="G795" s="153"/>
      <c r="H795" s="153"/>
      <c r="I795" s="153"/>
      <c r="J795" s="155"/>
      <c r="K795" s="154"/>
      <c r="L795" s="155"/>
      <c r="M795" s="155"/>
      <c r="N795" s="155"/>
      <c r="W795" s="152"/>
      <c r="X795" s="153"/>
      <c r="Y795" s="153"/>
      <c r="Z795" s="153"/>
      <c r="AA795" s="155"/>
      <c r="AB795" s="154"/>
      <c r="AC795" s="155"/>
      <c r="AD795" s="155"/>
    </row>
    <row r="796" spans="5:30" x14ac:dyDescent="0.25">
      <c r="E796" s="153"/>
      <c r="F796" s="153"/>
      <c r="G796" s="153"/>
      <c r="H796" s="153"/>
      <c r="I796" s="153"/>
      <c r="J796" s="155"/>
      <c r="K796" s="154"/>
      <c r="L796" s="155"/>
      <c r="M796" s="155"/>
      <c r="N796" s="155"/>
      <c r="W796" s="152"/>
      <c r="X796" s="153"/>
      <c r="Y796" s="153"/>
      <c r="Z796" s="153"/>
      <c r="AA796" s="155"/>
      <c r="AB796" s="154"/>
      <c r="AC796" s="155"/>
      <c r="AD796" s="155"/>
    </row>
    <row r="797" spans="5:30" x14ac:dyDescent="0.25">
      <c r="E797" s="153"/>
      <c r="F797" s="153"/>
      <c r="G797" s="153"/>
      <c r="H797" s="153"/>
      <c r="I797" s="153"/>
      <c r="J797" s="155"/>
      <c r="K797" s="154"/>
      <c r="L797" s="155"/>
      <c r="M797" s="155"/>
      <c r="N797" s="155"/>
      <c r="W797" s="152"/>
      <c r="X797" s="153"/>
      <c r="Y797" s="153"/>
      <c r="Z797" s="153"/>
      <c r="AA797" s="155"/>
      <c r="AB797" s="154"/>
      <c r="AC797" s="155"/>
      <c r="AD797" s="155"/>
    </row>
    <row r="798" spans="5:30" x14ac:dyDescent="0.25">
      <c r="E798" s="153"/>
      <c r="F798" s="153"/>
      <c r="G798" s="153"/>
      <c r="H798" s="153"/>
      <c r="I798" s="153"/>
      <c r="J798" s="155"/>
      <c r="K798" s="154"/>
      <c r="L798" s="155"/>
      <c r="M798" s="155"/>
      <c r="N798" s="155"/>
      <c r="W798" s="152"/>
      <c r="X798" s="153"/>
      <c r="Y798" s="153"/>
      <c r="Z798" s="153"/>
      <c r="AA798" s="155"/>
      <c r="AB798" s="154"/>
      <c r="AC798" s="155"/>
      <c r="AD798" s="155"/>
    </row>
    <row r="799" spans="5:30" x14ac:dyDescent="0.25">
      <c r="E799" s="153"/>
      <c r="F799" s="153"/>
      <c r="G799" s="153"/>
      <c r="H799" s="153"/>
      <c r="I799" s="153"/>
      <c r="J799" s="155"/>
      <c r="K799" s="154"/>
      <c r="L799" s="155"/>
      <c r="M799" s="155"/>
      <c r="N799" s="155"/>
      <c r="W799" s="152"/>
      <c r="X799" s="153"/>
      <c r="Y799" s="153"/>
      <c r="Z799" s="153"/>
      <c r="AA799" s="155"/>
      <c r="AB799" s="154"/>
      <c r="AC799" s="155"/>
      <c r="AD799" s="155"/>
    </row>
    <row r="800" spans="5:30" x14ac:dyDescent="0.25">
      <c r="E800" s="153"/>
      <c r="F800" s="153"/>
      <c r="G800" s="153"/>
      <c r="H800" s="153"/>
      <c r="I800" s="153"/>
      <c r="J800" s="155"/>
      <c r="K800" s="154"/>
      <c r="L800" s="155"/>
      <c r="M800" s="155"/>
      <c r="N800" s="155"/>
      <c r="W800" s="152"/>
      <c r="X800" s="153"/>
      <c r="Y800" s="153"/>
      <c r="Z800" s="153"/>
      <c r="AA800" s="155"/>
      <c r="AB800" s="154"/>
      <c r="AC800" s="155"/>
      <c r="AD800" s="155"/>
    </row>
    <row r="801" spans="5:30" x14ac:dyDescent="0.25">
      <c r="E801" s="153"/>
      <c r="F801" s="153"/>
      <c r="G801" s="153"/>
      <c r="H801" s="153"/>
      <c r="I801" s="153"/>
      <c r="J801" s="155"/>
      <c r="K801" s="154"/>
      <c r="L801" s="155"/>
      <c r="M801" s="155"/>
      <c r="N801" s="155"/>
      <c r="W801" s="152"/>
      <c r="X801" s="153"/>
      <c r="Y801" s="153"/>
      <c r="Z801" s="153"/>
      <c r="AA801" s="155"/>
      <c r="AB801" s="154"/>
      <c r="AC801" s="155"/>
      <c r="AD801" s="155"/>
    </row>
    <row r="802" spans="5:30" x14ac:dyDescent="0.25">
      <c r="E802" s="153"/>
      <c r="F802" s="153"/>
      <c r="G802" s="153"/>
      <c r="H802" s="153"/>
      <c r="I802" s="153"/>
      <c r="J802" s="155"/>
      <c r="K802" s="154"/>
      <c r="L802" s="155"/>
      <c r="M802" s="155"/>
      <c r="N802" s="155"/>
      <c r="W802" s="152"/>
      <c r="X802" s="153"/>
      <c r="Y802" s="153"/>
      <c r="Z802" s="153"/>
      <c r="AA802" s="155"/>
      <c r="AB802" s="154"/>
      <c r="AC802" s="155"/>
      <c r="AD802" s="155"/>
    </row>
    <row r="803" spans="5:30" x14ac:dyDescent="0.25">
      <c r="E803" s="153"/>
      <c r="F803" s="153"/>
      <c r="G803" s="153"/>
      <c r="H803" s="153"/>
      <c r="I803" s="153"/>
      <c r="J803" s="155"/>
      <c r="K803" s="154"/>
      <c r="L803" s="155"/>
      <c r="M803" s="155"/>
      <c r="N803" s="155"/>
      <c r="W803" s="152"/>
      <c r="X803" s="153"/>
      <c r="Y803" s="153"/>
      <c r="Z803" s="153"/>
      <c r="AA803" s="155"/>
      <c r="AB803" s="154"/>
      <c r="AC803" s="155"/>
      <c r="AD803" s="155"/>
    </row>
    <row r="804" spans="5:30" x14ac:dyDescent="0.25">
      <c r="E804" s="153"/>
      <c r="F804" s="153"/>
      <c r="G804" s="153"/>
      <c r="H804" s="153"/>
      <c r="I804" s="153"/>
      <c r="J804" s="155"/>
      <c r="K804" s="154"/>
      <c r="L804" s="155"/>
      <c r="M804" s="155"/>
      <c r="N804" s="155"/>
      <c r="W804" s="152"/>
      <c r="X804" s="153"/>
      <c r="Y804" s="153"/>
      <c r="Z804" s="153"/>
      <c r="AA804" s="155"/>
      <c r="AB804" s="154"/>
      <c r="AC804" s="155"/>
      <c r="AD804" s="155"/>
    </row>
    <row r="805" spans="5:30" x14ac:dyDescent="0.25">
      <c r="E805" s="153"/>
      <c r="F805" s="153"/>
      <c r="G805" s="153"/>
      <c r="H805" s="153"/>
      <c r="I805" s="153"/>
      <c r="J805" s="155"/>
      <c r="K805" s="154"/>
      <c r="L805" s="155"/>
      <c r="M805" s="155"/>
      <c r="N805" s="155"/>
      <c r="W805" s="152"/>
      <c r="X805" s="153"/>
      <c r="Y805" s="153"/>
      <c r="Z805" s="153"/>
      <c r="AA805" s="155"/>
      <c r="AB805" s="154"/>
      <c r="AC805" s="155"/>
      <c r="AD805" s="155"/>
    </row>
    <row r="806" spans="5:30" x14ac:dyDescent="0.25">
      <c r="E806" s="153"/>
      <c r="F806" s="153"/>
      <c r="G806" s="153"/>
      <c r="H806" s="153"/>
      <c r="I806" s="153"/>
      <c r="J806" s="155"/>
      <c r="K806" s="154"/>
      <c r="L806" s="155"/>
      <c r="M806" s="155"/>
      <c r="N806" s="155"/>
      <c r="W806" s="152"/>
      <c r="X806" s="153"/>
      <c r="Y806" s="153"/>
      <c r="Z806" s="153"/>
      <c r="AA806" s="155"/>
      <c r="AB806" s="154"/>
      <c r="AC806" s="155"/>
      <c r="AD806" s="155"/>
    </row>
    <row r="807" spans="5:30" x14ac:dyDescent="0.25">
      <c r="E807" s="153"/>
      <c r="F807" s="153"/>
      <c r="G807" s="153"/>
      <c r="H807" s="153"/>
      <c r="I807" s="153"/>
      <c r="J807" s="155"/>
      <c r="K807" s="154"/>
      <c r="L807" s="155"/>
      <c r="M807" s="155"/>
      <c r="N807" s="155"/>
      <c r="W807" s="152"/>
      <c r="X807" s="153"/>
      <c r="Y807" s="153"/>
      <c r="Z807" s="153"/>
      <c r="AA807" s="155"/>
      <c r="AB807" s="154"/>
      <c r="AC807" s="155"/>
      <c r="AD807" s="155"/>
    </row>
    <row r="808" spans="5:30" x14ac:dyDescent="0.25">
      <c r="E808" s="153"/>
      <c r="F808" s="153"/>
      <c r="G808" s="153"/>
      <c r="H808" s="153"/>
      <c r="I808" s="153"/>
      <c r="J808" s="155"/>
      <c r="K808" s="154"/>
      <c r="L808" s="155"/>
      <c r="M808" s="155"/>
      <c r="N808" s="155"/>
      <c r="W808" s="152"/>
      <c r="X808" s="153"/>
      <c r="Y808" s="153"/>
      <c r="Z808" s="153"/>
      <c r="AA808" s="155"/>
      <c r="AB808" s="154"/>
      <c r="AC808" s="155"/>
      <c r="AD808" s="155"/>
    </row>
    <row r="809" spans="5:30" x14ac:dyDescent="0.25">
      <c r="E809" s="153"/>
      <c r="F809" s="153"/>
      <c r="G809" s="153"/>
      <c r="H809" s="153"/>
      <c r="I809" s="153"/>
      <c r="J809" s="155"/>
      <c r="K809" s="154"/>
      <c r="L809" s="155"/>
      <c r="M809" s="155"/>
      <c r="N809" s="155"/>
      <c r="W809" s="152"/>
      <c r="X809" s="153"/>
      <c r="Y809" s="153"/>
      <c r="Z809" s="153"/>
      <c r="AA809" s="155"/>
      <c r="AB809" s="154"/>
      <c r="AC809" s="155"/>
      <c r="AD809" s="155"/>
    </row>
    <row r="810" spans="5:30" x14ac:dyDescent="0.25">
      <c r="E810" s="153"/>
      <c r="F810" s="153"/>
      <c r="G810" s="153"/>
      <c r="H810" s="153"/>
      <c r="I810" s="153"/>
      <c r="J810" s="155"/>
      <c r="K810" s="154"/>
      <c r="L810" s="155"/>
      <c r="M810" s="155"/>
      <c r="N810" s="155"/>
      <c r="W810" s="152"/>
      <c r="X810" s="153"/>
      <c r="Y810" s="153"/>
      <c r="Z810" s="153"/>
      <c r="AA810" s="155"/>
      <c r="AB810" s="154"/>
      <c r="AC810" s="155"/>
      <c r="AD810" s="155"/>
    </row>
    <row r="811" spans="5:30" x14ac:dyDescent="0.25">
      <c r="E811" s="153"/>
      <c r="F811" s="153"/>
      <c r="G811" s="153"/>
      <c r="H811" s="153"/>
      <c r="I811" s="153"/>
      <c r="J811" s="155"/>
      <c r="K811" s="154"/>
      <c r="L811" s="155"/>
      <c r="M811" s="155"/>
      <c r="N811" s="155"/>
      <c r="W811" s="152"/>
      <c r="X811" s="153"/>
      <c r="Y811" s="153"/>
      <c r="Z811" s="153"/>
      <c r="AA811" s="155"/>
      <c r="AB811" s="154"/>
      <c r="AC811" s="155"/>
      <c r="AD811" s="155"/>
    </row>
    <row r="812" spans="5:30" x14ac:dyDescent="0.25">
      <c r="E812" s="153"/>
      <c r="F812" s="153"/>
      <c r="G812" s="153"/>
      <c r="H812" s="153"/>
      <c r="I812" s="153"/>
      <c r="J812" s="155"/>
      <c r="K812" s="154"/>
      <c r="L812" s="155"/>
      <c r="M812" s="155"/>
      <c r="N812" s="155"/>
      <c r="W812" s="152"/>
      <c r="X812" s="153"/>
      <c r="Y812" s="153"/>
      <c r="Z812" s="153"/>
      <c r="AA812" s="155"/>
      <c r="AB812" s="154"/>
      <c r="AC812" s="155"/>
      <c r="AD812" s="155"/>
    </row>
    <row r="813" spans="5:30" x14ac:dyDescent="0.25">
      <c r="E813" s="153"/>
      <c r="F813" s="153"/>
      <c r="G813" s="153"/>
      <c r="H813" s="153"/>
      <c r="I813" s="153"/>
      <c r="J813" s="155"/>
      <c r="K813" s="154"/>
      <c r="L813" s="155"/>
      <c r="M813" s="155"/>
      <c r="N813" s="155"/>
      <c r="W813" s="152"/>
      <c r="X813" s="153"/>
      <c r="Y813" s="153"/>
      <c r="Z813" s="153"/>
      <c r="AA813" s="155"/>
      <c r="AB813" s="154"/>
      <c r="AC813" s="155"/>
      <c r="AD813" s="155"/>
    </row>
    <row r="814" spans="5:30" x14ac:dyDescent="0.25">
      <c r="E814" s="153"/>
      <c r="F814" s="153"/>
      <c r="G814" s="153"/>
      <c r="H814" s="153"/>
      <c r="I814" s="153"/>
      <c r="J814" s="155"/>
      <c r="K814" s="154"/>
      <c r="L814" s="155"/>
      <c r="M814" s="155"/>
      <c r="N814" s="155"/>
      <c r="W814" s="152"/>
      <c r="X814" s="153"/>
      <c r="Y814" s="153"/>
      <c r="Z814" s="153"/>
      <c r="AA814" s="155"/>
      <c r="AB814" s="154"/>
      <c r="AC814" s="155"/>
      <c r="AD814" s="155"/>
    </row>
    <row r="815" spans="5:30" x14ac:dyDescent="0.25">
      <c r="E815" s="153"/>
      <c r="F815" s="153"/>
      <c r="G815" s="153"/>
      <c r="H815" s="153"/>
      <c r="I815" s="153"/>
      <c r="J815" s="155"/>
      <c r="K815" s="154"/>
      <c r="L815" s="155"/>
      <c r="M815" s="155"/>
      <c r="N815" s="155"/>
      <c r="W815" s="152"/>
      <c r="X815" s="153"/>
      <c r="Y815" s="153"/>
      <c r="Z815" s="153"/>
      <c r="AA815" s="155"/>
      <c r="AB815" s="154"/>
      <c r="AC815" s="155"/>
      <c r="AD815" s="155"/>
    </row>
    <row r="816" spans="5:30" x14ac:dyDescent="0.25">
      <c r="E816" s="153"/>
      <c r="F816" s="153"/>
      <c r="G816" s="153"/>
      <c r="H816" s="153"/>
      <c r="I816" s="153"/>
      <c r="J816" s="155"/>
      <c r="K816" s="154"/>
      <c r="L816" s="155"/>
      <c r="M816" s="155"/>
      <c r="N816" s="155"/>
      <c r="W816" s="152"/>
      <c r="X816" s="153"/>
      <c r="Y816" s="153"/>
      <c r="Z816" s="153"/>
      <c r="AA816" s="155"/>
      <c r="AB816" s="154"/>
      <c r="AC816" s="155"/>
      <c r="AD816" s="155"/>
    </row>
    <row r="817" spans="5:30" x14ac:dyDescent="0.25">
      <c r="E817" s="153"/>
      <c r="F817" s="153"/>
      <c r="G817" s="153"/>
      <c r="H817" s="153"/>
      <c r="I817" s="153"/>
      <c r="J817" s="155"/>
      <c r="K817" s="154"/>
      <c r="L817" s="155"/>
      <c r="M817" s="155"/>
      <c r="N817" s="155"/>
      <c r="W817" s="152"/>
      <c r="X817" s="153"/>
      <c r="Y817" s="153"/>
      <c r="Z817" s="153"/>
      <c r="AA817" s="155"/>
      <c r="AB817" s="154"/>
      <c r="AC817" s="155"/>
      <c r="AD817" s="155"/>
    </row>
    <row r="818" spans="5:30" x14ac:dyDescent="0.25">
      <c r="E818" s="153"/>
      <c r="F818" s="153"/>
      <c r="G818" s="153"/>
      <c r="H818" s="153"/>
      <c r="I818" s="153"/>
      <c r="J818" s="155"/>
      <c r="K818" s="154"/>
      <c r="L818" s="155"/>
      <c r="M818" s="155"/>
      <c r="N818" s="155"/>
      <c r="W818" s="152"/>
      <c r="X818" s="153"/>
      <c r="Y818" s="153"/>
      <c r="Z818" s="153"/>
      <c r="AA818" s="155"/>
      <c r="AB818" s="154"/>
      <c r="AC818" s="155"/>
      <c r="AD818" s="155"/>
    </row>
    <row r="819" spans="5:30" x14ac:dyDescent="0.25">
      <c r="E819" s="153"/>
      <c r="F819" s="153"/>
      <c r="G819" s="153"/>
      <c r="H819" s="153"/>
      <c r="I819" s="153"/>
      <c r="J819" s="155"/>
      <c r="K819" s="154"/>
      <c r="L819" s="155"/>
      <c r="M819" s="155"/>
      <c r="N819" s="155"/>
      <c r="W819" s="152"/>
      <c r="X819" s="153"/>
      <c r="Y819" s="153"/>
      <c r="Z819" s="153"/>
      <c r="AA819" s="155"/>
      <c r="AB819" s="154"/>
      <c r="AC819" s="155"/>
      <c r="AD819" s="155"/>
    </row>
    <row r="820" spans="5:30" x14ac:dyDescent="0.25">
      <c r="E820" s="153"/>
      <c r="F820" s="153"/>
      <c r="G820" s="153"/>
      <c r="H820" s="153"/>
      <c r="I820" s="153"/>
      <c r="J820" s="155"/>
      <c r="K820" s="154"/>
      <c r="L820" s="155"/>
      <c r="M820" s="155"/>
      <c r="N820" s="155"/>
      <c r="W820" s="152"/>
      <c r="X820" s="153"/>
      <c r="Y820" s="153"/>
      <c r="Z820" s="153"/>
      <c r="AA820" s="155"/>
      <c r="AB820" s="154"/>
      <c r="AC820" s="155"/>
      <c r="AD820" s="155"/>
    </row>
    <row r="821" spans="5:30" x14ac:dyDescent="0.25">
      <c r="E821" s="153"/>
      <c r="F821" s="153"/>
      <c r="G821" s="153"/>
      <c r="H821" s="153"/>
      <c r="I821" s="153"/>
      <c r="J821" s="155"/>
      <c r="K821" s="154"/>
      <c r="L821" s="155"/>
      <c r="M821" s="155"/>
      <c r="N821" s="155"/>
      <c r="W821" s="152"/>
      <c r="X821" s="153"/>
      <c r="Y821" s="153"/>
      <c r="Z821" s="153"/>
      <c r="AA821" s="155"/>
      <c r="AB821" s="154"/>
      <c r="AC821" s="155"/>
      <c r="AD821" s="155"/>
    </row>
    <row r="822" spans="5:30" x14ac:dyDescent="0.25">
      <c r="E822" s="153"/>
      <c r="F822" s="153"/>
      <c r="G822" s="153"/>
      <c r="H822" s="153"/>
      <c r="I822" s="153"/>
      <c r="J822" s="155"/>
      <c r="K822" s="154"/>
      <c r="L822" s="155"/>
      <c r="M822" s="155"/>
      <c r="N822" s="155"/>
      <c r="W822" s="152"/>
      <c r="X822" s="153"/>
      <c r="Y822" s="153"/>
      <c r="Z822" s="153"/>
      <c r="AA822" s="155"/>
      <c r="AB822" s="154"/>
      <c r="AC822" s="155"/>
      <c r="AD822" s="155"/>
    </row>
    <row r="823" spans="5:30" x14ac:dyDescent="0.25">
      <c r="E823" s="153"/>
      <c r="F823" s="153"/>
      <c r="G823" s="153"/>
      <c r="H823" s="153"/>
      <c r="I823" s="153"/>
      <c r="J823" s="155"/>
      <c r="K823" s="154"/>
      <c r="L823" s="155"/>
      <c r="M823" s="155"/>
      <c r="N823" s="155"/>
      <c r="W823" s="152"/>
      <c r="X823" s="153"/>
      <c r="Y823" s="153"/>
      <c r="Z823" s="153"/>
      <c r="AA823" s="155"/>
      <c r="AB823" s="154"/>
      <c r="AC823" s="155"/>
      <c r="AD823" s="155"/>
    </row>
    <row r="824" spans="5:30" x14ac:dyDescent="0.25">
      <c r="E824" s="153"/>
      <c r="F824" s="153"/>
      <c r="G824" s="153"/>
      <c r="H824" s="153"/>
      <c r="I824" s="153"/>
      <c r="J824" s="155"/>
      <c r="K824" s="154"/>
      <c r="L824" s="155"/>
      <c r="M824" s="155"/>
      <c r="N824" s="155"/>
      <c r="W824" s="152"/>
      <c r="X824" s="153"/>
      <c r="Y824" s="153"/>
      <c r="Z824" s="153"/>
      <c r="AA824" s="155"/>
      <c r="AB824" s="154"/>
      <c r="AC824" s="155"/>
      <c r="AD824" s="155"/>
    </row>
    <row r="825" spans="5:30" x14ac:dyDescent="0.25">
      <c r="E825" s="153"/>
      <c r="F825" s="153"/>
      <c r="G825" s="153"/>
      <c r="H825" s="153"/>
      <c r="I825" s="153"/>
      <c r="J825" s="155"/>
      <c r="K825" s="154"/>
      <c r="L825" s="155"/>
      <c r="M825" s="155"/>
      <c r="N825" s="155"/>
      <c r="W825" s="152"/>
      <c r="X825" s="153"/>
      <c r="Y825" s="153"/>
      <c r="Z825" s="153"/>
      <c r="AA825" s="155"/>
      <c r="AB825" s="154"/>
      <c r="AC825" s="155"/>
      <c r="AD825" s="155"/>
    </row>
    <row r="826" spans="5:30" x14ac:dyDescent="0.25">
      <c r="E826" s="153"/>
      <c r="F826" s="153"/>
      <c r="G826" s="153"/>
      <c r="H826" s="153"/>
      <c r="I826" s="153"/>
      <c r="J826" s="155"/>
      <c r="K826" s="154"/>
      <c r="L826" s="155"/>
      <c r="M826" s="155"/>
      <c r="N826" s="155"/>
      <c r="W826" s="152"/>
      <c r="X826" s="153"/>
      <c r="Y826" s="153"/>
      <c r="Z826" s="153"/>
      <c r="AA826" s="155"/>
      <c r="AB826" s="154"/>
      <c r="AC826" s="155"/>
      <c r="AD826" s="155"/>
    </row>
    <row r="827" spans="5:30" x14ac:dyDescent="0.25">
      <c r="E827" s="153"/>
      <c r="F827" s="153"/>
      <c r="G827" s="153"/>
      <c r="H827" s="153"/>
      <c r="I827" s="153"/>
      <c r="J827" s="155"/>
      <c r="K827" s="154"/>
      <c r="L827" s="155"/>
      <c r="M827" s="155"/>
      <c r="N827" s="155"/>
      <c r="W827" s="152"/>
      <c r="X827" s="153"/>
      <c r="Y827" s="153"/>
      <c r="Z827" s="153"/>
      <c r="AA827" s="155"/>
      <c r="AB827" s="154"/>
      <c r="AC827" s="155"/>
      <c r="AD827" s="155"/>
    </row>
    <row r="828" spans="5:30" x14ac:dyDescent="0.25">
      <c r="E828" s="153"/>
      <c r="F828" s="153"/>
      <c r="G828" s="153"/>
      <c r="H828" s="153"/>
      <c r="I828" s="153"/>
      <c r="J828" s="155"/>
      <c r="K828" s="154"/>
      <c r="L828" s="155"/>
      <c r="M828" s="155"/>
      <c r="N828" s="155"/>
      <c r="W828" s="152"/>
      <c r="X828" s="153"/>
      <c r="Y828" s="153"/>
      <c r="Z828" s="153"/>
      <c r="AA828" s="155"/>
      <c r="AB828" s="154"/>
      <c r="AC828" s="155"/>
      <c r="AD828" s="155"/>
    </row>
    <row r="829" spans="5:30" x14ac:dyDescent="0.25">
      <c r="E829" s="153"/>
      <c r="F829" s="153"/>
      <c r="G829" s="153"/>
      <c r="H829" s="153"/>
      <c r="I829" s="153"/>
      <c r="J829" s="155"/>
      <c r="K829" s="154"/>
      <c r="L829" s="155"/>
      <c r="M829" s="155"/>
      <c r="N829" s="155"/>
      <c r="W829" s="152"/>
      <c r="X829" s="153"/>
      <c r="Y829" s="153"/>
      <c r="Z829" s="153"/>
      <c r="AA829" s="155"/>
      <c r="AB829" s="154"/>
      <c r="AC829" s="155"/>
      <c r="AD829" s="155"/>
    </row>
    <row r="830" spans="5:30" x14ac:dyDescent="0.25">
      <c r="E830" s="153"/>
      <c r="F830" s="153"/>
      <c r="G830" s="153"/>
      <c r="H830" s="153"/>
      <c r="I830" s="153"/>
      <c r="J830" s="155"/>
      <c r="K830" s="154"/>
      <c r="L830" s="155"/>
      <c r="M830" s="155"/>
      <c r="N830" s="155"/>
      <c r="W830" s="152"/>
      <c r="X830" s="153"/>
      <c r="Y830" s="153"/>
      <c r="Z830" s="153"/>
      <c r="AA830" s="155"/>
      <c r="AB830" s="154"/>
      <c r="AC830" s="155"/>
      <c r="AD830" s="155"/>
    </row>
    <row r="831" spans="5:30" x14ac:dyDescent="0.25">
      <c r="E831" s="153"/>
      <c r="F831" s="153"/>
      <c r="G831" s="153"/>
      <c r="H831" s="153"/>
      <c r="I831" s="153"/>
      <c r="J831" s="155"/>
      <c r="K831" s="154"/>
      <c r="L831" s="155"/>
      <c r="M831" s="155"/>
      <c r="N831" s="155"/>
      <c r="W831" s="152"/>
      <c r="X831" s="153"/>
      <c r="Y831" s="153"/>
      <c r="Z831" s="153"/>
      <c r="AA831" s="155"/>
      <c r="AB831" s="154"/>
      <c r="AC831" s="155"/>
      <c r="AD831" s="155"/>
    </row>
    <row r="832" spans="5:30" x14ac:dyDescent="0.25">
      <c r="E832" s="153"/>
      <c r="F832" s="153"/>
      <c r="G832" s="153"/>
      <c r="H832" s="153"/>
      <c r="I832" s="153"/>
      <c r="J832" s="155"/>
      <c r="K832" s="154"/>
      <c r="L832" s="155"/>
      <c r="M832" s="155"/>
      <c r="N832" s="155"/>
      <c r="W832" s="152"/>
      <c r="X832" s="153"/>
      <c r="Y832" s="153"/>
      <c r="Z832" s="153"/>
      <c r="AA832" s="155"/>
      <c r="AB832" s="154"/>
      <c r="AC832" s="155"/>
      <c r="AD832" s="155"/>
    </row>
    <row r="833" spans="5:30" x14ac:dyDescent="0.25">
      <c r="E833" s="153"/>
      <c r="F833" s="153"/>
      <c r="G833" s="153"/>
      <c r="H833" s="153"/>
      <c r="I833" s="153"/>
      <c r="J833" s="155"/>
      <c r="K833" s="154"/>
      <c r="L833" s="155"/>
      <c r="M833" s="155"/>
      <c r="N833" s="155"/>
      <c r="W833" s="152"/>
      <c r="X833" s="153"/>
      <c r="Y833" s="153"/>
      <c r="Z833" s="153"/>
      <c r="AA833" s="155"/>
      <c r="AB833" s="154"/>
      <c r="AC833" s="155"/>
      <c r="AD833" s="155"/>
    </row>
    <row r="834" spans="5:30" x14ac:dyDescent="0.25">
      <c r="E834" s="153"/>
      <c r="F834" s="153"/>
      <c r="G834" s="153"/>
      <c r="H834" s="153"/>
      <c r="I834" s="153"/>
      <c r="J834" s="155"/>
      <c r="K834" s="154"/>
      <c r="L834" s="155"/>
      <c r="M834" s="155"/>
      <c r="N834" s="155"/>
      <c r="W834" s="152"/>
      <c r="X834" s="153"/>
      <c r="Y834" s="153"/>
      <c r="Z834" s="153"/>
      <c r="AA834" s="155"/>
      <c r="AB834" s="154"/>
      <c r="AC834" s="155"/>
      <c r="AD834" s="155"/>
    </row>
    <row r="835" spans="5:30" x14ac:dyDescent="0.25">
      <c r="E835" s="153"/>
      <c r="F835" s="153"/>
      <c r="G835" s="153"/>
      <c r="H835" s="153"/>
      <c r="I835" s="153"/>
      <c r="J835" s="155"/>
      <c r="K835" s="154"/>
      <c r="L835" s="155"/>
      <c r="M835" s="155"/>
      <c r="N835" s="155"/>
      <c r="W835" s="152"/>
      <c r="X835" s="153"/>
      <c r="Y835" s="153"/>
      <c r="Z835" s="153"/>
      <c r="AA835" s="155"/>
      <c r="AB835" s="154"/>
      <c r="AC835" s="155"/>
      <c r="AD835" s="155"/>
    </row>
    <row r="836" spans="5:30" x14ac:dyDescent="0.25">
      <c r="E836" s="153"/>
      <c r="F836" s="153"/>
      <c r="G836" s="153"/>
      <c r="H836" s="153"/>
      <c r="I836" s="153"/>
      <c r="J836" s="155"/>
      <c r="K836" s="154"/>
      <c r="L836" s="155"/>
      <c r="M836" s="155"/>
      <c r="N836" s="155"/>
      <c r="W836" s="152"/>
      <c r="X836" s="153"/>
      <c r="Y836" s="153"/>
      <c r="Z836" s="153"/>
      <c r="AA836" s="155"/>
      <c r="AB836" s="154"/>
      <c r="AC836" s="155"/>
      <c r="AD836" s="155"/>
    </row>
    <row r="837" spans="5:30" x14ac:dyDescent="0.25">
      <c r="E837" s="153"/>
      <c r="F837" s="153"/>
      <c r="G837" s="153"/>
      <c r="H837" s="153"/>
      <c r="I837" s="153"/>
      <c r="J837" s="155"/>
      <c r="K837" s="154"/>
      <c r="L837" s="155"/>
      <c r="M837" s="155"/>
      <c r="N837" s="155"/>
      <c r="W837" s="152"/>
      <c r="X837" s="153"/>
      <c r="Y837" s="153"/>
      <c r="Z837" s="153"/>
      <c r="AA837" s="155"/>
      <c r="AB837" s="154"/>
      <c r="AC837" s="155"/>
      <c r="AD837" s="155"/>
    </row>
    <row r="838" spans="5:30" x14ac:dyDescent="0.25">
      <c r="E838" s="153"/>
      <c r="F838" s="153"/>
      <c r="G838" s="153"/>
      <c r="H838" s="153"/>
      <c r="I838" s="153"/>
      <c r="J838" s="155"/>
      <c r="K838" s="154"/>
      <c r="L838" s="155"/>
      <c r="M838" s="155"/>
      <c r="N838" s="155"/>
      <c r="W838" s="152"/>
      <c r="X838" s="153"/>
      <c r="Y838" s="153"/>
      <c r="Z838" s="153"/>
      <c r="AA838" s="155"/>
      <c r="AB838" s="154"/>
      <c r="AC838" s="155"/>
      <c r="AD838" s="155"/>
    </row>
    <row r="839" spans="5:30" x14ac:dyDescent="0.25">
      <c r="E839" s="153"/>
      <c r="F839" s="153"/>
      <c r="G839" s="153"/>
      <c r="H839" s="153"/>
      <c r="I839" s="153"/>
      <c r="J839" s="155"/>
      <c r="K839" s="154"/>
      <c r="L839" s="155"/>
      <c r="M839" s="155"/>
      <c r="N839" s="155"/>
      <c r="W839" s="152"/>
      <c r="X839" s="153"/>
      <c r="Y839" s="153"/>
      <c r="Z839" s="153"/>
      <c r="AA839" s="155"/>
      <c r="AB839" s="154"/>
      <c r="AC839" s="155"/>
      <c r="AD839" s="155"/>
    </row>
    <row r="840" spans="5:30" x14ac:dyDescent="0.25">
      <c r="E840" s="153"/>
      <c r="F840" s="153"/>
      <c r="G840" s="153"/>
      <c r="H840" s="153"/>
      <c r="I840" s="153"/>
      <c r="J840" s="155"/>
      <c r="K840" s="154"/>
      <c r="L840" s="155"/>
      <c r="M840" s="155"/>
      <c r="N840" s="155"/>
      <c r="W840" s="152"/>
      <c r="X840" s="153"/>
      <c r="Y840" s="153"/>
      <c r="Z840" s="153"/>
      <c r="AA840" s="155"/>
      <c r="AB840" s="154"/>
      <c r="AC840" s="155"/>
      <c r="AD840" s="155"/>
    </row>
    <row r="841" spans="5:30" x14ac:dyDescent="0.25">
      <c r="E841" s="153"/>
      <c r="F841" s="153"/>
      <c r="G841" s="153"/>
      <c r="H841" s="153"/>
      <c r="I841" s="153"/>
      <c r="J841" s="155"/>
      <c r="K841" s="154"/>
      <c r="L841" s="155"/>
      <c r="M841" s="155"/>
      <c r="N841" s="155"/>
      <c r="W841" s="152"/>
      <c r="X841" s="153"/>
      <c r="Y841" s="153"/>
      <c r="Z841" s="153"/>
      <c r="AA841" s="155"/>
      <c r="AB841" s="154"/>
      <c r="AC841" s="155"/>
      <c r="AD841" s="155"/>
    </row>
    <row r="842" spans="5:30" x14ac:dyDescent="0.25">
      <c r="E842" s="153"/>
      <c r="F842" s="153"/>
      <c r="G842" s="153"/>
      <c r="H842" s="153"/>
      <c r="I842" s="153"/>
      <c r="J842" s="155"/>
      <c r="K842" s="154"/>
      <c r="L842" s="155"/>
      <c r="M842" s="155"/>
      <c r="N842" s="155"/>
      <c r="W842" s="152"/>
      <c r="X842" s="153"/>
      <c r="Y842" s="153"/>
      <c r="Z842" s="153"/>
      <c r="AA842" s="155"/>
      <c r="AB842" s="154"/>
      <c r="AC842" s="155"/>
      <c r="AD842" s="155"/>
    </row>
    <row r="843" spans="5:30" x14ac:dyDescent="0.25">
      <c r="E843" s="153"/>
      <c r="F843" s="153"/>
      <c r="G843" s="153"/>
      <c r="H843" s="153"/>
      <c r="I843" s="153"/>
      <c r="J843" s="155"/>
      <c r="K843" s="154"/>
      <c r="L843" s="155"/>
      <c r="M843" s="155"/>
      <c r="N843" s="155"/>
      <c r="W843" s="152"/>
      <c r="X843" s="153"/>
      <c r="Y843" s="153"/>
      <c r="Z843" s="153"/>
      <c r="AA843" s="155"/>
      <c r="AB843" s="154"/>
      <c r="AC843" s="155"/>
      <c r="AD843" s="155"/>
    </row>
    <row r="844" spans="5:30" x14ac:dyDescent="0.25">
      <c r="E844" s="153"/>
      <c r="F844" s="153"/>
      <c r="G844" s="153"/>
      <c r="H844" s="153"/>
      <c r="I844" s="153"/>
      <c r="J844" s="155"/>
      <c r="K844" s="154"/>
      <c r="L844" s="155"/>
      <c r="M844" s="155"/>
      <c r="N844" s="155"/>
      <c r="W844" s="152"/>
      <c r="X844" s="153"/>
      <c r="Y844" s="153"/>
      <c r="Z844" s="153"/>
      <c r="AA844" s="155"/>
      <c r="AB844" s="154"/>
      <c r="AC844" s="155"/>
      <c r="AD844" s="155"/>
    </row>
    <row r="845" spans="5:30" x14ac:dyDescent="0.25">
      <c r="E845" s="153"/>
      <c r="F845" s="153"/>
      <c r="G845" s="153"/>
      <c r="H845" s="153"/>
      <c r="I845" s="153"/>
      <c r="J845" s="155"/>
      <c r="K845" s="154"/>
      <c r="L845" s="155"/>
      <c r="M845" s="155"/>
      <c r="N845" s="155"/>
      <c r="W845" s="152"/>
      <c r="X845" s="153"/>
      <c r="Y845" s="153"/>
      <c r="Z845" s="153"/>
      <c r="AA845" s="155"/>
      <c r="AB845" s="154"/>
      <c r="AC845" s="155"/>
      <c r="AD845" s="155"/>
    </row>
    <row r="846" spans="5:30" x14ac:dyDescent="0.25">
      <c r="E846" s="153"/>
      <c r="F846" s="153"/>
      <c r="G846" s="153"/>
      <c r="H846" s="153"/>
      <c r="I846" s="153"/>
      <c r="J846" s="155"/>
      <c r="K846" s="154"/>
      <c r="L846" s="155"/>
      <c r="M846" s="155"/>
      <c r="N846" s="155"/>
      <c r="W846" s="152"/>
      <c r="X846" s="153"/>
      <c r="Y846" s="153"/>
      <c r="Z846" s="153"/>
      <c r="AA846" s="155"/>
      <c r="AB846" s="154"/>
      <c r="AC846" s="155"/>
      <c r="AD846" s="155"/>
    </row>
    <row r="847" spans="5:30" x14ac:dyDescent="0.25">
      <c r="E847" s="153"/>
      <c r="F847" s="153"/>
      <c r="G847" s="153"/>
      <c r="H847" s="153"/>
      <c r="I847" s="153"/>
      <c r="J847" s="155"/>
      <c r="K847" s="154"/>
      <c r="L847" s="155"/>
      <c r="M847" s="155"/>
      <c r="N847" s="155"/>
      <c r="W847" s="152"/>
      <c r="X847" s="153"/>
      <c r="Y847" s="153"/>
      <c r="Z847" s="153"/>
      <c r="AA847" s="155"/>
      <c r="AB847" s="154"/>
      <c r="AC847" s="155"/>
      <c r="AD847" s="155"/>
    </row>
    <row r="848" spans="5:30" x14ac:dyDescent="0.25">
      <c r="E848" s="153"/>
      <c r="F848" s="153"/>
      <c r="G848" s="153"/>
      <c r="H848" s="153"/>
      <c r="I848" s="153"/>
      <c r="J848" s="155"/>
      <c r="K848" s="154"/>
      <c r="L848" s="155"/>
      <c r="M848" s="155"/>
      <c r="N848" s="155"/>
      <c r="W848" s="152"/>
      <c r="X848" s="153"/>
      <c r="Y848" s="153"/>
      <c r="Z848" s="153"/>
      <c r="AA848" s="155"/>
      <c r="AB848" s="154"/>
      <c r="AC848" s="155"/>
      <c r="AD848" s="155"/>
    </row>
    <row r="849" spans="5:30" x14ac:dyDescent="0.25">
      <c r="E849" s="153"/>
      <c r="F849" s="153"/>
      <c r="G849" s="153"/>
      <c r="H849" s="153"/>
      <c r="I849" s="153"/>
      <c r="J849" s="155"/>
      <c r="K849" s="154"/>
      <c r="L849" s="155"/>
      <c r="M849" s="155"/>
      <c r="N849" s="155"/>
      <c r="W849" s="152"/>
      <c r="X849" s="153"/>
      <c r="Y849" s="153"/>
      <c r="Z849" s="153"/>
      <c r="AA849" s="155"/>
      <c r="AB849" s="154"/>
      <c r="AC849" s="155"/>
      <c r="AD849" s="155"/>
    </row>
    <row r="850" spans="5:30" x14ac:dyDescent="0.25">
      <c r="E850" s="153"/>
      <c r="F850" s="153"/>
      <c r="G850" s="153"/>
      <c r="H850" s="153"/>
      <c r="I850" s="153"/>
      <c r="J850" s="155"/>
      <c r="K850" s="154"/>
      <c r="L850" s="155"/>
      <c r="M850" s="155"/>
      <c r="N850" s="155"/>
      <c r="W850" s="152"/>
      <c r="X850" s="153"/>
      <c r="Y850" s="153"/>
      <c r="Z850" s="153"/>
      <c r="AA850" s="155"/>
      <c r="AB850" s="154"/>
      <c r="AC850" s="155"/>
      <c r="AD850" s="155"/>
    </row>
    <row r="851" spans="5:30" x14ac:dyDescent="0.25">
      <c r="E851" s="153"/>
      <c r="F851" s="153"/>
      <c r="G851" s="153"/>
      <c r="H851" s="153"/>
      <c r="I851" s="153"/>
      <c r="J851" s="155"/>
      <c r="K851" s="154"/>
      <c r="L851" s="155"/>
      <c r="M851" s="155"/>
      <c r="N851" s="155"/>
      <c r="W851" s="152"/>
      <c r="X851" s="153"/>
      <c r="Y851" s="153"/>
      <c r="Z851" s="153"/>
      <c r="AA851" s="155"/>
      <c r="AB851" s="154"/>
      <c r="AC851" s="155"/>
      <c r="AD851" s="155"/>
    </row>
    <row r="852" spans="5:30" x14ac:dyDescent="0.25">
      <c r="E852" s="153"/>
      <c r="F852" s="153"/>
      <c r="G852" s="153"/>
      <c r="H852" s="153"/>
      <c r="I852" s="153"/>
      <c r="J852" s="155"/>
      <c r="K852" s="154"/>
      <c r="L852" s="155"/>
      <c r="M852" s="155"/>
      <c r="N852" s="155"/>
      <c r="W852" s="152"/>
      <c r="X852" s="153"/>
      <c r="Y852" s="153"/>
      <c r="Z852" s="153"/>
      <c r="AA852" s="155"/>
      <c r="AB852" s="154"/>
      <c r="AC852" s="155"/>
      <c r="AD852" s="155"/>
    </row>
    <row r="853" spans="5:30" x14ac:dyDescent="0.25">
      <c r="E853" s="153"/>
      <c r="F853" s="153"/>
      <c r="G853" s="153"/>
      <c r="H853" s="153"/>
      <c r="I853" s="153"/>
      <c r="J853" s="155"/>
      <c r="K853" s="154"/>
      <c r="L853" s="155"/>
      <c r="M853" s="155"/>
      <c r="N853" s="155"/>
      <c r="W853" s="152"/>
      <c r="X853" s="153"/>
      <c r="Y853" s="153"/>
      <c r="Z853" s="153"/>
      <c r="AA853" s="155"/>
      <c r="AB853" s="154"/>
      <c r="AC853" s="155"/>
      <c r="AD853" s="155"/>
    </row>
    <row r="854" spans="5:30" x14ac:dyDescent="0.25">
      <c r="E854" s="153"/>
      <c r="F854" s="153"/>
      <c r="G854" s="153"/>
      <c r="H854" s="153"/>
      <c r="I854" s="153"/>
      <c r="J854" s="155"/>
      <c r="K854" s="154"/>
      <c r="L854" s="155"/>
      <c r="M854" s="155"/>
      <c r="N854" s="155"/>
      <c r="W854" s="152"/>
      <c r="X854" s="153"/>
      <c r="Y854" s="153"/>
      <c r="Z854" s="153"/>
      <c r="AA854" s="155"/>
      <c r="AB854" s="154"/>
      <c r="AC854" s="155"/>
      <c r="AD854" s="155"/>
    </row>
    <row r="855" spans="5:30" x14ac:dyDescent="0.25">
      <c r="E855" s="153"/>
      <c r="F855" s="153"/>
      <c r="G855" s="153"/>
      <c r="H855" s="153"/>
      <c r="I855" s="153"/>
      <c r="J855" s="155"/>
      <c r="K855" s="154"/>
      <c r="L855" s="155"/>
      <c r="M855" s="155"/>
      <c r="N855" s="155"/>
      <c r="W855" s="152"/>
      <c r="X855" s="153"/>
      <c r="Y855" s="153"/>
      <c r="Z855" s="153"/>
      <c r="AA855" s="155"/>
      <c r="AB855" s="154"/>
      <c r="AC855" s="155"/>
      <c r="AD855" s="155"/>
    </row>
    <row r="856" spans="5:30" x14ac:dyDescent="0.25">
      <c r="E856" s="153"/>
      <c r="F856" s="153"/>
      <c r="G856" s="153"/>
      <c r="H856" s="153"/>
      <c r="I856" s="153"/>
      <c r="J856" s="155"/>
      <c r="K856" s="154"/>
      <c r="L856" s="155"/>
      <c r="M856" s="155"/>
      <c r="N856" s="155"/>
      <c r="W856" s="152"/>
      <c r="X856" s="153"/>
      <c r="Y856" s="153"/>
      <c r="Z856" s="153"/>
      <c r="AA856" s="155"/>
      <c r="AB856" s="154"/>
      <c r="AC856" s="155"/>
      <c r="AD856" s="155"/>
    </row>
    <row r="857" spans="5:30" x14ac:dyDescent="0.25">
      <c r="E857" s="153"/>
      <c r="F857" s="153"/>
      <c r="G857" s="153"/>
      <c r="H857" s="153"/>
      <c r="I857" s="153"/>
      <c r="J857" s="155"/>
      <c r="K857" s="154"/>
      <c r="L857" s="155"/>
      <c r="M857" s="155"/>
      <c r="N857" s="155"/>
      <c r="W857" s="152"/>
      <c r="X857" s="153"/>
      <c r="Y857" s="153"/>
      <c r="Z857" s="153"/>
      <c r="AA857" s="155"/>
      <c r="AB857" s="154"/>
      <c r="AC857" s="155"/>
      <c r="AD857" s="155"/>
    </row>
    <row r="858" spans="5:30" x14ac:dyDescent="0.25">
      <c r="E858" s="153"/>
      <c r="F858" s="153"/>
      <c r="G858" s="153"/>
      <c r="H858" s="153"/>
      <c r="I858" s="153"/>
      <c r="J858" s="155"/>
      <c r="K858" s="154"/>
      <c r="L858" s="155"/>
      <c r="M858" s="155"/>
      <c r="N858" s="155"/>
      <c r="W858" s="152"/>
      <c r="X858" s="153"/>
      <c r="Y858" s="153"/>
      <c r="Z858" s="153"/>
      <c r="AA858" s="155"/>
      <c r="AB858" s="154"/>
      <c r="AC858" s="155"/>
      <c r="AD858" s="155"/>
    </row>
    <row r="859" spans="5:30" x14ac:dyDescent="0.25">
      <c r="E859" s="153"/>
      <c r="F859" s="153"/>
      <c r="G859" s="153"/>
      <c r="H859" s="153"/>
      <c r="I859" s="153"/>
      <c r="J859" s="155"/>
      <c r="K859" s="154"/>
      <c r="L859" s="155"/>
      <c r="M859" s="155"/>
      <c r="N859" s="155"/>
      <c r="W859" s="152"/>
      <c r="X859" s="153"/>
      <c r="Y859" s="153"/>
      <c r="Z859" s="153"/>
      <c r="AA859" s="155"/>
      <c r="AB859" s="154"/>
      <c r="AC859" s="155"/>
      <c r="AD859" s="155"/>
    </row>
    <row r="860" spans="5:30" x14ac:dyDescent="0.25">
      <c r="E860" s="153"/>
      <c r="F860" s="153"/>
      <c r="G860" s="153"/>
      <c r="H860" s="153"/>
      <c r="I860" s="153"/>
      <c r="J860" s="155"/>
      <c r="K860" s="154"/>
      <c r="L860" s="155"/>
      <c r="M860" s="155"/>
      <c r="N860" s="155"/>
      <c r="W860" s="152"/>
      <c r="X860" s="153"/>
      <c r="Y860" s="153"/>
      <c r="Z860" s="153"/>
      <c r="AA860" s="155"/>
      <c r="AB860" s="154"/>
      <c r="AC860" s="155"/>
      <c r="AD860" s="155"/>
    </row>
    <row r="861" spans="5:30" x14ac:dyDescent="0.25">
      <c r="E861" s="153"/>
      <c r="F861" s="153"/>
      <c r="G861" s="153"/>
      <c r="H861" s="153"/>
      <c r="I861" s="153"/>
      <c r="J861" s="155"/>
      <c r="K861" s="154"/>
      <c r="L861" s="155"/>
      <c r="M861" s="155"/>
      <c r="N861" s="155"/>
      <c r="W861" s="152"/>
      <c r="X861" s="153"/>
      <c r="Y861" s="153"/>
      <c r="Z861" s="153"/>
      <c r="AA861" s="155"/>
      <c r="AB861" s="154"/>
      <c r="AC861" s="155"/>
      <c r="AD861" s="155"/>
    </row>
    <row r="862" spans="5:30" x14ac:dyDescent="0.25">
      <c r="E862" s="153"/>
      <c r="F862" s="153"/>
      <c r="G862" s="153"/>
      <c r="H862" s="153"/>
      <c r="I862" s="153"/>
      <c r="J862" s="155"/>
      <c r="K862" s="154"/>
      <c r="L862" s="155"/>
      <c r="M862" s="155"/>
      <c r="N862" s="155"/>
      <c r="W862" s="152"/>
      <c r="X862" s="153"/>
      <c r="Y862" s="153"/>
      <c r="Z862" s="153"/>
      <c r="AA862" s="155"/>
      <c r="AB862" s="154"/>
      <c r="AC862" s="155"/>
      <c r="AD862" s="155"/>
    </row>
    <row r="863" spans="5:30" x14ac:dyDescent="0.25">
      <c r="E863" s="153"/>
      <c r="F863" s="153"/>
      <c r="G863" s="153"/>
      <c r="H863" s="153"/>
      <c r="I863" s="153"/>
      <c r="J863" s="155"/>
      <c r="K863" s="154"/>
      <c r="L863" s="155"/>
      <c r="M863" s="155"/>
      <c r="N863" s="155"/>
      <c r="W863" s="152"/>
      <c r="X863" s="153"/>
      <c r="Y863" s="153"/>
      <c r="Z863" s="153"/>
      <c r="AA863" s="155"/>
      <c r="AB863" s="154"/>
      <c r="AC863" s="155"/>
      <c r="AD863" s="155"/>
    </row>
    <row r="864" spans="5:30" x14ac:dyDescent="0.25">
      <c r="E864" s="153"/>
      <c r="F864" s="153"/>
      <c r="G864" s="153"/>
      <c r="H864" s="153"/>
      <c r="I864" s="153"/>
      <c r="J864" s="155"/>
      <c r="K864" s="154"/>
      <c r="L864" s="155"/>
      <c r="M864" s="155"/>
      <c r="N864" s="155"/>
      <c r="W864" s="152"/>
      <c r="X864" s="153"/>
      <c r="Y864" s="153"/>
      <c r="Z864" s="153"/>
      <c r="AA864" s="155"/>
      <c r="AB864" s="154"/>
      <c r="AC864" s="155"/>
      <c r="AD864" s="155"/>
    </row>
    <row r="865" spans="5:30" x14ac:dyDescent="0.25">
      <c r="E865" s="153"/>
      <c r="F865" s="153"/>
      <c r="G865" s="153"/>
      <c r="H865" s="153"/>
      <c r="I865" s="153"/>
      <c r="J865" s="155"/>
      <c r="K865" s="154"/>
      <c r="L865" s="155"/>
      <c r="M865" s="155"/>
      <c r="N865" s="155"/>
      <c r="W865" s="152"/>
      <c r="X865" s="153"/>
      <c r="Y865" s="153"/>
      <c r="Z865" s="153"/>
      <c r="AA865" s="155"/>
      <c r="AB865" s="154"/>
      <c r="AC865" s="155"/>
      <c r="AD865" s="155"/>
    </row>
    <row r="866" spans="5:30" x14ac:dyDescent="0.25">
      <c r="E866" s="153"/>
      <c r="F866" s="153"/>
      <c r="G866" s="153"/>
      <c r="H866" s="153"/>
      <c r="I866" s="153"/>
      <c r="J866" s="155"/>
      <c r="K866" s="154"/>
      <c r="L866" s="155"/>
      <c r="M866" s="155"/>
      <c r="N866" s="155"/>
      <c r="W866" s="152"/>
      <c r="X866" s="153"/>
      <c r="Y866" s="153"/>
      <c r="Z866" s="153"/>
      <c r="AA866" s="155"/>
      <c r="AB866" s="154"/>
      <c r="AC866" s="155"/>
      <c r="AD866" s="155"/>
    </row>
    <row r="867" spans="5:30" x14ac:dyDescent="0.25">
      <c r="E867" s="153"/>
      <c r="F867" s="153"/>
      <c r="G867" s="153"/>
      <c r="H867" s="153"/>
      <c r="I867" s="153"/>
      <c r="J867" s="155"/>
      <c r="K867" s="154"/>
      <c r="L867" s="155"/>
      <c r="M867" s="155"/>
      <c r="N867" s="155"/>
      <c r="W867" s="152"/>
      <c r="X867" s="153"/>
      <c r="Y867" s="153"/>
      <c r="Z867" s="153"/>
      <c r="AA867" s="155"/>
      <c r="AB867" s="154"/>
      <c r="AC867" s="155"/>
      <c r="AD867" s="155"/>
    </row>
    <row r="868" spans="5:30" x14ac:dyDescent="0.25">
      <c r="E868" s="153"/>
      <c r="F868" s="153"/>
      <c r="G868" s="153"/>
      <c r="H868" s="153"/>
      <c r="I868" s="153"/>
      <c r="J868" s="155"/>
      <c r="K868" s="154"/>
      <c r="L868" s="155"/>
      <c r="M868" s="155"/>
      <c r="N868" s="155"/>
      <c r="W868" s="152"/>
      <c r="X868" s="153"/>
      <c r="Y868" s="153"/>
      <c r="Z868" s="153"/>
      <c r="AA868" s="155"/>
      <c r="AB868" s="154"/>
      <c r="AC868" s="155"/>
      <c r="AD868" s="155"/>
    </row>
    <row r="869" spans="5:30" x14ac:dyDescent="0.25">
      <c r="E869" s="153"/>
      <c r="F869" s="153"/>
      <c r="G869" s="153"/>
      <c r="H869" s="153"/>
      <c r="I869" s="153"/>
      <c r="J869" s="155"/>
      <c r="K869" s="154"/>
      <c r="L869" s="155"/>
      <c r="M869" s="155"/>
      <c r="N869" s="155"/>
      <c r="W869" s="152"/>
      <c r="X869" s="153"/>
      <c r="Y869" s="153"/>
      <c r="Z869" s="153"/>
      <c r="AA869" s="155"/>
      <c r="AB869" s="154"/>
      <c r="AC869" s="155"/>
      <c r="AD869" s="155"/>
    </row>
    <row r="870" spans="5:30" x14ac:dyDescent="0.25">
      <c r="E870" s="153"/>
      <c r="F870" s="153"/>
      <c r="G870" s="153"/>
      <c r="H870" s="153"/>
      <c r="I870" s="153"/>
      <c r="J870" s="155"/>
      <c r="K870" s="154"/>
      <c r="L870" s="155"/>
      <c r="M870" s="155"/>
      <c r="N870" s="155"/>
      <c r="W870" s="152"/>
      <c r="X870" s="153"/>
      <c r="Y870" s="153"/>
      <c r="Z870" s="153"/>
      <c r="AA870" s="155"/>
      <c r="AB870" s="154"/>
      <c r="AC870" s="155"/>
      <c r="AD870" s="155"/>
    </row>
    <row r="871" spans="5:30" x14ac:dyDescent="0.25">
      <c r="E871" s="153"/>
      <c r="F871" s="153"/>
      <c r="G871" s="153"/>
      <c r="H871" s="153"/>
      <c r="I871" s="153"/>
      <c r="J871" s="155"/>
      <c r="K871" s="154"/>
      <c r="L871" s="155"/>
      <c r="M871" s="155"/>
      <c r="N871" s="155"/>
      <c r="W871" s="152"/>
      <c r="X871" s="153"/>
      <c r="Y871" s="153"/>
      <c r="Z871" s="153"/>
      <c r="AA871" s="155"/>
      <c r="AB871" s="154"/>
      <c r="AC871" s="155"/>
      <c r="AD871" s="155"/>
    </row>
    <row r="872" spans="5:30" x14ac:dyDescent="0.25">
      <c r="E872" s="153"/>
      <c r="F872" s="153"/>
      <c r="G872" s="153"/>
      <c r="H872" s="153"/>
      <c r="I872" s="153"/>
      <c r="J872" s="155"/>
      <c r="K872" s="154"/>
      <c r="L872" s="155"/>
      <c r="M872" s="155"/>
      <c r="N872" s="155"/>
      <c r="W872" s="152"/>
      <c r="X872" s="153"/>
      <c r="Y872" s="153"/>
      <c r="Z872" s="153"/>
      <c r="AA872" s="155"/>
      <c r="AB872" s="154"/>
      <c r="AC872" s="155"/>
      <c r="AD872" s="155"/>
    </row>
    <row r="873" spans="5:30" x14ac:dyDescent="0.25">
      <c r="E873" s="153"/>
      <c r="F873" s="153"/>
      <c r="G873" s="153"/>
      <c r="H873" s="153"/>
      <c r="I873" s="153"/>
      <c r="J873" s="155"/>
      <c r="K873" s="154"/>
      <c r="L873" s="155"/>
      <c r="M873" s="155"/>
      <c r="N873" s="155"/>
      <c r="W873" s="152"/>
      <c r="X873" s="153"/>
      <c r="Y873" s="153"/>
      <c r="Z873" s="153"/>
      <c r="AA873" s="155"/>
      <c r="AB873" s="154"/>
      <c r="AC873" s="155"/>
      <c r="AD873" s="155"/>
    </row>
    <row r="874" spans="5:30" x14ac:dyDescent="0.25">
      <c r="E874" s="153"/>
      <c r="F874" s="153"/>
      <c r="G874" s="153"/>
      <c r="H874" s="153"/>
      <c r="I874" s="153"/>
      <c r="J874" s="155"/>
      <c r="K874" s="154"/>
      <c r="L874" s="155"/>
      <c r="M874" s="155"/>
      <c r="N874" s="155"/>
      <c r="W874" s="152"/>
      <c r="X874" s="153"/>
      <c r="Y874" s="153"/>
      <c r="Z874" s="153"/>
      <c r="AA874" s="155"/>
      <c r="AB874" s="154"/>
      <c r="AC874" s="155"/>
      <c r="AD874" s="155"/>
    </row>
    <row r="875" spans="5:30" x14ac:dyDescent="0.25">
      <c r="E875" s="153"/>
      <c r="F875" s="153"/>
      <c r="G875" s="153"/>
      <c r="H875" s="153"/>
      <c r="I875" s="153"/>
      <c r="J875" s="155"/>
      <c r="K875" s="154"/>
      <c r="L875" s="155"/>
      <c r="M875" s="155"/>
      <c r="N875" s="155"/>
      <c r="W875" s="152"/>
      <c r="X875" s="153"/>
      <c r="Y875" s="153"/>
      <c r="Z875" s="153"/>
      <c r="AA875" s="155"/>
      <c r="AB875" s="154"/>
      <c r="AC875" s="155"/>
      <c r="AD875" s="155"/>
    </row>
    <row r="876" spans="5:30" x14ac:dyDescent="0.25">
      <c r="E876" s="153"/>
      <c r="F876" s="153"/>
      <c r="G876" s="153"/>
      <c r="H876" s="153"/>
      <c r="I876" s="153"/>
      <c r="J876" s="155"/>
      <c r="K876" s="154"/>
      <c r="L876" s="155"/>
      <c r="M876" s="155"/>
      <c r="N876" s="155"/>
      <c r="W876" s="152"/>
      <c r="X876" s="153"/>
      <c r="Y876" s="153"/>
      <c r="Z876" s="153"/>
      <c r="AA876" s="155"/>
      <c r="AB876" s="154"/>
      <c r="AC876" s="155"/>
      <c r="AD876" s="155"/>
    </row>
    <row r="877" spans="5:30" x14ac:dyDescent="0.25">
      <c r="E877" s="153"/>
      <c r="F877" s="153"/>
      <c r="G877" s="153"/>
      <c r="H877" s="153"/>
      <c r="I877" s="153"/>
      <c r="J877" s="155"/>
      <c r="K877" s="154"/>
      <c r="L877" s="155"/>
      <c r="M877" s="155"/>
      <c r="N877" s="155"/>
      <c r="W877" s="152"/>
      <c r="X877" s="153"/>
      <c r="Y877" s="153"/>
      <c r="Z877" s="153"/>
      <c r="AA877" s="155"/>
      <c r="AB877" s="154"/>
      <c r="AC877" s="155"/>
      <c r="AD877" s="155"/>
    </row>
    <row r="878" spans="5:30" x14ac:dyDescent="0.25">
      <c r="E878" s="153"/>
      <c r="F878" s="153"/>
      <c r="G878" s="153"/>
      <c r="H878" s="153"/>
      <c r="I878" s="153"/>
      <c r="J878" s="155"/>
      <c r="K878" s="154"/>
      <c r="L878" s="155"/>
      <c r="M878" s="155"/>
      <c r="N878" s="155"/>
      <c r="W878" s="152"/>
      <c r="X878" s="153"/>
      <c r="Y878" s="153"/>
      <c r="Z878" s="153"/>
      <c r="AA878" s="155"/>
      <c r="AB878" s="154"/>
      <c r="AC878" s="155"/>
      <c r="AD878" s="155"/>
    </row>
    <row r="879" spans="5:30" x14ac:dyDescent="0.25">
      <c r="E879" s="153"/>
      <c r="F879" s="153"/>
      <c r="G879" s="153"/>
      <c r="H879" s="153"/>
      <c r="I879" s="153"/>
      <c r="J879" s="155"/>
      <c r="K879" s="154"/>
      <c r="L879" s="155"/>
      <c r="M879" s="155"/>
      <c r="N879" s="155"/>
      <c r="W879" s="152"/>
      <c r="X879" s="153"/>
      <c r="Y879" s="153"/>
      <c r="Z879" s="153"/>
      <c r="AA879" s="155"/>
      <c r="AB879" s="154"/>
      <c r="AC879" s="155"/>
      <c r="AD879" s="155"/>
    </row>
    <row r="880" spans="5:30" x14ac:dyDescent="0.25">
      <c r="E880" s="153"/>
      <c r="F880" s="153"/>
      <c r="G880" s="153"/>
      <c r="H880" s="153"/>
      <c r="I880" s="153"/>
      <c r="J880" s="155"/>
      <c r="K880" s="154"/>
      <c r="L880" s="155"/>
      <c r="M880" s="155"/>
      <c r="N880" s="155"/>
      <c r="W880" s="152"/>
      <c r="X880" s="153"/>
      <c r="Y880" s="153"/>
      <c r="Z880" s="153"/>
      <c r="AA880" s="155"/>
      <c r="AB880" s="154"/>
      <c r="AC880" s="155"/>
      <c r="AD880" s="155"/>
    </row>
    <row r="881" spans="5:30" x14ac:dyDescent="0.25">
      <c r="E881" s="153"/>
      <c r="F881" s="153"/>
      <c r="G881" s="153"/>
      <c r="H881" s="153"/>
      <c r="I881" s="153"/>
      <c r="J881" s="155"/>
      <c r="K881" s="154"/>
      <c r="L881" s="155"/>
      <c r="M881" s="155"/>
      <c r="N881" s="155"/>
      <c r="W881" s="152"/>
      <c r="X881" s="153"/>
      <c r="Y881" s="153"/>
      <c r="Z881" s="153"/>
      <c r="AA881" s="155"/>
      <c r="AB881" s="154"/>
      <c r="AC881" s="155"/>
      <c r="AD881" s="155"/>
    </row>
    <row r="882" spans="5:30" x14ac:dyDescent="0.25">
      <c r="E882" s="153"/>
      <c r="F882" s="153"/>
      <c r="G882" s="153"/>
      <c r="H882" s="153"/>
      <c r="I882" s="153"/>
      <c r="J882" s="155"/>
      <c r="K882" s="154"/>
      <c r="L882" s="155"/>
      <c r="M882" s="155"/>
      <c r="N882" s="155"/>
      <c r="W882" s="152"/>
      <c r="X882" s="153"/>
      <c r="Y882" s="153"/>
      <c r="Z882" s="153"/>
      <c r="AA882" s="155"/>
      <c r="AB882" s="154"/>
      <c r="AC882" s="155"/>
      <c r="AD882" s="155"/>
    </row>
    <row r="883" spans="5:30" x14ac:dyDescent="0.25">
      <c r="E883" s="153"/>
      <c r="F883" s="153"/>
      <c r="G883" s="153"/>
      <c r="H883" s="153"/>
      <c r="I883" s="153"/>
      <c r="J883" s="155"/>
      <c r="K883" s="154"/>
      <c r="L883" s="155"/>
      <c r="M883" s="155"/>
      <c r="N883" s="155"/>
      <c r="W883" s="152"/>
      <c r="X883" s="153"/>
      <c r="Y883" s="153"/>
      <c r="Z883" s="153"/>
      <c r="AA883" s="155"/>
      <c r="AB883" s="154"/>
      <c r="AC883" s="155"/>
      <c r="AD883" s="155"/>
    </row>
    <row r="884" spans="5:30" x14ac:dyDescent="0.25">
      <c r="E884" s="153"/>
      <c r="F884" s="153"/>
      <c r="G884" s="153"/>
      <c r="H884" s="153"/>
      <c r="I884" s="153"/>
      <c r="J884" s="155"/>
      <c r="K884" s="154"/>
      <c r="L884" s="155"/>
      <c r="M884" s="155"/>
      <c r="N884" s="155"/>
      <c r="W884" s="152"/>
      <c r="X884" s="153"/>
      <c r="Y884" s="153"/>
      <c r="Z884" s="153"/>
      <c r="AA884" s="155"/>
      <c r="AB884" s="154"/>
      <c r="AC884" s="155"/>
      <c r="AD884" s="155"/>
    </row>
    <row r="885" spans="5:30" x14ac:dyDescent="0.25">
      <c r="E885" s="153"/>
      <c r="F885" s="153"/>
      <c r="G885" s="153"/>
      <c r="H885" s="153"/>
      <c r="I885" s="153"/>
      <c r="J885" s="155"/>
      <c r="K885" s="154"/>
      <c r="L885" s="155"/>
      <c r="M885" s="155"/>
      <c r="N885" s="155"/>
      <c r="W885" s="152"/>
      <c r="X885" s="153"/>
      <c r="Y885" s="153"/>
      <c r="Z885" s="153"/>
      <c r="AA885" s="155"/>
      <c r="AB885" s="154"/>
      <c r="AC885" s="155"/>
      <c r="AD885" s="155"/>
    </row>
    <row r="886" spans="5:30" x14ac:dyDescent="0.25">
      <c r="E886" s="153"/>
      <c r="F886" s="153"/>
      <c r="G886" s="153"/>
      <c r="H886" s="153"/>
      <c r="I886" s="153"/>
      <c r="J886" s="155"/>
      <c r="K886" s="154"/>
      <c r="L886" s="155"/>
      <c r="M886" s="155"/>
      <c r="N886" s="155"/>
      <c r="W886" s="152"/>
      <c r="X886" s="153"/>
      <c r="Y886" s="153"/>
      <c r="Z886" s="153"/>
      <c r="AA886" s="155"/>
      <c r="AB886" s="154"/>
      <c r="AC886" s="155"/>
      <c r="AD886" s="155"/>
    </row>
    <row r="887" spans="5:30" x14ac:dyDescent="0.25">
      <c r="E887" s="153"/>
      <c r="F887" s="153"/>
      <c r="G887" s="153"/>
      <c r="H887" s="153"/>
      <c r="I887" s="153"/>
      <c r="J887" s="155"/>
      <c r="K887" s="154"/>
      <c r="L887" s="155"/>
      <c r="M887" s="155"/>
      <c r="N887" s="155"/>
      <c r="W887" s="152"/>
      <c r="X887" s="153"/>
      <c r="Y887" s="153"/>
      <c r="Z887" s="153"/>
      <c r="AA887" s="155"/>
      <c r="AB887" s="154"/>
      <c r="AC887" s="155"/>
      <c r="AD887" s="155"/>
    </row>
    <row r="888" spans="5:30" x14ac:dyDescent="0.25">
      <c r="E888" s="153"/>
      <c r="F888" s="153"/>
      <c r="G888" s="153"/>
      <c r="H888" s="153"/>
      <c r="I888" s="153"/>
      <c r="J888" s="155"/>
      <c r="K888" s="154"/>
      <c r="L888" s="155"/>
      <c r="M888" s="155"/>
      <c r="N888" s="155"/>
      <c r="W888" s="152"/>
      <c r="X888" s="153"/>
      <c r="Y888" s="153"/>
      <c r="Z888" s="153"/>
      <c r="AA888" s="155"/>
      <c r="AB888" s="154"/>
      <c r="AC888" s="155"/>
      <c r="AD888" s="155"/>
    </row>
    <row r="889" spans="5:30" x14ac:dyDescent="0.25">
      <c r="E889" s="153"/>
      <c r="F889" s="153"/>
      <c r="G889" s="153"/>
      <c r="H889" s="153"/>
      <c r="I889" s="153"/>
      <c r="J889" s="155"/>
      <c r="K889" s="154"/>
      <c r="L889" s="155"/>
      <c r="M889" s="155"/>
      <c r="N889" s="155"/>
      <c r="W889" s="152"/>
      <c r="X889" s="153"/>
      <c r="Y889" s="153"/>
      <c r="Z889" s="153"/>
      <c r="AA889" s="155"/>
      <c r="AB889" s="154"/>
      <c r="AC889" s="155"/>
      <c r="AD889" s="155"/>
    </row>
    <row r="890" spans="5:30" x14ac:dyDescent="0.25">
      <c r="E890" s="153"/>
      <c r="F890" s="153"/>
      <c r="G890" s="153"/>
      <c r="H890" s="153"/>
      <c r="I890" s="153"/>
      <c r="J890" s="155"/>
      <c r="K890" s="154"/>
      <c r="L890" s="155"/>
      <c r="M890" s="155"/>
      <c r="N890" s="155"/>
      <c r="W890" s="152"/>
      <c r="X890" s="153"/>
      <c r="Y890" s="153"/>
      <c r="Z890" s="153"/>
      <c r="AA890" s="155"/>
      <c r="AB890" s="154"/>
      <c r="AC890" s="155"/>
      <c r="AD890" s="155"/>
    </row>
    <row r="891" spans="5:30" x14ac:dyDescent="0.25">
      <c r="E891" s="153"/>
      <c r="F891" s="153"/>
      <c r="G891" s="153"/>
      <c r="H891" s="153"/>
      <c r="I891" s="153"/>
      <c r="J891" s="155"/>
      <c r="K891" s="154"/>
      <c r="L891" s="155"/>
      <c r="M891" s="155"/>
      <c r="N891" s="155"/>
      <c r="W891" s="152"/>
      <c r="X891" s="153"/>
      <c r="Y891" s="153"/>
      <c r="Z891" s="153"/>
      <c r="AA891" s="155"/>
      <c r="AB891" s="154"/>
      <c r="AC891" s="155"/>
      <c r="AD891" s="155"/>
    </row>
    <row r="892" spans="5:30" x14ac:dyDescent="0.25">
      <c r="E892" s="153"/>
      <c r="F892" s="153"/>
      <c r="G892" s="153"/>
      <c r="H892" s="153"/>
      <c r="I892" s="153"/>
      <c r="J892" s="155"/>
      <c r="K892" s="154"/>
      <c r="L892" s="155"/>
      <c r="M892" s="155"/>
      <c r="N892" s="155"/>
      <c r="W892" s="152"/>
      <c r="X892" s="153"/>
      <c r="Y892" s="153"/>
      <c r="Z892" s="153"/>
      <c r="AA892" s="155"/>
      <c r="AB892" s="154"/>
      <c r="AC892" s="155"/>
      <c r="AD892" s="155"/>
    </row>
    <row r="893" spans="5:30" x14ac:dyDescent="0.25">
      <c r="E893" s="153"/>
      <c r="F893" s="153"/>
      <c r="G893" s="153"/>
      <c r="H893" s="153"/>
      <c r="I893" s="153"/>
      <c r="J893" s="155"/>
      <c r="K893" s="154"/>
      <c r="L893" s="155"/>
      <c r="M893" s="155"/>
      <c r="N893" s="155"/>
      <c r="W893" s="152"/>
      <c r="X893" s="153"/>
      <c r="Y893" s="153"/>
      <c r="Z893" s="153"/>
      <c r="AA893" s="155"/>
      <c r="AB893" s="154"/>
      <c r="AC893" s="155"/>
      <c r="AD893" s="155"/>
    </row>
    <row r="894" spans="5:30" x14ac:dyDescent="0.25">
      <c r="E894" s="153"/>
      <c r="F894" s="153"/>
      <c r="G894" s="153"/>
      <c r="H894" s="153"/>
      <c r="I894" s="153"/>
      <c r="J894" s="155"/>
      <c r="K894" s="154"/>
      <c r="L894" s="155"/>
      <c r="M894" s="155"/>
      <c r="N894" s="155"/>
      <c r="W894" s="152"/>
      <c r="X894" s="153"/>
      <c r="Y894" s="153"/>
      <c r="Z894" s="153"/>
      <c r="AA894" s="155"/>
      <c r="AB894" s="154"/>
      <c r="AC894" s="155"/>
      <c r="AD894" s="155"/>
    </row>
    <row r="895" spans="5:30" x14ac:dyDescent="0.25">
      <c r="E895" s="153"/>
      <c r="F895" s="153"/>
      <c r="G895" s="153"/>
      <c r="H895" s="153"/>
      <c r="I895" s="153"/>
      <c r="J895" s="155"/>
      <c r="K895" s="154"/>
      <c r="L895" s="155"/>
      <c r="M895" s="155"/>
      <c r="N895" s="155"/>
      <c r="W895" s="152"/>
      <c r="X895" s="153"/>
      <c r="Y895" s="153"/>
      <c r="Z895" s="153"/>
      <c r="AA895" s="155"/>
      <c r="AB895" s="154"/>
      <c r="AC895" s="155"/>
      <c r="AD895" s="15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RefreshIRR">
                <anchor moveWithCells="1">
                  <from>
                    <xdr:col>0</xdr:col>
                    <xdr:colOff>142875</xdr:colOff>
                    <xdr:row>2</xdr:row>
                    <xdr:rowOff>180975</xdr:rowOff>
                  </from>
                  <to>
                    <xdr:col>1</xdr:col>
                    <xdr:colOff>323850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BC8D2-F842-4A90-8DBA-5D90DA118F80}">
  <sheetPr codeName="Sheet4">
    <tabColor theme="8" tint="0.59999389629810485"/>
  </sheetPr>
  <dimension ref="A1:BT989"/>
  <sheetViews>
    <sheetView showGridLines="0" zoomScale="70" zoomScaleNormal="70" workbookViewId="0">
      <pane xSplit="1" ySplit="1" topLeftCell="F2" activePane="bottomRight" state="frozen"/>
      <selection pane="topRight" activeCell="B1" sqref="B1"/>
      <selection pane="bottomLeft" activeCell="A2" sqref="A2"/>
      <selection pane="bottomRight" activeCell="AA45" sqref="AA45"/>
    </sheetView>
  </sheetViews>
  <sheetFormatPr defaultRowHeight="15" outlineLevelCol="1" x14ac:dyDescent="0.25"/>
  <cols>
    <col min="1" max="1" width="14.28515625" style="48" customWidth="1"/>
    <col min="2" max="2" width="10" style="59" customWidth="1" outlineLevel="1"/>
    <col min="3" max="6" width="17" customWidth="1"/>
    <col min="7" max="7" width="17" style="44" customWidth="1"/>
    <col min="8" max="8" width="16.42578125" style="43" customWidth="1"/>
    <col min="9" max="11" width="16.42578125" customWidth="1"/>
    <col min="12" max="12" width="16.42578125" style="44" customWidth="1"/>
    <col min="13" max="13" width="17" style="43" hidden="1" customWidth="1" outlineLevel="1"/>
    <col min="14" max="16" width="17" hidden="1" customWidth="1" outlineLevel="1"/>
    <col min="17" max="17" width="17" style="44" hidden="1" customWidth="1" outlineLevel="1"/>
    <col min="18" max="18" width="16.5703125" style="43" hidden="1" customWidth="1" outlineLevel="1"/>
    <col min="19" max="21" width="16.5703125" hidden="1" customWidth="1" outlineLevel="1"/>
    <col min="22" max="22" width="16.5703125" style="44" hidden="1" customWidth="1" outlineLevel="1"/>
    <col min="23" max="23" width="16.42578125" style="43" customWidth="1" collapsed="1"/>
    <col min="24" max="25" width="16" customWidth="1"/>
    <col min="26" max="26" width="16.85546875" customWidth="1"/>
    <col min="27" max="27" width="16" style="44" customWidth="1"/>
    <col min="28" max="28" width="15.85546875" style="43" hidden="1" customWidth="1" outlineLevel="1"/>
    <col min="29" max="30" width="15.85546875" hidden="1" customWidth="1" outlineLevel="1"/>
    <col min="31" max="31" width="17.140625" hidden="1" customWidth="1" outlineLevel="1"/>
    <col min="32" max="32" width="16.5703125" style="44" hidden="1" customWidth="1" outlineLevel="1"/>
    <col min="33" max="33" width="15.85546875" bestFit="1" customWidth="1" collapsed="1"/>
    <col min="34" max="34" width="15.85546875" bestFit="1" customWidth="1"/>
    <col min="35" max="35" width="12.140625" bestFit="1" customWidth="1"/>
    <col min="36" max="36" width="17.140625" bestFit="1" customWidth="1"/>
    <col min="37" max="37" width="14" style="44" bestFit="1" customWidth="1"/>
    <col min="38" max="38" width="15.7109375" customWidth="1"/>
    <col min="69" max="69" width="17" style="102" customWidth="1"/>
    <col min="70" max="70" width="17" style="104" customWidth="1"/>
    <col min="71" max="71" width="17" style="107" customWidth="1"/>
    <col min="72" max="72" width="17" style="104" customWidth="1"/>
  </cols>
  <sheetData>
    <row r="1" spans="1:72" x14ac:dyDescent="0.25">
      <c r="A1" s="13" t="str" cm="1">
        <f t="array" ref="A1:A45">_xlfn.UNIQUE(_xlfn._xlws.FILTER(Fecha,Fecha&lt;&gt;0))</f>
        <v>Fecha</v>
      </c>
      <c r="B1" s="13" t="s">
        <v>79</v>
      </c>
      <c r="C1" s="51" t="str" cm="1">
        <f t="array" ref="C1:G1">TRANSPOSE(_xlfn._xlws.FILTER(HasVM,NOT(ISBLANK(HasVM))))</f>
        <v>Colchón</v>
      </c>
      <c r="D1" s="51" t="str">
        <v>Fondo A</v>
      </c>
      <c r="E1" s="51" t="str">
        <v>APV</v>
      </c>
      <c r="F1" s="51" t="str">
        <v>Acciones</v>
      </c>
      <c r="G1" s="73" t="str">
        <v>Crypto</v>
      </c>
      <c r="H1" s="51" t="str">
        <f>"ROI "&amp;C1</f>
        <v>ROI Colchón</v>
      </c>
      <c r="I1" s="51" t="str">
        <f>"ROI "&amp;D1</f>
        <v>ROI Fondo A</v>
      </c>
      <c r="J1" s="51" t="str">
        <f>"ROI "&amp;E1</f>
        <v>ROI APV</v>
      </c>
      <c r="K1" s="51" t="str">
        <f>"ROI "&amp;F1</f>
        <v>ROI Acciones</v>
      </c>
      <c r="L1" s="73" t="str">
        <f>"ROI "&amp;G1</f>
        <v>ROI Crypto</v>
      </c>
      <c r="M1" s="62" t="str">
        <f>"Flows "&amp;C1</f>
        <v>Flows Colchón</v>
      </c>
      <c r="N1" s="52" t="str">
        <f>"Flow "&amp;D1</f>
        <v>Flow Fondo A</v>
      </c>
      <c r="O1" s="52" t="str">
        <f>"Flow "&amp;E1</f>
        <v>Flow APV</v>
      </c>
      <c r="P1" s="52" t="str">
        <f>"Flow "&amp;F1</f>
        <v>Flow Acciones</v>
      </c>
      <c r="Q1" s="63" t="str">
        <f>"Flow "&amp;G1</f>
        <v>Flow Crypto</v>
      </c>
      <c r="R1" s="66" t="str">
        <f>C1&amp;" Daily % "</f>
        <v xml:space="preserve">Colchón Daily % </v>
      </c>
      <c r="S1" s="66" t="str">
        <f>D1&amp;" Daily % "</f>
        <v xml:space="preserve">Fondo A Daily % </v>
      </c>
      <c r="T1" s="66" t="str">
        <f>E1&amp;" Daily % "</f>
        <v xml:space="preserve">APV Daily % </v>
      </c>
      <c r="U1" s="66" t="str">
        <f>F1&amp;" Daily % "</f>
        <v xml:space="preserve">Acciones Daily % </v>
      </c>
      <c r="V1" s="66" t="str">
        <f>G1&amp;" Daily % "</f>
        <v xml:space="preserve">Crypto Daily % </v>
      </c>
      <c r="W1" s="69" t="str">
        <f>C1&amp;" M.AVG"</f>
        <v>Colchón M.AVG</v>
      </c>
      <c r="X1" s="53" t="str">
        <f>D1&amp;" M.AVG"</f>
        <v>Fondo A M.AVG</v>
      </c>
      <c r="Y1" s="53" t="str">
        <f>E1&amp;" M.AVG"</f>
        <v>APV M.AVG</v>
      </c>
      <c r="Z1" s="53" t="str">
        <f>F1&amp;" M.AVG"</f>
        <v>Acciones M.AVG</v>
      </c>
      <c r="AA1" s="70" t="str">
        <f>G1&amp;" M.AVG"</f>
        <v>Crypto M.AVG</v>
      </c>
      <c r="AB1" s="75" t="str">
        <f>C1&amp;" Health"</f>
        <v>Colchón Health</v>
      </c>
      <c r="AC1" s="54" t="str">
        <f>D1&amp;" Health"</f>
        <v>Fondo A Health</v>
      </c>
      <c r="AD1" s="54" t="str">
        <f>E1&amp;" Health"</f>
        <v>APV Health</v>
      </c>
      <c r="AE1" s="54" t="str">
        <f>F1&amp;" Health"</f>
        <v>Acciones Health</v>
      </c>
      <c r="AF1" s="54" t="str">
        <f>G1&amp;" Health"</f>
        <v>Crypto Health</v>
      </c>
      <c r="AG1" s="88" t="str">
        <f>AB1</f>
        <v>Colchón Health</v>
      </c>
      <c r="AH1" s="88" t="str">
        <f t="shared" ref="AH1:AK1" si="0">AC1</f>
        <v>Fondo A Health</v>
      </c>
      <c r="AI1" s="88" t="str">
        <f t="shared" si="0"/>
        <v>APV Health</v>
      </c>
      <c r="AJ1" s="88" t="str">
        <f t="shared" si="0"/>
        <v>Acciones Health</v>
      </c>
      <c r="AK1" s="91" t="str">
        <f t="shared" si="0"/>
        <v>Crypto Health</v>
      </c>
      <c r="BQ1" s="99" t="s">
        <v>60</v>
      </c>
      <c r="BR1" s="103" t="s">
        <v>83</v>
      </c>
      <c r="BS1" s="105" t="s">
        <v>69</v>
      </c>
      <c r="BT1" s="103" t="s">
        <v>84</v>
      </c>
    </row>
    <row r="2" spans="1:72" x14ac:dyDescent="0.25">
      <c r="A2" s="48">
        <v>45300</v>
      </c>
      <c r="B2" s="60"/>
      <c r="C2" s="3">
        <f>IF($A2&lt;&gt;0,SUMIFS(VM,Fecha,$A2,Linea,C$1)+SUMIFS(FX,Fecha,$A2,Linea,C$1),"")</f>
        <v>0</v>
      </c>
      <c r="D2" s="3">
        <f>IF($A2&lt;&gt;0,SUMIFS(VM,Fecha,$A2,Linea,D$1)+SUMIFS(FX,Fecha,$A2,Linea,D$1),"")</f>
        <v>0</v>
      </c>
      <c r="E2" s="3">
        <f>IF($A2&lt;&gt;0,SUMIFS(VM,Fecha,$A2,Linea,E$1)+SUMIFS(FX,Fecha,$A2,Linea,E$1),"")</f>
        <v>0</v>
      </c>
      <c r="F2" s="3">
        <f>IF($A2&lt;&gt;0,SUMIFS(VM,Fecha,$A2,Linea,F$1)+SUMIFS(FX,Fecha,$A2,Linea,F$1),"")</f>
        <v>0</v>
      </c>
      <c r="G2" s="74">
        <f>IF($A2&lt;&gt;0,SUMIFS(VM,Fecha,$A2,Linea,G$1)+SUMIFS(FX,Fecha,$A2,Linea,G$1),"")</f>
        <v>0</v>
      </c>
      <c r="H2" s="78">
        <f>IFERROR(C2/SUM(M$2:M2),"")</f>
        <v>0</v>
      </c>
      <c r="I2" s="61">
        <f>IFERROR(D2/SUM(N$2:N2),"")</f>
        <v>0</v>
      </c>
      <c r="J2" s="61">
        <f>IFERROR(E2/SUM(O$2:O2),"")</f>
        <v>0</v>
      </c>
      <c r="K2" s="61">
        <f>IFERROR(F2/SUM(P$2:P2),"")</f>
        <v>0</v>
      </c>
      <c r="L2" s="79">
        <f>IFERROR(G2/SUM(Q$2:Q2),"")</f>
        <v>0</v>
      </c>
      <c r="M2" s="64">
        <v>4852676</v>
      </c>
      <c r="N2" s="55">
        <v>435540</v>
      </c>
      <c r="O2" s="55">
        <v>210492</v>
      </c>
      <c r="P2" s="55">
        <v>278049</v>
      </c>
      <c r="Q2" s="65">
        <v>453171</v>
      </c>
      <c r="R2" s="67"/>
      <c r="S2" s="56"/>
      <c r="T2" s="56"/>
      <c r="U2" s="56"/>
      <c r="V2" s="68"/>
      <c r="W2" s="71"/>
      <c r="X2" s="57"/>
      <c r="Y2" s="57"/>
      <c r="Z2" s="57"/>
      <c r="AA2" s="72"/>
      <c r="AB2" s="76"/>
      <c r="AC2" s="58"/>
      <c r="AD2" s="58"/>
      <c r="AE2" s="58"/>
      <c r="AF2" s="77"/>
      <c r="AG2" s="89"/>
      <c r="AH2" s="89"/>
      <c r="AI2" s="89"/>
      <c r="AJ2" s="89"/>
      <c r="AK2" s="92"/>
      <c r="BQ2" s="100">
        <v>100</v>
      </c>
      <c r="BR2" s="98">
        <f t="shared" ref="BR2:BR65" si="1">IF(A2&lt;&gt;"",(BQ2-$BQ$2)/$BQ$2,"")</f>
        <v>0</v>
      </c>
      <c r="BS2" s="106">
        <f>IF(A2&lt;&gt;"",VLOOKUP(A2,MarketData!$D:$BP,MATCH($BS$1,MarketData!$D$1:$EG$1,0),TRUE),"")</f>
        <v>36863.94</v>
      </c>
      <c r="BT2" s="98">
        <v>0</v>
      </c>
    </row>
    <row r="3" spans="1:72" x14ac:dyDescent="0.25">
      <c r="A3" s="48">
        <v>45301</v>
      </c>
      <c r="B3" s="60">
        <f t="shared" ref="B3:B26" si="2">IF(A3&lt;&gt;0,A3-A2,"")</f>
        <v>1</v>
      </c>
      <c r="C3" s="3">
        <f t="shared" ref="C3:C66" si="3">IF($A3&lt;&gt;0,SUMIFS(VM,Fecha,$A3,Linea,C$1)+SUMIFS(FX,Fecha,$A3,Linea,C$1)+C2,"")</f>
        <v>1150</v>
      </c>
      <c r="D3" s="3">
        <f t="shared" ref="D3:D66" si="4">IF($A3&lt;&gt;0,SUMIFS(VM,Fecha,$A3,Linea,D$1)+SUMIFS(FX,Fecha,$A3,Linea,D$1)+D2,"")</f>
        <v>3764</v>
      </c>
      <c r="E3" s="3">
        <f t="shared" ref="E3:E66" si="5">IF($A3&lt;&gt;0,SUMIFS(VM,Fecha,$A3,Linea,E$1)+SUMIFS(FX,Fecha,$A3,Linea,E$1)+E2,"")</f>
        <v>1080</v>
      </c>
      <c r="F3" s="3">
        <f t="shared" ref="F3:F66" si="6">IF($A3&lt;&gt;0,SUMIFS(VM,Fecha,$A3,Linea,F$1)+SUMIFS(FX,Fecha,$A3,Linea,F$1)+F2,"")</f>
        <v>-161.3059999999823</v>
      </c>
      <c r="G3" s="74">
        <f t="shared" ref="G3:G66" si="7">IF($A3&lt;&gt;0,SUMIFS(VM,Fecha,$A3,Linea,G$1)+SUMIFS(FX,Fecha,$A3,Linea,G$1)+G2,"")</f>
        <v>13488.867000000015</v>
      </c>
      <c r="H3" s="78">
        <f>IFERROR(C3/SUM(M$2:M2),"")</f>
        <v>2.3698264627599287E-4</v>
      </c>
      <c r="I3" s="61">
        <f>IFERROR(D3/SUM(N$2:N3),"")</f>
        <v>8.6421453827432611E-3</v>
      </c>
      <c r="J3" s="61">
        <f>IFERROR(E3/SUM(O$2:O3),"")</f>
        <v>5.1308363263211903E-3</v>
      </c>
      <c r="K3" s="61">
        <f>IFERROR(F3/SUM(P$2:P3),"")</f>
        <v>-5.801351560335851E-4</v>
      </c>
      <c r="L3" s="79">
        <f>IFERROR(G3/SUM(Q$2:Q3),"")</f>
        <v>2.9765512356262899E-2</v>
      </c>
      <c r="M3" s="64">
        <f t="shared" ref="M3:M66" si="8">IF($A3&lt;&gt;"",SUMIFS(Transferencias,Fecha,$A3,Linea,C$1),"")</f>
        <v>0</v>
      </c>
      <c r="N3" s="55">
        <f t="shared" ref="N3:N66" si="9">IF($A3&lt;&gt;"",SUMIFS(Transferencias,Fecha,$A3,Linea,D$1),"")</f>
        <v>0</v>
      </c>
      <c r="O3" s="55">
        <f t="shared" ref="O3:O66" si="10">IF($A3&lt;&gt;"",SUMIFS(Transferencias,Fecha,$A3,Linea,E$1),"")</f>
        <v>0</v>
      </c>
      <c r="P3" s="55">
        <f t="shared" ref="P3:P66" si="11">IF($A3&lt;&gt;"",SUMIFS(Transferencias,Fecha,$A3,Linea,F$1),"")</f>
        <v>0</v>
      </c>
      <c r="Q3" s="65">
        <f t="shared" ref="Q3:Q66" si="12">IF($A3&lt;&gt;"",SUMIFS(Transferencias,Fecha,$A3,Linea,G$1),"")</f>
        <v>0</v>
      </c>
      <c r="R3" s="67">
        <f>IF(C3&lt;&gt;"",LN((C3-C2)/(SUMIFS(Total,Fecha,$A2,Linea,C$1)+M3)+1)*365/($A3-$A2),"")</f>
        <v>8.6488418168369274E-2</v>
      </c>
      <c r="S3" s="56">
        <f>IF(D3&lt;&gt;"",LN((D3-D2)/(SUMIFS(Total,Fecha,$A2,Linea,D$1)+N3)+1)*365/($A3-$A2),"")</f>
        <v>3.1408307708041088</v>
      </c>
      <c r="T3" s="56">
        <f>IF(E3&lt;&gt;"",LN((E3-E2)/(SUMIFS(Total,Fecha,$A2,Linea,E$1)+O3)+1)*365/($A3-$A2),"")</f>
        <v>1.8679672294976695</v>
      </c>
      <c r="U3" s="56">
        <f>IF(F3&lt;&gt;"",LN((F3-F2)/(SUMIFS(Total,Fecha,$A2,Linea,F$1)+P3)+1)*365/($A3-$A2),"")</f>
        <v>-0.21181094116297924</v>
      </c>
      <c r="V3" s="68">
        <f>IF(G3&lt;&gt;"",LN((G3-G2)/(SUMIFS(Total,Fecha,$A2,Linea,G$1)+Q3)+1)*365/($A3-$A2),"")</f>
        <v>8.851761057614425</v>
      </c>
      <c r="W3" s="80">
        <f>IF(R3&lt;&gt;"",SUMPRODUCT(R$3:R3,$B$3:$B3)/SUM($B$3:$B3),"")</f>
        <v>8.6488418168369274E-2</v>
      </c>
      <c r="X3" s="81">
        <f>IF(S3&lt;&gt;"",SUMPRODUCT(S$3:S3,$B$3:$B3)/SUM($B$3:$B3),"")</f>
        <v>3.1408307708041088</v>
      </c>
      <c r="Y3" s="81">
        <f>IF(T3&lt;&gt;"",SUMPRODUCT(T$3:T3,$B$3:$B3)/SUM($B$3:$B3),"")</f>
        <v>1.8679672294976695</v>
      </c>
      <c r="Z3" s="81">
        <f>IF(U3&lt;&gt;"",SUMPRODUCT(U$3:U3,$B$3:$B3)/SUM($B$3:$B3),"")</f>
        <v>-0.21181094116297924</v>
      </c>
      <c r="AA3" s="82">
        <f>IF(V3&lt;&gt;"",SUMPRODUCT(V$3:V3,$B$3:$B3)/SUM($B$3:$B3),"")</f>
        <v>8.851761057614425</v>
      </c>
      <c r="AB3" s="87"/>
      <c r="AC3" s="84"/>
      <c r="AD3" s="84"/>
      <c r="AE3" s="84"/>
      <c r="AF3" s="85"/>
      <c r="AG3" s="89"/>
      <c r="AH3" s="89"/>
      <c r="AI3" s="89"/>
      <c r="AJ3" s="89"/>
      <c r="AK3" s="92"/>
      <c r="BQ3" s="100">
        <f>IF(A3&lt;&gt;"",(VLOOKUP(A3,MarketData!$D:$BP,MATCH($BQ$1,MarketData!$D$1:$EG$1,0),TRUE)/100/365+1)^(B3)*BQ2,"")</f>
        <v>100.02260273972603</v>
      </c>
      <c r="BR3" s="98">
        <f t="shared" si="1"/>
        <v>2.2602739726025335E-4</v>
      </c>
      <c r="BS3" s="106">
        <f>IF(A3&lt;&gt;"",VLOOKUP(A3,MarketData!$D:$BP,MATCH($BS$1,MarketData!$D$1:$EG$1,0),TRUE),"")</f>
        <v>36857.980000000003</v>
      </c>
      <c r="BT3" s="98">
        <f t="shared" ref="BT3:BT66" si="13">IF(A3&lt;&gt;"",(BS3-$BS$2)/$BS$2,"")</f>
        <v>-1.616756103660956E-4</v>
      </c>
    </row>
    <row r="4" spans="1:72" x14ac:dyDescent="0.25">
      <c r="A4" s="48">
        <v>45302</v>
      </c>
      <c r="B4" s="60">
        <f t="shared" si="2"/>
        <v>1</v>
      </c>
      <c r="C4" s="3">
        <f>IF($A4&lt;&gt;0,SUMIFS(VM,Fecha,$A4,Linea,C$1)+SUMIFS(FX,Fecha,$A4,Linea,C$1)+C3,"")</f>
        <v>1150</v>
      </c>
      <c r="D4" s="3">
        <f t="shared" si="4"/>
        <v>3764</v>
      </c>
      <c r="E4" s="3">
        <f t="shared" si="5"/>
        <v>1080</v>
      </c>
      <c r="F4" s="3">
        <f t="shared" si="6"/>
        <v>-871.88500000000931</v>
      </c>
      <c r="G4" s="74">
        <f t="shared" si="7"/>
        <v>29949.850000000006</v>
      </c>
      <c r="H4" s="78">
        <f>IFERROR(C4/SUM(M$2:M3),"")</f>
        <v>2.3698264627599287E-4</v>
      </c>
      <c r="I4" s="61">
        <f>IFERROR(D4/SUM(N$2:N4),"")</f>
        <v>8.6421453827432611E-3</v>
      </c>
      <c r="J4" s="61">
        <f>IFERROR(E4/SUM(O$2:O4),"")</f>
        <v>5.1308363263211903E-3</v>
      </c>
      <c r="K4" s="61">
        <f>IFERROR(F4/SUM(P$2:P4),"")</f>
        <v>-3.1357242788141995E-3</v>
      </c>
      <c r="L4" s="79">
        <f>IFERROR(G4/SUM(Q$2:Q4),"")</f>
        <v>6.6089511464767173E-2</v>
      </c>
      <c r="M4" s="64">
        <f t="shared" si="8"/>
        <v>0</v>
      </c>
      <c r="N4" s="55">
        <f t="shared" si="9"/>
        <v>0</v>
      </c>
      <c r="O4" s="55">
        <f t="shared" si="10"/>
        <v>0</v>
      </c>
      <c r="P4" s="55">
        <f t="shared" si="11"/>
        <v>0</v>
      </c>
      <c r="Q4" s="65">
        <f t="shared" si="12"/>
        <v>0</v>
      </c>
      <c r="R4" s="67">
        <f t="shared" ref="R4:R67" si="14">IF(C4&lt;&gt;"",LN((C4-C3)/(SUMIFS(Total,Fecha,$A3,Linea,C$1)+M3)+1)*365/($A4-$A3),"")</f>
        <v>0</v>
      </c>
      <c r="S4" s="56">
        <f t="shared" ref="S4:S67" si="15">IF(D4&lt;&gt;"",LN((D4-D3)/(SUMIFS(Total,Fecha,$A3,Linea,D$1)+N3)+1)*365/($A4-$A3),"")</f>
        <v>0</v>
      </c>
      <c r="T4" s="56">
        <f t="shared" ref="T4:T67" si="16">IF(E4&lt;&gt;"",LN((E4-E3)/(SUMIFS(Total,Fecha,$A3,Linea,E$1)+O3)+1)*365/($A4-$A3),"")</f>
        <v>0</v>
      </c>
      <c r="U4" s="56">
        <f t="shared" ref="U4:U67" si="17">IF(F4&lt;&gt;"",LN((F4-F3)/(SUMIFS(Total,Fecha,$A3,Linea,F$1)+P3)+1)*365/($A4-$A3),"")</f>
        <v>-0.93452754850455144</v>
      </c>
      <c r="V4" s="68">
        <f t="shared" ref="V4:V67" si="18">IF(G4&lt;&gt;"",LN((G4-G3)/(SUMIFS(Total,Fecha,$A3,Linea,G$1)+Q3)+1)*365/($A4-$A3),"")</f>
        <v>10.519167239439238</v>
      </c>
      <c r="W4" s="80">
        <f>IF(R4&lt;&gt;"",SUMPRODUCT(R$3:R4,$B$3:$B4)/SUM($B$3:$B4),"")</f>
        <v>4.3244209084184637E-2</v>
      </c>
      <c r="X4" s="81">
        <f>IF(S4&lt;&gt;"",SUMPRODUCT(S$3:S4,$B$3:$B4)/SUM($B$3:$B4),"")</f>
        <v>1.5704153854020544</v>
      </c>
      <c r="Y4" s="81">
        <f>IF(T4&lt;&gt;"",SUMPRODUCT(T$3:T4,$B$3:$B4)/SUM($B$3:$B4),"")</f>
        <v>0.93398361474883473</v>
      </c>
      <c r="Z4" s="81">
        <f>IF(U4&lt;&gt;"",SUMPRODUCT(U$3:U4,$B$3:$B4)/SUM($B$3:$B4),"")</f>
        <v>-0.5731692448337653</v>
      </c>
      <c r="AA4" s="82">
        <f>IF(V4&lt;&gt;"",SUMPRODUCT(V$3:V4,$B$3:$B4)/SUM($B$3:$B4),"")</f>
        <v>9.6854641485268314</v>
      </c>
      <c r="AB4" s="83"/>
      <c r="AC4" s="84"/>
      <c r="AD4" s="84"/>
      <c r="AE4" s="84"/>
      <c r="AF4" s="85"/>
      <c r="AG4" s="89"/>
      <c r="AH4" s="89"/>
      <c r="AI4" s="89"/>
      <c r="AJ4" s="89"/>
      <c r="AK4" s="92"/>
      <c r="BQ4" s="100">
        <f>IF(A4&lt;&gt;"",(VLOOKUP(A4,MarketData!$D:$BP,MATCH($BQ$1,MarketData!$D$1:$EG$1,0),TRUE)/100/365+1)^(B4)*BQ3,"")</f>
        <v>100.04521058829049</v>
      </c>
      <c r="BR4" s="98">
        <f t="shared" si="1"/>
        <v>4.5210588290487406E-4</v>
      </c>
      <c r="BS4" s="106">
        <f>IF(A4&lt;&gt;"",VLOOKUP(A4,MarketData!$D:$BP,MATCH($BS$1,MarketData!$D$1:$EG$1,0),TRUE),"")</f>
        <v>36852.019999999997</v>
      </c>
      <c r="BT4" s="98">
        <f t="shared" si="13"/>
        <v>-3.2335122073238857E-4</v>
      </c>
    </row>
    <row r="5" spans="1:72" x14ac:dyDescent="0.25">
      <c r="A5" s="48">
        <v>45303</v>
      </c>
      <c r="B5" s="60">
        <f t="shared" si="2"/>
        <v>1</v>
      </c>
      <c r="C5" s="3">
        <f t="shared" si="3"/>
        <v>2211</v>
      </c>
      <c r="D5" s="3">
        <f t="shared" si="4"/>
        <v>142</v>
      </c>
      <c r="E5" s="3">
        <f t="shared" si="5"/>
        <v>302</v>
      </c>
      <c r="F5" s="3">
        <f t="shared" si="6"/>
        <v>-363.45970000000671</v>
      </c>
      <c r="G5" s="74">
        <f t="shared" si="7"/>
        <v>38104.043800000029</v>
      </c>
      <c r="H5" s="78">
        <f>IFERROR(C5/SUM(M$2:M4),"")</f>
        <v>4.556248964488872E-4</v>
      </c>
      <c r="I5" s="61">
        <f>IFERROR(D5/SUM(N$2:N5),"")</f>
        <v>3.2603205216512836E-4</v>
      </c>
      <c r="J5" s="61">
        <f>IFERROR(E5/SUM(O$2:O5),"")</f>
        <v>1.4347338616194439E-3</v>
      </c>
      <c r="K5" s="61">
        <f>IFERROR(F5/SUM(P$2:P5),"")</f>
        <v>-1.3071785908239436E-3</v>
      </c>
      <c r="L5" s="79">
        <f>IFERROR(G5/SUM(Q$2:Q5),"")</f>
        <v>8.4083146979837695E-2</v>
      </c>
      <c r="M5" s="64">
        <f t="shared" si="8"/>
        <v>0</v>
      </c>
      <c r="N5" s="55">
        <f t="shared" si="9"/>
        <v>0</v>
      </c>
      <c r="O5" s="55">
        <f t="shared" si="10"/>
        <v>0</v>
      </c>
      <c r="P5" s="55">
        <f t="shared" si="11"/>
        <v>0</v>
      </c>
      <c r="Q5" s="65">
        <f t="shared" si="12"/>
        <v>0</v>
      </c>
      <c r="R5" s="67">
        <f t="shared" si="14"/>
        <v>7.9776794625959643E-2</v>
      </c>
      <c r="S5" s="56">
        <f t="shared" si="15"/>
        <v>-3.0218484667324481</v>
      </c>
      <c r="T5" s="56">
        <f t="shared" si="16"/>
        <v>-1.3446646802480475</v>
      </c>
      <c r="U5" s="56">
        <f t="shared" si="17"/>
        <v>0.66890582193586245</v>
      </c>
      <c r="V5" s="68">
        <f t="shared" si="18"/>
        <v>5.1006498967699407</v>
      </c>
      <c r="W5" s="80">
        <f>IF(R5&lt;&gt;"",SUMPRODUCT(R$3:R5,$B$3:$B5)/SUM($B$3:$B5),"")</f>
        <v>5.5421737598109644E-2</v>
      </c>
      <c r="X5" s="81">
        <f>IF(S5&lt;&gt;"",SUMPRODUCT(S$3:S5,$B$3:$B5)/SUM($B$3:$B5),"")</f>
        <v>3.9660768023886885E-2</v>
      </c>
      <c r="Y5" s="81">
        <f>IF(T5&lt;&gt;"",SUMPRODUCT(T$3:T5,$B$3:$B5)/SUM($B$3:$B5),"")</f>
        <v>0.17443418308320732</v>
      </c>
      <c r="Z5" s="81">
        <f>IF(U5&lt;&gt;"",SUMPRODUCT(U$3:U5,$B$3:$B5)/SUM($B$3:$B5),"")</f>
        <v>-0.15914422257722272</v>
      </c>
      <c r="AA5" s="82">
        <f>IF(V5&lt;&gt;"",SUMPRODUCT(V$3:V5,$B$3:$B5)/SUM($B$3:$B5),"")</f>
        <v>8.1571927312745345</v>
      </c>
      <c r="AB5" s="83"/>
      <c r="AC5" s="84"/>
      <c r="AD5" s="84"/>
      <c r="AE5" s="84"/>
      <c r="AF5" s="85"/>
      <c r="AG5" s="89"/>
      <c r="AH5" s="89"/>
      <c r="AI5" s="89"/>
      <c r="AJ5" s="89"/>
      <c r="AK5" s="92"/>
      <c r="BQ5" s="100">
        <f>IF(A5&lt;&gt;"",(VLOOKUP(A5,MarketData!$D:$BP,MATCH($BQ$1,MarketData!$D$1:$EG$1,0),TRUE)/100/365+1)^(B5)*BQ4,"")</f>
        <v>100.06782354684812</v>
      </c>
      <c r="BR5" s="98">
        <f t="shared" si="1"/>
        <v>6.7823546848117639E-4</v>
      </c>
      <c r="BS5" s="106">
        <f>IF(A5&lt;&gt;"",VLOOKUP(A5,MarketData!$D:$BP,MATCH($BS$1,MarketData!$D$1:$EG$1,0),TRUE),"")</f>
        <v>36846.06</v>
      </c>
      <c r="BT5" s="98">
        <f t="shared" si="13"/>
        <v>-4.850268310984842E-4</v>
      </c>
    </row>
    <row r="6" spans="1:72" x14ac:dyDescent="0.25">
      <c r="A6" s="48">
        <v>45304</v>
      </c>
      <c r="B6" s="60">
        <f t="shared" si="2"/>
        <v>1</v>
      </c>
      <c r="C6" s="3">
        <f t="shared" si="3"/>
        <v>3158</v>
      </c>
      <c r="D6" s="3">
        <f t="shared" si="4"/>
        <v>-352</v>
      </c>
      <c r="E6" s="3">
        <f t="shared" si="5"/>
        <v>312</v>
      </c>
      <c r="F6" s="3">
        <f t="shared" si="6"/>
        <v>-363.45970000000671</v>
      </c>
      <c r="G6" s="74">
        <f t="shared" si="7"/>
        <v>34914.24880000003</v>
      </c>
      <c r="H6" s="78">
        <f>IFERROR(C6/SUM(M$2:M5),"")</f>
        <v>6.5077495386050915E-4</v>
      </c>
      <c r="I6" s="61">
        <f>IFERROR(D6/SUM(N$2:N6),"")</f>
        <v>-8.0819212931074072E-4</v>
      </c>
      <c r="J6" s="61">
        <f>IFERROR(E6/SUM(O$2:O6),"")</f>
        <v>1.4822416053816771E-3</v>
      </c>
      <c r="K6" s="61">
        <f>IFERROR(F6/SUM(P$2:P6),"")</f>
        <v>-1.3071785908239436E-3</v>
      </c>
      <c r="L6" s="79">
        <f>IFERROR(G6/SUM(Q$2:Q6),"")</f>
        <v>7.7044313956541863E-2</v>
      </c>
      <c r="M6" s="64">
        <f t="shared" si="8"/>
        <v>0</v>
      </c>
      <c r="N6" s="55">
        <f t="shared" si="9"/>
        <v>0</v>
      </c>
      <c r="O6" s="55">
        <f t="shared" si="10"/>
        <v>0</v>
      </c>
      <c r="P6" s="55">
        <f t="shared" si="11"/>
        <v>0</v>
      </c>
      <c r="Q6" s="65">
        <f t="shared" si="12"/>
        <v>0</v>
      </c>
      <c r="R6" s="67">
        <f t="shared" si="14"/>
        <v>7.1190388663354323E-2</v>
      </c>
      <c r="S6" s="56">
        <f t="shared" si="15"/>
        <v>-0.41409169988525218</v>
      </c>
      <c r="T6" s="56">
        <f t="shared" si="16"/>
        <v>1.7315072655427838E-2</v>
      </c>
      <c r="U6" s="56">
        <f t="shared" si="17"/>
        <v>0</v>
      </c>
      <c r="V6" s="68">
        <f t="shared" si="18"/>
        <v>-1.9868165202341963</v>
      </c>
      <c r="W6" s="80">
        <f>IF(R6&lt;&gt;"",SUMPRODUCT(R$3:R6,$B$3:$B6)/SUM($B$3:$B6),"")</f>
        <v>5.936390036442081E-2</v>
      </c>
      <c r="X6" s="81">
        <f>IF(S6&lt;&gt;"",SUMPRODUCT(S$3:S6,$B$3:$B6)/SUM($B$3:$B6),"")</f>
        <v>-7.3777348953397881E-2</v>
      </c>
      <c r="Y6" s="81">
        <f>IF(T6&lt;&gt;"",SUMPRODUCT(T$3:T6,$B$3:$B6)/SUM($B$3:$B6),"")</f>
        <v>0.13515440547626245</v>
      </c>
      <c r="Z6" s="81">
        <f>IF(U6&lt;&gt;"",SUMPRODUCT(U$3:U6,$B$3:$B6)/SUM($B$3:$B6),"")</f>
        <v>-0.11935816693291704</v>
      </c>
      <c r="AA6" s="82">
        <f>IF(V6&lt;&gt;"",SUMPRODUCT(V$3:V6,$B$3:$B6)/SUM($B$3:$B6),"")</f>
        <v>5.6211904183973518</v>
      </c>
      <c r="AB6" s="83"/>
      <c r="AC6" s="84"/>
      <c r="AD6" s="84"/>
      <c r="AE6" s="84"/>
      <c r="AF6" s="85"/>
      <c r="AG6" s="90"/>
      <c r="AH6" s="90"/>
      <c r="AI6" s="90"/>
      <c r="AJ6" s="90"/>
      <c r="AK6" s="93"/>
      <c r="BQ6" s="100">
        <f>IF(A6&lt;&gt;"",(VLOOKUP(A6,MarketData!$D:$BP,MATCH($BQ$1,MarketData!$D$1:$EG$1,0),TRUE)/100/365+1)^(B6)*BQ5,"")</f>
        <v>100.09044161655392</v>
      </c>
      <c r="BR6" s="98">
        <f t="shared" si="1"/>
        <v>9.0441616553917472E-4</v>
      </c>
      <c r="BS6" s="106">
        <f>IF(A6&lt;&gt;"",VLOOKUP(A6,MarketData!$D:$BP,MATCH($BS$1,MarketData!$D$1:$EG$1,0),TRUE),"")</f>
        <v>36840.1</v>
      </c>
      <c r="BT6" s="98">
        <f t="shared" si="13"/>
        <v>-6.4670244146457982E-4</v>
      </c>
    </row>
    <row r="7" spans="1:72" x14ac:dyDescent="0.25">
      <c r="A7" s="48">
        <v>45308</v>
      </c>
      <c r="B7" s="60">
        <f t="shared" si="2"/>
        <v>4</v>
      </c>
      <c r="C7" s="3">
        <f t="shared" si="3"/>
        <v>8592</v>
      </c>
      <c r="D7" s="3">
        <f t="shared" si="4"/>
        <v>2614</v>
      </c>
      <c r="E7" s="3">
        <f t="shared" si="5"/>
        <v>1838</v>
      </c>
      <c r="F7" s="3">
        <f t="shared" si="6"/>
        <v>-5331.0988000000943</v>
      </c>
      <c r="G7" s="74">
        <f t="shared" si="7"/>
        <v>43161.41499999995</v>
      </c>
      <c r="H7" s="78">
        <f>IFERROR(C7/SUM(M$2:M6),"")</f>
        <v>1.7705694754811571E-3</v>
      </c>
      <c r="I7" s="61">
        <f>IFERROR(D7/SUM(N$2:N7),"")</f>
        <v>6.0017449602791937E-3</v>
      </c>
      <c r="J7" s="61">
        <f>IFERROR(E7/SUM(O$2:O7),"")</f>
        <v>8.7319233034984702E-3</v>
      </c>
      <c r="K7" s="61">
        <f>IFERROR(F7/SUM(P$2:P7),"")</f>
        <v>-1.9173234933411356E-2</v>
      </c>
      <c r="L7" s="79">
        <f>IFERROR(G7/SUM(Q$2:Q7),"")</f>
        <v>9.5243109113336791E-2</v>
      </c>
      <c r="M7" s="64">
        <f t="shared" si="8"/>
        <v>0</v>
      </c>
      <c r="N7" s="55">
        <f t="shared" si="9"/>
        <v>0</v>
      </c>
      <c r="O7" s="55">
        <f t="shared" si="10"/>
        <v>0</v>
      </c>
      <c r="P7" s="55">
        <f t="shared" si="11"/>
        <v>0</v>
      </c>
      <c r="Q7" s="65">
        <f t="shared" si="12"/>
        <v>0</v>
      </c>
      <c r="R7" s="67">
        <f t="shared" si="14"/>
        <v>0.10205770232500967</v>
      </c>
      <c r="S7" s="56">
        <f t="shared" si="15"/>
        <v>0.61979966735005965</v>
      </c>
      <c r="T7" s="56">
        <f t="shared" si="16"/>
        <v>0.65817496916911544</v>
      </c>
      <c r="U7" s="56">
        <f t="shared" si="17"/>
        <v>-1.6471907579117213</v>
      </c>
      <c r="V7" s="68">
        <f t="shared" si="18"/>
        <v>1.2787209058393481</v>
      </c>
      <c r="W7" s="80">
        <f>IF(R7&lt;&gt;"",SUMPRODUCT(R$3:R7,$B$3:$B7)/SUM($B$3:$B7),"")</f>
        <v>8.0710801344715241E-2</v>
      </c>
      <c r="X7" s="81">
        <f>IF(S7&lt;&gt;"",SUMPRODUCT(S$3:S7,$B$3:$B7)/SUM($B$3:$B7),"")</f>
        <v>0.27301115919833085</v>
      </c>
      <c r="Y7" s="81">
        <f>IF(T7&lt;&gt;"",SUMPRODUCT(T$3:T7,$B$3:$B7)/SUM($B$3:$B7),"")</f>
        <v>0.39666468732268895</v>
      </c>
      <c r="Z7" s="81">
        <f>IF(U7&lt;&gt;"",SUMPRODUCT(U$3:U7,$B$3:$B7)/SUM($B$3:$B7),"")</f>
        <v>-0.88327446242231922</v>
      </c>
      <c r="AA7" s="82">
        <f>IF(V7&lt;&gt;"",SUMPRODUCT(V$3:V7,$B$3:$B7)/SUM($B$3:$B7),"")</f>
        <v>3.44995566211835</v>
      </c>
      <c r="AB7" s="83"/>
      <c r="AC7" s="84"/>
      <c r="AD7" s="84"/>
      <c r="AE7" s="84"/>
      <c r="AF7" s="85"/>
      <c r="AG7" s="90"/>
      <c r="AH7" s="90"/>
      <c r="AI7" s="90"/>
      <c r="AJ7" s="90"/>
      <c r="AK7" s="93"/>
      <c r="BQ7" s="100">
        <f>IF(A7&lt;&gt;"",(VLOOKUP(A7,MarketData!$D:$BP,MATCH($BQ$1,MarketData!$D$1:$EG$1,0),TRUE)/100/365+1)^(B7)*BQ6,"")</f>
        <v>100.18096502996791</v>
      </c>
      <c r="BR7" s="98">
        <f t="shared" si="1"/>
        <v>1.8096502996790774E-3</v>
      </c>
      <c r="BS7" s="106">
        <f>IF(A7&lt;&gt;"",VLOOKUP(A7,MarketData!$D:$BP,MATCH($BS$1,MarketData!$D$1:$EG$1,0),TRUE),"")</f>
        <v>36816.29</v>
      </c>
      <c r="BT7" s="98">
        <f t="shared" si="13"/>
        <v>-1.2925910795211107E-3</v>
      </c>
    </row>
    <row r="8" spans="1:72" x14ac:dyDescent="0.25">
      <c r="A8" s="48">
        <v>45309</v>
      </c>
      <c r="B8" s="60">
        <f t="shared" si="2"/>
        <v>1</v>
      </c>
      <c r="C8" s="3">
        <f t="shared" si="3"/>
        <v>9652</v>
      </c>
      <c r="D8" s="3">
        <f t="shared" si="4"/>
        <v>3958</v>
      </c>
      <c r="E8" s="3">
        <f t="shared" si="5"/>
        <v>2404</v>
      </c>
      <c r="F8" s="3">
        <f t="shared" si="6"/>
        <v>-1685.9710000000196</v>
      </c>
      <c r="G8" s="74">
        <f t="shared" si="7"/>
        <v>38329.757899999968</v>
      </c>
      <c r="H8" s="78">
        <f>IFERROR(C8/SUM(M$2:M7),"")</f>
        <v>1.9890056537877243E-3</v>
      </c>
      <c r="I8" s="61">
        <f>IFERROR(D8/SUM(N$2:N8),"")</f>
        <v>9.0875694540111119E-3</v>
      </c>
      <c r="J8" s="61">
        <f>IFERROR(E8/SUM(O$2:O8),"")</f>
        <v>1.1420861600440872E-2</v>
      </c>
      <c r="K8" s="61">
        <f>IFERROR(F8/SUM(P$2:P8),"")</f>
        <v>-6.0635751252477782E-3</v>
      </c>
      <c r="L8" s="79">
        <f>IFERROR(G8/SUM(Q$2:Q8),"")</f>
        <v>8.4581224085389331E-2</v>
      </c>
      <c r="M8" s="64">
        <f t="shared" si="8"/>
        <v>0</v>
      </c>
      <c r="N8" s="55">
        <f t="shared" si="9"/>
        <v>0</v>
      </c>
      <c r="O8" s="55">
        <f t="shared" si="10"/>
        <v>0</v>
      </c>
      <c r="P8" s="55">
        <f t="shared" si="11"/>
        <v>0</v>
      </c>
      <c r="Q8" s="65">
        <f t="shared" si="12"/>
        <v>0</v>
      </c>
      <c r="R8" s="67">
        <f t="shared" si="14"/>
        <v>7.9579612631542521E-2</v>
      </c>
      <c r="S8" s="56">
        <f t="shared" si="15"/>
        <v>1.1178927034055588</v>
      </c>
      <c r="T8" s="56">
        <f t="shared" si="16"/>
        <v>0.97167210850770691</v>
      </c>
      <c r="U8" s="56">
        <f t="shared" si="17"/>
        <v>4.8462518415059597</v>
      </c>
      <c r="V8" s="68">
        <f t="shared" si="18"/>
        <v>-2.9878862137816951</v>
      </c>
      <c r="W8" s="80">
        <f>IF(R8&lt;&gt;"",SUMPRODUCT(R$3:R8,$B$3:$B8)/SUM($B$3:$B8),"")</f>
        <v>8.0585113709918277E-2</v>
      </c>
      <c r="X8" s="81">
        <f>IF(S8&lt;&gt;"",SUMPRODUCT(S$3:S8,$B$3:$B8)/SUM($B$3:$B8),"")</f>
        <v>0.3668868863324673</v>
      </c>
      <c r="Y8" s="81">
        <f>IF(T8&lt;&gt;"",SUMPRODUCT(T$3:T8,$B$3:$B8)/SUM($B$3:$B8),"")</f>
        <v>0.46055440078769094</v>
      </c>
      <c r="Z8" s="81">
        <f>IF(U8&lt;&gt;"",SUMPRODUCT(U$3:U8,$B$3:$B8)/SUM($B$3:$B8),"")</f>
        <v>-0.24666042865251045</v>
      </c>
      <c r="AA8" s="82">
        <f>IF(V8&lt;&gt;"",SUMPRODUCT(V$3:V8,$B$3:$B8)/SUM($B$3:$B8),"")</f>
        <v>2.7346398981294562</v>
      </c>
      <c r="AB8" s="83"/>
      <c r="AC8" s="84"/>
      <c r="AD8" s="84"/>
      <c r="AE8" s="84"/>
      <c r="AF8" s="85"/>
      <c r="AG8" s="90"/>
      <c r="AH8" s="90"/>
      <c r="AI8" s="90"/>
      <c r="AJ8" s="90"/>
      <c r="AK8" s="93"/>
      <c r="BQ8" s="100">
        <f>IF(A8&lt;&gt;"",(VLOOKUP(A8,MarketData!$D:$BP,MATCH($BQ$1,MarketData!$D$1:$EG$1,0),TRUE)/100/365+1)^(B8)*BQ7,"")</f>
        <v>100.20360867274866</v>
      </c>
      <c r="BR8" s="98">
        <f t="shared" si="1"/>
        <v>2.0360867274865769E-3</v>
      </c>
      <c r="BS8" s="106">
        <f>IF(A8&lt;&gt;"",VLOOKUP(A8,MarketData!$D:$BP,MATCH($BS$1,MarketData!$D$1:$EG$1,0),TRUE),"")</f>
        <v>36810.33</v>
      </c>
      <c r="BT8" s="98">
        <f t="shared" si="13"/>
        <v>-1.4542666898872062E-3</v>
      </c>
    </row>
    <row r="9" spans="1:72" x14ac:dyDescent="0.25">
      <c r="A9" s="48">
        <v>45312</v>
      </c>
      <c r="B9" s="60">
        <f t="shared" si="2"/>
        <v>3</v>
      </c>
      <c r="C9" s="3">
        <f t="shared" si="3"/>
        <v>10570</v>
      </c>
      <c r="D9" s="3">
        <f t="shared" si="4"/>
        <v>5877</v>
      </c>
      <c r="E9" s="3">
        <f t="shared" si="5"/>
        <v>3167</v>
      </c>
      <c r="F9" s="3">
        <f t="shared" si="6"/>
        <v>-2003.4750000000349</v>
      </c>
      <c r="G9" s="74">
        <f t="shared" si="7"/>
        <v>33160.457400000014</v>
      </c>
      <c r="H9" s="78">
        <f>IFERROR(C9/SUM(M$2:M8),"")</f>
        <v>2.1781796270758649E-3</v>
      </c>
      <c r="I9" s="61">
        <f>IFERROR(D9/SUM(N$2:N9),"")</f>
        <v>1.3493594158975065E-2</v>
      </c>
      <c r="J9" s="61">
        <f>IFERROR(E9/SUM(O$2:O9),"")</f>
        <v>1.5045702449499269E-2</v>
      </c>
      <c r="K9" s="61">
        <f>IFERROR(F9/SUM(P$2:P9),"")</f>
        <v>-7.2054745746254617E-3</v>
      </c>
      <c r="L9" s="79">
        <f>IFERROR(G9/SUM(Q$2:Q9),"")</f>
        <v>7.3174270639559932E-2</v>
      </c>
      <c r="M9" s="64">
        <f t="shared" si="8"/>
        <v>0</v>
      </c>
      <c r="N9" s="55">
        <f t="shared" si="9"/>
        <v>0</v>
      </c>
      <c r="O9" s="55">
        <f t="shared" si="10"/>
        <v>0</v>
      </c>
      <c r="P9" s="55">
        <f t="shared" si="11"/>
        <v>0</v>
      </c>
      <c r="Q9" s="65">
        <f t="shared" si="12"/>
        <v>0</v>
      </c>
      <c r="R9" s="67">
        <f t="shared" si="14"/>
        <v>2.2968310216271409E-2</v>
      </c>
      <c r="S9" s="56">
        <f t="shared" si="15"/>
        <v>0.53008225006535314</v>
      </c>
      <c r="T9" s="56">
        <f t="shared" si="16"/>
        <v>0.4352628180454034</v>
      </c>
      <c r="U9" s="56">
        <f t="shared" si="17"/>
        <v>-0.13985912193841463</v>
      </c>
      <c r="V9" s="68">
        <f t="shared" si="18"/>
        <v>-1.0746669053676767</v>
      </c>
      <c r="W9" s="80">
        <f>IF(R9&lt;&gt;"",SUMPRODUCT(R$3:R9,$B$3:$B9)/SUM($B$3:$B9),"")</f>
        <v>6.6180912836506553E-2</v>
      </c>
      <c r="X9" s="81">
        <f>IF(S9&lt;&gt;"",SUMPRODUCT(S$3:S9,$B$3:$B9)/SUM($B$3:$B9),"")</f>
        <v>0.4076857272656888</v>
      </c>
      <c r="Y9" s="81">
        <f>IF(T9&lt;&gt;"",SUMPRODUCT(T$3:T9,$B$3:$B9)/SUM($B$3:$B9),"")</f>
        <v>0.45423150510211907</v>
      </c>
      <c r="Z9" s="81">
        <f>IF(U9&lt;&gt;"",SUMPRODUCT(U$3:U9,$B$3:$B9)/SUM($B$3:$B9),"")</f>
        <v>-0.21996010197398649</v>
      </c>
      <c r="AA9" s="82">
        <f>IF(V9&lt;&gt;"",SUMPRODUCT(V$3:V9,$B$3:$B9)/SUM($B$3:$B9),"")</f>
        <v>1.7823131972551727</v>
      </c>
      <c r="AB9" s="83"/>
      <c r="AC9" s="84"/>
      <c r="AD9" s="84"/>
      <c r="AE9" s="84"/>
      <c r="AF9" s="85"/>
      <c r="AG9" s="90"/>
      <c r="AH9" s="90"/>
      <c r="AI9" s="90"/>
      <c r="AJ9" s="90"/>
      <c r="AK9" s="93"/>
      <c r="BQ9" s="100">
        <f>IF(A9&lt;&gt;"",(VLOOKUP(A9,MarketData!$D:$BP,MATCH($BQ$1,MarketData!$D$1:$EG$1,0),TRUE)/100/365+1)^(B9)*BQ8,"")</f>
        <v>100.27157031422034</v>
      </c>
      <c r="BR9" s="98">
        <f t="shared" si="1"/>
        <v>2.7157031422034095E-3</v>
      </c>
      <c r="BS9" s="106">
        <f>IF(A9&lt;&gt;"",VLOOKUP(A9,MarketData!$D:$BP,MATCH($BS$1,MarketData!$D$1:$EG$1,0),TRUE),"")</f>
        <v>36792.480000000003</v>
      </c>
      <c r="BT9" s="98">
        <f t="shared" si="13"/>
        <v>-1.9384797175776415E-3</v>
      </c>
    </row>
    <row r="10" spans="1:72" x14ac:dyDescent="0.25">
      <c r="A10" s="48">
        <v>45315</v>
      </c>
      <c r="B10" s="60">
        <f t="shared" si="2"/>
        <v>3</v>
      </c>
      <c r="C10" s="3">
        <f t="shared" si="3"/>
        <v>15967</v>
      </c>
      <c r="D10" s="3">
        <f t="shared" si="4"/>
        <v>9155</v>
      </c>
      <c r="E10" s="3">
        <f t="shared" si="5"/>
        <v>4122</v>
      </c>
      <c r="F10" s="3">
        <f t="shared" si="6"/>
        <v>-407.17739999998594</v>
      </c>
      <c r="G10" s="74">
        <f t="shared" si="7"/>
        <v>14752.02340000002</v>
      </c>
      <c r="H10" s="78">
        <f>IFERROR(C10/SUM(M$2:M9),"")</f>
        <v>3.2903494896424157E-3</v>
      </c>
      <c r="I10" s="61">
        <f>IFERROR(D10/SUM(N$2:N10),"")</f>
        <v>2.1019883363181339E-2</v>
      </c>
      <c r="J10" s="61">
        <f>IFERROR(E10/SUM(O$2:O10),"")</f>
        <v>1.9582691978792543E-2</v>
      </c>
      <c r="K10" s="61">
        <f>IFERROR(F10/SUM(P$2:P10),"")</f>
        <v>-1.4644087912561669E-3</v>
      </c>
      <c r="L10" s="79">
        <f>IFERROR(G10/SUM(Q$2:Q10),"")</f>
        <v>3.2552884893340524E-2</v>
      </c>
      <c r="M10" s="64">
        <f t="shared" si="8"/>
        <v>0</v>
      </c>
      <c r="N10" s="55">
        <f t="shared" si="9"/>
        <v>0</v>
      </c>
      <c r="O10" s="55">
        <f t="shared" si="10"/>
        <v>0</v>
      </c>
      <c r="P10" s="55">
        <f t="shared" si="11"/>
        <v>0</v>
      </c>
      <c r="Q10" s="65">
        <f t="shared" si="12"/>
        <v>0</v>
      </c>
      <c r="R10" s="67">
        <f t="shared" si="14"/>
        <v>0.13494503838161387</v>
      </c>
      <c r="S10" s="56">
        <f t="shared" si="15"/>
        <v>0.90016872050043339</v>
      </c>
      <c r="T10" s="56">
        <f t="shared" si="16"/>
        <v>0.54260651150431272</v>
      </c>
      <c r="U10" s="56">
        <f t="shared" si="17"/>
        <v>0.70153994949007981</v>
      </c>
      <c r="V10" s="68">
        <f t="shared" si="18"/>
        <v>-3.9059891867068188</v>
      </c>
      <c r="W10" s="80">
        <f>IF(R10&lt;&gt;"",SUMPRODUCT(R$3:R10,$B$3:$B10)/SUM($B$3:$B10),"")</f>
        <v>7.9933737945528022E-2</v>
      </c>
      <c r="X10" s="81">
        <f>IF(S10&lt;&gt;"",SUMPRODUCT(S$3:S10,$B$3:$B10)/SUM($B$3:$B10),"")</f>
        <v>0.50618232591263768</v>
      </c>
      <c r="Y10" s="81">
        <f>IF(T10&lt;&gt;"",SUMPRODUCT(T$3:T10,$B$3:$B10)/SUM($B$3:$B10),"")</f>
        <v>0.47190650638255782</v>
      </c>
      <c r="Z10" s="81">
        <f>IF(U10&lt;&gt;"",SUMPRODUCT(U$3:U10,$B$3:$B10)/SUM($B$3:$B10),"")</f>
        <v>-3.5660091681173227E-2</v>
      </c>
      <c r="AA10" s="82">
        <f>IF(V10&lt;&gt;"",SUMPRODUCT(V$3:V10,$B$3:$B10)/SUM($B$3:$B10),"")</f>
        <v>0.64465272046277444</v>
      </c>
      <c r="AB10" s="83"/>
      <c r="AC10" s="84"/>
      <c r="AD10" s="84"/>
      <c r="AE10" s="84"/>
      <c r="AF10" s="85"/>
      <c r="AG10" s="90"/>
      <c r="AH10" s="90"/>
      <c r="AI10" s="90"/>
      <c r="AJ10" s="90"/>
      <c r="AK10" s="93"/>
      <c r="BQ10" s="100">
        <f>IF(A10&lt;&gt;"",(VLOOKUP(A10,MarketData!$D:$BP,MATCH($BQ$1,MarketData!$D$1:$EG$1,0),TRUE)/100/365+1)^(B10)*BQ9,"")</f>
        <v>100.33957804968776</v>
      </c>
      <c r="BR10" s="98">
        <f t="shared" si="1"/>
        <v>3.3957804968775917E-3</v>
      </c>
      <c r="BS10" s="106">
        <f>IF(A10&lt;&gt;"",VLOOKUP(A10,MarketData!$D:$BP,MATCH($BS$1,MarketData!$D$1:$EG$1,0),TRUE),"")</f>
        <v>36774.639999999999</v>
      </c>
      <c r="BT10" s="98">
        <f t="shared" si="13"/>
        <v>-2.4224214774655911E-3</v>
      </c>
    </row>
    <row r="11" spans="1:72" x14ac:dyDescent="0.25">
      <c r="A11" s="48">
        <v>45316</v>
      </c>
      <c r="B11" s="60">
        <f t="shared" si="2"/>
        <v>1</v>
      </c>
      <c r="C11" s="3">
        <f t="shared" si="3"/>
        <v>17032</v>
      </c>
      <c r="D11" s="3">
        <f t="shared" si="4"/>
        <v>12131</v>
      </c>
      <c r="E11" s="3">
        <f t="shared" si="5"/>
        <v>5239</v>
      </c>
      <c r="F11" s="3">
        <f t="shared" si="6"/>
        <v>-498.98000000003958</v>
      </c>
      <c r="G11" s="74">
        <f t="shared" si="7"/>
        <v>20015.928599999999</v>
      </c>
      <c r="H11" s="78">
        <f>IFERROR(C11/SUM(M$2:M10),"")</f>
        <v>3.5098160272806181E-3</v>
      </c>
      <c r="I11" s="61">
        <f>IFERROR(D11/SUM(N$2:N11),"")</f>
        <v>2.7852780456444872E-2</v>
      </c>
      <c r="J11" s="61">
        <f>IFERROR(E11/SUM(O$2:O11),"")</f>
        <v>2.4889306957033997E-2</v>
      </c>
      <c r="K11" s="61">
        <f>IFERROR(F11/SUM(P$2:P11),"")</f>
        <v>-1.7945757762122488E-3</v>
      </c>
      <c r="L11" s="79">
        <f>IFERROR(G11/SUM(Q$2:Q11),"")</f>
        <v>4.4168599932475822E-2</v>
      </c>
      <c r="M11" s="64">
        <f t="shared" si="8"/>
        <v>0</v>
      </c>
      <c r="N11" s="55">
        <f t="shared" si="9"/>
        <v>0</v>
      </c>
      <c r="O11" s="55">
        <f t="shared" si="10"/>
        <v>0</v>
      </c>
      <c r="P11" s="55">
        <f t="shared" si="11"/>
        <v>0</v>
      </c>
      <c r="Q11" s="65">
        <f t="shared" si="12"/>
        <v>0</v>
      </c>
      <c r="R11" s="67">
        <f t="shared" si="14"/>
        <v>7.9833844877794755E-2</v>
      </c>
      <c r="S11" s="56">
        <f t="shared" si="15"/>
        <v>2.4345258045514746</v>
      </c>
      <c r="T11" s="56">
        <f t="shared" si="16"/>
        <v>1.8947863485643732</v>
      </c>
      <c r="U11" s="56">
        <f t="shared" si="17"/>
        <v>-0.12070773626877437</v>
      </c>
      <c r="V11" s="68">
        <f t="shared" si="18"/>
        <v>3.3893427877672599</v>
      </c>
      <c r="W11" s="80">
        <f>IF(R11&lt;&gt;"",SUMPRODUCT(R$3:R11,$B$3:$B11)/SUM($B$3:$B11),"")</f>
        <v>7.9927494628794685E-2</v>
      </c>
      <c r="X11" s="81">
        <f>IF(S11&lt;&gt;"",SUMPRODUCT(S$3:S11,$B$3:$B11)/SUM($B$3:$B11),"")</f>
        <v>0.62670379332756498</v>
      </c>
      <c r="Y11" s="81">
        <f>IF(T11&lt;&gt;"",SUMPRODUCT(T$3:T11,$B$3:$B11)/SUM($B$3:$B11),"")</f>
        <v>0.56083649651892131</v>
      </c>
      <c r="Z11" s="81">
        <f>IF(U11&lt;&gt;"",SUMPRODUCT(U$3:U11,$B$3:$B11)/SUM($B$3:$B11),"")</f>
        <v>-4.09755694678983E-2</v>
      </c>
      <c r="AA11" s="82">
        <f>IF(V11&lt;&gt;"",SUMPRODUCT(V$3:V11,$B$3:$B11)/SUM($B$3:$B11),"")</f>
        <v>0.81619584966930481</v>
      </c>
      <c r="AB11" s="83"/>
      <c r="AC11" s="84"/>
      <c r="AD11" s="84"/>
      <c r="AE11" s="84"/>
      <c r="AF11" s="85"/>
      <c r="AG11" s="90"/>
      <c r="AH11" s="90"/>
      <c r="AI11" s="90"/>
      <c r="AJ11" s="90"/>
      <c r="AK11" s="93"/>
      <c r="BQ11" s="100">
        <f>IF(A11&lt;&gt;"",(VLOOKUP(A11,MarketData!$D:$BP,MATCH($BQ$1,MarketData!$D$1:$EG$1,0),TRUE)/100/365+1)^(B11)*BQ10,"")</f>
        <v>100.36225754335652</v>
      </c>
      <c r="BR11" s="98">
        <f t="shared" si="1"/>
        <v>3.6225754335652027E-3</v>
      </c>
      <c r="BS11" s="106">
        <f>IF(A11&lt;&gt;"",VLOOKUP(A11,MarketData!$D:$BP,MATCH($BS$1,MarketData!$D$1:$EG$1,0),TRUE),"")</f>
        <v>36768.69</v>
      </c>
      <c r="BT11" s="98">
        <f t="shared" si="13"/>
        <v>-2.583825820029004E-3</v>
      </c>
    </row>
    <row r="12" spans="1:72" x14ac:dyDescent="0.25">
      <c r="A12" s="48">
        <v>45320</v>
      </c>
      <c r="B12" s="60">
        <f t="shared" si="2"/>
        <v>4</v>
      </c>
      <c r="C12" s="3">
        <f t="shared" si="3"/>
        <v>17974</v>
      </c>
      <c r="D12" s="3">
        <f t="shared" si="4"/>
        <v>11915</v>
      </c>
      <c r="E12" s="3">
        <f t="shared" si="5"/>
        <v>5158</v>
      </c>
      <c r="F12" s="3">
        <f t="shared" si="6"/>
        <v>1838.0949999999721</v>
      </c>
      <c r="G12" s="74">
        <f t="shared" si="7"/>
        <v>24811.407599999948</v>
      </c>
      <c r="H12" s="78">
        <f>IFERROR(C12/SUM(M$2:M11),"")</f>
        <v>3.7039357253606051E-3</v>
      </c>
      <c r="I12" s="61">
        <f>IFERROR(D12/SUM(N$2:N12),"")</f>
        <v>2.73568443770951E-2</v>
      </c>
      <c r="J12" s="61">
        <f>IFERROR(E12/SUM(O$2:O12),"")</f>
        <v>2.4504494232559907E-2</v>
      </c>
      <c r="K12" s="61">
        <f>IFERROR(F12/SUM(P$2:P12),"")</f>
        <v>6.6106873248958711E-3</v>
      </c>
      <c r="L12" s="79">
        <f>IFERROR(G12/SUM(Q$2:Q12),"")</f>
        <v>5.4750651740733514E-2</v>
      </c>
      <c r="M12" s="64">
        <f t="shared" si="8"/>
        <v>0</v>
      </c>
      <c r="N12" s="55">
        <f t="shared" si="9"/>
        <v>0</v>
      </c>
      <c r="O12" s="55">
        <f t="shared" si="10"/>
        <v>0</v>
      </c>
      <c r="P12" s="55">
        <f t="shared" si="11"/>
        <v>0</v>
      </c>
      <c r="Q12" s="65">
        <f t="shared" si="12"/>
        <v>0</v>
      </c>
      <c r="R12" s="67">
        <f t="shared" si="14"/>
        <v>1.7649762004237308E-2</v>
      </c>
      <c r="S12" s="56">
        <f t="shared" si="15"/>
        <v>-4.4038493759686256E-2</v>
      </c>
      <c r="T12" s="56">
        <f t="shared" si="16"/>
        <v>-3.4267851791636418E-2</v>
      </c>
      <c r="U12" s="56">
        <f t="shared" si="17"/>
        <v>0.7651428368750175</v>
      </c>
      <c r="V12" s="68">
        <f t="shared" si="18"/>
        <v>0.7651428368749974</v>
      </c>
      <c r="W12" s="80">
        <f t="shared" ref="W12:W75" si="19">IF(R12&lt;&gt;"",SUMPRODUCT(R3:R12,$B3:$B12)/SUM($B3:$B12),"")</f>
        <v>6.7471948103883211E-2</v>
      </c>
      <c r="X12" s="81">
        <f t="shared" ref="X12:X75" si="20">IF(S12&lt;&gt;"",SUMPRODUCT(S3:S12,$B3:$B12)/SUM($B3:$B12),"")</f>
        <v>0.4925553359101148</v>
      </c>
      <c r="Y12" s="81">
        <f t="shared" ref="Y12:Y75" si="21">IF(T12&lt;&gt;"",SUMPRODUCT(T3:T12,$B3:$B12)/SUM($B3:$B12),"")</f>
        <v>0.44181562685680975</v>
      </c>
      <c r="Z12" s="81">
        <f t="shared" ref="Z12:Z75" si="22">IF(U12&lt;&gt;"",SUMPRODUCT(U3:U12,$B3:$B12)/SUM($B3:$B12),"")</f>
        <v>0.12024811180068487</v>
      </c>
      <c r="AA12" s="82">
        <f t="shared" ref="AA12:AA75" si="23">IF(V12&lt;&gt;"",SUMPRODUCT(V3:V12,$B3:$B12)/SUM($B3:$B12),"")</f>
        <v>0.80598524711044328</v>
      </c>
      <c r="AB12" s="83"/>
      <c r="AC12" s="84"/>
      <c r="AD12" s="84"/>
      <c r="AE12" s="84"/>
      <c r="AF12" s="85"/>
      <c r="AG12" s="90"/>
      <c r="AH12" s="90"/>
      <c r="AI12" s="90"/>
      <c r="AJ12" s="90"/>
      <c r="AK12" s="93"/>
      <c r="AL12" s="86"/>
      <c r="BQ12" s="100">
        <f>IF(A12&lt;&gt;"",(VLOOKUP(A12,MarketData!$D:$BP,MATCH($BQ$1,MarketData!$D$1:$EG$1,0),TRUE)/100/365+1)^(B12)*BQ11,"")</f>
        <v>100.45302679148875</v>
      </c>
      <c r="BR12" s="98">
        <f t="shared" si="1"/>
        <v>4.5302679148875313E-3</v>
      </c>
      <c r="BS12" s="106">
        <f>IF(A12&lt;&gt;"",VLOOKUP(A12,MarketData!$D:$BP,MATCH($BS$1,MarketData!$D$1:$EG$1,0),TRUE),"")</f>
        <v>36744.92</v>
      </c>
      <c r="BT12" s="98">
        <f t="shared" si="13"/>
        <v>-3.2286293868751975E-3</v>
      </c>
    </row>
    <row r="13" spans="1:72" x14ac:dyDescent="0.25">
      <c r="A13" s="48">
        <v>45321</v>
      </c>
      <c r="B13" s="60">
        <f t="shared" si="2"/>
        <v>1</v>
      </c>
      <c r="C13" s="3">
        <f t="shared" si="3"/>
        <v>17974</v>
      </c>
      <c r="D13" s="3">
        <f t="shared" si="4"/>
        <v>11915</v>
      </c>
      <c r="E13" s="3">
        <f t="shared" si="5"/>
        <v>5158</v>
      </c>
      <c r="F13" s="3">
        <f t="shared" si="6"/>
        <v>5342.179999999993</v>
      </c>
      <c r="G13" s="74">
        <f t="shared" si="7"/>
        <v>32001.491800000018</v>
      </c>
      <c r="H13" s="78">
        <f>IFERROR(C13/SUM(M$2:M12),"")</f>
        <v>3.7039357253606051E-3</v>
      </c>
      <c r="I13" s="61">
        <f>IFERROR(D13/SUM(N$2:N13),"")</f>
        <v>2.73568443770951E-2</v>
      </c>
      <c r="J13" s="61">
        <f>IFERROR(E13/SUM(O$2:O13),"")</f>
        <v>2.4504494232559907E-2</v>
      </c>
      <c r="K13" s="61">
        <f>IFERROR(F13/SUM(P$2:P13),"")</f>
        <v>1.9213088340544266E-2</v>
      </c>
      <c r="L13" s="79">
        <f>IFERROR(G13/SUM(Q$2:Q13),"")</f>
        <v>7.0616813079389495E-2</v>
      </c>
      <c r="M13" s="64">
        <f t="shared" si="8"/>
        <v>0</v>
      </c>
      <c r="N13" s="55">
        <f t="shared" si="9"/>
        <v>0</v>
      </c>
      <c r="O13" s="55">
        <f t="shared" si="10"/>
        <v>0</v>
      </c>
      <c r="P13" s="55">
        <f t="shared" si="11"/>
        <v>0</v>
      </c>
      <c r="Q13" s="65">
        <f t="shared" si="12"/>
        <v>0</v>
      </c>
      <c r="R13" s="67">
        <f t="shared" si="14"/>
        <v>0</v>
      </c>
      <c r="S13" s="56">
        <f t="shared" si="15"/>
        <v>0</v>
      </c>
      <c r="T13" s="56">
        <f t="shared" si="16"/>
        <v>0</v>
      </c>
      <c r="U13" s="56">
        <f t="shared" si="17"/>
        <v>4.54130243343727</v>
      </c>
      <c r="V13" s="68">
        <f t="shared" si="18"/>
        <v>4.54130243343727</v>
      </c>
      <c r="W13" s="80">
        <f t="shared" si="19"/>
        <v>6.314752719546475E-2</v>
      </c>
      <c r="X13" s="81">
        <f t="shared" si="20"/>
        <v>0.33551379736990933</v>
      </c>
      <c r="Y13" s="81">
        <f t="shared" si="21"/>
        <v>0.34841726538192624</v>
      </c>
      <c r="Z13" s="81">
        <f t="shared" si="22"/>
        <v>0.35790378053069738</v>
      </c>
      <c r="AA13" s="82">
        <f t="shared" si="23"/>
        <v>0.5904623159015856</v>
      </c>
      <c r="AB13" s="83">
        <f>IF(R13&lt;&gt;"",(W13-SUMPRODUCT(R$3:R13,$B$3:$B13)/SUM($B$3:$B13))/STDEVA(W3:W13),"")</f>
        <v>-8.2840038126726009E-2</v>
      </c>
      <c r="AC13" s="84">
        <f>IF(S13&lt;&gt;"",(X13-SUMPRODUCT(S$3:S13,$B$3:$B13)/SUM($B$3:$B13))/STDEVA(X3:X13),"")</f>
        <v>-0.1462116790603965</v>
      </c>
      <c r="AD13" s="84">
        <f>IF(T13&lt;&gt;"",(Y13-SUMPRODUCT(T$3:T13,$B$3:$B13)/SUM($B$3:$B13))/STDEVA(Y3:Y13),"")</f>
        <v>-0.15109777929807441</v>
      </c>
      <c r="AE13" s="84">
        <f>IF(U13&lt;&gt;"",(Z13-SUMPRODUCT(U$3:U13,$B$3:$B13)/SUM($B$3:$B13))/STDEVA(Z3:Z13),"")</f>
        <v>8.2555542560093356E-2</v>
      </c>
      <c r="AF13" s="85">
        <f>IF(V13&lt;&gt;"",(AA13-SUMPRODUCT(V$3:V13,$B$3:$B13)/SUM($B$3:$B13))/STDEVA(AA3:AA13),"")</f>
        <v>-0.11093629701190112</v>
      </c>
      <c r="AG13" s="90">
        <f>IF(AB13&lt;&gt;"",SUMPRODUCT(AB8:AB13,$B8:$B13)/SUM($B8:$B13),"")</f>
        <v>-6.3723106251327702E-3</v>
      </c>
      <c r="AH13" s="90">
        <f t="shared" ref="AH13:AK13" si="24">IF(AC13&lt;&gt;"",SUMPRODUCT(AC8:AC13,$B8:$B13)/SUM($B8:$B13),"")</f>
        <v>-1.1247052235415115E-2</v>
      </c>
      <c r="AI13" s="90">
        <f t="shared" si="24"/>
        <v>-1.1622906099851877E-2</v>
      </c>
      <c r="AJ13" s="90">
        <f t="shared" si="24"/>
        <v>6.3504263507764124E-3</v>
      </c>
      <c r="AK13" s="93">
        <f t="shared" si="24"/>
        <v>-8.5335613086077785E-3</v>
      </c>
      <c r="AL13" s="86"/>
      <c r="BQ13" s="100">
        <f>IF(A13&lt;&gt;"",(VLOOKUP(A13,MarketData!$D:$BP,MATCH($BQ$1,MarketData!$D$1:$EG$1,0),TRUE)/100/365+1)^(B13)*BQ12,"")</f>
        <v>100.47573192768135</v>
      </c>
      <c r="BR13" s="98">
        <f t="shared" si="1"/>
        <v>4.7573192768135186E-3</v>
      </c>
      <c r="BS13" s="106">
        <f>IF(A13&lt;&gt;"",VLOOKUP(A13,MarketData!$D:$BP,MATCH($BS$1,MarketData!$D$1:$EG$1,0),TRUE),"")</f>
        <v>36738.980000000003</v>
      </c>
      <c r="BT13" s="98">
        <f t="shared" si="13"/>
        <v>-3.3897624616359271E-3</v>
      </c>
    </row>
    <row r="14" spans="1:72" x14ac:dyDescent="0.25">
      <c r="A14" s="48">
        <v>45326</v>
      </c>
      <c r="B14" s="60">
        <f t="shared" si="2"/>
        <v>5</v>
      </c>
      <c r="C14" s="3">
        <f t="shared" si="3"/>
        <v>26477</v>
      </c>
      <c r="D14" s="3">
        <f t="shared" si="4"/>
        <v>25458</v>
      </c>
      <c r="E14" s="3">
        <f t="shared" si="5"/>
        <v>9237</v>
      </c>
      <c r="F14" s="3">
        <f t="shared" si="6"/>
        <v>4804.0769000000437</v>
      </c>
      <c r="G14" s="74">
        <f t="shared" si="7"/>
        <v>38611.79310000001</v>
      </c>
      <c r="H14" s="78">
        <f>IFERROR(C14/SUM(M$2:M13),"")</f>
        <v>5.4561648047386641E-3</v>
      </c>
      <c r="I14" s="61">
        <f>IFERROR(D14/SUM(N$2:N14),"")</f>
        <v>5.8451577352252378E-2</v>
      </c>
      <c r="J14" s="61">
        <f>IFERROR(E14/SUM(O$2:O14),"")</f>
        <v>4.388290291317485E-2</v>
      </c>
      <c r="K14" s="61">
        <f>IFERROR(F14/SUM(P$2:P14),"")</f>
        <v>1.7277806789450938E-2</v>
      </c>
      <c r="L14" s="79">
        <f>IFERROR(G14/SUM(Q$2:Q14),"")</f>
        <v>8.5203583415531914E-2</v>
      </c>
      <c r="M14" s="64">
        <f t="shared" si="8"/>
        <v>0</v>
      </c>
      <c r="N14" s="55">
        <f t="shared" si="9"/>
        <v>0</v>
      </c>
      <c r="O14" s="55">
        <f t="shared" si="10"/>
        <v>0</v>
      </c>
      <c r="P14" s="55">
        <f t="shared" si="11"/>
        <v>0</v>
      </c>
      <c r="Q14" s="65">
        <f t="shared" si="12"/>
        <v>0</v>
      </c>
      <c r="R14" s="67">
        <f t="shared" si="14"/>
        <v>0.12732957935081932</v>
      </c>
      <c r="S14" s="56">
        <f t="shared" si="15"/>
        <v>2.1766943332972111</v>
      </c>
      <c r="T14" s="56">
        <f t="shared" si="16"/>
        <v>1.3678919408489965</v>
      </c>
      <c r="U14" s="56">
        <f t="shared" si="17"/>
        <v>-0.13874425206463945</v>
      </c>
      <c r="V14" s="68">
        <f t="shared" si="18"/>
        <v>0.82516709442046532</v>
      </c>
      <c r="W14" s="80">
        <f t="shared" si="19"/>
        <v>7.9149935027641324E-2</v>
      </c>
      <c r="X14" s="81">
        <f t="shared" si="20"/>
        <v>0.73307281724517681</v>
      </c>
      <c r="Y14" s="81">
        <f t="shared" si="21"/>
        <v>0.57532520882847937</v>
      </c>
      <c r="Z14" s="81">
        <f t="shared" si="22"/>
        <v>0.30828674578313753</v>
      </c>
      <c r="AA14" s="82">
        <f t="shared" si="23"/>
        <v>0.22566310627895012</v>
      </c>
      <c r="AB14" s="83">
        <f>IF(R14&lt;&gt;"",(W14-SUMPRODUCT(R$3:R14,$B$3:$B14)/SUM($B$3:$B14))/STDEVA(W4:W14),"")</f>
        <v>0.21855194251684479</v>
      </c>
      <c r="AC14" s="84">
        <f>IF(S14&lt;&gt;"",(X14-SUMPRODUCT(S$3:S14,$B$3:$B14)/SUM($B$3:$B14))/STDEVA(X4:X14),"")</f>
        <v>-0.14944061661346925</v>
      </c>
      <c r="AD14" s="84">
        <f>IF(T14&lt;&gt;"",(Y14-SUMPRODUCT(T$3:T14,$B$3:$B14)/SUM($B$3:$B14))/STDEVA(Y4:Y14),"")</f>
        <v>-0.12989267966821721</v>
      </c>
      <c r="AE14" s="84">
        <f>IF(U14&lt;&gt;"",(Z14-SUMPRODUCT(U$3:U14,$B$3:$B14)/SUM($B$3:$B14))/STDEVA(Z4:Z14),"")</f>
        <v>0.18836458766157096</v>
      </c>
      <c r="AF14" s="85">
        <f>IF(V14&lt;&gt;"",(AA14-SUMPRODUCT(V$3:V14,$B$3:$B14)/SUM($B$3:$B14))/STDEVA(AA4:AA14),"")</f>
        <v>-0.22107405649937781</v>
      </c>
      <c r="AG14" s="90">
        <f t="shared" ref="AG14:AG26" si="25">IF(AB14&lt;&gt;"",SUMPRODUCT(AB9:AB14,$B9:$B14)/SUM($B9:$B14),"")</f>
        <v>5.9407039673970465E-2</v>
      </c>
      <c r="AH14" s="90">
        <f t="shared" ref="AH14:AH77" si="26">IF(AC14&lt;&gt;"",SUMPRODUCT(AC9:AC14,$B9:$B14)/SUM($B9:$B14),"")</f>
        <v>-5.2553809536926038E-2</v>
      </c>
      <c r="AI14" s="90">
        <f t="shared" ref="AI14:AI77" si="27">IF(AD14&lt;&gt;"",SUMPRODUCT(AD9:AD14,$B9:$B14)/SUM($B9:$B14),"")</f>
        <v>-4.7091833978774145E-2</v>
      </c>
      <c r="AJ14" s="90">
        <f t="shared" ref="AJ14:AJ77" si="28">IF(AE14&lt;&gt;"",SUMPRODUCT(AE9:AE14,$B9:$B14)/SUM($B9:$B14),"")</f>
        <v>6.0257557698114597E-2</v>
      </c>
      <c r="AK14" s="93">
        <f t="shared" ref="AK14:AK77" si="29">IF(AF14&lt;&gt;"",SUMPRODUCT(AF9:AF14,$B9:$B14)/SUM($B9:$B14),"")</f>
        <v>-7.154744585345825E-2</v>
      </c>
      <c r="AL14" s="86"/>
      <c r="BQ14" s="100">
        <f>IF(A14&lt;&gt;"",(VLOOKUP(A14,MarketData!$D:$BP,MATCH($BQ$1,MarketData!$D$1:$EG$1,0),TRUE)/100/365+1)^(B14)*BQ13,"")</f>
        <v>100.57555911916538</v>
      </c>
      <c r="BR14" s="98">
        <f t="shared" si="1"/>
        <v>5.755591191653764E-3</v>
      </c>
      <c r="BS14" s="106">
        <f>IF(A14&lt;&gt;"",VLOOKUP(A14,MarketData!$D:$BP,MATCH($BS$1,MarketData!$D$1:$EG$1,0),TRUE),"")</f>
        <v>36709.29</v>
      </c>
      <c r="BT14" s="98">
        <f t="shared" si="13"/>
        <v>-4.1951565676376819E-3</v>
      </c>
    </row>
    <row r="15" spans="1:72" x14ac:dyDescent="0.25">
      <c r="A15" s="48">
        <v>45339</v>
      </c>
      <c r="B15" s="60">
        <f t="shared" si="2"/>
        <v>13</v>
      </c>
      <c r="C15" s="3">
        <f t="shared" si="3"/>
        <v>40267</v>
      </c>
      <c r="D15" s="3">
        <f t="shared" si="4"/>
        <v>51318</v>
      </c>
      <c r="E15" s="3">
        <f t="shared" si="5"/>
        <v>14394</v>
      </c>
      <c r="F15" s="3">
        <f t="shared" si="6"/>
        <v>22451.651599999983</v>
      </c>
      <c r="G15" s="74">
        <f t="shared" si="7"/>
        <v>302689.99600000004</v>
      </c>
      <c r="H15" s="78">
        <f>IFERROR(C15/SUM(M$2:M14),"")</f>
        <v>8.2978958413873084E-3</v>
      </c>
      <c r="I15" s="61">
        <f>IFERROR(D15/SUM(N$2:N15),"")</f>
        <v>5.485388118092225E-2</v>
      </c>
      <c r="J15" s="61">
        <f>IFERROR(E15/SUM(O$2:O15),"")</f>
        <v>6.8382646371358533E-2</v>
      </c>
      <c r="K15" s="61">
        <f>IFERROR(F15/SUM(P$2:P15),"")</f>
        <v>8.074710428737375E-2</v>
      </c>
      <c r="L15" s="79">
        <f>IFERROR(G15/SUM(Q$2:Q15),"")</f>
        <v>0.66793770122095197</v>
      </c>
      <c r="M15" s="64">
        <f t="shared" si="8"/>
        <v>0</v>
      </c>
      <c r="N15" s="55">
        <f t="shared" si="9"/>
        <v>500000</v>
      </c>
      <c r="O15" s="55">
        <f t="shared" si="10"/>
        <v>0</v>
      </c>
      <c r="P15" s="55">
        <f t="shared" si="11"/>
        <v>0</v>
      </c>
      <c r="Q15" s="65">
        <f t="shared" si="12"/>
        <v>0</v>
      </c>
      <c r="R15" s="67">
        <f t="shared" si="14"/>
        <v>7.9242165905546141E-2</v>
      </c>
      <c r="S15" s="56">
        <f t="shared" si="15"/>
        <v>1.5324046250074697</v>
      </c>
      <c r="T15" s="56">
        <f t="shared" si="16"/>
        <v>0.65134638247464938</v>
      </c>
      <c r="U15" s="56">
        <f t="shared" si="17"/>
        <v>1.6992818444963367</v>
      </c>
      <c r="V15" s="68">
        <f t="shared" si="18"/>
        <v>10.413627464377727</v>
      </c>
      <c r="W15" s="80">
        <f t="shared" si="19"/>
        <v>7.9165827855820325E-2</v>
      </c>
      <c r="X15" s="81">
        <f>IF(S15&lt;&gt;"",SUMPRODUCT(S6:S15,$B6:$B15)/SUM($B6:$B15),"")</f>
        <v>1.1260237834920499</v>
      </c>
      <c r="Y15" s="81">
        <f t="shared" si="21"/>
        <v>0.65611035178616661</v>
      </c>
      <c r="Z15" s="81">
        <f t="shared" si="22"/>
        <v>0.80057333486977256</v>
      </c>
      <c r="AA15" s="82">
        <f t="shared" si="23"/>
        <v>3.7692339358565365</v>
      </c>
      <c r="AB15" s="83">
        <f>IF(R15&lt;&gt;"",(W15-SUMPRODUCT(R$3:R15,$B$3:$B15)/SUM($B$3:$B15))/STDEVA(W5:W15),"")</f>
        <v>0.18788651926017183</v>
      </c>
      <c r="AC15" s="84">
        <f>IF(S15&lt;&gt;"",(X15-SUMPRODUCT(S$3:S15,$B$3:$B15)/SUM($B$3:$B15))/STDEVA(X5:X15),"")</f>
        <v>0.25571521283032911</v>
      </c>
      <c r="AD15" s="84">
        <f>IF(T15&lt;&gt;"",(Y15-SUMPRODUCT(T$3:T15,$B$3:$B15)/SUM($B$3:$B15))/STDEVA(Y5:Y15),"")</f>
        <v>0.23316332198219067</v>
      </c>
      <c r="AE15" s="84">
        <f>IF(U15&lt;&gt;"",(Z15-SUMPRODUCT(U$3:U15,$B$3:$B15)/SUM($B$3:$B15))/STDEVA(Z5:Z15),"")</f>
        <v>0.17356437967907032</v>
      </c>
      <c r="AF15" s="85">
        <f>IF(V15&lt;&gt;"",(AA15-SUMPRODUCT(V$3:V15,$B$3:$B15)/SUM($B$3:$B15))/STDEVA(AA5:AA15),"")</f>
        <v>-0.13481387727141941</v>
      </c>
      <c r="AG15" s="90">
        <f t="shared" si="25"/>
        <v>0.12786831203110116</v>
      </c>
      <c r="AH15" s="90">
        <f t="shared" si="26"/>
        <v>9.0032703876538361E-2</v>
      </c>
      <c r="AI15" s="90">
        <f t="shared" si="27"/>
        <v>8.2613407708493278E-2</v>
      </c>
      <c r="AJ15" s="90">
        <f t="shared" si="28"/>
        <v>0.12150797839614304</v>
      </c>
      <c r="AK15" s="93">
        <f t="shared" si="29"/>
        <v>-0.10995877718656454</v>
      </c>
      <c r="AL15" s="86"/>
      <c r="BQ15" s="100">
        <f>IF(A15&lt;&gt;"",(VLOOKUP(A15,MarketData!$D:$BP,MATCH($BQ$1,MarketData!$D$1:$EG$1,0),TRUE)/100/365+1)^(B15)*BQ14,"")</f>
        <v>100.8355742387009</v>
      </c>
      <c r="BR15" s="98">
        <f t="shared" si="1"/>
        <v>8.3557423870090023E-3</v>
      </c>
      <c r="BS15" s="106">
        <f>IF(A15&lt;&gt;"",VLOOKUP(A15,MarketData!$D:$BP,MATCH($BS$1,MarketData!$D$1:$EG$1,0),TRUE),"")</f>
        <v>36750.269999999997</v>
      </c>
      <c r="BT15" s="98">
        <f t="shared" si="13"/>
        <v>-3.0835011124694086E-3</v>
      </c>
    </row>
    <row r="16" spans="1:72" x14ac:dyDescent="0.25">
      <c r="A16" s="48">
        <v>45341</v>
      </c>
      <c r="B16" s="60">
        <f t="shared" si="2"/>
        <v>2</v>
      </c>
      <c r="C16" s="3">
        <f t="shared" si="3"/>
        <v>40267</v>
      </c>
      <c r="D16" s="3">
        <f t="shared" si="4"/>
        <v>51318</v>
      </c>
      <c r="E16" s="3">
        <f t="shared" si="5"/>
        <v>14394</v>
      </c>
      <c r="F16" s="3">
        <f t="shared" si="6"/>
        <v>24669.620599999966</v>
      </c>
      <c r="G16" s="74">
        <f t="shared" si="7"/>
        <v>383867.29719999997</v>
      </c>
      <c r="H16" s="78">
        <f>IFERROR(C16/SUM(M$2:M15),"")</f>
        <v>8.2978958413873084E-3</v>
      </c>
      <c r="I16" s="61">
        <f>IFERROR(D16/SUM(N$2:N16),"")</f>
        <v>5.485388118092225E-2</v>
      </c>
      <c r="J16" s="61">
        <f>IFERROR(E16/SUM(O$2:O16),"")</f>
        <v>6.8382646371358533E-2</v>
      </c>
      <c r="K16" s="61">
        <f>IFERROR(F16/SUM(P$2:P16),"")</f>
        <v>8.8724004042452828E-2</v>
      </c>
      <c r="L16" s="79">
        <f>IFERROR(G16/SUM(Q$2:Q16),"")</f>
        <v>0.84706942235933003</v>
      </c>
      <c r="M16" s="64">
        <f t="shared" si="8"/>
        <v>0</v>
      </c>
      <c r="N16" s="55">
        <f t="shared" si="9"/>
        <v>0</v>
      </c>
      <c r="O16" s="55">
        <f t="shared" si="10"/>
        <v>0</v>
      </c>
      <c r="P16" s="55">
        <f t="shared" si="11"/>
        <v>0</v>
      </c>
      <c r="Q16" s="65">
        <f t="shared" si="12"/>
        <v>0</v>
      </c>
      <c r="R16" s="67">
        <f t="shared" si="14"/>
        <v>0</v>
      </c>
      <c r="S16" s="56">
        <f t="shared" si="15"/>
        <v>0</v>
      </c>
      <c r="T16" s="56">
        <f t="shared" si="16"/>
        <v>0</v>
      </c>
      <c r="U16" s="56">
        <f t="shared" si="17"/>
        <v>1.3420706991803992</v>
      </c>
      <c r="V16" s="68">
        <f t="shared" si="18"/>
        <v>16.605683185434295</v>
      </c>
      <c r="W16" s="80">
        <f t="shared" si="19"/>
        <v>7.5102146328275068E-2</v>
      </c>
      <c r="X16" s="81">
        <f t="shared" si="20"/>
        <v>1.1067823758270015</v>
      </c>
      <c r="Y16" s="81">
        <f t="shared" si="21"/>
        <v>0.63790966463909649</v>
      </c>
      <c r="Z16" s="81">
        <f t="shared" si="22"/>
        <v>0.8514805798289895</v>
      </c>
      <c r="AA16" s="82">
        <f t="shared" si="23"/>
        <v>4.6186649887010294</v>
      </c>
      <c r="AB16" s="83">
        <f>IF(R16&lt;&gt;"",(W16-SUMPRODUCT(R$3:R16,$B$3:$B16)/SUM($B$3:$B16))/STDEVA(W6:W16),"")</f>
        <v>0.19074964262007857</v>
      </c>
      <c r="AC16" s="84">
        <f>IF(S16&lt;&gt;"",(X16-SUMPRODUCT(S$3:S16,$B$3:$B16)/SUM($B$3:$B16))/STDEVA(X6:X16),"")</f>
        <v>0.32576718682912165</v>
      </c>
      <c r="AD16" s="84">
        <f>IF(T16&lt;&gt;"",(Y16-SUMPRODUCT(T$3:T16,$B$3:$B16)/SUM($B$3:$B16))/STDEVA(Y6:Y16),"")</f>
        <v>0.33412087588535955</v>
      </c>
      <c r="AE16" s="84">
        <f>IF(U16&lt;&gt;"",(Z16-SUMPRODUCT(U$3:U16,$B$3:$B16)/SUM($B$3:$B16))/STDEVA(Z6:Z16),"")</f>
        <v>0.19183748706620071</v>
      </c>
      <c r="AF16" s="85">
        <f>IF(V16&lt;&gt;"",(AA16-SUMPRODUCT(V$3:V16,$B$3:$B16)/SUM($B$3:$B16))/STDEVA(AA6:AA16),"")</f>
        <v>-5.2476629344132893E-2</v>
      </c>
      <c r="AG16" s="90">
        <f t="shared" si="25"/>
        <v>0.1474593734646111</v>
      </c>
      <c r="AH16" s="90">
        <f t="shared" si="26"/>
        <v>0.11855451455095303</v>
      </c>
      <c r="AI16" s="90">
        <f t="shared" si="27"/>
        <v>0.11149245230384761</v>
      </c>
      <c r="AJ16" s="90">
        <f t="shared" si="28"/>
        <v>0.1409380919549332</v>
      </c>
      <c r="AK16" s="93">
        <f t="shared" si="29"/>
        <v>-0.11822462472021186</v>
      </c>
      <c r="AL16" s="86"/>
      <c r="BQ16" s="100">
        <f>IF(A16&lt;&gt;"",(VLOOKUP(A16,MarketData!$D:$BP,MATCH($BQ$1,MarketData!$D$1:$EG$1,0),TRUE)/100/365+1)^(B16)*BQ15,"")</f>
        <v>100.87563618490896</v>
      </c>
      <c r="BR16" s="98">
        <f t="shared" si="1"/>
        <v>8.756361849089558E-3</v>
      </c>
      <c r="BS16" s="106">
        <f>IF(A16&lt;&gt;"",VLOOKUP(A16,MarketData!$D:$BP,MATCH($BS$1,MarketData!$D$1:$EG$1,0),TRUE),"")</f>
        <v>36767.949999999997</v>
      </c>
      <c r="BT16" s="98">
        <f t="shared" si="13"/>
        <v>-2.6038996374235968E-3</v>
      </c>
    </row>
    <row r="17" spans="1:72" x14ac:dyDescent="0.25">
      <c r="A17" s="48">
        <v>45343</v>
      </c>
      <c r="B17" s="60">
        <f t="shared" si="2"/>
        <v>2</v>
      </c>
      <c r="C17" s="3">
        <f t="shared" si="3"/>
        <v>45671</v>
      </c>
      <c r="D17" s="3">
        <f t="shared" si="4"/>
        <v>40058</v>
      </c>
      <c r="E17" s="3">
        <f t="shared" si="5"/>
        <v>12697</v>
      </c>
      <c r="F17" s="3">
        <f t="shared" si="6"/>
        <v>25028.574999999953</v>
      </c>
      <c r="G17" s="74">
        <f t="shared" si="7"/>
        <v>378704.65239999996</v>
      </c>
      <c r="H17" s="78">
        <f>IFERROR(C17/SUM(M$2:M16),"")</f>
        <v>9.4115082070181481E-3</v>
      </c>
      <c r="I17" s="61">
        <f>IFERROR(D17/SUM(N$2:N17),"")</f>
        <v>2.0339792022097652E-2</v>
      </c>
      <c r="J17" s="61">
        <f>IFERROR(E17/SUM(O$2:O17),"")</f>
        <v>1.8766110152056186E-2</v>
      </c>
      <c r="K17" s="61">
        <f>IFERROR(F17/SUM(P$2:P17),"")</f>
        <v>9.0014979374138923E-2</v>
      </c>
      <c r="L17" s="79">
        <f>IFERROR(G17/SUM(Q$2:Q17),"")</f>
        <v>0.83567715586390123</v>
      </c>
      <c r="M17" s="64">
        <f t="shared" si="8"/>
        <v>1000000</v>
      </c>
      <c r="N17" s="55">
        <f t="shared" si="9"/>
        <v>1033900</v>
      </c>
      <c r="O17" s="55">
        <f t="shared" si="10"/>
        <v>466100</v>
      </c>
      <c r="P17" s="55">
        <f t="shared" si="11"/>
        <v>0</v>
      </c>
      <c r="Q17" s="65">
        <f t="shared" si="12"/>
        <v>0</v>
      </c>
      <c r="R17" s="67">
        <f t="shared" si="14"/>
        <v>0.20145049327310044</v>
      </c>
      <c r="S17" s="56">
        <f t="shared" si="15"/>
        <v>-2.0942864971082731</v>
      </c>
      <c r="T17" s="56">
        <f t="shared" si="16"/>
        <v>-1.3823756325449565</v>
      </c>
      <c r="U17" s="56">
        <f t="shared" si="17"/>
        <v>0.21627482193373046</v>
      </c>
      <c r="V17" s="68">
        <f t="shared" si="18"/>
        <v>-1.0122547578972814</v>
      </c>
      <c r="W17" s="80">
        <f t="shared" si="19"/>
        <v>7.9241416896923988E-2</v>
      </c>
      <c r="X17" s="81">
        <f t="shared" si="20"/>
        <v>0.97951932119949314</v>
      </c>
      <c r="Y17" s="81">
        <f t="shared" si="21"/>
        <v>0.52014875571086272</v>
      </c>
      <c r="Z17" s="81">
        <f t="shared" si="22"/>
        <v>1.1007455465481988</v>
      </c>
      <c r="AA17" s="82">
        <f t="shared" si="23"/>
        <v>4.6786060412224622</v>
      </c>
      <c r="AB17" s="83">
        <f>IF(R17&lt;&gt;"",(W17-SUMPRODUCT(R$3:R17,$B$3:$B17)/SUM($B$3:$B17))/STDEVA(W7:W17),"")</f>
        <v>-4.1350769392412105E-2</v>
      </c>
      <c r="AC17" s="84">
        <f>IF(S17&lt;&gt;"",(X17-SUMPRODUCT(S$3:S17,$B$3:$B17)/SUM($B$3:$B17))/STDEVA(X7:X17),"")</f>
        <v>0.42135679303191526</v>
      </c>
      <c r="AD17" s="84">
        <f>IF(T17&lt;&gt;"",(Y17-SUMPRODUCT(T$3:T17,$B$3:$B17)/SUM($B$3:$B17))/STDEVA(Y7:Y17),"")</f>
        <v>0.23620464647042327</v>
      </c>
      <c r="AE17" s="84">
        <f>IF(U17&lt;&gt;"",(Z17-SUMPRODUCT(U$3:U17,$B$3:$B17)/SUM($B$3:$B17))/STDEVA(Z7:Z17),"")</f>
        <v>0.64238557097297744</v>
      </c>
      <c r="AF17" s="85">
        <f>IF(V17&lt;&gt;"",(AA17-SUMPRODUCT(V$3:V17,$B$3:$B17)/SUM($B$3:$B17))/STDEVA(AA7:AA17),"")</f>
        <v>0.13366948007544094</v>
      </c>
      <c r="AG17" s="90">
        <f t="shared" si="25"/>
        <v>0.13893489523315056</v>
      </c>
      <c r="AH17" s="90">
        <f t="shared" si="26"/>
        <v>0.14537522090328184</v>
      </c>
      <c r="AI17" s="90">
        <f t="shared" si="27"/>
        <v>0.12485974269781053</v>
      </c>
      <c r="AJ17" s="90">
        <f t="shared" si="28"/>
        <v>0.18330227899163773</v>
      </c>
      <c r="AK17" s="93">
        <f t="shared" si="29"/>
        <v>-0.10394449194720838</v>
      </c>
      <c r="AL17" s="86"/>
      <c r="BQ17" s="100">
        <f>IF(A17&lt;&gt;"",(VLOOKUP(A17,MarketData!$D:$BP,MATCH($BQ$1,MarketData!$D$1:$EG$1,0),TRUE)/100/365+1)^(B17)*BQ16,"")</f>
        <v>100.91571404771734</v>
      </c>
      <c r="BR17" s="98">
        <f t="shared" si="1"/>
        <v>9.1571404771734425E-3</v>
      </c>
      <c r="BS17" s="106">
        <f>IF(A17&lt;&gt;"",VLOOKUP(A17,MarketData!$D:$BP,MATCH($BS$1,MarketData!$D$1:$EG$1,0),TRUE),"")</f>
        <v>36785.65</v>
      </c>
      <c r="BT17" s="98">
        <f t="shared" si="13"/>
        <v>-2.1237556267724197E-3</v>
      </c>
    </row>
    <row r="18" spans="1:72" x14ac:dyDescent="0.25">
      <c r="A18" s="48">
        <v>45344</v>
      </c>
      <c r="B18" s="60">
        <f t="shared" si="2"/>
        <v>1</v>
      </c>
      <c r="C18" s="3">
        <f>IF($A18&lt;&gt;0,SUMIFS(VM,Fecha,$A18,Linea,C$1)+SUMIFS(FX,Fecha,$A18,Linea,C$1)+C17,"")</f>
        <v>45671</v>
      </c>
      <c r="D18" s="3">
        <f t="shared" si="4"/>
        <v>40058</v>
      </c>
      <c r="E18" s="3">
        <f t="shared" si="5"/>
        <v>12697</v>
      </c>
      <c r="F18" s="3">
        <f t="shared" si="6"/>
        <v>26236.254999999946</v>
      </c>
      <c r="G18" s="74">
        <f t="shared" si="7"/>
        <v>382403.26359999995</v>
      </c>
      <c r="H18" s="78">
        <f>IFERROR(C18/SUM(M$2:M17),"")</f>
        <v>7.8034389738984352E-3</v>
      </c>
      <c r="I18" s="61">
        <f>IFERROR(D18/SUM(N$2:N18),"")</f>
        <v>2.0339792022097652E-2</v>
      </c>
      <c r="J18" s="61">
        <f>IFERROR(E18/SUM(O$2:O18),"")</f>
        <v>1.8766110152056186E-2</v>
      </c>
      <c r="K18" s="61">
        <f>IFERROR(F18/SUM(P$2:P18),"")</f>
        <v>9.4358386471449091E-2</v>
      </c>
      <c r="L18" s="79">
        <f>IFERROR(G18/SUM(Q$2:Q18),"")</f>
        <v>0.8438387796218203</v>
      </c>
      <c r="M18" s="64">
        <f t="shared" si="8"/>
        <v>0</v>
      </c>
      <c r="N18" s="55">
        <f t="shared" si="9"/>
        <v>0</v>
      </c>
      <c r="O18" s="55">
        <f t="shared" si="10"/>
        <v>0</v>
      </c>
      <c r="P18" s="55">
        <f t="shared" si="11"/>
        <v>0</v>
      </c>
      <c r="Q18" s="65">
        <f t="shared" si="12"/>
        <v>0</v>
      </c>
      <c r="R18" s="67">
        <f t="shared" si="14"/>
        <v>0</v>
      </c>
      <c r="S18" s="56">
        <f t="shared" si="15"/>
        <v>0</v>
      </c>
      <c r="T18" s="56">
        <f t="shared" si="16"/>
        <v>0</v>
      </c>
      <c r="U18" s="56">
        <f t="shared" si="17"/>
        <v>1.4515346387645185</v>
      </c>
      <c r="V18" s="68">
        <f t="shared" si="18"/>
        <v>1.4515346387645185</v>
      </c>
      <c r="W18" s="80">
        <f t="shared" si="19"/>
        <v>7.6967713678879918E-2</v>
      </c>
      <c r="X18" s="81">
        <f t="shared" si="20"/>
        <v>0.94757952967362002</v>
      </c>
      <c r="Y18" s="81">
        <f t="shared" si="21"/>
        <v>0.49238669546778535</v>
      </c>
      <c r="Z18" s="81">
        <f t="shared" si="22"/>
        <v>1.0037536264698719</v>
      </c>
      <c r="AA18" s="82">
        <f t="shared" si="23"/>
        <v>4.8054466370094957</v>
      </c>
      <c r="AB18" s="83">
        <f>IF(R18&lt;&gt;"",(W18-SUMPRODUCT(R$3:R18,$B$3:$B18)/SUM($B$3:$B18))/STDEVA(W8:W18),"")</f>
        <v>-0.11543364676422088</v>
      </c>
      <c r="AC18" s="84">
        <f>IF(S18&lt;&gt;"",(X18-SUMPRODUCT(S$3:S18,$B$3:$B18)/SUM($B$3:$B18))/STDEVA(X8:X18),"")</f>
        <v>0.39543127250713</v>
      </c>
      <c r="AD18" s="84">
        <f>IF(T18&lt;&gt;"",(Y18-SUMPRODUCT(T$3:T18,$B$3:$B18)/SUM($B$3:$B18))/STDEVA(Y8:Y18),"")</f>
        <v>7.1585777227527986E-2</v>
      </c>
      <c r="AE18" s="84">
        <f>IF(U18&lt;&gt;"",(Z18-SUMPRODUCT(U$3:U18,$B$3:$B18)/SUM($B$3:$B18))/STDEVA(Z8:Z18),"")</f>
        <v>0.51353812147528166</v>
      </c>
      <c r="AF18" s="85">
        <f>IF(V18&lt;&gt;"",(AA18-SUMPRODUCT(V$3:V18,$B$3:$B18)/SUM($B$3:$B18))/STDEVA(AA8:AA18),"")</f>
        <v>0.22863043318807055</v>
      </c>
      <c r="AG18" s="90">
        <f t="shared" si="25"/>
        <v>0.15149202185545182</v>
      </c>
      <c r="AH18" s="90">
        <f t="shared" si="26"/>
        <v>0.18002342653732248</v>
      </c>
      <c r="AI18" s="90">
        <f t="shared" si="27"/>
        <v>0.14344995125285051</v>
      </c>
      <c r="AJ18" s="90">
        <f t="shared" si="28"/>
        <v>0.22761248559372918</v>
      </c>
      <c r="AK18" s="93">
        <f t="shared" si="29"/>
        <v>-0.10741128539110649</v>
      </c>
      <c r="AL18" s="86"/>
      <c r="BQ18" s="100">
        <f>IF(A18&lt;&gt;"",(VLOOKUP(A18,MarketData!$D:$BP,MATCH($BQ$1,MarketData!$D$1:$EG$1,0),TRUE)/100/365+1)^(B18)*BQ17,"")</f>
        <v>100.93575894982271</v>
      </c>
      <c r="BR18" s="98">
        <f t="shared" si="1"/>
        <v>9.3575894982271274E-3</v>
      </c>
      <c r="BS18" s="106">
        <f>IF(A18&lt;&gt;"",VLOOKUP(A18,MarketData!$D:$BP,MATCH($BS$1,MarketData!$D$1:$EG$1,0),TRUE),"")</f>
        <v>36794.5</v>
      </c>
      <c r="BT18" s="98">
        <f t="shared" si="13"/>
        <v>-1.8836836214469297E-3</v>
      </c>
    </row>
    <row r="19" spans="1:72" x14ac:dyDescent="0.25">
      <c r="A19" s="48">
        <v>45346</v>
      </c>
      <c r="B19" s="60">
        <f t="shared" si="2"/>
        <v>2</v>
      </c>
      <c r="C19" s="3">
        <f t="shared" si="3"/>
        <v>47958</v>
      </c>
      <c r="D19" s="3">
        <f t="shared" si="4"/>
        <v>111547</v>
      </c>
      <c r="E19" s="3">
        <f t="shared" si="5"/>
        <v>26893</v>
      </c>
      <c r="F19" s="3">
        <f t="shared" si="6"/>
        <v>31525.53979999997</v>
      </c>
      <c r="G19" s="74">
        <f t="shared" si="7"/>
        <v>492110.55519999989</v>
      </c>
      <c r="H19" s="78">
        <f>IFERROR(C19/SUM(M$2:M18),"")</f>
        <v>8.1942003965365592E-3</v>
      </c>
      <c r="I19" s="61">
        <f>IFERROR(D19/SUM(N$2:N19),"")</f>
        <v>5.6638943049800959E-2</v>
      </c>
      <c r="J19" s="61">
        <f>IFERROR(E19/SUM(O$2:O19),"")</f>
        <v>3.9747735710738523E-2</v>
      </c>
      <c r="K19" s="61">
        <f>IFERROR(F19/SUM(P$2:P19),"")</f>
        <v>0.11338123783937352</v>
      </c>
      <c r="L19" s="79">
        <f>IFERROR(G19/SUM(Q$2:Q19),"")</f>
        <v>1.0859268470400796</v>
      </c>
      <c r="M19" s="64">
        <f t="shared" si="8"/>
        <v>0</v>
      </c>
      <c r="N19" s="55">
        <f t="shared" si="9"/>
        <v>0</v>
      </c>
      <c r="O19" s="55">
        <f t="shared" si="10"/>
        <v>0</v>
      </c>
      <c r="P19" s="55">
        <f t="shared" si="11"/>
        <v>0</v>
      </c>
      <c r="Q19" s="65">
        <f t="shared" si="12"/>
        <v>0</v>
      </c>
      <c r="R19" s="67">
        <f t="shared" si="14"/>
        <v>7.0748059553106438E-2</v>
      </c>
      <c r="S19" s="56">
        <f t="shared" si="15"/>
        <v>6.3797183389155245</v>
      </c>
      <c r="T19" s="56">
        <f t="shared" si="16"/>
        <v>3.7204309145983823</v>
      </c>
      <c r="U19" s="56">
        <f t="shared" si="17"/>
        <v>3.145079870855362</v>
      </c>
      <c r="V19" s="68">
        <f t="shared" si="18"/>
        <v>20.311377809936914</v>
      </c>
      <c r="W19" s="80">
        <f t="shared" si="19"/>
        <v>8.1366504918182245E-2</v>
      </c>
      <c r="X19" s="81">
        <f t="shared" si="20"/>
        <v>1.3039551019474029</v>
      </c>
      <c r="Y19" s="81">
        <f t="shared" si="21"/>
        <v>0.68731199165979528</v>
      </c>
      <c r="Z19" s="81">
        <f t="shared" si="22"/>
        <v>1.2306210009991614</v>
      </c>
      <c r="AA19" s="82">
        <f t="shared" si="23"/>
        <v>6.236393783273801</v>
      </c>
      <c r="AB19" s="83">
        <f>IF(R19&lt;&gt;"",(W19-SUMPRODUCT(R$3:R19,$B$3:$B19)/SUM($B$3:$B19))/STDEVA(W9:W19),"")</f>
        <v>0.61134608885586961</v>
      </c>
      <c r="AC19" s="84">
        <f>IF(S19&lt;&gt;"",(X19-SUMPRODUCT(S$3:S19,$B$3:$B19)/SUM($B$3:$B19))/STDEVA(X9:X19),"")</f>
        <v>0.7087058647820218</v>
      </c>
      <c r="AD19" s="84">
        <f>IF(T19&lt;&gt;"",(Y19-SUMPRODUCT(T$3:T19,$B$3:$B19)/SUM($B$3:$B19))/STDEVA(Y9:Y19),"")</f>
        <v>0.58876749715681953</v>
      </c>
      <c r="AE19" s="84">
        <f>IF(U19&lt;&gt;"",(Z19-SUMPRODUCT(U$3:U19,$B$3:$B19)/SUM($B$3:$B19))/STDEVA(Z9:Z19),"")</f>
        <v>0.73351859155003252</v>
      </c>
      <c r="AF19" s="85">
        <f>IF(V19&lt;&gt;"",(AA19-SUMPRODUCT(V$3:V19,$B$3:$B19)/SUM($B$3:$B19))/STDEVA(AA9:AA19),"")</f>
        <v>0.52812161154647552</v>
      </c>
      <c r="AG19" s="90">
        <f t="shared" si="25"/>
        <v>0.19765362961477237</v>
      </c>
      <c r="AH19" s="90">
        <f t="shared" si="26"/>
        <v>0.23536742582080716</v>
      </c>
      <c r="AI19" s="90">
        <f t="shared" si="27"/>
        <v>0.190857264147205</v>
      </c>
      <c r="AJ19" s="90">
        <f t="shared" si="28"/>
        <v>0.27388725179157886</v>
      </c>
      <c r="AK19" s="93">
        <f t="shared" si="29"/>
        <v>-5.6427653171268147E-2</v>
      </c>
      <c r="AL19" s="86"/>
      <c r="BQ19" s="100">
        <f>IF(A19&lt;&gt;"",(VLOOKUP(A19,MarketData!$D:$BP,MATCH($BQ$1,MarketData!$D$1:$EG$1,0),TRUE)/100/365+1)^(B19)*BQ18,"")</f>
        <v>100.97586069938924</v>
      </c>
      <c r="BR19" s="98">
        <f t="shared" si="1"/>
        <v>9.7586069938924418E-3</v>
      </c>
      <c r="BS19" s="106">
        <f>IF(A19&lt;&gt;"",VLOOKUP(A19,MarketData!$D:$BP,MATCH($BS$1,MarketData!$D$1:$EG$1,0),TRUE),"")</f>
        <v>36812.199999999997</v>
      </c>
      <c r="BT19" s="98">
        <f t="shared" si="13"/>
        <v>-1.4035396107959495E-3</v>
      </c>
    </row>
    <row r="20" spans="1:72" x14ac:dyDescent="0.25">
      <c r="A20" s="48">
        <v>45347</v>
      </c>
      <c r="B20" s="60">
        <f t="shared" si="2"/>
        <v>1</v>
      </c>
      <c r="C20" s="3">
        <f t="shared" si="3"/>
        <v>47958</v>
      </c>
      <c r="D20" s="3">
        <f t="shared" si="4"/>
        <v>111547</v>
      </c>
      <c r="E20" s="3">
        <f t="shared" si="5"/>
        <v>26893</v>
      </c>
      <c r="F20" s="3">
        <f t="shared" si="6"/>
        <v>31525.53979999997</v>
      </c>
      <c r="G20" s="74">
        <f t="shared" si="7"/>
        <v>504172.90319999994</v>
      </c>
      <c r="H20" s="78">
        <f>IFERROR(C20/SUM(M$2:M19),"")</f>
        <v>8.1942003965365592E-3</v>
      </c>
      <c r="I20" s="61">
        <f>IFERROR(D20/SUM(N$2:N20),"")</f>
        <v>5.6638943049800959E-2</v>
      </c>
      <c r="J20" s="61">
        <f>IFERROR(E20/SUM(O$2:O20),"")</f>
        <v>3.9747735710738523E-2</v>
      </c>
      <c r="K20" s="61">
        <f>IFERROR(F20/SUM(P$2:P20),"")</f>
        <v>0.11338123783937352</v>
      </c>
      <c r="L20" s="79">
        <f>IFERROR(G20/SUM(Q$2:Q20),"")</f>
        <v>1.1125444990963675</v>
      </c>
      <c r="M20" s="64">
        <f t="shared" si="8"/>
        <v>0</v>
      </c>
      <c r="N20" s="55">
        <f t="shared" si="9"/>
        <v>0</v>
      </c>
      <c r="O20" s="55">
        <f t="shared" si="10"/>
        <v>0</v>
      </c>
      <c r="P20" s="55">
        <f t="shared" si="11"/>
        <v>0</v>
      </c>
      <c r="Q20" s="65">
        <f t="shared" si="12"/>
        <v>0</v>
      </c>
      <c r="R20" s="67">
        <f t="shared" si="14"/>
        <v>0</v>
      </c>
      <c r="S20" s="56">
        <f t="shared" si="15"/>
        <v>0</v>
      </c>
      <c r="T20" s="56">
        <f t="shared" si="16"/>
        <v>0</v>
      </c>
      <c r="U20" s="56">
        <f t="shared" si="17"/>
        <v>0</v>
      </c>
      <c r="V20" s="68">
        <f t="shared" si="18"/>
        <v>4.2026166263003919</v>
      </c>
      <c r="W20" s="80">
        <f t="shared" si="19"/>
        <v>7.3800814127292322E-2</v>
      </c>
      <c r="X20" s="81">
        <f t="shared" si="20"/>
        <v>1.3010614782721999</v>
      </c>
      <c r="Y20" s="81">
        <f t="shared" si="21"/>
        <v>0.6793996306850032</v>
      </c>
      <c r="Z20" s="81">
        <f t="shared" si="22"/>
        <v>1.2417654432969139</v>
      </c>
      <c r="AA20" s="82">
        <f t="shared" si="23"/>
        <v>7.1236866505540641</v>
      </c>
      <c r="AB20" s="83">
        <f>IF(R20&lt;&gt;"",(W20-SUMPRODUCT(R$3:R20,$B$3:$B20)/SUM($B$3:$B20))/STDEVA(W10:W20),"")</f>
        <v>-0.3383772178474484</v>
      </c>
      <c r="AC20" s="84">
        <f>IF(S20&lt;&gt;"",(X20-SUMPRODUCT(S$3:S20,$B$3:$B20)/SUM($B$3:$B20))/STDEVA(X10:X20),"")</f>
        <v>0.74772395633700939</v>
      </c>
      <c r="AD20" s="84">
        <f>IF(T20&lt;&gt;"",(Y20-SUMPRODUCT(T$3:T20,$B$3:$B20)/SUM($B$3:$B20))/STDEVA(Y10:Y20),"")</f>
        <v>0.60974145978482885</v>
      </c>
      <c r="AE20" s="84">
        <f>IF(U20&lt;&gt;"",(Z20-SUMPRODUCT(U$3:U20,$B$3:$B20)/SUM($B$3:$B20))/STDEVA(Z10:Z20),"")</f>
        <v>0.81454238671023971</v>
      </c>
      <c r="AF20" s="85">
        <f>IF(V20&lt;&gt;"",(AA20-SUMPRODUCT(V$3:V20,$B$3:$B20)/SUM($B$3:$B20))/STDEVA(AA10:AA20),"")</f>
        <v>0.8095297355364075</v>
      </c>
      <c r="AG20" s="90">
        <f t="shared" si="25"/>
        <v>0.16715256237798273</v>
      </c>
      <c r="AH20" s="90">
        <f t="shared" si="26"/>
        <v>0.35138631832973977</v>
      </c>
      <c r="AI20" s="90">
        <f t="shared" si="27"/>
        <v>0.28717316484790673</v>
      </c>
      <c r="AJ20" s="90">
        <f t="shared" si="28"/>
        <v>0.31999527348532653</v>
      </c>
      <c r="AK20" s="93">
        <f t="shared" si="29"/>
        <v>2.4009937559599671E-2</v>
      </c>
      <c r="AL20" s="86"/>
      <c r="BQ20" s="100">
        <f>IF(A20&lt;&gt;"",(VLOOKUP(A20,MarketData!$D:$BP,MATCH($BQ$1,MarketData!$D$1:$EG$1,0),TRUE)/100/365+1)^(B20)*BQ19,"")</f>
        <v>100.99591754843227</v>
      </c>
      <c r="BR20" s="98">
        <f t="shared" si="1"/>
        <v>9.9591754843227423E-3</v>
      </c>
      <c r="BS20" s="106">
        <f>IF(A20&lt;&gt;"",VLOOKUP(A20,MarketData!$D:$BP,MATCH($BS$1,MarketData!$D$1:$EG$1,0),TRUE),"")</f>
        <v>36821.06</v>
      </c>
      <c r="BT20" s="98">
        <f t="shared" si="13"/>
        <v>-1.1631963376677766E-3</v>
      </c>
    </row>
    <row r="21" spans="1:72" x14ac:dyDescent="0.25">
      <c r="A21" s="48">
        <v>45348</v>
      </c>
      <c r="B21" s="60">
        <f t="shared" si="2"/>
        <v>1</v>
      </c>
      <c r="C21" s="3">
        <f t="shared" si="3"/>
        <v>51715</v>
      </c>
      <c r="D21" s="3">
        <f t="shared" si="4"/>
        <v>119889</v>
      </c>
      <c r="E21" s="3">
        <f t="shared" si="5"/>
        <v>28292</v>
      </c>
      <c r="F21" s="3">
        <f t="shared" si="6"/>
        <v>33803.134999999951</v>
      </c>
      <c r="G21" s="74">
        <f t="shared" si="7"/>
        <v>489338.23479999992</v>
      </c>
      <c r="H21" s="78">
        <f>IFERROR(C21/SUM(M$2:M20),"")</f>
        <v>8.8361289775822204E-3</v>
      </c>
      <c r="I21" s="61">
        <f>IFERROR(D21/SUM(N$2:N21),"")</f>
        <v>6.0874664879356569E-2</v>
      </c>
      <c r="J21" s="61">
        <f>IFERROR(E21/SUM(O$2:O21),"")</f>
        <v>4.1815451557216166E-2</v>
      </c>
      <c r="K21" s="61">
        <f>IFERROR(F21/SUM(P$2:P21),"")</f>
        <v>0.12157258253041713</v>
      </c>
      <c r="L21" s="79">
        <f>IFERROR(G21/SUM(Q$2:Q21),"")</f>
        <v>1.0798092437512548</v>
      </c>
      <c r="M21" s="64">
        <f t="shared" si="8"/>
        <v>0</v>
      </c>
      <c r="N21" s="55">
        <f t="shared" si="9"/>
        <v>0</v>
      </c>
      <c r="O21" s="55">
        <f t="shared" si="10"/>
        <v>0</v>
      </c>
      <c r="P21" s="55">
        <f t="shared" si="11"/>
        <v>0</v>
      </c>
      <c r="Q21" s="65">
        <f t="shared" si="12"/>
        <v>0</v>
      </c>
      <c r="R21" s="67">
        <f t="shared" si="14"/>
        <v>0.2323256488313836</v>
      </c>
      <c r="S21" s="56">
        <f t="shared" si="15"/>
        <v>1.4602414114973494</v>
      </c>
      <c r="T21" s="56">
        <f t="shared" si="16"/>
        <v>0.72514400409929858</v>
      </c>
      <c r="U21" s="56">
        <f t="shared" si="17"/>
        <v>2.6755418760565139</v>
      </c>
      <c r="V21" s="68">
        <f t="shared" si="18"/>
        <v>-5.1753920194927661</v>
      </c>
      <c r="W21" s="80">
        <f t="shared" si="19"/>
        <v>7.8566183000841977E-2</v>
      </c>
      <c r="X21" s="81">
        <f t="shared" si="20"/>
        <v>1.2706150909892584</v>
      </c>
      <c r="Y21" s="81">
        <f t="shared" si="21"/>
        <v>0.64284830742046961</v>
      </c>
      <c r="Z21" s="81">
        <f t="shared" si="22"/>
        <v>1.3291482436820794</v>
      </c>
      <c r="AA21" s="82">
        <f t="shared" si="23"/>
        <v>6.8560386878271888</v>
      </c>
      <c r="AB21" s="83">
        <f>IF(R21&lt;&gt;"",(W21-SUMPRODUCT(R$3:R21,$B$3:$B21)/SUM($B$3:$B21))/STDEVA(W11:W21),"")</f>
        <v>-7.9553068041428282E-2</v>
      </c>
      <c r="AC21" s="84">
        <f>IF(S21&lt;&gt;"",(X21-SUMPRODUCT(S$3:S21,$B$3:$B21)/SUM($B$3:$B21))/STDEVA(X11:X21),"")</f>
        <v>0.63527606365213607</v>
      </c>
      <c r="AD21" s="84">
        <f>IF(T21&lt;&gt;"",(Y21-SUMPRODUCT(T$3:T21,$B$3:$B21)/SUM($B$3:$B21))/STDEVA(Y11:Y21),"")</f>
        <v>0.25257484206236736</v>
      </c>
      <c r="AE21" s="84">
        <f>IF(U21&lt;&gt;"",(Z21-SUMPRODUCT(U$3:U21,$B$3:$B21)/SUM($B$3:$B21))/STDEVA(Z11:Z21),"")</f>
        <v>0.9362916155021429</v>
      </c>
      <c r="AF21" s="85">
        <f>IF(V21&lt;&gt;"",(AA21-SUMPRODUCT(V$3:V21,$B$3:$B21)/SUM($B$3:$B21))/STDEVA(AA11:AA21),"")</f>
        <v>0.76327983474396321</v>
      </c>
      <c r="AG21" s="90">
        <f t="shared" si="25"/>
        <v>0.10979177683488607</v>
      </c>
      <c r="AH21" s="90">
        <f t="shared" si="26"/>
        <v>0.52112122019804363</v>
      </c>
      <c r="AI21" s="90">
        <f t="shared" si="27"/>
        <v>0.36134312423332543</v>
      </c>
      <c r="AJ21" s="90">
        <f t="shared" si="28"/>
        <v>0.59998393587400967</v>
      </c>
      <c r="AK21" s="93">
        <f t="shared" si="29"/>
        <v>0.33556321422488983</v>
      </c>
      <c r="AL21" s="86"/>
      <c r="BQ21" s="100">
        <f>IF(A21&lt;&gt;"",(VLOOKUP(A21,MarketData!$D:$BP,MATCH($BQ$1,MarketData!$D$1:$EG$1,0),TRUE)/100/365+1)^(B21)*BQ20,"")</f>
        <v>101.01597838136998</v>
      </c>
      <c r="BR21" s="98">
        <f t="shared" si="1"/>
        <v>1.0159783813699761E-2</v>
      </c>
      <c r="BS21" s="106">
        <f>IF(A21&lt;&gt;"",VLOOKUP(A21,MarketData!$D:$BP,MATCH($BS$1,MarketData!$D$1:$EG$1,0),TRUE),"")</f>
        <v>36829.919999999998</v>
      </c>
      <c r="BT21" s="98">
        <f t="shared" si="13"/>
        <v>-9.2285306453960354E-4</v>
      </c>
    </row>
    <row r="22" spans="1:72" x14ac:dyDescent="0.25">
      <c r="A22" s="48">
        <v>45349</v>
      </c>
      <c r="B22" s="60">
        <f t="shared" si="2"/>
        <v>1</v>
      </c>
      <c r="C22" s="3">
        <f t="shared" si="3"/>
        <v>53058</v>
      </c>
      <c r="D22" s="3">
        <f t="shared" si="4"/>
        <v>118121</v>
      </c>
      <c r="E22" s="3">
        <f t="shared" si="5"/>
        <v>27152</v>
      </c>
      <c r="F22" s="3">
        <f t="shared" si="6"/>
        <v>36588.600499999942</v>
      </c>
      <c r="G22" s="74">
        <f t="shared" si="7"/>
        <v>547154.28099999996</v>
      </c>
      <c r="H22" s="78">
        <f>IFERROR(C22/SUM(M$2:M21),"")</f>
        <v>9.0655966603994474E-3</v>
      </c>
      <c r="I22" s="61">
        <f>IFERROR(D22/SUM(N$2:N22),"")</f>
        <v>5.9976947761800306E-2</v>
      </c>
      <c r="J22" s="61">
        <f>IFERROR(E22/SUM(O$2:O22),"")</f>
        <v>4.0130536571523164E-2</v>
      </c>
      <c r="K22" s="61">
        <f>IFERROR(F22/SUM(P$2:P22),"")</f>
        <v>0.13159047685839526</v>
      </c>
      <c r="L22" s="79">
        <f>IFERROR(G22/SUM(Q$2:Q22),"")</f>
        <v>1.2073903250649312</v>
      </c>
      <c r="M22" s="64">
        <f t="shared" si="8"/>
        <v>0</v>
      </c>
      <c r="N22" s="55">
        <f t="shared" si="9"/>
        <v>0</v>
      </c>
      <c r="O22" s="55">
        <f t="shared" si="10"/>
        <v>0</v>
      </c>
      <c r="P22" s="55">
        <f t="shared" si="11"/>
        <v>0</v>
      </c>
      <c r="Q22" s="65">
        <f t="shared" si="12"/>
        <v>0</v>
      </c>
      <c r="R22" s="67">
        <f t="shared" si="14"/>
        <v>8.3012669571755085E-2</v>
      </c>
      <c r="S22" s="56">
        <f t="shared" si="15"/>
        <v>-0.30899546722084792</v>
      </c>
      <c r="T22" s="56">
        <f t="shared" si="16"/>
        <v>-0.5907877606344184</v>
      </c>
      <c r="U22" s="56">
        <f t="shared" si="17"/>
        <v>3.2457109740914061</v>
      </c>
      <c r="V22" s="68">
        <f t="shared" si="18"/>
        <v>19.768892131607988</v>
      </c>
      <c r="W22" s="80">
        <f t="shared" si="19"/>
        <v>8.7121775089025827E-2</v>
      </c>
      <c r="X22" s="81">
        <f t="shared" si="20"/>
        <v>1.3974772903266954</v>
      </c>
      <c r="Y22" s="81">
        <f t="shared" si="21"/>
        <v>0.69370446496507421</v>
      </c>
      <c r="Z22" s="81">
        <f t="shared" si="22"/>
        <v>1.473030462910961</v>
      </c>
      <c r="AA22" s="82">
        <f t="shared" si="23"/>
        <v>8.141433061882001</v>
      </c>
      <c r="AB22" s="83">
        <f>IF(R22&lt;&gt;"",(W22-SUMPRODUCT(R$3:R22,$B$3:$B22)/SUM($B$3:$B22))/STDEVA(W12:W22),"")</f>
        <v>1.2207410088357051</v>
      </c>
      <c r="AC22" s="84">
        <f>IF(S22&lt;&gt;"",(X22-SUMPRODUCT(S$3:S22,$B$3:$B22)/SUM($B$3:$B22))/STDEVA(X12:X22),"")</f>
        <v>1.0596415859877315</v>
      </c>
      <c r="AD22" s="84">
        <f>IF(T22&lt;&gt;"",(Y22-SUMPRODUCT(T$3:T22,$B$3:$B22)/SUM($B$3:$B22))/STDEVA(Y12:Y22),"")</f>
        <v>0.89681792163705576</v>
      </c>
      <c r="AE22" s="84">
        <f>IF(U22&lt;&gt;"",(Z22-SUMPRODUCT(U$3:U22,$B$3:$B22)/SUM($B$3:$B22))/STDEVA(Z12:Z22),"")</f>
        <v>1.2185172688542534</v>
      </c>
      <c r="AF22" s="85">
        <f>IF(V22&lt;&gt;"",(AA22-SUMPRODUCT(V$3:V22,$B$3:$B22)/SUM($B$3:$B22))/STDEVA(AA12:AA22),"")</f>
        <v>1.0836654647026389</v>
      </c>
      <c r="AG22" s="90">
        <f t="shared" si="25"/>
        <v>0.22842096438869033</v>
      </c>
      <c r="AH22" s="90">
        <f t="shared" si="26"/>
        <v>0.63727477426398504</v>
      </c>
      <c r="AI22" s="90">
        <f t="shared" si="27"/>
        <v>0.43508303599578324</v>
      </c>
      <c r="AJ22" s="90">
        <f t="shared" si="28"/>
        <v>0.77933721469849226</v>
      </c>
      <c r="AK22" s="93">
        <f t="shared" si="29"/>
        <v>0.52608595642686407</v>
      </c>
      <c r="AL22" s="86"/>
      <c r="BQ22" s="100">
        <f>IF(A22&lt;&gt;"",(VLOOKUP(A22,MarketData!$D:$BP,MATCH($BQ$1,MarketData!$D$1:$EG$1,0),TRUE)/100/365+1)^(B22)*BQ21,"")</f>
        <v>101.03604319899367</v>
      </c>
      <c r="BR22" s="98">
        <f t="shared" si="1"/>
        <v>1.0360431989936671E-2</v>
      </c>
      <c r="BS22" s="106">
        <f>IF(A22&lt;&gt;"",VLOOKUP(A22,MarketData!$D:$BP,MATCH($BS$1,MarketData!$D$1:$EG$1,0),TRUE),"")</f>
        <v>36838.78</v>
      </c>
      <c r="BT22" s="98">
        <f t="shared" si="13"/>
        <v>-6.8250979141143051E-4</v>
      </c>
    </row>
    <row r="23" spans="1:72" x14ac:dyDescent="0.25">
      <c r="A23" s="48">
        <v>45350</v>
      </c>
      <c r="B23" s="60">
        <f t="shared" si="2"/>
        <v>1</v>
      </c>
      <c r="C23" s="3">
        <f t="shared" si="3"/>
        <v>54390</v>
      </c>
      <c r="D23" s="3">
        <f t="shared" si="4"/>
        <v>100941</v>
      </c>
      <c r="E23" s="3">
        <f t="shared" si="5"/>
        <v>24381</v>
      </c>
      <c r="F23" s="3">
        <f t="shared" si="6"/>
        <v>32954.396699999925</v>
      </c>
      <c r="G23" s="74">
        <f t="shared" si="7"/>
        <v>696498.98209999991</v>
      </c>
      <c r="H23" s="78">
        <f>IFERROR(C23/SUM(M$2:M22),"")</f>
        <v>9.2931848610789316E-3</v>
      </c>
      <c r="I23" s="61">
        <f>IFERROR(D23/SUM(N$2:N23),"")</f>
        <v>5.1253655861564711E-2</v>
      </c>
      <c r="J23" s="61">
        <f>IFERROR(E23/SUM(O$2:O23),"")</f>
        <v>3.603501075980798E-2</v>
      </c>
      <c r="K23" s="61">
        <f>IFERROR(F23/SUM(P$2:P23),"")</f>
        <v>0.11852010508939045</v>
      </c>
      <c r="L23" s="79">
        <f>IFERROR(G23/SUM(Q$2:Q23),"")</f>
        <v>1.5369451754414998</v>
      </c>
      <c r="M23" s="64">
        <f t="shared" si="8"/>
        <v>0</v>
      </c>
      <c r="N23" s="55">
        <f t="shared" si="9"/>
        <v>0</v>
      </c>
      <c r="O23" s="55">
        <f t="shared" si="10"/>
        <v>0</v>
      </c>
      <c r="P23" s="55">
        <f t="shared" si="11"/>
        <v>0</v>
      </c>
      <c r="Q23" s="65">
        <f t="shared" si="12"/>
        <v>0</v>
      </c>
      <c r="R23" s="67">
        <f t="shared" si="14"/>
        <v>8.2314100308190766E-2</v>
      </c>
      <c r="S23" s="56">
        <f t="shared" si="15"/>
        <v>-3.016268954807455</v>
      </c>
      <c r="T23" s="56">
        <f t="shared" si="16"/>
        <v>-1.4400285778722055</v>
      </c>
      <c r="U23" s="56">
        <f t="shared" si="17"/>
        <v>-4.2404517104117465</v>
      </c>
      <c r="V23" s="68">
        <f t="shared" si="18"/>
        <v>46.601164991230611</v>
      </c>
      <c r="W23" s="80">
        <f t="shared" si="19"/>
        <v>8.9960192341032419E-2</v>
      </c>
      <c r="X23" s="81">
        <f t="shared" si="20"/>
        <v>1.2934680160229899</v>
      </c>
      <c r="Y23" s="81">
        <f t="shared" si="21"/>
        <v>0.64404830710741201</v>
      </c>
      <c r="Z23" s="81">
        <f t="shared" si="22"/>
        <v>1.170211354502374</v>
      </c>
      <c r="AA23" s="82">
        <f t="shared" si="23"/>
        <v>9.5917731500817727</v>
      </c>
      <c r="AB23" s="83">
        <f>IF(R23&lt;&gt;"",(W23-SUMPRODUCT(R$3:R23,$B$3:$B23)/SUM($B$3:$B23))/STDEVA(W13:W23),"")</f>
        <v>1.5468441923976768</v>
      </c>
      <c r="AC23" s="84">
        <f>IF(S23&lt;&gt;"",(X23-SUMPRODUCT(S$3:S23,$B$3:$B23)/SUM($B$3:$B23))/STDEVA(X13:X23),"")</f>
        <v>1.1025522885392551</v>
      </c>
      <c r="AD23" s="84">
        <f>IF(T23&lt;&gt;"",(Y23-SUMPRODUCT(T$3:T23,$B$3:$B23)/SUM($B$3:$B23))/STDEVA(Y13:Y23),"")</f>
        <v>0.88260528481971123</v>
      </c>
      <c r="AE23" s="84">
        <f>IF(U23&lt;&gt;"",(Z23-SUMPRODUCT(U$3:U23,$B$3:$B23)/SUM($B$3:$B23))/STDEVA(Z13:Z23),"")</f>
        <v>0.93107446665633065</v>
      </c>
      <c r="AF23" s="85">
        <f>IF(V23&lt;&gt;"",(AA23-SUMPRODUCT(V$3:V23,$B$3:$B23)/SUM($B$3:$B23))/STDEVA(AA13:AA23),"")</f>
        <v>1.2456827183054218</v>
      </c>
      <c r="AG23" s="90">
        <f t="shared" si="25"/>
        <v>0.49384477804171761</v>
      </c>
      <c r="AH23" s="90">
        <f t="shared" si="26"/>
        <v>0.76543384236961509</v>
      </c>
      <c r="AI23" s="90">
        <f t="shared" si="27"/>
        <v>0.55583718283501871</v>
      </c>
      <c r="AJ23" s="90">
        <f t="shared" si="28"/>
        <v>0.84014300604261627</v>
      </c>
      <c r="AK23" s="93">
        <f t="shared" si="29"/>
        <v>0.74100448708135047</v>
      </c>
      <c r="AL23" s="86"/>
      <c r="BQ23" s="100">
        <f>IF(A23&lt;&gt;"",(VLOOKUP(A23,MarketData!$D:$BP,MATCH($BQ$1,MarketData!$D$1:$EG$1,0),TRUE)/100/365+1)^(B23)*BQ22,"")</f>
        <v>101.05611200209484</v>
      </c>
      <c r="BR23" s="98">
        <f t="shared" si="1"/>
        <v>1.0561120020948351E-2</v>
      </c>
      <c r="BS23" s="106">
        <f>IF(A23&lt;&gt;"",VLOOKUP(A23,MarketData!$D:$BP,MATCH($BS$1,MarketData!$D$1:$EG$1,0),TRUE),"")</f>
        <v>36847.64</v>
      </c>
      <c r="BT23" s="98">
        <f t="shared" si="13"/>
        <v>-4.4216651828325753E-4</v>
      </c>
    </row>
    <row r="24" spans="1:72" x14ac:dyDescent="0.25">
      <c r="A24" s="48">
        <v>45351</v>
      </c>
      <c r="B24" s="60">
        <f t="shared" si="2"/>
        <v>1</v>
      </c>
      <c r="C24" s="3">
        <f t="shared" si="3"/>
        <v>55618</v>
      </c>
      <c r="D24" s="3">
        <f t="shared" si="4"/>
        <v>95102</v>
      </c>
      <c r="E24" s="3">
        <f t="shared" si="5"/>
        <v>22939</v>
      </c>
      <c r="F24" s="3">
        <f t="shared" si="6"/>
        <v>31583.434099999955</v>
      </c>
      <c r="G24" s="74">
        <f t="shared" si="7"/>
        <v>635939.33409999998</v>
      </c>
      <c r="H24" s="78">
        <f>IFERROR(C24/SUM(M$2:M23),"")</f>
        <v>9.5030034124561139E-3</v>
      </c>
      <c r="I24" s="61">
        <f>IFERROR(D24/SUM(N$2:N24),"")</f>
        <v>4.8288853684296043E-2</v>
      </c>
      <c r="J24" s="61">
        <f>IFERROR(E24/SUM(O$2:O24),"")</f>
        <v>3.3903741102466481E-2</v>
      </c>
      <c r="K24" s="61">
        <f>IFERROR(F24/SUM(P$2:P24),"")</f>
        <v>0.11358945401709754</v>
      </c>
      <c r="L24" s="79">
        <f>IFERROR(G24/SUM(Q$2:Q24),"")</f>
        <v>1.4033098633849033</v>
      </c>
      <c r="M24" s="64">
        <f t="shared" si="8"/>
        <v>0</v>
      </c>
      <c r="N24" s="55">
        <f t="shared" si="9"/>
        <v>0</v>
      </c>
      <c r="O24" s="55">
        <f t="shared" si="10"/>
        <v>0</v>
      </c>
      <c r="P24" s="55">
        <f t="shared" si="11"/>
        <v>0</v>
      </c>
      <c r="Q24" s="65">
        <f t="shared" si="12"/>
        <v>0</v>
      </c>
      <c r="R24" s="67">
        <f t="shared" si="14"/>
        <v>7.587073125391193E-2</v>
      </c>
      <c r="S24" s="56">
        <f t="shared" si="15"/>
        <v>-1.0308469669775326</v>
      </c>
      <c r="T24" s="56">
        <f t="shared" si="16"/>
        <v>-0.7516296790212692</v>
      </c>
      <c r="U24" s="56">
        <f t="shared" si="17"/>
        <v>-1.6125479219051955</v>
      </c>
      <c r="V24" s="68">
        <f t="shared" si="18"/>
        <v>-18.185925283158735</v>
      </c>
      <c r="W24" s="80">
        <f t="shared" si="19"/>
        <v>8.1922736495590204E-2</v>
      </c>
      <c r="X24" s="81">
        <f t="shared" si="20"/>
        <v>1.0238501532481252</v>
      </c>
      <c r="Y24" s="81">
        <f t="shared" si="21"/>
        <v>0.44345246091394797</v>
      </c>
      <c r="Z24" s="81">
        <f t="shared" si="22"/>
        <v>1.3206921047594742</v>
      </c>
      <c r="AA24" s="82">
        <f t="shared" si="23"/>
        <v>10.233986423884414</v>
      </c>
      <c r="AB24" s="83">
        <f>IF(R24&lt;&gt;"",(W24-SUMPRODUCT(R$3:R24,$B$3:$B24)/SUM($B$3:$B24))/STDEVA(W14:W24),"")</f>
        <v>0.58753310370660305</v>
      </c>
      <c r="AC24" s="84">
        <f>IF(S24&lt;&gt;"",(X24-SUMPRODUCT(S$3:S24,$B$3:$B24)/SUM($B$3:$B24))/STDEVA(X14:X24),"")</f>
        <v>0.57514816484686704</v>
      </c>
      <c r="AD24" s="84">
        <f>IF(T24&lt;&gt;"",(Y24-SUMPRODUCT(T$3:T24,$B$3:$B24)/SUM($B$3:$B24))/STDEVA(Y14:Y24),"")</f>
        <v>-0.94718594595225525</v>
      </c>
      <c r="AE24" s="84">
        <f>IF(U24&lt;&gt;"",(Z24-SUMPRODUCT(U$3:U24,$B$3:$B24)/SUM($B$3:$B24))/STDEVA(Z14:Z24),"")</f>
        <v>1.6887924830802483</v>
      </c>
      <c r="AF24" s="85">
        <f>IF(V24&lt;&gt;"",(AA24-SUMPRODUCT(V$3:V24,$B$3:$B24)/SUM($B$3:$B24))/STDEVA(AA14:AA24),"")</f>
        <v>1.6638739687001498</v>
      </c>
      <c r="AG24" s="90">
        <f t="shared" si="25"/>
        <v>0.59426859953754962</v>
      </c>
      <c r="AH24" s="90">
        <f t="shared" si="26"/>
        <v>0.79110768413243471</v>
      </c>
      <c r="AI24" s="90">
        <f t="shared" si="27"/>
        <v>0.41029836523790669</v>
      </c>
      <c r="AJ24" s="90">
        <f t="shared" si="28"/>
        <v>1.0080364862718971</v>
      </c>
      <c r="AK24" s="93">
        <f t="shared" si="29"/>
        <v>0.94603927786879027</v>
      </c>
      <c r="AL24" s="86"/>
      <c r="BQ24" s="100">
        <f>IF(A24&lt;&gt;"",(VLOOKUP(A24,MarketData!$D:$BP,MATCH($BQ$1,MarketData!$D$1:$EG$1,0),TRUE)/100/365+1)^(B24)*BQ23,"")</f>
        <v>101.07618479146511</v>
      </c>
      <c r="BR24" s="98">
        <f t="shared" si="1"/>
        <v>1.0761847914651099E-2</v>
      </c>
      <c r="BS24" s="106">
        <f>IF(A24&lt;&gt;"",VLOOKUP(A24,MarketData!$D:$BP,MATCH($BS$1,MarketData!$D$1:$EG$1,0),TRUE),"")</f>
        <v>36856.5</v>
      </c>
      <c r="BT24" s="98">
        <f t="shared" si="13"/>
        <v>-2.0182324515508456E-4</v>
      </c>
    </row>
    <row r="25" spans="1:72" x14ac:dyDescent="0.25">
      <c r="A25" s="48">
        <v>45352</v>
      </c>
      <c r="B25" s="60">
        <f t="shared" si="2"/>
        <v>1</v>
      </c>
      <c r="C25" s="3">
        <f t="shared" si="3"/>
        <v>55618</v>
      </c>
      <c r="D25" s="3">
        <f t="shared" si="4"/>
        <v>95102</v>
      </c>
      <c r="E25" s="3">
        <f t="shared" si="5"/>
        <v>22939</v>
      </c>
      <c r="F25" s="3">
        <f t="shared" si="6"/>
        <v>31963.548299999966</v>
      </c>
      <c r="G25" s="74">
        <f t="shared" si="7"/>
        <v>635281.51229999983</v>
      </c>
      <c r="H25" s="78">
        <f>IFERROR(C25/SUM(M$2:M24),"")</f>
        <v>9.5030034124561139E-3</v>
      </c>
      <c r="I25" s="61">
        <f>IFERROR(D25/SUM(N$2:N25),"")</f>
        <v>4.8288853684296043E-2</v>
      </c>
      <c r="J25" s="61">
        <f>IFERROR(E25/SUM(O$2:O25),"")</f>
        <v>3.3903741102466481E-2</v>
      </c>
      <c r="K25" s="61">
        <f>IFERROR(F25/SUM(P$2:P25),"")</f>
        <v>0.11495653032379173</v>
      </c>
      <c r="L25" s="79">
        <f>IFERROR(G25/SUM(Q$2:Q25),"")</f>
        <v>1.4018582660849874</v>
      </c>
      <c r="M25" s="64">
        <f t="shared" si="8"/>
        <v>0</v>
      </c>
      <c r="N25" s="55">
        <f t="shared" si="9"/>
        <v>0</v>
      </c>
      <c r="O25" s="55">
        <f t="shared" si="10"/>
        <v>0</v>
      </c>
      <c r="P25" s="55">
        <f t="shared" si="11"/>
        <v>0</v>
      </c>
      <c r="Q25" s="65">
        <f t="shared" si="12"/>
        <v>0</v>
      </c>
      <c r="R25" s="67">
        <f t="shared" si="14"/>
        <v>0</v>
      </c>
      <c r="S25" s="56">
        <f t="shared" si="15"/>
        <v>0</v>
      </c>
      <c r="T25" s="56">
        <f t="shared" si="16"/>
        <v>0</v>
      </c>
      <c r="U25" s="56">
        <f t="shared" si="17"/>
        <v>0.44781060324286354</v>
      </c>
      <c r="V25" s="68">
        <f t="shared" si="18"/>
        <v>-0.20260259938117345</v>
      </c>
      <c r="W25" s="80">
        <f t="shared" si="19"/>
        <v>7.8301558124435011E-2</v>
      </c>
      <c r="X25" s="81">
        <f t="shared" si="20"/>
        <v>0.43653797739277056</v>
      </c>
      <c r="Y25" s="81">
        <f t="shared" si="21"/>
        <v>0.20144681159063518</v>
      </c>
      <c r="Z25" s="81">
        <f t="shared" si="22"/>
        <v>0.87495763413671868</v>
      </c>
      <c r="AA25" s="82">
        <f t="shared" si="23"/>
        <v>9.2515308431398999</v>
      </c>
      <c r="AB25" s="83">
        <f>IF(R25&lt;&gt;"",(W25-SUMPRODUCT(R$3:R25,$B$3:$B25)/SUM($B$3:$B25))/STDEVA(W15:W25),"")</f>
        <v>0.14946848993218464</v>
      </c>
      <c r="AC25" s="84">
        <f>IF(S25&lt;&gt;"",(X25-SUMPRODUCT(S$3:S25,$B$3:$B25)/SUM($B$3:$B25))/STDEVA(X15:X25),"")</f>
        <v>-1.692631540094782</v>
      </c>
      <c r="AD25" s="84">
        <f>IF(T25&lt;&gt;"",(Y25-SUMPRODUCT(T$3:T25,$B$3:$B25)/SUM($B$3:$B25))/STDEVA(Y15:Y25),"")</f>
        <v>-2.092109135497787</v>
      </c>
      <c r="AE25" s="84">
        <f>IF(U25&lt;&gt;"",(Z25-SUMPRODUCT(U$3:U25,$B$3:$B25)/SUM($B$3:$B25))/STDEVA(Z15:Z25),"")</f>
        <v>0.50433936486137321</v>
      </c>
      <c r="AF25" s="85">
        <f>IF(V25&lt;&gt;"",(AA25-SUMPRODUCT(V$3:V25,$B$3:$B25)/SUM($B$3:$B25))/STDEVA(AA15:AA25),"")</f>
        <v>1.7218174849693733</v>
      </c>
      <c r="AG25" s="90">
        <f t="shared" si="25"/>
        <v>0.51444275149721552</v>
      </c>
      <c r="AH25" s="90">
        <f t="shared" si="26"/>
        <v>0.40461841987803621</v>
      </c>
      <c r="AI25" s="90">
        <f t="shared" si="27"/>
        <v>-6.6259262191013191E-2</v>
      </c>
      <c r="AJ25" s="90">
        <f t="shared" si="28"/>
        <v>1.0155929309440979</v>
      </c>
      <c r="AK25" s="93">
        <f t="shared" si="29"/>
        <v>1.2146415344929924</v>
      </c>
      <c r="AL25" s="86"/>
      <c r="BQ25" s="100">
        <f>IF(A25&lt;&gt;"",(VLOOKUP(A25,MarketData!$D:$BP,MATCH($BQ$1,MarketData!$D$1:$EG$1,0),TRUE)/100/365+1)^(B25)*BQ24,"")</f>
        <v>101.09626156789629</v>
      </c>
      <c r="BR25" s="98">
        <f t="shared" si="1"/>
        <v>1.0962615678962919E-2</v>
      </c>
      <c r="BS25" s="106">
        <f>IF(A25&lt;&gt;"",VLOOKUP(A25,MarketData!$D:$BP,MATCH($BS$1,MarketData!$D$1:$EG$1,0),TRUE),"")</f>
        <v>36865.370000000003</v>
      </c>
      <c r="BT25" s="98">
        <f t="shared" si="13"/>
        <v>3.8791295775771417E-5</v>
      </c>
    </row>
    <row r="26" spans="1:72" x14ac:dyDescent="0.25">
      <c r="A26" s="48">
        <v>45357</v>
      </c>
      <c r="B26" s="60">
        <f t="shared" si="2"/>
        <v>5</v>
      </c>
      <c r="C26" s="3">
        <f t="shared" si="3"/>
        <v>63019</v>
      </c>
      <c r="D26" s="3">
        <f t="shared" si="4"/>
        <v>137005</v>
      </c>
      <c r="E26" s="3">
        <f t="shared" si="5"/>
        <v>31565</v>
      </c>
      <c r="F26" s="3">
        <f t="shared" si="6"/>
        <v>34973.15499999997</v>
      </c>
      <c r="G26" s="74">
        <f t="shared" si="7"/>
        <v>706422.02399999986</v>
      </c>
      <c r="H26" s="78">
        <f>IFERROR(C26/SUM(M$2:M25),"")</f>
        <v>1.0767553167132437E-2</v>
      </c>
      <c r="I26" s="61">
        <f>IFERROR(D26/SUM(N$2:N26),"")</f>
        <v>6.9565460232350315E-2</v>
      </c>
      <c r="J26" s="61">
        <f>IFERROR(E26/SUM(O$2:O26),"")</f>
        <v>4.6652931160876862E-2</v>
      </c>
      <c r="K26" s="61">
        <f>IFERROR(F26/SUM(P$2:P26),"")</f>
        <v>0.12578054587500753</v>
      </c>
      <c r="L26" s="79">
        <f>IFERROR(G26/SUM(Q$2:Q26),"")</f>
        <v>1.5588420794799311</v>
      </c>
      <c r="M26" s="64">
        <f t="shared" si="8"/>
        <v>0</v>
      </c>
      <c r="N26" s="55">
        <f t="shared" si="9"/>
        <v>0</v>
      </c>
      <c r="O26" s="55">
        <f t="shared" si="10"/>
        <v>0</v>
      </c>
      <c r="P26" s="55">
        <f t="shared" si="11"/>
        <v>0</v>
      </c>
      <c r="Q26" s="65">
        <f t="shared" si="12"/>
        <v>0</v>
      </c>
      <c r="R26" s="67">
        <f t="shared" si="14"/>
        <v>9.1385922391801322E-2</v>
      </c>
      <c r="S26" s="56">
        <f t="shared" si="15"/>
        <v>1.4668096144325127</v>
      </c>
      <c r="T26" s="56">
        <f t="shared" si="16"/>
        <v>0.89466683217823617</v>
      </c>
      <c r="U26" s="56">
        <f t="shared" si="17"/>
        <v>0.70526777546963504</v>
      </c>
      <c r="V26" s="68">
        <f t="shared" si="18"/>
        <v>4.2567727104858566</v>
      </c>
      <c r="W26" s="80">
        <f t="shared" si="19"/>
        <v>9.217811672354137E-2</v>
      </c>
      <c r="X26" s="81">
        <f t="shared" si="20"/>
        <v>0.81306511114178626</v>
      </c>
      <c r="Y26" s="81">
        <f t="shared" si="21"/>
        <v>0.44325891947308987</v>
      </c>
      <c r="Z26" s="81">
        <f t="shared" si="22"/>
        <v>0.76354042017279511</v>
      </c>
      <c r="AA26" s="82">
        <f t="shared" si="23"/>
        <v>6.7713998838987113</v>
      </c>
      <c r="AB26" s="83">
        <f>IF(R26&lt;&gt;"",(W26-SUMPRODUCT(R$3:R26,$B$3:$B26)/SUM($B$3:$B26))/STDEVA(W16:W26),"")</f>
        <v>2.2258353377552247</v>
      </c>
      <c r="AC26" s="84">
        <f>IF(S26&lt;&gt;"",(X26-SUMPRODUCT(S$3:S26,$B$3:$B26)/SUM($B$3:$B26))/STDEVA(X16:X26),"")</f>
        <v>-0.45446961108456929</v>
      </c>
      <c r="AD26" s="84">
        <f>IF(T26&lt;&gt;"",(Y26-SUMPRODUCT(T$3:T26,$B$3:$B26)/SUM($B$3:$B26))/STDEVA(Y16:Y26),"")</f>
        <v>-0.69091698000904345</v>
      </c>
      <c r="AE26" s="84">
        <f>IF(U26&lt;&gt;"",(Z26-SUMPRODUCT(U$3:U26,$B$3:$B26)/SUM($B$3:$B26))/STDEVA(Z16:Z26),"")</f>
        <v>2.1556629495520611E-2</v>
      </c>
      <c r="AF26" s="85">
        <f>IF(V26&lt;&gt;"",(AA26-SUMPRODUCT(V$3:V26,$B$3:$B26)/SUM($B$3:$B26))/STDEVA(AA16:AA26),"")</f>
        <v>0.73961222723257047</v>
      </c>
      <c r="AG26" s="90">
        <f t="shared" si="25"/>
        <v>1.4554210415606863</v>
      </c>
      <c r="AH26" s="90">
        <f t="shared" si="26"/>
        <v>-5.9236149249163872E-2</v>
      </c>
      <c r="AI26" s="90">
        <f t="shared" si="27"/>
        <v>-0.4461881932976125</v>
      </c>
      <c r="AJ26" s="90">
        <f t="shared" si="28"/>
        <v>0.53867983464319513</v>
      </c>
      <c r="AK26" s="93">
        <f t="shared" si="29"/>
        <v>1.0176380607584399</v>
      </c>
      <c r="AL26" s="86"/>
      <c r="BQ26" s="100">
        <f>IF(A26&lt;&gt;"",(VLOOKUP(A26,MarketData!$D:$BP,MATCH($BQ$1,MarketData!$D$1:$EG$1,0),TRUE)/100/365+1)^(B26)*BQ25,"")</f>
        <v>101.1967052836895</v>
      </c>
      <c r="BR26" s="98">
        <f t="shared" si="1"/>
        <v>1.1967052836894965E-2</v>
      </c>
      <c r="BS26" s="106">
        <f>IF(A26&lt;&gt;"",VLOOKUP(A26,MarketData!$D:$BP,MATCH($BS$1,MarketData!$D$1:$EG$1,0),TRUE),"")</f>
        <v>36909.730000000003</v>
      </c>
      <c r="BT26" s="98">
        <f t="shared" si="13"/>
        <v>1.2421352682323394E-3</v>
      </c>
    </row>
    <row r="27" spans="1:72" x14ac:dyDescent="0.25">
      <c r="A27" s="48">
        <v>45358</v>
      </c>
      <c r="B27" s="60">
        <f t="shared" ref="B27:B90" si="30">IF(A27&lt;&gt;0,A27-A26,"")</f>
        <v>1</v>
      </c>
      <c r="C27" s="3">
        <f t="shared" si="3"/>
        <v>64181</v>
      </c>
      <c r="D27" s="3">
        <f t="shared" si="4"/>
        <v>168719</v>
      </c>
      <c r="E27" s="3">
        <f t="shared" si="5"/>
        <v>38153</v>
      </c>
      <c r="F27" s="3">
        <f t="shared" si="6"/>
        <v>35527.626999999979</v>
      </c>
      <c r="G27" s="74">
        <f t="shared" si="7"/>
        <v>711709.43599999975</v>
      </c>
      <c r="H27" s="78">
        <f>IFERROR(C27/SUM(M$2:M26),"")</f>
        <v>1.0966094825683158E-2</v>
      </c>
      <c r="I27" s="61">
        <f>IFERROR(D27/SUM(N$2:N27),"")</f>
        <v>8.5668514907791052E-2</v>
      </c>
      <c r="J27" s="61">
        <f>IFERROR(E27/SUM(O$2:O27),"")</f>
        <v>5.6389966183460635E-2</v>
      </c>
      <c r="K27" s="61">
        <f>IFERROR(F27/SUM(P$2:P27),"")</f>
        <v>0.12777469798488747</v>
      </c>
      <c r="L27" s="79">
        <f>IFERROR(G27/SUM(Q$2:Q27),"")</f>
        <v>1.5705096663290452</v>
      </c>
      <c r="M27" s="64">
        <f t="shared" si="8"/>
        <v>0</v>
      </c>
      <c r="N27" s="55">
        <f t="shared" si="9"/>
        <v>0</v>
      </c>
      <c r="O27" s="55">
        <f t="shared" si="10"/>
        <v>0</v>
      </c>
      <c r="P27" s="55">
        <f t="shared" si="11"/>
        <v>0</v>
      </c>
      <c r="Q27" s="65">
        <f t="shared" si="12"/>
        <v>0</v>
      </c>
      <c r="R27" s="67">
        <f t="shared" si="14"/>
        <v>7.1688677364521419E-2</v>
      </c>
      <c r="S27" s="56">
        <f t="shared" si="15"/>
        <v>5.4543723793813612</v>
      </c>
      <c r="T27" s="56">
        <f t="shared" si="16"/>
        <v>3.3799055487513088</v>
      </c>
      <c r="U27" s="56">
        <f t="shared" si="17"/>
        <v>0.64597148134249283</v>
      </c>
      <c r="V27" s="68">
        <f t="shared" si="18"/>
        <v>1.5334276496121824</v>
      </c>
      <c r="W27" s="80">
        <f t="shared" si="19"/>
        <v>7.6242503892998817E-2</v>
      </c>
      <c r="X27" s="81">
        <f t="shared" si="20"/>
        <v>1.5101324767910991</v>
      </c>
      <c r="Y27" s="81">
        <f t="shared" si="21"/>
        <v>0.88245330169404401</v>
      </c>
      <c r="Z27" s="81">
        <f t="shared" si="22"/>
        <v>0.82867123734931691</v>
      </c>
      <c r="AA27" s="82">
        <f t="shared" si="23"/>
        <v>7.4600223538524082</v>
      </c>
      <c r="AB27" s="83">
        <f>IF(R27&lt;&gt;"",(W27-SUMPRODUCT(R$3:R27,$B$3:$B27)/SUM($B$3:$B27))/STDEVA(W17:W27),"")</f>
        <v>-0.4108134367782928</v>
      </c>
      <c r="AC27" s="84">
        <f>IF(S27&lt;&gt;"",(X27-SUMPRODUCT(S$3:S27,$B$3:$B27)/SUM($B$3:$B27))/STDEVA(X17:X27),"")</f>
        <v>1.5772226489290524</v>
      </c>
      <c r="AD27" s="84">
        <f>IF(T27&lt;&gt;"",(Y27-SUMPRODUCT(T$3:T27,$B$3:$B27)/SUM($B$3:$B27))/STDEVA(Y17:Y27),"")</f>
        <v>1.5831262468644067</v>
      </c>
      <c r="AE27" s="84">
        <f>IF(U27&lt;&gt;"",(Z27-SUMPRODUCT(U$3:U27,$B$3:$B27)/SUM($B$3:$B27))/STDEVA(Z17:Z27),"")</f>
        <v>0.31428244202024608</v>
      </c>
      <c r="AF27" s="85">
        <f>IF(V27&lt;&gt;"",(AA27-SUMPRODUCT(V$3:V27,$B$3:$B27)/SUM($B$3:$B27))/STDEVA(AA17:AA27),"")</f>
        <v>1.2271247803748491</v>
      </c>
      <c r="AG27" s="90">
        <f t="shared" ref="AG27:AG77" si="31">IF(AB27&lt;&gt;"",SUMPRODUCT(AB22:AB27,$B22:$B27)/SUM($B22:$B27),"")</f>
        <v>1.422295004687</v>
      </c>
      <c r="AH27" s="90">
        <f t="shared" si="26"/>
        <v>3.4958509278527748E-2</v>
      </c>
      <c r="AI27" s="90">
        <f t="shared" si="27"/>
        <v>-0.31313305281740855</v>
      </c>
      <c r="AJ27" s="90">
        <f t="shared" si="28"/>
        <v>0.47647891729500536</v>
      </c>
      <c r="AK27" s="93">
        <f t="shared" si="29"/>
        <v>1.0640225553215286</v>
      </c>
      <c r="BQ27" s="100">
        <f>IF(A27&lt;&gt;"",(VLOOKUP(A27,MarketData!$D:$BP,MATCH($BQ$1,MarketData!$D$1:$EG$1,0),TRUE)/100/365+1)^(B27)*BQ26,"")</f>
        <v>101.21680599912256</v>
      </c>
      <c r="BR27" s="98">
        <f t="shared" si="1"/>
        <v>1.2168059991225562E-2</v>
      </c>
      <c r="BS27" s="106">
        <f>IF(A27&lt;&gt;"",VLOOKUP(A27,MarketData!$D:$BP,MATCH($BS$1,MarketData!$D$1:$EG$1,0),TRUE),"")</f>
        <v>36918.61</v>
      </c>
      <c r="BT27" s="98">
        <f t="shared" si="13"/>
        <v>1.4830210769656812E-3</v>
      </c>
    </row>
    <row r="28" spans="1:72" x14ac:dyDescent="0.25">
      <c r="A28" s="48">
        <v>45359</v>
      </c>
      <c r="B28" s="60">
        <f t="shared" si="30"/>
        <v>1</v>
      </c>
      <c r="C28" s="3">
        <f t="shared" si="3"/>
        <v>64181</v>
      </c>
      <c r="D28" s="3">
        <f t="shared" si="4"/>
        <v>168719</v>
      </c>
      <c r="E28" s="3">
        <f t="shared" si="5"/>
        <v>38153</v>
      </c>
      <c r="F28" s="3">
        <f t="shared" si="6"/>
        <v>35527.626999999979</v>
      </c>
      <c r="G28" s="74">
        <f t="shared" si="7"/>
        <v>722727.99599999981</v>
      </c>
      <c r="H28" s="78">
        <f>IFERROR(C28/SUM(M$2:M27),"")</f>
        <v>1.0966094825683158E-2</v>
      </c>
      <c r="I28" s="61">
        <f>IFERROR(D28/SUM(N$2:N28),"")</f>
        <v>8.5668514907791052E-2</v>
      </c>
      <c r="J28" s="61">
        <f>IFERROR(E28/SUM(O$2:O28),"")</f>
        <v>5.6389966183460635E-2</v>
      </c>
      <c r="K28" s="61">
        <f>IFERROR(F28/SUM(P$2:P28),"")</f>
        <v>0.12777469798488747</v>
      </c>
      <c r="L28" s="79">
        <f>IFERROR(G28/SUM(Q$2:Q28),"")</f>
        <v>1.5948240200718931</v>
      </c>
      <c r="M28" s="64">
        <f t="shared" si="8"/>
        <v>0</v>
      </c>
      <c r="N28" s="55">
        <f t="shared" si="9"/>
        <v>0</v>
      </c>
      <c r="O28" s="55">
        <f t="shared" si="10"/>
        <v>0</v>
      </c>
      <c r="P28" s="55">
        <f t="shared" si="11"/>
        <v>0</v>
      </c>
      <c r="Q28" s="65">
        <f t="shared" si="12"/>
        <v>0</v>
      </c>
      <c r="R28" s="67">
        <f t="shared" si="14"/>
        <v>0</v>
      </c>
      <c r="S28" s="56">
        <f t="shared" si="15"/>
        <v>0</v>
      </c>
      <c r="T28" s="56">
        <f t="shared" si="16"/>
        <v>0</v>
      </c>
      <c r="U28" s="56">
        <f t="shared" si="17"/>
        <v>0</v>
      </c>
      <c r="V28" s="68">
        <f t="shared" si="18"/>
        <v>3.1749930308992464</v>
      </c>
      <c r="W28" s="80">
        <f t="shared" si="19"/>
        <v>7.6242503892998817E-2</v>
      </c>
      <c r="X28" s="81">
        <f t="shared" si="20"/>
        <v>1.5101324767910991</v>
      </c>
      <c r="Y28" s="81">
        <f t="shared" si="21"/>
        <v>0.88245330169404401</v>
      </c>
      <c r="Z28" s="81">
        <f t="shared" si="22"/>
        <v>0.73190226143168213</v>
      </c>
      <c r="AA28" s="82">
        <f t="shared" si="23"/>
        <v>7.574919579994722</v>
      </c>
      <c r="AB28" s="83">
        <f>IF(R28&lt;&gt;"",(W28-SUMPRODUCT(R$3:R28,$B$3:$B28)/SUM($B$3:$B28))/STDEVA(W18:W28),"")</f>
        <v>-0.17962820342674063</v>
      </c>
      <c r="AC28" s="84">
        <f>IF(S28&lt;&gt;"",(X28-SUMPRODUCT(S$3:S28,$B$3:$B28)/SUM($B$3:$B28))/STDEVA(X18:X28),"")</f>
        <v>1.546517253954492</v>
      </c>
      <c r="AD28" s="84">
        <f>IF(T28&lt;&gt;"",(Y28-SUMPRODUCT(T$3:T28,$B$3:$B28)/SUM($B$3:$B28))/STDEVA(Y18:Y28),"")</f>
        <v>1.4700398990040444</v>
      </c>
      <c r="AE28" s="84">
        <f>IF(U28&lt;&gt;"",(Z28-SUMPRODUCT(U$3:U28,$B$3:$B28)/SUM($B$3:$B28))/STDEVA(Z18:Z28),"")</f>
        <v>-4.6582899853735156E-2</v>
      </c>
      <c r="AF28" s="85">
        <f>IF(V28&lt;&gt;"",(AA28-SUMPRODUCT(V$3:V28,$B$3:$B28)/SUM($B$3:$B28))/STDEVA(AA18:AA28),"")</f>
        <v>1.5041225832888874</v>
      </c>
      <c r="AG28" s="90">
        <f t="shared" si="31"/>
        <v>1.2822580834607555</v>
      </c>
      <c r="AH28" s="90">
        <f t="shared" si="26"/>
        <v>8.3646076075203801E-2</v>
      </c>
      <c r="AI28" s="90">
        <f t="shared" si="27"/>
        <v>-0.25581085508070966</v>
      </c>
      <c r="AJ28" s="90">
        <f t="shared" si="28"/>
        <v>0.34996890042420664</v>
      </c>
      <c r="AK28" s="93">
        <f t="shared" si="29"/>
        <v>1.1060682671801536</v>
      </c>
      <c r="BQ28" s="100">
        <f>IF(A28&lt;&gt;"",(VLOOKUP(A28,MarketData!$D:$BP,MATCH($BQ$1,MarketData!$D$1:$EG$1,0),TRUE)/100/365+1)^(B28)*BQ27,"")</f>
        <v>101.23691070716347</v>
      </c>
      <c r="BR28" s="98">
        <f t="shared" si="1"/>
        <v>1.2369107071634744E-2</v>
      </c>
      <c r="BS28" s="106">
        <f>IF(A28&lt;&gt;"",VLOOKUP(A28,MarketData!$D:$BP,MATCH($BS$1,MarketData!$D$1:$EG$1,0),TRUE),"")</f>
        <v>36927.49</v>
      </c>
      <c r="BT28" s="98">
        <f t="shared" si="13"/>
        <v>1.7239068856990227E-3</v>
      </c>
    </row>
    <row r="29" spans="1:72" x14ac:dyDescent="0.25">
      <c r="A29" s="48">
        <v>45362</v>
      </c>
      <c r="B29" s="60">
        <f t="shared" si="30"/>
        <v>3</v>
      </c>
      <c r="C29" s="3">
        <f t="shared" si="3"/>
        <v>68956</v>
      </c>
      <c r="D29" s="3">
        <f t="shared" si="4"/>
        <v>103551</v>
      </c>
      <c r="E29" s="3">
        <f t="shared" si="5"/>
        <v>27218</v>
      </c>
      <c r="F29" s="3">
        <f t="shared" si="6"/>
        <v>31540.868099999963</v>
      </c>
      <c r="G29" s="74">
        <f t="shared" si="7"/>
        <v>813961.8657999998</v>
      </c>
      <c r="H29" s="78">
        <f>IFERROR(C29/SUM(M$2:M28),"")</f>
        <v>1.1781960935476354E-2</v>
      </c>
      <c r="I29" s="61">
        <f>IFERROR(D29/SUM(N$2:N29),"")</f>
        <v>5.2578905678771631E-2</v>
      </c>
      <c r="J29" s="61">
        <f>IFERROR(E29/SUM(O$2:O29),"")</f>
        <v>4.0228084281221183E-2</v>
      </c>
      <c r="K29" s="61">
        <f>IFERROR(F29/SUM(P$2:P29),"")</f>
        <v>0.11343636589234259</v>
      </c>
      <c r="L29" s="79">
        <f>IFERROR(G29/SUM(Q$2:Q29),"")</f>
        <v>1.7961472949504709</v>
      </c>
      <c r="M29" s="64">
        <f t="shared" si="8"/>
        <v>0</v>
      </c>
      <c r="N29" s="55">
        <f t="shared" si="9"/>
        <v>0</v>
      </c>
      <c r="O29" s="55">
        <f t="shared" si="10"/>
        <v>0</v>
      </c>
      <c r="P29" s="55">
        <f t="shared" si="11"/>
        <v>0</v>
      </c>
      <c r="Q29" s="65">
        <f t="shared" si="12"/>
        <v>0</v>
      </c>
      <c r="R29" s="67">
        <f t="shared" si="14"/>
        <v>9.814738432213678E-2</v>
      </c>
      <c r="S29" s="56">
        <f t="shared" si="15"/>
        <v>-3.7659101903704015</v>
      </c>
      <c r="T29" s="56">
        <f t="shared" si="16"/>
        <v>-1.8757839533705072</v>
      </c>
      <c r="U29" s="56">
        <f t="shared" si="17"/>
        <v>-1.556767324563447</v>
      </c>
      <c r="V29" s="68">
        <f t="shared" si="18"/>
        <v>8.426347492095573</v>
      </c>
      <c r="W29" s="80">
        <f t="shared" si="19"/>
        <v>8.1036474515948725E-2</v>
      </c>
      <c r="X29" s="81">
        <f t="shared" si="20"/>
        <v>-8.7823756067235359E-2</v>
      </c>
      <c r="Y29" s="81">
        <f t="shared" si="21"/>
        <v>1.0536614756398333E-2</v>
      </c>
      <c r="Z29" s="81">
        <f t="shared" si="22"/>
        <v>1.1295128796355858E-3</v>
      </c>
      <c r="AA29" s="82">
        <f t="shared" si="23"/>
        <v>6.142505034770859</v>
      </c>
      <c r="AB29" s="83">
        <f>IF(R29&lt;&gt;"",(W29-SUMPRODUCT(R$3:R29,$B$3:$B29)/SUM($B$3:$B29))/STDEVA(W19:W29),"")</f>
        <v>0.45476502731409163</v>
      </c>
      <c r="AC29" s="84">
        <f>IF(S29&lt;&gt;"",(X29-SUMPRODUCT(S$3:S29,$B$3:$B29)/SUM($B$3:$B29))/STDEVA(X19:X29),"")</f>
        <v>-1.7172615878948021</v>
      </c>
      <c r="AD29" s="84">
        <f>IF(T29&lt;&gt;"",(Y29-SUMPRODUCT(T$3:T29,$B$3:$B29)/SUM($B$3:$B29))/STDEVA(Y19:Y29),"")</f>
        <v>-1.6941826599899832</v>
      </c>
      <c r="AE29" s="84">
        <f>IF(U29&lt;&gt;"",(Z29-SUMPRODUCT(U$3:U29,$B$3:$B29)/SUM($B$3:$B29))/STDEVA(Z19:Z29),"")</f>
        <v>-1.5111884591605844</v>
      </c>
      <c r="AF29" s="85">
        <f>IF(V29&lt;&gt;"",(AA29-SUMPRODUCT(V$3:V29,$B$3:$B29)/SUM($B$3:$B29))/STDEVA(AA19:AA29),"")</f>
        <v>0.57326470493369719</v>
      </c>
      <c r="AG29" s="90">
        <f t="shared" si="31"/>
        <v>1.0533359770126793</v>
      </c>
      <c r="AH29" s="90">
        <f t="shared" si="26"/>
        <v>-0.45148969095596864</v>
      </c>
      <c r="AI29" s="90">
        <f t="shared" si="27"/>
        <v>-0.71027181796639649</v>
      </c>
      <c r="AJ29" s="90">
        <f t="shared" si="28"/>
        <v>-0.16374590332466818</v>
      </c>
      <c r="AK29" s="93">
        <f t="shared" si="29"/>
        <v>0.96123283902476697</v>
      </c>
      <c r="BQ29" s="100">
        <f>IF(A29&lt;&gt;"",(VLOOKUP(A29,MarketData!$D:$BP,MATCH($BQ$1,MarketData!$D$1:$EG$1,0),TRUE)/100/365+1)^(B29)*BQ28,"")</f>
        <v>101.29724879486469</v>
      </c>
      <c r="BR29" s="98">
        <f t="shared" si="1"/>
        <v>1.2972487948646859E-2</v>
      </c>
      <c r="BS29" s="106">
        <f>IF(A29&lt;&gt;"",VLOOKUP(A29,MarketData!$D:$BP,MATCH($BS$1,MarketData!$D$1:$EG$1,0),TRUE),"")</f>
        <v>36950.639999999999</v>
      </c>
      <c r="BT29" s="98">
        <f t="shared" si="13"/>
        <v>2.3518918487822268E-3</v>
      </c>
    </row>
    <row r="30" spans="1:72" x14ac:dyDescent="0.25">
      <c r="A30" s="48">
        <v>45363</v>
      </c>
      <c r="B30" s="60">
        <f t="shared" si="30"/>
        <v>1</v>
      </c>
      <c r="C30" s="3">
        <f t="shared" si="3"/>
        <v>70305</v>
      </c>
      <c r="D30" s="3">
        <f t="shared" si="4"/>
        <v>124640</v>
      </c>
      <c r="E30" s="3">
        <f t="shared" si="5"/>
        <v>31459</v>
      </c>
      <c r="F30" s="3">
        <f t="shared" si="6"/>
        <v>35094.214199999929</v>
      </c>
      <c r="G30" s="74">
        <f t="shared" si="7"/>
        <v>827211.14659999975</v>
      </c>
      <c r="H30" s="78">
        <f>IFERROR(C30/SUM(M$2:M29),"")</f>
        <v>1.2012453790368714E-2</v>
      </c>
      <c r="I30" s="61">
        <f>IFERROR(D30/SUM(N$2:N30),"")</f>
        <v>6.3287025753513693E-2</v>
      </c>
      <c r="J30" s="61">
        <f>IFERROR(E30/SUM(O$2:O30),"")</f>
        <v>4.6496263627119443E-2</v>
      </c>
      <c r="K30" s="61">
        <f>IFERROR(F30/SUM(P$2:P30),"")</f>
        <v>0.12621593388215721</v>
      </c>
      <c r="L30" s="79">
        <f>IFERROR(G30/SUM(Q$2:Q30),"")</f>
        <v>1.8253841190190894</v>
      </c>
      <c r="M30" s="64">
        <f t="shared" si="8"/>
        <v>0</v>
      </c>
      <c r="N30" s="55">
        <f t="shared" si="9"/>
        <v>0</v>
      </c>
      <c r="O30" s="55">
        <f t="shared" si="10"/>
        <v>0</v>
      </c>
      <c r="P30" s="55">
        <f t="shared" si="11"/>
        <v>0</v>
      </c>
      <c r="Q30" s="65">
        <f t="shared" si="12"/>
        <v>0</v>
      </c>
      <c r="R30" s="67">
        <f t="shared" si="14"/>
        <v>8.3140749660453539E-2</v>
      </c>
      <c r="S30" s="56">
        <f t="shared" si="15"/>
        <v>3.6944658336832044</v>
      </c>
      <c r="T30" s="56">
        <f t="shared" si="16"/>
        <v>2.1928074446510304</v>
      </c>
      <c r="U30" s="56">
        <f t="shared" si="17"/>
        <v>4.165464579500588</v>
      </c>
      <c r="V30" s="68">
        <f t="shared" si="18"/>
        <v>3.5297414445976778</v>
      </c>
      <c r="W30" s="80">
        <f t="shared" si="19"/>
        <v>8.6232771369727068E-2</v>
      </c>
      <c r="X30" s="81">
        <f t="shared" si="20"/>
        <v>0.14308035853796491</v>
      </c>
      <c r="Y30" s="81">
        <f t="shared" si="21"/>
        <v>0.14758708004708773</v>
      </c>
      <c r="Z30" s="81">
        <f t="shared" si="22"/>
        <v>0.26147104909842234</v>
      </c>
      <c r="AA30" s="82">
        <f t="shared" si="23"/>
        <v>6.1004503359144389</v>
      </c>
      <c r="AB30" s="83">
        <f>IF(R30&lt;&gt;"",(W30-SUMPRODUCT(R$3:R30,$B$3:$B30)/SUM($B$3:$B30))/STDEVA(W20:W30),"")</f>
        <v>1.2829119710764361</v>
      </c>
      <c r="AC30" s="84">
        <f>IF(S30&lt;&gt;"",(X30-SUMPRODUCT(S$3:S30,$B$3:$B30)/SUM($B$3:$B30))/STDEVA(X20:X30),"")</f>
        <v>-1.1953227472118835</v>
      </c>
      <c r="AD30" s="84">
        <f>IF(T30&lt;&gt;"",(Y30-SUMPRODUCT(T$3:T30,$B$3:$B30)/SUM($B$3:$B30))/STDEVA(Y20:Y30),"")</f>
        <v>-1.1843994417018475</v>
      </c>
      <c r="AE30" s="84">
        <f>IF(U30&lt;&gt;"",(Z30-SUMPRODUCT(U$3:U30,$B$3:$B30)/SUM($B$3:$B30))/STDEVA(Z20:Z30),"")</f>
        <v>-0.92197781095359532</v>
      </c>
      <c r="AF30" s="85">
        <f>IF(V30&lt;&gt;"",(AA30-SUMPRODUCT(V$3:V30,$B$3:$B30)/SUM($B$3:$B30))/STDEVA(AA20:AA30),"")</f>
        <v>0.55748245455400747</v>
      </c>
      <c r="AG30" s="90">
        <f t="shared" si="31"/>
        <v>1.1112842159601655</v>
      </c>
      <c r="AH30" s="90">
        <f t="shared" si="26"/>
        <v>-0.59902893362753118</v>
      </c>
      <c r="AI30" s="90">
        <f t="shared" si="27"/>
        <v>-0.73003960927886247</v>
      </c>
      <c r="AJ30" s="90">
        <f t="shared" si="28"/>
        <v>-0.38131009449415515</v>
      </c>
      <c r="AK30" s="93">
        <f t="shared" si="29"/>
        <v>0.8690335461792551</v>
      </c>
      <c r="BQ30" s="100">
        <f>IF(A30&lt;&gt;"",(VLOOKUP(A30,MarketData!$D:$BP,MATCH($BQ$1,MarketData!$D$1:$EG$1,0),TRUE)/100/365+1)^(B30)*BQ29,"")</f>
        <v>101.31736948126914</v>
      </c>
      <c r="BR30" s="98">
        <f t="shared" si="1"/>
        <v>1.3173694812691395E-2</v>
      </c>
      <c r="BS30" s="106">
        <f>IF(A30&lt;&gt;"",VLOOKUP(A30,MarketData!$D:$BP,MATCH($BS$1,MarketData!$D$1:$EG$1,0),TRUE),"")</f>
        <v>36957.769999999997</v>
      </c>
      <c r="BT30" s="98">
        <f t="shared" si="13"/>
        <v>2.5453057920557182E-3</v>
      </c>
    </row>
    <row r="31" spans="1:72" x14ac:dyDescent="0.25">
      <c r="A31" s="48">
        <v>45364</v>
      </c>
      <c r="B31" s="60">
        <f t="shared" si="30"/>
        <v>1</v>
      </c>
      <c r="C31" s="3">
        <f t="shared" si="3"/>
        <v>71521</v>
      </c>
      <c r="D31" s="3">
        <f t="shared" si="4"/>
        <v>78992</v>
      </c>
      <c r="E31" s="3">
        <f t="shared" si="5"/>
        <v>22784</v>
      </c>
      <c r="F31" s="3">
        <f t="shared" si="6"/>
        <v>30194.882999999973</v>
      </c>
      <c r="G31" s="74">
        <f t="shared" si="7"/>
        <v>760531.07799999998</v>
      </c>
      <c r="H31" s="78">
        <f>IFERROR(C31/SUM(M$2:M30),"")</f>
        <v>1.2220221997595629E-2</v>
      </c>
      <c r="I31" s="61">
        <f>IFERROR(D31/SUM(N$2:N31),"")</f>
        <v>4.0108863433260214E-2</v>
      </c>
      <c r="J31" s="61">
        <f>IFERROR(E31/SUM(O$2:O31),"")</f>
        <v>3.3674651784236287E-2</v>
      </c>
      <c r="K31" s="61">
        <f>IFERROR(F31/SUM(P$2:P31),"")</f>
        <v>0.10859554610877929</v>
      </c>
      <c r="L31" s="79">
        <f>IFERROR(G31/SUM(Q$2:Q31),"")</f>
        <v>1.6782430429131607</v>
      </c>
      <c r="M31" s="64">
        <f t="shared" si="8"/>
        <v>0</v>
      </c>
      <c r="N31" s="55">
        <f t="shared" si="9"/>
        <v>0</v>
      </c>
      <c r="O31" s="55">
        <f t="shared" si="10"/>
        <v>0</v>
      </c>
      <c r="P31" s="55">
        <f t="shared" si="11"/>
        <v>0</v>
      </c>
      <c r="Q31" s="65">
        <f t="shared" si="12"/>
        <v>0</v>
      </c>
      <c r="R31" s="67">
        <f t="shared" si="14"/>
        <v>7.4927548410027106E-2</v>
      </c>
      <c r="S31" s="56">
        <f t="shared" si="15"/>
        <v>-8.0444881928372531</v>
      </c>
      <c r="T31" s="56">
        <f t="shared" si="16"/>
        <v>-4.4995798708286783</v>
      </c>
      <c r="U31" s="56">
        <f t="shared" si="17"/>
        <v>-5.7558136977960945</v>
      </c>
      <c r="V31" s="68">
        <f t="shared" si="18"/>
        <v>-18.121096165973324</v>
      </c>
      <c r="W31" s="80">
        <f t="shared" si="19"/>
        <v>7.6395390093392301E-2</v>
      </c>
      <c r="X31" s="81">
        <f t="shared" si="20"/>
        <v>-0.45096524173294777</v>
      </c>
      <c r="Y31" s="81">
        <f t="shared" si="21"/>
        <v>-0.17895816213591079</v>
      </c>
      <c r="Z31" s="81">
        <f t="shared" si="22"/>
        <v>-0.26548867426736572</v>
      </c>
      <c r="AA31" s="82">
        <f t="shared" si="23"/>
        <v>5.2913438267594035</v>
      </c>
      <c r="AB31" s="83">
        <f>IF(R31&lt;&gt;"",(W31-SUMPRODUCT(R$3:R31,$B$3:$B31)/SUM($B$3:$B31))/STDEVA(W21:W31),"")</f>
        <v>-0.3402030102946963</v>
      </c>
      <c r="AC31" s="84">
        <f>IF(S31&lt;&gt;"",(X31-SUMPRODUCT(S$3:S31,$B$3:$B31)/SUM($B$3:$B31))/STDEVA(X21:X31),"")</f>
        <v>-1.6317737992051058</v>
      </c>
      <c r="AD31" s="84">
        <f>IF(T31&lt;&gt;"",(Y31-SUMPRODUCT(T$3:T31,$B$3:$B31)/SUM($B$3:$B31))/STDEVA(Y21:Y31),"")</f>
        <v>-1.6862714005124531</v>
      </c>
      <c r="AE31" s="84">
        <f>IF(U31&lt;&gt;"",(Z31-SUMPRODUCT(U$3:U31,$B$3:$B31)/SUM($B$3:$B31))/STDEVA(Z21:Z31),"")</f>
        <v>-1.506754432530399</v>
      </c>
      <c r="AF31" s="85">
        <f>IF(V31&lt;&gt;"",(AA31-SUMPRODUCT(V$3:V31,$B$3:$B31)/SUM($B$3:$B31))/STDEVA(AA21:AA31),"")</f>
        <v>0.2132708842355279</v>
      </c>
      <c r="AG31" s="90">
        <f t="shared" si="31"/>
        <v>1.0704782576079255</v>
      </c>
      <c r="AH31" s="90">
        <f t="shared" si="26"/>
        <v>-0.59395745522005816</v>
      </c>
      <c r="AI31" s="90">
        <f t="shared" si="27"/>
        <v>-0.69621979803008471</v>
      </c>
      <c r="AJ31" s="90">
        <f t="shared" si="28"/>
        <v>-0.54890124427680276</v>
      </c>
      <c r="AK31" s="93">
        <f t="shared" si="29"/>
        <v>0.74332132945143448</v>
      </c>
      <c r="BQ31" s="100">
        <f>IF(A31&lt;&gt;"",(VLOOKUP(A31,MarketData!$D:$BP,MATCH($BQ$1,MarketData!$D$1:$EG$1,0),TRUE)/100/365+1)^(B31)*BQ30,"")</f>
        <v>101.3374941642483</v>
      </c>
      <c r="BR31" s="98">
        <f t="shared" si="1"/>
        <v>1.337494164248298E-2</v>
      </c>
      <c r="BS31" s="106">
        <f>IF(A31&lt;&gt;"",VLOOKUP(A31,MarketData!$D:$BP,MATCH($BS$1,MarketData!$D$1:$EG$1,0),TRUE),"")</f>
        <v>36964.9</v>
      </c>
      <c r="BT31" s="98">
        <f t="shared" si="13"/>
        <v>2.7387197353294064E-3</v>
      </c>
    </row>
    <row r="32" spans="1:72" x14ac:dyDescent="0.25">
      <c r="A32" s="48">
        <v>45365</v>
      </c>
      <c r="B32" s="60">
        <f t="shared" si="30"/>
        <v>1</v>
      </c>
      <c r="C32" s="3">
        <f t="shared" si="3"/>
        <v>72707</v>
      </c>
      <c r="D32" s="3">
        <f t="shared" si="4"/>
        <v>59558</v>
      </c>
      <c r="E32" s="3">
        <f t="shared" si="5"/>
        <v>19818</v>
      </c>
      <c r="F32" s="3">
        <f t="shared" si="6"/>
        <v>26790.303399999917</v>
      </c>
      <c r="G32" s="74">
        <f t="shared" si="7"/>
        <v>810222.62999999977</v>
      </c>
      <c r="H32" s="78">
        <f>IFERROR(C32/SUM(M$2:M31),"")</f>
        <v>1.2422864344446881E-2</v>
      </c>
      <c r="I32" s="61">
        <f>IFERROR(D32/SUM(N$2:N32),"")</f>
        <v>3.0241083759850514E-2</v>
      </c>
      <c r="J32" s="61">
        <f>IFERROR(E32/SUM(O$2:O32),"")</f>
        <v>2.9290916830231512E-2</v>
      </c>
      <c r="K32" s="61">
        <f>IFERROR(F32/SUM(P$2:P32),"")</f>
        <v>9.6351015108847429E-2</v>
      </c>
      <c r="L32" s="79">
        <f>IFERROR(G32/SUM(Q$2:Q32),"")</f>
        <v>1.7878960260034287</v>
      </c>
      <c r="M32" s="64">
        <f t="shared" si="8"/>
        <v>0</v>
      </c>
      <c r="N32" s="55">
        <f t="shared" si="9"/>
        <v>0</v>
      </c>
      <c r="O32" s="55">
        <f t="shared" si="10"/>
        <v>0</v>
      </c>
      <c r="P32" s="55">
        <f t="shared" si="11"/>
        <v>0</v>
      </c>
      <c r="Q32" s="65">
        <f t="shared" si="12"/>
        <v>0</v>
      </c>
      <c r="R32" s="67">
        <f t="shared" si="14"/>
        <v>7.3064193236459921E-2</v>
      </c>
      <c r="S32" s="56">
        <f t="shared" si="15"/>
        <v>-3.4793797634517265</v>
      </c>
      <c r="T32" s="56">
        <f t="shared" si="16"/>
        <v>-1.5512286689767383</v>
      </c>
      <c r="U32" s="56">
        <f t="shared" si="17"/>
        <v>-4.0538877180116542</v>
      </c>
      <c r="V32" s="68">
        <f t="shared" si="18"/>
        <v>13.588977325095911</v>
      </c>
      <c r="W32" s="80">
        <f>IF(R32&lt;&gt;"",SUMPRODUCT(R23:R32,$B23:$B32)/SUM($B23:$B32),"")</f>
        <v>7.5773610322436361E-2</v>
      </c>
      <c r="X32" s="81">
        <f t="shared" si="20"/>
        <v>-0.64911426024737762</v>
      </c>
      <c r="Y32" s="81">
        <f t="shared" si="21"/>
        <v>-0.2389857189073058</v>
      </c>
      <c r="Z32" s="81">
        <f t="shared" si="22"/>
        <v>-0.72171359252380696</v>
      </c>
      <c r="AA32" s="82">
        <f t="shared" si="23"/>
        <v>4.9050991513523989</v>
      </c>
      <c r="AB32" s="83">
        <f>IF(R32&lt;&gt;"",(W32-SUMPRODUCT(R$3:R32,$B$3:$B32)/SUM($B$3:$B32))/STDEVA(W22:W32),"")</f>
        <v>-0.4168596364303504</v>
      </c>
      <c r="AC32" s="84">
        <f>IF(S32&lt;&gt;"",(X32-SUMPRODUCT(S$3:S32,$B$3:$B32)/SUM($B$3:$B32))/STDEVA(X22:X32),"")</f>
        <v>-1.5852463895474942</v>
      </c>
      <c r="AD32" s="84">
        <f>IF(T32&lt;&gt;"",(Y32-SUMPRODUCT(T$3:T32,$B$3:$B32)/SUM($B$3:$B32))/STDEVA(Y22:Y32),"")</f>
        <v>-1.5672276944003112</v>
      </c>
      <c r="AE32" s="84">
        <f>IF(U32&lt;&gt;"",(Z32-SUMPRODUCT(U$3:U32,$B$3:$B32)/SUM($B$3:$B32))/STDEVA(Z22:Z32),"")</f>
        <v>-1.7974819891411711</v>
      </c>
      <c r="AF32" s="85">
        <f>IF(V32&lt;&gt;"",(AA32-SUMPRODUCT(V$3:V32,$B$3:$B32)/SUM($B$3:$B32))/STDEVA(AA22:AA32),"")</f>
        <v>-0.10342555639492891</v>
      </c>
      <c r="AG32" s="90">
        <f t="shared" si="31"/>
        <v>0.16246284576107889</v>
      </c>
      <c r="AH32" s="90">
        <f t="shared" si="26"/>
        <v>-0.8050484745956682</v>
      </c>
      <c r="AI32" s="90">
        <f t="shared" si="27"/>
        <v>-0.80841004633951374</v>
      </c>
      <c r="AJ32" s="90">
        <f t="shared" si="28"/>
        <v>-1.0615100084925508</v>
      </c>
      <c r="AK32" s="93">
        <f t="shared" si="29"/>
        <v>0.63979615760742925</v>
      </c>
      <c r="BQ32" s="100">
        <f>IF(A32&lt;&gt;"",(VLOOKUP(A32,MarketData!$D:$BP,MATCH($BQ$1,MarketData!$D$1:$EG$1,0),TRUE)/100/365+1)^(B32)*BQ31,"")</f>
        <v>101.35762284459599</v>
      </c>
      <c r="BR32" s="98">
        <f t="shared" si="1"/>
        <v>1.3576228445959942E-2</v>
      </c>
      <c r="BS32" s="106">
        <f>IF(A32&lt;&gt;"",VLOOKUP(A32,MarketData!$D:$BP,MATCH($BS$1,MarketData!$D$1:$EG$1,0),TRUE),"")</f>
        <v>36972.04</v>
      </c>
      <c r="BT32" s="98">
        <f t="shared" si="13"/>
        <v>2.9324049464055806E-3</v>
      </c>
    </row>
    <row r="33" spans="1:72" x14ac:dyDescent="0.25">
      <c r="A33" s="48">
        <v>45369</v>
      </c>
      <c r="B33" s="60">
        <f t="shared" si="30"/>
        <v>4</v>
      </c>
      <c r="C33" s="3">
        <f t="shared" si="3"/>
        <v>77343</v>
      </c>
      <c r="D33" s="3">
        <f t="shared" si="4"/>
        <v>54969</v>
      </c>
      <c r="E33" s="3">
        <f t="shared" si="5"/>
        <v>17882</v>
      </c>
      <c r="F33" s="3">
        <f t="shared" si="6"/>
        <v>49790.971799999941</v>
      </c>
      <c r="G33" s="74">
        <f t="shared" si="7"/>
        <v>721737.00659999996</v>
      </c>
      <c r="H33" s="78">
        <f>IFERROR(C33/SUM(M$2:M32),"")</f>
        <v>1.3214980634499501E-2</v>
      </c>
      <c r="I33" s="61">
        <f>IFERROR(D33/SUM(N$2:N33),"")</f>
        <v>2.7910979770899343E-2</v>
      </c>
      <c r="J33" s="61">
        <f>IFERROR(E33/SUM(O$2:O33),"")</f>
        <v>2.6429517345756378E-2</v>
      </c>
      <c r="K33" s="61">
        <f>IFERROR(F33/SUM(P$2:P33),"")</f>
        <v>0.17907265194264299</v>
      </c>
      <c r="L33" s="79">
        <f>IFERROR(G33/SUM(Q$2:Q33),"")</f>
        <v>1.5926372309790344</v>
      </c>
      <c r="M33" s="64">
        <f t="shared" si="8"/>
        <v>0</v>
      </c>
      <c r="N33" s="55">
        <f t="shared" si="9"/>
        <v>0</v>
      </c>
      <c r="O33" s="55">
        <f t="shared" si="10"/>
        <v>0</v>
      </c>
      <c r="P33" s="55">
        <f t="shared" si="11"/>
        <v>0</v>
      </c>
      <c r="Q33" s="65">
        <f t="shared" si="12"/>
        <v>0</v>
      </c>
      <c r="R33" s="67">
        <f t="shared" si="14"/>
        <v>7.1365782714582229E-2</v>
      </c>
      <c r="S33" s="56">
        <f t="shared" si="15"/>
        <v>-0.20661454865318138</v>
      </c>
      <c r="T33" s="56">
        <f t="shared" si="16"/>
        <v>-0.25402566150690192</v>
      </c>
      <c r="U33" s="56">
        <f t="shared" si="17"/>
        <v>6.6376056917173729</v>
      </c>
      <c r="V33" s="68">
        <f t="shared" si="18"/>
        <v>-6.1402726621599966</v>
      </c>
      <c r="W33" s="80">
        <f t="shared" si="19"/>
        <v>7.4501410300479992E-2</v>
      </c>
      <c r="X33" s="81">
        <f t="shared" si="20"/>
        <v>-0.43136933704017438</v>
      </c>
      <c r="Y33" s="81">
        <f t="shared" si="21"/>
        <v>-0.17893924056169974</v>
      </c>
      <c r="Z33" s="81">
        <f t="shared" si="22"/>
        <v>1.0128135261526487</v>
      </c>
      <c r="AA33" s="82">
        <f t="shared" si="23"/>
        <v>0.38522793588251558</v>
      </c>
      <c r="AB33" s="83">
        <f>IF(R33&lt;&gt;"",(W33-SUMPRODUCT(R$3:R33,$B$3:$B33)/SUM($B$3:$B33))/STDEVA(W23:W33),"")</f>
        <v>-0.55096629472504222</v>
      </c>
      <c r="AC33" s="84">
        <f>IF(S33&lt;&gt;"",(X33-SUMPRODUCT(S$3:S33,$B$3:$B33)/SUM($B$3:$B33))/STDEVA(X23:X33),"")</f>
        <v>-1.2298363146747531</v>
      </c>
      <c r="AD33" s="84">
        <f>IF(T33&lt;&gt;"",(Y33-SUMPRODUCT(T$3:T33,$B$3:$B33)/SUM($B$3:$B33))/STDEVA(Y23:Y33),"")</f>
        <v>-1.282091249148386</v>
      </c>
      <c r="AE33" s="84">
        <f>IF(U33&lt;&gt;"",(Z33-SUMPRODUCT(U$3:U33,$B$3:$B33)/SUM($B$3:$B33))/STDEVA(Z23:Z33),"")</f>
        <v>0.22030205773524203</v>
      </c>
      <c r="AF33" s="85">
        <f>IF(V33&lt;&gt;"",(AA33-SUMPRODUCT(V$3:V33,$B$3:$B33)/SUM($B$3:$B33))/STDEVA(AA23:AA33),"")</f>
        <v>-1.484768278933476</v>
      </c>
      <c r="AG33" s="90">
        <f t="shared" si="31"/>
        <v>-4.4849906912113185E-2</v>
      </c>
      <c r="AH33" s="90">
        <f t="shared" si="26"/>
        <v>-1.1760868822175827</v>
      </c>
      <c r="AI33" s="90">
        <f t="shared" si="27"/>
        <v>-1.1980701467430963</v>
      </c>
      <c r="AJ33" s="90">
        <f t="shared" si="28"/>
        <v>-0.72046857081997129</v>
      </c>
      <c r="AK33" s="93">
        <f t="shared" si="29"/>
        <v>-0.18616623956811987</v>
      </c>
      <c r="BQ33" s="100">
        <f>IF(A33&lt;&gt;"",(VLOOKUP(A33,MarketData!$D:$BP,MATCH($BQ$1,MarketData!$D$1:$EG$1,0),TRUE)/100/365+1)^(B33)*BQ32,"")</f>
        <v>101.43817755555445</v>
      </c>
      <c r="BR33" s="98">
        <f t="shared" si="1"/>
        <v>1.4381775555544464E-2</v>
      </c>
      <c r="BS33" s="106">
        <f>IF(A33&lt;&gt;"",VLOOKUP(A33,MarketData!$D:$BP,MATCH($BS$1,MarketData!$D$1:$EG$1,0),TRUE),"")</f>
        <v>37000.58</v>
      </c>
      <c r="BT33" s="98">
        <f t="shared" si="13"/>
        <v>3.7066032551051082E-3</v>
      </c>
    </row>
    <row r="34" spans="1:72" x14ac:dyDescent="0.25">
      <c r="A34" s="48">
        <v>45370</v>
      </c>
      <c r="B34" s="60">
        <f t="shared" si="30"/>
        <v>1</v>
      </c>
      <c r="C34" s="3">
        <f t="shared" si="3"/>
        <v>78642</v>
      </c>
      <c r="D34" s="3">
        <f t="shared" si="4"/>
        <v>92097</v>
      </c>
      <c r="E34" s="3">
        <f t="shared" si="5"/>
        <v>24595</v>
      </c>
      <c r="F34" s="3">
        <f t="shared" si="6"/>
        <v>31397.813999999955</v>
      </c>
      <c r="G34" s="74">
        <f t="shared" si="7"/>
        <v>689390.49439999985</v>
      </c>
      <c r="H34" s="78">
        <f>IFERROR(C34/SUM(M$2:M33),"")</f>
        <v>1.3436930388765754E-2</v>
      </c>
      <c r="I34" s="61">
        <f>IFERROR(D34/SUM(N$2:N34),"")</f>
        <v>4.6763039239580792E-2</v>
      </c>
      <c r="J34" s="61">
        <f>IFERROR(E34/SUM(O$2:O34),"")</f>
        <v>3.6351301818525791E-2</v>
      </c>
      <c r="K34" s="61">
        <f>IFERROR(F34/SUM(P$2:P34),"")</f>
        <v>0.11292187348273131</v>
      </c>
      <c r="L34" s="79">
        <f>IFERROR(G34/SUM(Q$2:Q34),"")</f>
        <v>1.5212590708584615</v>
      </c>
      <c r="M34" s="64">
        <f>IF($A34&lt;&gt;"",SUMIFS(Transferencias,Fecha,$A34,Linea,C$1),"")</f>
        <v>2000000</v>
      </c>
      <c r="N34" s="55">
        <f t="shared" si="9"/>
        <v>0</v>
      </c>
      <c r="O34" s="55">
        <f t="shared" si="10"/>
        <v>0</v>
      </c>
      <c r="P34" s="55">
        <f t="shared" si="11"/>
        <v>0</v>
      </c>
      <c r="Q34" s="65">
        <f t="shared" si="12"/>
        <v>0</v>
      </c>
      <c r="R34" s="67">
        <f t="shared" si="14"/>
        <v>7.9946299796679166E-2</v>
      </c>
      <c r="S34" s="56">
        <f t="shared" si="15"/>
        <v>6.6335154714187299</v>
      </c>
      <c r="T34" s="56">
        <f t="shared" si="16"/>
        <v>3.5112593902171119</v>
      </c>
      <c r="U34" s="56">
        <f t="shared" si="17"/>
        <v>-21.074882827561009</v>
      </c>
      <c r="V34" s="68">
        <f t="shared" si="18"/>
        <v>-9.4076493665163508</v>
      </c>
      <c r="W34" s="80">
        <f t="shared" si="19"/>
        <v>7.471591390799405E-2</v>
      </c>
      <c r="X34" s="81">
        <f t="shared" si="20"/>
        <v>-2.7981840282476359E-2</v>
      </c>
      <c r="Y34" s="81">
        <f t="shared" si="21"/>
        <v>4.5423342029793951E-2</v>
      </c>
      <c r="Z34" s="81">
        <f t="shared" si="22"/>
        <v>-1.1519889934499355E-2</v>
      </c>
      <c r="AA34" s="82">
        <f t="shared" si="23"/>
        <v>0.84724245781106222</v>
      </c>
      <c r="AB34" s="83">
        <f>IF(R34&lt;&gt;"",(W34-SUMPRODUCT(R$3:R34,$B$3:$B34)/SUM($B$3:$B34))/STDEVA(W24:W34),"")</f>
        <v>-0.57543169471457256</v>
      </c>
      <c r="AC34" s="84">
        <f>IF(S34&lt;&gt;"",(X34-SUMPRODUCT(S$3:S34,$B$3:$B34)/SUM($B$3:$B34))/STDEVA(X24:X34),"")</f>
        <v>-0.88114370313175328</v>
      </c>
      <c r="AD34" s="84">
        <f>IF(T34&lt;&gt;"",(Y34-SUMPRODUCT(T$3:T34,$B$3:$B34)/SUM($B$3:$B34))/STDEVA(Y24:Y34),"")</f>
        <v>-0.87682947233582453</v>
      </c>
      <c r="AE34" s="84">
        <f>IF(U34&lt;&gt;"",(Z34-SUMPRODUCT(U$3:U34,$B$3:$B34)/SUM($B$3:$B34))/STDEVA(Z24:Z34),"")</f>
        <v>-0.91066489362172109</v>
      </c>
      <c r="AF34" s="85">
        <f>IF(V34&lt;&gt;"",(AA34-SUMPRODUCT(V$3:V34,$B$3:$B34)/SUM($B$3:$B34))/STDEVA(AA24:AA34),"")</f>
        <v>-1.1097379266562204</v>
      </c>
      <c r="AG34" s="90">
        <f t="shared" si="31"/>
        <v>-8.0832042483734282E-2</v>
      </c>
      <c r="AH34" s="90">
        <f>IF(AC34&lt;&gt;"",SUMPRODUCT(AC29:AC34,$B29:$B34)/SUM($B29:$B34),"")</f>
        <v>-1.3967833328617869</v>
      </c>
      <c r="AI34" s="90">
        <f t="shared" si="27"/>
        <v>-1.4114219077739938</v>
      </c>
      <c r="AJ34" s="90">
        <f t="shared" si="28"/>
        <v>-0.79902147934433365</v>
      </c>
      <c r="AK34" s="93">
        <f t="shared" si="29"/>
        <v>-0.42378992229040241</v>
      </c>
      <c r="BQ34" s="100">
        <f>IF(A34&lt;&gt;"",(VLOOKUP(A34,MarketData!$D:$BP,MATCH($BQ$1,MarketData!$D$1:$EG$1,0),TRUE)/100/365+1)^(B34)*BQ33,"")</f>
        <v>101.45832623465795</v>
      </c>
      <c r="BR34" s="98">
        <f t="shared" si="1"/>
        <v>1.4583262346579459E-2</v>
      </c>
      <c r="BS34" s="106">
        <f>IF(A34&lt;&gt;"",VLOOKUP(A34,MarketData!$D:$BP,MATCH($BS$1,MarketData!$D$1:$EG$1,0),TRUE),"")</f>
        <v>37007.72</v>
      </c>
      <c r="BT34" s="98">
        <f t="shared" si="13"/>
        <v>3.9002884661812824E-3</v>
      </c>
    </row>
    <row r="35" spans="1:72" x14ac:dyDescent="0.25">
      <c r="A35" s="48">
        <v>45371</v>
      </c>
      <c r="B35" s="60">
        <f t="shared" si="30"/>
        <v>1</v>
      </c>
      <c r="C35" s="3">
        <f t="shared" si="3"/>
        <v>79827</v>
      </c>
      <c r="D35" s="3">
        <f t="shared" si="4"/>
        <v>141793</v>
      </c>
      <c r="E35" s="3">
        <f t="shared" si="5"/>
        <v>27359</v>
      </c>
      <c r="F35" s="3">
        <f t="shared" si="6"/>
        <v>39551.365399999951</v>
      </c>
      <c r="G35" s="74">
        <f t="shared" si="7"/>
        <v>743832.0774999999</v>
      </c>
      <c r="H35" s="78">
        <f>IFERROR(C35/SUM(M$2:M34),"")</f>
        <v>1.0165579224203317E-2</v>
      </c>
      <c r="I35" s="61">
        <f>IFERROR(D35/SUM(N$2:N35),"")</f>
        <v>7.1996608172881629E-2</v>
      </c>
      <c r="J35" s="61">
        <f>IFERROR(E35/SUM(O$2:O35),"")</f>
        <v>4.0436481661030574E-2</v>
      </c>
      <c r="K35" s="61">
        <f>IFERROR(F35/SUM(P$2:P35),"")</f>
        <v>0.14224602641980352</v>
      </c>
      <c r="L35" s="79">
        <f>IFERROR(G35/SUM(Q$2:Q35),"")</f>
        <v>1.6413938171242199</v>
      </c>
      <c r="M35" s="64"/>
      <c r="N35" s="55">
        <f t="shared" si="9"/>
        <v>0</v>
      </c>
      <c r="O35" s="55">
        <f t="shared" si="10"/>
        <v>0</v>
      </c>
      <c r="P35" s="55">
        <f t="shared" si="11"/>
        <v>0</v>
      </c>
      <c r="Q35" s="65">
        <f t="shared" si="12"/>
        <v>0</v>
      </c>
      <c r="R35" s="67">
        <f t="shared" si="14"/>
        <v>4.3549023172670932E-2</v>
      </c>
      <c r="S35" s="56">
        <f t="shared" si="15"/>
        <v>8.6944153056242683</v>
      </c>
      <c r="T35" s="56">
        <f t="shared" si="16"/>
        <v>1.4359604554344969</v>
      </c>
      <c r="U35" s="56">
        <f t="shared" si="17"/>
        <v>9.4927978222683063</v>
      </c>
      <c r="V35" s="68">
        <f t="shared" si="18"/>
        <v>15.697163427308531</v>
      </c>
      <c r="W35" s="80">
        <f t="shared" si="19"/>
        <v>7.7007967759187251E-2</v>
      </c>
      <c r="X35" s="81">
        <f t="shared" si="20"/>
        <v>0.42961896527669569</v>
      </c>
      <c r="Y35" s="81">
        <f t="shared" si="21"/>
        <v>0.12100020810529379</v>
      </c>
      <c r="Z35" s="81">
        <f t="shared" si="22"/>
        <v>0.46453206896157656</v>
      </c>
      <c r="AA35" s="82">
        <f t="shared" si="23"/>
        <v>1.6840722486894681</v>
      </c>
      <c r="AB35" s="83">
        <f>IF(R35&lt;&gt;"",(W35-SUMPRODUCT(R$3:R35,$B$3:$B35)/SUM($B$3:$B35))/STDEVA(W25:W35),"")</f>
        <v>-7.5779097896195843E-2</v>
      </c>
      <c r="AC35" s="84">
        <f>IF(S35&lt;&gt;"",(X35-SUMPRODUCT(S$3:S35,$B$3:$B35)/SUM($B$3:$B35))/STDEVA(X25:X35),"")</f>
        <v>-0.45525557797315236</v>
      </c>
      <c r="AD35" s="84">
        <f>IF(T35&lt;&gt;"",(Y35-SUMPRODUCT(T$3:T35,$B$3:$B35)/SUM($B$3:$B35))/STDEVA(Y25:Y35),"")</f>
        <v>-0.73492390392170626</v>
      </c>
      <c r="AE35" s="84">
        <f>IF(U35&lt;&gt;"",(Z35-SUMPRODUCT(U$3:U35,$B$3:$B35)/SUM($B$3:$B35))/STDEVA(Z25:Z35),"")</f>
        <v>-0.39616984875700934</v>
      </c>
      <c r="AF35" s="85">
        <f>IF(V35&lt;&gt;"",(AA35-SUMPRODUCT(V$3:V35,$B$3:$B35)/SUM($B$3:$B35))/STDEVA(AA25:AA35),"")</f>
        <v>-0.92702514194122265</v>
      </c>
      <c r="AG35" s="90">
        <f t="shared" si="31"/>
        <v>-0.25880296079550535</v>
      </c>
      <c r="AH35" s="90">
        <f t="shared" si="26"/>
        <v>-1.1853430528631559</v>
      </c>
      <c r="AI35" s="90">
        <f t="shared" si="27"/>
        <v>-1.2420018788295206</v>
      </c>
      <c r="AJ35" s="90">
        <f t="shared" si="28"/>
        <v>-0.51687119378476976</v>
      </c>
      <c r="AK35" s="93">
        <f t="shared" si="29"/>
        <v>-0.81205648910408224</v>
      </c>
      <c r="BQ35" s="100">
        <f>IF(A35&lt;&gt;"",(VLOOKUP(A35,MarketData!$D:$BP,MATCH($BQ$1,MarketData!$D$1:$EG$1,0),TRUE)/100/365+1)^(B35)*BQ34,"")</f>
        <v>101.47847891589633</v>
      </c>
      <c r="BR35" s="98">
        <f t="shared" si="1"/>
        <v>1.4784789158963321E-2</v>
      </c>
      <c r="BS35" s="106">
        <f>IF(A35&lt;&gt;"",VLOOKUP(A35,MarketData!$D:$BP,MATCH($BS$1,MarketData!$D$1:$EG$1,0),TRUE),"")</f>
        <v>37014.870000000003</v>
      </c>
      <c r="BT35" s="98">
        <f t="shared" si="13"/>
        <v>4.0942449450601399E-3</v>
      </c>
    </row>
    <row r="36" spans="1:72" x14ac:dyDescent="0.25">
      <c r="A36" s="48">
        <v>45373</v>
      </c>
      <c r="B36" s="60">
        <f t="shared" si="30"/>
        <v>2</v>
      </c>
      <c r="C36" s="3">
        <f t="shared" si="3"/>
        <v>79827</v>
      </c>
      <c r="D36" s="3">
        <f t="shared" si="4"/>
        <v>141793</v>
      </c>
      <c r="E36" s="3">
        <f t="shared" si="5"/>
        <v>27359</v>
      </c>
      <c r="F36" s="3">
        <f t="shared" si="6"/>
        <v>38129.192599999951</v>
      </c>
      <c r="G36" s="74">
        <f t="shared" si="7"/>
        <v>738040.73499999987</v>
      </c>
      <c r="H36" s="78">
        <f>IFERROR(C36/SUM(M$2:M35),"")</f>
        <v>1.0165579224203317E-2</v>
      </c>
      <c r="I36" s="61">
        <f>IFERROR(D36/SUM(N$2:N36),"")</f>
        <v>7.1996608172881629E-2</v>
      </c>
      <c r="J36" s="61">
        <f>IFERROR(E36/SUM(O$2:O36),"")</f>
        <v>4.0436481661030574E-2</v>
      </c>
      <c r="K36" s="61">
        <f>IFERROR(F36/SUM(P$2:P36),"")</f>
        <v>0.13713119845782559</v>
      </c>
      <c r="L36" s="79">
        <f>IFERROR(G36/SUM(Q$2:Q36),"")</f>
        <v>1.6286142206804934</v>
      </c>
      <c r="M36" s="64">
        <f t="shared" si="8"/>
        <v>0</v>
      </c>
      <c r="N36" s="55">
        <f t="shared" si="9"/>
        <v>0</v>
      </c>
      <c r="O36" s="55">
        <f t="shared" si="10"/>
        <v>0</v>
      </c>
      <c r="P36" s="55">
        <f t="shared" si="11"/>
        <v>0</v>
      </c>
      <c r="Q36" s="65">
        <f t="shared" si="12"/>
        <v>0</v>
      </c>
      <c r="R36" s="67">
        <f t="shared" si="14"/>
        <v>0</v>
      </c>
      <c r="S36" s="56">
        <f t="shared" si="15"/>
        <v>0</v>
      </c>
      <c r="T36" s="56">
        <f t="shared" si="16"/>
        <v>0</v>
      </c>
      <c r="U36" s="56">
        <f t="shared" si="17"/>
        <v>-0.81904679310037087</v>
      </c>
      <c r="V36" s="68">
        <f t="shared" si="18"/>
        <v>-0.81904679310037087</v>
      </c>
      <c r="W36" s="80">
        <f t="shared" si="19"/>
        <v>6.288886096659696E-2</v>
      </c>
      <c r="X36" s="81">
        <f t="shared" si="20"/>
        <v>5.1794516755916009E-2</v>
      </c>
      <c r="Y36" s="81">
        <f t="shared" si="21"/>
        <v>-0.13589563793066234</v>
      </c>
      <c r="Z36" s="81">
        <f t="shared" si="22"/>
        <v>0.22885480292006494</v>
      </c>
      <c r="AA36" s="82">
        <f t="shared" si="23"/>
        <v>0.56721347415436663</v>
      </c>
      <c r="AB36" s="83">
        <f>IF(R36&lt;&gt;"",(W36-SUMPRODUCT(R$3:R36,$B$3:$B36)/SUM($B$3:$B36))/STDEVA(W26:W36),"")</f>
        <v>-1.6865768853928698</v>
      </c>
      <c r="AC36" s="84">
        <f>IF(S36&lt;&gt;"",(X36-SUMPRODUCT(S$3:S36,$B$3:$B36)/SUM($B$3:$B36))/STDEVA(X26:X36),"")</f>
        <v>-0.93409699300329097</v>
      </c>
      <c r="AD36" s="84">
        <f>IF(T36&lt;&gt;"",(Y36-SUMPRODUCT(T$3:T36,$B$3:$B36)/SUM($B$3:$B36))/STDEVA(Y26:Y36),"")</f>
        <v>-1.3195562158795286</v>
      </c>
      <c r="AE36" s="84">
        <f>IF(U36&lt;&gt;"",(Z36-SUMPRODUCT(U$3:U36,$B$3:$B36)/SUM($B$3:$B36))/STDEVA(Z26:Z36),"")</f>
        <v>-0.78564255513132164</v>
      </c>
      <c r="AF36" s="85">
        <f>IF(V36&lt;&gt;"",(AA36-SUMPRODUCT(V$3:V36,$B$3:$B36)/SUM($B$3:$B36))/STDEVA(AA26:AA36),"")</f>
        <v>-1.2823575610887314</v>
      </c>
      <c r="AG36" s="90">
        <f t="shared" si="31"/>
        <v>-0.69852923890217233</v>
      </c>
      <c r="AH36" s="90">
        <f t="shared" si="26"/>
        <v>-1.1340958714563101</v>
      </c>
      <c r="AI36" s="90">
        <f t="shared" si="27"/>
        <v>-1.2632729899522896</v>
      </c>
      <c r="AJ36" s="90">
        <f t="shared" si="28"/>
        <v>-0.5301148043371976</v>
      </c>
      <c r="AK36" s="93">
        <f t="shared" si="29"/>
        <v>-1.0430705978668211</v>
      </c>
      <c r="BQ36" s="100">
        <f>IF(A36&lt;&gt;"",(VLOOKUP(A36,MarketData!$D:$BP,MATCH($BQ$1,MarketData!$D$1:$EG$1,0),TRUE)/100/365+1)^(B36)*BQ35,"")</f>
        <v>101.51879628795771</v>
      </c>
      <c r="BR36" s="98">
        <f t="shared" si="1"/>
        <v>1.5187962879577127E-2</v>
      </c>
      <c r="BS36" s="106">
        <f>IF(A36&lt;&gt;"",VLOOKUP(A36,MarketData!$D:$BP,MATCH($BS$1,MarketData!$D$1:$EG$1,0),TRUE),"")</f>
        <v>37029.160000000003</v>
      </c>
      <c r="BT36" s="98">
        <f t="shared" si="13"/>
        <v>4.4818866350151707E-3</v>
      </c>
    </row>
    <row r="37" spans="1:72" x14ac:dyDescent="0.25">
      <c r="A37" s="48">
        <v>45374</v>
      </c>
      <c r="B37" s="60">
        <f t="shared" si="30"/>
        <v>1</v>
      </c>
      <c r="C37" s="3">
        <f t="shared" si="3"/>
        <v>82880</v>
      </c>
      <c r="D37" s="3">
        <f t="shared" si="4"/>
        <v>162436</v>
      </c>
      <c r="E37" s="3">
        <f t="shared" si="5"/>
        <v>37546</v>
      </c>
      <c r="F37" s="3">
        <f t="shared" si="6"/>
        <v>36118.104799999972</v>
      </c>
      <c r="G37" s="74">
        <f t="shared" si="7"/>
        <v>742024.04899999988</v>
      </c>
      <c r="H37" s="78">
        <f>IFERROR(C37/SUM(M$2:M36),"")</f>
        <v>1.0554363888182832E-2</v>
      </c>
      <c r="I37" s="61">
        <f>IFERROR(D37/SUM(N$2:N37),"")</f>
        <v>8.2478267934032012E-2</v>
      </c>
      <c r="J37" s="61">
        <f>IFERROR(E37/SUM(O$2:O37),"")</f>
        <v>5.5492822853359186E-2</v>
      </c>
      <c r="K37" s="61">
        <f>IFERROR(F37/SUM(P$2:P37),"")</f>
        <v>0.12989834453639457</v>
      </c>
      <c r="L37" s="79">
        <f>IFERROR(G37/SUM(Q$2:Q37),"")</f>
        <v>1.6374040902882132</v>
      </c>
      <c r="M37" s="64">
        <f t="shared" si="8"/>
        <v>0</v>
      </c>
      <c r="N37" s="55">
        <f t="shared" si="9"/>
        <v>0</v>
      </c>
      <c r="O37" s="55">
        <f t="shared" si="10"/>
        <v>0</v>
      </c>
      <c r="P37" s="55">
        <f t="shared" si="11"/>
        <v>0</v>
      </c>
      <c r="Q37" s="65">
        <f t="shared" si="12"/>
        <v>0</v>
      </c>
      <c r="R37" s="67">
        <f t="shared" si="14"/>
        <v>0.14045133229589968</v>
      </c>
      <c r="S37" s="56">
        <f t="shared" si="15"/>
        <v>3.5515252833297151</v>
      </c>
      <c r="T37" s="56">
        <f t="shared" si="16"/>
        <v>5.2441263718402267</v>
      </c>
      <c r="U37" s="56">
        <f t="shared" si="17"/>
        <v>-2.3290410554701211</v>
      </c>
      <c r="V37" s="68">
        <f t="shared" si="18"/>
        <v>1.127477729180667</v>
      </c>
      <c r="W37" s="80">
        <f t="shared" si="19"/>
        <v>6.7186526899808113E-2</v>
      </c>
      <c r="X37" s="81">
        <f t="shared" si="20"/>
        <v>-6.7133426747312153E-2</v>
      </c>
      <c r="Y37" s="81">
        <f t="shared" si="21"/>
        <v>-1.9381836487605053E-2</v>
      </c>
      <c r="Z37" s="81">
        <f t="shared" si="22"/>
        <v>4.2916519369276596E-2</v>
      </c>
      <c r="AA37" s="82">
        <f t="shared" si="23"/>
        <v>0.5418416041273969</v>
      </c>
      <c r="AB37" s="83">
        <f>IF(R37&lt;&gt;"",(W37-SUMPRODUCT(R$3:R37,$B$3:$B37)/SUM($B$3:$B37))/STDEVA(W27:W37),"")</f>
        <v>-1.4610600131465166</v>
      </c>
      <c r="AC37" s="84">
        <f>IF(S37&lt;&gt;"",(X37-SUMPRODUCT(S$3:S37,$B$3:$B37)/SUM($B$3:$B37))/STDEVA(X27:X37),"")</f>
        <v>-1.1747969182143456</v>
      </c>
      <c r="AD37" s="84">
        <f>IF(T37&lt;&gt;"",(Y37-SUMPRODUCT(T$3:T37,$B$3:$B37)/SUM($B$3:$B37))/STDEVA(Y27:Y37),"")</f>
        <v>-1.2175509340052879</v>
      </c>
      <c r="AE37" s="84">
        <f>IF(U37&lt;&gt;"",(Z37-SUMPRODUCT(U$3:U37,$B$3:$B37)/SUM($B$3:$B37))/STDEVA(Z27:Z37),"")</f>
        <v>-1.1023290245958237</v>
      </c>
      <c r="AF37" s="85">
        <f>IF(V37&lt;&gt;"",(AA37-SUMPRODUCT(V$3:V37,$B$3:$B37)/SUM($B$3:$B37))/STDEVA(AA27:AA37),"")</f>
        <v>-1.2397822600968478</v>
      </c>
      <c r="AG37" s="90">
        <f t="shared" si="31"/>
        <v>-0.81061493918735439</v>
      </c>
      <c r="AH37" s="90">
        <f t="shared" si="26"/>
        <v>-1.088398183357234</v>
      </c>
      <c r="AI37" s="90">
        <f t="shared" si="27"/>
        <v>-1.2164009433015732</v>
      </c>
      <c r="AJ37" s="90">
        <f t="shared" si="28"/>
        <v>-0.4896722635437401</v>
      </c>
      <c r="AK37" s="93">
        <f t="shared" si="29"/>
        <v>-1.1883759123000586</v>
      </c>
      <c r="BQ37" s="100">
        <f>IF(A37&lt;&gt;"",(VLOOKUP(A37,MarketData!$D:$BP,MATCH($BQ$1,MarketData!$D$1:$EG$1,0),TRUE)/100/365+1)^(B37)*BQ36,"")</f>
        <v>101.53896098037107</v>
      </c>
      <c r="BR37" s="98">
        <f t="shared" si="1"/>
        <v>1.5389609803710727E-2</v>
      </c>
      <c r="BS37" s="106">
        <f>IF(A37&lt;&gt;"",VLOOKUP(A37,MarketData!$D:$BP,MATCH($BS$1,MarketData!$D$1:$EG$1,0),TRUE),"")</f>
        <v>37036.300000000003</v>
      </c>
      <c r="BT37" s="98">
        <f t="shared" si="13"/>
        <v>4.6755718460913444E-3</v>
      </c>
    </row>
    <row r="38" spans="1:72" x14ac:dyDescent="0.25">
      <c r="A38" s="48">
        <v>45375</v>
      </c>
      <c r="B38" s="60">
        <f t="shared" si="30"/>
        <v>1</v>
      </c>
      <c r="C38" s="3">
        <f t="shared" si="3"/>
        <v>82880</v>
      </c>
      <c r="D38" s="3">
        <f t="shared" si="4"/>
        <v>162436</v>
      </c>
      <c r="E38" s="3">
        <f t="shared" si="5"/>
        <v>37546</v>
      </c>
      <c r="F38" s="3">
        <f t="shared" si="6"/>
        <v>38931.42379999999</v>
      </c>
      <c r="G38" s="74">
        <f t="shared" si="7"/>
        <v>755971.37719999987</v>
      </c>
      <c r="H38" s="78">
        <f>IFERROR(C38/SUM(M$2:M37),"")</f>
        <v>1.0554363888182832E-2</v>
      </c>
      <c r="I38" s="61">
        <f>IFERROR(D38/SUM(N$2:N38),"")</f>
        <v>8.2478267934032012E-2</v>
      </c>
      <c r="J38" s="61">
        <f>IFERROR(E38/SUM(O$2:O38),"")</f>
        <v>5.5492822853359186E-2</v>
      </c>
      <c r="K38" s="61">
        <f>IFERROR(F38/SUM(P$2:P38),"")</f>
        <v>0.14001641365370848</v>
      </c>
      <c r="L38" s="79">
        <f>IFERROR(G38/SUM(Q$2:Q38),"")</f>
        <v>1.6681812763835282</v>
      </c>
      <c r="M38" s="64">
        <f t="shared" si="8"/>
        <v>0</v>
      </c>
      <c r="N38" s="55">
        <f t="shared" si="9"/>
        <v>0</v>
      </c>
      <c r="O38" s="55">
        <f t="shared" si="10"/>
        <v>0</v>
      </c>
      <c r="P38" s="55">
        <f t="shared" si="11"/>
        <v>0</v>
      </c>
      <c r="Q38" s="65">
        <f t="shared" si="12"/>
        <v>0</v>
      </c>
      <c r="R38" s="67">
        <f t="shared" si="14"/>
        <v>0</v>
      </c>
      <c r="S38" s="56">
        <f t="shared" si="15"/>
        <v>0</v>
      </c>
      <c r="T38" s="56">
        <f t="shared" si="16"/>
        <v>0</v>
      </c>
      <c r="U38" s="56">
        <f t="shared" si="17"/>
        <v>3.2539743532821097</v>
      </c>
      <c r="V38" s="68">
        <f t="shared" si="18"/>
        <v>3.9205710595861878</v>
      </c>
      <c r="W38" s="80">
        <f t="shared" si="19"/>
        <v>6.7186526899808113E-2</v>
      </c>
      <c r="X38" s="81">
        <f t="shared" si="20"/>
        <v>-6.7133426747312153E-2</v>
      </c>
      <c r="Y38" s="81">
        <f t="shared" si="21"/>
        <v>-1.9381836487605053E-2</v>
      </c>
      <c r="Z38" s="81">
        <f t="shared" si="22"/>
        <v>0.24628991644940845</v>
      </c>
      <c r="AA38" s="82">
        <f t="shared" si="23"/>
        <v>0.58844023092033082</v>
      </c>
      <c r="AB38" s="83">
        <f>IF(R38&lt;&gt;"",(W38-SUMPRODUCT(R$3:R38,$B$3:$B38)/SUM($B$3:$B38))/STDEVA(W28:W38),"")</f>
        <v>-1.2080353299518918</v>
      </c>
      <c r="AC38" s="84">
        <f>IF(S38&lt;&gt;"",(X38-SUMPRODUCT(S$3:S38,$B$3:$B38)/SUM($B$3:$B38))/STDEVA(X28:X38),"")</f>
        <v>-1.462959711451729</v>
      </c>
      <c r="AD38" s="84">
        <f>IF(T38&lt;&gt;"",(Y38-SUMPRODUCT(T$3:T38,$B$3:$B38)/SUM($B$3:$B38))/STDEVA(Y28:Y38),"")</f>
        <v>-1.5547190142730372</v>
      </c>
      <c r="AE38" s="84">
        <f>IF(U38&lt;&gt;"",(Z38-SUMPRODUCT(U$3:U38,$B$3:$B38)/SUM($B$3:$B38))/STDEVA(Z28:Z38),"")</f>
        <v>-0.83618397774695485</v>
      </c>
      <c r="AF38" s="85">
        <f>IF(V38&lt;&gt;"",(AA38-SUMPRODUCT(V$3:V38,$B$3:$B38)/SUM($B$3:$B38))/STDEVA(AA28:AA38),"")</f>
        <v>-1.2805542463242778</v>
      </c>
      <c r="AG38" s="90">
        <f t="shared" si="31"/>
        <v>-0.88973250853950847</v>
      </c>
      <c r="AH38" s="90">
        <f t="shared" si="26"/>
        <v>-1.0761695155476576</v>
      </c>
      <c r="AI38" s="90">
        <f t="shared" si="27"/>
        <v>-1.2151500752888458</v>
      </c>
      <c r="AJ38" s="90">
        <f t="shared" si="28"/>
        <v>-0.39354246240431845</v>
      </c>
      <c r="AK38" s="93">
        <f t="shared" si="29"/>
        <v>-1.3060887812929933</v>
      </c>
      <c r="BQ38" s="100">
        <f>IF(A38&lt;&gt;"",(VLOOKUP(A38,MarketData!$D:$BP,MATCH($BQ$1,MarketData!$D$1:$EG$1,0),TRUE)/100/365+1)^(B38)*BQ37,"")</f>
        <v>101.55912967810005</v>
      </c>
      <c r="BR38" s="98">
        <f t="shared" si="1"/>
        <v>1.5591296781000494E-2</v>
      </c>
      <c r="BS38" s="106">
        <f>IF(A38&lt;&gt;"",VLOOKUP(A38,MarketData!$D:$BP,MATCH($BS$1,MarketData!$D$1:$EG$1,0),TRUE),"")</f>
        <v>37043.449999999997</v>
      </c>
      <c r="BT38" s="98">
        <f t="shared" si="13"/>
        <v>4.8695283249700046E-3</v>
      </c>
    </row>
    <row r="39" spans="1:72" x14ac:dyDescent="0.25">
      <c r="A39" s="48">
        <v>45378</v>
      </c>
      <c r="B39" s="60">
        <f t="shared" si="30"/>
        <v>3</v>
      </c>
      <c r="C39" s="3">
        <f t="shared" si="3"/>
        <v>91068</v>
      </c>
      <c r="D39" s="3">
        <f t="shared" si="4"/>
        <v>169692</v>
      </c>
      <c r="E39" s="3">
        <f t="shared" si="5"/>
        <v>38515</v>
      </c>
      <c r="F39" s="3">
        <f t="shared" si="6"/>
        <v>40438.810999999929</v>
      </c>
      <c r="G39" s="74">
        <f t="shared" si="7"/>
        <v>747691.02099999995</v>
      </c>
      <c r="H39" s="78">
        <f>IFERROR(C39/SUM(M$2:M38),"")</f>
        <v>1.1597065764587767E-2</v>
      </c>
      <c r="I39" s="61">
        <f>IFERROR(D39/SUM(N$2:N39),"")</f>
        <v>8.6162563977577378E-2</v>
      </c>
      <c r="J39" s="61">
        <f>IFERROR(E39/SUM(O$2:O39),"")</f>
        <v>5.692500059119824E-2</v>
      </c>
      <c r="K39" s="61">
        <f>IFERROR(F39/SUM(P$2:P39),"")</f>
        <v>0.1454377142158394</v>
      </c>
      <c r="L39" s="79">
        <f>IFERROR(G39/SUM(Q$2:Q39),"")</f>
        <v>1.6499092417652497</v>
      </c>
      <c r="M39" s="64">
        <f t="shared" si="8"/>
        <v>0</v>
      </c>
      <c r="N39" s="55">
        <f t="shared" si="9"/>
        <v>0</v>
      </c>
      <c r="O39" s="55">
        <f t="shared" si="10"/>
        <v>0</v>
      </c>
      <c r="P39" s="55">
        <f t="shared" si="11"/>
        <v>0</v>
      </c>
      <c r="Q39" s="65">
        <f t="shared" si="12"/>
        <v>0</v>
      </c>
      <c r="R39" s="67">
        <f t="shared" si="14"/>
        <v>0.12547237661089369</v>
      </c>
      <c r="S39" s="56">
        <f t="shared" si="15"/>
        <v>0.41339851513951548</v>
      </c>
      <c r="T39" s="56">
        <f t="shared" si="16"/>
        <v>0.16497523946387918</v>
      </c>
      <c r="U39" s="56">
        <f t="shared" si="17"/>
        <v>0.5772097928468839</v>
      </c>
      <c r="V39" s="68">
        <f t="shared" si="18"/>
        <v>-0.77417065514106953</v>
      </c>
      <c r="W39" s="80">
        <f t="shared" si="19"/>
        <v>7.2309962953950008E-2</v>
      </c>
      <c r="X39" s="81">
        <f t="shared" si="20"/>
        <v>0.71648695553579744</v>
      </c>
      <c r="Y39" s="81">
        <f t="shared" si="21"/>
        <v>0.36326051216884248</v>
      </c>
      <c r="Z39" s="81">
        <f t="shared" si="22"/>
        <v>0.64641062596384535</v>
      </c>
      <c r="AA39" s="82">
        <f t="shared" si="23"/>
        <v>-1.1366569216865399</v>
      </c>
      <c r="AB39" s="83">
        <f>IF(R39&lt;&gt;"",(W39-SUMPRODUCT(R$3:R39,$B$3:$B39)/SUM($B$3:$B39))/STDEVA(W29:W39),"")</f>
        <v>-0.72543529719995348</v>
      </c>
      <c r="AC39" s="84">
        <f>IF(S39&lt;&gt;"",(X39-SUMPRODUCT(S$3:S39,$B$3:$B39)/SUM($B$3:$B39))/STDEVA(X29:X39),"")</f>
        <v>-0.11135391793326835</v>
      </c>
      <c r="AD39" s="84">
        <f>IF(T39&lt;&gt;"",(Y39-SUMPRODUCT(T$3:T39,$B$3:$B39)/SUM($B$3:$B39))/STDEVA(Y29:Y39),"")</f>
        <v>-0.47058770762547109</v>
      </c>
      <c r="AE39" s="84">
        <f>IF(U39&lt;&gt;"",(Z39-SUMPRODUCT(U$3:U39,$B$3:$B39)/SUM($B$3:$B39))/STDEVA(Z29:Z39),"")</f>
        <v>2.3975339323063369E-2</v>
      </c>
      <c r="AF39" s="85">
        <f>IF(V39&lt;&gt;"",(AA39-SUMPRODUCT(V$3:V39,$B$3:$B39)/SUM($B$3:$B39))/STDEVA(AA29:AA39),"")</f>
        <v>-1.9229338049102671</v>
      </c>
      <c r="AG39" s="90">
        <f t="shared" si="31"/>
        <v>-0.98552953312164193</v>
      </c>
      <c r="AH39" s="90">
        <f t="shared" si="26"/>
        <v>-0.68626796117526312</v>
      </c>
      <c r="AI39" s="90">
        <f t="shared" si="27"/>
        <v>-0.93721098657459179</v>
      </c>
      <c r="AJ39" s="90">
        <f t="shared" si="28"/>
        <v>-0.52718964855721806</v>
      </c>
      <c r="AK39" s="93">
        <f t="shared" si="29"/>
        <v>-1.4322906791029812</v>
      </c>
      <c r="BQ39" s="100">
        <f>IF(A39&lt;&gt;"",(VLOOKUP(A39,MarketData!$D:$BP,MATCH($BQ$1,MarketData!$D$1:$EG$1,0),TRUE)/100/365+1)^(B39)*BQ38,"")</f>
        <v>101.61965981113721</v>
      </c>
      <c r="BR39" s="98">
        <f t="shared" si="1"/>
        <v>1.6196598111372112E-2</v>
      </c>
      <c r="BS39" s="106">
        <f>IF(A39&lt;&gt;"",VLOOKUP(A39,MarketData!$D:$BP,MATCH($BS$1,MarketData!$D$1:$EG$1,0),TRUE),"")</f>
        <v>37064.9</v>
      </c>
      <c r="BT39" s="98">
        <f t="shared" si="13"/>
        <v>5.4513977616065757E-3</v>
      </c>
    </row>
    <row r="40" spans="1:72" x14ac:dyDescent="0.25">
      <c r="A40" s="48">
        <v>45379</v>
      </c>
      <c r="B40" s="60">
        <f t="shared" si="30"/>
        <v>1</v>
      </c>
      <c r="C40" s="3">
        <f t="shared" si="3"/>
        <v>92323</v>
      </c>
      <c r="D40" s="3">
        <f t="shared" si="4"/>
        <v>170745</v>
      </c>
      <c r="E40" s="3">
        <f t="shared" si="5"/>
        <v>38726</v>
      </c>
      <c r="F40" s="3">
        <f t="shared" si="6"/>
        <v>41578.371799999964</v>
      </c>
      <c r="G40" s="74">
        <f t="shared" si="7"/>
        <v>747691.02099999995</v>
      </c>
      <c r="H40" s="78">
        <f>IFERROR(C40/SUM(M$2:M39),"")</f>
        <v>1.1756883895375284E-2</v>
      </c>
      <c r="I40" s="61">
        <f>IFERROR(D40/SUM(N$2:N40),"")</f>
        <v>8.6697233731416037E-2</v>
      </c>
      <c r="J40" s="61">
        <f>IFERROR(E40/SUM(O$2:O40),"")</f>
        <v>5.7236857663111596E-2</v>
      </c>
      <c r="K40" s="61">
        <f>IFERROR(F40/SUM(P$2:P40),"")</f>
        <v>0.14953613140129965</v>
      </c>
      <c r="L40" s="79">
        <f>IFERROR(G40/SUM(Q$2:Q40),"")</f>
        <v>1.6499092417652497</v>
      </c>
      <c r="M40" s="64">
        <f t="shared" si="8"/>
        <v>0</v>
      </c>
      <c r="N40" s="55">
        <f t="shared" si="9"/>
        <v>0</v>
      </c>
      <c r="O40" s="55">
        <f t="shared" si="10"/>
        <v>0</v>
      </c>
      <c r="P40" s="55">
        <f t="shared" si="11"/>
        <v>0</v>
      </c>
      <c r="Q40" s="65">
        <f t="shared" si="12"/>
        <v>0</v>
      </c>
      <c r="R40" s="67">
        <f>IF(C40&lt;&gt;"",LN((C40-C39)/(SUMIFS(Total,Fecha,$A39,Linea,C$1)+M39)+1)*365/($A40-$A39),"")</f>
        <v>5.7660319756262561E-2</v>
      </c>
      <c r="S40" s="56">
        <f t="shared" si="15"/>
        <v>0.17962913603141548</v>
      </c>
      <c r="T40" s="56">
        <f t="shared" si="16"/>
        <v>0.10768128431560665</v>
      </c>
      <c r="U40" s="56">
        <f t="shared" si="17"/>
        <v>1.3036530885485822</v>
      </c>
      <c r="V40" s="68">
        <f t="shared" si="18"/>
        <v>0</v>
      </c>
      <c r="W40" s="80">
        <f t="shared" si="19"/>
        <v>7.0717436084938079E-2</v>
      </c>
      <c r="X40" s="81">
        <f t="shared" si="20"/>
        <v>0.49680966193256071</v>
      </c>
      <c r="Y40" s="81">
        <f t="shared" si="21"/>
        <v>0.23294012714787848</v>
      </c>
      <c r="Z40" s="81">
        <f t="shared" si="22"/>
        <v>0.46754740777934511</v>
      </c>
      <c r="AA40" s="82">
        <f t="shared" si="23"/>
        <v>-1.3572657619738946</v>
      </c>
      <c r="AB40" s="83">
        <f>IF(R40&lt;&gt;"",(W40-SUMPRODUCT(R$3:R40,$B$3:$B40)/SUM($B$3:$B40))/STDEVA(W30:W40),"")</f>
        <v>-0.98241528359740005</v>
      </c>
      <c r="AC40" s="84">
        <f>IF(S40&lt;&gt;"",(X40-SUMPRODUCT(S$3:S40,$B$3:$B40)/SUM($B$3:$B40))/STDEVA(X30:X40),"")</f>
        <v>-0.60544473489454387</v>
      </c>
      <c r="AD40" s="84">
        <f>IF(T40&lt;&gt;"",(Y40-SUMPRODUCT(T$3:T40,$B$3:$B40)/SUM($B$3:$B40))/STDEVA(Y30:Y40),"")</f>
        <v>-1.0960965221324559</v>
      </c>
      <c r="AE40" s="84">
        <f>IF(U40&lt;&gt;"",(Z40-SUMPRODUCT(U$3:U40,$B$3:$B40)/SUM($B$3:$B40))/STDEVA(Z30:Z40),"")</f>
        <v>-0.38105027485902337</v>
      </c>
      <c r="AF40" s="85">
        <f>IF(V40&lt;&gt;"",(AA40-SUMPRODUCT(V$3:V40,$B$3:$B40)/SUM($B$3:$B40))/STDEVA(AA30:AA40),"")</f>
        <v>-2.0693785820040431</v>
      </c>
      <c r="AG40" s="90">
        <f>IF(AB40&lt;&gt;"",SUMPRODUCT(AB35:AB40,$B35:$B40)/SUM($B35:$B40),"")</f>
        <v>-1.0307499318864002</v>
      </c>
      <c r="AH40" s="90">
        <f t="shared" si="26"/>
        <v>-0.65563474248223974</v>
      </c>
      <c r="AI40" s="90">
        <f t="shared" si="27"/>
        <v>-0.96157399210755079</v>
      </c>
      <c r="AJ40" s="90">
        <f t="shared" si="28"/>
        <v>-0.46834357980580715</v>
      </c>
      <c r="AK40" s="93">
        <f t="shared" si="29"/>
        <v>-1.538917418586073</v>
      </c>
      <c r="BQ40" s="100">
        <f>IF(A40&lt;&gt;"",(VLOOKUP(A40,MarketData!$D:$BP,MATCH($BQ$1,MarketData!$D$1:$EG$1,0),TRUE)/100/365+1)^(B40)*BQ39,"")</f>
        <v>101.639844538086</v>
      </c>
      <c r="BR40" s="98">
        <f t="shared" si="1"/>
        <v>1.6398445380859952E-2</v>
      </c>
      <c r="BS40" s="106">
        <f>IF(A40&lt;&gt;"",VLOOKUP(A40,MarketData!$D:$BP,MATCH($BS$1,MarketData!$D$1:$EG$1,0),TRUE),"")</f>
        <v>37072.050000000003</v>
      </c>
      <c r="BT40" s="98">
        <f t="shared" si="13"/>
        <v>5.6453542404854328E-3</v>
      </c>
    </row>
    <row r="41" spans="1:72" x14ac:dyDescent="0.25">
      <c r="A41" s="48">
        <v>45381</v>
      </c>
      <c r="B41" s="60">
        <f t="shared" si="30"/>
        <v>2</v>
      </c>
      <c r="C41" s="3">
        <f t="shared" si="3"/>
        <v>92323</v>
      </c>
      <c r="D41" s="3">
        <f t="shared" si="4"/>
        <v>170745</v>
      </c>
      <c r="E41" s="3">
        <f t="shared" si="5"/>
        <v>38726</v>
      </c>
      <c r="F41" s="3">
        <f t="shared" si="6"/>
        <v>41578.371799999964</v>
      </c>
      <c r="G41" s="74">
        <f t="shared" si="7"/>
        <v>747691.02099999995</v>
      </c>
      <c r="H41" s="78">
        <f>IFERROR(C41/SUM(M$2:M40),"")</f>
        <v>1.1756883895375284E-2</v>
      </c>
      <c r="I41" s="61">
        <f>IFERROR(D41/SUM(N$2:N41),"")</f>
        <v>8.6697233731416037E-2</v>
      </c>
      <c r="J41" s="61">
        <f>IFERROR(E41/SUM(O$2:O41),"")</f>
        <v>5.7236857663111596E-2</v>
      </c>
      <c r="K41" s="61">
        <f>IFERROR(F41/SUM(P$2:P41),"")</f>
        <v>0.14953613140129965</v>
      </c>
      <c r="L41" s="79">
        <f>IFERROR(G41/SUM(Q$2:Q41),"")</f>
        <v>1.6499092417652497</v>
      </c>
      <c r="M41" s="64">
        <f t="shared" si="8"/>
        <v>0</v>
      </c>
      <c r="N41" s="55">
        <f t="shared" si="9"/>
        <v>0</v>
      </c>
      <c r="O41" s="55">
        <f t="shared" si="10"/>
        <v>0</v>
      </c>
      <c r="P41" s="55">
        <f t="shared" si="11"/>
        <v>0</v>
      </c>
      <c r="Q41" s="65">
        <f t="shared" si="12"/>
        <v>0</v>
      </c>
      <c r="R41" s="67">
        <f t="shared" si="14"/>
        <v>0</v>
      </c>
      <c r="S41" s="56">
        <f t="shared" si="15"/>
        <v>0</v>
      </c>
      <c r="T41" s="56">
        <f t="shared" si="16"/>
        <v>0</v>
      </c>
      <c r="U41" s="56">
        <f t="shared" si="17"/>
        <v>0</v>
      </c>
      <c r="V41" s="68">
        <f t="shared" si="18"/>
        <v>0</v>
      </c>
      <c r="W41" s="80">
        <f t="shared" si="19"/>
        <v>6.2150084055822494E-2</v>
      </c>
      <c r="X41" s="81">
        <f t="shared" si="20"/>
        <v>0.94079075198577777</v>
      </c>
      <c r="Y41" s="81">
        <f t="shared" si="21"/>
        <v>0.48391893559969029</v>
      </c>
      <c r="Z41" s="81">
        <f t="shared" si="22"/>
        <v>0.77862189542738924</v>
      </c>
      <c r="AA41" s="82">
        <f t="shared" si="23"/>
        <v>-0.21147976621229345</v>
      </c>
      <c r="AB41" s="83">
        <f>IF(R41&lt;&gt;"",(W41-SUMPRODUCT(R$3:R41,$B$3:$B41)/SUM($B$3:$B41))/STDEVA(W31:W41),"")</f>
        <v>-2.3828156498829824</v>
      </c>
      <c r="AC41" s="84">
        <f>IF(S41&lt;&gt;"",(X41-SUMPRODUCT(S$3:S41,$B$3:$B41)/SUM($B$3:$B41))/STDEVA(X31:X41),"")</f>
        <v>0.40744754034560215</v>
      </c>
      <c r="AD41" s="84">
        <f>IF(T41&lt;&gt;"",(Y41-SUMPRODUCT(T$3:T41,$B$3:$B41)/SUM($B$3:$B41))/STDEVA(Y31:Y41),"")</f>
        <v>0.22439743567903558</v>
      </c>
      <c r="AE41" s="84">
        <f>IF(U41&lt;&gt;"",(Z41-SUMPRODUCT(U$3:U41,$B$3:$B41)/SUM($B$3:$B41))/STDEVA(Z31:Z41),"")</f>
        <v>0.30549494076830908</v>
      </c>
      <c r="AF41" s="85">
        <f>IF(V41&lt;&gt;"",(AA41-SUMPRODUCT(V$3:V41,$B$3:$B41)/SUM($B$3:$B41))/STDEVA(AA31:AA41),"")</f>
        <v>-1.8913949427882437</v>
      </c>
      <c r="AG41" s="90">
        <f t="shared" si="31"/>
        <v>-1.3966601588847372</v>
      </c>
      <c r="AH41" s="90">
        <f t="shared" si="26"/>
        <v>-0.46305620236758005</v>
      </c>
      <c r="AI41" s="90">
        <f t="shared" si="27"/>
        <v>-0.747044715368818</v>
      </c>
      <c r="AJ41" s="90">
        <f t="shared" si="28"/>
        <v>-0.32079324879586368</v>
      </c>
      <c r="AK41" s="93">
        <f t="shared" si="29"/>
        <v>-1.6706021510909921</v>
      </c>
      <c r="BQ41" s="100">
        <f>IF(A41&lt;&gt;"",(VLOOKUP(A41,MarketData!$D:$BP,MATCH($BQ$1,MarketData!$D$1:$EG$1,0),TRUE)/100/365+1)^(B41)*BQ40,"")</f>
        <v>101.68022602066516</v>
      </c>
      <c r="BR41" s="98">
        <f t="shared" si="1"/>
        <v>1.6802260206651595E-2</v>
      </c>
      <c r="BS41" s="106">
        <f>IF(A41&lt;&gt;"",VLOOKUP(A41,MarketData!$D:$BP,MATCH($BS$1,MarketData!$D$1:$EG$1,0),TRUE),"")</f>
        <v>37086.36</v>
      </c>
      <c r="BT41" s="98">
        <f t="shared" si="13"/>
        <v>6.0335384660456324E-3</v>
      </c>
    </row>
    <row r="42" spans="1:72" x14ac:dyDescent="0.25">
      <c r="A42" s="48">
        <v>45383</v>
      </c>
      <c r="B42" s="60">
        <f t="shared" si="30"/>
        <v>2</v>
      </c>
      <c r="C42" s="3">
        <f t="shared" si="3"/>
        <v>98564</v>
      </c>
      <c r="D42" s="3">
        <f t="shared" si="4"/>
        <v>171565</v>
      </c>
      <c r="E42" s="3">
        <f t="shared" si="5"/>
        <v>39582</v>
      </c>
      <c r="F42" s="3">
        <f t="shared" si="6"/>
        <v>42128.166499999992</v>
      </c>
      <c r="G42" s="74">
        <f t="shared" si="7"/>
        <v>714127.91589999991</v>
      </c>
      <c r="H42" s="78">
        <f>IFERROR(C42/SUM(M$2:M41),"")</f>
        <v>1.2551644815092333E-2</v>
      </c>
      <c r="I42" s="61">
        <f>IFERROR(D42/SUM(N$2:N42),"")</f>
        <v>8.7113595742952313E-2</v>
      </c>
      <c r="J42" s="61">
        <f>IFERROR(E42/SUM(O$2:O42),"")</f>
        <v>5.8502021897982828E-2</v>
      </c>
      <c r="K42" s="61">
        <f>IFERROR(F42/SUM(P$2:P42),"")</f>
        <v>0.15151346165603902</v>
      </c>
      <c r="L42" s="79">
        <f>IFERROR(G42/SUM(Q$2:Q42),"")</f>
        <v>1.5758464595042487</v>
      </c>
      <c r="M42" s="64">
        <f t="shared" si="8"/>
        <v>1021</v>
      </c>
      <c r="N42" s="55">
        <f t="shared" si="9"/>
        <v>0</v>
      </c>
      <c r="O42" s="55">
        <f t="shared" si="10"/>
        <v>0</v>
      </c>
      <c r="P42" s="55">
        <f t="shared" si="11"/>
        <v>0</v>
      </c>
      <c r="Q42" s="65">
        <f t="shared" si="12"/>
        <v>0</v>
      </c>
      <c r="R42" s="67">
        <f t="shared" si="14"/>
        <v>0.14330214317001749</v>
      </c>
      <c r="S42" s="56">
        <f t="shared" si="15"/>
        <v>6.9910469673160933E-2</v>
      </c>
      <c r="T42" s="56">
        <f t="shared" si="16"/>
        <v>0.21826181162063538</v>
      </c>
      <c r="U42" s="56">
        <f t="shared" si="17"/>
        <v>0.31365086952601956</v>
      </c>
      <c r="V42" s="68">
        <f t="shared" si="18"/>
        <v>-4.7841356715398531</v>
      </c>
      <c r="W42" s="80">
        <f t="shared" si="19"/>
        <v>7.0560640114030959E-2</v>
      </c>
      <c r="X42" s="81">
        <f t="shared" si="20"/>
        <v>1.0895913048086818</v>
      </c>
      <c r="Y42" s="81">
        <f t="shared" si="21"/>
        <v>0.56746523318959696</v>
      </c>
      <c r="Z42" s="81">
        <f t="shared" si="22"/>
        <v>0.99543120440718391</v>
      </c>
      <c r="AA42" s="82">
        <f t="shared" si="23"/>
        <v>-1.4862447052102559</v>
      </c>
      <c r="AB42" s="83">
        <f>IF(R42&lt;&gt;"",(W42-SUMPRODUCT(R$3:R42,$B$3:$B42)/SUM($B$3:$B42))/STDEVA(W32:W42),"")</f>
        <v>-1.1931480084251427</v>
      </c>
      <c r="AC42" s="84">
        <f>IF(S42&lt;&gt;"",(X42-SUMPRODUCT(S$3:S42,$B$3:$B42)/SUM($B$3:$B42))/STDEVA(X32:X42),"")</f>
        <v>0.66967985349821246</v>
      </c>
      <c r="AD42" s="84">
        <f>IF(T42&lt;&gt;"",(Y42-SUMPRODUCT(T$3:T42,$B$3:$B42)/SUM($B$3:$B42))/STDEVA(Y32:Y42),"")</f>
        <v>0.5235340117616275</v>
      </c>
      <c r="AE42" s="84">
        <f>IF(U42&lt;&gt;"",(Z42-SUMPRODUCT(U$3:U42,$B$3:$B42)/SUM($B$3:$B42))/STDEVA(Z32:Z42),"")</f>
        <v>0.74336957720174757</v>
      </c>
      <c r="AF42" s="85">
        <f>IF(V42&lt;&gt;"",(AA42-SUMPRODUCT(V$3:V42,$B$3:$B42)/SUM($B$3:$B42))/STDEVA(AA32:AA42),"")</f>
        <v>-2.8992875453118385</v>
      </c>
      <c r="AG42" s="90">
        <f t="shared" si="31"/>
        <v>-1.2979743834911919</v>
      </c>
      <c r="AH42" s="90">
        <f t="shared" si="26"/>
        <v>-0.14230083306727939</v>
      </c>
      <c r="AI42" s="90">
        <f t="shared" si="27"/>
        <v>-0.37842666984058682</v>
      </c>
      <c r="AJ42" s="90">
        <f t="shared" si="28"/>
        <v>-1.4990822329249864E-2</v>
      </c>
      <c r="AK42" s="93">
        <f t="shared" si="29"/>
        <v>-1.9939881479356134</v>
      </c>
      <c r="BQ42" s="100">
        <f>IF(A42&lt;&gt;"",(VLOOKUP(A42,MarketData!$D:$BP,MATCH($BQ$1,MarketData!$D$1:$EG$1,0),TRUE)/100/365+1)^(B42)*BQ41,"")</f>
        <v>101.72062354679636</v>
      </c>
      <c r="BR42" s="98">
        <f t="shared" si="1"/>
        <v>1.7206235467963609E-2</v>
      </c>
      <c r="BS42" s="106">
        <f>IF(A42&lt;&gt;"",VLOOKUP(A42,MarketData!$D:$BP,MATCH($BS$1,MarketData!$D$1:$EG$1,0),TRUE),"")</f>
        <v>37100.68</v>
      </c>
      <c r="BT42" s="98">
        <f t="shared" si="13"/>
        <v>6.4219939594085153E-3</v>
      </c>
    </row>
    <row r="43" spans="1:72" x14ac:dyDescent="0.25">
      <c r="A43" s="48">
        <v>45384</v>
      </c>
      <c r="B43" s="60">
        <f t="shared" si="30"/>
        <v>1</v>
      </c>
      <c r="C43" s="3">
        <f t="shared" si="3"/>
        <v>100734</v>
      </c>
      <c r="D43" s="3">
        <f t="shared" si="4"/>
        <v>146299</v>
      </c>
      <c r="E43" s="3">
        <f t="shared" si="5"/>
        <v>34995</v>
      </c>
      <c r="F43" s="3">
        <f t="shared" si="6"/>
        <v>40389.216999999946</v>
      </c>
      <c r="G43" s="74">
        <f t="shared" si="7"/>
        <v>683306.82959999994</v>
      </c>
      <c r="H43" s="78">
        <f>IFERROR(C43/SUM(M$2:M42),"")</f>
        <v>1.2826316064905483E-2</v>
      </c>
      <c r="I43" s="61">
        <f>IFERROR(D43/SUM(N$2:N43),"")</f>
        <v>7.4284568202128518E-2</v>
      </c>
      <c r="J43" s="61">
        <f>IFERROR(E43/SUM(O$2:O43),"")</f>
        <v>5.1722456073970725E-2</v>
      </c>
      <c r="K43" s="61">
        <f>IFERROR(F43/SUM(P$2:P43),"")</f>
        <v>0.14525934997068843</v>
      </c>
      <c r="L43" s="79">
        <f>IFERROR(G43/SUM(Q$2:Q43),"")</f>
        <v>1.5078344148235432</v>
      </c>
      <c r="M43" s="64">
        <f t="shared" si="8"/>
        <v>0</v>
      </c>
      <c r="N43" s="55">
        <f t="shared" si="9"/>
        <v>0</v>
      </c>
      <c r="O43" s="55">
        <f t="shared" si="10"/>
        <v>0</v>
      </c>
      <c r="P43" s="55">
        <f t="shared" si="11"/>
        <v>0</v>
      </c>
      <c r="Q43" s="65">
        <f t="shared" si="12"/>
        <v>0</v>
      </c>
      <c r="R43" s="67">
        <f t="shared" si="14"/>
        <v>9.9574234494394384E-2</v>
      </c>
      <c r="S43" s="56">
        <f t="shared" si="15"/>
        <v>-4.3329823459816552</v>
      </c>
      <c r="T43" s="56">
        <f t="shared" si="16"/>
        <v>-2.3452955506673709</v>
      </c>
      <c r="U43" s="56">
        <f>IF(F43&lt;&gt;"",LN((F43-F42)/(SUMIFS(Total,Fecha,$A42,Linea,F$1)+P42)+1)*365/($A43-$A42),"")</f>
        <v>-1.9877960350930457</v>
      </c>
      <c r="V43" s="68">
        <f t="shared" si="18"/>
        <v>-9.013121134100702</v>
      </c>
      <c r="W43" s="80">
        <f t="shared" si="19"/>
        <v>7.2280175045908168E-2</v>
      </c>
      <c r="X43" s="81">
        <f t="shared" si="20"/>
        <v>1.0737412890124893</v>
      </c>
      <c r="Y43" s="81">
        <f t="shared" si="21"/>
        <v>0.59234541951819863</v>
      </c>
      <c r="Z43" s="81">
        <f t="shared" si="22"/>
        <v>-0.70803047484221515</v>
      </c>
      <c r="AA43" s="82">
        <f t="shared" si="23"/>
        <v>-0.74696234528302152</v>
      </c>
      <c r="AB43" s="83">
        <f>IF(R43&lt;&gt;"",(W43-SUMPRODUCT(R$3:R43,$B$3:$B43)/SUM($B$3:$B43))/STDEVA(W33:W43),"")</f>
        <v>-0.95771345133530306</v>
      </c>
      <c r="AC43" s="84">
        <f>IF(S43&lt;&gt;"",(X43-SUMPRODUCT(S$3:S43,$B$3:$B43)/SUM($B$3:$B43))/STDEVA(X33:X43),"")</f>
        <v>0.79122597159419406</v>
      </c>
      <c r="AD43" s="84">
        <f>IF(T43&lt;&gt;"",(Y43-SUMPRODUCT(T$3:T43,$B$3:$B43)/SUM($B$3:$B43))/STDEVA(Y33:Y43),"")</f>
        <v>0.71516893811310545</v>
      </c>
      <c r="AE43" s="84">
        <f>IF(U43&lt;&gt;"",(Z43-SUMPRODUCT(U$3:U43,$B$3:$B43)/SUM($B$3:$B43))/STDEVA(Z33:Z43),"")</f>
        <v>-2.5868489738011329</v>
      </c>
      <c r="AF43" s="85">
        <f>IF(V43&lt;&gt;"",(AA43-SUMPRODUCT(V$3:V43,$B$3:$B43)/SUM($B$3:$B43))/STDEVA(AA33:AA43),"")</f>
        <v>-4.1358356981890729</v>
      </c>
      <c r="AG43" s="90">
        <f t="shared" si="31"/>
        <v>-1.2476397273100708</v>
      </c>
      <c r="AH43" s="90">
        <f t="shared" si="26"/>
        <v>5.4301455913574534E-2</v>
      </c>
      <c r="AI43" s="90">
        <f t="shared" si="27"/>
        <v>-0.1851546826287474</v>
      </c>
      <c r="AJ43" s="90">
        <f t="shared" si="28"/>
        <v>-0.16344281724978077</v>
      </c>
      <c r="AK43" s="93">
        <f t="shared" si="29"/>
        <v>-2.2835934917448357</v>
      </c>
      <c r="BQ43" s="100">
        <f>IF(A43&lt;&gt;"",(VLOOKUP(A43,MarketData!$D:$BP,MATCH($BQ$1,MarketData!$D$1:$EG$1,0),TRUE)/100/365+1)^(B43)*BQ42,"")</f>
        <v>101.74082832818578</v>
      </c>
      <c r="BR43" s="98">
        <f t="shared" si="1"/>
        <v>1.740828328185785E-2</v>
      </c>
      <c r="BS43" s="106">
        <f>IF(A43&lt;&gt;"",VLOOKUP(A43,MarketData!$D:$BP,MATCH($BS$1,MarketData!$D$1:$EG$1,0),TRUE),"")</f>
        <v>37107.839999999997</v>
      </c>
      <c r="BT43" s="98">
        <f t="shared" si="13"/>
        <v>6.6162217060898578E-3</v>
      </c>
    </row>
    <row r="44" spans="1:72" x14ac:dyDescent="0.25">
      <c r="A44" s="48">
        <v>45386</v>
      </c>
      <c r="B44" s="60">
        <f t="shared" si="30"/>
        <v>2</v>
      </c>
      <c r="C44" s="3">
        <f t="shared" si="3"/>
        <v>103734</v>
      </c>
      <c r="D44" s="3">
        <f t="shared" si="4"/>
        <v>58412</v>
      </c>
      <c r="E44" s="3">
        <f t="shared" si="5"/>
        <v>19347</v>
      </c>
      <c r="F44" s="3">
        <f t="shared" si="6"/>
        <v>26383.784599999955</v>
      </c>
      <c r="G44" s="74">
        <f t="shared" si="7"/>
        <v>671414.59479999985</v>
      </c>
      <c r="H44" s="78">
        <f>IFERROR(C44/SUM(M$2:M43),"")</f>
        <v>1.3208301771764304E-2</v>
      </c>
      <c r="I44" s="61">
        <f>IFERROR(D44/SUM(N$2:N44),"")</f>
        <v>2.9659192460801041E-2</v>
      </c>
      <c r="J44" s="61">
        <f>IFERROR(E44/SUM(O$2:O44),"")</f>
        <v>2.8594780901932036E-2</v>
      </c>
      <c r="K44" s="61">
        <f>IFERROR(F44/SUM(P$2:P44),"")</f>
        <v>9.4888974964844164E-2</v>
      </c>
      <c r="L44" s="79">
        <f>IFERROR(G44/SUM(Q$2:Q44),"")</f>
        <v>1.4815921468937772</v>
      </c>
      <c r="M44" s="64">
        <f t="shared" si="8"/>
        <v>0</v>
      </c>
      <c r="N44" s="55">
        <f t="shared" si="9"/>
        <v>0</v>
      </c>
      <c r="O44" s="55">
        <f t="shared" si="10"/>
        <v>0</v>
      </c>
      <c r="P44" s="55">
        <f t="shared" si="11"/>
        <v>0</v>
      </c>
      <c r="Q44" s="65">
        <f t="shared" si="12"/>
        <v>0</v>
      </c>
      <c r="R44" s="67">
        <f t="shared" si="14"/>
        <v>6.8816585574604794E-2</v>
      </c>
      <c r="S44" s="56">
        <f t="shared" si="15"/>
        <v>-7.7429376635064644</v>
      </c>
      <c r="T44" s="56">
        <f t="shared" si="16"/>
        <v>-4.058010526754531</v>
      </c>
      <c r="U44" s="56">
        <f t="shared" si="17"/>
        <v>-8.2085184963455244</v>
      </c>
      <c r="V44" s="68">
        <f t="shared" si="18"/>
        <v>-1.7690376957521385</v>
      </c>
      <c r="W44" s="80">
        <f t="shared" si="19"/>
        <v>7.1368093565072066E-2</v>
      </c>
      <c r="X44" s="81">
        <f t="shared" si="20"/>
        <v>-0.37582946645276982</v>
      </c>
      <c r="Y44" s="81">
        <f t="shared" si="21"/>
        <v>-0.17138119693457465</v>
      </c>
      <c r="Z44" s="81">
        <f t="shared" si="22"/>
        <v>-0.37266320548520437</v>
      </c>
      <c r="AA44" s="82">
        <f t="shared" si="23"/>
        <v>-0.33342882526457795</v>
      </c>
      <c r="AB44" s="83">
        <f>IF(R44&lt;&gt;"",(W44-SUMPRODUCT(R$3:R44,$B$3:$B44)/SUM($B$3:$B44))/STDEVA(W34:W44),"")</f>
        <v>-1.1556196220250823</v>
      </c>
      <c r="AC44" s="84">
        <f>IF(S44&lt;&gt;"",(X44-SUMPRODUCT(S$3:S44,$B$3:$B44)/SUM($B$3:$B44))/STDEVA(X34:X44),"")</f>
        <v>-1.621640945422711</v>
      </c>
      <c r="AD44" s="84">
        <f>IF(T44&lt;&gt;"",(Y44-SUMPRODUCT(T$3:T44,$B$3:$B44)/SUM($B$3:$B44))/STDEVA(Y34:Y44),"")</f>
        <v>-1.6574306914265295</v>
      </c>
      <c r="AE44" s="84">
        <f>IF(U44&lt;&gt;"",(Z44-SUMPRODUCT(U$3:U44,$B$3:$B44)/SUM($B$3:$B44))/STDEVA(Z34:Z44),"")</f>
        <v>-1.5139764775572646</v>
      </c>
      <c r="AF44" s="85">
        <f>IF(V44&lt;&gt;"",(AA44-SUMPRODUCT(V$3:V44,$B$3:$B44)/SUM($B$3:$B44))/STDEVA(AA34:AA44),"")</f>
        <v>-3.6366893786944594</v>
      </c>
      <c r="AG44" s="90">
        <f t="shared" si="31"/>
        <v>-1.2345091988362709</v>
      </c>
      <c r="AH44" s="90">
        <f t="shared" si="26"/>
        <v>-0.11248251093254069</v>
      </c>
      <c r="AI44" s="90">
        <f t="shared" si="27"/>
        <v>-0.32833538135159057</v>
      </c>
      <c r="AJ44" s="90">
        <f t="shared" si="28"/>
        <v>-0.34783610453321656</v>
      </c>
      <c r="AK44" s="93">
        <f t="shared" si="29"/>
        <v>-2.6207963116829998</v>
      </c>
      <c r="BQ44" s="100">
        <f>IF(A44&lt;&gt;"",(VLOOKUP(A44,MarketData!$D:$BP,MATCH($BQ$1,MarketData!$D$1:$EG$1,0),TRUE)/100/365+1)^(B44)*BQ43,"")</f>
        <v>101.7770680141244</v>
      </c>
      <c r="BR44" s="98">
        <f t="shared" si="1"/>
        <v>1.7770680141243958E-2</v>
      </c>
      <c r="BS44" s="106">
        <f>IF(A44&lt;&gt;"",VLOOKUP(A44,MarketData!$D:$BP,MATCH($BS$1,MarketData!$D$1:$EG$1,0),TRUE),"")</f>
        <v>37122.160000000003</v>
      </c>
      <c r="BT44" s="98">
        <f t="shared" si="13"/>
        <v>7.0046771994529385E-3</v>
      </c>
    </row>
    <row r="45" spans="1:72" x14ac:dyDescent="0.25">
      <c r="A45" s="48">
        <v>45388</v>
      </c>
      <c r="B45" s="60">
        <f t="shared" si="30"/>
        <v>2</v>
      </c>
      <c r="C45" s="3">
        <f t="shared" si="3"/>
        <v>105317</v>
      </c>
      <c r="D45" s="3">
        <f t="shared" si="4"/>
        <v>80662</v>
      </c>
      <c r="E45" s="3">
        <f t="shared" si="5"/>
        <v>23566</v>
      </c>
      <c r="F45" s="3">
        <f t="shared" si="6"/>
        <v>26930.562199999986</v>
      </c>
      <c r="G45" s="74">
        <f t="shared" si="7"/>
        <v>677391.43959999981</v>
      </c>
      <c r="H45" s="78">
        <f>IFERROR(C45/SUM(M$2:M44),"")</f>
        <v>1.3409862896416809E-2</v>
      </c>
      <c r="I45" s="61">
        <f>IFERROR(D45/SUM(N$2:N45),"")</f>
        <v>4.0956820212852386E-2</v>
      </c>
      <c r="J45" s="61">
        <f>IFERROR(E45/SUM(O$2:O45),"")</f>
        <v>3.483044434459763E-2</v>
      </c>
      <c r="K45" s="61">
        <f>IFERROR(F45/SUM(P$2:P45),"")</f>
        <v>9.6855454254465886E-2</v>
      </c>
      <c r="L45" s="79">
        <f>IFERROR(G45/SUM(Q$2:Q45),"")</f>
        <v>1.4947810861683555</v>
      </c>
      <c r="M45" s="64">
        <f t="shared" si="8"/>
        <v>0</v>
      </c>
      <c r="N45" s="55">
        <f t="shared" si="9"/>
        <v>0</v>
      </c>
      <c r="O45" s="55">
        <f t="shared" si="10"/>
        <v>0</v>
      </c>
      <c r="P45" s="55">
        <f t="shared" si="11"/>
        <v>0</v>
      </c>
      <c r="Q45" s="65">
        <f t="shared" si="12"/>
        <v>0</v>
      </c>
      <c r="R45" s="67">
        <f t="shared" si="14"/>
        <v>3.6301762228024739E-2</v>
      </c>
      <c r="S45" s="56">
        <f t="shared" si="15"/>
        <v>1.991520892749213</v>
      </c>
      <c r="T45" s="56">
        <f t="shared" si="16"/>
        <v>1.1030320155582709</v>
      </c>
      <c r="U45" s="56">
        <f t="shared" si="17"/>
        <v>0.32748601077699407</v>
      </c>
      <c r="V45" s="68">
        <f t="shared" si="18"/>
        <v>0.89123311160259788</v>
      </c>
      <c r="W45" s="80">
        <f t="shared" si="19"/>
        <v>6.887905872497245E-2</v>
      </c>
      <c r="X45" s="81">
        <f t="shared" si="20"/>
        <v>-0.63086146961000933</v>
      </c>
      <c r="Y45" s="81">
        <f t="shared" si="21"/>
        <v>-0.11599973972183232</v>
      </c>
      <c r="Z45" s="81">
        <f t="shared" si="22"/>
        <v>-0.87061394638103451</v>
      </c>
      <c r="AA45" s="82">
        <f t="shared" si="23"/>
        <v>-1.1323269651962697</v>
      </c>
      <c r="AB45" s="83">
        <f>IF(R45&lt;&gt;"",(W45-SUMPRODUCT(R$3:R45,$B$3:$B45)/SUM($B$3:$B45))/STDEVA(W35:W45),"")</f>
        <v>-1.5966934709608418</v>
      </c>
      <c r="AC45" s="84">
        <f>IF(S45&lt;&gt;"",(X45-SUMPRODUCT(S$3:S45,$B$3:$B45)/SUM($B$3:$B45))/STDEVA(X35:X45),"")</f>
        <v>-1.9058352368997062</v>
      </c>
      <c r="AD45" s="84">
        <f>IF(T45&lt;&gt;"",(Y45-SUMPRODUCT(T$3:T45,$B$3:$B45)/SUM($B$3:$B45))/STDEVA(Y35:Y45),"")</f>
        <v>-1.4604634773521921</v>
      </c>
      <c r="AE45" s="84">
        <f>IF(U45&lt;&gt;"",(Z45-SUMPRODUCT(U$3:U45,$B$3:$B45)/SUM($B$3:$B45))/STDEVA(Z35:Z45),"")</f>
        <v>-2.0821582520715731</v>
      </c>
      <c r="AF45" s="85">
        <f>IF(V45&lt;&gt;"",(AA45-SUMPRODUCT(V$3:V45,$B$3:$B45)/SUM($B$3:$B45))/STDEVA(AA35:AA45),"")</f>
        <v>-4.3971423164986199</v>
      </c>
      <c r="AG45" s="90">
        <f t="shared" si="31"/>
        <v>-1.4596682237520802</v>
      </c>
      <c r="AH45" s="90">
        <f t="shared" si="26"/>
        <v>-0.4714916340257555</v>
      </c>
      <c r="AI45" s="90">
        <f t="shared" si="27"/>
        <v>-0.51208530266954677</v>
      </c>
      <c r="AJ45" s="90">
        <f t="shared" si="28"/>
        <v>-0.80624396719777169</v>
      </c>
      <c r="AK45" s="93">
        <f t="shared" si="29"/>
        <v>-3.1854242646779438</v>
      </c>
      <c r="BQ45" s="100">
        <f>IF(A45&lt;&gt;"",(VLOOKUP(A45,MarketData!$D:$BP,MATCH($BQ$1,MarketData!$D$1:$EG$1,0),TRUE)/100/365+1)^(B45)*BQ44,"")</f>
        <v>101.81332060849768</v>
      </c>
      <c r="BR45" s="98">
        <f t="shared" si="1"/>
        <v>1.8133206084976764E-2</v>
      </c>
      <c r="BS45" s="106">
        <f>IF(A45&lt;&gt;"",VLOOKUP(A45,MarketData!$D:$BP,MATCH($BS$1,MarketData!$D$1:$EG$1,0),TRUE),"")</f>
        <v>37136.49</v>
      </c>
      <c r="BT45" s="98">
        <f t="shared" si="13"/>
        <v>7.3934039606183069E-3</v>
      </c>
    </row>
    <row r="46" spans="1:72" x14ac:dyDescent="0.25">
      <c r="B46" s="60" t="str">
        <f t="shared" si="30"/>
        <v/>
      </c>
      <c r="C46" s="3" t="str">
        <f t="shared" si="3"/>
        <v/>
      </c>
      <c r="D46" s="3" t="str">
        <f t="shared" si="4"/>
        <v/>
      </c>
      <c r="E46" s="3" t="str">
        <f t="shared" si="5"/>
        <v/>
      </c>
      <c r="F46" s="3" t="str">
        <f t="shared" si="6"/>
        <v/>
      </c>
      <c r="G46" s="74" t="str">
        <f t="shared" si="7"/>
        <v/>
      </c>
      <c r="H46" s="78" t="str">
        <f>IFERROR(C46/SUM(M$2:M45),"")</f>
        <v/>
      </c>
      <c r="I46" s="61" t="str">
        <f>IFERROR(D46/SUM(N$2:N46),"")</f>
        <v/>
      </c>
      <c r="J46" s="61" t="str">
        <f>IFERROR(E46/SUM(O$2:O46),"")</f>
        <v/>
      </c>
      <c r="K46" s="61" t="str">
        <f>IFERROR(F46/SUM(P$2:P46),"")</f>
        <v/>
      </c>
      <c r="L46" s="79" t="str">
        <f>IFERROR(G46/SUM(Q$2:Q46),"")</f>
        <v/>
      </c>
      <c r="M46" s="64" t="str">
        <f t="shared" si="8"/>
        <v/>
      </c>
      <c r="N46" s="55" t="str">
        <f t="shared" si="9"/>
        <v/>
      </c>
      <c r="O46" s="55" t="str">
        <f t="shared" si="10"/>
        <v/>
      </c>
      <c r="P46" s="55" t="str">
        <f t="shared" si="11"/>
        <v/>
      </c>
      <c r="Q46" s="65" t="str">
        <f t="shared" si="12"/>
        <v/>
      </c>
      <c r="R46" s="67" t="str">
        <f t="shared" si="14"/>
        <v/>
      </c>
      <c r="S46" s="56" t="str">
        <f t="shared" si="15"/>
        <v/>
      </c>
      <c r="T46" s="56" t="str">
        <f t="shared" si="16"/>
        <v/>
      </c>
      <c r="U46" s="56" t="str">
        <f t="shared" si="17"/>
        <v/>
      </c>
      <c r="V46" s="68" t="str">
        <f t="shared" si="18"/>
        <v/>
      </c>
      <c r="W46" s="80" t="str">
        <f t="shared" si="19"/>
        <v/>
      </c>
      <c r="X46" s="81" t="str">
        <f t="shared" si="20"/>
        <v/>
      </c>
      <c r="Y46" s="81" t="str">
        <f t="shared" si="21"/>
        <v/>
      </c>
      <c r="Z46" s="81" t="str">
        <f t="shared" si="22"/>
        <v/>
      </c>
      <c r="AA46" s="82" t="str">
        <f t="shared" si="23"/>
        <v/>
      </c>
      <c r="AB46" s="83" t="str">
        <f>IF(R46&lt;&gt;"",(W46-SUMPRODUCT(R$3:R46,$B$3:$B46)/SUM($B$3:$B46))/STDEVA(W36:W46),"")</f>
        <v/>
      </c>
      <c r="AC46" s="84" t="str">
        <f>IF(S46&lt;&gt;"",(X46-SUMPRODUCT(S$3:S46,$B$3:$B46)/SUM($B$3:$B46))/STDEVA(X36:X46),"")</f>
        <v/>
      </c>
      <c r="AD46" s="84" t="str">
        <f>IF(T46&lt;&gt;"",(Y46-SUMPRODUCT(T$3:T46,$B$3:$B46)/SUM($B$3:$B46))/STDEVA(Y36:Y46),"")</f>
        <v/>
      </c>
      <c r="AE46" s="84" t="str">
        <f>IF(U46&lt;&gt;"",(Z46-SUMPRODUCT(U$3:U46,$B$3:$B46)/SUM($B$3:$B46))/STDEVA(Z36:Z46),"")</f>
        <v/>
      </c>
      <c r="AF46" s="85" t="str">
        <f>IF(V46&lt;&gt;"",(AA46-SUMPRODUCT(V$3:V46,$B$3:$B46)/SUM($B$3:$B46))/STDEVA(AA36:AA46),"")</f>
        <v/>
      </c>
      <c r="AG46" s="90" t="str">
        <f t="shared" si="31"/>
        <v/>
      </c>
      <c r="AH46" s="90" t="str">
        <f t="shared" si="26"/>
        <v/>
      </c>
      <c r="AI46" s="90" t="str">
        <f t="shared" si="27"/>
        <v/>
      </c>
      <c r="AJ46" s="90" t="str">
        <f t="shared" si="28"/>
        <v/>
      </c>
      <c r="AK46" s="93" t="str">
        <f t="shared" si="29"/>
        <v/>
      </c>
      <c r="BQ46" s="100" t="str">
        <f>IF(A46&lt;&gt;"",(VLOOKUP(A46,MarketData!$D:$BP,MATCH($BQ$1,MarketData!$D$1:$EG$1,0),TRUE)/100/365+1)^(B46)*BQ45,"")</f>
        <v/>
      </c>
      <c r="BR46" s="98" t="str">
        <f t="shared" si="1"/>
        <v/>
      </c>
      <c r="BS46" s="106" t="str">
        <f>IF(A46&lt;&gt;"",VLOOKUP(A46,MarketData!$D:$BP,MATCH($BS$1,MarketData!$D$1:$EG$1,0),TRUE),"")</f>
        <v/>
      </c>
      <c r="BT46" s="98" t="str">
        <f t="shared" si="13"/>
        <v/>
      </c>
    </row>
    <row r="47" spans="1:72" x14ac:dyDescent="0.25">
      <c r="B47" s="60" t="str">
        <f t="shared" si="30"/>
        <v/>
      </c>
      <c r="C47" s="3" t="str">
        <f t="shared" si="3"/>
        <v/>
      </c>
      <c r="D47" s="3" t="str">
        <f t="shared" si="4"/>
        <v/>
      </c>
      <c r="E47" s="3" t="str">
        <f t="shared" si="5"/>
        <v/>
      </c>
      <c r="F47" s="3" t="str">
        <f t="shared" si="6"/>
        <v/>
      </c>
      <c r="G47" s="74" t="str">
        <f t="shared" si="7"/>
        <v/>
      </c>
      <c r="H47" s="78" t="str">
        <f>IFERROR(C47/SUM(M$2:M46),"")</f>
        <v/>
      </c>
      <c r="I47" s="61" t="str">
        <f>IFERROR(D47/SUM(N$2:N47),"")</f>
        <v/>
      </c>
      <c r="J47" s="61" t="str">
        <f>IFERROR(E47/SUM(O$2:O47),"")</f>
        <v/>
      </c>
      <c r="K47" s="61" t="str">
        <f>IFERROR(F47/SUM(P$2:P47),"")</f>
        <v/>
      </c>
      <c r="L47" s="79" t="str">
        <f>IFERROR(G47/SUM(Q$2:Q47),"")</f>
        <v/>
      </c>
      <c r="M47" s="64" t="str">
        <f t="shared" si="8"/>
        <v/>
      </c>
      <c r="N47" s="55" t="str">
        <f t="shared" si="9"/>
        <v/>
      </c>
      <c r="O47" s="55" t="str">
        <f t="shared" si="10"/>
        <v/>
      </c>
      <c r="P47" s="55" t="str">
        <f t="shared" si="11"/>
        <v/>
      </c>
      <c r="Q47" s="65" t="str">
        <f t="shared" si="12"/>
        <v/>
      </c>
      <c r="R47" s="67" t="str">
        <f t="shared" si="14"/>
        <v/>
      </c>
      <c r="S47" s="56" t="str">
        <f t="shared" si="15"/>
        <v/>
      </c>
      <c r="T47" s="56" t="str">
        <f t="shared" si="16"/>
        <v/>
      </c>
      <c r="U47" s="56" t="str">
        <f t="shared" si="17"/>
        <v/>
      </c>
      <c r="V47" s="68" t="str">
        <f t="shared" si="18"/>
        <v/>
      </c>
      <c r="W47" s="80" t="str">
        <f t="shared" si="19"/>
        <v/>
      </c>
      <c r="X47" s="81" t="str">
        <f t="shared" si="20"/>
        <v/>
      </c>
      <c r="Y47" s="81" t="str">
        <f t="shared" si="21"/>
        <v/>
      </c>
      <c r="Z47" s="81" t="str">
        <f t="shared" si="22"/>
        <v/>
      </c>
      <c r="AA47" s="82" t="str">
        <f t="shared" si="23"/>
        <v/>
      </c>
      <c r="AB47" s="83" t="str">
        <f>IF(R47&lt;&gt;"",(W47-SUMPRODUCT(R$3:R47,$B$3:$B47)/SUM($B$3:$B47))/STDEVA(W37:W47),"")</f>
        <v/>
      </c>
      <c r="AC47" s="84" t="str">
        <f>IF(S47&lt;&gt;"",(X47-SUMPRODUCT(S$3:S47,$B$3:$B47)/SUM($B$3:$B47))/STDEVA(X37:X47),"")</f>
        <v/>
      </c>
      <c r="AD47" s="84" t="str">
        <f>IF(T47&lt;&gt;"",(Y47-SUMPRODUCT(T$3:T47,$B$3:$B47)/SUM($B$3:$B47))/STDEVA(Y37:Y47),"")</f>
        <v/>
      </c>
      <c r="AE47" s="84" t="str">
        <f>IF(U47&lt;&gt;"",(Z47-SUMPRODUCT(U$3:U47,$B$3:$B47)/SUM($B$3:$B47))/STDEVA(Z37:Z47),"")</f>
        <v/>
      </c>
      <c r="AF47" s="85" t="str">
        <f>IF(V47&lt;&gt;"",(AA47-SUMPRODUCT(V$3:V47,$B$3:$B47)/SUM($B$3:$B47))/STDEVA(AA37:AA47),"")</f>
        <v/>
      </c>
      <c r="AG47" s="90" t="str">
        <f t="shared" si="31"/>
        <v/>
      </c>
      <c r="AH47" s="90" t="str">
        <f t="shared" si="26"/>
        <v/>
      </c>
      <c r="AI47" s="90" t="str">
        <f t="shared" si="27"/>
        <v/>
      </c>
      <c r="AJ47" s="90" t="str">
        <f t="shared" si="28"/>
        <v/>
      </c>
      <c r="AK47" s="93" t="str">
        <f t="shared" si="29"/>
        <v/>
      </c>
      <c r="BQ47" s="100" t="str">
        <f>IF(A47&lt;&gt;"",(VLOOKUP(A47,MarketData!$D:$BP,MATCH($BQ$1,MarketData!$D$1:$EG$1,0),TRUE)/100/365+1)^(B47)*BQ46,"")</f>
        <v/>
      </c>
      <c r="BR47" s="98" t="str">
        <f t="shared" si="1"/>
        <v/>
      </c>
      <c r="BS47" s="106" t="str">
        <f>IF(A47&lt;&gt;"",VLOOKUP(A47,MarketData!$D:$BP,MATCH($BS$1,MarketData!$D$1:$EG$1,0),TRUE),"")</f>
        <v/>
      </c>
      <c r="BT47" s="98" t="str">
        <f t="shared" si="13"/>
        <v/>
      </c>
    </row>
    <row r="48" spans="1:72" x14ac:dyDescent="0.25">
      <c r="B48" s="60" t="str">
        <f t="shared" si="30"/>
        <v/>
      </c>
      <c r="C48" s="3" t="str">
        <f t="shared" si="3"/>
        <v/>
      </c>
      <c r="D48" s="3" t="str">
        <f t="shared" si="4"/>
        <v/>
      </c>
      <c r="E48" s="3" t="str">
        <f t="shared" si="5"/>
        <v/>
      </c>
      <c r="F48" s="3" t="str">
        <f t="shared" si="6"/>
        <v/>
      </c>
      <c r="G48" s="74" t="str">
        <f t="shared" si="7"/>
        <v/>
      </c>
      <c r="H48" s="78" t="str">
        <f>IFERROR(C48/SUM(M$2:M47),"")</f>
        <v/>
      </c>
      <c r="I48" s="61" t="str">
        <f>IFERROR(D48/SUM(N$2:N48),"")</f>
        <v/>
      </c>
      <c r="J48" s="61" t="str">
        <f>IFERROR(E48/SUM(O$2:O48),"")</f>
        <v/>
      </c>
      <c r="K48" s="61" t="str">
        <f>IFERROR(F48/SUM(P$2:P48),"")</f>
        <v/>
      </c>
      <c r="L48" s="79" t="str">
        <f>IFERROR(G48/SUM(Q$2:Q48),"")</f>
        <v/>
      </c>
      <c r="M48" s="64" t="str">
        <f t="shared" si="8"/>
        <v/>
      </c>
      <c r="N48" s="55" t="str">
        <f t="shared" si="9"/>
        <v/>
      </c>
      <c r="O48" s="55" t="str">
        <f t="shared" si="10"/>
        <v/>
      </c>
      <c r="P48" s="55" t="str">
        <f t="shared" si="11"/>
        <v/>
      </c>
      <c r="Q48" s="65" t="str">
        <f t="shared" si="12"/>
        <v/>
      </c>
      <c r="R48" s="67" t="str">
        <f t="shared" si="14"/>
        <v/>
      </c>
      <c r="S48" s="56" t="str">
        <f t="shared" si="15"/>
        <v/>
      </c>
      <c r="T48" s="56" t="str">
        <f t="shared" si="16"/>
        <v/>
      </c>
      <c r="U48" s="56" t="str">
        <f t="shared" si="17"/>
        <v/>
      </c>
      <c r="V48" s="68" t="str">
        <f t="shared" si="18"/>
        <v/>
      </c>
      <c r="W48" s="80" t="str">
        <f t="shared" si="19"/>
        <v/>
      </c>
      <c r="X48" s="81" t="str">
        <f t="shared" si="20"/>
        <v/>
      </c>
      <c r="Y48" s="81" t="str">
        <f t="shared" si="21"/>
        <v/>
      </c>
      <c r="Z48" s="81" t="str">
        <f t="shared" si="22"/>
        <v/>
      </c>
      <c r="AA48" s="82" t="str">
        <f t="shared" si="23"/>
        <v/>
      </c>
      <c r="AB48" s="83" t="str">
        <f>IF(R48&lt;&gt;"",(W48-SUMPRODUCT(R$3:R48,$B$3:$B48)/SUM($B$3:$B48))/STDEVA(W38:W48),"")</f>
        <v/>
      </c>
      <c r="AC48" s="84" t="str">
        <f>IF(S48&lt;&gt;"",(X48-SUMPRODUCT(S$3:S48,$B$3:$B48)/SUM($B$3:$B48))/STDEVA(X38:X48),"")</f>
        <v/>
      </c>
      <c r="AD48" s="84" t="str">
        <f>IF(T48&lt;&gt;"",(Y48-SUMPRODUCT(T$3:T48,$B$3:$B48)/SUM($B$3:$B48))/STDEVA(Y38:Y48),"")</f>
        <v/>
      </c>
      <c r="AE48" s="84" t="str">
        <f>IF(U48&lt;&gt;"",(Z48-SUMPRODUCT(U$3:U48,$B$3:$B48)/SUM($B$3:$B48))/STDEVA(Z38:Z48),"")</f>
        <v/>
      </c>
      <c r="AF48" s="85" t="str">
        <f>IF(V48&lt;&gt;"",(AA48-SUMPRODUCT(V$3:V48,$B$3:$B48)/SUM($B$3:$B48))/STDEVA(AA38:AA48),"")</f>
        <v/>
      </c>
      <c r="AG48" s="90" t="str">
        <f t="shared" si="31"/>
        <v/>
      </c>
      <c r="AH48" s="90" t="str">
        <f t="shared" si="26"/>
        <v/>
      </c>
      <c r="AI48" s="90" t="str">
        <f t="shared" si="27"/>
        <v/>
      </c>
      <c r="AJ48" s="90" t="str">
        <f t="shared" si="28"/>
        <v/>
      </c>
      <c r="AK48" s="93" t="str">
        <f t="shared" si="29"/>
        <v/>
      </c>
      <c r="BQ48" s="100" t="str">
        <f>IF(A48&lt;&gt;"",(VLOOKUP(A48,MarketData!$D:$BP,MATCH($BQ$1,MarketData!$D$1:$EG$1,0),TRUE)/100/365+1)^(B48)*BQ47,"")</f>
        <v/>
      </c>
      <c r="BR48" s="98" t="str">
        <f t="shared" si="1"/>
        <v/>
      </c>
      <c r="BS48" s="106" t="str">
        <f>IF(A48&lt;&gt;"",VLOOKUP(A48,MarketData!$D:$BP,MATCH($BS$1,MarketData!$D$1:$EG$1,0),TRUE),"")</f>
        <v/>
      </c>
      <c r="BT48" s="98" t="str">
        <f t="shared" si="13"/>
        <v/>
      </c>
    </row>
    <row r="49" spans="2:72" x14ac:dyDescent="0.25">
      <c r="B49" s="60" t="str">
        <f t="shared" si="30"/>
        <v/>
      </c>
      <c r="C49" s="3" t="str">
        <f t="shared" si="3"/>
        <v/>
      </c>
      <c r="D49" s="3" t="str">
        <f t="shared" si="4"/>
        <v/>
      </c>
      <c r="E49" s="3" t="str">
        <f t="shared" si="5"/>
        <v/>
      </c>
      <c r="F49" s="3" t="str">
        <f t="shared" si="6"/>
        <v/>
      </c>
      <c r="G49" s="74" t="str">
        <f t="shared" si="7"/>
        <v/>
      </c>
      <c r="H49" s="78" t="str">
        <f>IFERROR(C49/SUM(M$2:M48),"")</f>
        <v/>
      </c>
      <c r="I49" s="61" t="str">
        <f>IFERROR(D49/SUM(N$2:N49),"")</f>
        <v/>
      </c>
      <c r="J49" s="61" t="str">
        <f>IFERROR(E49/SUM(O$2:O49),"")</f>
        <v/>
      </c>
      <c r="K49" s="61" t="str">
        <f>IFERROR(F49/SUM(P$2:P49),"")</f>
        <v/>
      </c>
      <c r="L49" s="79" t="str">
        <f>IFERROR(G49/SUM(Q$2:Q49),"")</f>
        <v/>
      </c>
      <c r="M49" s="64" t="str">
        <f t="shared" si="8"/>
        <v/>
      </c>
      <c r="N49" s="55" t="str">
        <f t="shared" si="9"/>
        <v/>
      </c>
      <c r="O49" s="55" t="str">
        <f t="shared" si="10"/>
        <v/>
      </c>
      <c r="P49" s="55" t="str">
        <f t="shared" si="11"/>
        <v/>
      </c>
      <c r="Q49" s="65" t="str">
        <f t="shared" si="12"/>
        <v/>
      </c>
      <c r="R49" s="67" t="str">
        <f t="shared" si="14"/>
        <v/>
      </c>
      <c r="S49" s="56" t="str">
        <f t="shared" si="15"/>
        <v/>
      </c>
      <c r="T49" s="56" t="str">
        <f t="shared" si="16"/>
        <v/>
      </c>
      <c r="U49" s="56" t="str">
        <f t="shared" si="17"/>
        <v/>
      </c>
      <c r="V49" s="68" t="str">
        <f t="shared" si="18"/>
        <v/>
      </c>
      <c r="W49" s="80" t="str">
        <f t="shared" si="19"/>
        <v/>
      </c>
      <c r="X49" s="81" t="str">
        <f t="shared" si="20"/>
        <v/>
      </c>
      <c r="Y49" s="81" t="str">
        <f t="shared" si="21"/>
        <v/>
      </c>
      <c r="Z49" s="81" t="str">
        <f t="shared" si="22"/>
        <v/>
      </c>
      <c r="AA49" s="82" t="str">
        <f t="shared" si="23"/>
        <v/>
      </c>
      <c r="AB49" s="83" t="str">
        <f>IF(R49&lt;&gt;"",(W49-SUMPRODUCT(R$3:R49,$B$3:$B49)/SUM($B$3:$B49))/STDEVA(W39:W49),"")</f>
        <v/>
      </c>
      <c r="AC49" s="84" t="str">
        <f>IF(S49&lt;&gt;"",(X49-SUMPRODUCT(S$3:S49,$B$3:$B49)/SUM($B$3:$B49))/STDEVA(X39:X49),"")</f>
        <v/>
      </c>
      <c r="AD49" s="84" t="str">
        <f>IF(T49&lt;&gt;"",(Y49-SUMPRODUCT(T$3:T49,$B$3:$B49)/SUM($B$3:$B49))/STDEVA(Y39:Y49),"")</f>
        <v/>
      </c>
      <c r="AE49" s="84" t="str">
        <f>IF(U49&lt;&gt;"",(Z49-SUMPRODUCT(U$3:U49,$B$3:$B49)/SUM($B$3:$B49))/STDEVA(Z39:Z49),"")</f>
        <v/>
      </c>
      <c r="AF49" s="85" t="str">
        <f>IF(V49&lt;&gt;"",(AA49-SUMPRODUCT(V$3:V49,$B$3:$B49)/SUM($B$3:$B49))/STDEVA(AA39:AA49),"")</f>
        <v/>
      </c>
      <c r="AG49" s="90" t="str">
        <f t="shared" si="31"/>
        <v/>
      </c>
      <c r="AH49" s="90" t="str">
        <f t="shared" si="26"/>
        <v/>
      </c>
      <c r="AI49" s="90" t="str">
        <f t="shared" si="27"/>
        <v/>
      </c>
      <c r="AJ49" s="90" t="str">
        <f t="shared" si="28"/>
        <v/>
      </c>
      <c r="AK49" s="93" t="str">
        <f t="shared" si="29"/>
        <v/>
      </c>
      <c r="BQ49" s="100" t="str">
        <f>IF(A49&lt;&gt;"",(VLOOKUP(A49,MarketData!$D:$BP,MATCH($BQ$1,MarketData!$D$1:$EG$1,0),TRUE)/100/365+1)^(B49)*BQ48,"")</f>
        <v/>
      </c>
      <c r="BR49" s="98" t="str">
        <f t="shared" si="1"/>
        <v/>
      </c>
      <c r="BS49" s="106" t="str">
        <f>IF(A49&lt;&gt;"",VLOOKUP(A49,MarketData!$D:$BP,MATCH($BS$1,MarketData!$D$1:$EG$1,0),TRUE),"")</f>
        <v/>
      </c>
      <c r="BT49" s="98" t="str">
        <f t="shared" si="13"/>
        <v/>
      </c>
    </row>
    <row r="50" spans="2:72" x14ac:dyDescent="0.25">
      <c r="B50" s="60" t="str">
        <f t="shared" si="30"/>
        <v/>
      </c>
      <c r="C50" s="3" t="str">
        <f t="shared" si="3"/>
        <v/>
      </c>
      <c r="D50" s="3" t="str">
        <f t="shared" si="4"/>
        <v/>
      </c>
      <c r="E50" s="3" t="str">
        <f t="shared" si="5"/>
        <v/>
      </c>
      <c r="F50" s="3" t="str">
        <f t="shared" si="6"/>
        <v/>
      </c>
      <c r="G50" s="74" t="str">
        <f t="shared" si="7"/>
        <v/>
      </c>
      <c r="H50" s="78" t="str">
        <f>IFERROR(C50/SUM(M$2:M49),"")</f>
        <v/>
      </c>
      <c r="I50" s="61" t="str">
        <f>IFERROR(D50/SUM(N$2:N50),"")</f>
        <v/>
      </c>
      <c r="J50" s="61" t="str">
        <f>IFERROR(E50/SUM(O$2:O50),"")</f>
        <v/>
      </c>
      <c r="K50" s="61" t="str">
        <f>IFERROR(F50/SUM(P$2:P50),"")</f>
        <v/>
      </c>
      <c r="L50" s="79" t="str">
        <f>IFERROR(G50/SUM(Q$2:Q50),"")</f>
        <v/>
      </c>
      <c r="M50" s="64" t="str">
        <f t="shared" si="8"/>
        <v/>
      </c>
      <c r="N50" s="55" t="str">
        <f t="shared" si="9"/>
        <v/>
      </c>
      <c r="O50" s="55" t="str">
        <f t="shared" si="10"/>
        <v/>
      </c>
      <c r="P50" s="55" t="str">
        <f t="shared" si="11"/>
        <v/>
      </c>
      <c r="Q50" s="65" t="str">
        <f t="shared" si="12"/>
        <v/>
      </c>
      <c r="R50" s="67" t="str">
        <f t="shared" si="14"/>
        <v/>
      </c>
      <c r="S50" s="56" t="str">
        <f t="shared" si="15"/>
        <v/>
      </c>
      <c r="T50" s="56" t="str">
        <f t="shared" si="16"/>
        <v/>
      </c>
      <c r="U50" s="56" t="str">
        <f t="shared" si="17"/>
        <v/>
      </c>
      <c r="V50" s="68" t="str">
        <f t="shared" si="18"/>
        <v/>
      </c>
      <c r="W50" s="80" t="str">
        <f t="shared" si="19"/>
        <v/>
      </c>
      <c r="X50" s="81" t="str">
        <f t="shared" si="20"/>
        <v/>
      </c>
      <c r="Y50" s="81" t="str">
        <f t="shared" si="21"/>
        <v/>
      </c>
      <c r="Z50" s="81" t="str">
        <f t="shared" si="22"/>
        <v/>
      </c>
      <c r="AA50" s="82" t="str">
        <f t="shared" si="23"/>
        <v/>
      </c>
      <c r="AB50" s="83" t="str">
        <f>IF(R50&lt;&gt;"",(W50-SUMPRODUCT(R$3:R50,$B$3:$B50)/SUM($B$3:$B50))/STDEVA(W40:W50),"")</f>
        <v/>
      </c>
      <c r="AC50" s="84" t="str">
        <f>IF(S50&lt;&gt;"",(X50-SUMPRODUCT(S$3:S50,$B$3:$B50)/SUM($B$3:$B50))/STDEVA(X40:X50),"")</f>
        <v/>
      </c>
      <c r="AD50" s="84" t="str">
        <f>IF(T50&lt;&gt;"",(Y50-SUMPRODUCT(T$3:T50,$B$3:$B50)/SUM($B$3:$B50))/STDEVA(Y40:Y50),"")</f>
        <v/>
      </c>
      <c r="AE50" s="84" t="str">
        <f>IF(U50&lt;&gt;"",(Z50-SUMPRODUCT(U$3:U50,$B$3:$B50)/SUM($B$3:$B50))/STDEVA(Z40:Z50),"")</f>
        <v/>
      </c>
      <c r="AF50" s="85" t="str">
        <f>IF(V50&lt;&gt;"",(AA50-SUMPRODUCT(V$3:V50,$B$3:$B50)/SUM($B$3:$B50))/STDEVA(AA40:AA50),"")</f>
        <v/>
      </c>
      <c r="AG50" s="90" t="str">
        <f t="shared" si="31"/>
        <v/>
      </c>
      <c r="AH50" s="90" t="str">
        <f t="shared" si="26"/>
        <v/>
      </c>
      <c r="AI50" s="90" t="str">
        <f t="shared" si="27"/>
        <v/>
      </c>
      <c r="AJ50" s="90" t="str">
        <f t="shared" si="28"/>
        <v/>
      </c>
      <c r="AK50" s="93" t="str">
        <f t="shared" si="29"/>
        <v/>
      </c>
      <c r="BQ50" s="100" t="str">
        <f>IF(A50&lt;&gt;"",(VLOOKUP(A50,MarketData!$D:$BP,MATCH($BQ$1,MarketData!$D$1:$EG$1,0),TRUE)/100/365+1)^(B50)*BQ49,"")</f>
        <v/>
      </c>
      <c r="BR50" s="98" t="str">
        <f t="shared" si="1"/>
        <v/>
      </c>
      <c r="BS50" s="106" t="str">
        <f>IF(A50&lt;&gt;"",VLOOKUP(A50,MarketData!$D:$BP,MATCH($BS$1,MarketData!$D$1:$EG$1,0),TRUE),"")</f>
        <v/>
      </c>
      <c r="BT50" s="98" t="str">
        <f t="shared" si="13"/>
        <v/>
      </c>
    </row>
    <row r="51" spans="2:72" x14ac:dyDescent="0.25">
      <c r="B51" s="60" t="str">
        <f t="shared" si="30"/>
        <v/>
      </c>
      <c r="C51" s="3" t="str">
        <f t="shared" si="3"/>
        <v/>
      </c>
      <c r="D51" s="3" t="str">
        <f t="shared" si="4"/>
        <v/>
      </c>
      <c r="E51" s="3" t="str">
        <f t="shared" si="5"/>
        <v/>
      </c>
      <c r="F51" s="3" t="str">
        <f t="shared" si="6"/>
        <v/>
      </c>
      <c r="G51" s="74" t="str">
        <f t="shared" si="7"/>
        <v/>
      </c>
      <c r="H51" s="78" t="str">
        <f>IFERROR(C51/SUM(M$2:M50),"")</f>
        <v/>
      </c>
      <c r="I51" s="61" t="str">
        <f>IFERROR(D51/SUM(N$2:N51),"")</f>
        <v/>
      </c>
      <c r="J51" s="61" t="str">
        <f>IFERROR(E51/SUM(O$2:O51),"")</f>
        <v/>
      </c>
      <c r="K51" s="61" t="str">
        <f>IFERROR(F51/SUM(P$2:P51),"")</f>
        <v/>
      </c>
      <c r="L51" s="79" t="str">
        <f>IFERROR(G51/SUM(Q$2:Q51),"")</f>
        <v/>
      </c>
      <c r="M51" s="64" t="str">
        <f t="shared" si="8"/>
        <v/>
      </c>
      <c r="N51" s="55" t="str">
        <f t="shared" si="9"/>
        <v/>
      </c>
      <c r="O51" s="55" t="str">
        <f t="shared" si="10"/>
        <v/>
      </c>
      <c r="P51" s="55" t="str">
        <f t="shared" si="11"/>
        <v/>
      </c>
      <c r="Q51" s="65" t="str">
        <f t="shared" si="12"/>
        <v/>
      </c>
      <c r="R51" s="67" t="str">
        <f t="shared" si="14"/>
        <v/>
      </c>
      <c r="S51" s="56" t="str">
        <f t="shared" si="15"/>
        <v/>
      </c>
      <c r="T51" s="56" t="str">
        <f t="shared" si="16"/>
        <v/>
      </c>
      <c r="U51" s="56" t="str">
        <f t="shared" si="17"/>
        <v/>
      </c>
      <c r="V51" s="68" t="str">
        <f t="shared" si="18"/>
        <v/>
      </c>
      <c r="W51" s="80" t="str">
        <f t="shared" si="19"/>
        <v/>
      </c>
      <c r="X51" s="81" t="str">
        <f t="shared" si="20"/>
        <v/>
      </c>
      <c r="Y51" s="81" t="str">
        <f t="shared" si="21"/>
        <v/>
      </c>
      <c r="Z51" s="81" t="str">
        <f t="shared" si="22"/>
        <v/>
      </c>
      <c r="AA51" s="82" t="str">
        <f t="shared" si="23"/>
        <v/>
      </c>
      <c r="AB51" s="83" t="str">
        <f>IF(R51&lt;&gt;"",(W51-SUMPRODUCT(R$3:R51,$B$3:$B51)/SUM($B$3:$B51))/STDEVA(W41:W51),"")</f>
        <v/>
      </c>
      <c r="AC51" s="84" t="str">
        <f>IF(S51&lt;&gt;"",(X51-SUMPRODUCT(S$3:S51,$B$3:$B51)/SUM($B$3:$B51))/STDEVA(X41:X51),"")</f>
        <v/>
      </c>
      <c r="AD51" s="84" t="str">
        <f>IF(T51&lt;&gt;"",(Y51-SUMPRODUCT(T$3:T51,$B$3:$B51)/SUM($B$3:$B51))/STDEVA(Y41:Y51),"")</f>
        <v/>
      </c>
      <c r="AE51" s="84" t="str">
        <f>IF(U51&lt;&gt;"",(Z51-SUMPRODUCT(U$3:U51,$B$3:$B51)/SUM($B$3:$B51))/STDEVA(Z41:Z51),"")</f>
        <v/>
      </c>
      <c r="AF51" s="85" t="str">
        <f>IF(V51&lt;&gt;"",(AA51-SUMPRODUCT(V$3:V51,$B$3:$B51)/SUM($B$3:$B51))/STDEVA(AA41:AA51),"")</f>
        <v/>
      </c>
      <c r="AG51" s="90" t="str">
        <f t="shared" si="31"/>
        <v/>
      </c>
      <c r="AH51" s="90" t="str">
        <f t="shared" si="26"/>
        <v/>
      </c>
      <c r="AI51" s="90" t="str">
        <f t="shared" si="27"/>
        <v/>
      </c>
      <c r="AJ51" s="90" t="str">
        <f t="shared" si="28"/>
        <v/>
      </c>
      <c r="AK51" s="93" t="str">
        <f t="shared" si="29"/>
        <v/>
      </c>
      <c r="BQ51" s="100" t="str">
        <f>IF(A51&lt;&gt;"",(VLOOKUP(A51,MarketData!$D:$BP,MATCH($BQ$1,MarketData!$D$1:$EG$1,0),TRUE)/100/365+1)^(B51)*BQ50,"")</f>
        <v/>
      </c>
      <c r="BR51" s="98" t="str">
        <f t="shared" si="1"/>
        <v/>
      </c>
      <c r="BS51" s="106" t="str">
        <f>IF(A51&lt;&gt;"",VLOOKUP(A51,MarketData!$D:$BP,MATCH($BS$1,MarketData!$D$1:$EG$1,0),TRUE),"")</f>
        <v/>
      </c>
      <c r="BT51" s="98" t="str">
        <f t="shared" si="13"/>
        <v/>
      </c>
    </row>
    <row r="52" spans="2:72" x14ac:dyDescent="0.25">
      <c r="B52" s="60" t="str">
        <f t="shared" si="30"/>
        <v/>
      </c>
      <c r="C52" s="3" t="str">
        <f t="shared" si="3"/>
        <v/>
      </c>
      <c r="D52" s="3" t="str">
        <f t="shared" si="4"/>
        <v/>
      </c>
      <c r="E52" s="3" t="str">
        <f t="shared" si="5"/>
        <v/>
      </c>
      <c r="F52" s="3" t="str">
        <f t="shared" si="6"/>
        <v/>
      </c>
      <c r="G52" s="74" t="str">
        <f t="shared" si="7"/>
        <v/>
      </c>
      <c r="H52" s="78" t="str">
        <f>IFERROR(C52/SUM(M$2:M51),"")</f>
        <v/>
      </c>
      <c r="I52" s="61" t="str">
        <f>IFERROR(D52/SUM(N$2:N52),"")</f>
        <v/>
      </c>
      <c r="J52" s="61" t="str">
        <f>IFERROR(E52/SUM(O$2:O52),"")</f>
        <v/>
      </c>
      <c r="K52" s="61" t="str">
        <f>IFERROR(F52/SUM(P$2:P52),"")</f>
        <v/>
      </c>
      <c r="L52" s="79" t="str">
        <f>IFERROR(G52/SUM(Q$2:Q52),"")</f>
        <v/>
      </c>
      <c r="M52" s="64" t="str">
        <f t="shared" si="8"/>
        <v/>
      </c>
      <c r="N52" s="55" t="str">
        <f t="shared" si="9"/>
        <v/>
      </c>
      <c r="O52" s="55" t="str">
        <f t="shared" si="10"/>
        <v/>
      </c>
      <c r="P52" s="55" t="str">
        <f t="shared" si="11"/>
        <v/>
      </c>
      <c r="Q52" s="65" t="str">
        <f t="shared" si="12"/>
        <v/>
      </c>
      <c r="R52" s="67" t="str">
        <f t="shared" si="14"/>
        <v/>
      </c>
      <c r="S52" s="56" t="str">
        <f t="shared" si="15"/>
        <v/>
      </c>
      <c r="T52" s="56" t="str">
        <f t="shared" si="16"/>
        <v/>
      </c>
      <c r="U52" s="56" t="str">
        <f t="shared" si="17"/>
        <v/>
      </c>
      <c r="V52" s="68" t="str">
        <f t="shared" si="18"/>
        <v/>
      </c>
      <c r="W52" s="80" t="str">
        <f t="shared" si="19"/>
        <v/>
      </c>
      <c r="X52" s="81" t="str">
        <f t="shared" si="20"/>
        <v/>
      </c>
      <c r="Y52" s="81" t="str">
        <f t="shared" si="21"/>
        <v/>
      </c>
      <c r="Z52" s="81" t="str">
        <f t="shared" si="22"/>
        <v/>
      </c>
      <c r="AA52" s="82" t="str">
        <f t="shared" si="23"/>
        <v/>
      </c>
      <c r="AB52" s="83" t="str">
        <f>IF(R52&lt;&gt;"",(W52-SUMPRODUCT(R$3:R52,$B$3:$B52)/SUM($B$3:$B52))/STDEVA(W42:W52),"")</f>
        <v/>
      </c>
      <c r="AC52" s="84" t="str">
        <f>IF(S52&lt;&gt;"",(X52-SUMPRODUCT(S$3:S52,$B$3:$B52)/SUM($B$3:$B52))/STDEVA(X42:X52),"")</f>
        <v/>
      </c>
      <c r="AD52" s="84" t="str">
        <f>IF(T52&lt;&gt;"",(Y52-SUMPRODUCT(T$3:T52,$B$3:$B52)/SUM($B$3:$B52))/STDEVA(Y42:Y52),"")</f>
        <v/>
      </c>
      <c r="AE52" s="84" t="str">
        <f>IF(U52&lt;&gt;"",(Z52-SUMPRODUCT(U$3:U52,$B$3:$B52)/SUM($B$3:$B52))/STDEVA(Z42:Z52),"")</f>
        <v/>
      </c>
      <c r="AF52" s="85" t="str">
        <f>IF(V52&lt;&gt;"",(AA52-SUMPRODUCT(V$3:V52,$B$3:$B52)/SUM($B$3:$B52))/STDEVA(AA42:AA52),"")</f>
        <v/>
      </c>
      <c r="AG52" s="90" t="str">
        <f t="shared" si="31"/>
        <v/>
      </c>
      <c r="AH52" s="90" t="str">
        <f t="shared" si="26"/>
        <v/>
      </c>
      <c r="AI52" s="90" t="str">
        <f t="shared" si="27"/>
        <v/>
      </c>
      <c r="AJ52" s="90" t="str">
        <f t="shared" si="28"/>
        <v/>
      </c>
      <c r="AK52" s="93" t="str">
        <f t="shared" si="29"/>
        <v/>
      </c>
      <c r="BQ52" s="100" t="str">
        <f>IF(A52&lt;&gt;"",(VLOOKUP(A52,MarketData!$D:$BP,MATCH($BQ$1,MarketData!$D$1:$EG$1,0),TRUE)/100/365+1)^(B52)*BQ51,"")</f>
        <v/>
      </c>
      <c r="BR52" s="98" t="str">
        <f t="shared" si="1"/>
        <v/>
      </c>
      <c r="BS52" s="106" t="str">
        <f>IF(A52&lt;&gt;"",VLOOKUP(A52,MarketData!$D:$BP,MATCH($BS$1,MarketData!$D$1:$EG$1,0),TRUE),"")</f>
        <v/>
      </c>
      <c r="BT52" s="98" t="str">
        <f t="shared" si="13"/>
        <v/>
      </c>
    </row>
    <row r="53" spans="2:72" x14ac:dyDescent="0.25">
      <c r="B53" s="60" t="str">
        <f t="shared" si="30"/>
        <v/>
      </c>
      <c r="C53" s="3" t="str">
        <f t="shared" si="3"/>
        <v/>
      </c>
      <c r="D53" s="3" t="str">
        <f t="shared" si="4"/>
        <v/>
      </c>
      <c r="E53" s="3" t="str">
        <f t="shared" si="5"/>
        <v/>
      </c>
      <c r="F53" s="3" t="str">
        <f t="shared" si="6"/>
        <v/>
      </c>
      <c r="G53" s="74" t="str">
        <f t="shared" si="7"/>
        <v/>
      </c>
      <c r="H53" s="78" t="str">
        <f>IFERROR(C53/SUM(M$2:M52),"")</f>
        <v/>
      </c>
      <c r="I53" s="61" t="str">
        <f>IFERROR(D53/SUM(N$2:N53),"")</f>
        <v/>
      </c>
      <c r="J53" s="61" t="str">
        <f>IFERROR(E53/SUM(O$2:O53),"")</f>
        <v/>
      </c>
      <c r="K53" s="61" t="str">
        <f>IFERROR(F53/SUM(P$2:P53),"")</f>
        <v/>
      </c>
      <c r="L53" s="79" t="str">
        <f>IFERROR(G53/SUM(Q$2:Q53),"")</f>
        <v/>
      </c>
      <c r="M53" s="64" t="str">
        <f t="shared" si="8"/>
        <v/>
      </c>
      <c r="N53" s="55" t="str">
        <f t="shared" si="9"/>
        <v/>
      </c>
      <c r="O53" s="55" t="str">
        <f t="shared" si="10"/>
        <v/>
      </c>
      <c r="P53" s="55" t="str">
        <f t="shared" si="11"/>
        <v/>
      </c>
      <c r="Q53" s="65" t="str">
        <f t="shared" si="12"/>
        <v/>
      </c>
      <c r="R53" s="67" t="str">
        <f t="shared" si="14"/>
        <v/>
      </c>
      <c r="S53" s="56" t="str">
        <f t="shared" si="15"/>
        <v/>
      </c>
      <c r="T53" s="56" t="str">
        <f t="shared" si="16"/>
        <v/>
      </c>
      <c r="U53" s="56" t="str">
        <f t="shared" si="17"/>
        <v/>
      </c>
      <c r="V53" s="68" t="str">
        <f t="shared" si="18"/>
        <v/>
      </c>
      <c r="W53" s="80" t="str">
        <f t="shared" si="19"/>
        <v/>
      </c>
      <c r="X53" s="81" t="str">
        <f t="shared" si="20"/>
        <v/>
      </c>
      <c r="Y53" s="81" t="str">
        <f t="shared" si="21"/>
        <v/>
      </c>
      <c r="Z53" s="81" t="str">
        <f t="shared" si="22"/>
        <v/>
      </c>
      <c r="AA53" s="82" t="str">
        <f t="shared" si="23"/>
        <v/>
      </c>
      <c r="AB53" s="83" t="str">
        <f>IF(R53&lt;&gt;"",(W53-SUMPRODUCT(R$3:R53,$B$3:$B53)/SUM($B$3:$B53))/STDEVA(W43:W53),"")</f>
        <v/>
      </c>
      <c r="AC53" s="84" t="str">
        <f>IF(S53&lt;&gt;"",(X53-SUMPRODUCT(S$3:S53,$B$3:$B53)/SUM($B$3:$B53))/STDEVA(X43:X53),"")</f>
        <v/>
      </c>
      <c r="AD53" s="84" t="str">
        <f>IF(T53&lt;&gt;"",(Y53-SUMPRODUCT(T$3:T53,$B$3:$B53)/SUM($B$3:$B53))/STDEVA(Y43:Y53),"")</f>
        <v/>
      </c>
      <c r="AE53" s="84" t="str">
        <f>IF(U53&lt;&gt;"",(Z53-SUMPRODUCT(U$3:U53,$B$3:$B53)/SUM($B$3:$B53))/STDEVA(Z43:Z53),"")</f>
        <v/>
      </c>
      <c r="AF53" s="85" t="str">
        <f>IF(V53&lt;&gt;"",(AA53-SUMPRODUCT(V$3:V53,$B$3:$B53)/SUM($B$3:$B53))/STDEVA(AA43:AA53),"")</f>
        <v/>
      </c>
      <c r="AG53" s="90" t="str">
        <f t="shared" si="31"/>
        <v/>
      </c>
      <c r="AH53" s="90" t="str">
        <f t="shared" si="26"/>
        <v/>
      </c>
      <c r="AI53" s="90" t="str">
        <f t="shared" si="27"/>
        <v/>
      </c>
      <c r="AJ53" s="90" t="str">
        <f t="shared" si="28"/>
        <v/>
      </c>
      <c r="AK53" s="93" t="str">
        <f t="shared" si="29"/>
        <v/>
      </c>
      <c r="BQ53" s="100" t="str">
        <f>IF(A53&lt;&gt;"",(VLOOKUP(A53,MarketData!$D:$BP,MATCH($BQ$1,MarketData!$D$1:$EG$1,0),TRUE)/100/365+1)^(B53)*BQ52,"")</f>
        <v/>
      </c>
      <c r="BR53" s="98" t="str">
        <f t="shared" si="1"/>
        <v/>
      </c>
      <c r="BS53" s="106" t="str">
        <f>IF(A53&lt;&gt;"",VLOOKUP(A53,MarketData!$D:$BP,MATCH($BS$1,MarketData!$D$1:$EG$1,0),TRUE),"")</f>
        <v/>
      </c>
      <c r="BT53" s="98" t="str">
        <f t="shared" si="13"/>
        <v/>
      </c>
    </row>
    <row r="54" spans="2:72" x14ac:dyDescent="0.25">
      <c r="B54" s="60" t="str">
        <f t="shared" si="30"/>
        <v/>
      </c>
      <c r="C54" s="3" t="str">
        <f t="shared" si="3"/>
        <v/>
      </c>
      <c r="D54" s="3" t="str">
        <f t="shared" si="4"/>
        <v/>
      </c>
      <c r="E54" s="3" t="str">
        <f t="shared" si="5"/>
        <v/>
      </c>
      <c r="F54" s="3" t="str">
        <f t="shared" si="6"/>
        <v/>
      </c>
      <c r="G54" s="74" t="str">
        <f t="shared" si="7"/>
        <v/>
      </c>
      <c r="H54" s="78" t="str">
        <f>IFERROR(C54/SUM(M$2:M53),"")</f>
        <v/>
      </c>
      <c r="I54" s="61" t="str">
        <f>IFERROR(D54/SUM(N$2:N54),"")</f>
        <v/>
      </c>
      <c r="J54" s="61" t="str">
        <f>IFERROR(E54/SUM(O$2:O54),"")</f>
        <v/>
      </c>
      <c r="K54" s="61" t="str">
        <f>IFERROR(F54/SUM(P$2:P54),"")</f>
        <v/>
      </c>
      <c r="L54" s="79" t="str">
        <f>IFERROR(G54/SUM(Q$2:Q54),"")</f>
        <v/>
      </c>
      <c r="M54" s="64" t="str">
        <f t="shared" si="8"/>
        <v/>
      </c>
      <c r="N54" s="55" t="str">
        <f t="shared" si="9"/>
        <v/>
      </c>
      <c r="O54" s="55" t="str">
        <f t="shared" si="10"/>
        <v/>
      </c>
      <c r="P54" s="55" t="str">
        <f t="shared" si="11"/>
        <v/>
      </c>
      <c r="Q54" s="65" t="str">
        <f t="shared" si="12"/>
        <v/>
      </c>
      <c r="R54" s="67" t="str">
        <f t="shared" si="14"/>
        <v/>
      </c>
      <c r="S54" s="56" t="str">
        <f t="shared" si="15"/>
        <v/>
      </c>
      <c r="T54" s="56" t="str">
        <f t="shared" si="16"/>
        <v/>
      </c>
      <c r="U54" s="56" t="str">
        <f t="shared" si="17"/>
        <v/>
      </c>
      <c r="V54" s="68" t="str">
        <f t="shared" si="18"/>
        <v/>
      </c>
      <c r="W54" s="80" t="str">
        <f t="shared" si="19"/>
        <v/>
      </c>
      <c r="X54" s="81" t="str">
        <f t="shared" si="20"/>
        <v/>
      </c>
      <c r="Y54" s="81" t="str">
        <f t="shared" si="21"/>
        <v/>
      </c>
      <c r="Z54" s="81" t="str">
        <f t="shared" si="22"/>
        <v/>
      </c>
      <c r="AA54" s="82" t="str">
        <f t="shared" si="23"/>
        <v/>
      </c>
      <c r="AB54" s="83" t="str">
        <f>IF(R54&lt;&gt;"",(W54-SUMPRODUCT(R$3:R54,$B$3:$B54)/SUM($B$3:$B54))/STDEVA(W44:W54),"")</f>
        <v/>
      </c>
      <c r="AC54" s="84" t="str">
        <f>IF(S54&lt;&gt;"",(X54-SUMPRODUCT(S$3:S54,$B$3:$B54)/SUM($B$3:$B54))/STDEVA(X44:X54),"")</f>
        <v/>
      </c>
      <c r="AD54" s="84" t="str">
        <f>IF(T54&lt;&gt;"",(Y54-SUMPRODUCT(T$3:T54,$B$3:$B54)/SUM($B$3:$B54))/STDEVA(Y44:Y54),"")</f>
        <v/>
      </c>
      <c r="AE54" s="84" t="str">
        <f>IF(U54&lt;&gt;"",(Z54-SUMPRODUCT(U$3:U54,$B$3:$B54)/SUM($B$3:$B54))/STDEVA(Z44:Z54),"")</f>
        <v/>
      </c>
      <c r="AF54" s="85" t="str">
        <f>IF(V54&lt;&gt;"",(AA54-SUMPRODUCT(V$3:V54,$B$3:$B54)/SUM($B$3:$B54))/STDEVA(AA44:AA54),"")</f>
        <v/>
      </c>
      <c r="AG54" s="90" t="str">
        <f t="shared" si="31"/>
        <v/>
      </c>
      <c r="AH54" s="90" t="str">
        <f t="shared" si="26"/>
        <v/>
      </c>
      <c r="AI54" s="90" t="str">
        <f t="shared" si="27"/>
        <v/>
      </c>
      <c r="AJ54" s="90" t="str">
        <f t="shared" si="28"/>
        <v/>
      </c>
      <c r="AK54" s="93" t="str">
        <f t="shared" si="29"/>
        <v/>
      </c>
      <c r="BQ54" s="100" t="str">
        <f>IF(A54&lt;&gt;"",(VLOOKUP(A54,MarketData!$D:$BP,MATCH($BQ$1,MarketData!$D$1:$EG$1,0),TRUE)/100/365+1)^(B54)*BQ53,"")</f>
        <v/>
      </c>
      <c r="BR54" s="98" t="str">
        <f t="shared" si="1"/>
        <v/>
      </c>
      <c r="BS54" s="106" t="str">
        <f>IF(A54&lt;&gt;"",VLOOKUP(A54,MarketData!$D:$BP,MATCH($BS$1,MarketData!$D$1:$EG$1,0),TRUE),"")</f>
        <v/>
      </c>
      <c r="BT54" s="98" t="str">
        <f t="shared" si="13"/>
        <v/>
      </c>
    </row>
    <row r="55" spans="2:72" x14ac:dyDescent="0.25">
      <c r="B55" s="60" t="str">
        <f t="shared" si="30"/>
        <v/>
      </c>
      <c r="C55" s="3" t="str">
        <f t="shared" si="3"/>
        <v/>
      </c>
      <c r="D55" s="3" t="str">
        <f t="shared" si="4"/>
        <v/>
      </c>
      <c r="E55" s="3" t="str">
        <f t="shared" si="5"/>
        <v/>
      </c>
      <c r="F55" s="3" t="str">
        <f t="shared" si="6"/>
        <v/>
      </c>
      <c r="G55" s="74" t="str">
        <f t="shared" si="7"/>
        <v/>
      </c>
      <c r="H55" s="78" t="str">
        <f>IFERROR(C55/SUM(M$2:M54),"")</f>
        <v/>
      </c>
      <c r="I55" s="61" t="str">
        <f>IFERROR(D55/SUM(N$2:N55),"")</f>
        <v/>
      </c>
      <c r="J55" s="61" t="str">
        <f>IFERROR(E55/SUM(O$2:O55),"")</f>
        <v/>
      </c>
      <c r="K55" s="61" t="str">
        <f>IFERROR(F55/SUM(P$2:P55),"")</f>
        <v/>
      </c>
      <c r="L55" s="79" t="str">
        <f>IFERROR(G55/SUM(Q$2:Q55),"")</f>
        <v/>
      </c>
      <c r="M55" s="64" t="str">
        <f t="shared" si="8"/>
        <v/>
      </c>
      <c r="N55" s="55" t="str">
        <f t="shared" si="9"/>
        <v/>
      </c>
      <c r="O55" s="55" t="str">
        <f t="shared" si="10"/>
        <v/>
      </c>
      <c r="P55" s="55" t="str">
        <f t="shared" si="11"/>
        <v/>
      </c>
      <c r="Q55" s="65" t="str">
        <f t="shared" si="12"/>
        <v/>
      </c>
      <c r="R55" s="67" t="str">
        <f t="shared" si="14"/>
        <v/>
      </c>
      <c r="S55" s="56" t="str">
        <f t="shared" si="15"/>
        <v/>
      </c>
      <c r="T55" s="56" t="str">
        <f t="shared" si="16"/>
        <v/>
      </c>
      <c r="U55" s="56" t="str">
        <f t="shared" si="17"/>
        <v/>
      </c>
      <c r="V55" s="68" t="str">
        <f t="shared" si="18"/>
        <v/>
      </c>
      <c r="W55" s="80" t="str">
        <f t="shared" si="19"/>
        <v/>
      </c>
      <c r="X55" s="81" t="str">
        <f t="shared" si="20"/>
        <v/>
      </c>
      <c r="Y55" s="81" t="str">
        <f t="shared" si="21"/>
        <v/>
      </c>
      <c r="Z55" s="81" t="str">
        <f t="shared" si="22"/>
        <v/>
      </c>
      <c r="AA55" s="82" t="str">
        <f t="shared" si="23"/>
        <v/>
      </c>
      <c r="AB55" s="83" t="str">
        <f>IF(R55&lt;&gt;"",(W55-SUMPRODUCT(R$3:R55,$B$3:$B55)/SUM($B$3:$B55))/STDEVA(W45:W55),"")</f>
        <v/>
      </c>
      <c r="AC55" s="84" t="str">
        <f>IF(S55&lt;&gt;"",(X55-SUMPRODUCT(S$3:S55,$B$3:$B55)/SUM($B$3:$B55))/STDEVA(X45:X55),"")</f>
        <v/>
      </c>
      <c r="AD55" s="84" t="str">
        <f>IF(T55&lt;&gt;"",(Y55-SUMPRODUCT(T$3:T55,$B$3:$B55)/SUM($B$3:$B55))/STDEVA(Y45:Y55),"")</f>
        <v/>
      </c>
      <c r="AE55" s="84" t="str">
        <f>IF(U55&lt;&gt;"",(Z55-SUMPRODUCT(U$3:U55,$B$3:$B55)/SUM($B$3:$B55))/STDEVA(Z45:Z55),"")</f>
        <v/>
      </c>
      <c r="AF55" s="85" t="str">
        <f>IF(V55&lt;&gt;"",(AA55-SUMPRODUCT(V$3:V55,$B$3:$B55)/SUM($B$3:$B55))/STDEVA(AA45:AA55),"")</f>
        <v/>
      </c>
      <c r="AG55" s="90" t="str">
        <f t="shared" si="31"/>
        <v/>
      </c>
      <c r="AH55" s="90" t="str">
        <f t="shared" si="26"/>
        <v/>
      </c>
      <c r="AI55" s="90" t="str">
        <f t="shared" si="27"/>
        <v/>
      </c>
      <c r="AJ55" s="90" t="str">
        <f t="shared" si="28"/>
        <v/>
      </c>
      <c r="AK55" s="93" t="str">
        <f t="shared" si="29"/>
        <v/>
      </c>
      <c r="BQ55" s="100" t="str">
        <f>IF(A55&lt;&gt;"",(VLOOKUP(A55,MarketData!$D:$BP,MATCH($BQ$1,MarketData!$D$1:$EG$1,0),TRUE)/100/365+1)^(B55)*BQ54,"")</f>
        <v/>
      </c>
      <c r="BR55" s="98" t="str">
        <f t="shared" si="1"/>
        <v/>
      </c>
      <c r="BS55" s="106" t="str">
        <f>IF(A55&lt;&gt;"",VLOOKUP(A55,MarketData!$D:$BP,MATCH($BS$1,MarketData!$D$1:$EG$1,0),TRUE),"")</f>
        <v/>
      </c>
      <c r="BT55" s="98" t="str">
        <f t="shared" si="13"/>
        <v/>
      </c>
    </row>
    <row r="56" spans="2:72" x14ac:dyDescent="0.25">
      <c r="B56" s="60" t="str">
        <f t="shared" si="30"/>
        <v/>
      </c>
      <c r="C56" s="3" t="str">
        <f t="shared" si="3"/>
        <v/>
      </c>
      <c r="D56" s="3" t="str">
        <f t="shared" si="4"/>
        <v/>
      </c>
      <c r="E56" s="3" t="str">
        <f t="shared" si="5"/>
        <v/>
      </c>
      <c r="F56" s="3" t="str">
        <f t="shared" si="6"/>
        <v/>
      </c>
      <c r="G56" s="74" t="str">
        <f t="shared" si="7"/>
        <v/>
      </c>
      <c r="H56" s="78" t="str">
        <f>IFERROR(C56/SUM(M$2:M55),"")</f>
        <v/>
      </c>
      <c r="I56" s="61" t="str">
        <f>IFERROR(D56/SUM(N$2:N56),"")</f>
        <v/>
      </c>
      <c r="J56" s="61" t="str">
        <f>IFERROR(E56/SUM(O$2:O56),"")</f>
        <v/>
      </c>
      <c r="K56" s="61" t="str">
        <f>IFERROR(F56/SUM(P$2:P56),"")</f>
        <v/>
      </c>
      <c r="L56" s="79" t="str">
        <f>IFERROR(G56/SUM(Q$2:Q56),"")</f>
        <v/>
      </c>
      <c r="M56" s="64" t="str">
        <f t="shared" si="8"/>
        <v/>
      </c>
      <c r="N56" s="55" t="str">
        <f t="shared" si="9"/>
        <v/>
      </c>
      <c r="O56" s="55" t="str">
        <f t="shared" si="10"/>
        <v/>
      </c>
      <c r="P56" s="55" t="str">
        <f t="shared" si="11"/>
        <v/>
      </c>
      <c r="Q56" s="65" t="str">
        <f t="shared" si="12"/>
        <v/>
      </c>
      <c r="R56" s="67" t="str">
        <f t="shared" si="14"/>
        <v/>
      </c>
      <c r="S56" s="56" t="str">
        <f t="shared" si="15"/>
        <v/>
      </c>
      <c r="T56" s="56" t="str">
        <f t="shared" si="16"/>
        <v/>
      </c>
      <c r="U56" s="56" t="str">
        <f t="shared" si="17"/>
        <v/>
      </c>
      <c r="V56" s="68" t="str">
        <f t="shared" si="18"/>
        <v/>
      </c>
      <c r="W56" s="80" t="str">
        <f t="shared" si="19"/>
        <v/>
      </c>
      <c r="X56" s="81" t="str">
        <f t="shared" si="20"/>
        <v/>
      </c>
      <c r="Y56" s="81" t="str">
        <f t="shared" si="21"/>
        <v/>
      </c>
      <c r="Z56" s="81" t="str">
        <f t="shared" si="22"/>
        <v/>
      </c>
      <c r="AA56" s="82" t="str">
        <f t="shared" si="23"/>
        <v/>
      </c>
      <c r="AB56" s="83" t="str">
        <f>IF(R56&lt;&gt;"",(W56-SUMPRODUCT(R$3:R56,$B$3:$B56)/SUM($B$3:$B56))/STDEVA(W46:W56),"")</f>
        <v/>
      </c>
      <c r="AC56" s="84" t="str">
        <f>IF(S56&lt;&gt;"",(X56-SUMPRODUCT(S$3:S56,$B$3:$B56)/SUM($B$3:$B56))/STDEVA(X46:X56),"")</f>
        <v/>
      </c>
      <c r="AD56" s="84" t="str">
        <f>IF(T56&lt;&gt;"",(Y56-SUMPRODUCT(T$3:T56,$B$3:$B56)/SUM($B$3:$B56))/STDEVA(Y46:Y56),"")</f>
        <v/>
      </c>
      <c r="AE56" s="84" t="str">
        <f>IF(U56&lt;&gt;"",(Z56-SUMPRODUCT(U$3:U56,$B$3:$B56)/SUM($B$3:$B56))/STDEVA(Z46:Z56),"")</f>
        <v/>
      </c>
      <c r="AF56" s="85" t="str">
        <f>IF(V56&lt;&gt;"",(AA56-SUMPRODUCT(V$3:V56,$B$3:$B56)/SUM($B$3:$B56))/STDEVA(AA46:AA56),"")</f>
        <v/>
      </c>
      <c r="AG56" s="90" t="str">
        <f t="shared" si="31"/>
        <v/>
      </c>
      <c r="AH56" s="90" t="str">
        <f t="shared" si="26"/>
        <v/>
      </c>
      <c r="AI56" s="90" t="str">
        <f t="shared" si="27"/>
        <v/>
      </c>
      <c r="AJ56" s="90" t="str">
        <f t="shared" si="28"/>
        <v/>
      </c>
      <c r="AK56" s="93" t="str">
        <f t="shared" si="29"/>
        <v/>
      </c>
      <c r="BQ56" s="100" t="str">
        <f>IF(A56&lt;&gt;"",(VLOOKUP(A56,MarketData!$D:$BP,MATCH($BQ$1,MarketData!$D$1:$EG$1,0),TRUE)/100/365+1)^(B56)*BQ55,"")</f>
        <v/>
      </c>
      <c r="BR56" s="98" t="str">
        <f t="shared" si="1"/>
        <v/>
      </c>
      <c r="BS56" s="106" t="str">
        <f>IF(A56&lt;&gt;"",VLOOKUP(A56,MarketData!$D:$BP,MATCH($BS$1,MarketData!$D$1:$EG$1,0),TRUE),"")</f>
        <v/>
      </c>
      <c r="BT56" s="98" t="str">
        <f t="shared" si="13"/>
        <v/>
      </c>
    </row>
    <row r="57" spans="2:72" x14ac:dyDescent="0.25">
      <c r="B57" s="60" t="str">
        <f t="shared" si="30"/>
        <v/>
      </c>
      <c r="C57" s="3" t="str">
        <f t="shared" si="3"/>
        <v/>
      </c>
      <c r="D57" s="3" t="str">
        <f t="shared" si="4"/>
        <v/>
      </c>
      <c r="E57" s="3" t="str">
        <f t="shared" si="5"/>
        <v/>
      </c>
      <c r="F57" s="3" t="str">
        <f t="shared" si="6"/>
        <v/>
      </c>
      <c r="G57" s="74" t="str">
        <f t="shared" si="7"/>
        <v/>
      </c>
      <c r="H57" s="78" t="str">
        <f>IFERROR(C57/SUM(M$2:M56),"")</f>
        <v/>
      </c>
      <c r="I57" s="61" t="str">
        <f>IFERROR(D57/SUM(N$2:N57),"")</f>
        <v/>
      </c>
      <c r="J57" s="61" t="str">
        <f>IFERROR(E57/SUM(O$2:O57),"")</f>
        <v/>
      </c>
      <c r="K57" s="61" t="str">
        <f>IFERROR(F57/SUM(P$2:P57),"")</f>
        <v/>
      </c>
      <c r="L57" s="79" t="str">
        <f>IFERROR(G57/SUM(Q$2:Q57),"")</f>
        <v/>
      </c>
      <c r="M57" s="64" t="str">
        <f t="shared" si="8"/>
        <v/>
      </c>
      <c r="N57" s="55" t="str">
        <f t="shared" si="9"/>
        <v/>
      </c>
      <c r="O57" s="55" t="str">
        <f t="shared" si="10"/>
        <v/>
      </c>
      <c r="P57" s="55" t="str">
        <f t="shared" si="11"/>
        <v/>
      </c>
      <c r="Q57" s="65" t="str">
        <f t="shared" si="12"/>
        <v/>
      </c>
      <c r="R57" s="67" t="str">
        <f t="shared" si="14"/>
        <v/>
      </c>
      <c r="S57" s="56" t="str">
        <f t="shared" si="15"/>
        <v/>
      </c>
      <c r="T57" s="56" t="str">
        <f t="shared" si="16"/>
        <v/>
      </c>
      <c r="U57" s="56" t="str">
        <f t="shared" si="17"/>
        <v/>
      </c>
      <c r="V57" s="68" t="str">
        <f t="shared" si="18"/>
        <v/>
      </c>
      <c r="W57" s="80" t="str">
        <f t="shared" si="19"/>
        <v/>
      </c>
      <c r="X57" s="81" t="str">
        <f t="shared" si="20"/>
        <v/>
      </c>
      <c r="Y57" s="81" t="str">
        <f t="shared" si="21"/>
        <v/>
      </c>
      <c r="Z57" s="81" t="str">
        <f t="shared" si="22"/>
        <v/>
      </c>
      <c r="AA57" s="82" t="str">
        <f t="shared" si="23"/>
        <v/>
      </c>
      <c r="AB57" s="83" t="str">
        <f>IF(R57&lt;&gt;"",(W57-SUMPRODUCT(R$3:R57,$B$3:$B57)/SUM($B$3:$B57))/STDEVA(W47:W57),"")</f>
        <v/>
      </c>
      <c r="AC57" s="84" t="str">
        <f>IF(S57&lt;&gt;"",(X57-SUMPRODUCT(S$3:S57,$B$3:$B57)/SUM($B$3:$B57))/STDEVA(X47:X57),"")</f>
        <v/>
      </c>
      <c r="AD57" s="84" t="str">
        <f>IF(T57&lt;&gt;"",(Y57-SUMPRODUCT(T$3:T57,$B$3:$B57)/SUM($B$3:$B57))/STDEVA(Y47:Y57),"")</f>
        <v/>
      </c>
      <c r="AE57" s="84" t="str">
        <f>IF(U57&lt;&gt;"",(Z57-SUMPRODUCT(U$3:U57,$B$3:$B57)/SUM($B$3:$B57))/STDEVA(Z47:Z57),"")</f>
        <v/>
      </c>
      <c r="AF57" s="85" t="str">
        <f>IF(V57&lt;&gt;"",(AA57-SUMPRODUCT(V$3:V57,$B$3:$B57)/SUM($B$3:$B57))/STDEVA(AA47:AA57),"")</f>
        <v/>
      </c>
      <c r="AG57" s="90" t="str">
        <f t="shared" si="31"/>
        <v/>
      </c>
      <c r="AH57" s="90" t="str">
        <f t="shared" si="26"/>
        <v/>
      </c>
      <c r="AI57" s="90" t="str">
        <f t="shared" si="27"/>
        <v/>
      </c>
      <c r="AJ57" s="90" t="str">
        <f t="shared" si="28"/>
        <v/>
      </c>
      <c r="AK57" s="93" t="str">
        <f t="shared" si="29"/>
        <v/>
      </c>
      <c r="BQ57" s="100" t="str">
        <f>IF(A57&lt;&gt;"",(VLOOKUP(A57,MarketData!$D:$BP,MATCH($BQ$1,MarketData!$D$1:$EG$1,0),TRUE)/100/365+1)^(B57)*BQ56,"")</f>
        <v/>
      </c>
      <c r="BR57" s="98" t="str">
        <f t="shared" si="1"/>
        <v/>
      </c>
      <c r="BS57" s="106" t="str">
        <f>IF(A57&lt;&gt;"",VLOOKUP(A57,MarketData!$D:$BP,MATCH($BS$1,MarketData!$D$1:$EG$1,0),TRUE),"")</f>
        <v/>
      </c>
      <c r="BT57" s="98" t="str">
        <f t="shared" si="13"/>
        <v/>
      </c>
    </row>
    <row r="58" spans="2:72" x14ac:dyDescent="0.25">
      <c r="B58" s="60" t="str">
        <f t="shared" si="30"/>
        <v/>
      </c>
      <c r="C58" s="3" t="str">
        <f t="shared" si="3"/>
        <v/>
      </c>
      <c r="D58" s="3" t="str">
        <f t="shared" si="4"/>
        <v/>
      </c>
      <c r="E58" s="3" t="str">
        <f t="shared" si="5"/>
        <v/>
      </c>
      <c r="F58" s="3" t="str">
        <f t="shared" si="6"/>
        <v/>
      </c>
      <c r="G58" s="74" t="str">
        <f t="shared" si="7"/>
        <v/>
      </c>
      <c r="H58" s="78" t="str">
        <f>IFERROR(C58/SUM(M$2:M57),"")</f>
        <v/>
      </c>
      <c r="I58" s="61" t="str">
        <f>IFERROR(D58/SUM(N$2:N58),"")</f>
        <v/>
      </c>
      <c r="J58" s="61" t="str">
        <f>IFERROR(E58/SUM(O$2:O58),"")</f>
        <v/>
      </c>
      <c r="K58" s="61" t="str">
        <f>IFERROR(F58/SUM(P$2:P58),"")</f>
        <v/>
      </c>
      <c r="L58" s="79" t="str">
        <f>IFERROR(G58/SUM(Q$2:Q58),"")</f>
        <v/>
      </c>
      <c r="M58" s="64" t="str">
        <f t="shared" si="8"/>
        <v/>
      </c>
      <c r="N58" s="55" t="str">
        <f t="shared" si="9"/>
        <v/>
      </c>
      <c r="O58" s="55" t="str">
        <f t="shared" si="10"/>
        <v/>
      </c>
      <c r="P58" s="55" t="str">
        <f t="shared" si="11"/>
        <v/>
      </c>
      <c r="Q58" s="65" t="str">
        <f t="shared" si="12"/>
        <v/>
      </c>
      <c r="R58" s="67" t="str">
        <f t="shared" si="14"/>
        <v/>
      </c>
      <c r="S58" s="56" t="str">
        <f t="shared" si="15"/>
        <v/>
      </c>
      <c r="T58" s="56" t="str">
        <f t="shared" si="16"/>
        <v/>
      </c>
      <c r="U58" s="56" t="str">
        <f t="shared" si="17"/>
        <v/>
      </c>
      <c r="V58" s="68" t="str">
        <f t="shared" si="18"/>
        <v/>
      </c>
      <c r="W58" s="80" t="str">
        <f t="shared" si="19"/>
        <v/>
      </c>
      <c r="X58" s="81" t="str">
        <f t="shared" si="20"/>
        <v/>
      </c>
      <c r="Y58" s="81" t="str">
        <f t="shared" si="21"/>
        <v/>
      </c>
      <c r="Z58" s="81" t="str">
        <f t="shared" si="22"/>
        <v/>
      </c>
      <c r="AA58" s="82" t="str">
        <f t="shared" si="23"/>
        <v/>
      </c>
      <c r="AB58" s="83" t="str">
        <f>IF(R58&lt;&gt;"",(W58-SUMPRODUCT(R$3:R58,$B$3:$B58)/SUM($B$3:$B58))/STDEVA(W48:W58),"")</f>
        <v/>
      </c>
      <c r="AC58" s="84" t="str">
        <f>IF(S58&lt;&gt;"",(X58-SUMPRODUCT(S$3:S58,$B$3:$B58)/SUM($B$3:$B58))/STDEVA(X48:X58),"")</f>
        <v/>
      </c>
      <c r="AD58" s="84" t="str">
        <f>IF(T58&lt;&gt;"",(Y58-SUMPRODUCT(T$3:T58,$B$3:$B58)/SUM($B$3:$B58))/STDEVA(Y48:Y58),"")</f>
        <v/>
      </c>
      <c r="AE58" s="84" t="str">
        <f>IF(U58&lt;&gt;"",(Z58-SUMPRODUCT(U$3:U58,$B$3:$B58)/SUM($B$3:$B58))/STDEVA(Z48:Z58),"")</f>
        <v/>
      </c>
      <c r="AF58" s="85" t="str">
        <f>IF(V58&lt;&gt;"",(AA58-SUMPRODUCT(V$3:V58,$B$3:$B58)/SUM($B$3:$B58))/STDEVA(AA48:AA58),"")</f>
        <v/>
      </c>
      <c r="AG58" s="90" t="str">
        <f t="shared" si="31"/>
        <v/>
      </c>
      <c r="AH58" s="90" t="str">
        <f t="shared" si="26"/>
        <v/>
      </c>
      <c r="AI58" s="90" t="str">
        <f t="shared" si="27"/>
        <v/>
      </c>
      <c r="AJ58" s="90" t="str">
        <f t="shared" si="28"/>
        <v/>
      </c>
      <c r="AK58" s="93" t="str">
        <f t="shared" si="29"/>
        <v/>
      </c>
      <c r="BQ58" s="100" t="str">
        <f>IF(A58&lt;&gt;"",(VLOOKUP(A58,MarketData!$D:$BP,MATCH($BQ$1,MarketData!$D$1:$EG$1,0),TRUE)/100/365+1)^(B58)*BQ57,"")</f>
        <v/>
      </c>
      <c r="BR58" s="98" t="str">
        <f t="shared" si="1"/>
        <v/>
      </c>
      <c r="BS58" s="106" t="str">
        <f>IF(A58&lt;&gt;"",VLOOKUP(A58,MarketData!$D:$BP,MATCH($BS$1,MarketData!$D$1:$EG$1,0),TRUE),"")</f>
        <v/>
      </c>
      <c r="BT58" s="98" t="str">
        <f t="shared" si="13"/>
        <v/>
      </c>
    </row>
    <row r="59" spans="2:72" x14ac:dyDescent="0.25">
      <c r="B59" s="60" t="str">
        <f t="shared" si="30"/>
        <v/>
      </c>
      <c r="C59" s="3" t="str">
        <f t="shared" si="3"/>
        <v/>
      </c>
      <c r="D59" s="3" t="str">
        <f t="shared" si="4"/>
        <v/>
      </c>
      <c r="E59" s="3" t="str">
        <f t="shared" si="5"/>
        <v/>
      </c>
      <c r="F59" s="3" t="str">
        <f t="shared" si="6"/>
        <v/>
      </c>
      <c r="G59" s="74" t="str">
        <f t="shared" si="7"/>
        <v/>
      </c>
      <c r="H59" s="78" t="str">
        <f>IFERROR(C59/SUM(M$2:M58),"")</f>
        <v/>
      </c>
      <c r="I59" s="61" t="str">
        <f>IFERROR(D59/SUM(N$2:N59),"")</f>
        <v/>
      </c>
      <c r="J59" s="61" t="str">
        <f>IFERROR(E59/SUM(O$2:O59),"")</f>
        <v/>
      </c>
      <c r="K59" s="61" t="str">
        <f>IFERROR(F59/SUM(P$2:P59),"")</f>
        <v/>
      </c>
      <c r="L59" s="79" t="str">
        <f>IFERROR(G59/SUM(Q$2:Q59),"")</f>
        <v/>
      </c>
      <c r="M59" s="64" t="str">
        <f t="shared" si="8"/>
        <v/>
      </c>
      <c r="N59" s="55" t="str">
        <f t="shared" si="9"/>
        <v/>
      </c>
      <c r="O59" s="55" t="str">
        <f t="shared" si="10"/>
        <v/>
      </c>
      <c r="P59" s="55" t="str">
        <f t="shared" si="11"/>
        <v/>
      </c>
      <c r="Q59" s="65" t="str">
        <f t="shared" si="12"/>
        <v/>
      </c>
      <c r="R59" s="67" t="str">
        <f t="shared" si="14"/>
        <v/>
      </c>
      <c r="S59" s="56" t="str">
        <f t="shared" si="15"/>
        <v/>
      </c>
      <c r="T59" s="56" t="str">
        <f t="shared" si="16"/>
        <v/>
      </c>
      <c r="U59" s="56" t="str">
        <f t="shared" si="17"/>
        <v/>
      </c>
      <c r="V59" s="68" t="str">
        <f t="shared" si="18"/>
        <v/>
      </c>
      <c r="W59" s="80" t="str">
        <f t="shared" si="19"/>
        <v/>
      </c>
      <c r="X59" s="81" t="str">
        <f t="shared" si="20"/>
        <v/>
      </c>
      <c r="Y59" s="81" t="str">
        <f t="shared" si="21"/>
        <v/>
      </c>
      <c r="Z59" s="81" t="str">
        <f t="shared" si="22"/>
        <v/>
      </c>
      <c r="AA59" s="82" t="str">
        <f t="shared" si="23"/>
        <v/>
      </c>
      <c r="AB59" s="83" t="str">
        <f>IF(R59&lt;&gt;"",(W59-SUMPRODUCT(R$3:R59,$B$3:$B59)/SUM($B$3:$B59))/STDEVA(W49:W59),"")</f>
        <v/>
      </c>
      <c r="AC59" s="84" t="str">
        <f>IF(S59&lt;&gt;"",(X59-SUMPRODUCT(S$3:S59,$B$3:$B59)/SUM($B$3:$B59))/STDEVA(X49:X59),"")</f>
        <v/>
      </c>
      <c r="AD59" s="84" t="str">
        <f>IF(T59&lt;&gt;"",(Y59-SUMPRODUCT(T$3:T59,$B$3:$B59)/SUM($B$3:$B59))/STDEVA(Y49:Y59),"")</f>
        <v/>
      </c>
      <c r="AE59" s="84" t="str">
        <f>IF(U59&lt;&gt;"",(Z59-SUMPRODUCT(U$3:U59,$B$3:$B59)/SUM($B$3:$B59))/STDEVA(Z49:Z59),"")</f>
        <v/>
      </c>
      <c r="AF59" s="85" t="str">
        <f>IF(V59&lt;&gt;"",(AA59-SUMPRODUCT(V$3:V59,$B$3:$B59)/SUM($B$3:$B59))/STDEVA(AA49:AA59),"")</f>
        <v/>
      </c>
      <c r="AG59" s="90" t="str">
        <f t="shared" si="31"/>
        <v/>
      </c>
      <c r="AH59" s="90" t="str">
        <f t="shared" si="26"/>
        <v/>
      </c>
      <c r="AI59" s="90" t="str">
        <f t="shared" si="27"/>
        <v/>
      </c>
      <c r="AJ59" s="90" t="str">
        <f t="shared" si="28"/>
        <v/>
      </c>
      <c r="AK59" s="93" t="str">
        <f t="shared" si="29"/>
        <v/>
      </c>
      <c r="BQ59" s="100" t="str">
        <f>IF(A59&lt;&gt;"",(VLOOKUP(A59,MarketData!$D:$BP,MATCH($BQ$1,MarketData!$D$1:$EG$1,0),TRUE)/100/365+1)^(B59)*BQ58,"")</f>
        <v/>
      </c>
      <c r="BR59" s="98" t="str">
        <f t="shared" si="1"/>
        <v/>
      </c>
      <c r="BS59" s="106" t="str">
        <f>IF(A59&lt;&gt;"",VLOOKUP(A59,MarketData!$D:$BP,MATCH($BS$1,MarketData!$D$1:$EG$1,0),TRUE),"")</f>
        <v/>
      </c>
      <c r="BT59" s="98" t="str">
        <f t="shared" si="13"/>
        <v/>
      </c>
    </row>
    <row r="60" spans="2:72" x14ac:dyDescent="0.25">
      <c r="B60" s="60" t="str">
        <f t="shared" si="30"/>
        <v/>
      </c>
      <c r="C60" s="3" t="str">
        <f t="shared" si="3"/>
        <v/>
      </c>
      <c r="D60" s="3" t="str">
        <f t="shared" si="4"/>
        <v/>
      </c>
      <c r="E60" s="3" t="str">
        <f t="shared" si="5"/>
        <v/>
      </c>
      <c r="F60" s="3" t="str">
        <f t="shared" si="6"/>
        <v/>
      </c>
      <c r="G60" s="74" t="str">
        <f t="shared" si="7"/>
        <v/>
      </c>
      <c r="H60" s="78" t="str">
        <f>IFERROR(C60/SUM(M$2:M59),"")</f>
        <v/>
      </c>
      <c r="I60" s="61" t="str">
        <f>IFERROR(D60/SUM(N$2:N60),"")</f>
        <v/>
      </c>
      <c r="J60" s="61" t="str">
        <f>IFERROR(E60/SUM(O$2:O60),"")</f>
        <v/>
      </c>
      <c r="K60" s="61" t="str">
        <f>IFERROR(F60/SUM(P$2:P60),"")</f>
        <v/>
      </c>
      <c r="L60" s="79" t="str">
        <f>IFERROR(G60/SUM(Q$2:Q60),"")</f>
        <v/>
      </c>
      <c r="M60" s="64" t="str">
        <f t="shared" si="8"/>
        <v/>
      </c>
      <c r="N60" s="55" t="str">
        <f t="shared" si="9"/>
        <v/>
      </c>
      <c r="O60" s="55" t="str">
        <f t="shared" si="10"/>
        <v/>
      </c>
      <c r="P60" s="55" t="str">
        <f t="shared" si="11"/>
        <v/>
      </c>
      <c r="Q60" s="65" t="str">
        <f t="shared" si="12"/>
        <v/>
      </c>
      <c r="R60" s="67" t="str">
        <f t="shared" si="14"/>
        <v/>
      </c>
      <c r="S60" s="56" t="str">
        <f t="shared" si="15"/>
        <v/>
      </c>
      <c r="T60" s="56" t="str">
        <f t="shared" si="16"/>
        <v/>
      </c>
      <c r="U60" s="56" t="str">
        <f t="shared" si="17"/>
        <v/>
      </c>
      <c r="V60" s="68" t="str">
        <f t="shared" si="18"/>
        <v/>
      </c>
      <c r="W60" s="80" t="str">
        <f t="shared" si="19"/>
        <v/>
      </c>
      <c r="X60" s="81" t="str">
        <f t="shared" si="20"/>
        <v/>
      </c>
      <c r="Y60" s="81" t="str">
        <f t="shared" si="21"/>
        <v/>
      </c>
      <c r="Z60" s="81" t="str">
        <f t="shared" si="22"/>
        <v/>
      </c>
      <c r="AA60" s="82" t="str">
        <f t="shared" si="23"/>
        <v/>
      </c>
      <c r="AB60" s="83" t="str">
        <f>IF(R60&lt;&gt;"",(W60-SUMPRODUCT(R$3:R60,$B$3:$B60)/SUM($B$3:$B60))/STDEVA(W50:W60),"")</f>
        <v/>
      </c>
      <c r="AC60" s="84" t="str">
        <f>IF(S60&lt;&gt;"",(X60-SUMPRODUCT(S$3:S60,$B$3:$B60)/SUM($B$3:$B60))/STDEVA(X50:X60),"")</f>
        <v/>
      </c>
      <c r="AD60" s="84" t="str">
        <f>IF(T60&lt;&gt;"",(Y60-SUMPRODUCT(T$3:T60,$B$3:$B60)/SUM($B$3:$B60))/STDEVA(Y50:Y60),"")</f>
        <v/>
      </c>
      <c r="AE60" s="84" t="str">
        <f>IF(U60&lt;&gt;"",(Z60-SUMPRODUCT(U$3:U60,$B$3:$B60)/SUM($B$3:$B60))/STDEVA(Z50:Z60),"")</f>
        <v/>
      </c>
      <c r="AF60" s="85" t="str">
        <f>IF(V60&lt;&gt;"",(AA60-SUMPRODUCT(V$3:V60,$B$3:$B60)/SUM($B$3:$B60))/STDEVA(AA50:AA60),"")</f>
        <v/>
      </c>
      <c r="AG60" s="90" t="str">
        <f t="shared" si="31"/>
        <v/>
      </c>
      <c r="AH60" s="90" t="str">
        <f t="shared" si="26"/>
        <v/>
      </c>
      <c r="AI60" s="90" t="str">
        <f t="shared" si="27"/>
        <v/>
      </c>
      <c r="AJ60" s="90" t="str">
        <f t="shared" si="28"/>
        <v/>
      </c>
      <c r="AK60" s="93" t="str">
        <f t="shared" si="29"/>
        <v/>
      </c>
      <c r="BQ60" s="100" t="str">
        <f>IF(A60&lt;&gt;"",(VLOOKUP(A60,MarketData!$D:$BP,MATCH($BQ$1,MarketData!$D$1:$EG$1,0),TRUE)/100/365+1)^(B60)*BQ59,"")</f>
        <v/>
      </c>
      <c r="BR60" s="98" t="str">
        <f t="shared" si="1"/>
        <v/>
      </c>
      <c r="BS60" s="106" t="str">
        <f>IF(A60&lt;&gt;"",VLOOKUP(A60,MarketData!$D:$BP,MATCH($BS$1,MarketData!$D$1:$EG$1,0),TRUE),"")</f>
        <v/>
      </c>
      <c r="BT60" s="98" t="str">
        <f t="shared" si="13"/>
        <v/>
      </c>
    </row>
    <row r="61" spans="2:72" x14ac:dyDescent="0.25">
      <c r="B61" s="60" t="str">
        <f t="shared" si="30"/>
        <v/>
      </c>
      <c r="C61" s="3" t="str">
        <f t="shared" si="3"/>
        <v/>
      </c>
      <c r="D61" s="3" t="str">
        <f t="shared" si="4"/>
        <v/>
      </c>
      <c r="E61" s="3" t="str">
        <f t="shared" si="5"/>
        <v/>
      </c>
      <c r="F61" s="3" t="str">
        <f t="shared" si="6"/>
        <v/>
      </c>
      <c r="G61" s="74" t="str">
        <f t="shared" si="7"/>
        <v/>
      </c>
      <c r="H61" s="78" t="str">
        <f>IFERROR(C61/SUM(M$2:M60),"")</f>
        <v/>
      </c>
      <c r="I61" s="61" t="str">
        <f>IFERROR(D61/SUM(N$2:N61),"")</f>
        <v/>
      </c>
      <c r="J61" s="61" t="str">
        <f>IFERROR(E61/SUM(O$2:O61),"")</f>
        <v/>
      </c>
      <c r="K61" s="61" t="str">
        <f>IFERROR(F61/SUM(P$2:P61),"")</f>
        <v/>
      </c>
      <c r="L61" s="79" t="str">
        <f>IFERROR(G61/SUM(Q$2:Q61),"")</f>
        <v/>
      </c>
      <c r="M61" s="64" t="str">
        <f t="shared" si="8"/>
        <v/>
      </c>
      <c r="N61" s="55" t="str">
        <f t="shared" si="9"/>
        <v/>
      </c>
      <c r="O61" s="55" t="str">
        <f t="shared" si="10"/>
        <v/>
      </c>
      <c r="P61" s="55" t="str">
        <f t="shared" si="11"/>
        <v/>
      </c>
      <c r="Q61" s="65" t="str">
        <f t="shared" si="12"/>
        <v/>
      </c>
      <c r="R61" s="67" t="str">
        <f t="shared" si="14"/>
        <v/>
      </c>
      <c r="S61" s="56" t="str">
        <f t="shared" si="15"/>
        <v/>
      </c>
      <c r="T61" s="56" t="str">
        <f t="shared" si="16"/>
        <v/>
      </c>
      <c r="U61" s="56" t="str">
        <f t="shared" si="17"/>
        <v/>
      </c>
      <c r="V61" s="68" t="str">
        <f t="shared" si="18"/>
        <v/>
      </c>
      <c r="W61" s="80" t="str">
        <f t="shared" si="19"/>
        <v/>
      </c>
      <c r="X61" s="81" t="str">
        <f t="shared" si="20"/>
        <v/>
      </c>
      <c r="Y61" s="81" t="str">
        <f t="shared" si="21"/>
        <v/>
      </c>
      <c r="Z61" s="81" t="str">
        <f t="shared" si="22"/>
        <v/>
      </c>
      <c r="AA61" s="82" t="str">
        <f t="shared" si="23"/>
        <v/>
      </c>
      <c r="AB61" s="83" t="str">
        <f>IF(R61&lt;&gt;"",(W61-SUMPRODUCT(R$3:R61,$B$3:$B61)/SUM($B$3:$B61))/STDEVA(W51:W61),"")</f>
        <v/>
      </c>
      <c r="AC61" s="84" t="str">
        <f>IF(S61&lt;&gt;"",(X61-SUMPRODUCT(S$3:S61,$B$3:$B61)/SUM($B$3:$B61))/STDEVA(X51:X61),"")</f>
        <v/>
      </c>
      <c r="AD61" s="84" t="str">
        <f>IF(T61&lt;&gt;"",(Y61-SUMPRODUCT(T$3:T61,$B$3:$B61)/SUM($B$3:$B61))/STDEVA(Y51:Y61),"")</f>
        <v/>
      </c>
      <c r="AE61" s="84" t="str">
        <f>IF(U61&lt;&gt;"",(Z61-SUMPRODUCT(U$3:U61,$B$3:$B61)/SUM($B$3:$B61))/STDEVA(Z51:Z61),"")</f>
        <v/>
      </c>
      <c r="AF61" s="85" t="str">
        <f>IF(V61&lt;&gt;"",(AA61-SUMPRODUCT(V$3:V61,$B$3:$B61)/SUM($B$3:$B61))/STDEVA(AA51:AA61),"")</f>
        <v/>
      </c>
      <c r="AG61" s="90" t="str">
        <f t="shared" si="31"/>
        <v/>
      </c>
      <c r="AH61" s="90" t="str">
        <f t="shared" si="26"/>
        <v/>
      </c>
      <c r="AI61" s="90" t="str">
        <f t="shared" si="27"/>
        <v/>
      </c>
      <c r="AJ61" s="90" t="str">
        <f t="shared" si="28"/>
        <v/>
      </c>
      <c r="AK61" s="93" t="str">
        <f t="shared" si="29"/>
        <v/>
      </c>
      <c r="BQ61" s="100" t="str">
        <f>IF(A61&lt;&gt;"",(VLOOKUP(A61,MarketData!$D:$BP,MATCH($BQ$1,MarketData!$D$1:$EG$1,0),TRUE)/100/365+1)^(B61)*BQ60,"")</f>
        <v/>
      </c>
      <c r="BR61" s="98" t="str">
        <f t="shared" si="1"/>
        <v/>
      </c>
      <c r="BS61" s="106" t="str">
        <f>IF(A61&lt;&gt;"",VLOOKUP(A61,MarketData!$D:$BP,MATCH($BS$1,MarketData!$D$1:$EG$1,0),TRUE),"")</f>
        <v/>
      </c>
      <c r="BT61" s="98" t="str">
        <f t="shared" si="13"/>
        <v/>
      </c>
    </row>
    <row r="62" spans="2:72" x14ac:dyDescent="0.25">
      <c r="B62" s="60" t="str">
        <f t="shared" si="30"/>
        <v/>
      </c>
      <c r="C62" s="3" t="str">
        <f t="shared" si="3"/>
        <v/>
      </c>
      <c r="D62" s="3" t="str">
        <f t="shared" si="4"/>
        <v/>
      </c>
      <c r="E62" s="3" t="str">
        <f t="shared" si="5"/>
        <v/>
      </c>
      <c r="F62" s="3" t="str">
        <f t="shared" si="6"/>
        <v/>
      </c>
      <c r="G62" s="74" t="str">
        <f t="shared" si="7"/>
        <v/>
      </c>
      <c r="H62" s="78" t="str">
        <f>IFERROR(C62/SUM(M$2:M61),"")</f>
        <v/>
      </c>
      <c r="I62" s="61" t="str">
        <f>IFERROR(D62/SUM(N$2:N62),"")</f>
        <v/>
      </c>
      <c r="J62" s="61" t="str">
        <f>IFERROR(E62/SUM(O$2:O62),"")</f>
        <v/>
      </c>
      <c r="K62" s="61" t="str">
        <f>IFERROR(F62/SUM(P$2:P62),"")</f>
        <v/>
      </c>
      <c r="L62" s="79" t="str">
        <f>IFERROR(G62/SUM(Q$2:Q62),"")</f>
        <v/>
      </c>
      <c r="M62" s="64" t="str">
        <f t="shared" si="8"/>
        <v/>
      </c>
      <c r="N62" s="55" t="str">
        <f t="shared" si="9"/>
        <v/>
      </c>
      <c r="O62" s="55" t="str">
        <f t="shared" si="10"/>
        <v/>
      </c>
      <c r="P62" s="55" t="str">
        <f t="shared" si="11"/>
        <v/>
      </c>
      <c r="Q62" s="65" t="str">
        <f t="shared" si="12"/>
        <v/>
      </c>
      <c r="R62" s="67" t="str">
        <f t="shared" si="14"/>
        <v/>
      </c>
      <c r="S62" s="56" t="str">
        <f t="shared" si="15"/>
        <v/>
      </c>
      <c r="T62" s="56" t="str">
        <f t="shared" si="16"/>
        <v/>
      </c>
      <c r="U62" s="56" t="str">
        <f t="shared" si="17"/>
        <v/>
      </c>
      <c r="V62" s="68" t="str">
        <f t="shared" si="18"/>
        <v/>
      </c>
      <c r="W62" s="80" t="str">
        <f t="shared" si="19"/>
        <v/>
      </c>
      <c r="X62" s="81" t="str">
        <f t="shared" si="20"/>
        <v/>
      </c>
      <c r="Y62" s="81" t="str">
        <f t="shared" si="21"/>
        <v/>
      </c>
      <c r="Z62" s="81" t="str">
        <f t="shared" si="22"/>
        <v/>
      </c>
      <c r="AA62" s="82" t="str">
        <f t="shared" si="23"/>
        <v/>
      </c>
      <c r="AB62" s="83" t="str">
        <f>IF(R62&lt;&gt;"",(W62-SUMPRODUCT(R$3:R62,$B$3:$B62)/SUM($B$3:$B62))/STDEVA(W52:W62),"")</f>
        <v/>
      </c>
      <c r="AC62" s="84" t="str">
        <f>IF(S62&lt;&gt;"",(X62-SUMPRODUCT(S$3:S62,$B$3:$B62)/SUM($B$3:$B62))/STDEVA(X52:X62),"")</f>
        <v/>
      </c>
      <c r="AD62" s="84" t="str">
        <f>IF(T62&lt;&gt;"",(Y62-SUMPRODUCT(T$3:T62,$B$3:$B62)/SUM($B$3:$B62))/STDEVA(Y52:Y62),"")</f>
        <v/>
      </c>
      <c r="AE62" s="84" t="str">
        <f>IF(U62&lt;&gt;"",(Z62-SUMPRODUCT(U$3:U62,$B$3:$B62)/SUM($B$3:$B62))/STDEVA(Z52:Z62),"")</f>
        <v/>
      </c>
      <c r="AF62" s="85" t="str">
        <f>IF(V62&lt;&gt;"",(AA62-SUMPRODUCT(V$3:V62,$B$3:$B62)/SUM($B$3:$B62))/STDEVA(AA52:AA62),"")</f>
        <v/>
      </c>
      <c r="AG62" s="90" t="str">
        <f t="shared" si="31"/>
        <v/>
      </c>
      <c r="AH62" s="90" t="str">
        <f t="shared" si="26"/>
        <v/>
      </c>
      <c r="AI62" s="90" t="str">
        <f t="shared" si="27"/>
        <v/>
      </c>
      <c r="AJ62" s="90" t="str">
        <f t="shared" si="28"/>
        <v/>
      </c>
      <c r="AK62" s="93" t="str">
        <f t="shared" si="29"/>
        <v/>
      </c>
      <c r="BQ62" s="100" t="str">
        <f>IF(A62&lt;&gt;"",(VLOOKUP(A62,MarketData!$D:$BP,MATCH($BQ$1,MarketData!$D$1:$EG$1,0),TRUE)/100/365+1)^(B62)*BQ61,"")</f>
        <v/>
      </c>
      <c r="BR62" s="98" t="str">
        <f t="shared" si="1"/>
        <v/>
      </c>
      <c r="BS62" s="106" t="str">
        <f>IF(A62&lt;&gt;"",VLOOKUP(A62,MarketData!$D:$BP,MATCH($BS$1,MarketData!$D$1:$EG$1,0),TRUE),"")</f>
        <v/>
      </c>
      <c r="BT62" s="98" t="str">
        <f t="shared" si="13"/>
        <v/>
      </c>
    </row>
    <row r="63" spans="2:72" x14ac:dyDescent="0.25">
      <c r="B63" s="60" t="str">
        <f t="shared" si="30"/>
        <v/>
      </c>
      <c r="C63" s="3" t="str">
        <f t="shared" si="3"/>
        <v/>
      </c>
      <c r="D63" s="3" t="str">
        <f t="shared" si="4"/>
        <v/>
      </c>
      <c r="E63" s="3" t="str">
        <f t="shared" si="5"/>
        <v/>
      </c>
      <c r="F63" s="3" t="str">
        <f t="shared" si="6"/>
        <v/>
      </c>
      <c r="G63" s="74" t="str">
        <f t="shared" si="7"/>
        <v/>
      </c>
      <c r="H63" s="78" t="str">
        <f>IFERROR(C63/SUM(M$2:M62),"")</f>
        <v/>
      </c>
      <c r="I63" s="61" t="str">
        <f>IFERROR(D63/SUM(N$2:N63),"")</f>
        <v/>
      </c>
      <c r="J63" s="61" t="str">
        <f>IFERROR(E63/SUM(O$2:O63),"")</f>
        <v/>
      </c>
      <c r="K63" s="61" t="str">
        <f>IFERROR(F63/SUM(P$2:P63),"")</f>
        <v/>
      </c>
      <c r="L63" s="79" t="str">
        <f>IFERROR(G63/SUM(Q$2:Q63),"")</f>
        <v/>
      </c>
      <c r="M63" s="64" t="str">
        <f t="shared" si="8"/>
        <v/>
      </c>
      <c r="N63" s="55" t="str">
        <f t="shared" si="9"/>
        <v/>
      </c>
      <c r="O63" s="55" t="str">
        <f t="shared" si="10"/>
        <v/>
      </c>
      <c r="P63" s="55" t="str">
        <f t="shared" si="11"/>
        <v/>
      </c>
      <c r="Q63" s="65" t="str">
        <f t="shared" si="12"/>
        <v/>
      </c>
      <c r="R63" s="67" t="str">
        <f t="shared" si="14"/>
        <v/>
      </c>
      <c r="S63" s="56" t="str">
        <f t="shared" si="15"/>
        <v/>
      </c>
      <c r="T63" s="56" t="str">
        <f t="shared" si="16"/>
        <v/>
      </c>
      <c r="U63" s="56" t="str">
        <f t="shared" si="17"/>
        <v/>
      </c>
      <c r="V63" s="68" t="str">
        <f t="shared" si="18"/>
        <v/>
      </c>
      <c r="W63" s="80" t="str">
        <f t="shared" si="19"/>
        <v/>
      </c>
      <c r="X63" s="81" t="str">
        <f t="shared" si="20"/>
        <v/>
      </c>
      <c r="Y63" s="81" t="str">
        <f t="shared" si="21"/>
        <v/>
      </c>
      <c r="Z63" s="81" t="str">
        <f t="shared" si="22"/>
        <v/>
      </c>
      <c r="AA63" s="82" t="str">
        <f t="shared" si="23"/>
        <v/>
      </c>
      <c r="AB63" s="83" t="str">
        <f>IF(R63&lt;&gt;"",(W63-SUMPRODUCT(R$3:R63,$B$3:$B63)/SUM($B$3:$B63))/STDEVA(W53:W63),"")</f>
        <v/>
      </c>
      <c r="AC63" s="84" t="str">
        <f>IF(S63&lt;&gt;"",(X63-SUMPRODUCT(S$3:S63,$B$3:$B63)/SUM($B$3:$B63))/STDEVA(X53:X63),"")</f>
        <v/>
      </c>
      <c r="AD63" s="84" t="str">
        <f>IF(T63&lt;&gt;"",(Y63-SUMPRODUCT(T$3:T63,$B$3:$B63)/SUM($B$3:$B63))/STDEVA(Y53:Y63),"")</f>
        <v/>
      </c>
      <c r="AE63" s="84" t="str">
        <f>IF(U63&lt;&gt;"",(Z63-SUMPRODUCT(U$3:U63,$B$3:$B63)/SUM($B$3:$B63))/STDEVA(Z53:Z63),"")</f>
        <v/>
      </c>
      <c r="AF63" s="85" t="str">
        <f>IF(V63&lt;&gt;"",(AA63-SUMPRODUCT(V$3:V63,$B$3:$B63)/SUM($B$3:$B63))/STDEVA(AA53:AA63),"")</f>
        <v/>
      </c>
      <c r="AG63" s="90" t="str">
        <f t="shared" si="31"/>
        <v/>
      </c>
      <c r="AH63" s="90" t="str">
        <f t="shared" si="26"/>
        <v/>
      </c>
      <c r="AI63" s="90" t="str">
        <f t="shared" si="27"/>
        <v/>
      </c>
      <c r="AJ63" s="90" t="str">
        <f t="shared" si="28"/>
        <v/>
      </c>
      <c r="AK63" s="93" t="str">
        <f t="shared" si="29"/>
        <v/>
      </c>
      <c r="BQ63" s="100" t="str">
        <f>IF(A63&lt;&gt;"",(VLOOKUP(A63,MarketData!$D:$BP,MATCH($BQ$1,MarketData!$D$1:$EG$1,0),TRUE)/100/365+1)^(B63)*BQ62,"")</f>
        <v/>
      </c>
      <c r="BR63" s="98" t="str">
        <f t="shared" si="1"/>
        <v/>
      </c>
      <c r="BS63" s="106" t="str">
        <f>IF(A63&lt;&gt;"",VLOOKUP(A63,MarketData!$D:$BP,MATCH($BS$1,MarketData!$D$1:$EG$1,0),TRUE),"")</f>
        <v/>
      </c>
      <c r="BT63" s="98" t="str">
        <f t="shared" si="13"/>
        <v/>
      </c>
    </row>
    <row r="64" spans="2:72" x14ac:dyDescent="0.25">
      <c r="B64" s="60" t="str">
        <f t="shared" si="30"/>
        <v/>
      </c>
      <c r="C64" s="3" t="str">
        <f t="shared" si="3"/>
        <v/>
      </c>
      <c r="D64" s="3" t="str">
        <f t="shared" si="4"/>
        <v/>
      </c>
      <c r="E64" s="3" t="str">
        <f t="shared" si="5"/>
        <v/>
      </c>
      <c r="F64" s="3" t="str">
        <f t="shared" si="6"/>
        <v/>
      </c>
      <c r="G64" s="74" t="str">
        <f t="shared" si="7"/>
        <v/>
      </c>
      <c r="H64" s="78" t="str">
        <f>IFERROR(C64/SUM(M$2:M63),"")</f>
        <v/>
      </c>
      <c r="I64" s="61" t="str">
        <f>IFERROR(D64/SUM(N$2:N64),"")</f>
        <v/>
      </c>
      <c r="J64" s="61" t="str">
        <f>IFERROR(E64/SUM(O$2:O64),"")</f>
        <v/>
      </c>
      <c r="K64" s="61" t="str">
        <f>IFERROR(F64/SUM(P$2:P64),"")</f>
        <v/>
      </c>
      <c r="L64" s="79" t="str">
        <f>IFERROR(G64/SUM(Q$2:Q64),"")</f>
        <v/>
      </c>
      <c r="M64" s="64" t="str">
        <f t="shared" si="8"/>
        <v/>
      </c>
      <c r="N64" s="55" t="str">
        <f t="shared" si="9"/>
        <v/>
      </c>
      <c r="O64" s="55" t="str">
        <f t="shared" si="10"/>
        <v/>
      </c>
      <c r="P64" s="55" t="str">
        <f t="shared" si="11"/>
        <v/>
      </c>
      <c r="Q64" s="65" t="str">
        <f t="shared" si="12"/>
        <v/>
      </c>
      <c r="R64" s="67" t="str">
        <f t="shared" si="14"/>
        <v/>
      </c>
      <c r="S64" s="56" t="str">
        <f t="shared" si="15"/>
        <v/>
      </c>
      <c r="T64" s="56" t="str">
        <f t="shared" si="16"/>
        <v/>
      </c>
      <c r="U64" s="56" t="str">
        <f t="shared" si="17"/>
        <v/>
      </c>
      <c r="V64" s="68" t="str">
        <f t="shared" si="18"/>
        <v/>
      </c>
      <c r="W64" s="80" t="str">
        <f t="shared" si="19"/>
        <v/>
      </c>
      <c r="X64" s="81" t="str">
        <f t="shared" si="20"/>
        <v/>
      </c>
      <c r="Y64" s="81" t="str">
        <f t="shared" si="21"/>
        <v/>
      </c>
      <c r="Z64" s="81" t="str">
        <f t="shared" si="22"/>
        <v/>
      </c>
      <c r="AA64" s="82" t="str">
        <f t="shared" si="23"/>
        <v/>
      </c>
      <c r="AB64" s="83" t="str">
        <f>IF(R64&lt;&gt;"",(W64-SUMPRODUCT(R$3:R64,$B$3:$B64)/SUM($B$3:$B64))/STDEVA(W54:W64),"")</f>
        <v/>
      </c>
      <c r="AC64" s="84" t="str">
        <f>IF(S64&lt;&gt;"",(X64-SUMPRODUCT(S$3:S64,$B$3:$B64)/SUM($B$3:$B64))/STDEVA(X54:X64),"")</f>
        <v/>
      </c>
      <c r="AD64" s="84" t="str">
        <f>IF(T64&lt;&gt;"",(Y64-SUMPRODUCT(T$3:T64,$B$3:$B64)/SUM($B$3:$B64))/STDEVA(Y54:Y64),"")</f>
        <v/>
      </c>
      <c r="AE64" s="84" t="str">
        <f>IF(U64&lt;&gt;"",(Z64-SUMPRODUCT(U$3:U64,$B$3:$B64)/SUM($B$3:$B64))/STDEVA(Z54:Z64),"")</f>
        <v/>
      </c>
      <c r="AF64" s="85" t="str">
        <f>IF(V64&lt;&gt;"",(AA64-SUMPRODUCT(V$3:V64,$B$3:$B64)/SUM($B$3:$B64))/STDEVA(AA54:AA64),"")</f>
        <v/>
      </c>
      <c r="AG64" s="90" t="str">
        <f t="shared" si="31"/>
        <v/>
      </c>
      <c r="AH64" s="90" t="str">
        <f t="shared" si="26"/>
        <v/>
      </c>
      <c r="AI64" s="90" t="str">
        <f t="shared" si="27"/>
        <v/>
      </c>
      <c r="AJ64" s="90" t="str">
        <f t="shared" si="28"/>
        <v/>
      </c>
      <c r="AK64" s="93" t="str">
        <f t="shared" si="29"/>
        <v/>
      </c>
      <c r="BQ64" s="100" t="str">
        <f>IF(A64&lt;&gt;"",(VLOOKUP(A64,MarketData!$D:$BP,MATCH($BQ$1,MarketData!$D$1:$EG$1,0),TRUE)/100/365+1)^(B64)*BQ63,"")</f>
        <v/>
      </c>
      <c r="BR64" s="98" t="str">
        <f t="shared" si="1"/>
        <v/>
      </c>
      <c r="BS64" s="106" t="str">
        <f>IF(A64&lt;&gt;"",VLOOKUP(A64,MarketData!$D:$BP,MATCH($BS$1,MarketData!$D$1:$EG$1,0),TRUE),"")</f>
        <v/>
      </c>
      <c r="BT64" s="98" t="str">
        <f t="shared" si="13"/>
        <v/>
      </c>
    </row>
    <row r="65" spans="2:72" x14ac:dyDescent="0.25">
      <c r="B65" s="60" t="str">
        <f t="shared" si="30"/>
        <v/>
      </c>
      <c r="C65" s="3" t="str">
        <f t="shared" si="3"/>
        <v/>
      </c>
      <c r="D65" s="3" t="str">
        <f t="shared" si="4"/>
        <v/>
      </c>
      <c r="E65" s="3" t="str">
        <f t="shared" si="5"/>
        <v/>
      </c>
      <c r="F65" s="3" t="str">
        <f t="shared" si="6"/>
        <v/>
      </c>
      <c r="G65" s="74" t="str">
        <f t="shared" si="7"/>
        <v/>
      </c>
      <c r="H65" s="78" t="str">
        <f>IFERROR(C65/SUM(M$2:M64),"")</f>
        <v/>
      </c>
      <c r="I65" s="61" t="str">
        <f>IFERROR(D65/SUM(N$2:N65),"")</f>
        <v/>
      </c>
      <c r="J65" s="61" t="str">
        <f>IFERROR(E65/SUM(O$2:O65),"")</f>
        <v/>
      </c>
      <c r="K65" s="61" t="str">
        <f>IFERROR(F65/SUM(P$2:P65),"")</f>
        <v/>
      </c>
      <c r="L65" s="79" t="str">
        <f>IFERROR(G65/SUM(Q$2:Q65),"")</f>
        <v/>
      </c>
      <c r="M65" s="64" t="str">
        <f t="shared" si="8"/>
        <v/>
      </c>
      <c r="N65" s="55" t="str">
        <f t="shared" si="9"/>
        <v/>
      </c>
      <c r="O65" s="55" t="str">
        <f t="shared" si="10"/>
        <v/>
      </c>
      <c r="P65" s="55" t="str">
        <f t="shared" si="11"/>
        <v/>
      </c>
      <c r="Q65" s="65" t="str">
        <f t="shared" si="12"/>
        <v/>
      </c>
      <c r="R65" s="67" t="str">
        <f t="shared" si="14"/>
        <v/>
      </c>
      <c r="S65" s="56" t="str">
        <f t="shared" si="15"/>
        <v/>
      </c>
      <c r="T65" s="56" t="str">
        <f t="shared" si="16"/>
        <v/>
      </c>
      <c r="U65" s="56" t="str">
        <f t="shared" si="17"/>
        <v/>
      </c>
      <c r="V65" s="68" t="str">
        <f t="shared" si="18"/>
        <v/>
      </c>
      <c r="W65" s="80" t="str">
        <f t="shared" si="19"/>
        <v/>
      </c>
      <c r="X65" s="81" t="str">
        <f t="shared" si="20"/>
        <v/>
      </c>
      <c r="Y65" s="81" t="str">
        <f t="shared" si="21"/>
        <v/>
      </c>
      <c r="Z65" s="81" t="str">
        <f t="shared" si="22"/>
        <v/>
      </c>
      <c r="AA65" s="82" t="str">
        <f t="shared" si="23"/>
        <v/>
      </c>
      <c r="AB65" s="83" t="str">
        <f>IF(R65&lt;&gt;"",(W65-SUMPRODUCT(R$3:R65,$B$3:$B65)/SUM($B$3:$B65))/STDEVA(W55:W65),"")</f>
        <v/>
      </c>
      <c r="AC65" s="84" t="str">
        <f>IF(S65&lt;&gt;"",(X65-SUMPRODUCT(S$3:S65,$B$3:$B65)/SUM($B$3:$B65))/STDEVA(X55:X65),"")</f>
        <v/>
      </c>
      <c r="AD65" s="84" t="str">
        <f>IF(T65&lt;&gt;"",(Y65-SUMPRODUCT(T$3:T65,$B$3:$B65)/SUM($B$3:$B65))/STDEVA(Y55:Y65),"")</f>
        <v/>
      </c>
      <c r="AE65" s="84" t="str">
        <f>IF(U65&lt;&gt;"",(Z65-SUMPRODUCT(U$3:U65,$B$3:$B65)/SUM($B$3:$B65))/STDEVA(Z55:Z65),"")</f>
        <v/>
      </c>
      <c r="AF65" s="85" t="str">
        <f>IF(V65&lt;&gt;"",(AA65-SUMPRODUCT(V$3:V65,$B$3:$B65)/SUM($B$3:$B65))/STDEVA(AA55:AA65),"")</f>
        <v/>
      </c>
      <c r="AG65" s="90" t="str">
        <f t="shared" si="31"/>
        <v/>
      </c>
      <c r="AH65" s="90" t="str">
        <f t="shared" si="26"/>
        <v/>
      </c>
      <c r="AI65" s="90" t="str">
        <f t="shared" si="27"/>
        <v/>
      </c>
      <c r="AJ65" s="90" t="str">
        <f t="shared" si="28"/>
        <v/>
      </c>
      <c r="AK65" s="93" t="str">
        <f t="shared" si="29"/>
        <v/>
      </c>
      <c r="BQ65" s="100" t="str">
        <f>IF(A65&lt;&gt;"",(VLOOKUP(A65,MarketData!$D:$BP,MATCH($BQ$1,MarketData!$D$1:$EG$1,0),TRUE)/100/365+1)^(B65)*BQ64,"")</f>
        <v/>
      </c>
      <c r="BR65" s="98" t="str">
        <f t="shared" si="1"/>
        <v/>
      </c>
      <c r="BS65" s="106" t="str">
        <f>IF(A65&lt;&gt;"",VLOOKUP(A65,MarketData!$D:$BP,MATCH($BS$1,MarketData!$D$1:$EG$1,0),TRUE),"")</f>
        <v/>
      </c>
      <c r="BT65" s="98" t="str">
        <f t="shared" si="13"/>
        <v/>
      </c>
    </row>
    <row r="66" spans="2:72" x14ac:dyDescent="0.25">
      <c r="B66" s="60" t="str">
        <f t="shared" si="30"/>
        <v/>
      </c>
      <c r="C66" s="3" t="str">
        <f t="shared" si="3"/>
        <v/>
      </c>
      <c r="D66" s="3" t="str">
        <f t="shared" si="4"/>
        <v/>
      </c>
      <c r="E66" s="3" t="str">
        <f t="shared" si="5"/>
        <v/>
      </c>
      <c r="F66" s="3" t="str">
        <f t="shared" si="6"/>
        <v/>
      </c>
      <c r="G66" s="74" t="str">
        <f t="shared" si="7"/>
        <v/>
      </c>
      <c r="H66" s="78" t="str">
        <f>IFERROR(C66/SUM(M$2:M65),"")</f>
        <v/>
      </c>
      <c r="I66" s="61" t="str">
        <f>IFERROR(D66/SUM(N$2:N66),"")</f>
        <v/>
      </c>
      <c r="J66" s="61" t="str">
        <f>IFERROR(E66/SUM(O$2:O66),"")</f>
        <v/>
      </c>
      <c r="K66" s="61" t="str">
        <f>IFERROR(F66/SUM(P$2:P66),"")</f>
        <v/>
      </c>
      <c r="L66" s="79" t="str">
        <f>IFERROR(G66/SUM(Q$2:Q66),"")</f>
        <v/>
      </c>
      <c r="M66" s="64" t="str">
        <f t="shared" si="8"/>
        <v/>
      </c>
      <c r="N66" s="55" t="str">
        <f t="shared" si="9"/>
        <v/>
      </c>
      <c r="O66" s="55" t="str">
        <f t="shared" si="10"/>
        <v/>
      </c>
      <c r="P66" s="55" t="str">
        <f t="shared" si="11"/>
        <v/>
      </c>
      <c r="Q66" s="65" t="str">
        <f t="shared" si="12"/>
        <v/>
      </c>
      <c r="R66" s="67" t="str">
        <f t="shared" si="14"/>
        <v/>
      </c>
      <c r="S66" s="56" t="str">
        <f t="shared" si="15"/>
        <v/>
      </c>
      <c r="T66" s="56" t="str">
        <f t="shared" si="16"/>
        <v/>
      </c>
      <c r="U66" s="56" t="str">
        <f t="shared" si="17"/>
        <v/>
      </c>
      <c r="V66" s="68" t="str">
        <f t="shared" si="18"/>
        <v/>
      </c>
      <c r="W66" s="80" t="str">
        <f t="shared" si="19"/>
        <v/>
      </c>
      <c r="X66" s="81" t="str">
        <f t="shared" si="20"/>
        <v/>
      </c>
      <c r="Y66" s="81" t="str">
        <f t="shared" si="21"/>
        <v/>
      </c>
      <c r="Z66" s="81" t="str">
        <f t="shared" si="22"/>
        <v/>
      </c>
      <c r="AA66" s="82" t="str">
        <f t="shared" si="23"/>
        <v/>
      </c>
      <c r="AB66" s="83" t="str">
        <f>IF(R66&lt;&gt;"",(W66-SUMPRODUCT(R$3:R66,$B$3:$B66)/SUM($B$3:$B66))/STDEVA(W56:W66),"")</f>
        <v/>
      </c>
      <c r="AC66" s="84" t="str">
        <f>IF(S66&lt;&gt;"",(X66-SUMPRODUCT(S$3:S66,$B$3:$B66)/SUM($B$3:$B66))/STDEVA(X56:X66),"")</f>
        <v/>
      </c>
      <c r="AD66" s="84" t="str">
        <f>IF(T66&lt;&gt;"",(Y66-SUMPRODUCT(T$3:T66,$B$3:$B66)/SUM($B$3:$B66))/STDEVA(Y56:Y66),"")</f>
        <v/>
      </c>
      <c r="AE66" s="84" t="str">
        <f>IF(U66&lt;&gt;"",(Z66-SUMPRODUCT(U$3:U66,$B$3:$B66)/SUM($B$3:$B66))/STDEVA(Z56:Z66),"")</f>
        <v/>
      </c>
      <c r="AF66" s="85" t="str">
        <f>IF(V66&lt;&gt;"",(AA66-SUMPRODUCT(V$3:V66,$B$3:$B66)/SUM($B$3:$B66))/STDEVA(AA56:AA66),"")</f>
        <v/>
      </c>
      <c r="AG66" s="90" t="str">
        <f t="shared" si="31"/>
        <v/>
      </c>
      <c r="AH66" s="90" t="str">
        <f t="shared" si="26"/>
        <v/>
      </c>
      <c r="AI66" s="90" t="str">
        <f t="shared" si="27"/>
        <v/>
      </c>
      <c r="AJ66" s="90" t="str">
        <f t="shared" si="28"/>
        <v/>
      </c>
      <c r="AK66" s="93" t="str">
        <f t="shared" si="29"/>
        <v/>
      </c>
      <c r="BQ66" s="100" t="str">
        <f>IF(A66&lt;&gt;"",(VLOOKUP(A66,MarketData!$D:$BP,MATCH($BQ$1,MarketData!$D$1:$EG$1,0),TRUE)/100/365+1)^(B66)*BQ65,"")</f>
        <v/>
      </c>
      <c r="BR66" s="98" t="str">
        <f t="shared" ref="BR66:BR129" si="32">IF(A66&lt;&gt;"",(BQ66-$BQ$2)/$BQ$2,"")</f>
        <v/>
      </c>
      <c r="BS66" s="106" t="str">
        <f>IF(A66&lt;&gt;"",VLOOKUP(A66,MarketData!$D:$BP,MATCH($BS$1,MarketData!$D$1:$EG$1,0),TRUE),"")</f>
        <v/>
      </c>
      <c r="BT66" s="98" t="str">
        <f t="shared" si="13"/>
        <v/>
      </c>
    </row>
    <row r="67" spans="2:72" x14ac:dyDescent="0.25">
      <c r="B67" s="60" t="str">
        <f t="shared" si="30"/>
        <v/>
      </c>
      <c r="C67" s="3" t="str">
        <f t="shared" ref="C67:C130" si="33">IF($A67&lt;&gt;0,SUMIFS(VM,Fecha,$A67,Linea,C$1)+SUMIFS(FX,Fecha,$A67,Linea,C$1)+C66,"")</f>
        <v/>
      </c>
      <c r="D67" s="3" t="str">
        <f t="shared" ref="D67:D130" si="34">IF($A67&lt;&gt;0,SUMIFS(VM,Fecha,$A67,Linea,D$1)+SUMIFS(FX,Fecha,$A67,Linea,D$1)+D66,"")</f>
        <v/>
      </c>
      <c r="E67" s="3" t="str">
        <f t="shared" ref="E67:E130" si="35">IF($A67&lt;&gt;0,SUMIFS(VM,Fecha,$A67,Linea,E$1)+SUMIFS(FX,Fecha,$A67,Linea,E$1)+E66,"")</f>
        <v/>
      </c>
      <c r="F67" s="3" t="str">
        <f t="shared" ref="F67:F130" si="36">IF($A67&lt;&gt;0,SUMIFS(VM,Fecha,$A67,Linea,F$1)+SUMIFS(FX,Fecha,$A67,Linea,F$1)+F66,"")</f>
        <v/>
      </c>
      <c r="G67" s="74" t="str">
        <f t="shared" ref="G67:G130" si="37">IF($A67&lt;&gt;0,SUMIFS(VM,Fecha,$A67,Linea,G$1)+SUMIFS(FX,Fecha,$A67,Linea,G$1)+G66,"")</f>
        <v/>
      </c>
      <c r="H67" s="78" t="str">
        <f>IFERROR(C67/SUM(M$2:M66),"")</f>
        <v/>
      </c>
      <c r="I67" s="61" t="str">
        <f>IFERROR(D67/SUM(N$2:N67),"")</f>
        <v/>
      </c>
      <c r="J67" s="61" t="str">
        <f>IFERROR(E67/SUM(O$2:O67),"")</f>
        <v/>
      </c>
      <c r="K67" s="61" t="str">
        <f>IFERROR(F67/SUM(P$2:P67),"")</f>
        <v/>
      </c>
      <c r="L67" s="79" t="str">
        <f>IFERROR(G67/SUM(Q$2:Q67),"")</f>
        <v/>
      </c>
      <c r="M67" s="64" t="str">
        <f t="shared" ref="M67:M130" si="38">IF($A67&lt;&gt;"",SUMIFS(Transferencias,Fecha,$A67,Linea,C$1),"")</f>
        <v/>
      </c>
      <c r="N67" s="55" t="str">
        <f t="shared" ref="N67:N130" si="39">IF($A67&lt;&gt;"",SUMIFS(Transferencias,Fecha,$A67,Linea,D$1),"")</f>
        <v/>
      </c>
      <c r="O67" s="55" t="str">
        <f t="shared" ref="O67:O130" si="40">IF($A67&lt;&gt;"",SUMIFS(Transferencias,Fecha,$A67,Linea,E$1),"")</f>
        <v/>
      </c>
      <c r="P67" s="55" t="str">
        <f t="shared" ref="P67:P130" si="41">IF($A67&lt;&gt;"",SUMIFS(Transferencias,Fecha,$A67,Linea,F$1),"")</f>
        <v/>
      </c>
      <c r="Q67" s="65" t="str">
        <f t="shared" ref="Q67:Q130" si="42">IF($A67&lt;&gt;"",SUMIFS(Transferencias,Fecha,$A67,Linea,G$1),"")</f>
        <v/>
      </c>
      <c r="R67" s="67" t="str">
        <f t="shared" si="14"/>
        <v/>
      </c>
      <c r="S67" s="56" t="str">
        <f t="shared" si="15"/>
        <v/>
      </c>
      <c r="T67" s="56" t="str">
        <f t="shared" si="16"/>
        <v/>
      </c>
      <c r="U67" s="56" t="str">
        <f t="shared" si="17"/>
        <v/>
      </c>
      <c r="V67" s="68" t="str">
        <f t="shared" si="18"/>
        <v/>
      </c>
      <c r="W67" s="80" t="str">
        <f t="shared" si="19"/>
        <v/>
      </c>
      <c r="X67" s="81" t="str">
        <f t="shared" si="20"/>
        <v/>
      </c>
      <c r="Y67" s="81" t="str">
        <f t="shared" si="21"/>
        <v/>
      </c>
      <c r="Z67" s="81" t="str">
        <f t="shared" si="22"/>
        <v/>
      </c>
      <c r="AA67" s="82" t="str">
        <f t="shared" si="23"/>
        <v/>
      </c>
      <c r="AB67" s="83" t="str">
        <f>IF(R67&lt;&gt;"",(W67-SUMPRODUCT(R$3:R67,$B$3:$B67)/SUM($B$3:$B67))/STDEVA(W57:W67),"")</f>
        <v/>
      </c>
      <c r="AC67" s="84" t="str">
        <f>IF(S67&lt;&gt;"",(X67-SUMPRODUCT(S$3:S67,$B$3:$B67)/SUM($B$3:$B67))/STDEVA(X57:X67),"")</f>
        <v/>
      </c>
      <c r="AD67" s="84" t="str">
        <f>IF(T67&lt;&gt;"",(Y67-SUMPRODUCT(T$3:T67,$B$3:$B67)/SUM($B$3:$B67))/STDEVA(Y57:Y67),"")</f>
        <v/>
      </c>
      <c r="AE67" s="84" t="str">
        <f>IF(U67&lt;&gt;"",(Z67-SUMPRODUCT(U$3:U67,$B$3:$B67)/SUM($B$3:$B67))/STDEVA(Z57:Z67),"")</f>
        <v/>
      </c>
      <c r="AF67" s="85" t="str">
        <f>IF(V67&lt;&gt;"",(AA67-SUMPRODUCT(V$3:V67,$B$3:$B67)/SUM($B$3:$B67))/STDEVA(AA57:AA67),"")</f>
        <v/>
      </c>
      <c r="AG67" s="90" t="str">
        <f t="shared" si="31"/>
        <v/>
      </c>
      <c r="AH67" s="90" t="str">
        <f t="shared" si="26"/>
        <v/>
      </c>
      <c r="AI67" s="90" t="str">
        <f t="shared" si="27"/>
        <v/>
      </c>
      <c r="AJ67" s="90" t="str">
        <f t="shared" si="28"/>
        <v/>
      </c>
      <c r="AK67" s="93" t="str">
        <f t="shared" si="29"/>
        <v/>
      </c>
      <c r="BQ67" s="100" t="str">
        <f>IF(A67&lt;&gt;"",(VLOOKUP(A67,MarketData!$D:$BP,MATCH($BQ$1,MarketData!$D$1:$EG$1,0),TRUE)/100/365+1)^(B67)*BQ66,"")</f>
        <v/>
      </c>
      <c r="BR67" s="98" t="str">
        <f t="shared" si="32"/>
        <v/>
      </c>
      <c r="BS67" s="106" t="str">
        <f>IF(A67&lt;&gt;"",VLOOKUP(A67,MarketData!$D:$BP,MATCH($BS$1,MarketData!$D$1:$EG$1,0),TRUE),"")</f>
        <v/>
      </c>
      <c r="BT67" s="98" t="str">
        <f t="shared" ref="BT67:BT130" si="43">IF(A67&lt;&gt;"",(BS67-$BS$2)/$BS$2,"")</f>
        <v/>
      </c>
    </row>
    <row r="68" spans="2:72" x14ac:dyDescent="0.25">
      <c r="B68" s="60" t="str">
        <f t="shared" si="30"/>
        <v/>
      </c>
      <c r="C68" s="3" t="str">
        <f t="shared" si="33"/>
        <v/>
      </c>
      <c r="D68" s="3" t="str">
        <f t="shared" si="34"/>
        <v/>
      </c>
      <c r="E68" s="3" t="str">
        <f t="shared" si="35"/>
        <v/>
      </c>
      <c r="F68" s="3" t="str">
        <f t="shared" si="36"/>
        <v/>
      </c>
      <c r="G68" s="74" t="str">
        <f t="shared" si="37"/>
        <v/>
      </c>
      <c r="H68" s="78" t="str">
        <f>IFERROR(C68/SUM(M$2:M67),"")</f>
        <v/>
      </c>
      <c r="I68" s="61" t="str">
        <f>IFERROR(D68/SUM(N$2:N68),"")</f>
        <v/>
      </c>
      <c r="J68" s="61" t="str">
        <f>IFERROR(E68/SUM(O$2:O68),"")</f>
        <v/>
      </c>
      <c r="K68" s="61" t="str">
        <f>IFERROR(F68/SUM(P$2:P68),"")</f>
        <v/>
      </c>
      <c r="L68" s="79" t="str">
        <f>IFERROR(G68/SUM(Q$2:Q68),"")</f>
        <v/>
      </c>
      <c r="M68" s="64" t="str">
        <f t="shared" si="38"/>
        <v/>
      </c>
      <c r="N68" s="55" t="str">
        <f t="shared" si="39"/>
        <v/>
      </c>
      <c r="O68" s="55" t="str">
        <f t="shared" si="40"/>
        <v/>
      </c>
      <c r="P68" s="55" t="str">
        <f t="shared" si="41"/>
        <v/>
      </c>
      <c r="Q68" s="65" t="str">
        <f t="shared" si="42"/>
        <v/>
      </c>
      <c r="R68" s="67" t="str">
        <f t="shared" ref="R68:R131" si="44">IF(C68&lt;&gt;"",LN((C68-C67)/(SUMIFS(Total,Fecha,$A67,Linea,C$1)+M67)+1)*365/($A68-$A67),"")</f>
        <v/>
      </c>
      <c r="S68" s="56" t="str">
        <f t="shared" ref="S68:S131" si="45">IF(D68&lt;&gt;"",LN((D68-D67)/(SUMIFS(Total,Fecha,$A67,Linea,D$1)+N67)+1)*365/($A68-$A67),"")</f>
        <v/>
      </c>
      <c r="T68" s="56" t="str">
        <f t="shared" ref="T68:T131" si="46">IF(E68&lt;&gt;"",LN((E68-E67)/(SUMIFS(Total,Fecha,$A67,Linea,E$1)+O67)+1)*365/($A68-$A67),"")</f>
        <v/>
      </c>
      <c r="U68" s="56" t="str">
        <f t="shared" ref="U68:U131" si="47">IF(F68&lt;&gt;"",LN((F68-F67)/(SUMIFS(Total,Fecha,$A67,Linea,F$1)+P67)+1)*365/($A68-$A67),"")</f>
        <v/>
      </c>
      <c r="V68" s="68" t="str">
        <f t="shared" ref="V68:V131" si="48">IF(G68&lt;&gt;"",LN((G68-G67)/(SUMIFS(Total,Fecha,$A67,Linea,G$1)+Q67)+1)*365/($A68-$A67),"")</f>
        <v/>
      </c>
      <c r="W68" s="80" t="str">
        <f t="shared" si="19"/>
        <v/>
      </c>
      <c r="X68" s="81" t="str">
        <f t="shared" si="20"/>
        <v/>
      </c>
      <c r="Y68" s="81" t="str">
        <f t="shared" si="21"/>
        <v/>
      </c>
      <c r="Z68" s="81" t="str">
        <f t="shared" si="22"/>
        <v/>
      </c>
      <c r="AA68" s="82" t="str">
        <f t="shared" si="23"/>
        <v/>
      </c>
      <c r="AB68" s="83" t="str">
        <f>IF(R68&lt;&gt;"",(W68-SUMPRODUCT(R$3:R68,$B$3:$B68)/SUM($B$3:$B68))/STDEVA(W58:W68),"")</f>
        <v/>
      </c>
      <c r="AC68" s="84" t="str">
        <f>IF(S68&lt;&gt;"",(X68-SUMPRODUCT(S$3:S68,$B$3:$B68)/SUM($B$3:$B68))/STDEVA(X58:X68),"")</f>
        <v/>
      </c>
      <c r="AD68" s="84" t="str">
        <f>IF(T68&lt;&gt;"",(Y68-SUMPRODUCT(T$3:T68,$B$3:$B68)/SUM($B$3:$B68))/STDEVA(Y58:Y68),"")</f>
        <v/>
      </c>
      <c r="AE68" s="84" t="str">
        <f>IF(U68&lt;&gt;"",(Z68-SUMPRODUCT(U$3:U68,$B$3:$B68)/SUM($B$3:$B68))/STDEVA(Z58:Z68),"")</f>
        <v/>
      </c>
      <c r="AF68" s="85" t="str">
        <f>IF(V68&lt;&gt;"",(AA68-SUMPRODUCT(V$3:V68,$B$3:$B68)/SUM($B$3:$B68))/STDEVA(AA58:AA68),"")</f>
        <v/>
      </c>
      <c r="AG68" s="90" t="str">
        <f t="shared" si="31"/>
        <v/>
      </c>
      <c r="AH68" s="90" t="str">
        <f t="shared" si="26"/>
        <v/>
      </c>
      <c r="AI68" s="90" t="str">
        <f t="shared" si="27"/>
        <v/>
      </c>
      <c r="AJ68" s="90" t="str">
        <f t="shared" si="28"/>
        <v/>
      </c>
      <c r="AK68" s="93" t="str">
        <f t="shared" si="29"/>
        <v/>
      </c>
      <c r="BQ68" s="100" t="str">
        <f>IF(A68&lt;&gt;"",(VLOOKUP(A68,MarketData!$D:$BP,MATCH($BQ$1,MarketData!$D$1:$EG$1,0),TRUE)/100/365+1)^(B68)*BQ67,"")</f>
        <v/>
      </c>
      <c r="BR68" s="98" t="str">
        <f t="shared" si="32"/>
        <v/>
      </c>
      <c r="BS68" s="106" t="str">
        <f>IF(A68&lt;&gt;"",VLOOKUP(A68,MarketData!$D:$BP,MATCH($BS$1,MarketData!$D$1:$EG$1,0),TRUE),"")</f>
        <v/>
      </c>
      <c r="BT68" s="98" t="str">
        <f t="shared" si="43"/>
        <v/>
      </c>
    </row>
    <row r="69" spans="2:72" x14ac:dyDescent="0.25">
      <c r="B69" s="60" t="str">
        <f t="shared" si="30"/>
        <v/>
      </c>
      <c r="C69" s="3" t="str">
        <f t="shared" si="33"/>
        <v/>
      </c>
      <c r="D69" s="3" t="str">
        <f t="shared" si="34"/>
        <v/>
      </c>
      <c r="E69" s="3" t="str">
        <f t="shared" si="35"/>
        <v/>
      </c>
      <c r="F69" s="3" t="str">
        <f t="shared" si="36"/>
        <v/>
      </c>
      <c r="G69" s="74" t="str">
        <f t="shared" si="37"/>
        <v/>
      </c>
      <c r="H69" s="78" t="str">
        <f>IFERROR(C69/SUM(M$2:M68),"")</f>
        <v/>
      </c>
      <c r="I69" s="61" t="str">
        <f>IFERROR(D69/SUM(N$2:N69),"")</f>
        <v/>
      </c>
      <c r="J69" s="61" t="str">
        <f>IFERROR(E69/SUM(O$2:O69),"")</f>
        <v/>
      </c>
      <c r="K69" s="61" t="str">
        <f>IFERROR(F69/SUM(P$2:P69),"")</f>
        <v/>
      </c>
      <c r="L69" s="79" t="str">
        <f>IFERROR(G69/SUM(Q$2:Q69),"")</f>
        <v/>
      </c>
      <c r="M69" s="64" t="str">
        <f t="shared" si="38"/>
        <v/>
      </c>
      <c r="N69" s="55" t="str">
        <f t="shared" si="39"/>
        <v/>
      </c>
      <c r="O69" s="55" t="str">
        <f t="shared" si="40"/>
        <v/>
      </c>
      <c r="P69" s="55" t="str">
        <f t="shared" si="41"/>
        <v/>
      </c>
      <c r="Q69" s="65" t="str">
        <f t="shared" si="42"/>
        <v/>
      </c>
      <c r="R69" s="67" t="str">
        <f t="shared" si="44"/>
        <v/>
      </c>
      <c r="S69" s="56" t="str">
        <f t="shared" si="45"/>
        <v/>
      </c>
      <c r="T69" s="56" t="str">
        <f t="shared" si="46"/>
        <v/>
      </c>
      <c r="U69" s="56" t="str">
        <f t="shared" si="47"/>
        <v/>
      </c>
      <c r="V69" s="68" t="str">
        <f t="shared" si="48"/>
        <v/>
      </c>
      <c r="W69" s="80" t="str">
        <f t="shared" si="19"/>
        <v/>
      </c>
      <c r="X69" s="81" t="str">
        <f t="shared" si="20"/>
        <v/>
      </c>
      <c r="Y69" s="81" t="str">
        <f t="shared" si="21"/>
        <v/>
      </c>
      <c r="Z69" s="81" t="str">
        <f t="shared" si="22"/>
        <v/>
      </c>
      <c r="AA69" s="82" t="str">
        <f t="shared" si="23"/>
        <v/>
      </c>
      <c r="AB69" s="83" t="str">
        <f>IF(R69&lt;&gt;"",(W69-SUMPRODUCT(R$3:R69,$B$3:$B69)/SUM($B$3:$B69))/STDEVA(W59:W69),"")</f>
        <v/>
      </c>
      <c r="AC69" s="84" t="str">
        <f>IF(S69&lt;&gt;"",(X69-SUMPRODUCT(S$3:S69,$B$3:$B69)/SUM($B$3:$B69))/STDEVA(X59:X69),"")</f>
        <v/>
      </c>
      <c r="AD69" s="84" t="str">
        <f>IF(T69&lt;&gt;"",(Y69-SUMPRODUCT(T$3:T69,$B$3:$B69)/SUM($B$3:$B69))/STDEVA(Y59:Y69),"")</f>
        <v/>
      </c>
      <c r="AE69" s="84" t="str">
        <f>IF(U69&lt;&gt;"",(Z69-SUMPRODUCT(U$3:U69,$B$3:$B69)/SUM($B$3:$B69))/STDEVA(Z59:Z69),"")</f>
        <v/>
      </c>
      <c r="AF69" s="85" t="str">
        <f>IF(V69&lt;&gt;"",(AA69-SUMPRODUCT(V$3:V69,$B$3:$B69)/SUM($B$3:$B69))/STDEVA(AA59:AA69),"")</f>
        <v/>
      </c>
      <c r="AG69" s="90" t="str">
        <f t="shared" si="31"/>
        <v/>
      </c>
      <c r="AH69" s="90" t="str">
        <f t="shared" si="26"/>
        <v/>
      </c>
      <c r="AI69" s="90" t="str">
        <f t="shared" si="27"/>
        <v/>
      </c>
      <c r="AJ69" s="90" t="str">
        <f t="shared" si="28"/>
        <v/>
      </c>
      <c r="AK69" s="93" t="str">
        <f t="shared" si="29"/>
        <v/>
      </c>
      <c r="BQ69" s="100" t="str">
        <f>IF(A69&lt;&gt;"",(VLOOKUP(A69,MarketData!$D:$BP,MATCH($BQ$1,MarketData!$D$1:$EG$1,0),TRUE)/100/365+1)^(B69)*BQ68,"")</f>
        <v/>
      </c>
      <c r="BR69" s="98" t="str">
        <f t="shared" si="32"/>
        <v/>
      </c>
      <c r="BS69" s="106" t="str">
        <f>IF(A69&lt;&gt;"",VLOOKUP(A69,MarketData!$D:$BP,MATCH($BS$1,MarketData!$D$1:$EG$1,0),TRUE),"")</f>
        <v/>
      </c>
      <c r="BT69" s="98" t="str">
        <f t="shared" si="43"/>
        <v/>
      </c>
    </row>
    <row r="70" spans="2:72" x14ac:dyDescent="0.25">
      <c r="B70" s="60" t="str">
        <f t="shared" si="30"/>
        <v/>
      </c>
      <c r="C70" s="3" t="str">
        <f t="shared" si="33"/>
        <v/>
      </c>
      <c r="D70" s="3" t="str">
        <f t="shared" si="34"/>
        <v/>
      </c>
      <c r="E70" s="3" t="str">
        <f t="shared" si="35"/>
        <v/>
      </c>
      <c r="F70" s="3" t="str">
        <f t="shared" si="36"/>
        <v/>
      </c>
      <c r="G70" s="74" t="str">
        <f t="shared" si="37"/>
        <v/>
      </c>
      <c r="H70" s="78" t="str">
        <f>IFERROR(C70/SUM(M$2:M69),"")</f>
        <v/>
      </c>
      <c r="I70" s="61" t="str">
        <f>IFERROR(D70/SUM(N$2:N70),"")</f>
        <v/>
      </c>
      <c r="J70" s="61" t="str">
        <f>IFERROR(E70/SUM(O$2:O70),"")</f>
        <v/>
      </c>
      <c r="K70" s="61" t="str">
        <f>IFERROR(F70/SUM(P$2:P70),"")</f>
        <v/>
      </c>
      <c r="L70" s="79" t="str">
        <f>IFERROR(G70/SUM(Q$2:Q70),"")</f>
        <v/>
      </c>
      <c r="M70" s="64" t="str">
        <f t="shared" si="38"/>
        <v/>
      </c>
      <c r="N70" s="55" t="str">
        <f t="shared" si="39"/>
        <v/>
      </c>
      <c r="O70" s="55" t="str">
        <f t="shared" si="40"/>
        <v/>
      </c>
      <c r="P70" s="55" t="str">
        <f t="shared" si="41"/>
        <v/>
      </c>
      <c r="Q70" s="65" t="str">
        <f t="shared" si="42"/>
        <v/>
      </c>
      <c r="R70" s="67" t="str">
        <f t="shared" si="44"/>
        <v/>
      </c>
      <c r="S70" s="56" t="str">
        <f t="shared" si="45"/>
        <v/>
      </c>
      <c r="T70" s="56" t="str">
        <f t="shared" si="46"/>
        <v/>
      </c>
      <c r="U70" s="56" t="str">
        <f t="shared" si="47"/>
        <v/>
      </c>
      <c r="V70" s="68" t="str">
        <f t="shared" si="48"/>
        <v/>
      </c>
      <c r="W70" s="80" t="str">
        <f t="shared" si="19"/>
        <v/>
      </c>
      <c r="X70" s="81" t="str">
        <f t="shared" si="20"/>
        <v/>
      </c>
      <c r="Y70" s="81" t="str">
        <f t="shared" si="21"/>
        <v/>
      </c>
      <c r="Z70" s="81" t="str">
        <f t="shared" si="22"/>
        <v/>
      </c>
      <c r="AA70" s="82" t="str">
        <f t="shared" si="23"/>
        <v/>
      </c>
      <c r="AB70" s="83" t="str">
        <f>IF(R70&lt;&gt;"",(W70-SUMPRODUCT(R$3:R70,$B$3:$B70)/SUM($B$3:$B70))/STDEVA(W60:W70),"")</f>
        <v/>
      </c>
      <c r="AC70" s="84" t="str">
        <f>IF(S70&lt;&gt;"",(X70-SUMPRODUCT(S$3:S70,$B$3:$B70)/SUM($B$3:$B70))/STDEVA(X60:X70),"")</f>
        <v/>
      </c>
      <c r="AD70" s="84" t="str">
        <f>IF(T70&lt;&gt;"",(Y70-SUMPRODUCT(T$3:T70,$B$3:$B70)/SUM($B$3:$B70))/STDEVA(Y60:Y70),"")</f>
        <v/>
      </c>
      <c r="AE70" s="84" t="str">
        <f>IF(U70&lt;&gt;"",(Z70-SUMPRODUCT(U$3:U70,$B$3:$B70)/SUM($B$3:$B70))/STDEVA(Z60:Z70),"")</f>
        <v/>
      </c>
      <c r="AF70" s="85" t="str">
        <f>IF(V70&lt;&gt;"",(AA70-SUMPRODUCT(V$3:V70,$B$3:$B70)/SUM($B$3:$B70))/STDEVA(AA60:AA70),"")</f>
        <v/>
      </c>
      <c r="AG70" s="90" t="str">
        <f t="shared" si="31"/>
        <v/>
      </c>
      <c r="AH70" s="90" t="str">
        <f t="shared" si="26"/>
        <v/>
      </c>
      <c r="AI70" s="90" t="str">
        <f t="shared" si="27"/>
        <v/>
      </c>
      <c r="AJ70" s="90" t="str">
        <f t="shared" si="28"/>
        <v/>
      </c>
      <c r="AK70" s="93" t="str">
        <f t="shared" si="29"/>
        <v/>
      </c>
      <c r="BQ70" s="100" t="str">
        <f>IF(A70&lt;&gt;"",(VLOOKUP(A70,MarketData!$D:$BP,MATCH($BQ$1,MarketData!$D$1:$EG$1,0),TRUE)/100/365+1)^(B70)*BQ69,"")</f>
        <v/>
      </c>
      <c r="BR70" s="98" t="str">
        <f t="shared" si="32"/>
        <v/>
      </c>
      <c r="BS70" s="106" t="str">
        <f>IF(A70&lt;&gt;"",VLOOKUP(A70,MarketData!$D:$BP,MATCH($BS$1,MarketData!$D$1:$EG$1,0),TRUE),"")</f>
        <v/>
      </c>
      <c r="BT70" s="98" t="str">
        <f t="shared" si="43"/>
        <v/>
      </c>
    </row>
    <row r="71" spans="2:72" x14ac:dyDescent="0.25">
      <c r="B71" s="60" t="str">
        <f t="shared" si="30"/>
        <v/>
      </c>
      <c r="C71" s="3" t="str">
        <f t="shared" si="33"/>
        <v/>
      </c>
      <c r="D71" s="3" t="str">
        <f t="shared" si="34"/>
        <v/>
      </c>
      <c r="E71" s="3" t="str">
        <f t="shared" si="35"/>
        <v/>
      </c>
      <c r="F71" s="3" t="str">
        <f t="shared" si="36"/>
        <v/>
      </c>
      <c r="G71" s="74" t="str">
        <f t="shared" si="37"/>
        <v/>
      </c>
      <c r="H71" s="78" t="str">
        <f>IFERROR(C71/SUM(M$2:M70),"")</f>
        <v/>
      </c>
      <c r="I71" s="61" t="str">
        <f>IFERROR(D71/SUM(N$2:N71),"")</f>
        <v/>
      </c>
      <c r="J71" s="61" t="str">
        <f>IFERROR(E71/SUM(O$2:O71),"")</f>
        <v/>
      </c>
      <c r="K71" s="61" t="str">
        <f>IFERROR(F71/SUM(P$2:P71),"")</f>
        <v/>
      </c>
      <c r="L71" s="79" t="str">
        <f>IFERROR(G71/SUM(Q$2:Q71),"")</f>
        <v/>
      </c>
      <c r="M71" s="64" t="str">
        <f t="shared" si="38"/>
        <v/>
      </c>
      <c r="N71" s="55" t="str">
        <f t="shared" si="39"/>
        <v/>
      </c>
      <c r="O71" s="55" t="str">
        <f t="shared" si="40"/>
        <v/>
      </c>
      <c r="P71" s="55" t="str">
        <f t="shared" si="41"/>
        <v/>
      </c>
      <c r="Q71" s="65" t="str">
        <f t="shared" si="42"/>
        <v/>
      </c>
      <c r="R71" s="67" t="str">
        <f t="shared" si="44"/>
        <v/>
      </c>
      <c r="S71" s="56" t="str">
        <f t="shared" si="45"/>
        <v/>
      </c>
      <c r="T71" s="56" t="str">
        <f t="shared" si="46"/>
        <v/>
      </c>
      <c r="U71" s="56" t="str">
        <f t="shared" si="47"/>
        <v/>
      </c>
      <c r="V71" s="68" t="str">
        <f t="shared" si="48"/>
        <v/>
      </c>
      <c r="W71" s="80" t="str">
        <f t="shared" si="19"/>
        <v/>
      </c>
      <c r="X71" s="81" t="str">
        <f t="shared" si="20"/>
        <v/>
      </c>
      <c r="Y71" s="81" t="str">
        <f t="shared" si="21"/>
        <v/>
      </c>
      <c r="Z71" s="81" t="str">
        <f t="shared" si="22"/>
        <v/>
      </c>
      <c r="AA71" s="82" t="str">
        <f t="shared" si="23"/>
        <v/>
      </c>
      <c r="AB71" s="83" t="str">
        <f>IF(R71&lt;&gt;"",(W71-SUMPRODUCT(R$3:R71,$B$3:$B71)/SUM($B$3:$B71))/STDEVA(W61:W71),"")</f>
        <v/>
      </c>
      <c r="AC71" s="84" t="str">
        <f>IF(S71&lt;&gt;"",(X71-SUMPRODUCT(S$3:S71,$B$3:$B71)/SUM($B$3:$B71))/STDEVA(X61:X71),"")</f>
        <v/>
      </c>
      <c r="AD71" s="84" t="str">
        <f>IF(T71&lt;&gt;"",(Y71-SUMPRODUCT(T$3:T71,$B$3:$B71)/SUM($B$3:$B71))/STDEVA(Y61:Y71),"")</f>
        <v/>
      </c>
      <c r="AE71" s="84" t="str">
        <f>IF(U71&lt;&gt;"",(Z71-SUMPRODUCT(U$3:U71,$B$3:$B71)/SUM($B$3:$B71))/STDEVA(Z61:Z71),"")</f>
        <v/>
      </c>
      <c r="AF71" s="85" t="str">
        <f>IF(V71&lt;&gt;"",(AA71-SUMPRODUCT(V$3:V71,$B$3:$B71)/SUM($B$3:$B71))/STDEVA(AA61:AA71),"")</f>
        <v/>
      </c>
      <c r="AG71" s="90" t="str">
        <f t="shared" si="31"/>
        <v/>
      </c>
      <c r="AH71" s="90" t="str">
        <f t="shared" si="26"/>
        <v/>
      </c>
      <c r="AI71" s="90" t="str">
        <f t="shared" si="27"/>
        <v/>
      </c>
      <c r="AJ71" s="90" t="str">
        <f t="shared" si="28"/>
        <v/>
      </c>
      <c r="AK71" s="93" t="str">
        <f t="shared" si="29"/>
        <v/>
      </c>
      <c r="BQ71" s="100" t="str">
        <f>IF(A71&lt;&gt;"",(VLOOKUP(A71,MarketData!$D:$BP,MATCH($BQ$1,MarketData!$D$1:$EG$1,0),TRUE)/100/365+1)^(B71)*BQ70,"")</f>
        <v/>
      </c>
      <c r="BR71" s="98" t="str">
        <f t="shared" si="32"/>
        <v/>
      </c>
      <c r="BS71" s="106" t="str">
        <f>IF(A71&lt;&gt;"",VLOOKUP(A71,MarketData!$D:$BP,MATCH($BS$1,MarketData!$D$1:$EG$1,0),TRUE),"")</f>
        <v/>
      </c>
      <c r="BT71" s="98" t="str">
        <f t="shared" si="43"/>
        <v/>
      </c>
    </row>
    <row r="72" spans="2:72" x14ac:dyDescent="0.25">
      <c r="B72" s="60" t="str">
        <f t="shared" si="30"/>
        <v/>
      </c>
      <c r="C72" s="3" t="str">
        <f t="shared" si="33"/>
        <v/>
      </c>
      <c r="D72" s="3" t="str">
        <f t="shared" si="34"/>
        <v/>
      </c>
      <c r="E72" s="3" t="str">
        <f t="shared" si="35"/>
        <v/>
      </c>
      <c r="F72" s="3" t="str">
        <f t="shared" si="36"/>
        <v/>
      </c>
      <c r="G72" s="74" t="str">
        <f t="shared" si="37"/>
        <v/>
      </c>
      <c r="H72" s="78" t="str">
        <f>IFERROR(C72/SUM(M$2:M71),"")</f>
        <v/>
      </c>
      <c r="I72" s="61" t="str">
        <f>IFERROR(D72/SUM(N$2:N72),"")</f>
        <v/>
      </c>
      <c r="J72" s="61" t="str">
        <f>IFERROR(E72/SUM(O$2:O72),"")</f>
        <v/>
      </c>
      <c r="K72" s="61" t="str">
        <f>IFERROR(F72/SUM(P$2:P72),"")</f>
        <v/>
      </c>
      <c r="L72" s="79" t="str">
        <f>IFERROR(G72/SUM(Q$2:Q72),"")</f>
        <v/>
      </c>
      <c r="M72" s="64" t="str">
        <f t="shared" si="38"/>
        <v/>
      </c>
      <c r="N72" s="55" t="str">
        <f t="shared" si="39"/>
        <v/>
      </c>
      <c r="O72" s="55" t="str">
        <f t="shared" si="40"/>
        <v/>
      </c>
      <c r="P72" s="55" t="str">
        <f t="shared" si="41"/>
        <v/>
      </c>
      <c r="Q72" s="65" t="str">
        <f t="shared" si="42"/>
        <v/>
      </c>
      <c r="R72" s="67" t="str">
        <f t="shared" si="44"/>
        <v/>
      </c>
      <c r="S72" s="56" t="str">
        <f t="shared" si="45"/>
        <v/>
      </c>
      <c r="T72" s="56" t="str">
        <f t="shared" si="46"/>
        <v/>
      </c>
      <c r="U72" s="56" t="str">
        <f t="shared" si="47"/>
        <v/>
      </c>
      <c r="V72" s="68" t="str">
        <f t="shared" si="48"/>
        <v/>
      </c>
      <c r="W72" s="80" t="str">
        <f t="shared" si="19"/>
        <v/>
      </c>
      <c r="X72" s="81" t="str">
        <f t="shared" si="20"/>
        <v/>
      </c>
      <c r="Y72" s="81" t="str">
        <f t="shared" si="21"/>
        <v/>
      </c>
      <c r="Z72" s="81" t="str">
        <f t="shared" si="22"/>
        <v/>
      </c>
      <c r="AA72" s="82" t="str">
        <f t="shared" si="23"/>
        <v/>
      </c>
      <c r="AB72" s="83" t="str">
        <f>IF(R72&lt;&gt;"",(W72-SUMPRODUCT(R$3:R72,$B$3:$B72)/SUM($B$3:$B72))/STDEVA(W62:W72),"")</f>
        <v/>
      </c>
      <c r="AC72" s="84" t="str">
        <f>IF(S72&lt;&gt;"",(X72-SUMPRODUCT(S$3:S72,$B$3:$B72)/SUM($B$3:$B72))/STDEVA(X62:X72),"")</f>
        <v/>
      </c>
      <c r="AD72" s="84" t="str">
        <f>IF(T72&lt;&gt;"",(Y72-SUMPRODUCT(T$3:T72,$B$3:$B72)/SUM($B$3:$B72))/STDEVA(Y62:Y72),"")</f>
        <v/>
      </c>
      <c r="AE72" s="84" t="str">
        <f>IF(U72&lt;&gt;"",(Z72-SUMPRODUCT(U$3:U72,$B$3:$B72)/SUM($B$3:$B72))/STDEVA(Z62:Z72),"")</f>
        <v/>
      </c>
      <c r="AF72" s="85" t="str">
        <f>IF(V72&lt;&gt;"",(AA72-SUMPRODUCT(V$3:V72,$B$3:$B72)/SUM($B$3:$B72))/STDEVA(AA62:AA72),"")</f>
        <v/>
      </c>
      <c r="AG72" s="90" t="str">
        <f t="shared" si="31"/>
        <v/>
      </c>
      <c r="AH72" s="90" t="str">
        <f t="shared" si="26"/>
        <v/>
      </c>
      <c r="AI72" s="90" t="str">
        <f t="shared" si="27"/>
        <v/>
      </c>
      <c r="AJ72" s="90" t="str">
        <f t="shared" si="28"/>
        <v/>
      </c>
      <c r="AK72" s="93" t="str">
        <f t="shared" si="29"/>
        <v/>
      </c>
      <c r="BQ72" s="100" t="str">
        <f>IF(A72&lt;&gt;"",(VLOOKUP(A72,MarketData!$D:$BP,MATCH($BQ$1,MarketData!$D$1:$EG$1,0),TRUE)/100/365+1)^(B72)*BQ71,"")</f>
        <v/>
      </c>
      <c r="BR72" s="98" t="str">
        <f t="shared" si="32"/>
        <v/>
      </c>
      <c r="BS72" s="106" t="str">
        <f>IF(A72&lt;&gt;"",VLOOKUP(A72,MarketData!$D:$BP,MATCH($BS$1,MarketData!$D$1:$EG$1,0),TRUE),"")</f>
        <v/>
      </c>
      <c r="BT72" s="98" t="str">
        <f t="shared" si="43"/>
        <v/>
      </c>
    </row>
    <row r="73" spans="2:72" x14ac:dyDescent="0.25">
      <c r="B73" s="60" t="str">
        <f t="shared" si="30"/>
        <v/>
      </c>
      <c r="C73" s="3" t="str">
        <f t="shared" si="33"/>
        <v/>
      </c>
      <c r="D73" s="3" t="str">
        <f t="shared" si="34"/>
        <v/>
      </c>
      <c r="E73" s="3" t="str">
        <f t="shared" si="35"/>
        <v/>
      </c>
      <c r="F73" s="3" t="str">
        <f t="shared" si="36"/>
        <v/>
      </c>
      <c r="G73" s="74" t="str">
        <f t="shared" si="37"/>
        <v/>
      </c>
      <c r="H73" s="78" t="str">
        <f>IFERROR(C73/SUM(M$2:M72),"")</f>
        <v/>
      </c>
      <c r="I73" s="61" t="str">
        <f>IFERROR(D73/SUM(N$2:N73),"")</f>
        <v/>
      </c>
      <c r="J73" s="61" t="str">
        <f>IFERROR(E73/SUM(O$2:O73),"")</f>
        <v/>
      </c>
      <c r="K73" s="61" t="str">
        <f>IFERROR(F73/SUM(P$2:P73),"")</f>
        <v/>
      </c>
      <c r="L73" s="79" t="str">
        <f>IFERROR(G73/SUM(Q$2:Q73),"")</f>
        <v/>
      </c>
      <c r="M73" s="64" t="str">
        <f t="shared" si="38"/>
        <v/>
      </c>
      <c r="N73" s="55" t="str">
        <f t="shared" si="39"/>
        <v/>
      </c>
      <c r="O73" s="55" t="str">
        <f t="shared" si="40"/>
        <v/>
      </c>
      <c r="P73" s="55" t="str">
        <f t="shared" si="41"/>
        <v/>
      </c>
      <c r="Q73" s="65" t="str">
        <f t="shared" si="42"/>
        <v/>
      </c>
      <c r="R73" s="67" t="str">
        <f t="shared" si="44"/>
        <v/>
      </c>
      <c r="S73" s="56" t="str">
        <f t="shared" si="45"/>
        <v/>
      </c>
      <c r="T73" s="56" t="str">
        <f t="shared" si="46"/>
        <v/>
      </c>
      <c r="U73" s="56" t="str">
        <f t="shared" si="47"/>
        <v/>
      </c>
      <c r="V73" s="68" t="str">
        <f t="shared" si="48"/>
        <v/>
      </c>
      <c r="W73" s="80" t="str">
        <f t="shared" si="19"/>
        <v/>
      </c>
      <c r="X73" s="81" t="str">
        <f t="shared" si="20"/>
        <v/>
      </c>
      <c r="Y73" s="81" t="str">
        <f t="shared" si="21"/>
        <v/>
      </c>
      <c r="Z73" s="81" t="str">
        <f t="shared" si="22"/>
        <v/>
      </c>
      <c r="AA73" s="82" t="str">
        <f t="shared" si="23"/>
        <v/>
      </c>
      <c r="AB73" s="83" t="str">
        <f>IF(R73&lt;&gt;"",(W73-SUMPRODUCT(R$3:R73,$B$3:$B73)/SUM($B$3:$B73))/STDEVA(W63:W73),"")</f>
        <v/>
      </c>
      <c r="AC73" s="84" t="str">
        <f>IF(S73&lt;&gt;"",(X73-SUMPRODUCT(S$3:S73,$B$3:$B73)/SUM($B$3:$B73))/STDEVA(X63:X73),"")</f>
        <v/>
      </c>
      <c r="AD73" s="84" t="str">
        <f>IF(T73&lt;&gt;"",(Y73-SUMPRODUCT(T$3:T73,$B$3:$B73)/SUM($B$3:$B73))/STDEVA(Y63:Y73),"")</f>
        <v/>
      </c>
      <c r="AE73" s="84" t="str">
        <f>IF(U73&lt;&gt;"",(Z73-SUMPRODUCT(U$3:U73,$B$3:$B73)/SUM($B$3:$B73))/STDEVA(Z63:Z73),"")</f>
        <v/>
      </c>
      <c r="AF73" s="85" t="str">
        <f>IF(V73&lt;&gt;"",(AA73-SUMPRODUCT(V$3:V73,$B$3:$B73)/SUM($B$3:$B73))/STDEVA(AA63:AA73),"")</f>
        <v/>
      </c>
      <c r="AG73" s="90" t="str">
        <f t="shared" si="31"/>
        <v/>
      </c>
      <c r="AH73" s="90" t="str">
        <f t="shared" si="26"/>
        <v/>
      </c>
      <c r="AI73" s="90" t="str">
        <f t="shared" si="27"/>
        <v/>
      </c>
      <c r="AJ73" s="90" t="str">
        <f t="shared" si="28"/>
        <v/>
      </c>
      <c r="AK73" s="93" t="str">
        <f t="shared" si="29"/>
        <v/>
      </c>
      <c r="BQ73" s="100" t="str">
        <f>IF(A73&lt;&gt;"",(VLOOKUP(A73,MarketData!$D:$BP,MATCH($BQ$1,MarketData!$D$1:$EG$1,0),TRUE)/100/365+1)^(B73)*BQ72,"")</f>
        <v/>
      </c>
      <c r="BR73" s="98" t="str">
        <f t="shared" si="32"/>
        <v/>
      </c>
      <c r="BS73" s="106" t="str">
        <f>IF(A73&lt;&gt;"",VLOOKUP(A73,MarketData!$D:$BP,MATCH($BS$1,MarketData!$D$1:$EG$1,0),TRUE),"")</f>
        <v/>
      </c>
      <c r="BT73" s="98" t="str">
        <f t="shared" si="43"/>
        <v/>
      </c>
    </row>
    <row r="74" spans="2:72" x14ac:dyDescent="0.25">
      <c r="B74" s="60" t="str">
        <f t="shared" si="30"/>
        <v/>
      </c>
      <c r="C74" s="3" t="str">
        <f t="shared" si="33"/>
        <v/>
      </c>
      <c r="D74" s="3" t="str">
        <f t="shared" si="34"/>
        <v/>
      </c>
      <c r="E74" s="3" t="str">
        <f t="shared" si="35"/>
        <v/>
      </c>
      <c r="F74" s="3" t="str">
        <f t="shared" si="36"/>
        <v/>
      </c>
      <c r="G74" s="74" t="str">
        <f t="shared" si="37"/>
        <v/>
      </c>
      <c r="H74" s="78" t="str">
        <f>IFERROR(C74/SUM(M$2:M73),"")</f>
        <v/>
      </c>
      <c r="I74" s="61" t="str">
        <f>IFERROR(D74/SUM(N$2:N74),"")</f>
        <v/>
      </c>
      <c r="J74" s="61" t="str">
        <f>IFERROR(E74/SUM(O$2:O74),"")</f>
        <v/>
      </c>
      <c r="K74" s="61" t="str">
        <f>IFERROR(F74/SUM(P$2:P74),"")</f>
        <v/>
      </c>
      <c r="L74" s="79" t="str">
        <f>IFERROR(G74/SUM(Q$2:Q74),"")</f>
        <v/>
      </c>
      <c r="M74" s="64" t="str">
        <f t="shared" si="38"/>
        <v/>
      </c>
      <c r="N74" s="55" t="str">
        <f t="shared" si="39"/>
        <v/>
      </c>
      <c r="O74" s="55" t="str">
        <f t="shared" si="40"/>
        <v/>
      </c>
      <c r="P74" s="55" t="str">
        <f t="shared" si="41"/>
        <v/>
      </c>
      <c r="Q74" s="65" t="str">
        <f t="shared" si="42"/>
        <v/>
      </c>
      <c r="R74" s="67" t="str">
        <f t="shared" si="44"/>
        <v/>
      </c>
      <c r="S74" s="56" t="str">
        <f t="shared" si="45"/>
        <v/>
      </c>
      <c r="T74" s="56" t="str">
        <f t="shared" si="46"/>
        <v/>
      </c>
      <c r="U74" s="56" t="str">
        <f t="shared" si="47"/>
        <v/>
      </c>
      <c r="V74" s="68" t="str">
        <f t="shared" si="48"/>
        <v/>
      </c>
      <c r="W74" s="80" t="str">
        <f t="shared" si="19"/>
        <v/>
      </c>
      <c r="X74" s="81" t="str">
        <f t="shared" si="20"/>
        <v/>
      </c>
      <c r="Y74" s="81" t="str">
        <f t="shared" si="21"/>
        <v/>
      </c>
      <c r="Z74" s="81" t="str">
        <f t="shared" si="22"/>
        <v/>
      </c>
      <c r="AA74" s="82" t="str">
        <f t="shared" si="23"/>
        <v/>
      </c>
      <c r="AB74" s="83" t="str">
        <f>IF(R74&lt;&gt;"",(W74-SUMPRODUCT(R$3:R74,$B$3:$B74)/SUM($B$3:$B74))/STDEVA(W64:W74),"")</f>
        <v/>
      </c>
      <c r="AC74" s="84" t="str">
        <f>IF(S74&lt;&gt;"",(X74-SUMPRODUCT(S$3:S74,$B$3:$B74)/SUM($B$3:$B74))/STDEVA(X64:X74),"")</f>
        <v/>
      </c>
      <c r="AD74" s="84" t="str">
        <f>IF(T74&lt;&gt;"",(Y74-SUMPRODUCT(T$3:T74,$B$3:$B74)/SUM($B$3:$B74))/STDEVA(Y64:Y74),"")</f>
        <v/>
      </c>
      <c r="AE74" s="84" t="str">
        <f>IF(U74&lt;&gt;"",(Z74-SUMPRODUCT(U$3:U74,$B$3:$B74)/SUM($B$3:$B74))/STDEVA(Z64:Z74),"")</f>
        <v/>
      </c>
      <c r="AF74" s="85" t="str">
        <f>IF(V74&lt;&gt;"",(AA74-SUMPRODUCT(V$3:V74,$B$3:$B74)/SUM($B$3:$B74))/STDEVA(AA64:AA74),"")</f>
        <v/>
      </c>
      <c r="AG74" s="90" t="str">
        <f t="shared" si="31"/>
        <v/>
      </c>
      <c r="AH74" s="90" t="str">
        <f t="shared" si="26"/>
        <v/>
      </c>
      <c r="AI74" s="90" t="str">
        <f t="shared" si="27"/>
        <v/>
      </c>
      <c r="AJ74" s="90" t="str">
        <f t="shared" si="28"/>
        <v/>
      </c>
      <c r="AK74" s="93" t="str">
        <f t="shared" si="29"/>
        <v/>
      </c>
      <c r="BQ74" s="100" t="str">
        <f>IF(A74&lt;&gt;"",(VLOOKUP(A74,MarketData!$D:$BP,MATCH($BQ$1,MarketData!$D$1:$EG$1,0),TRUE)/100/365+1)^(B74)*BQ73,"")</f>
        <v/>
      </c>
      <c r="BR74" s="98" t="str">
        <f t="shared" si="32"/>
        <v/>
      </c>
      <c r="BS74" s="106" t="str">
        <f>IF(A74&lt;&gt;"",VLOOKUP(A74,MarketData!$D:$BP,MATCH($BS$1,MarketData!$D$1:$EG$1,0),TRUE),"")</f>
        <v/>
      </c>
      <c r="BT74" s="98" t="str">
        <f t="shared" si="43"/>
        <v/>
      </c>
    </row>
    <row r="75" spans="2:72" x14ac:dyDescent="0.25">
      <c r="B75" s="60" t="str">
        <f t="shared" si="30"/>
        <v/>
      </c>
      <c r="C75" s="3" t="str">
        <f t="shared" si="33"/>
        <v/>
      </c>
      <c r="D75" s="3" t="str">
        <f t="shared" si="34"/>
        <v/>
      </c>
      <c r="E75" s="3" t="str">
        <f t="shared" si="35"/>
        <v/>
      </c>
      <c r="F75" s="3" t="str">
        <f t="shared" si="36"/>
        <v/>
      </c>
      <c r="G75" s="74" t="str">
        <f t="shared" si="37"/>
        <v/>
      </c>
      <c r="H75" s="78" t="str">
        <f>IFERROR(C75/SUM(M$2:M74),"")</f>
        <v/>
      </c>
      <c r="I75" s="61" t="str">
        <f>IFERROR(D75/SUM(N$2:N75),"")</f>
        <v/>
      </c>
      <c r="J75" s="61" t="str">
        <f>IFERROR(E75/SUM(O$2:O75),"")</f>
        <v/>
      </c>
      <c r="K75" s="61" t="str">
        <f>IFERROR(F75/SUM(P$2:P75),"")</f>
        <v/>
      </c>
      <c r="L75" s="79" t="str">
        <f>IFERROR(G75/SUM(Q$2:Q75),"")</f>
        <v/>
      </c>
      <c r="M75" s="64" t="str">
        <f t="shared" si="38"/>
        <v/>
      </c>
      <c r="N75" s="55" t="str">
        <f t="shared" si="39"/>
        <v/>
      </c>
      <c r="O75" s="55" t="str">
        <f t="shared" si="40"/>
        <v/>
      </c>
      <c r="P75" s="55" t="str">
        <f t="shared" si="41"/>
        <v/>
      </c>
      <c r="Q75" s="65" t="str">
        <f t="shared" si="42"/>
        <v/>
      </c>
      <c r="R75" s="67" t="str">
        <f t="shared" si="44"/>
        <v/>
      </c>
      <c r="S75" s="56" t="str">
        <f t="shared" si="45"/>
        <v/>
      </c>
      <c r="T75" s="56" t="str">
        <f t="shared" si="46"/>
        <v/>
      </c>
      <c r="U75" s="56" t="str">
        <f t="shared" si="47"/>
        <v/>
      </c>
      <c r="V75" s="68" t="str">
        <f t="shared" si="48"/>
        <v/>
      </c>
      <c r="W75" s="80" t="str">
        <f t="shared" si="19"/>
        <v/>
      </c>
      <c r="X75" s="81" t="str">
        <f t="shared" si="20"/>
        <v/>
      </c>
      <c r="Y75" s="81" t="str">
        <f t="shared" si="21"/>
        <v/>
      </c>
      <c r="Z75" s="81" t="str">
        <f t="shared" si="22"/>
        <v/>
      </c>
      <c r="AA75" s="82" t="str">
        <f t="shared" si="23"/>
        <v/>
      </c>
      <c r="AB75" s="83" t="str">
        <f>IF(R75&lt;&gt;"",(W75-SUMPRODUCT(R$3:R75,$B$3:$B75)/SUM($B$3:$B75))/STDEVA(W65:W75),"")</f>
        <v/>
      </c>
      <c r="AC75" s="84" t="str">
        <f>IF(S75&lt;&gt;"",(X75-SUMPRODUCT(S$3:S75,$B$3:$B75)/SUM($B$3:$B75))/STDEVA(X65:X75),"")</f>
        <v/>
      </c>
      <c r="AD75" s="84" t="str">
        <f>IF(T75&lt;&gt;"",(Y75-SUMPRODUCT(T$3:T75,$B$3:$B75)/SUM($B$3:$B75))/STDEVA(Y65:Y75),"")</f>
        <v/>
      </c>
      <c r="AE75" s="84" t="str">
        <f>IF(U75&lt;&gt;"",(Z75-SUMPRODUCT(U$3:U75,$B$3:$B75)/SUM($B$3:$B75))/STDEVA(Z65:Z75),"")</f>
        <v/>
      </c>
      <c r="AF75" s="85" t="str">
        <f>IF(V75&lt;&gt;"",(AA75-SUMPRODUCT(V$3:V75,$B$3:$B75)/SUM($B$3:$B75))/STDEVA(AA65:AA75),"")</f>
        <v/>
      </c>
      <c r="AG75" s="90" t="str">
        <f t="shared" si="31"/>
        <v/>
      </c>
      <c r="AH75" s="90" t="str">
        <f t="shared" si="26"/>
        <v/>
      </c>
      <c r="AI75" s="90" t="str">
        <f t="shared" si="27"/>
        <v/>
      </c>
      <c r="AJ75" s="90" t="str">
        <f t="shared" si="28"/>
        <v/>
      </c>
      <c r="AK75" s="93" t="str">
        <f t="shared" si="29"/>
        <v/>
      </c>
      <c r="BQ75" s="100" t="str">
        <f>IF(A75&lt;&gt;"",(VLOOKUP(A75,MarketData!$D:$BP,MATCH($BQ$1,MarketData!$D$1:$EG$1,0),TRUE)/100/365+1)^(B75)*BQ74,"")</f>
        <v/>
      </c>
      <c r="BR75" s="98" t="str">
        <f t="shared" si="32"/>
        <v/>
      </c>
      <c r="BS75" s="106" t="str">
        <f>IF(A75&lt;&gt;"",VLOOKUP(A75,MarketData!$D:$BP,MATCH($BS$1,MarketData!$D$1:$EG$1,0),TRUE),"")</f>
        <v/>
      </c>
      <c r="BT75" s="98" t="str">
        <f t="shared" si="43"/>
        <v/>
      </c>
    </row>
    <row r="76" spans="2:72" x14ac:dyDescent="0.25">
      <c r="B76" s="60" t="str">
        <f t="shared" si="30"/>
        <v/>
      </c>
      <c r="C76" s="3" t="str">
        <f t="shared" si="33"/>
        <v/>
      </c>
      <c r="D76" s="3" t="str">
        <f t="shared" si="34"/>
        <v/>
      </c>
      <c r="E76" s="3" t="str">
        <f t="shared" si="35"/>
        <v/>
      </c>
      <c r="F76" s="3" t="str">
        <f t="shared" si="36"/>
        <v/>
      </c>
      <c r="G76" s="74" t="str">
        <f t="shared" si="37"/>
        <v/>
      </c>
      <c r="H76" s="78" t="str">
        <f>IFERROR(C76/SUM(M$2:M75),"")</f>
        <v/>
      </c>
      <c r="I76" s="61" t="str">
        <f>IFERROR(D76/SUM(N$2:N76),"")</f>
        <v/>
      </c>
      <c r="J76" s="61" t="str">
        <f>IFERROR(E76/SUM(O$2:O76),"")</f>
        <v/>
      </c>
      <c r="K76" s="61" t="str">
        <f>IFERROR(F76/SUM(P$2:P76),"")</f>
        <v/>
      </c>
      <c r="L76" s="79" t="str">
        <f>IFERROR(G76/SUM(Q$2:Q76),"")</f>
        <v/>
      </c>
      <c r="M76" s="64" t="str">
        <f t="shared" si="38"/>
        <v/>
      </c>
      <c r="N76" s="55" t="str">
        <f t="shared" si="39"/>
        <v/>
      </c>
      <c r="O76" s="55" t="str">
        <f t="shared" si="40"/>
        <v/>
      </c>
      <c r="P76" s="55" t="str">
        <f t="shared" si="41"/>
        <v/>
      </c>
      <c r="Q76" s="65" t="str">
        <f t="shared" si="42"/>
        <v/>
      </c>
      <c r="R76" s="67" t="str">
        <f t="shared" si="44"/>
        <v/>
      </c>
      <c r="S76" s="56" t="str">
        <f t="shared" si="45"/>
        <v/>
      </c>
      <c r="T76" s="56" t="str">
        <f t="shared" si="46"/>
        <v/>
      </c>
      <c r="U76" s="56" t="str">
        <f t="shared" si="47"/>
        <v/>
      </c>
      <c r="V76" s="68" t="str">
        <f t="shared" si="48"/>
        <v/>
      </c>
      <c r="W76" s="80" t="str">
        <f t="shared" ref="W76:W139" si="49">IF(R76&lt;&gt;"",SUMPRODUCT(R67:R76,$B67:$B76)/SUM($B67:$B76),"")</f>
        <v/>
      </c>
      <c r="X76" s="81" t="str">
        <f t="shared" ref="X76:X139" si="50">IF(S76&lt;&gt;"",SUMPRODUCT(S67:S76,$B67:$B76)/SUM($B67:$B76),"")</f>
        <v/>
      </c>
      <c r="Y76" s="81" t="str">
        <f t="shared" ref="Y76:Y139" si="51">IF(T76&lt;&gt;"",SUMPRODUCT(T67:T76,$B67:$B76)/SUM($B67:$B76),"")</f>
        <v/>
      </c>
      <c r="Z76" s="81" t="str">
        <f t="shared" ref="Z76:Z139" si="52">IF(U76&lt;&gt;"",SUMPRODUCT(U67:U76,$B67:$B76)/SUM($B67:$B76),"")</f>
        <v/>
      </c>
      <c r="AA76" s="82" t="str">
        <f t="shared" ref="AA76:AA139" si="53">IF(V76&lt;&gt;"",SUMPRODUCT(V67:V76,$B67:$B76)/SUM($B67:$B76),"")</f>
        <v/>
      </c>
      <c r="AB76" s="83" t="str">
        <f>IF(R76&lt;&gt;"",(W76-SUMPRODUCT(R$3:R76,$B$3:$B76)/SUM($B$3:$B76))/STDEVA(W66:W76),"")</f>
        <v/>
      </c>
      <c r="AC76" s="84" t="str">
        <f>IF(S76&lt;&gt;"",(X76-SUMPRODUCT(S$3:S76,$B$3:$B76)/SUM($B$3:$B76))/STDEVA(X66:X76),"")</f>
        <v/>
      </c>
      <c r="AD76" s="84" t="str">
        <f>IF(T76&lt;&gt;"",(Y76-SUMPRODUCT(T$3:T76,$B$3:$B76)/SUM($B$3:$B76))/STDEVA(Y66:Y76),"")</f>
        <v/>
      </c>
      <c r="AE76" s="84" t="str">
        <f>IF(U76&lt;&gt;"",(Z76-SUMPRODUCT(U$3:U76,$B$3:$B76)/SUM($B$3:$B76))/STDEVA(Z66:Z76),"")</f>
        <v/>
      </c>
      <c r="AF76" s="85" t="str">
        <f>IF(V76&lt;&gt;"",(AA76-SUMPRODUCT(V$3:V76,$B$3:$B76)/SUM($B$3:$B76))/STDEVA(AA66:AA76),"")</f>
        <v/>
      </c>
      <c r="AG76" s="90" t="str">
        <f t="shared" si="31"/>
        <v/>
      </c>
      <c r="AH76" s="90" t="str">
        <f t="shared" si="26"/>
        <v/>
      </c>
      <c r="AI76" s="90" t="str">
        <f t="shared" si="27"/>
        <v/>
      </c>
      <c r="AJ76" s="90" t="str">
        <f t="shared" si="28"/>
        <v/>
      </c>
      <c r="AK76" s="93" t="str">
        <f t="shared" si="29"/>
        <v/>
      </c>
      <c r="BQ76" s="100" t="str">
        <f>IF(A76&lt;&gt;"",(VLOOKUP(A76,MarketData!$D:$BP,MATCH($BQ$1,MarketData!$D$1:$EG$1,0),TRUE)/100/365+1)^(B76)*BQ75,"")</f>
        <v/>
      </c>
      <c r="BR76" s="98" t="str">
        <f t="shared" si="32"/>
        <v/>
      </c>
      <c r="BS76" s="106" t="str">
        <f>IF(A76&lt;&gt;"",VLOOKUP(A76,MarketData!$D:$BP,MATCH($BS$1,MarketData!$D$1:$EG$1,0),TRUE),"")</f>
        <v/>
      </c>
      <c r="BT76" s="98" t="str">
        <f t="shared" si="43"/>
        <v/>
      </c>
    </row>
    <row r="77" spans="2:72" x14ac:dyDescent="0.25">
      <c r="B77" s="60" t="str">
        <f t="shared" si="30"/>
        <v/>
      </c>
      <c r="C77" s="3" t="str">
        <f t="shared" si="33"/>
        <v/>
      </c>
      <c r="D77" s="3" t="str">
        <f t="shared" si="34"/>
        <v/>
      </c>
      <c r="E77" s="3" t="str">
        <f t="shared" si="35"/>
        <v/>
      </c>
      <c r="F77" s="3" t="str">
        <f t="shared" si="36"/>
        <v/>
      </c>
      <c r="G77" s="74" t="str">
        <f t="shared" si="37"/>
        <v/>
      </c>
      <c r="H77" s="78" t="str">
        <f>IFERROR(C77/SUM(M$2:M76),"")</f>
        <v/>
      </c>
      <c r="I77" s="61" t="str">
        <f>IFERROR(D77/SUM(N$2:N77),"")</f>
        <v/>
      </c>
      <c r="J77" s="61" t="str">
        <f>IFERROR(E77/SUM(O$2:O77),"")</f>
        <v/>
      </c>
      <c r="K77" s="61" t="str">
        <f>IFERROR(F77/SUM(P$2:P77),"")</f>
        <v/>
      </c>
      <c r="L77" s="79" t="str">
        <f>IFERROR(G77/SUM(Q$2:Q77),"")</f>
        <v/>
      </c>
      <c r="M77" s="64" t="str">
        <f t="shared" si="38"/>
        <v/>
      </c>
      <c r="N77" s="55" t="str">
        <f t="shared" si="39"/>
        <v/>
      </c>
      <c r="O77" s="55" t="str">
        <f t="shared" si="40"/>
        <v/>
      </c>
      <c r="P77" s="55" t="str">
        <f t="shared" si="41"/>
        <v/>
      </c>
      <c r="Q77" s="65" t="str">
        <f t="shared" si="42"/>
        <v/>
      </c>
      <c r="R77" s="67" t="str">
        <f t="shared" si="44"/>
        <v/>
      </c>
      <c r="S77" s="56" t="str">
        <f t="shared" si="45"/>
        <v/>
      </c>
      <c r="T77" s="56" t="str">
        <f t="shared" si="46"/>
        <v/>
      </c>
      <c r="U77" s="56" t="str">
        <f t="shared" si="47"/>
        <v/>
      </c>
      <c r="V77" s="68" t="str">
        <f t="shared" si="48"/>
        <v/>
      </c>
      <c r="W77" s="80" t="str">
        <f t="shared" si="49"/>
        <v/>
      </c>
      <c r="X77" s="81" t="str">
        <f t="shared" si="50"/>
        <v/>
      </c>
      <c r="Y77" s="81" t="str">
        <f t="shared" si="51"/>
        <v/>
      </c>
      <c r="Z77" s="81" t="str">
        <f t="shared" si="52"/>
        <v/>
      </c>
      <c r="AA77" s="82" t="str">
        <f t="shared" si="53"/>
        <v/>
      </c>
      <c r="AB77" s="83" t="str">
        <f>IF(R77&lt;&gt;"",(W77-SUMPRODUCT(R$3:R77,$B$3:$B77)/SUM($B$3:$B77))/STDEVA(W67:W77),"")</f>
        <v/>
      </c>
      <c r="AC77" s="84" t="str">
        <f>IF(S77&lt;&gt;"",(X77-SUMPRODUCT(S$3:S77,$B$3:$B77)/SUM($B$3:$B77))/STDEVA(X67:X77),"")</f>
        <v/>
      </c>
      <c r="AD77" s="84" t="str">
        <f>IF(T77&lt;&gt;"",(Y77-SUMPRODUCT(T$3:T77,$B$3:$B77)/SUM($B$3:$B77))/STDEVA(Y67:Y77),"")</f>
        <v/>
      </c>
      <c r="AE77" s="84" t="str">
        <f>IF(U77&lt;&gt;"",(Z77-SUMPRODUCT(U$3:U77,$B$3:$B77)/SUM($B$3:$B77))/STDEVA(Z67:Z77),"")</f>
        <v/>
      </c>
      <c r="AF77" s="85" t="str">
        <f>IF(V77&lt;&gt;"",(AA77-SUMPRODUCT(V$3:V77,$B$3:$B77)/SUM($B$3:$B77))/STDEVA(AA67:AA77),"")</f>
        <v/>
      </c>
      <c r="AG77" s="90" t="str">
        <f t="shared" si="31"/>
        <v/>
      </c>
      <c r="AH77" s="90" t="str">
        <f t="shared" si="26"/>
        <v/>
      </c>
      <c r="AI77" s="90" t="str">
        <f t="shared" si="27"/>
        <v/>
      </c>
      <c r="AJ77" s="90" t="str">
        <f t="shared" si="28"/>
        <v/>
      </c>
      <c r="AK77" s="93" t="str">
        <f t="shared" si="29"/>
        <v/>
      </c>
      <c r="BQ77" s="100" t="str">
        <f>IF(A77&lt;&gt;"",(VLOOKUP(A77,MarketData!$D:$BP,MATCH($BQ$1,MarketData!$D$1:$EG$1,0),TRUE)/100/365+1)^(B77)*BQ76,"")</f>
        <v/>
      </c>
      <c r="BR77" s="98" t="str">
        <f t="shared" si="32"/>
        <v/>
      </c>
      <c r="BS77" s="106" t="str">
        <f>IF(A77&lt;&gt;"",VLOOKUP(A77,MarketData!$D:$BP,MATCH($BS$1,MarketData!$D$1:$EG$1,0),TRUE),"")</f>
        <v/>
      </c>
      <c r="BT77" s="98" t="str">
        <f t="shared" si="43"/>
        <v/>
      </c>
    </row>
    <row r="78" spans="2:72" x14ac:dyDescent="0.25">
      <c r="B78" s="60" t="str">
        <f t="shared" si="30"/>
        <v/>
      </c>
      <c r="C78" s="3" t="str">
        <f t="shared" si="33"/>
        <v/>
      </c>
      <c r="D78" s="3" t="str">
        <f t="shared" si="34"/>
        <v/>
      </c>
      <c r="E78" s="3" t="str">
        <f t="shared" si="35"/>
        <v/>
      </c>
      <c r="F78" s="3" t="str">
        <f t="shared" si="36"/>
        <v/>
      </c>
      <c r="G78" s="74" t="str">
        <f t="shared" si="37"/>
        <v/>
      </c>
      <c r="H78" s="78" t="str">
        <f>IFERROR(C78/SUM(M$2:M77),"")</f>
        <v/>
      </c>
      <c r="I78" s="61" t="str">
        <f>IFERROR(D78/SUM(N$2:N78),"")</f>
        <v/>
      </c>
      <c r="J78" s="61" t="str">
        <f>IFERROR(E78/SUM(O$2:O78),"")</f>
        <v/>
      </c>
      <c r="K78" s="61" t="str">
        <f>IFERROR(F78/SUM(P$2:P78),"")</f>
        <v/>
      </c>
      <c r="L78" s="79" t="str">
        <f>IFERROR(G78/SUM(Q$2:Q78),"")</f>
        <v/>
      </c>
      <c r="M78" s="64" t="str">
        <f t="shared" si="38"/>
        <v/>
      </c>
      <c r="N78" s="55" t="str">
        <f t="shared" si="39"/>
        <v/>
      </c>
      <c r="O78" s="55" t="str">
        <f t="shared" si="40"/>
        <v/>
      </c>
      <c r="P78" s="55" t="str">
        <f t="shared" si="41"/>
        <v/>
      </c>
      <c r="Q78" s="65" t="str">
        <f t="shared" si="42"/>
        <v/>
      </c>
      <c r="R78" s="67" t="str">
        <f t="shared" si="44"/>
        <v/>
      </c>
      <c r="S78" s="56" t="str">
        <f t="shared" si="45"/>
        <v/>
      </c>
      <c r="T78" s="56" t="str">
        <f t="shared" si="46"/>
        <v/>
      </c>
      <c r="U78" s="56" t="str">
        <f t="shared" si="47"/>
        <v/>
      </c>
      <c r="V78" s="68" t="str">
        <f t="shared" si="48"/>
        <v/>
      </c>
      <c r="W78" s="80" t="str">
        <f t="shared" si="49"/>
        <v/>
      </c>
      <c r="X78" s="81" t="str">
        <f t="shared" si="50"/>
        <v/>
      </c>
      <c r="Y78" s="81" t="str">
        <f t="shared" si="51"/>
        <v/>
      </c>
      <c r="Z78" s="81" t="str">
        <f t="shared" si="52"/>
        <v/>
      </c>
      <c r="AA78" s="82" t="str">
        <f t="shared" si="53"/>
        <v/>
      </c>
      <c r="AB78" s="83" t="str">
        <f>IF(R78&lt;&gt;"",(W78-SUMPRODUCT(R$3:R78,$B$3:$B78)/SUM($B$3:$B78))/STDEVA(W68:W78),"")</f>
        <v/>
      </c>
      <c r="AC78" s="84" t="str">
        <f>IF(S78&lt;&gt;"",(X78-SUMPRODUCT(S$3:S78,$B$3:$B78)/SUM($B$3:$B78))/STDEVA(X68:X78),"")</f>
        <v/>
      </c>
      <c r="AD78" s="84" t="str">
        <f>IF(T78&lt;&gt;"",(Y78-SUMPRODUCT(T$3:T78,$B$3:$B78)/SUM($B$3:$B78))/STDEVA(Y68:Y78),"")</f>
        <v/>
      </c>
      <c r="AE78" s="84" t="str">
        <f>IF(U78&lt;&gt;"",(Z78-SUMPRODUCT(U$3:U78,$B$3:$B78)/SUM($B$3:$B78))/STDEVA(Z68:Z78),"")</f>
        <v/>
      </c>
      <c r="AF78" s="85" t="str">
        <f>IF(V78&lt;&gt;"",(AA78-SUMPRODUCT(V$3:V78,$B$3:$B78)/SUM($B$3:$B78))/STDEVA(AA68:AA78),"")</f>
        <v/>
      </c>
      <c r="AG78" s="90" t="str">
        <f t="shared" ref="AG78:AJ141" si="54">IF(AB78&lt;&gt;"",SUMPRODUCT(AB73:AB78,$B73:$B78)/SUM($B73:$B78),"")</f>
        <v/>
      </c>
      <c r="AH78" s="90" t="str">
        <f t="shared" si="54"/>
        <v/>
      </c>
      <c r="AI78" s="90" t="str">
        <f t="shared" si="54"/>
        <v/>
      </c>
      <c r="AJ78" s="90" t="str">
        <f t="shared" si="54"/>
        <v/>
      </c>
      <c r="AK78" s="93" t="str">
        <f t="shared" ref="AK78:AK141" si="55">IF(AF78&lt;&gt;"",SUMPRODUCT(AF73:AF78,$B73:$B78)/SUM($B73:$B78),"")</f>
        <v/>
      </c>
      <c r="BQ78" s="100" t="str">
        <f>IF(A78&lt;&gt;"",(VLOOKUP(A78,MarketData!$D:$BP,MATCH($BQ$1,MarketData!$D$1:$EG$1,0),TRUE)/100/365+1)^(B78)*BQ77,"")</f>
        <v/>
      </c>
      <c r="BR78" s="98" t="str">
        <f t="shared" si="32"/>
        <v/>
      </c>
      <c r="BS78" s="106" t="str">
        <f>IF(A78&lt;&gt;"",VLOOKUP(A78,MarketData!$D:$BP,MATCH($BS$1,MarketData!$D$1:$EG$1,0),TRUE),"")</f>
        <v/>
      </c>
      <c r="BT78" s="98" t="str">
        <f t="shared" si="43"/>
        <v/>
      </c>
    </row>
    <row r="79" spans="2:72" x14ac:dyDescent="0.25">
      <c r="B79" s="60" t="str">
        <f t="shared" si="30"/>
        <v/>
      </c>
      <c r="C79" s="3" t="str">
        <f t="shared" si="33"/>
        <v/>
      </c>
      <c r="D79" s="3" t="str">
        <f t="shared" si="34"/>
        <v/>
      </c>
      <c r="E79" s="3" t="str">
        <f t="shared" si="35"/>
        <v/>
      </c>
      <c r="F79" s="3" t="str">
        <f t="shared" si="36"/>
        <v/>
      </c>
      <c r="G79" s="74" t="str">
        <f t="shared" si="37"/>
        <v/>
      </c>
      <c r="H79" s="78" t="str">
        <f>IFERROR(C79/SUM(M$2:M78),"")</f>
        <v/>
      </c>
      <c r="I79" s="61" t="str">
        <f>IFERROR(D79/SUM(N$2:N79),"")</f>
        <v/>
      </c>
      <c r="J79" s="61" t="str">
        <f>IFERROR(E79/SUM(O$2:O79),"")</f>
        <v/>
      </c>
      <c r="K79" s="61" t="str">
        <f>IFERROR(F79/SUM(P$2:P79),"")</f>
        <v/>
      </c>
      <c r="L79" s="79" t="str">
        <f>IFERROR(G79/SUM(Q$2:Q79),"")</f>
        <v/>
      </c>
      <c r="M79" s="64" t="str">
        <f t="shared" si="38"/>
        <v/>
      </c>
      <c r="N79" s="55" t="str">
        <f t="shared" si="39"/>
        <v/>
      </c>
      <c r="O79" s="55" t="str">
        <f t="shared" si="40"/>
        <v/>
      </c>
      <c r="P79" s="55" t="str">
        <f t="shared" si="41"/>
        <v/>
      </c>
      <c r="Q79" s="65" t="str">
        <f t="shared" si="42"/>
        <v/>
      </c>
      <c r="R79" s="67" t="str">
        <f t="shared" si="44"/>
        <v/>
      </c>
      <c r="S79" s="56" t="str">
        <f t="shared" si="45"/>
        <v/>
      </c>
      <c r="T79" s="56" t="str">
        <f t="shared" si="46"/>
        <v/>
      </c>
      <c r="U79" s="56" t="str">
        <f t="shared" si="47"/>
        <v/>
      </c>
      <c r="V79" s="68" t="str">
        <f t="shared" si="48"/>
        <v/>
      </c>
      <c r="W79" s="80" t="str">
        <f t="shared" si="49"/>
        <v/>
      </c>
      <c r="X79" s="81" t="str">
        <f t="shared" si="50"/>
        <v/>
      </c>
      <c r="Y79" s="81" t="str">
        <f t="shared" si="51"/>
        <v/>
      </c>
      <c r="Z79" s="81" t="str">
        <f t="shared" si="52"/>
        <v/>
      </c>
      <c r="AA79" s="82" t="str">
        <f t="shared" si="53"/>
        <v/>
      </c>
      <c r="AB79" s="83" t="str">
        <f>IF(R79&lt;&gt;"",(W79-SUMPRODUCT(R$3:R79,$B$3:$B79)/SUM($B$3:$B79))/STDEVA(W69:W79),"")</f>
        <v/>
      </c>
      <c r="AC79" s="84" t="str">
        <f>IF(S79&lt;&gt;"",(X79-SUMPRODUCT(S$3:S79,$B$3:$B79)/SUM($B$3:$B79))/STDEVA(X69:X79),"")</f>
        <v/>
      </c>
      <c r="AD79" s="84" t="str">
        <f>IF(T79&lt;&gt;"",(Y79-SUMPRODUCT(T$3:T79,$B$3:$B79)/SUM($B$3:$B79))/STDEVA(Y69:Y79),"")</f>
        <v/>
      </c>
      <c r="AE79" s="84" t="str">
        <f>IF(U79&lt;&gt;"",(Z79-SUMPRODUCT(U$3:U79,$B$3:$B79)/SUM($B$3:$B79))/STDEVA(Z69:Z79),"")</f>
        <v/>
      </c>
      <c r="AF79" s="85" t="str">
        <f>IF(V79&lt;&gt;"",(AA79-SUMPRODUCT(V$3:V79,$B$3:$B79)/SUM($B$3:$B79))/STDEVA(AA69:AA79),"")</f>
        <v/>
      </c>
      <c r="AG79" s="90" t="str">
        <f t="shared" si="54"/>
        <v/>
      </c>
      <c r="AH79" s="90" t="str">
        <f t="shared" si="54"/>
        <v/>
      </c>
      <c r="AI79" s="90" t="str">
        <f t="shared" si="54"/>
        <v/>
      </c>
      <c r="AJ79" s="90" t="str">
        <f t="shared" si="54"/>
        <v/>
      </c>
      <c r="AK79" s="93" t="str">
        <f t="shared" si="55"/>
        <v/>
      </c>
      <c r="BQ79" s="100" t="str">
        <f>IF(A79&lt;&gt;"",(VLOOKUP(A79,MarketData!$D:$BP,MATCH($BQ$1,MarketData!$D$1:$EG$1,0),TRUE)/100/365+1)^(B79)*BQ78,"")</f>
        <v/>
      </c>
      <c r="BR79" s="98" t="str">
        <f t="shared" si="32"/>
        <v/>
      </c>
      <c r="BS79" s="106" t="str">
        <f>IF(A79&lt;&gt;"",VLOOKUP(A79,MarketData!$D:$BP,MATCH($BS$1,MarketData!$D$1:$EG$1,0),TRUE),"")</f>
        <v/>
      </c>
      <c r="BT79" s="98" t="str">
        <f t="shared" si="43"/>
        <v/>
      </c>
    </row>
    <row r="80" spans="2:72" x14ac:dyDescent="0.25">
      <c r="B80" s="60" t="str">
        <f t="shared" si="30"/>
        <v/>
      </c>
      <c r="C80" s="3" t="str">
        <f t="shared" si="33"/>
        <v/>
      </c>
      <c r="D80" s="3" t="str">
        <f t="shared" si="34"/>
        <v/>
      </c>
      <c r="E80" s="3" t="str">
        <f t="shared" si="35"/>
        <v/>
      </c>
      <c r="F80" s="3" t="str">
        <f t="shared" si="36"/>
        <v/>
      </c>
      <c r="G80" s="74" t="str">
        <f t="shared" si="37"/>
        <v/>
      </c>
      <c r="H80" s="78" t="str">
        <f>IFERROR(C80/SUM(M$2:M79),"")</f>
        <v/>
      </c>
      <c r="I80" s="61" t="str">
        <f>IFERROR(D80/SUM(N$2:N80),"")</f>
        <v/>
      </c>
      <c r="J80" s="61" t="str">
        <f>IFERROR(E80/SUM(O$2:O80),"")</f>
        <v/>
      </c>
      <c r="K80" s="61" t="str">
        <f>IFERROR(F80/SUM(P$2:P80),"")</f>
        <v/>
      </c>
      <c r="L80" s="79" t="str">
        <f>IFERROR(G80/SUM(Q$2:Q80),"")</f>
        <v/>
      </c>
      <c r="M80" s="64" t="str">
        <f t="shared" si="38"/>
        <v/>
      </c>
      <c r="N80" s="55" t="str">
        <f t="shared" si="39"/>
        <v/>
      </c>
      <c r="O80" s="55" t="str">
        <f t="shared" si="40"/>
        <v/>
      </c>
      <c r="P80" s="55" t="str">
        <f t="shared" si="41"/>
        <v/>
      </c>
      <c r="Q80" s="65" t="str">
        <f t="shared" si="42"/>
        <v/>
      </c>
      <c r="R80" s="67" t="str">
        <f t="shared" si="44"/>
        <v/>
      </c>
      <c r="S80" s="56" t="str">
        <f t="shared" si="45"/>
        <v/>
      </c>
      <c r="T80" s="56" t="str">
        <f t="shared" si="46"/>
        <v/>
      </c>
      <c r="U80" s="56" t="str">
        <f t="shared" si="47"/>
        <v/>
      </c>
      <c r="V80" s="68" t="str">
        <f t="shared" si="48"/>
        <v/>
      </c>
      <c r="W80" s="80" t="str">
        <f t="shared" si="49"/>
        <v/>
      </c>
      <c r="X80" s="81" t="str">
        <f t="shared" si="50"/>
        <v/>
      </c>
      <c r="Y80" s="81" t="str">
        <f t="shared" si="51"/>
        <v/>
      </c>
      <c r="Z80" s="81" t="str">
        <f t="shared" si="52"/>
        <v/>
      </c>
      <c r="AA80" s="82" t="str">
        <f t="shared" si="53"/>
        <v/>
      </c>
      <c r="AB80" s="83" t="str">
        <f>IF(R80&lt;&gt;"",(W80-SUMPRODUCT(R$3:R80,$B$3:$B80)/SUM($B$3:$B80))/STDEVA(W70:W80),"")</f>
        <v/>
      </c>
      <c r="AC80" s="84" t="str">
        <f>IF(S80&lt;&gt;"",(X80-SUMPRODUCT(S$3:S80,$B$3:$B80)/SUM($B$3:$B80))/STDEVA(X70:X80),"")</f>
        <v/>
      </c>
      <c r="AD80" s="84" t="str">
        <f>IF(T80&lt;&gt;"",(Y80-SUMPRODUCT(T$3:T80,$B$3:$B80)/SUM($B$3:$B80))/STDEVA(Y70:Y80),"")</f>
        <v/>
      </c>
      <c r="AE80" s="84" t="str">
        <f>IF(U80&lt;&gt;"",(Z80-SUMPRODUCT(U$3:U80,$B$3:$B80)/SUM($B$3:$B80))/STDEVA(Z70:Z80),"")</f>
        <v/>
      </c>
      <c r="AF80" s="85" t="str">
        <f>IF(V80&lt;&gt;"",(AA80-SUMPRODUCT(V$3:V80,$B$3:$B80)/SUM($B$3:$B80))/STDEVA(AA70:AA80),"")</f>
        <v/>
      </c>
      <c r="AG80" s="90" t="str">
        <f t="shared" si="54"/>
        <v/>
      </c>
      <c r="AH80" s="90" t="str">
        <f t="shared" si="54"/>
        <v/>
      </c>
      <c r="AI80" s="90" t="str">
        <f t="shared" si="54"/>
        <v/>
      </c>
      <c r="AJ80" s="90" t="str">
        <f t="shared" si="54"/>
        <v/>
      </c>
      <c r="AK80" s="93" t="str">
        <f t="shared" si="55"/>
        <v/>
      </c>
      <c r="BQ80" s="100" t="str">
        <f>IF(A80&lt;&gt;"",(VLOOKUP(A80,MarketData!$D:$BP,MATCH($BQ$1,MarketData!$D$1:$EG$1,0),TRUE)/100/365+1)^(B80)*BQ79,"")</f>
        <v/>
      </c>
      <c r="BR80" s="98" t="str">
        <f t="shared" si="32"/>
        <v/>
      </c>
      <c r="BS80" s="106" t="str">
        <f>IF(A80&lt;&gt;"",VLOOKUP(A80,MarketData!$D:$BP,MATCH($BS$1,MarketData!$D$1:$EG$1,0),TRUE),"")</f>
        <v/>
      </c>
      <c r="BT80" s="98" t="str">
        <f t="shared" si="43"/>
        <v/>
      </c>
    </row>
    <row r="81" spans="2:72" x14ac:dyDescent="0.25">
      <c r="B81" s="60" t="str">
        <f t="shared" si="30"/>
        <v/>
      </c>
      <c r="C81" s="3" t="str">
        <f t="shared" si="33"/>
        <v/>
      </c>
      <c r="D81" s="3" t="str">
        <f t="shared" si="34"/>
        <v/>
      </c>
      <c r="E81" s="3" t="str">
        <f t="shared" si="35"/>
        <v/>
      </c>
      <c r="F81" s="3" t="str">
        <f t="shared" si="36"/>
        <v/>
      </c>
      <c r="G81" s="74" t="str">
        <f t="shared" si="37"/>
        <v/>
      </c>
      <c r="H81" s="78" t="str">
        <f>IFERROR(C81/SUM(M$2:M80),"")</f>
        <v/>
      </c>
      <c r="I81" s="61" t="str">
        <f>IFERROR(D81/SUM(N$2:N81),"")</f>
        <v/>
      </c>
      <c r="J81" s="61" t="str">
        <f>IFERROR(E81/SUM(O$2:O81),"")</f>
        <v/>
      </c>
      <c r="K81" s="61" t="str">
        <f>IFERROR(F81/SUM(P$2:P81),"")</f>
        <v/>
      </c>
      <c r="L81" s="79" t="str">
        <f>IFERROR(G81/SUM(Q$2:Q81),"")</f>
        <v/>
      </c>
      <c r="M81" s="64" t="str">
        <f t="shared" si="38"/>
        <v/>
      </c>
      <c r="N81" s="55" t="str">
        <f t="shared" si="39"/>
        <v/>
      </c>
      <c r="O81" s="55" t="str">
        <f t="shared" si="40"/>
        <v/>
      </c>
      <c r="P81" s="55" t="str">
        <f t="shared" si="41"/>
        <v/>
      </c>
      <c r="Q81" s="65" t="str">
        <f t="shared" si="42"/>
        <v/>
      </c>
      <c r="R81" s="67" t="str">
        <f t="shared" si="44"/>
        <v/>
      </c>
      <c r="S81" s="56" t="str">
        <f t="shared" si="45"/>
        <v/>
      </c>
      <c r="T81" s="56" t="str">
        <f t="shared" si="46"/>
        <v/>
      </c>
      <c r="U81" s="56" t="str">
        <f t="shared" si="47"/>
        <v/>
      </c>
      <c r="V81" s="68" t="str">
        <f t="shared" si="48"/>
        <v/>
      </c>
      <c r="W81" s="80" t="str">
        <f t="shared" si="49"/>
        <v/>
      </c>
      <c r="X81" s="81" t="str">
        <f t="shared" si="50"/>
        <v/>
      </c>
      <c r="Y81" s="81" t="str">
        <f t="shared" si="51"/>
        <v/>
      </c>
      <c r="Z81" s="81" t="str">
        <f t="shared" si="52"/>
        <v/>
      </c>
      <c r="AA81" s="82" t="str">
        <f t="shared" si="53"/>
        <v/>
      </c>
      <c r="AB81" s="83" t="str">
        <f>IF(R81&lt;&gt;"",(W81-SUMPRODUCT(R$3:R81,$B$3:$B81)/SUM($B$3:$B81))/STDEVA(W71:W81),"")</f>
        <v/>
      </c>
      <c r="AC81" s="84" t="str">
        <f>IF(S81&lt;&gt;"",(X81-SUMPRODUCT(S$3:S81,$B$3:$B81)/SUM($B$3:$B81))/STDEVA(X71:X81),"")</f>
        <v/>
      </c>
      <c r="AD81" s="84" t="str">
        <f>IF(T81&lt;&gt;"",(Y81-SUMPRODUCT(T$3:T81,$B$3:$B81)/SUM($B$3:$B81))/STDEVA(Y71:Y81),"")</f>
        <v/>
      </c>
      <c r="AE81" s="84" t="str">
        <f>IF(U81&lt;&gt;"",(Z81-SUMPRODUCT(U$3:U81,$B$3:$B81)/SUM($B$3:$B81))/STDEVA(Z71:Z81),"")</f>
        <v/>
      </c>
      <c r="AF81" s="85" t="str">
        <f>IF(V81&lt;&gt;"",(AA81-SUMPRODUCT(V$3:V81,$B$3:$B81)/SUM($B$3:$B81))/STDEVA(AA71:AA81),"")</f>
        <v/>
      </c>
      <c r="AG81" s="90" t="str">
        <f t="shared" si="54"/>
        <v/>
      </c>
      <c r="AH81" s="90" t="str">
        <f t="shared" si="54"/>
        <v/>
      </c>
      <c r="AI81" s="90" t="str">
        <f t="shared" si="54"/>
        <v/>
      </c>
      <c r="AJ81" s="90" t="str">
        <f t="shared" si="54"/>
        <v/>
      </c>
      <c r="AK81" s="93" t="str">
        <f t="shared" si="55"/>
        <v/>
      </c>
      <c r="BQ81" s="100" t="str">
        <f>IF(A81&lt;&gt;"",(VLOOKUP(A81,MarketData!$D:$BP,MATCH($BQ$1,MarketData!$D$1:$EG$1,0),TRUE)/100/365+1)^(B81)*BQ80,"")</f>
        <v/>
      </c>
      <c r="BR81" s="98" t="str">
        <f t="shared" si="32"/>
        <v/>
      </c>
      <c r="BS81" s="106" t="str">
        <f>IF(A81&lt;&gt;"",VLOOKUP(A81,MarketData!$D:$BP,MATCH($BS$1,MarketData!$D$1:$EG$1,0),TRUE),"")</f>
        <v/>
      </c>
      <c r="BT81" s="98" t="str">
        <f t="shared" si="43"/>
        <v/>
      </c>
    </row>
    <row r="82" spans="2:72" x14ac:dyDescent="0.25">
      <c r="B82" s="60" t="str">
        <f t="shared" si="30"/>
        <v/>
      </c>
      <c r="C82" s="3" t="str">
        <f t="shared" si="33"/>
        <v/>
      </c>
      <c r="D82" s="3" t="str">
        <f t="shared" si="34"/>
        <v/>
      </c>
      <c r="E82" s="3" t="str">
        <f t="shared" si="35"/>
        <v/>
      </c>
      <c r="F82" s="3" t="str">
        <f t="shared" si="36"/>
        <v/>
      </c>
      <c r="G82" s="74" t="str">
        <f t="shared" si="37"/>
        <v/>
      </c>
      <c r="H82" s="78" t="str">
        <f>IFERROR(C82/SUM(M$2:M81),"")</f>
        <v/>
      </c>
      <c r="I82" s="61" t="str">
        <f>IFERROR(D82/SUM(N$2:N82),"")</f>
        <v/>
      </c>
      <c r="J82" s="61" t="str">
        <f>IFERROR(E82/SUM(O$2:O82),"")</f>
        <v/>
      </c>
      <c r="K82" s="61" t="str">
        <f>IFERROR(F82/SUM(P$2:P82),"")</f>
        <v/>
      </c>
      <c r="L82" s="79" t="str">
        <f>IFERROR(G82/SUM(Q$2:Q82),"")</f>
        <v/>
      </c>
      <c r="M82" s="64" t="str">
        <f t="shared" si="38"/>
        <v/>
      </c>
      <c r="N82" s="55" t="str">
        <f t="shared" si="39"/>
        <v/>
      </c>
      <c r="O82" s="55" t="str">
        <f t="shared" si="40"/>
        <v/>
      </c>
      <c r="P82" s="55" t="str">
        <f t="shared" si="41"/>
        <v/>
      </c>
      <c r="Q82" s="65" t="str">
        <f t="shared" si="42"/>
        <v/>
      </c>
      <c r="R82" s="67" t="str">
        <f t="shared" si="44"/>
        <v/>
      </c>
      <c r="S82" s="56" t="str">
        <f t="shared" si="45"/>
        <v/>
      </c>
      <c r="T82" s="56" t="str">
        <f t="shared" si="46"/>
        <v/>
      </c>
      <c r="U82" s="56" t="str">
        <f t="shared" si="47"/>
        <v/>
      </c>
      <c r="V82" s="68" t="str">
        <f t="shared" si="48"/>
        <v/>
      </c>
      <c r="W82" s="80" t="str">
        <f t="shared" si="49"/>
        <v/>
      </c>
      <c r="X82" s="81" t="str">
        <f t="shared" si="50"/>
        <v/>
      </c>
      <c r="Y82" s="81" t="str">
        <f t="shared" si="51"/>
        <v/>
      </c>
      <c r="Z82" s="81" t="str">
        <f t="shared" si="52"/>
        <v/>
      </c>
      <c r="AA82" s="82" t="str">
        <f t="shared" si="53"/>
        <v/>
      </c>
      <c r="AB82" s="83" t="str">
        <f>IF(R82&lt;&gt;"",(W82-SUMPRODUCT(R$3:R82,$B$3:$B82)/SUM($B$3:$B82))/STDEVA(W72:W82),"")</f>
        <v/>
      </c>
      <c r="AC82" s="84" t="str">
        <f>IF(S82&lt;&gt;"",(X82-SUMPRODUCT(S$3:S82,$B$3:$B82)/SUM($B$3:$B82))/STDEVA(X72:X82),"")</f>
        <v/>
      </c>
      <c r="AD82" s="84" t="str">
        <f>IF(T82&lt;&gt;"",(Y82-SUMPRODUCT(T$3:T82,$B$3:$B82)/SUM($B$3:$B82))/STDEVA(Y72:Y82),"")</f>
        <v/>
      </c>
      <c r="AE82" s="84" t="str">
        <f>IF(U82&lt;&gt;"",(Z82-SUMPRODUCT(U$3:U82,$B$3:$B82)/SUM($B$3:$B82))/STDEVA(Z72:Z82),"")</f>
        <v/>
      </c>
      <c r="AF82" s="85" t="str">
        <f>IF(V82&lt;&gt;"",(AA82-SUMPRODUCT(V$3:V82,$B$3:$B82)/SUM($B$3:$B82))/STDEVA(AA72:AA82),"")</f>
        <v/>
      </c>
      <c r="AG82" s="90" t="str">
        <f t="shared" si="54"/>
        <v/>
      </c>
      <c r="AH82" s="90" t="str">
        <f t="shared" si="54"/>
        <v/>
      </c>
      <c r="AI82" s="90" t="str">
        <f t="shared" si="54"/>
        <v/>
      </c>
      <c r="AJ82" s="90" t="str">
        <f t="shared" si="54"/>
        <v/>
      </c>
      <c r="AK82" s="93" t="str">
        <f t="shared" si="55"/>
        <v/>
      </c>
      <c r="BQ82" s="100" t="str">
        <f>IF(A82&lt;&gt;"",(VLOOKUP(A82,MarketData!$D:$BP,MATCH($BQ$1,MarketData!$D$1:$EG$1,0),TRUE)/100/365+1)^(B82)*BQ81,"")</f>
        <v/>
      </c>
      <c r="BR82" s="98" t="str">
        <f t="shared" si="32"/>
        <v/>
      </c>
      <c r="BS82" s="106" t="str">
        <f>IF(A82&lt;&gt;"",VLOOKUP(A82,MarketData!$D:$BP,MATCH($BS$1,MarketData!$D$1:$EG$1,0),TRUE),"")</f>
        <v/>
      </c>
      <c r="BT82" s="98" t="str">
        <f t="shared" si="43"/>
        <v/>
      </c>
    </row>
    <row r="83" spans="2:72" x14ac:dyDescent="0.25">
      <c r="B83" s="60" t="str">
        <f t="shared" si="30"/>
        <v/>
      </c>
      <c r="C83" s="3" t="str">
        <f t="shared" si="33"/>
        <v/>
      </c>
      <c r="D83" s="3" t="str">
        <f t="shared" si="34"/>
        <v/>
      </c>
      <c r="E83" s="3" t="str">
        <f t="shared" si="35"/>
        <v/>
      </c>
      <c r="F83" s="3" t="str">
        <f t="shared" si="36"/>
        <v/>
      </c>
      <c r="G83" s="74" t="str">
        <f t="shared" si="37"/>
        <v/>
      </c>
      <c r="H83" s="78" t="str">
        <f>IFERROR(C83/SUM(M$2:M82),"")</f>
        <v/>
      </c>
      <c r="I83" s="61" t="str">
        <f>IFERROR(D83/SUM(N$2:N83),"")</f>
        <v/>
      </c>
      <c r="J83" s="61" t="str">
        <f>IFERROR(E83/SUM(O$2:O83),"")</f>
        <v/>
      </c>
      <c r="K83" s="61" t="str">
        <f>IFERROR(F83/SUM(P$2:P83),"")</f>
        <v/>
      </c>
      <c r="L83" s="79" t="str">
        <f>IFERROR(G83/SUM(Q$2:Q83),"")</f>
        <v/>
      </c>
      <c r="M83" s="64" t="str">
        <f t="shared" si="38"/>
        <v/>
      </c>
      <c r="N83" s="55" t="str">
        <f t="shared" si="39"/>
        <v/>
      </c>
      <c r="O83" s="55" t="str">
        <f t="shared" si="40"/>
        <v/>
      </c>
      <c r="P83" s="55" t="str">
        <f t="shared" si="41"/>
        <v/>
      </c>
      <c r="Q83" s="65" t="str">
        <f t="shared" si="42"/>
        <v/>
      </c>
      <c r="R83" s="67" t="str">
        <f t="shared" si="44"/>
        <v/>
      </c>
      <c r="S83" s="56" t="str">
        <f t="shared" si="45"/>
        <v/>
      </c>
      <c r="T83" s="56" t="str">
        <f t="shared" si="46"/>
        <v/>
      </c>
      <c r="U83" s="56" t="str">
        <f t="shared" si="47"/>
        <v/>
      </c>
      <c r="V83" s="68" t="str">
        <f t="shared" si="48"/>
        <v/>
      </c>
      <c r="W83" s="80" t="str">
        <f t="shared" si="49"/>
        <v/>
      </c>
      <c r="X83" s="81" t="str">
        <f t="shared" si="50"/>
        <v/>
      </c>
      <c r="Y83" s="81" t="str">
        <f t="shared" si="51"/>
        <v/>
      </c>
      <c r="Z83" s="81" t="str">
        <f t="shared" si="52"/>
        <v/>
      </c>
      <c r="AA83" s="82" t="str">
        <f t="shared" si="53"/>
        <v/>
      </c>
      <c r="AB83" s="83" t="str">
        <f>IF(R83&lt;&gt;"",(W83-SUMPRODUCT(R$3:R83,$B$3:$B83)/SUM($B$3:$B83))/STDEVA(W73:W83),"")</f>
        <v/>
      </c>
      <c r="AC83" s="84" t="str">
        <f>IF(S83&lt;&gt;"",(X83-SUMPRODUCT(S$3:S83,$B$3:$B83)/SUM($B$3:$B83))/STDEVA(X73:X83),"")</f>
        <v/>
      </c>
      <c r="AD83" s="84" t="str">
        <f>IF(T83&lt;&gt;"",(Y83-SUMPRODUCT(T$3:T83,$B$3:$B83)/SUM($B$3:$B83))/STDEVA(Y73:Y83),"")</f>
        <v/>
      </c>
      <c r="AE83" s="84" t="str">
        <f>IF(U83&lt;&gt;"",(Z83-SUMPRODUCT(U$3:U83,$B$3:$B83)/SUM($B$3:$B83))/STDEVA(Z73:Z83),"")</f>
        <v/>
      </c>
      <c r="AF83" s="85" t="str">
        <f>IF(V83&lt;&gt;"",(AA83-SUMPRODUCT(V$3:V83,$B$3:$B83)/SUM($B$3:$B83))/STDEVA(AA73:AA83),"")</f>
        <v/>
      </c>
      <c r="AG83" s="90" t="str">
        <f t="shared" si="54"/>
        <v/>
      </c>
      <c r="AH83" s="90" t="str">
        <f t="shared" si="54"/>
        <v/>
      </c>
      <c r="AI83" s="90" t="str">
        <f t="shared" si="54"/>
        <v/>
      </c>
      <c r="AJ83" s="90" t="str">
        <f t="shared" si="54"/>
        <v/>
      </c>
      <c r="AK83" s="93" t="str">
        <f t="shared" si="55"/>
        <v/>
      </c>
      <c r="BQ83" s="100" t="str">
        <f>IF(A83&lt;&gt;"",(VLOOKUP(A83,MarketData!$D:$BP,MATCH($BQ$1,MarketData!$D$1:$EG$1,0),TRUE)/100/365+1)^(B83)*BQ82,"")</f>
        <v/>
      </c>
      <c r="BR83" s="98" t="str">
        <f t="shared" si="32"/>
        <v/>
      </c>
      <c r="BS83" s="106" t="str">
        <f>IF(A83&lt;&gt;"",VLOOKUP(A83,MarketData!$D:$BP,MATCH($BS$1,MarketData!$D$1:$EG$1,0),TRUE),"")</f>
        <v/>
      </c>
      <c r="BT83" s="98" t="str">
        <f t="shared" si="43"/>
        <v/>
      </c>
    </row>
    <row r="84" spans="2:72" x14ac:dyDescent="0.25">
      <c r="B84" s="60" t="str">
        <f t="shared" si="30"/>
        <v/>
      </c>
      <c r="C84" s="3" t="str">
        <f t="shared" si="33"/>
        <v/>
      </c>
      <c r="D84" s="3" t="str">
        <f t="shared" si="34"/>
        <v/>
      </c>
      <c r="E84" s="3" t="str">
        <f t="shared" si="35"/>
        <v/>
      </c>
      <c r="F84" s="3" t="str">
        <f t="shared" si="36"/>
        <v/>
      </c>
      <c r="G84" s="74" t="str">
        <f t="shared" si="37"/>
        <v/>
      </c>
      <c r="H84" s="78" t="str">
        <f>IFERROR(C84/SUM(M$2:M83),"")</f>
        <v/>
      </c>
      <c r="I84" s="61" t="str">
        <f>IFERROR(D84/SUM(N$2:N84),"")</f>
        <v/>
      </c>
      <c r="J84" s="61" t="str">
        <f>IFERROR(E84/SUM(O$2:O84),"")</f>
        <v/>
      </c>
      <c r="K84" s="61" t="str">
        <f>IFERROR(F84/SUM(P$2:P84),"")</f>
        <v/>
      </c>
      <c r="L84" s="79" t="str">
        <f>IFERROR(G84/SUM(Q$2:Q84),"")</f>
        <v/>
      </c>
      <c r="M84" s="64" t="str">
        <f t="shared" si="38"/>
        <v/>
      </c>
      <c r="N84" s="55" t="str">
        <f t="shared" si="39"/>
        <v/>
      </c>
      <c r="O84" s="55" t="str">
        <f t="shared" si="40"/>
        <v/>
      </c>
      <c r="P84" s="55" t="str">
        <f t="shared" si="41"/>
        <v/>
      </c>
      <c r="Q84" s="65" t="str">
        <f t="shared" si="42"/>
        <v/>
      </c>
      <c r="R84" s="67" t="str">
        <f t="shared" si="44"/>
        <v/>
      </c>
      <c r="S84" s="56" t="str">
        <f t="shared" si="45"/>
        <v/>
      </c>
      <c r="T84" s="56" t="str">
        <f t="shared" si="46"/>
        <v/>
      </c>
      <c r="U84" s="56" t="str">
        <f t="shared" si="47"/>
        <v/>
      </c>
      <c r="V84" s="68" t="str">
        <f t="shared" si="48"/>
        <v/>
      </c>
      <c r="W84" s="80" t="str">
        <f t="shared" si="49"/>
        <v/>
      </c>
      <c r="X84" s="81" t="str">
        <f t="shared" si="50"/>
        <v/>
      </c>
      <c r="Y84" s="81" t="str">
        <f t="shared" si="51"/>
        <v/>
      </c>
      <c r="Z84" s="81" t="str">
        <f t="shared" si="52"/>
        <v/>
      </c>
      <c r="AA84" s="82" t="str">
        <f t="shared" si="53"/>
        <v/>
      </c>
      <c r="AB84" s="83" t="str">
        <f>IF(R84&lt;&gt;"",(W84-SUMPRODUCT(R$3:R84,$B$3:$B84)/SUM($B$3:$B84))/STDEVA(W74:W84),"")</f>
        <v/>
      </c>
      <c r="AC84" s="84" t="str">
        <f>IF(S84&lt;&gt;"",(X84-SUMPRODUCT(S$3:S84,$B$3:$B84)/SUM($B$3:$B84))/STDEVA(X74:X84),"")</f>
        <v/>
      </c>
      <c r="AD84" s="84" t="str">
        <f>IF(T84&lt;&gt;"",(Y84-SUMPRODUCT(T$3:T84,$B$3:$B84)/SUM($B$3:$B84))/STDEVA(Y74:Y84),"")</f>
        <v/>
      </c>
      <c r="AE84" s="84" t="str">
        <f>IF(U84&lt;&gt;"",(Z84-SUMPRODUCT(U$3:U84,$B$3:$B84)/SUM($B$3:$B84))/STDEVA(Z74:Z84),"")</f>
        <v/>
      </c>
      <c r="AF84" s="85" t="str">
        <f>IF(V84&lt;&gt;"",(AA84-SUMPRODUCT(V$3:V84,$B$3:$B84)/SUM($B$3:$B84))/STDEVA(AA74:AA84),"")</f>
        <v/>
      </c>
      <c r="AG84" s="90" t="str">
        <f t="shared" si="54"/>
        <v/>
      </c>
      <c r="AH84" s="90" t="str">
        <f t="shared" si="54"/>
        <v/>
      </c>
      <c r="AI84" s="90" t="str">
        <f t="shared" si="54"/>
        <v/>
      </c>
      <c r="AJ84" s="90" t="str">
        <f t="shared" si="54"/>
        <v/>
      </c>
      <c r="AK84" s="93" t="str">
        <f t="shared" si="55"/>
        <v/>
      </c>
      <c r="BQ84" s="100" t="str">
        <f>IF(A84&lt;&gt;"",(VLOOKUP(A84,MarketData!$D:$BP,MATCH($BQ$1,MarketData!$D$1:$EG$1,0),TRUE)/100/365+1)^(B84)*BQ83,"")</f>
        <v/>
      </c>
      <c r="BR84" s="98" t="str">
        <f t="shared" si="32"/>
        <v/>
      </c>
      <c r="BS84" s="106" t="str">
        <f>IF(A84&lt;&gt;"",VLOOKUP(A84,MarketData!$D:$BP,MATCH($BS$1,MarketData!$D$1:$EG$1,0),TRUE),"")</f>
        <v/>
      </c>
      <c r="BT84" s="98" t="str">
        <f t="shared" si="43"/>
        <v/>
      </c>
    </row>
    <row r="85" spans="2:72" x14ac:dyDescent="0.25">
      <c r="B85" s="60" t="str">
        <f t="shared" si="30"/>
        <v/>
      </c>
      <c r="C85" s="3" t="str">
        <f t="shared" si="33"/>
        <v/>
      </c>
      <c r="D85" s="3" t="str">
        <f t="shared" si="34"/>
        <v/>
      </c>
      <c r="E85" s="3" t="str">
        <f t="shared" si="35"/>
        <v/>
      </c>
      <c r="F85" s="3" t="str">
        <f t="shared" si="36"/>
        <v/>
      </c>
      <c r="G85" s="74" t="str">
        <f t="shared" si="37"/>
        <v/>
      </c>
      <c r="H85" s="78" t="str">
        <f>IFERROR(C85/SUM(M$2:M84),"")</f>
        <v/>
      </c>
      <c r="I85" s="61" t="str">
        <f>IFERROR(D85/SUM(N$2:N85),"")</f>
        <v/>
      </c>
      <c r="J85" s="61" t="str">
        <f>IFERROR(E85/SUM(O$2:O85),"")</f>
        <v/>
      </c>
      <c r="K85" s="61" t="str">
        <f>IFERROR(F85/SUM(P$2:P85),"")</f>
        <v/>
      </c>
      <c r="L85" s="79" t="str">
        <f>IFERROR(G85/SUM(Q$2:Q85),"")</f>
        <v/>
      </c>
      <c r="M85" s="64" t="str">
        <f t="shared" si="38"/>
        <v/>
      </c>
      <c r="N85" s="55" t="str">
        <f t="shared" si="39"/>
        <v/>
      </c>
      <c r="O85" s="55" t="str">
        <f t="shared" si="40"/>
        <v/>
      </c>
      <c r="P85" s="55" t="str">
        <f t="shared" si="41"/>
        <v/>
      </c>
      <c r="Q85" s="65" t="str">
        <f t="shared" si="42"/>
        <v/>
      </c>
      <c r="R85" s="67" t="str">
        <f t="shared" si="44"/>
        <v/>
      </c>
      <c r="S85" s="56" t="str">
        <f t="shared" si="45"/>
        <v/>
      </c>
      <c r="T85" s="56" t="str">
        <f t="shared" si="46"/>
        <v/>
      </c>
      <c r="U85" s="56" t="str">
        <f t="shared" si="47"/>
        <v/>
      </c>
      <c r="V85" s="68" t="str">
        <f t="shared" si="48"/>
        <v/>
      </c>
      <c r="W85" s="80" t="str">
        <f t="shared" si="49"/>
        <v/>
      </c>
      <c r="X85" s="81" t="str">
        <f t="shared" si="50"/>
        <v/>
      </c>
      <c r="Y85" s="81" t="str">
        <f t="shared" si="51"/>
        <v/>
      </c>
      <c r="Z85" s="81" t="str">
        <f t="shared" si="52"/>
        <v/>
      </c>
      <c r="AA85" s="82" t="str">
        <f t="shared" si="53"/>
        <v/>
      </c>
      <c r="AB85" s="83" t="str">
        <f>IF(R85&lt;&gt;"",(W85-SUMPRODUCT(R$3:R85,$B$3:$B85)/SUM($B$3:$B85))/STDEVA(W75:W85),"")</f>
        <v/>
      </c>
      <c r="AC85" s="84" t="str">
        <f>IF(S85&lt;&gt;"",(X85-SUMPRODUCT(S$3:S85,$B$3:$B85)/SUM($B$3:$B85))/STDEVA(X75:X85),"")</f>
        <v/>
      </c>
      <c r="AD85" s="84" t="str">
        <f>IF(T85&lt;&gt;"",(Y85-SUMPRODUCT(T$3:T85,$B$3:$B85)/SUM($B$3:$B85))/STDEVA(Y75:Y85),"")</f>
        <v/>
      </c>
      <c r="AE85" s="84" t="str">
        <f>IF(U85&lt;&gt;"",(Z85-SUMPRODUCT(U$3:U85,$B$3:$B85)/SUM($B$3:$B85))/STDEVA(Z75:Z85),"")</f>
        <v/>
      </c>
      <c r="AF85" s="85" t="str">
        <f>IF(V85&lt;&gt;"",(AA85-SUMPRODUCT(V$3:V85,$B$3:$B85)/SUM($B$3:$B85))/STDEVA(AA75:AA85),"")</f>
        <v/>
      </c>
      <c r="AG85" s="90" t="str">
        <f t="shared" si="54"/>
        <v/>
      </c>
      <c r="AH85" s="90" t="str">
        <f t="shared" si="54"/>
        <v/>
      </c>
      <c r="AI85" s="90" t="str">
        <f t="shared" si="54"/>
        <v/>
      </c>
      <c r="AJ85" s="90" t="str">
        <f t="shared" si="54"/>
        <v/>
      </c>
      <c r="AK85" s="93" t="str">
        <f t="shared" si="55"/>
        <v/>
      </c>
      <c r="BQ85" s="100" t="str">
        <f>IF(A85&lt;&gt;"",(VLOOKUP(A85,MarketData!$D:$BP,MATCH($BQ$1,MarketData!$D$1:$EG$1,0),TRUE)/100/365+1)^(B85)*BQ84,"")</f>
        <v/>
      </c>
      <c r="BR85" s="98" t="str">
        <f t="shared" si="32"/>
        <v/>
      </c>
      <c r="BS85" s="106" t="str">
        <f>IF(A85&lt;&gt;"",VLOOKUP(A85,MarketData!$D:$BP,MATCH($BS$1,MarketData!$D$1:$EG$1,0),TRUE),"")</f>
        <v/>
      </c>
      <c r="BT85" s="98" t="str">
        <f t="shared" si="43"/>
        <v/>
      </c>
    </row>
    <row r="86" spans="2:72" x14ac:dyDescent="0.25">
      <c r="B86" s="60" t="str">
        <f t="shared" si="30"/>
        <v/>
      </c>
      <c r="C86" s="3" t="str">
        <f t="shared" si="33"/>
        <v/>
      </c>
      <c r="D86" s="3" t="str">
        <f t="shared" si="34"/>
        <v/>
      </c>
      <c r="E86" s="3" t="str">
        <f t="shared" si="35"/>
        <v/>
      </c>
      <c r="F86" s="3" t="str">
        <f t="shared" si="36"/>
        <v/>
      </c>
      <c r="G86" s="74" t="str">
        <f t="shared" si="37"/>
        <v/>
      </c>
      <c r="H86" s="78" t="str">
        <f>IFERROR(C86/SUM(M$2:M85),"")</f>
        <v/>
      </c>
      <c r="I86" s="61" t="str">
        <f>IFERROR(D86/SUM(N$2:N86),"")</f>
        <v/>
      </c>
      <c r="J86" s="61" t="str">
        <f>IFERROR(E86/SUM(O$2:O86),"")</f>
        <v/>
      </c>
      <c r="K86" s="61" t="str">
        <f>IFERROR(F86/SUM(P$2:P86),"")</f>
        <v/>
      </c>
      <c r="L86" s="79" t="str">
        <f>IFERROR(G86/SUM(Q$2:Q86),"")</f>
        <v/>
      </c>
      <c r="M86" s="64" t="str">
        <f t="shared" si="38"/>
        <v/>
      </c>
      <c r="N86" s="55" t="str">
        <f t="shared" si="39"/>
        <v/>
      </c>
      <c r="O86" s="55" t="str">
        <f t="shared" si="40"/>
        <v/>
      </c>
      <c r="P86" s="55" t="str">
        <f t="shared" si="41"/>
        <v/>
      </c>
      <c r="Q86" s="65" t="str">
        <f t="shared" si="42"/>
        <v/>
      </c>
      <c r="R86" s="67" t="str">
        <f t="shared" si="44"/>
        <v/>
      </c>
      <c r="S86" s="56" t="str">
        <f t="shared" si="45"/>
        <v/>
      </c>
      <c r="T86" s="56" t="str">
        <f t="shared" si="46"/>
        <v/>
      </c>
      <c r="U86" s="56" t="str">
        <f t="shared" si="47"/>
        <v/>
      </c>
      <c r="V86" s="68" t="str">
        <f t="shared" si="48"/>
        <v/>
      </c>
      <c r="W86" s="80" t="str">
        <f t="shared" si="49"/>
        <v/>
      </c>
      <c r="X86" s="81" t="str">
        <f t="shared" si="50"/>
        <v/>
      </c>
      <c r="Y86" s="81" t="str">
        <f t="shared" si="51"/>
        <v/>
      </c>
      <c r="Z86" s="81" t="str">
        <f t="shared" si="52"/>
        <v/>
      </c>
      <c r="AA86" s="82" t="str">
        <f t="shared" si="53"/>
        <v/>
      </c>
      <c r="AB86" s="83" t="str">
        <f>IF(R86&lt;&gt;"",(W86-SUMPRODUCT(R$3:R86,$B$3:$B86)/SUM($B$3:$B86))/STDEVA(W76:W86),"")</f>
        <v/>
      </c>
      <c r="AC86" s="84" t="str">
        <f>IF(S86&lt;&gt;"",(X86-SUMPRODUCT(S$3:S86,$B$3:$B86)/SUM($B$3:$B86))/STDEVA(X76:X86),"")</f>
        <v/>
      </c>
      <c r="AD86" s="84" t="str">
        <f>IF(T86&lt;&gt;"",(Y86-SUMPRODUCT(T$3:T86,$B$3:$B86)/SUM($B$3:$B86))/STDEVA(Y76:Y86),"")</f>
        <v/>
      </c>
      <c r="AE86" s="84" t="str">
        <f>IF(U86&lt;&gt;"",(Z86-SUMPRODUCT(U$3:U86,$B$3:$B86)/SUM($B$3:$B86))/STDEVA(Z76:Z86),"")</f>
        <v/>
      </c>
      <c r="AF86" s="85" t="str">
        <f>IF(V86&lt;&gt;"",(AA86-SUMPRODUCT(V$3:V86,$B$3:$B86)/SUM($B$3:$B86))/STDEVA(AA76:AA86),"")</f>
        <v/>
      </c>
      <c r="AG86" s="90" t="str">
        <f t="shared" si="54"/>
        <v/>
      </c>
      <c r="AH86" s="90" t="str">
        <f t="shared" si="54"/>
        <v/>
      </c>
      <c r="AI86" s="90" t="str">
        <f t="shared" si="54"/>
        <v/>
      </c>
      <c r="AJ86" s="90" t="str">
        <f t="shared" si="54"/>
        <v/>
      </c>
      <c r="AK86" s="93" t="str">
        <f t="shared" si="55"/>
        <v/>
      </c>
      <c r="BQ86" s="100" t="str">
        <f>IF(A86&lt;&gt;"",(VLOOKUP(A86,MarketData!$D:$BP,MATCH($BQ$1,MarketData!$D$1:$EG$1,0),TRUE)/100/365+1)^(B86)*BQ85,"")</f>
        <v/>
      </c>
      <c r="BR86" s="98" t="str">
        <f t="shared" si="32"/>
        <v/>
      </c>
      <c r="BS86" s="106" t="str">
        <f>IF(A86&lt;&gt;"",VLOOKUP(A86,MarketData!$D:$BP,MATCH($BS$1,MarketData!$D$1:$EG$1,0),TRUE),"")</f>
        <v/>
      </c>
      <c r="BT86" s="98" t="str">
        <f t="shared" si="43"/>
        <v/>
      </c>
    </row>
    <row r="87" spans="2:72" x14ac:dyDescent="0.25">
      <c r="B87" s="60" t="str">
        <f t="shared" si="30"/>
        <v/>
      </c>
      <c r="C87" s="3" t="str">
        <f t="shared" si="33"/>
        <v/>
      </c>
      <c r="D87" s="3" t="str">
        <f t="shared" si="34"/>
        <v/>
      </c>
      <c r="E87" s="3" t="str">
        <f t="shared" si="35"/>
        <v/>
      </c>
      <c r="F87" s="3" t="str">
        <f t="shared" si="36"/>
        <v/>
      </c>
      <c r="G87" s="74" t="str">
        <f t="shared" si="37"/>
        <v/>
      </c>
      <c r="H87" s="78" t="str">
        <f>IFERROR(C87/SUM(M$2:M86),"")</f>
        <v/>
      </c>
      <c r="I87" s="61" t="str">
        <f>IFERROR(D87/SUM(N$2:N87),"")</f>
        <v/>
      </c>
      <c r="J87" s="61" t="str">
        <f>IFERROR(E87/SUM(O$2:O87),"")</f>
        <v/>
      </c>
      <c r="K87" s="61" t="str">
        <f>IFERROR(F87/SUM(P$2:P87),"")</f>
        <v/>
      </c>
      <c r="L87" s="79" t="str">
        <f>IFERROR(G87/SUM(Q$2:Q87),"")</f>
        <v/>
      </c>
      <c r="M87" s="64" t="str">
        <f t="shared" si="38"/>
        <v/>
      </c>
      <c r="N87" s="55" t="str">
        <f t="shared" si="39"/>
        <v/>
      </c>
      <c r="O87" s="55" t="str">
        <f t="shared" si="40"/>
        <v/>
      </c>
      <c r="P87" s="55" t="str">
        <f t="shared" si="41"/>
        <v/>
      </c>
      <c r="Q87" s="65" t="str">
        <f t="shared" si="42"/>
        <v/>
      </c>
      <c r="R87" s="67" t="str">
        <f t="shared" si="44"/>
        <v/>
      </c>
      <c r="S87" s="56" t="str">
        <f t="shared" si="45"/>
        <v/>
      </c>
      <c r="T87" s="56" t="str">
        <f t="shared" si="46"/>
        <v/>
      </c>
      <c r="U87" s="56" t="str">
        <f t="shared" si="47"/>
        <v/>
      </c>
      <c r="V87" s="68" t="str">
        <f t="shared" si="48"/>
        <v/>
      </c>
      <c r="W87" s="80" t="str">
        <f t="shared" si="49"/>
        <v/>
      </c>
      <c r="X87" s="81" t="str">
        <f t="shared" si="50"/>
        <v/>
      </c>
      <c r="Y87" s="81" t="str">
        <f t="shared" si="51"/>
        <v/>
      </c>
      <c r="Z87" s="81" t="str">
        <f t="shared" si="52"/>
        <v/>
      </c>
      <c r="AA87" s="82" t="str">
        <f t="shared" si="53"/>
        <v/>
      </c>
      <c r="AB87" s="83" t="str">
        <f>IF(R87&lt;&gt;"",(W87-SUMPRODUCT(R$3:R87,$B$3:$B87)/SUM($B$3:$B87))/STDEVA(W77:W87),"")</f>
        <v/>
      </c>
      <c r="AC87" s="84" t="str">
        <f>IF(S87&lt;&gt;"",(X87-SUMPRODUCT(S$3:S87,$B$3:$B87)/SUM($B$3:$B87))/STDEVA(X77:X87),"")</f>
        <v/>
      </c>
      <c r="AD87" s="84" t="str">
        <f>IF(T87&lt;&gt;"",(Y87-SUMPRODUCT(T$3:T87,$B$3:$B87)/SUM($B$3:$B87))/STDEVA(Y77:Y87),"")</f>
        <v/>
      </c>
      <c r="AE87" s="84" t="str">
        <f>IF(U87&lt;&gt;"",(Z87-SUMPRODUCT(U$3:U87,$B$3:$B87)/SUM($B$3:$B87))/STDEVA(Z77:Z87),"")</f>
        <v/>
      </c>
      <c r="AF87" s="85" t="str">
        <f>IF(V87&lt;&gt;"",(AA87-SUMPRODUCT(V$3:V87,$B$3:$B87)/SUM($B$3:$B87))/STDEVA(AA77:AA87),"")</f>
        <v/>
      </c>
      <c r="AG87" s="90" t="str">
        <f t="shared" si="54"/>
        <v/>
      </c>
      <c r="AH87" s="90" t="str">
        <f t="shared" si="54"/>
        <v/>
      </c>
      <c r="AI87" s="90" t="str">
        <f t="shared" si="54"/>
        <v/>
      </c>
      <c r="AJ87" s="90" t="str">
        <f t="shared" si="54"/>
        <v/>
      </c>
      <c r="AK87" s="93" t="str">
        <f t="shared" si="55"/>
        <v/>
      </c>
      <c r="BQ87" s="100" t="str">
        <f>IF(A87&lt;&gt;"",(VLOOKUP(A87,MarketData!$D:$BP,MATCH($BQ$1,MarketData!$D$1:$EG$1,0),TRUE)/100/365+1)^(B87)*BQ86,"")</f>
        <v/>
      </c>
      <c r="BR87" s="98" t="str">
        <f t="shared" si="32"/>
        <v/>
      </c>
      <c r="BS87" s="106" t="str">
        <f>IF(A87&lt;&gt;"",VLOOKUP(A87,MarketData!$D:$BP,MATCH($BS$1,MarketData!$D$1:$EG$1,0),TRUE),"")</f>
        <v/>
      </c>
      <c r="BT87" s="98" t="str">
        <f t="shared" si="43"/>
        <v/>
      </c>
    </row>
    <row r="88" spans="2:72" x14ac:dyDescent="0.25">
      <c r="B88" s="60" t="str">
        <f t="shared" si="30"/>
        <v/>
      </c>
      <c r="C88" s="3" t="str">
        <f t="shared" si="33"/>
        <v/>
      </c>
      <c r="D88" s="3" t="str">
        <f t="shared" si="34"/>
        <v/>
      </c>
      <c r="E88" s="3" t="str">
        <f t="shared" si="35"/>
        <v/>
      </c>
      <c r="F88" s="3" t="str">
        <f t="shared" si="36"/>
        <v/>
      </c>
      <c r="G88" s="74" t="str">
        <f t="shared" si="37"/>
        <v/>
      </c>
      <c r="H88" s="78" t="str">
        <f>IFERROR(C88/SUM(M$2:M87),"")</f>
        <v/>
      </c>
      <c r="I88" s="61" t="str">
        <f>IFERROR(D88/SUM(N$2:N88),"")</f>
        <v/>
      </c>
      <c r="J88" s="61" t="str">
        <f>IFERROR(E88/SUM(O$2:O88),"")</f>
        <v/>
      </c>
      <c r="K88" s="61" t="str">
        <f>IFERROR(F88/SUM(P$2:P88),"")</f>
        <v/>
      </c>
      <c r="L88" s="79" t="str">
        <f>IFERROR(G88/SUM(Q$2:Q88),"")</f>
        <v/>
      </c>
      <c r="M88" s="64" t="str">
        <f t="shared" si="38"/>
        <v/>
      </c>
      <c r="N88" s="55" t="str">
        <f t="shared" si="39"/>
        <v/>
      </c>
      <c r="O88" s="55" t="str">
        <f t="shared" si="40"/>
        <v/>
      </c>
      <c r="P88" s="55" t="str">
        <f t="shared" si="41"/>
        <v/>
      </c>
      <c r="Q88" s="65" t="str">
        <f t="shared" si="42"/>
        <v/>
      </c>
      <c r="R88" s="67" t="str">
        <f t="shared" si="44"/>
        <v/>
      </c>
      <c r="S88" s="56" t="str">
        <f t="shared" si="45"/>
        <v/>
      </c>
      <c r="T88" s="56" t="str">
        <f t="shared" si="46"/>
        <v/>
      </c>
      <c r="U88" s="56" t="str">
        <f t="shared" si="47"/>
        <v/>
      </c>
      <c r="V88" s="68" t="str">
        <f t="shared" si="48"/>
        <v/>
      </c>
      <c r="W88" s="80" t="str">
        <f t="shared" si="49"/>
        <v/>
      </c>
      <c r="X88" s="81" t="str">
        <f t="shared" si="50"/>
        <v/>
      </c>
      <c r="Y88" s="81" t="str">
        <f t="shared" si="51"/>
        <v/>
      </c>
      <c r="Z88" s="81" t="str">
        <f t="shared" si="52"/>
        <v/>
      </c>
      <c r="AA88" s="82" t="str">
        <f t="shared" si="53"/>
        <v/>
      </c>
      <c r="AB88" s="83" t="str">
        <f>IF(R88&lt;&gt;"",(W88-SUMPRODUCT(R$3:R88,$B$3:$B88)/SUM($B$3:$B88))/STDEVA(W78:W88),"")</f>
        <v/>
      </c>
      <c r="AC88" s="84" t="str">
        <f>IF(S88&lt;&gt;"",(X88-SUMPRODUCT(S$3:S88,$B$3:$B88)/SUM($B$3:$B88))/STDEVA(X78:X88),"")</f>
        <v/>
      </c>
      <c r="AD88" s="84" t="str">
        <f>IF(T88&lt;&gt;"",(Y88-SUMPRODUCT(T$3:T88,$B$3:$B88)/SUM($B$3:$B88))/STDEVA(Y78:Y88),"")</f>
        <v/>
      </c>
      <c r="AE88" s="84" t="str">
        <f>IF(U88&lt;&gt;"",(Z88-SUMPRODUCT(U$3:U88,$B$3:$B88)/SUM($B$3:$B88))/STDEVA(Z78:Z88),"")</f>
        <v/>
      </c>
      <c r="AF88" s="85" t="str">
        <f>IF(V88&lt;&gt;"",(AA88-SUMPRODUCT(V$3:V88,$B$3:$B88)/SUM($B$3:$B88))/STDEVA(AA78:AA88),"")</f>
        <v/>
      </c>
      <c r="AG88" s="90" t="str">
        <f t="shared" si="54"/>
        <v/>
      </c>
      <c r="AH88" s="90" t="str">
        <f t="shared" si="54"/>
        <v/>
      </c>
      <c r="AI88" s="90" t="str">
        <f t="shared" si="54"/>
        <v/>
      </c>
      <c r="AJ88" s="90" t="str">
        <f t="shared" si="54"/>
        <v/>
      </c>
      <c r="AK88" s="93" t="str">
        <f t="shared" si="55"/>
        <v/>
      </c>
      <c r="BQ88" s="100" t="str">
        <f>IF(A88&lt;&gt;"",(VLOOKUP(A88,MarketData!$D:$BP,MATCH($BQ$1,MarketData!$D$1:$EG$1,0),TRUE)/100/365+1)^(B88)*BQ87,"")</f>
        <v/>
      </c>
      <c r="BR88" s="98" t="str">
        <f t="shared" si="32"/>
        <v/>
      </c>
      <c r="BS88" s="106" t="str">
        <f>IF(A88&lt;&gt;"",VLOOKUP(A88,MarketData!$D:$BP,MATCH($BS$1,MarketData!$D$1:$EG$1,0),TRUE),"")</f>
        <v/>
      </c>
      <c r="BT88" s="98" t="str">
        <f t="shared" si="43"/>
        <v/>
      </c>
    </row>
    <row r="89" spans="2:72" x14ac:dyDescent="0.25">
      <c r="B89" s="60" t="str">
        <f t="shared" si="30"/>
        <v/>
      </c>
      <c r="C89" s="3" t="str">
        <f t="shared" si="33"/>
        <v/>
      </c>
      <c r="D89" s="3" t="str">
        <f t="shared" si="34"/>
        <v/>
      </c>
      <c r="E89" s="3" t="str">
        <f t="shared" si="35"/>
        <v/>
      </c>
      <c r="F89" s="3" t="str">
        <f t="shared" si="36"/>
        <v/>
      </c>
      <c r="G89" s="74" t="str">
        <f t="shared" si="37"/>
        <v/>
      </c>
      <c r="H89" s="78" t="str">
        <f>IFERROR(C89/SUM(M$2:M88),"")</f>
        <v/>
      </c>
      <c r="I89" s="61" t="str">
        <f>IFERROR(D89/SUM(N$2:N89),"")</f>
        <v/>
      </c>
      <c r="J89" s="61" t="str">
        <f>IFERROR(E89/SUM(O$2:O89),"")</f>
        <v/>
      </c>
      <c r="K89" s="61" t="str">
        <f>IFERROR(F89/SUM(P$2:P89),"")</f>
        <v/>
      </c>
      <c r="L89" s="79" t="str">
        <f>IFERROR(G89/SUM(Q$2:Q89),"")</f>
        <v/>
      </c>
      <c r="M89" s="64" t="str">
        <f t="shared" si="38"/>
        <v/>
      </c>
      <c r="N89" s="55" t="str">
        <f t="shared" si="39"/>
        <v/>
      </c>
      <c r="O89" s="55" t="str">
        <f t="shared" si="40"/>
        <v/>
      </c>
      <c r="P89" s="55" t="str">
        <f t="shared" si="41"/>
        <v/>
      </c>
      <c r="Q89" s="65" t="str">
        <f t="shared" si="42"/>
        <v/>
      </c>
      <c r="R89" s="67" t="str">
        <f t="shared" si="44"/>
        <v/>
      </c>
      <c r="S89" s="56" t="str">
        <f t="shared" si="45"/>
        <v/>
      </c>
      <c r="T89" s="56" t="str">
        <f t="shared" si="46"/>
        <v/>
      </c>
      <c r="U89" s="56" t="str">
        <f t="shared" si="47"/>
        <v/>
      </c>
      <c r="V89" s="68" t="str">
        <f t="shared" si="48"/>
        <v/>
      </c>
      <c r="W89" s="80" t="str">
        <f t="shared" si="49"/>
        <v/>
      </c>
      <c r="X89" s="81" t="str">
        <f t="shared" si="50"/>
        <v/>
      </c>
      <c r="Y89" s="81" t="str">
        <f t="shared" si="51"/>
        <v/>
      </c>
      <c r="Z89" s="81" t="str">
        <f t="shared" si="52"/>
        <v/>
      </c>
      <c r="AA89" s="82" t="str">
        <f t="shared" si="53"/>
        <v/>
      </c>
      <c r="AB89" s="83" t="str">
        <f>IF(R89&lt;&gt;"",(W89-SUMPRODUCT(R$3:R89,$B$3:$B89)/SUM($B$3:$B89))/STDEVA(W79:W89),"")</f>
        <v/>
      </c>
      <c r="AC89" s="84" t="str">
        <f>IF(S89&lt;&gt;"",(X89-SUMPRODUCT(S$3:S89,$B$3:$B89)/SUM($B$3:$B89))/STDEVA(X79:X89),"")</f>
        <v/>
      </c>
      <c r="AD89" s="84" t="str">
        <f>IF(T89&lt;&gt;"",(Y89-SUMPRODUCT(T$3:T89,$B$3:$B89)/SUM($B$3:$B89))/STDEVA(Y79:Y89),"")</f>
        <v/>
      </c>
      <c r="AE89" s="84" t="str">
        <f>IF(U89&lt;&gt;"",(Z89-SUMPRODUCT(U$3:U89,$B$3:$B89)/SUM($B$3:$B89))/STDEVA(Z79:Z89),"")</f>
        <v/>
      </c>
      <c r="AF89" s="85" t="str">
        <f>IF(V89&lt;&gt;"",(AA89-SUMPRODUCT(V$3:V89,$B$3:$B89)/SUM($B$3:$B89))/STDEVA(AA79:AA89),"")</f>
        <v/>
      </c>
      <c r="AG89" s="90" t="str">
        <f t="shared" si="54"/>
        <v/>
      </c>
      <c r="AH89" s="90" t="str">
        <f t="shared" si="54"/>
        <v/>
      </c>
      <c r="AI89" s="90" t="str">
        <f t="shared" si="54"/>
        <v/>
      </c>
      <c r="AJ89" s="90" t="str">
        <f t="shared" si="54"/>
        <v/>
      </c>
      <c r="AK89" s="93" t="str">
        <f t="shared" si="55"/>
        <v/>
      </c>
      <c r="BQ89" s="100" t="str">
        <f>IF(A89&lt;&gt;"",(VLOOKUP(A89,MarketData!$D:$BP,MATCH($BQ$1,MarketData!$D$1:$EG$1,0),TRUE)/100/365+1)^(B89)*BQ88,"")</f>
        <v/>
      </c>
      <c r="BR89" s="98" t="str">
        <f t="shared" si="32"/>
        <v/>
      </c>
      <c r="BS89" s="106" t="str">
        <f>IF(A89&lt;&gt;"",VLOOKUP(A89,MarketData!$D:$BP,MATCH($BS$1,MarketData!$D$1:$EG$1,0),TRUE),"")</f>
        <v/>
      </c>
      <c r="BT89" s="98" t="str">
        <f t="shared" si="43"/>
        <v/>
      </c>
    </row>
    <row r="90" spans="2:72" x14ac:dyDescent="0.25">
      <c r="B90" s="60" t="str">
        <f t="shared" si="30"/>
        <v/>
      </c>
      <c r="C90" s="3" t="str">
        <f t="shared" si="33"/>
        <v/>
      </c>
      <c r="D90" s="3" t="str">
        <f t="shared" si="34"/>
        <v/>
      </c>
      <c r="E90" s="3" t="str">
        <f t="shared" si="35"/>
        <v/>
      </c>
      <c r="F90" s="3" t="str">
        <f t="shared" si="36"/>
        <v/>
      </c>
      <c r="G90" s="74" t="str">
        <f t="shared" si="37"/>
        <v/>
      </c>
      <c r="H90" s="78" t="str">
        <f>IFERROR(C90/SUM(M$2:M89),"")</f>
        <v/>
      </c>
      <c r="I90" s="61" t="str">
        <f>IFERROR(D90/SUM(N$2:N90),"")</f>
        <v/>
      </c>
      <c r="J90" s="61" t="str">
        <f>IFERROR(E90/SUM(O$2:O90),"")</f>
        <v/>
      </c>
      <c r="K90" s="61" t="str">
        <f>IFERROR(F90/SUM(P$2:P90),"")</f>
        <v/>
      </c>
      <c r="L90" s="79" t="str">
        <f>IFERROR(G90/SUM(Q$2:Q90),"")</f>
        <v/>
      </c>
      <c r="M90" s="64" t="str">
        <f t="shared" si="38"/>
        <v/>
      </c>
      <c r="N90" s="55" t="str">
        <f t="shared" si="39"/>
        <v/>
      </c>
      <c r="O90" s="55" t="str">
        <f t="shared" si="40"/>
        <v/>
      </c>
      <c r="P90" s="55" t="str">
        <f t="shared" si="41"/>
        <v/>
      </c>
      <c r="Q90" s="65" t="str">
        <f t="shared" si="42"/>
        <v/>
      </c>
      <c r="R90" s="67" t="str">
        <f t="shared" si="44"/>
        <v/>
      </c>
      <c r="S90" s="56" t="str">
        <f t="shared" si="45"/>
        <v/>
      </c>
      <c r="T90" s="56" t="str">
        <f t="shared" si="46"/>
        <v/>
      </c>
      <c r="U90" s="56" t="str">
        <f t="shared" si="47"/>
        <v/>
      </c>
      <c r="V90" s="68" t="str">
        <f t="shared" si="48"/>
        <v/>
      </c>
      <c r="W90" s="80" t="str">
        <f t="shared" si="49"/>
        <v/>
      </c>
      <c r="X90" s="81" t="str">
        <f t="shared" si="50"/>
        <v/>
      </c>
      <c r="Y90" s="81" t="str">
        <f t="shared" si="51"/>
        <v/>
      </c>
      <c r="Z90" s="81" t="str">
        <f t="shared" si="52"/>
        <v/>
      </c>
      <c r="AA90" s="82" t="str">
        <f t="shared" si="53"/>
        <v/>
      </c>
      <c r="AB90" s="83" t="str">
        <f>IF(R90&lt;&gt;"",(W90-SUMPRODUCT(R$3:R90,$B$3:$B90)/SUM($B$3:$B90))/STDEVA(W80:W90),"")</f>
        <v/>
      </c>
      <c r="AC90" s="84" t="str">
        <f>IF(S90&lt;&gt;"",(X90-SUMPRODUCT(S$3:S90,$B$3:$B90)/SUM($B$3:$B90))/STDEVA(X80:X90),"")</f>
        <v/>
      </c>
      <c r="AD90" s="84" t="str">
        <f>IF(T90&lt;&gt;"",(Y90-SUMPRODUCT(T$3:T90,$B$3:$B90)/SUM($B$3:$B90))/STDEVA(Y80:Y90),"")</f>
        <v/>
      </c>
      <c r="AE90" s="84" t="str">
        <f>IF(U90&lt;&gt;"",(Z90-SUMPRODUCT(U$3:U90,$B$3:$B90)/SUM($B$3:$B90))/STDEVA(Z80:Z90),"")</f>
        <v/>
      </c>
      <c r="AF90" s="85" t="str">
        <f>IF(V90&lt;&gt;"",(AA90-SUMPRODUCT(V$3:V90,$B$3:$B90)/SUM($B$3:$B90))/STDEVA(AA80:AA90),"")</f>
        <v/>
      </c>
      <c r="AG90" s="90" t="str">
        <f t="shared" si="54"/>
        <v/>
      </c>
      <c r="AH90" s="90" t="str">
        <f t="shared" si="54"/>
        <v/>
      </c>
      <c r="AI90" s="90" t="str">
        <f t="shared" si="54"/>
        <v/>
      </c>
      <c r="AJ90" s="90" t="str">
        <f t="shared" si="54"/>
        <v/>
      </c>
      <c r="AK90" s="93" t="str">
        <f t="shared" si="55"/>
        <v/>
      </c>
      <c r="BQ90" s="100" t="str">
        <f>IF(A90&lt;&gt;"",(VLOOKUP(A90,MarketData!$D:$BP,MATCH($BQ$1,MarketData!$D$1:$EG$1,0),TRUE)/100/365+1)^(B90)*BQ89,"")</f>
        <v/>
      </c>
      <c r="BR90" s="98" t="str">
        <f t="shared" si="32"/>
        <v/>
      </c>
      <c r="BS90" s="106" t="str">
        <f>IF(A90&lt;&gt;"",VLOOKUP(A90,MarketData!$D:$BP,MATCH($BS$1,MarketData!$D$1:$EG$1,0),TRUE),"")</f>
        <v/>
      </c>
      <c r="BT90" s="98" t="str">
        <f t="shared" si="43"/>
        <v/>
      </c>
    </row>
    <row r="91" spans="2:72" x14ac:dyDescent="0.25">
      <c r="B91" s="60" t="str">
        <f t="shared" ref="B91:B154" si="56">IF(A91&lt;&gt;0,A91-A90,"")</f>
        <v/>
      </c>
      <c r="C91" s="3" t="str">
        <f t="shared" si="33"/>
        <v/>
      </c>
      <c r="D91" s="3" t="str">
        <f t="shared" si="34"/>
        <v/>
      </c>
      <c r="E91" s="3" t="str">
        <f t="shared" si="35"/>
        <v/>
      </c>
      <c r="F91" s="3" t="str">
        <f t="shared" si="36"/>
        <v/>
      </c>
      <c r="G91" s="74" t="str">
        <f t="shared" si="37"/>
        <v/>
      </c>
      <c r="H91" s="78" t="str">
        <f>IFERROR(C91/SUM(M$2:M90),"")</f>
        <v/>
      </c>
      <c r="I91" s="61" t="str">
        <f>IFERROR(D91/SUM(N$2:N91),"")</f>
        <v/>
      </c>
      <c r="J91" s="61" t="str">
        <f>IFERROR(E91/SUM(O$2:O91),"")</f>
        <v/>
      </c>
      <c r="K91" s="61" t="str">
        <f>IFERROR(F91/SUM(P$2:P91),"")</f>
        <v/>
      </c>
      <c r="L91" s="79" t="str">
        <f>IFERROR(G91/SUM(Q$2:Q91),"")</f>
        <v/>
      </c>
      <c r="M91" s="64" t="str">
        <f t="shared" si="38"/>
        <v/>
      </c>
      <c r="N91" s="55" t="str">
        <f t="shared" si="39"/>
        <v/>
      </c>
      <c r="O91" s="55" t="str">
        <f t="shared" si="40"/>
        <v/>
      </c>
      <c r="P91" s="55" t="str">
        <f t="shared" si="41"/>
        <v/>
      </c>
      <c r="Q91" s="65" t="str">
        <f t="shared" si="42"/>
        <v/>
      </c>
      <c r="R91" s="67" t="str">
        <f t="shared" si="44"/>
        <v/>
      </c>
      <c r="S91" s="56" t="str">
        <f t="shared" si="45"/>
        <v/>
      </c>
      <c r="T91" s="56" t="str">
        <f t="shared" si="46"/>
        <v/>
      </c>
      <c r="U91" s="56" t="str">
        <f t="shared" si="47"/>
        <v/>
      </c>
      <c r="V91" s="68" t="str">
        <f t="shared" si="48"/>
        <v/>
      </c>
      <c r="W91" s="80" t="str">
        <f t="shared" si="49"/>
        <v/>
      </c>
      <c r="X91" s="81" t="str">
        <f t="shared" si="50"/>
        <v/>
      </c>
      <c r="Y91" s="81" t="str">
        <f t="shared" si="51"/>
        <v/>
      </c>
      <c r="Z91" s="81" t="str">
        <f t="shared" si="52"/>
        <v/>
      </c>
      <c r="AA91" s="82" t="str">
        <f t="shared" si="53"/>
        <v/>
      </c>
      <c r="AB91" s="83" t="str">
        <f>IF(R91&lt;&gt;"",(W91-SUMPRODUCT(R$3:R91,$B$3:$B91)/SUM($B$3:$B91))/STDEVA(W81:W91),"")</f>
        <v/>
      </c>
      <c r="AC91" s="84" t="str">
        <f>IF(S91&lt;&gt;"",(X91-SUMPRODUCT(S$3:S91,$B$3:$B91)/SUM($B$3:$B91))/STDEVA(X81:X91),"")</f>
        <v/>
      </c>
      <c r="AD91" s="84" t="str">
        <f>IF(T91&lt;&gt;"",(Y91-SUMPRODUCT(T$3:T91,$B$3:$B91)/SUM($B$3:$B91))/STDEVA(Y81:Y91),"")</f>
        <v/>
      </c>
      <c r="AE91" s="84" t="str">
        <f>IF(U91&lt;&gt;"",(Z91-SUMPRODUCT(U$3:U91,$B$3:$B91)/SUM($B$3:$B91))/STDEVA(Z81:Z91),"")</f>
        <v/>
      </c>
      <c r="AF91" s="85" t="str">
        <f>IF(V91&lt;&gt;"",(AA91-SUMPRODUCT(V$3:V91,$B$3:$B91)/SUM($B$3:$B91))/STDEVA(AA81:AA91),"")</f>
        <v/>
      </c>
      <c r="AG91" s="90" t="str">
        <f t="shared" si="54"/>
        <v/>
      </c>
      <c r="AH91" s="90" t="str">
        <f t="shared" si="54"/>
        <v/>
      </c>
      <c r="AI91" s="90" t="str">
        <f t="shared" si="54"/>
        <v/>
      </c>
      <c r="AJ91" s="90" t="str">
        <f t="shared" si="54"/>
        <v/>
      </c>
      <c r="AK91" s="93" t="str">
        <f t="shared" si="55"/>
        <v/>
      </c>
      <c r="BQ91" s="100" t="str">
        <f>IF(A91&lt;&gt;"",(VLOOKUP(A91,MarketData!$D:$BP,MATCH($BQ$1,MarketData!$D$1:$EG$1,0),TRUE)/100/365+1)^(B91)*BQ90,"")</f>
        <v/>
      </c>
      <c r="BR91" s="98" t="str">
        <f t="shared" si="32"/>
        <v/>
      </c>
      <c r="BS91" s="106" t="str">
        <f>IF(A91&lt;&gt;"",VLOOKUP(A91,MarketData!$D:$BP,MATCH($BS$1,MarketData!$D$1:$EG$1,0),TRUE),"")</f>
        <v/>
      </c>
      <c r="BT91" s="98" t="str">
        <f t="shared" si="43"/>
        <v/>
      </c>
    </row>
    <row r="92" spans="2:72" x14ac:dyDescent="0.25">
      <c r="B92" s="60" t="str">
        <f t="shared" si="56"/>
        <v/>
      </c>
      <c r="C92" s="3" t="str">
        <f t="shared" si="33"/>
        <v/>
      </c>
      <c r="D92" s="3" t="str">
        <f t="shared" si="34"/>
        <v/>
      </c>
      <c r="E92" s="3" t="str">
        <f t="shared" si="35"/>
        <v/>
      </c>
      <c r="F92" s="3" t="str">
        <f t="shared" si="36"/>
        <v/>
      </c>
      <c r="G92" s="74" t="str">
        <f t="shared" si="37"/>
        <v/>
      </c>
      <c r="H92" s="78" t="str">
        <f>IFERROR(C92/SUM(M$2:M91),"")</f>
        <v/>
      </c>
      <c r="I92" s="61" t="str">
        <f>IFERROR(D92/SUM(N$2:N92),"")</f>
        <v/>
      </c>
      <c r="J92" s="61" t="str">
        <f>IFERROR(E92/SUM(O$2:O92),"")</f>
        <v/>
      </c>
      <c r="K92" s="61" t="str">
        <f>IFERROR(F92/SUM(P$2:P92),"")</f>
        <v/>
      </c>
      <c r="L92" s="79" t="str">
        <f>IFERROR(G92/SUM(Q$2:Q92),"")</f>
        <v/>
      </c>
      <c r="M92" s="64" t="str">
        <f t="shared" si="38"/>
        <v/>
      </c>
      <c r="N92" s="55" t="str">
        <f t="shared" si="39"/>
        <v/>
      </c>
      <c r="O92" s="55" t="str">
        <f t="shared" si="40"/>
        <v/>
      </c>
      <c r="P92" s="55" t="str">
        <f t="shared" si="41"/>
        <v/>
      </c>
      <c r="Q92" s="65" t="str">
        <f t="shared" si="42"/>
        <v/>
      </c>
      <c r="R92" s="67" t="str">
        <f t="shared" si="44"/>
        <v/>
      </c>
      <c r="S92" s="56" t="str">
        <f t="shared" si="45"/>
        <v/>
      </c>
      <c r="T92" s="56" t="str">
        <f t="shared" si="46"/>
        <v/>
      </c>
      <c r="U92" s="56" t="str">
        <f t="shared" si="47"/>
        <v/>
      </c>
      <c r="V92" s="68" t="str">
        <f t="shared" si="48"/>
        <v/>
      </c>
      <c r="W92" s="80" t="str">
        <f t="shared" si="49"/>
        <v/>
      </c>
      <c r="X92" s="81" t="str">
        <f t="shared" si="50"/>
        <v/>
      </c>
      <c r="Y92" s="81" t="str">
        <f t="shared" si="51"/>
        <v/>
      </c>
      <c r="Z92" s="81" t="str">
        <f t="shared" si="52"/>
        <v/>
      </c>
      <c r="AA92" s="82" t="str">
        <f t="shared" si="53"/>
        <v/>
      </c>
      <c r="AB92" s="83" t="str">
        <f>IF(R92&lt;&gt;"",(W92-SUMPRODUCT(R$3:R92,$B$3:$B92)/SUM($B$3:$B92))/STDEVA(W82:W92),"")</f>
        <v/>
      </c>
      <c r="AC92" s="84" t="str">
        <f>IF(S92&lt;&gt;"",(X92-SUMPRODUCT(S$3:S92,$B$3:$B92)/SUM($B$3:$B92))/STDEVA(X82:X92),"")</f>
        <v/>
      </c>
      <c r="AD92" s="84" t="str">
        <f>IF(T92&lt;&gt;"",(Y92-SUMPRODUCT(T$3:T92,$B$3:$B92)/SUM($B$3:$B92))/STDEVA(Y82:Y92),"")</f>
        <v/>
      </c>
      <c r="AE92" s="84" t="str">
        <f>IF(U92&lt;&gt;"",(Z92-SUMPRODUCT(U$3:U92,$B$3:$B92)/SUM($B$3:$B92))/STDEVA(Z82:Z92),"")</f>
        <v/>
      </c>
      <c r="AF92" s="85" t="str">
        <f>IF(V92&lt;&gt;"",(AA92-SUMPRODUCT(V$3:V92,$B$3:$B92)/SUM($B$3:$B92))/STDEVA(AA82:AA92),"")</f>
        <v/>
      </c>
      <c r="AG92" s="90" t="str">
        <f t="shared" si="54"/>
        <v/>
      </c>
      <c r="AH92" s="90" t="str">
        <f t="shared" si="54"/>
        <v/>
      </c>
      <c r="AI92" s="90" t="str">
        <f t="shared" si="54"/>
        <v/>
      </c>
      <c r="AJ92" s="90" t="str">
        <f t="shared" si="54"/>
        <v/>
      </c>
      <c r="AK92" s="93" t="str">
        <f t="shared" si="55"/>
        <v/>
      </c>
      <c r="BQ92" s="100" t="str">
        <f>IF(A92&lt;&gt;"",(VLOOKUP(A92,MarketData!$D:$BP,MATCH($BQ$1,MarketData!$D$1:$EG$1,0),TRUE)/100/365+1)^(B92)*BQ91,"")</f>
        <v/>
      </c>
      <c r="BR92" s="98" t="str">
        <f t="shared" si="32"/>
        <v/>
      </c>
      <c r="BS92" s="106" t="str">
        <f>IF(A92&lt;&gt;"",VLOOKUP(A92,MarketData!$D:$BP,MATCH($BS$1,MarketData!$D$1:$EG$1,0),TRUE),"")</f>
        <v/>
      </c>
      <c r="BT92" s="98" t="str">
        <f t="shared" si="43"/>
        <v/>
      </c>
    </row>
    <row r="93" spans="2:72" x14ac:dyDescent="0.25">
      <c r="B93" s="60" t="str">
        <f t="shared" si="56"/>
        <v/>
      </c>
      <c r="C93" s="3" t="str">
        <f t="shared" si="33"/>
        <v/>
      </c>
      <c r="D93" s="3" t="str">
        <f t="shared" si="34"/>
        <v/>
      </c>
      <c r="E93" s="3" t="str">
        <f t="shared" si="35"/>
        <v/>
      </c>
      <c r="F93" s="3" t="str">
        <f t="shared" si="36"/>
        <v/>
      </c>
      <c r="G93" s="74" t="str">
        <f t="shared" si="37"/>
        <v/>
      </c>
      <c r="H93" s="78" t="str">
        <f>IFERROR(C93/SUM(M$2:M92),"")</f>
        <v/>
      </c>
      <c r="I93" s="61" t="str">
        <f>IFERROR(D93/SUM(N$2:N93),"")</f>
        <v/>
      </c>
      <c r="J93" s="61" t="str">
        <f>IFERROR(E93/SUM(O$2:O93),"")</f>
        <v/>
      </c>
      <c r="K93" s="61" t="str">
        <f>IFERROR(F93/SUM(P$2:P93),"")</f>
        <v/>
      </c>
      <c r="L93" s="79" t="str">
        <f>IFERROR(G93/SUM(Q$2:Q93),"")</f>
        <v/>
      </c>
      <c r="M93" s="64" t="str">
        <f t="shared" si="38"/>
        <v/>
      </c>
      <c r="N93" s="55" t="str">
        <f t="shared" si="39"/>
        <v/>
      </c>
      <c r="O93" s="55" t="str">
        <f t="shared" si="40"/>
        <v/>
      </c>
      <c r="P93" s="55" t="str">
        <f t="shared" si="41"/>
        <v/>
      </c>
      <c r="Q93" s="65" t="str">
        <f t="shared" si="42"/>
        <v/>
      </c>
      <c r="R93" s="67" t="str">
        <f t="shared" si="44"/>
        <v/>
      </c>
      <c r="S93" s="56" t="str">
        <f t="shared" si="45"/>
        <v/>
      </c>
      <c r="T93" s="56" t="str">
        <f t="shared" si="46"/>
        <v/>
      </c>
      <c r="U93" s="56" t="str">
        <f t="shared" si="47"/>
        <v/>
      </c>
      <c r="V93" s="68" t="str">
        <f t="shared" si="48"/>
        <v/>
      </c>
      <c r="W93" s="80" t="str">
        <f t="shared" si="49"/>
        <v/>
      </c>
      <c r="X93" s="81" t="str">
        <f t="shared" si="50"/>
        <v/>
      </c>
      <c r="Y93" s="81" t="str">
        <f t="shared" si="51"/>
        <v/>
      </c>
      <c r="Z93" s="81" t="str">
        <f t="shared" si="52"/>
        <v/>
      </c>
      <c r="AA93" s="82" t="str">
        <f t="shared" si="53"/>
        <v/>
      </c>
      <c r="AB93" s="83" t="str">
        <f>IF(R93&lt;&gt;"",(W93-SUMPRODUCT(R$3:R93,$B$3:$B93)/SUM($B$3:$B93))/STDEVA(W83:W93),"")</f>
        <v/>
      </c>
      <c r="AC93" s="84" t="str">
        <f>IF(S93&lt;&gt;"",(X93-SUMPRODUCT(S$3:S93,$B$3:$B93)/SUM($B$3:$B93))/STDEVA(X83:X93),"")</f>
        <v/>
      </c>
      <c r="AD93" s="84" t="str">
        <f>IF(T93&lt;&gt;"",(Y93-SUMPRODUCT(T$3:T93,$B$3:$B93)/SUM($B$3:$B93))/STDEVA(Y83:Y93),"")</f>
        <v/>
      </c>
      <c r="AE93" s="84" t="str">
        <f>IF(U93&lt;&gt;"",(Z93-SUMPRODUCT(U$3:U93,$B$3:$B93)/SUM($B$3:$B93))/STDEVA(Z83:Z93),"")</f>
        <v/>
      </c>
      <c r="AF93" s="85" t="str">
        <f>IF(V93&lt;&gt;"",(AA93-SUMPRODUCT(V$3:V93,$B$3:$B93)/SUM($B$3:$B93))/STDEVA(AA83:AA93),"")</f>
        <v/>
      </c>
      <c r="AG93" s="90" t="str">
        <f t="shared" si="54"/>
        <v/>
      </c>
      <c r="AH93" s="90" t="str">
        <f t="shared" si="54"/>
        <v/>
      </c>
      <c r="AI93" s="90" t="str">
        <f t="shared" si="54"/>
        <v/>
      </c>
      <c r="AJ93" s="90" t="str">
        <f t="shared" si="54"/>
        <v/>
      </c>
      <c r="AK93" s="93" t="str">
        <f t="shared" si="55"/>
        <v/>
      </c>
      <c r="BQ93" s="100" t="str">
        <f>IF(A93&lt;&gt;"",(VLOOKUP(A93,MarketData!$D:$BP,MATCH($BQ$1,MarketData!$D$1:$EG$1,0),TRUE)/100/365+1)^(B93)*BQ92,"")</f>
        <v/>
      </c>
      <c r="BR93" s="98" t="str">
        <f t="shared" si="32"/>
        <v/>
      </c>
      <c r="BS93" s="106" t="str">
        <f>IF(A93&lt;&gt;"",VLOOKUP(A93,MarketData!$D:$BP,MATCH($BS$1,MarketData!$D$1:$EG$1,0),TRUE),"")</f>
        <v/>
      </c>
      <c r="BT93" s="98" t="str">
        <f t="shared" si="43"/>
        <v/>
      </c>
    </row>
    <row r="94" spans="2:72" x14ac:dyDescent="0.25">
      <c r="B94" s="60" t="str">
        <f t="shared" si="56"/>
        <v/>
      </c>
      <c r="C94" s="3" t="str">
        <f t="shared" si="33"/>
        <v/>
      </c>
      <c r="D94" s="3" t="str">
        <f t="shared" si="34"/>
        <v/>
      </c>
      <c r="E94" s="3" t="str">
        <f t="shared" si="35"/>
        <v/>
      </c>
      <c r="F94" s="3" t="str">
        <f t="shared" si="36"/>
        <v/>
      </c>
      <c r="G94" s="74" t="str">
        <f t="shared" si="37"/>
        <v/>
      </c>
      <c r="H94" s="78" t="str">
        <f>IFERROR(C94/SUM(M$2:M93),"")</f>
        <v/>
      </c>
      <c r="I94" s="61" t="str">
        <f>IFERROR(D94/SUM(N$2:N94),"")</f>
        <v/>
      </c>
      <c r="J94" s="61" t="str">
        <f>IFERROR(E94/SUM(O$2:O94),"")</f>
        <v/>
      </c>
      <c r="K94" s="61" t="str">
        <f>IFERROR(F94/SUM(P$2:P94),"")</f>
        <v/>
      </c>
      <c r="L94" s="79" t="str">
        <f>IFERROR(G94/SUM(Q$2:Q94),"")</f>
        <v/>
      </c>
      <c r="M94" s="64" t="str">
        <f t="shared" si="38"/>
        <v/>
      </c>
      <c r="N94" s="55" t="str">
        <f t="shared" si="39"/>
        <v/>
      </c>
      <c r="O94" s="55" t="str">
        <f t="shared" si="40"/>
        <v/>
      </c>
      <c r="P94" s="55" t="str">
        <f t="shared" si="41"/>
        <v/>
      </c>
      <c r="Q94" s="65" t="str">
        <f t="shared" si="42"/>
        <v/>
      </c>
      <c r="R94" s="67" t="str">
        <f t="shared" si="44"/>
        <v/>
      </c>
      <c r="S94" s="56" t="str">
        <f t="shared" si="45"/>
        <v/>
      </c>
      <c r="T94" s="56" t="str">
        <f t="shared" si="46"/>
        <v/>
      </c>
      <c r="U94" s="56" t="str">
        <f t="shared" si="47"/>
        <v/>
      </c>
      <c r="V94" s="68" t="str">
        <f t="shared" si="48"/>
        <v/>
      </c>
      <c r="W94" s="80" t="str">
        <f t="shared" si="49"/>
        <v/>
      </c>
      <c r="X94" s="81" t="str">
        <f t="shared" si="50"/>
        <v/>
      </c>
      <c r="Y94" s="81" t="str">
        <f t="shared" si="51"/>
        <v/>
      </c>
      <c r="Z94" s="81" t="str">
        <f t="shared" si="52"/>
        <v/>
      </c>
      <c r="AA94" s="82" t="str">
        <f t="shared" si="53"/>
        <v/>
      </c>
      <c r="AB94" s="83" t="str">
        <f>IF(R94&lt;&gt;"",(W94-SUMPRODUCT(R$3:R94,$B$3:$B94)/SUM($B$3:$B94))/STDEVA(W84:W94),"")</f>
        <v/>
      </c>
      <c r="AC94" s="84" t="str">
        <f>IF(S94&lt;&gt;"",(X94-SUMPRODUCT(S$3:S94,$B$3:$B94)/SUM($B$3:$B94))/STDEVA(X84:X94),"")</f>
        <v/>
      </c>
      <c r="AD94" s="84" t="str">
        <f>IF(T94&lt;&gt;"",(Y94-SUMPRODUCT(T$3:T94,$B$3:$B94)/SUM($B$3:$B94))/STDEVA(Y84:Y94),"")</f>
        <v/>
      </c>
      <c r="AE94" s="84" t="str">
        <f>IF(U94&lt;&gt;"",(Z94-SUMPRODUCT(U$3:U94,$B$3:$B94)/SUM($B$3:$B94))/STDEVA(Z84:Z94),"")</f>
        <v/>
      </c>
      <c r="AF94" s="85" t="str">
        <f>IF(V94&lt;&gt;"",(AA94-SUMPRODUCT(V$3:V94,$B$3:$B94)/SUM($B$3:$B94))/STDEVA(AA84:AA94),"")</f>
        <v/>
      </c>
      <c r="AG94" s="90" t="str">
        <f t="shared" si="54"/>
        <v/>
      </c>
      <c r="AH94" s="90" t="str">
        <f t="shared" si="54"/>
        <v/>
      </c>
      <c r="AI94" s="90" t="str">
        <f t="shared" si="54"/>
        <v/>
      </c>
      <c r="AJ94" s="90" t="str">
        <f t="shared" si="54"/>
        <v/>
      </c>
      <c r="AK94" s="93" t="str">
        <f t="shared" si="55"/>
        <v/>
      </c>
      <c r="BQ94" s="100" t="str">
        <f>IF(A94&lt;&gt;"",(VLOOKUP(A94,MarketData!$D:$BP,MATCH($BQ$1,MarketData!$D$1:$EG$1,0),TRUE)/100/365+1)^(B94)*BQ93,"")</f>
        <v/>
      </c>
      <c r="BR94" s="98" t="str">
        <f t="shared" si="32"/>
        <v/>
      </c>
      <c r="BS94" s="106" t="str">
        <f>IF(A94&lt;&gt;"",VLOOKUP(A94,MarketData!$D:$BP,MATCH($BS$1,MarketData!$D$1:$EG$1,0),TRUE),"")</f>
        <v/>
      </c>
      <c r="BT94" s="98" t="str">
        <f t="shared" si="43"/>
        <v/>
      </c>
    </row>
    <row r="95" spans="2:72" x14ac:dyDescent="0.25">
      <c r="B95" s="60" t="str">
        <f t="shared" si="56"/>
        <v/>
      </c>
      <c r="C95" s="3" t="str">
        <f t="shared" si="33"/>
        <v/>
      </c>
      <c r="D95" s="3" t="str">
        <f t="shared" si="34"/>
        <v/>
      </c>
      <c r="E95" s="3" t="str">
        <f t="shared" si="35"/>
        <v/>
      </c>
      <c r="F95" s="3" t="str">
        <f t="shared" si="36"/>
        <v/>
      </c>
      <c r="G95" s="74" t="str">
        <f t="shared" si="37"/>
        <v/>
      </c>
      <c r="H95" s="78" t="str">
        <f>IFERROR(C95/SUM(M$2:M94),"")</f>
        <v/>
      </c>
      <c r="I95" s="61" t="str">
        <f>IFERROR(D95/SUM(N$2:N95),"")</f>
        <v/>
      </c>
      <c r="J95" s="61" t="str">
        <f>IFERROR(E95/SUM(O$2:O95),"")</f>
        <v/>
      </c>
      <c r="K95" s="61" t="str">
        <f>IFERROR(F95/SUM(P$2:P95),"")</f>
        <v/>
      </c>
      <c r="L95" s="79" t="str">
        <f>IFERROR(G95/SUM(Q$2:Q95),"")</f>
        <v/>
      </c>
      <c r="M95" s="64" t="str">
        <f t="shared" si="38"/>
        <v/>
      </c>
      <c r="N95" s="55" t="str">
        <f t="shared" si="39"/>
        <v/>
      </c>
      <c r="O95" s="55" t="str">
        <f t="shared" si="40"/>
        <v/>
      </c>
      <c r="P95" s="55" t="str">
        <f t="shared" si="41"/>
        <v/>
      </c>
      <c r="Q95" s="65" t="str">
        <f t="shared" si="42"/>
        <v/>
      </c>
      <c r="R95" s="67" t="str">
        <f t="shared" si="44"/>
        <v/>
      </c>
      <c r="S95" s="56" t="str">
        <f t="shared" si="45"/>
        <v/>
      </c>
      <c r="T95" s="56" t="str">
        <f t="shared" si="46"/>
        <v/>
      </c>
      <c r="U95" s="56" t="str">
        <f t="shared" si="47"/>
        <v/>
      </c>
      <c r="V95" s="68" t="str">
        <f t="shared" si="48"/>
        <v/>
      </c>
      <c r="W95" s="80" t="str">
        <f t="shared" si="49"/>
        <v/>
      </c>
      <c r="X95" s="81" t="str">
        <f t="shared" si="50"/>
        <v/>
      </c>
      <c r="Y95" s="81" t="str">
        <f t="shared" si="51"/>
        <v/>
      </c>
      <c r="Z95" s="81" t="str">
        <f t="shared" si="52"/>
        <v/>
      </c>
      <c r="AA95" s="82" t="str">
        <f t="shared" si="53"/>
        <v/>
      </c>
      <c r="AB95" s="83" t="str">
        <f>IF(R95&lt;&gt;"",(W95-SUMPRODUCT(R$3:R95,$B$3:$B95)/SUM($B$3:$B95))/STDEVA(W85:W95),"")</f>
        <v/>
      </c>
      <c r="AC95" s="84" t="str">
        <f>IF(S95&lt;&gt;"",(X95-SUMPRODUCT(S$3:S95,$B$3:$B95)/SUM($B$3:$B95))/STDEVA(X85:X95),"")</f>
        <v/>
      </c>
      <c r="AD95" s="84" t="str">
        <f>IF(T95&lt;&gt;"",(Y95-SUMPRODUCT(T$3:T95,$B$3:$B95)/SUM($B$3:$B95))/STDEVA(Y85:Y95),"")</f>
        <v/>
      </c>
      <c r="AE95" s="84" t="str">
        <f>IF(U95&lt;&gt;"",(Z95-SUMPRODUCT(U$3:U95,$B$3:$B95)/SUM($B$3:$B95))/STDEVA(Z85:Z95),"")</f>
        <v/>
      </c>
      <c r="AF95" s="85" t="str">
        <f>IF(V95&lt;&gt;"",(AA95-SUMPRODUCT(V$3:V95,$B$3:$B95)/SUM($B$3:$B95))/STDEVA(AA85:AA95),"")</f>
        <v/>
      </c>
      <c r="AG95" s="90" t="str">
        <f t="shared" si="54"/>
        <v/>
      </c>
      <c r="AH95" s="90" t="str">
        <f t="shared" si="54"/>
        <v/>
      </c>
      <c r="AI95" s="90" t="str">
        <f t="shared" si="54"/>
        <v/>
      </c>
      <c r="AJ95" s="90" t="str">
        <f t="shared" si="54"/>
        <v/>
      </c>
      <c r="AK95" s="93" t="str">
        <f t="shared" si="55"/>
        <v/>
      </c>
      <c r="BQ95" s="100" t="str">
        <f>IF(A95&lt;&gt;"",(VLOOKUP(A95,MarketData!$D:$BP,MATCH($BQ$1,MarketData!$D$1:$EG$1,0),TRUE)/100/365+1)^(B95)*BQ94,"")</f>
        <v/>
      </c>
      <c r="BR95" s="98" t="str">
        <f t="shared" si="32"/>
        <v/>
      </c>
      <c r="BS95" s="106" t="str">
        <f>IF(A95&lt;&gt;"",VLOOKUP(A95,MarketData!$D:$BP,MATCH($BS$1,MarketData!$D$1:$EG$1,0),TRUE),"")</f>
        <v/>
      </c>
      <c r="BT95" s="98" t="str">
        <f t="shared" si="43"/>
        <v/>
      </c>
    </row>
    <row r="96" spans="2:72" x14ac:dyDescent="0.25">
      <c r="B96" s="60" t="str">
        <f t="shared" si="56"/>
        <v/>
      </c>
      <c r="C96" s="3" t="str">
        <f t="shared" si="33"/>
        <v/>
      </c>
      <c r="D96" s="3" t="str">
        <f t="shared" si="34"/>
        <v/>
      </c>
      <c r="E96" s="3" t="str">
        <f t="shared" si="35"/>
        <v/>
      </c>
      <c r="F96" s="3" t="str">
        <f t="shared" si="36"/>
        <v/>
      </c>
      <c r="G96" s="74" t="str">
        <f t="shared" si="37"/>
        <v/>
      </c>
      <c r="H96" s="78" t="str">
        <f>IFERROR(C96/SUM(M$2:M95),"")</f>
        <v/>
      </c>
      <c r="I96" s="61" t="str">
        <f>IFERROR(D96/SUM(N$2:N96),"")</f>
        <v/>
      </c>
      <c r="J96" s="61" t="str">
        <f>IFERROR(E96/SUM(O$2:O96),"")</f>
        <v/>
      </c>
      <c r="K96" s="61" t="str">
        <f>IFERROR(F96/SUM(P$2:P96),"")</f>
        <v/>
      </c>
      <c r="L96" s="79" t="str">
        <f>IFERROR(G96/SUM(Q$2:Q96),"")</f>
        <v/>
      </c>
      <c r="M96" s="64" t="str">
        <f t="shared" si="38"/>
        <v/>
      </c>
      <c r="N96" s="55" t="str">
        <f t="shared" si="39"/>
        <v/>
      </c>
      <c r="O96" s="55" t="str">
        <f t="shared" si="40"/>
        <v/>
      </c>
      <c r="P96" s="55" t="str">
        <f t="shared" si="41"/>
        <v/>
      </c>
      <c r="Q96" s="65" t="str">
        <f t="shared" si="42"/>
        <v/>
      </c>
      <c r="R96" s="67" t="str">
        <f t="shared" si="44"/>
        <v/>
      </c>
      <c r="S96" s="56" t="str">
        <f t="shared" si="45"/>
        <v/>
      </c>
      <c r="T96" s="56" t="str">
        <f t="shared" si="46"/>
        <v/>
      </c>
      <c r="U96" s="56" t="str">
        <f t="shared" si="47"/>
        <v/>
      </c>
      <c r="V96" s="68" t="str">
        <f t="shared" si="48"/>
        <v/>
      </c>
      <c r="W96" s="80" t="str">
        <f t="shared" si="49"/>
        <v/>
      </c>
      <c r="X96" s="81" t="str">
        <f t="shared" si="50"/>
        <v/>
      </c>
      <c r="Y96" s="81" t="str">
        <f t="shared" si="51"/>
        <v/>
      </c>
      <c r="Z96" s="81" t="str">
        <f t="shared" si="52"/>
        <v/>
      </c>
      <c r="AA96" s="82" t="str">
        <f t="shared" si="53"/>
        <v/>
      </c>
      <c r="AB96" s="83" t="str">
        <f>IF(R96&lt;&gt;"",(W96-SUMPRODUCT(R$3:R96,$B$3:$B96)/SUM($B$3:$B96))/STDEVA(W86:W96),"")</f>
        <v/>
      </c>
      <c r="AC96" s="84" t="str">
        <f>IF(S96&lt;&gt;"",(X96-SUMPRODUCT(S$3:S96,$B$3:$B96)/SUM($B$3:$B96))/STDEVA(X86:X96),"")</f>
        <v/>
      </c>
      <c r="AD96" s="84" t="str">
        <f>IF(T96&lt;&gt;"",(Y96-SUMPRODUCT(T$3:T96,$B$3:$B96)/SUM($B$3:$B96))/STDEVA(Y86:Y96),"")</f>
        <v/>
      </c>
      <c r="AE96" s="84" t="str">
        <f>IF(U96&lt;&gt;"",(Z96-SUMPRODUCT(U$3:U96,$B$3:$B96)/SUM($B$3:$B96))/STDEVA(Z86:Z96),"")</f>
        <v/>
      </c>
      <c r="AF96" s="85" t="str">
        <f>IF(V96&lt;&gt;"",(AA96-SUMPRODUCT(V$3:V96,$B$3:$B96)/SUM($B$3:$B96))/STDEVA(AA86:AA96),"")</f>
        <v/>
      </c>
      <c r="AG96" s="90" t="str">
        <f t="shared" si="54"/>
        <v/>
      </c>
      <c r="AH96" s="90" t="str">
        <f t="shared" si="54"/>
        <v/>
      </c>
      <c r="AI96" s="90" t="str">
        <f t="shared" si="54"/>
        <v/>
      </c>
      <c r="AJ96" s="90" t="str">
        <f t="shared" si="54"/>
        <v/>
      </c>
      <c r="AK96" s="93" t="str">
        <f t="shared" si="55"/>
        <v/>
      </c>
      <c r="BQ96" s="100" t="str">
        <f>IF(A96&lt;&gt;"",(VLOOKUP(A96,MarketData!$D:$BP,MATCH($BQ$1,MarketData!$D$1:$EG$1,0),TRUE)/100/365+1)^(B96)*BQ95,"")</f>
        <v/>
      </c>
      <c r="BR96" s="98" t="str">
        <f t="shared" si="32"/>
        <v/>
      </c>
      <c r="BS96" s="106" t="str">
        <f>IF(A96&lt;&gt;"",VLOOKUP(A96,MarketData!$D:$BP,MATCH($BS$1,MarketData!$D$1:$EG$1,0),TRUE),"")</f>
        <v/>
      </c>
      <c r="BT96" s="98" t="str">
        <f t="shared" si="43"/>
        <v/>
      </c>
    </row>
    <row r="97" spans="2:72" x14ac:dyDescent="0.25">
      <c r="B97" s="60" t="str">
        <f t="shared" si="56"/>
        <v/>
      </c>
      <c r="C97" s="3" t="str">
        <f t="shared" si="33"/>
        <v/>
      </c>
      <c r="D97" s="3" t="str">
        <f t="shared" si="34"/>
        <v/>
      </c>
      <c r="E97" s="3" t="str">
        <f t="shared" si="35"/>
        <v/>
      </c>
      <c r="F97" s="3" t="str">
        <f t="shared" si="36"/>
        <v/>
      </c>
      <c r="G97" s="74" t="str">
        <f t="shared" si="37"/>
        <v/>
      </c>
      <c r="H97" s="78" t="str">
        <f>IFERROR(C97/SUM(M$2:M96),"")</f>
        <v/>
      </c>
      <c r="I97" s="61" t="str">
        <f>IFERROR(D97/SUM(N$2:N97),"")</f>
        <v/>
      </c>
      <c r="J97" s="61" t="str">
        <f>IFERROR(E97/SUM(O$2:O97),"")</f>
        <v/>
      </c>
      <c r="K97" s="61" t="str">
        <f>IFERROR(F97/SUM(P$2:P97),"")</f>
        <v/>
      </c>
      <c r="L97" s="79" t="str">
        <f>IFERROR(G97/SUM(Q$2:Q97),"")</f>
        <v/>
      </c>
      <c r="M97" s="64" t="str">
        <f t="shared" si="38"/>
        <v/>
      </c>
      <c r="N97" s="55" t="str">
        <f t="shared" si="39"/>
        <v/>
      </c>
      <c r="O97" s="55" t="str">
        <f t="shared" si="40"/>
        <v/>
      </c>
      <c r="P97" s="55" t="str">
        <f t="shared" si="41"/>
        <v/>
      </c>
      <c r="Q97" s="65" t="str">
        <f t="shared" si="42"/>
        <v/>
      </c>
      <c r="R97" s="67" t="str">
        <f t="shared" si="44"/>
        <v/>
      </c>
      <c r="S97" s="56" t="str">
        <f t="shared" si="45"/>
        <v/>
      </c>
      <c r="T97" s="56" t="str">
        <f t="shared" si="46"/>
        <v/>
      </c>
      <c r="U97" s="56" t="str">
        <f t="shared" si="47"/>
        <v/>
      </c>
      <c r="V97" s="68" t="str">
        <f t="shared" si="48"/>
        <v/>
      </c>
      <c r="W97" s="80" t="str">
        <f t="shared" si="49"/>
        <v/>
      </c>
      <c r="X97" s="81" t="str">
        <f t="shared" si="50"/>
        <v/>
      </c>
      <c r="Y97" s="81" t="str">
        <f t="shared" si="51"/>
        <v/>
      </c>
      <c r="Z97" s="81" t="str">
        <f t="shared" si="52"/>
        <v/>
      </c>
      <c r="AA97" s="82" t="str">
        <f t="shared" si="53"/>
        <v/>
      </c>
      <c r="AB97" s="83" t="str">
        <f>IF(R97&lt;&gt;"",(W97-SUMPRODUCT(R$3:R97,$B$3:$B97)/SUM($B$3:$B97))/STDEVA(W87:W97),"")</f>
        <v/>
      </c>
      <c r="AC97" s="84" t="str">
        <f>IF(S97&lt;&gt;"",(X97-SUMPRODUCT(S$3:S97,$B$3:$B97)/SUM($B$3:$B97))/STDEVA(X87:X97),"")</f>
        <v/>
      </c>
      <c r="AD97" s="84" t="str">
        <f>IF(T97&lt;&gt;"",(Y97-SUMPRODUCT(T$3:T97,$B$3:$B97)/SUM($B$3:$B97))/STDEVA(Y87:Y97),"")</f>
        <v/>
      </c>
      <c r="AE97" s="84" t="str">
        <f>IF(U97&lt;&gt;"",(Z97-SUMPRODUCT(U$3:U97,$B$3:$B97)/SUM($B$3:$B97))/STDEVA(Z87:Z97),"")</f>
        <v/>
      </c>
      <c r="AF97" s="85" t="str">
        <f>IF(V97&lt;&gt;"",(AA97-SUMPRODUCT(V$3:V97,$B$3:$B97)/SUM($B$3:$B97))/STDEVA(AA87:AA97),"")</f>
        <v/>
      </c>
      <c r="AG97" s="90" t="str">
        <f t="shared" si="54"/>
        <v/>
      </c>
      <c r="AH97" s="90" t="str">
        <f t="shared" si="54"/>
        <v/>
      </c>
      <c r="AI97" s="90" t="str">
        <f t="shared" si="54"/>
        <v/>
      </c>
      <c r="AJ97" s="90" t="str">
        <f t="shared" si="54"/>
        <v/>
      </c>
      <c r="AK97" s="93" t="str">
        <f t="shared" si="55"/>
        <v/>
      </c>
      <c r="BQ97" s="100" t="str">
        <f>IF(A97&lt;&gt;"",(VLOOKUP(A97,MarketData!$D:$BP,MATCH($BQ$1,MarketData!$D$1:$EG$1,0),TRUE)/100/365+1)^(B97)*BQ96,"")</f>
        <v/>
      </c>
      <c r="BR97" s="98" t="str">
        <f t="shared" si="32"/>
        <v/>
      </c>
      <c r="BS97" s="106" t="str">
        <f>IF(A97&lt;&gt;"",VLOOKUP(A97,MarketData!$D:$BP,MATCH($BS$1,MarketData!$D$1:$EG$1,0),TRUE),"")</f>
        <v/>
      </c>
      <c r="BT97" s="98" t="str">
        <f t="shared" si="43"/>
        <v/>
      </c>
    </row>
    <row r="98" spans="2:72" x14ac:dyDescent="0.25">
      <c r="B98" s="60" t="str">
        <f t="shared" si="56"/>
        <v/>
      </c>
      <c r="C98" s="3" t="str">
        <f t="shared" si="33"/>
        <v/>
      </c>
      <c r="D98" s="3" t="str">
        <f t="shared" si="34"/>
        <v/>
      </c>
      <c r="E98" s="3" t="str">
        <f t="shared" si="35"/>
        <v/>
      </c>
      <c r="F98" s="3" t="str">
        <f t="shared" si="36"/>
        <v/>
      </c>
      <c r="G98" s="74" t="str">
        <f t="shared" si="37"/>
        <v/>
      </c>
      <c r="H98" s="78" t="str">
        <f>IFERROR(C98/SUM(M$2:M97),"")</f>
        <v/>
      </c>
      <c r="I98" s="61" t="str">
        <f>IFERROR(D98/SUM(N$2:N98),"")</f>
        <v/>
      </c>
      <c r="J98" s="61" t="str">
        <f>IFERROR(E98/SUM(O$2:O98),"")</f>
        <v/>
      </c>
      <c r="K98" s="61" t="str">
        <f>IFERROR(F98/SUM(P$2:P98),"")</f>
        <v/>
      </c>
      <c r="L98" s="79" t="str">
        <f>IFERROR(G98/SUM(Q$2:Q98),"")</f>
        <v/>
      </c>
      <c r="M98" s="64" t="str">
        <f t="shared" si="38"/>
        <v/>
      </c>
      <c r="N98" s="55" t="str">
        <f t="shared" si="39"/>
        <v/>
      </c>
      <c r="O98" s="55" t="str">
        <f t="shared" si="40"/>
        <v/>
      </c>
      <c r="P98" s="55" t="str">
        <f t="shared" si="41"/>
        <v/>
      </c>
      <c r="Q98" s="65" t="str">
        <f t="shared" si="42"/>
        <v/>
      </c>
      <c r="R98" s="67" t="str">
        <f t="shared" si="44"/>
        <v/>
      </c>
      <c r="S98" s="56" t="str">
        <f t="shared" si="45"/>
        <v/>
      </c>
      <c r="T98" s="56" t="str">
        <f t="shared" si="46"/>
        <v/>
      </c>
      <c r="U98" s="56" t="str">
        <f t="shared" si="47"/>
        <v/>
      </c>
      <c r="V98" s="68" t="str">
        <f t="shared" si="48"/>
        <v/>
      </c>
      <c r="W98" s="80" t="str">
        <f t="shared" si="49"/>
        <v/>
      </c>
      <c r="X98" s="81" t="str">
        <f t="shared" si="50"/>
        <v/>
      </c>
      <c r="Y98" s="81" t="str">
        <f t="shared" si="51"/>
        <v/>
      </c>
      <c r="Z98" s="81" t="str">
        <f t="shared" si="52"/>
        <v/>
      </c>
      <c r="AA98" s="82" t="str">
        <f t="shared" si="53"/>
        <v/>
      </c>
      <c r="AB98" s="83" t="str">
        <f>IF(R98&lt;&gt;"",(W98-SUMPRODUCT(R$3:R98,$B$3:$B98)/SUM($B$3:$B98))/STDEVA(W88:W98),"")</f>
        <v/>
      </c>
      <c r="AC98" s="84" t="str">
        <f>IF(S98&lt;&gt;"",(X98-SUMPRODUCT(S$3:S98,$B$3:$B98)/SUM($B$3:$B98))/STDEVA(X88:X98),"")</f>
        <v/>
      </c>
      <c r="AD98" s="84" t="str">
        <f>IF(T98&lt;&gt;"",(Y98-SUMPRODUCT(T$3:T98,$B$3:$B98)/SUM($B$3:$B98))/STDEVA(Y88:Y98),"")</f>
        <v/>
      </c>
      <c r="AE98" s="84" t="str">
        <f>IF(U98&lt;&gt;"",(Z98-SUMPRODUCT(U$3:U98,$B$3:$B98)/SUM($B$3:$B98))/STDEVA(Z88:Z98),"")</f>
        <v/>
      </c>
      <c r="AF98" s="85" t="str">
        <f>IF(V98&lt;&gt;"",(AA98-SUMPRODUCT(V$3:V98,$B$3:$B98)/SUM($B$3:$B98))/STDEVA(AA88:AA98),"")</f>
        <v/>
      </c>
      <c r="AG98" s="90" t="str">
        <f t="shared" si="54"/>
        <v/>
      </c>
      <c r="AH98" s="90" t="str">
        <f t="shared" si="54"/>
        <v/>
      </c>
      <c r="AI98" s="90" t="str">
        <f t="shared" si="54"/>
        <v/>
      </c>
      <c r="AJ98" s="90" t="str">
        <f t="shared" si="54"/>
        <v/>
      </c>
      <c r="AK98" s="93" t="str">
        <f t="shared" si="55"/>
        <v/>
      </c>
      <c r="BQ98" s="100" t="str">
        <f>IF(A98&lt;&gt;"",(VLOOKUP(A98,MarketData!$D:$BP,MATCH($BQ$1,MarketData!$D$1:$EG$1,0),TRUE)/100/365+1)^(B98)*BQ97,"")</f>
        <v/>
      </c>
      <c r="BR98" s="98" t="str">
        <f t="shared" si="32"/>
        <v/>
      </c>
      <c r="BS98" s="106" t="str">
        <f>IF(A98&lt;&gt;"",VLOOKUP(A98,MarketData!$D:$BP,MATCH($BS$1,MarketData!$D$1:$EG$1,0),TRUE),"")</f>
        <v/>
      </c>
      <c r="BT98" s="98" t="str">
        <f t="shared" si="43"/>
        <v/>
      </c>
    </row>
    <row r="99" spans="2:72" x14ac:dyDescent="0.25">
      <c r="B99" s="60" t="str">
        <f t="shared" si="56"/>
        <v/>
      </c>
      <c r="C99" s="3" t="str">
        <f t="shared" si="33"/>
        <v/>
      </c>
      <c r="D99" s="3" t="str">
        <f t="shared" si="34"/>
        <v/>
      </c>
      <c r="E99" s="3" t="str">
        <f t="shared" si="35"/>
        <v/>
      </c>
      <c r="F99" s="3" t="str">
        <f t="shared" si="36"/>
        <v/>
      </c>
      <c r="G99" s="74" t="str">
        <f t="shared" si="37"/>
        <v/>
      </c>
      <c r="H99" s="78" t="str">
        <f>IFERROR(C99/SUM(M$2:M98),"")</f>
        <v/>
      </c>
      <c r="I99" s="61" t="str">
        <f>IFERROR(D99/SUM(N$2:N99),"")</f>
        <v/>
      </c>
      <c r="J99" s="61" t="str">
        <f>IFERROR(E99/SUM(O$2:O99),"")</f>
        <v/>
      </c>
      <c r="K99" s="61" t="str">
        <f>IFERROR(F99/SUM(P$2:P99),"")</f>
        <v/>
      </c>
      <c r="L99" s="79" t="str">
        <f>IFERROR(G99/SUM(Q$2:Q99),"")</f>
        <v/>
      </c>
      <c r="M99" s="64" t="str">
        <f t="shared" si="38"/>
        <v/>
      </c>
      <c r="N99" s="55" t="str">
        <f t="shared" si="39"/>
        <v/>
      </c>
      <c r="O99" s="55" t="str">
        <f t="shared" si="40"/>
        <v/>
      </c>
      <c r="P99" s="55" t="str">
        <f t="shared" si="41"/>
        <v/>
      </c>
      <c r="Q99" s="65" t="str">
        <f t="shared" si="42"/>
        <v/>
      </c>
      <c r="R99" s="67" t="str">
        <f t="shared" si="44"/>
        <v/>
      </c>
      <c r="S99" s="56" t="str">
        <f t="shared" si="45"/>
        <v/>
      </c>
      <c r="T99" s="56" t="str">
        <f t="shared" si="46"/>
        <v/>
      </c>
      <c r="U99" s="56" t="str">
        <f t="shared" si="47"/>
        <v/>
      </c>
      <c r="V99" s="68" t="str">
        <f t="shared" si="48"/>
        <v/>
      </c>
      <c r="W99" s="80" t="str">
        <f t="shared" si="49"/>
        <v/>
      </c>
      <c r="X99" s="81" t="str">
        <f t="shared" si="50"/>
        <v/>
      </c>
      <c r="Y99" s="81" t="str">
        <f t="shared" si="51"/>
        <v/>
      </c>
      <c r="Z99" s="81" t="str">
        <f t="shared" si="52"/>
        <v/>
      </c>
      <c r="AA99" s="82" t="str">
        <f t="shared" si="53"/>
        <v/>
      </c>
      <c r="AB99" s="83" t="str">
        <f>IF(R99&lt;&gt;"",(W99-SUMPRODUCT(R$3:R99,$B$3:$B99)/SUM($B$3:$B99))/STDEVA(W89:W99),"")</f>
        <v/>
      </c>
      <c r="AC99" s="84" t="str">
        <f>IF(S99&lt;&gt;"",(X99-SUMPRODUCT(S$3:S99,$B$3:$B99)/SUM($B$3:$B99))/STDEVA(X89:X99),"")</f>
        <v/>
      </c>
      <c r="AD99" s="84" t="str">
        <f>IF(T99&lt;&gt;"",(Y99-SUMPRODUCT(T$3:T99,$B$3:$B99)/SUM($B$3:$B99))/STDEVA(Y89:Y99),"")</f>
        <v/>
      </c>
      <c r="AE99" s="84" t="str">
        <f>IF(U99&lt;&gt;"",(Z99-SUMPRODUCT(U$3:U99,$B$3:$B99)/SUM($B$3:$B99))/STDEVA(Z89:Z99),"")</f>
        <v/>
      </c>
      <c r="AF99" s="85" t="str">
        <f>IF(V99&lt;&gt;"",(AA99-SUMPRODUCT(V$3:V99,$B$3:$B99)/SUM($B$3:$B99))/STDEVA(AA89:AA99),"")</f>
        <v/>
      </c>
      <c r="AG99" s="90" t="str">
        <f t="shared" si="54"/>
        <v/>
      </c>
      <c r="AH99" s="90" t="str">
        <f t="shared" si="54"/>
        <v/>
      </c>
      <c r="AI99" s="90" t="str">
        <f t="shared" si="54"/>
        <v/>
      </c>
      <c r="AJ99" s="90" t="str">
        <f t="shared" si="54"/>
        <v/>
      </c>
      <c r="AK99" s="93" t="str">
        <f t="shared" si="55"/>
        <v/>
      </c>
      <c r="BQ99" s="100" t="str">
        <f>IF(A99&lt;&gt;"",(VLOOKUP(A99,MarketData!$D:$BP,MATCH($BQ$1,MarketData!$D$1:$EG$1,0),TRUE)/100/365+1)^(B99)*BQ98,"")</f>
        <v/>
      </c>
      <c r="BR99" s="98" t="str">
        <f t="shared" si="32"/>
        <v/>
      </c>
      <c r="BS99" s="106" t="str">
        <f>IF(A99&lt;&gt;"",VLOOKUP(A99,MarketData!$D:$BP,MATCH($BS$1,MarketData!$D$1:$EG$1,0),TRUE),"")</f>
        <v/>
      </c>
      <c r="BT99" s="98" t="str">
        <f t="shared" si="43"/>
        <v/>
      </c>
    </row>
    <row r="100" spans="2:72" x14ac:dyDescent="0.25">
      <c r="B100" s="60" t="str">
        <f t="shared" si="56"/>
        <v/>
      </c>
      <c r="C100" s="3" t="str">
        <f t="shared" si="33"/>
        <v/>
      </c>
      <c r="D100" s="3" t="str">
        <f t="shared" si="34"/>
        <v/>
      </c>
      <c r="E100" s="3" t="str">
        <f t="shared" si="35"/>
        <v/>
      </c>
      <c r="F100" s="3" t="str">
        <f t="shared" si="36"/>
        <v/>
      </c>
      <c r="G100" s="74" t="str">
        <f t="shared" si="37"/>
        <v/>
      </c>
      <c r="H100" s="78" t="str">
        <f>IFERROR(C100/SUM(M$2:M99),"")</f>
        <v/>
      </c>
      <c r="I100" s="61" t="str">
        <f>IFERROR(D100/SUM(N$2:N100),"")</f>
        <v/>
      </c>
      <c r="J100" s="61" t="str">
        <f>IFERROR(E100/SUM(O$2:O100),"")</f>
        <v/>
      </c>
      <c r="K100" s="61" t="str">
        <f>IFERROR(F100/SUM(P$2:P100),"")</f>
        <v/>
      </c>
      <c r="L100" s="79" t="str">
        <f>IFERROR(G100/SUM(Q$2:Q100),"")</f>
        <v/>
      </c>
      <c r="M100" s="64" t="str">
        <f t="shared" si="38"/>
        <v/>
      </c>
      <c r="N100" s="55" t="str">
        <f t="shared" si="39"/>
        <v/>
      </c>
      <c r="O100" s="55" t="str">
        <f t="shared" si="40"/>
        <v/>
      </c>
      <c r="P100" s="55" t="str">
        <f t="shared" si="41"/>
        <v/>
      </c>
      <c r="Q100" s="65" t="str">
        <f t="shared" si="42"/>
        <v/>
      </c>
      <c r="R100" s="67" t="str">
        <f t="shared" si="44"/>
        <v/>
      </c>
      <c r="S100" s="56" t="str">
        <f t="shared" si="45"/>
        <v/>
      </c>
      <c r="T100" s="56" t="str">
        <f t="shared" si="46"/>
        <v/>
      </c>
      <c r="U100" s="56" t="str">
        <f t="shared" si="47"/>
        <v/>
      </c>
      <c r="V100" s="68" t="str">
        <f t="shared" si="48"/>
        <v/>
      </c>
      <c r="W100" s="80" t="str">
        <f t="shared" si="49"/>
        <v/>
      </c>
      <c r="X100" s="81" t="str">
        <f t="shared" si="50"/>
        <v/>
      </c>
      <c r="Y100" s="81" t="str">
        <f t="shared" si="51"/>
        <v/>
      </c>
      <c r="Z100" s="81" t="str">
        <f t="shared" si="52"/>
        <v/>
      </c>
      <c r="AA100" s="82" t="str">
        <f t="shared" si="53"/>
        <v/>
      </c>
      <c r="AB100" s="83" t="str">
        <f>IF(R100&lt;&gt;"",(W100-SUMPRODUCT(R$3:R100,$B$3:$B100)/SUM($B$3:$B100))/STDEVA(W90:W100),"")</f>
        <v/>
      </c>
      <c r="AC100" s="84" t="str">
        <f>IF(S100&lt;&gt;"",(X100-SUMPRODUCT(S$3:S100,$B$3:$B100)/SUM($B$3:$B100))/STDEVA(X90:X100),"")</f>
        <v/>
      </c>
      <c r="AD100" s="84" t="str">
        <f>IF(T100&lt;&gt;"",(Y100-SUMPRODUCT(T$3:T100,$B$3:$B100)/SUM($B$3:$B100))/STDEVA(Y90:Y100),"")</f>
        <v/>
      </c>
      <c r="AE100" s="84" t="str">
        <f>IF(U100&lt;&gt;"",(Z100-SUMPRODUCT(U$3:U100,$B$3:$B100)/SUM($B$3:$B100))/STDEVA(Z90:Z100),"")</f>
        <v/>
      </c>
      <c r="AF100" s="85" t="str">
        <f>IF(V100&lt;&gt;"",(AA100-SUMPRODUCT(V$3:V100,$B$3:$B100)/SUM($B$3:$B100))/STDEVA(AA90:AA100),"")</f>
        <v/>
      </c>
      <c r="AG100" s="90" t="str">
        <f t="shared" si="54"/>
        <v/>
      </c>
      <c r="AH100" s="90" t="str">
        <f t="shared" si="54"/>
        <v/>
      </c>
      <c r="AI100" s="90" t="str">
        <f t="shared" si="54"/>
        <v/>
      </c>
      <c r="AJ100" s="90" t="str">
        <f t="shared" si="54"/>
        <v/>
      </c>
      <c r="AK100" s="93" t="str">
        <f t="shared" si="55"/>
        <v/>
      </c>
      <c r="BQ100" s="100" t="str">
        <f>IF(A100&lt;&gt;"",(VLOOKUP(A100,MarketData!$D:$BP,MATCH($BQ$1,MarketData!$D$1:$EG$1,0),TRUE)/100/365+1)^(B100)*BQ99,"")</f>
        <v/>
      </c>
      <c r="BR100" s="98" t="str">
        <f t="shared" si="32"/>
        <v/>
      </c>
      <c r="BS100" s="106" t="str">
        <f>IF(A100&lt;&gt;"",VLOOKUP(A100,MarketData!$D:$BP,MATCH($BS$1,MarketData!$D$1:$EG$1,0),TRUE),"")</f>
        <v/>
      </c>
      <c r="BT100" s="98" t="str">
        <f t="shared" si="43"/>
        <v/>
      </c>
    </row>
    <row r="101" spans="2:72" x14ac:dyDescent="0.25">
      <c r="B101" s="60" t="str">
        <f t="shared" si="56"/>
        <v/>
      </c>
      <c r="C101" s="3" t="str">
        <f t="shared" si="33"/>
        <v/>
      </c>
      <c r="D101" s="3" t="str">
        <f t="shared" si="34"/>
        <v/>
      </c>
      <c r="E101" s="3" t="str">
        <f t="shared" si="35"/>
        <v/>
      </c>
      <c r="F101" s="3" t="str">
        <f t="shared" si="36"/>
        <v/>
      </c>
      <c r="G101" s="74" t="str">
        <f t="shared" si="37"/>
        <v/>
      </c>
      <c r="H101" s="78" t="str">
        <f>IFERROR(C101/SUM(M$2:M100),"")</f>
        <v/>
      </c>
      <c r="I101" s="61" t="str">
        <f>IFERROR(D101/SUM(N$2:N101),"")</f>
        <v/>
      </c>
      <c r="J101" s="61" t="str">
        <f>IFERROR(E101/SUM(O$2:O101),"")</f>
        <v/>
      </c>
      <c r="K101" s="61" t="str">
        <f>IFERROR(F101/SUM(P$2:P101),"")</f>
        <v/>
      </c>
      <c r="L101" s="79" t="str">
        <f>IFERROR(G101/SUM(Q$2:Q101),"")</f>
        <v/>
      </c>
      <c r="M101" s="64" t="str">
        <f t="shared" si="38"/>
        <v/>
      </c>
      <c r="N101" s="55" t="str">
        <f t="shared" si="39"/>
        <v/>
      </c>
      <c r="O101" s="55" t="str">
        <f t="shared" si="40"/>
        <v/>
      </c>
      <c r="P101" s="55" t="str">
        <f t="shared" si="41"/>
        <v/>
      </c>
      <c r="Q101" s="65" t="str">
        <f t="shared" si="42"/>
        <v/>
      </c>
      <c r="R101" s="67" t="str">
        <f t="shared" si="44"/>
        <v/>
      </c>
      <c r="S101" s="56" t="str">
        <f t="shared" si="45"/>
        <v/>
      </c>
      <c r="T101" s="56" t="str">
        <f t="shared" si="46"/>
        <v/>
      </c>
      <c r="U101" s="56" t="str">
        <f t="shared" si="47"/>
        <v/>
      </c>
      <c r="V101" s="68" t="str">
        <f t="shared" si="48"/>
        <v/>
      </c>
      <c r="W101" s="80" t="str">
        <f t="shared" si="49"/>
        <v/>
      </c>
      <c r="X101" s="81" t="str">
        <f t="shared" si="50"/>
        <v/>
      </c>
      <c r="Y101" s="81" t="str">
        <f t="shared" si="51"/>
        <v/>
      </c>
      <c r="Z101" s="81" t="str">
        <f t="shared" si="52"/>
        <v/>
      </c>
      <c r="AA101" s="82" t="str">
        <f t="shared" si="53"/>
        <v/>
      </c>
      <c r="AB101" s="83" t="str">
        <f>IF(R101&lt;&gt;"",(W101-SUMPRODUCT(R$3:R101,$B$3:$B101)/SUM($B$3:$B101))/STDEVA(W91:W101),"")</f>
        <v/>
      </c>
      <c r="AC101" s="84" t="str">
        <f>IF(S101&lt;&gt;"",(X101-SUMPRODUCT(S$3:S101,$B$3:$B101)/SUM($B$3:$B101))/STDEVA(X91:X101),"")</f>
        <v/>
      </c>
      <c r="AD101" s="84" t="str">
        <f>IF(T101&lt;&gt;"",(Y101-SUMPRODUCT(T$3:T101,$B$3:$B101)/SUM($B$3:$B101))/STDEVA(Y91:Y101),"")</f>
        <v/>
      </c>
      <c r="AE101" s="84" t="str">
        <f>IF(U101&lt;&gt;"",(Z101-SUMPRODUCT(U$3:U101,$B$3:$B101)/SUM($B$3:$B101))/STDEVA(Z91:Z101),"")</f>
        <v/>
      </c>
      <c r="AF101" s="85" t="str">
        <f>IF(V101&lt;&gt;"",(AA101-SUMPRODUCT(V$3:V101,$B$3:$B101)/SUM($B$3:$B101))/STDEVA(AA91:AA101),"")</f>
        <v/>
      </c>
      <c r="AG101" s="90" t="str">
        <f t="shared" si="54"/>
        <v/>
      </c>
      <c r="AH101" s="90" t="str">
        <f t="shared" si="54"/>
        <v/>
      </c>
      <c r="AI101" s="90" t="str">
        <f t="shared" si="54"/>
        <v/>
      </c>
      <c r="AJ101" s="90" t="str">
        <f t="shared" si="54"/>
        <v/>
      </c>
      <c r="AK101" s="93" t="str">
        <f t="shared" si="55"/>
        <v/>
      </c>
      <c r="BQ101" s="100" t="str">
        <f>IF(A101&lt;&gt;"",(VLOOKUP(A101,MarketData!$D:$BP,MATCH($BQ$1,MarketData!$D$1:$EG$1,0),TRUE)/100/365+1)^(B101)*BQ100,"")</f>
        <v/>
      </c>
      <c r="BR101" s="98" t="str">
        <f t="shared" si="32"/>
        <v/>
      </c>
      <c r="BS101" s="106" t="str">
        <f>IF(A101&lt;&gt;"",VLOOKUP(A101,MarketData!$D:$BP,MATCH($BS$1,MarketData!$D$1:$EG$1,0),TRUE),"")</f>
        <v/>
      </c>
      <c r="BT101" s="98" t="str">
        <f t="shared" si="43"/>
        <v/>
      </c>
    </row>
    <row r="102" spans="2:72" x14ac:dyDescent="0.25">
      <c r="B102" s="60" t="str">
        <f t="shared" si="56"/>
        <v/>
      </c>
      <c r="C102" s="3" t="str">
        <f t="shared" si="33"/>
        <v/>
      </c>
      <c r="D102" s="3" t="str">
        <f t="shared" si="34"/>
        <v/>
      </c>
      <c r="E102" s="3" t="str">
        <f t="shared" si="35"/>
        <v/>
      </c>
      <c r="F102" s="3" t="str">
        <f t="shared" si="36"/>
        <v/>
      </c>
      <c r="G102" s="74" t="str">
        <f t="shared" si="37"/>
        <v/>
      </c>
      <c r="H102" s="78" t="str">
        <f>IFERROR(C102/SUM(M$2:M101),"")</f>
        <v/>
      </c>
      <c r="I102" s="61" t="str">
        <f>IFERROR(D102/SUM(N$2:N102),"")</f>
        <v/>
      </c>
      <c r="J102" s="61" t="str">
        <f>IFERROR(E102/SUM(O$2:O102),"")</f>
        <v/>
      </c>
      <c r="K102" s="61" t="str">
        <f>IFERROR(F102/SUM(P$2:P102),"")</f>
        <v/>
      </c>
      <c r="L102" s="79" t="str">
        <f>IFERROR(G102/SUM(Q$2:Q102),"")</f>
        <v/>
      </c>
      <c r="M102" s="64" t="str">
        <f t="shared" si="38"/>
        <v/>
      </c>
      <c r="N102" s="55" t="str">
        <f t="shared" si="39"/>
        <v/>
      </c>
      <c r="O102" s="55" t="str">
        <f t="shared" si="40"/>
        <v/>
      </c>
      <c r="P102" s="55" t="str">
        <f t="shared" si="41"/>
        <v/>
      </c>
      <c r="Q102" s="65" t="str">
        <f t="shared" si="42"/>
        <v/>
      </c>
      <c r="R102" s="67" t="str">
        <f t="shared" si="44"/>
        <v/>
      </c>
      <c r="S102" s="56" t="str">
        <f t="shared" si="45"/>
        <v/>
      </c>
      <c r="T102" s="56" t="str">
        <f t="shared" si="46"/>
        <v/>
      </c>
      <c r="U102" s="56" t="str">
        <f t="shared" si="47"/>
        <v/>
      </c>
      <c r="V102" s="68" t="str">
        <f t="shared" si="48"/>
        <v/>
      </c>
      <c r="W102" s="80" t="str">
        <f t="shared" si="49"/>
        <v/>
      </c>
      <c r="X102" s="81" t="str">
        <f t="shared" si="50"/>
        <v/>
      </c>
      <c r="Y102" s="81" t="str">
        <f t="shared" si="51"/>
        <v/>
      </c>
      <c r="Z102" s="81" t="str">
        <f t="shared" si="52"/>
        <v/>
      </c>
      <c r="AA102" s="82" t="str">
        <f t="shared" si="53"/>
        <v/>
      </c>
      <c r="AB102" s="83" t="str">
        <f>IF(R102&lt;&gt;"",(W102-SUMPRODUCT(R$3:R102,$B$3:$B102)/SUM($B$3:$B102))/STDEVA(W92:W102),"")</f>
        <v/>
      </c>
      <c r="AC102" s="84" t="str">
        <f>IF(S102&lt;&gt;"",(X102-SUMPRODUCT(S$3:S102,$B$3:$B102)/SUM($B$3:$B102))/STDEVA(X92:X102),"")</f>
        <v/>
      </c>
      <c r="AD102" s="84" t="str">
        <f>IF(T102&lt;&gt;"",(Y102-SUMPRODUCT(T$3:T102,$B$3:$B102)/SUM($B$3:$B102))/STDEVA(Y92:Y102),"")</f>
        <v/>
      </c>
      <c r="AE102" s="84" t="str">
        <f>IF(U102&lt;&gt;"",(Z102-SUMPRODUCT(U$3:U102,$B$3:$B102)/SUM($B$3:$B102))/STDEVA(Z92:Z102),"")</f>
        <v/>
      </c>
      <c r="AF102" s="85" t="str">
        <f>IF(V102&lt;&gt;"",(AA102-SUMPRODUCT(V$3:V102,$B$3:$B102)/SUM($B$3:$B102))/STDEVA(AA92:AA102),"")</f>
        <v/>
      </c>
      <c r="AG102" s="90" t="str">
        <f t="shared" si="54"/>
        <v/>
      </c>
      <c r="AH102" s="90" t="str">
        <f t="shared" si="54"/>
        <v/>
      </c>
      <c r="AI102" s="90" t="str">
        <f t="shared" si="54"/>
        <v/>
      </c>
      <c r="AJ102" s="90" t="str">
        <f t="shared" si="54"/>
        <v/>
      </c>
      <c r="AK102" s="93" t="str">
        <f t="shared" si="55"/>
        <v/>
      </c>
      <c r="BQ102" s="100" t="str">
        <f>IF(A102&lt;&gt;"",(VLOOKUP(A102,MarketData!$D:$BP,MATCH($BQ$1,MarketData!$D$1:$EG$1,0),TRUE)/100/365+1)^(B102)*BQ101,"")</f>
        <v/>
      </c>
      <c r="BR102" s="98" t="str">
        <f t="shared" si="32"/>
        <v/>
      </c>
      <c r="BS102" s="106" t="str">
        <f>IF(A102&lt;&gt;"",VLOOKUP(A102,MarketData!$D:$BP,MATCH($BS$1,MarketData!$D$1:$EG$1,0),TRUE),"")</f>
        <v/>
      </c>
      <c r="BT102" s="98" t="str">
        <f t="shared" si="43"/>
        <v/>
      </c>
    </row>
    <row r="103" spans="2:72" x14ac:dyDescent="0.25">
      <c r="B103" s="60" t="str">
        <f t="shared" si="56"/>
        <v/>
      </c>
      <c r="C103" s="3" t="str">
        <f t="shared" si="33"/>
        <v/>
      </c>
      <c r="D103" s="3" t="str">
        <f t="shared" si="34"/>
        <v/>
      </c>
      <c r="E103" s="3" t="str">
        <f t="shared" si="35"/>
        <v/>
      </c>
      <c r="F103" s="3" t="str">
        <f t="shared" si="36"/>
        <v/>
      </c>
      <c r="G103" s="74" t="str">
        <f t="shared" si="37"/>
        <v/>
      </c>
      <c r="H103" s="78" t="str">
        <f>IFERROR(C103/SUM(M$2:M102),"")</f>
        <v/>
      </c>
      <c r="I103" s="61" t="str">
        <f>IFERROR(D103/SUM(N$2:N103),"")</f>
        <v/>
      </c>
      <c r="J103" s="61" t="str">
        <f>IFERROR(E103/SUM(O$2:O103),"")</f>
        <v/>
      </c>
      <c r="K103" s="61" t="str">
        <f>IFERROR(F103/SUM(P$2:P103),"")</f>
        <v/>
      </c>
      <c r="L103" s="79" t="str">
        <f>IFERROR(G103/SUM(Q$2:Q103),"")</f>
        <v/>
      </c>
      <c r="M103" s="64" t="str">
        <f t="shared" si="38"/>
        <v/>
      </c>
      <c r="N103" s="55" t="str">
        <f t="shared" si="39"/>
        <v/>
      </c>
      <c r="O103" s="55" t="str">
        <f t="shared" si="40"/>
        <v/>
      </c>
      <c r="P103" s="55" t="str">
        <f t="shared" si="41"/>
        <v/>
      </c>
      <c r="Q103" s="65" t="str">
        <f t="shared" si="42"/>
        <v/>
      </c>
      <c r="R103" s="67" t="str">
        <f t="shared" si="44"/>
        <v/>
      </c>
      <c r="S103" s="56" t="str">
        <f t="shared" si="45"/>
        <v/>
      </c>
      <c r="T103" s="56" t="str">
        <f t="shared" si="46"/>
        <v/>
      </c>
      <c r="U103" s="56" t="str">
        <f t="shared" si="47"/>
        <v/>
      </c>
      <c r="V103" s="68" t="str">
        <f t="shared" si="48"/>
        <v/>
      </c>
      <c r="W103" s="80" t="str">
        <f t="shared" si="49"/>
        <v/>
      </c>
      <c r="X103" s="81" t="str">
        <f t="shared" si="50"/>
        <v/>
      </c>
      <c r="Y103" s="81" t="str">
        <f t="shared" si="51"/>
        <v/>
      </c>
      <c r="Z103" s="81" t="str">
        <f t="shared" si="52"/>
        <v/>
      </c>
      <c r="AA103" s="82" t="str">
        <f t="shared" si="53"/>
        <v/>
      </c>
      <c r="AB103" s="83" t="str">
        <f>IF(R103&lt;&gt;"",(W103-SUMPRODUCT(R$3:R103,$B$3:$B103)/SUM($B$3:$B103))/STDEVA(W93:W103),"")</f>
        <v/>
      </c>
      <c r="AC103" s="84" t="str">
        <f>IF(S103&lt;&gt;"",(X103-SUMPRODUCT(S$3:S103,$B$3:$B103)/SUM($B$3:$B103))/STDEVA(X93:X103),"")</f>
        <v/>
      </c>
      <c r="AD103" s="84" t="str">
        <f>IF(T103&lt;&gt;"",(Y103-SUMPRODUCT(T$3:T103,$B$3:$B103)/SUM($B$3:$B103))/STDEVA(Y93:Y103),"")</f>
        <v/>
      </c>
      <c r="AE103" s="84" t="str">
        <f>IF(U103&lt;&gt;"",(Z103-SUMPRODUCT(U$3:U103,$B$3:$B103)/SUM($B$3:$B103))/STDEVA(Z93:Z103),"")</f>
        <v/>
      </c>
      <c r="AF103" s="85" t="str">
        <f>IF(V103&lt;&gt;"",(AA103-SUMPRODUCT(V$3:V103,$B$3:$B103)/SUM($B$3:$B103))/STDEVA(AA93:AA103),"")</f>
        <v/>
      </c>
      <c r="AG103" s="90" t="str">
        <f t="shared" si="54"/>
        <v/>
      </c>
      <c r="AH103" s="90" t="str">
        <f t="shared" si="54"/>
        <v/>
      </c>
      <c r="AI103" s="90" t="str">
        <f t="shared" si="54"/>
        <v/>
      </c>
      <c r="AJ103" s="90" t="str">
        <f t="shared" si="54"/>
        <v/>
      </c>
      <c r="AK103" s="93" t="str">
        <f t="shared" si="55"/>
        <v/>
      </c>
      <c r="BQ103" s="100" t="str">
        <f>IF(A103&lt;&gt;"",(VLOOKUP(A103,MarketData!$D:$BP,MATCH($BQ$1,MarketData!$D$1:$EG$1,0),TRUE)/100/365+1)^(B103)*BQ102,"")</f>
        <v/>
      </c>
      <c r="BR103" s="98" t="str">
        <f t="shared" si="32"/>
        <v/>
      </c>
      <c r="BS103" s="106" t="str">
        <f>IF(A103&lt;&gt;"",VLOOKUP(A103,MarketData!$D:$BP,MATCH($BS$1,MarketData!$D$1:$EG$1,0),TRUE),"")</f>
        <v/>
      </c>
      <c r="BT103" s="98" t="str">
        <f t="shared" si="43"/>
        <v/>
      </c>
    </row>
    <row r="104" spans="2:72" x14ac:dyDescent="0.25">
      <c r="B104" s="60" t="str">
        <f t="shared" si="56"/>
        <v/>
      </c>
      <c r="C104" s="3" t="str">
        <f t="shared" si="33"/>
        <v/>
      </c>
      <c r="D104" s="3" t="str">
        <f t="shared" si="34"/>
        <v/>
      </c>
      <c r="E104" s="3" t="str">
        <f t="shared" si="35"/>
        <v/>
      </c>
      <c r="F104" s="3" t="str">
        <f t="shared" si="36"/>
        <v/>
      </c>
      <c r="G104" s="74" t="str">
        <f t="shared" si="37"/>
        <v/>
      </c>
      <c r="H104" s="78" t="str">
        <f>IFERROR(C104/SUM(M$2:M103),"")</f>
        <v/>
      </c>
      <c r="I104" s="61" t="str">
        <f>IFERROR(D104/SUM(N$2:N104),"")</f>
        <v/>
      </c>
      <c r="J104" s="61" t="str">
        <f>IFERROR(E104/SUM(O$2:O104),"")</f>
        <v/>
      </c>
      <c r="K104" s="61" t="str">
        <f>IFERROR(F104/SUM(P$2:P104),"")</f>
        <v/>
      </c>
      <c r="L104" s="79" t="str">
        <f>IFERROR(G104/SUM(Q$2:Q104),"")</f>
        <v/>
      </c>
      <c r="M104" s="64" t="str">
        <f t="shared" si="38"/>
        <v/>
      </c>
      <c r="N104" s="55" t="str">
        <f t="shared" si="39"/>
        <v/>
      </c>
      <c r="O104" s="55" t="str">
        <f t="shared" si="40"/>
        <v/>
      </c>
      <c r="P104" s="55" t="str">
        <f t="shared" si="41"/>
        <v/>
      </c>
      <c r="Q104" s="65" t="str">
        <f t="shared" si="42"/>
        <v/>
      </c>
      <c r="R104" s="67" t="str">
        <f t="shared" si="44"/>
        <v/>
      </c>
      <c r="S104" s="56" t="str">
        <f t="shared" si="45"/>
        <v/>
      </c>
      <c r="T104" s="56" t="str">
        <f t="shared" si="46"/>
        <v/>
      </c>
      <c r="U104" s="56" t="str">
        <f t="shared" si="47"/>
        <v/>
      </c>
      <c r="V104" s="68" t="str">
        <f t="shared" si="48"/>
        <v/>
      </c>
      <c r="W104" s="80" t="str">
        <f t="shared" si="49"/>
        <v/>
      </c>
      <c r="X104" s="81" t="str">
        <f t="shared" si="50"/>
        <v/>
      </c>
      <c r="Y104" s="81" t="str">
        <f t="shared" si="51"/>
        <v/>
      </c>
      <c r="Z104" s="81" t="str">
        <f t="shared" si="52"/>
        <v/>
      </c>
      <c r="AA104" s="82" t="str">
        <f t="shared" si="53"/>
        <v/>
      </c>
      <c r="AB104" s="83" t="str">
        <f>IF(R104&lt;&gt;"",(W104-SUMPRODUCT(R$3:R104,$B$3:$B104)/SUM($B$3:$B104))/STDEVA(W94:W104),"")</f>
        <v/>
      </c>
      <c r="AC104" s="84" t="str">
        <f>IF(S104&lt;&gt;"",(X104-SUMPRODUCT(S$3:S104,$B$3:$B104)/SUM($B$3:$B104))/STDEVA(X94:X104),"")</f>
        <v/>
      </c>
      <c r="AD104" s="84" t="str">
        <f>IF(T104&lt;&gt;"",(Y104-SUMPRODUCT(T$3:T104,$B$3:$B104)/SUM($B$3:$B104))/STDEVA(Y94:Y104),"")</f>
        <v/>
      </c>
      <c r="AE104" s="84" t="str">
        <f>IF(U104&lt;&gt;"",(Z104-SUMPRODUCT(U$3:U104,$B$3:$B104)/SUM($B$3:$B104))/STDEVA(Z94:Z104),"")</f>
        <v/>
      </c>
      <c r="AF104" s="85" t="str">
        <f>IF(V104&lt;&gt;"",(AA104-SUMPRODUCT(V$3:V104,$B$3:$B104)/SUM($B$3:$B104))/STDEVA(AA94:AA104),"")</f>
        <v/>
      </c>
      <c r="AG104" s="90" t="str">
        <f t="shared" si="54"/>
        <v/>
      </c>
      <c r="AH104" s="90" t="str">
        <f t="shared" si="54"/>
        <v/>
      </c>
      <c r="AI104" s="90" t="str">
        <f t="shared" si="54"/>
        <v/>
      </c>
      <c r="AJ104" s="90" t="str">
        <f t="shared" si="54"/>
        <v/>
      </c>
      <c r="AK104" s="93" t="str">
        <f t="shared" si="55"/>
        <v/>
      </c>
      <c r="BQ104" s="100" t="str">
        <f>IF(A104&lt;&gt;"",(VLOOKUP(A104,MarketData!$D:$BP,MATCH($BQ$1,MarketData!$D$1:$EG$1,0),TRUE)/100/365+1)^(B104)*BQ103,"")</f>
        <v/>
      </c>
      <c r="BR104" s="98" t="str">
        <f t="shared" si="32"/>
        <v/>
      </c>
      <c r="BS104" s="106" t="str">
        <f>IF(A104&lt;&gt;"",VLOOKUP(A104,MarketData!$D:$BP,MATCH($BS$1,MarketData!$D$1:$EG$1,0),TRUE),"")</f>
        <v/>
      </c>
      <c r="BT104" s="98" t="str">
        <f t="shared" si="43"/>
        <v/>
      </c>
    </row>
    <row r="105" spans="2:72" x14ac:dyDescent="0.25">
      <c r="B105" s="60" t="str">
        <f t="shared" si="56"/>
        <v/>
      </c>
      <c r="C105" s="3" t="str">
        <f t="shared" si="33"/>
        <v/>
      </c>
      <c r="D105" s="3" t="str">
        <f t="shared" si="34"/>
        <v/>
      </c>
      <c r="E105" s="3" t="str">
        <f t="shared" si="35"/>
        <v/>
      </c>
      <c r="F105" s="3" t="str">
        <f t="shared" si="36"/>
        <v/>
      </c>
      <c r="G105" s="74" t="str">
        <f t="shared" si="37"/>
        <v/>
      </c>
      <c r="H105" s="78" t="str">
        <f>IFERROR(C105/SUM(M$2:M104),"")</f>
        <v/>
      </c>
      <c r="I105" s="61" t="str">
        <f>IFERROR(D105/SUM(N$2:N105),"")</f>
        <v/>
      </c>
      <c r="J105" s="61" t="str">
        <f>IFERROR(E105/SUM(O$2:O105),"")</f>
        <v/>
      </c>
      <c r="K105" s="61" t="str">
        <f>IFERROR(F105/SUM(P$2:P105),"")</f>
        <v/>
      </c>
      <c r="L105" s="79" t="str">
        <f>IFERROR(G105/SUM(Q$2:Q105),"")</f>
        <v/>
      </c>
      <c r="M105" s="64" t="str">
        <f t="shared" si="38"/>
        <v/>
      </c>
      <c r="N105" s="55" t="str">
        <f t="shared" si="39"/>
        <v/>
      </c>
      <c r="O105" s="55" t="str">
        <f t="shared" si="40"/>
        <v/>
      </c>
      <c r="P105" s="55" t="str">
        <f t="shared" si="41"/>
        <v/>
      </c>
      <c r="Q105" s="65" t="str">
        <f t="shared" si="42"/>
        <v/>
      </c>
      <c r="R105" s="67" t="str">
        <f t="shared" si="44"/>
        <v/>
      </c>
      <c r="S105" s="56" t="str">
        <f t="shared" si="45"/>
        <v/>
      </c>
      <c r="T105" s="56" t="str">
        <f t="shared" si="46"/>
        <v/>
      </c>
      <c r="U105" s="56" t="str">
        <f t="shared" si="47"/>
        <v/>
      </c>
      <c r="V105" s="68" t="str">
        <f t="shared" si="48"/>
        <v/>
      </c>
      <c r="W105" s="80" t="str">
        <f t="shared" si="49"/>
        <v/>
      </c>
      <c r="X105" s="81" t="str">
        <f t="shared" si="50"/>
        <v/>
      </c>
      <c r="Y105" s="81" t="str">
        <f t="shared" si="51"/>
        <v/>
      </c>
      <c r="Z105" s="81" t="str">
        <f t="shared" si="52"/>
        <v/>
      </c>
      <c r="AA105" s="82" t="str">
        <f t="shared" si="53"/>
        <v/>
      </c>
      <c r="AB105" s="83" t="str">
        <f>IF(R105&lt;&gt;"",(W105-SUMPRODUCT(R$3:R105,$B$3:$B105)/SUM($B$3:$B105))/STDEVA(W95:W105),"")</f>
        <v/>
      </c>
      <c r="AC105" s="84" t="str">
        <f>IF(S105&lt;&gt;"",(X105-SUMPRODUCT(S$3:S105,$B$3:$B105)/SUM($B$3:$B105))/STDEVA(X95:X105),"")</f>
        <v/>
      </c>
      <c r="AD105" s="84" t="str">
        <f>IF(T105&lt;&gt;"",(Y105-SUMPRODUCT(T$3:T105,$B$3:$B105)/SUM($B$3:$B105))/STDEVA(Y95:Y105),"")</f>
        <v/>
      </c>
      <c r="AE105" s="84" t="str">
        <f>IF(U105&lt;&gt;"",(Z105-SUMPRODUCT(U$3:U105,$B$3:$B105)/SUM($B$3:$B105))/STDEVA(Z95:Z105),"")</f>
        <v/>
      </c>
      <c r="AF105" s="85" t="str">
        <f>IF(V105&lt;&gt;"",(AA105-SUMPRODUCT(V$3:V105,$B$3:$B105)/SUM($B$3:$B105))/STDEVA(AA95:AA105),"")</f>
        <v/>
      </c>
      <c r="AG105" s="90" t="str">
        <f t="shared" si="54"/>
        <v/>
      </c>
      <c r="AH105" s="90" t="str">
        <f t="shared" si="54"/>
        <v/>
      </c>
      <c r="AI105" s="90" t="str">
        <f t="shared" si="54"/>
        <v/>
      </c>
      <c r="AJ105" s="90" t="str">
        <f t="shared" si="54"/>
        <v/>
      </c>
      <c r="AK105" s="93" t="str">
        <f t="shared" si="55"/>
        <v/>
      </c>
      <c r="BQ105" s="100" t="str">
        <f>IF(A105&lt;&gt;"",(VLOOKUP(A105,MarketData!$D:$BP,MATCH($BQ$1,MarketData!$D$1:$EG$1,0),TRUE)/100/365+1)^(B105)*BQ104,"")</f>
        <v/>
      </c>
      <c r="BR105" s="98" t="str">
        <f t="shared" si="32"/>
        <v/>
      </c>
      <c r="BS105" s="106" t="str">
        <f>IF(A105&lt;&gt;"",VLOOKUP(A105,MarketData!$D:$BP,MATCH($BS$1,MarketData!$D$1:$EG$1,0),TRUE),"")</f>
        <v/>
      </c>
      <c r="BT105" s="98" t="str">
        <f t="shared" si="43"/>
        <v/>
      </c>
    </row>
    <row r="106" spans="2:72" x14ac:dyDescent="0.25">
      <c r="B106" s="60" t="str">
        <f t="shared" si="56"/>
        <v/>
      </c>
      <c r="C106" s="3" t="str">
        <f t="shared" si="33"/>
        <v/>
      </c>
      <c r="D106" s="3" t="str">
        <f t="shared" si="34"/>
        <v/>
      </c>
      <c r="E106" s="3" t="str">
        <f t="shared" si="35"/>
        <v/>
      </c>
      <c r="F106" s="3" t="str">
        <f t="shared" si="36"/>
        <v/>
      </c>
      <c r="G106" s="74" t="str">
        <f t="shared" si="37"/>
        <v/>
      </c>
      <c r="H106" s="78" t="str">
        <f>IFERROR(C106/SUM(M$2:M105),"")</f>
        <v/>
      </c>
      <c r="I106" s="61" t="str">
        <f>IFERROR(D106/SUM(N$2:N106),"")</f>
        <v/>
      </c>
      <c r="J106" s="61" t="str">
        <f>IFERROR(E106/SUM(O$2:O106),"")</f>
        <v/>
      </c>
      <c r="K106" s="61" t="str">
        <f>IFERROR(F106/SUM(P$2:P106),"")</f>
        <v/>
      </c>
      <c r="L106" s="79" t="str">
        <f>IFERROR(G106/SUM(Q$2:Q106),"")</f>
        <v/>
      </c>
      <c r="M106" s="64" t="str">
        <f t="shared" si="38"/>
        <v/>
      </c>
      <c r="N106" s="55" t="str">
        <f t="shared" si="39"/>
        <v/>
      </c>
      <c r="O106" s="55" t="str">
        <f t="shared" si="40"/>
        <v/>
      </c>
      <c r="P106" s="55" t="str">
        <f t="shared" si="41"/>
        <v/>
      </c>
      <c r="Q106" s="65" t="str">
        <f t="shared" si="42"/>
        <v/>
      </c>
      <c r="R106" s="67" t="str">
        <f t="shared" si="44"/>
        <v/>
      </c>
      <c r="S106" s="56" t="str">
        <f t="shared" si="45"/>
        <v/>
      </c>
      <c r="T106" s="56" t="str">
        <f t="shared" si="46"/>
        <v/>
      </c>
      <c r="U106" s="56" t="str">
        <f t="shared" si="47"/>
        <v/>
      </c>
      <c r="V106" s="68" t="str">
        <f t="shared" si="48"/>
        <v/>
      </c>
      <c r="W106" s="80" t="str">
        <f t="shared" si="49"/>
        <v/>
      </c>
      <c r="X106" s="81" t="str">
        <f t="shared" si="50"/>
        <v/>
      </c>
      <c r="Y106" s="81" t="str">
        <f t="shared" si="51"/>
        <v/>
      </c>
      <c r="Z106" s="81" t="str">
        <f t="shared" si="52"/>
        <v/>
      </c>
      <c r="AA106" s="82" t="str">
        <f t="shared" si="53"/>
        <v/>
      </c>
      <c r="AB106" s="83" t="str">
        <f>IF(R106&lt;&gt;"",(W106-SUMPRODUCT(R$3:R106,$B$3:$B106)/SUM($B$3:$B106))/STDEVA(W96:W106),"")</f>
        <v/>
      </c>
      <c r="AC106" s="84" t="str">
        <f>IF(S106&lt;&gt;"",(X106-SUMPRODUCT(S$3:S106,$B$3:$B106)/SUM($B$3:$B106))/STDEVA(X96:X106),"")</f>
        <v/>
      </c>
      <c r="AD106" s="84" t="str">
        <f>IF(T106&lt;&gt;"",(Y106-SUMPRODUCT(T$3:T106,$B$3:$B106)/SUM($B$3:$B106))/STDEVA(Y96:Y106),"")</f>
        <v/>
      </c>
      <c r="AE106" s="84" t="str">
        <f>IF(U106&lt;&gt;"",(Z106-SUMPRODUCT(U$3:U106,$B$3:$B106)/SUM($B$3:$B106))/STDEVA(Z96:Z106),"")</f>
        <v/>
      </c>
      <c r="AF106" s="85" t="str">
        <f>IF(V106&lt;&gt;"",(AA106-SUMPRODUCT(V$3:V106,$B$3:$B106)/SUM($B$3:$B106))/STDEVA(AA96:AA106),"")</f>
        <v/>
      </c>
      <c r="AG106" s="90" t="str">
        <f t="shared" si="54"/>
        <v/>
      </c>
      <c r="AH106" s="90" t="str">
        <f t="shared" si="54"/>
        <v/>
      </c>
      <c r="AI106" s="90" t="str">
        <f t="shared" si="54"/>
        <v/>
      </c>
      <c r="AJ106" s="90" t="str">
        <f t="shared" si="54"/>
        <v/>
      </c>
      <c r="AK106" s="93" t="str">
        <f t="shared" si="55"/>
        <v/>
      </c>
      <c r="BQ106" s="100" t="str">
        <f>IF(A106&lt;&gt;"",(VLOOKUP(A106,MarketData!$D:$BP,MATCH($BQ$1,MarketData!$D$1:$EG$1,0),TRUE)/100/365+1)^(B106)*BQ105,"")</f>
        <v/>
      </c>
      <c r="BR106" s="98" t="str">
        <f t="shared" si="32"/>
        <v/>
      </c>
      <c r="BS106" s="106" t="str">
        <f>IF(A106&lt;&gt;"",VLOOKUP(A106,MarketData!$D:$BP,MATCH($BS$1,MarketData!$D$1:$EG$1,0),TRUE),"")</f>
        <v/>
      </c>
      <c r="BT106" s="98" t="str">
        <f t="shared" si="43"/>
        <v/>
      </c>
    </row>
    <row r="107" spans="2:72" x14ac:dyDescent="0.25">
      <c r="B107" s="60" t="str">
        <f t="shared" si="56"/>
        <v/>
      </c>
      <c r="C107" s="3" t="str">
        <f t="shared" si="33"/>
        <v/>
      </c>
      <c r="D107" s="3" t="str">
        <f t="shared" si="34"/>
        <v/>
      </c>
      <c r="E107" s="3" t="str">
        <f t="shared" si="35"/>
        <v/>
      </c>
      <c r="F107" s="3" t="str">
        <f t="shared" si="36"/>
        <v/>
      </c>
      <c r="G107" s="74" t="str">
        <f t="shared" si="37"/>
        <v/>
      </c>
      <c r="H107" s="78" t="str">
        <f>IFERROR(C107/SUM(M$2:M106),"")</f>
        <v/>
      </c>
      <c r="I107" s="61" t="str">
        <f>IFERROR(D107/SUM(N$2:N107),"")</f>
        <v/>
      </c>
      <c r="J107" s="61" t="str">
        <f>IFERROR(E107/SUM(O$2:O107),"")</f>
        <v/>
      </c>
      <c r="K107" s="61" t="str">
        <f>IFERROR(F107/SUM(P$2:P107),"")</f>
        <v/>
      </c>
      <c r="L107" s="79" t="str">
        <f>IFERROR(G107/SUM(Q$2:Q107),"")</f>
        <v/>
      </c>
      <c r="M107" s="64" t="str">
        <f t="shared" si="38"/>
        <v/>
      </c>
      <c r="N107" s="55" t="str">
        <f t="shared" si="39"/>
        <v/>
      </c>
      <c r="O107" s="55" t="str">
        <f t="shared" si="40"/>
        <v/>
      </c>
      <c r="P107" s="55" t="str">
        <f t="shared" si="41"/>
        <v/>
      </c>
      <c r="Q107" s="65" t="str">
        <f t="shared" si="42"/>
        <v/>
      </c>
      <c r="R107" s="67" t="str">
        <f t="shared" si="44"/>
        <v/>
      </c>
      <c r="S107" s="56" t="str">
        <f t="shared" si="45"/>
        <v/>
      </c>
      <c r="T107" s="56" t="str">
        <f t="shared" si="46"/>
        <v/>
      </c>
      <c r="U107" s="56" t="str">
        <f t="shared" si="47"/>
        <v/>
      </c>
      <c r="V107" s="68" t="str">
        <f t="shared" si="48"/>
        <v/>
      </c>
      <c r="W107" s="80" t="str">
        <f t="shared" si="49"/>
        <v/>
      </c>
      <c r="X107" s="81" t="str">
        <f t="shared" si="50"/>
        <v/>
      </c>
      <c r="Y107" s="81" t="str">
        <f t="shared" si="51"/>
        <v/>
      </c>
      <c r="Z107" s="81" t="str">
        <f t="shared" si="52"/>
        <v/>
      </c>
      <c r="AA107" s="82" t="str">
        <f t="shared" si="53"/>
        <v/>
      </c>
      <c r="AB107" s="83" t="str">
        <f>IF(R107&lt;&gt;"",(W107-SUMPRODUCT(R$3:R107,$B$3:$B107)/SUM($B$3:$B107))/STDEVA(W97:W107),"")</f>
        <v/>
      </c>
      <c r="AC107" s="84" t="str">
        <f>IF(S107&lt;&gt;"",(X107-SUMPRODUCT(S$3:S107,$B$3:$B107)/SUM($B$3:$B107))/STDEVA(X97:X107),"")</f>
        <v/>
      </c>
      <c r="AD107" s="84" t="str">
        <f>IF(T107&lt;&gt;"",(Y107-SUMPRODUCT(T$3:T107,$B$3:$B107)/SUM($B$3:$B107))/STDEVA(Y97:Y107),"")</f>
        <v/>
      </c>
      <c r="AE107" s="84" t="str">
        <f>IF(U107&lt;&gt;"",(Z107-SUMPRODUCT(U$3:U107,$B$3:$B107)/SUM($B$3:$B107))/STDEVA(Z97:Z107),"")</f>
        <v/>
      </c>
      <c r="AF107" s="85" t="str">
        <f>IF(V107&lt;&gt;"",(AA107-SUMPRODUCT(V$3:V107,$B$3:$B107)/SUM($B$3:$B107))/STDEVA(AA97:AA107),"")</f>
        <v/>
      </c>
      <c r="AG107" s="90" t="str">
        <f t="shared" si="54"/>
        <v/>
      </c>
      <c r="AH107" s="90" t="str">
        <f t="shared" si="54"/>
        <v/>
      </c>
      <c r="AI107" s="90" t="str">
        <f t="shared" si="54"/>
        <v/>
      </c>
      <c r="AJ107" s="90" t="str">
        <f t="shared" si="54"/>
        <v/>
      </c>
      <c r="AK107" s="93" t="str">
        <f t="shared" si="55"/>
        <v/>
      </c>
      <c r="BQ107" s="100" t="str">
        <f>IF(A107&lt;&gt;"",(VLOOKUP(A107,MarketData!$D:$BP,MATCH($BQ$1,MarketData!$D$1:$EG$1,0),TRUE)/100/365+1)^(B107)*BQ106,"")</f>
        <v/>
      </c>
      <c r="BR107" s="98" t="str">
        <f t="shared" si="32"/>
        <v/>
      </c>
      <c r="BS107" s="106" t="str">
        <f>IF(A107&lt;&gt;"",VLOOKUP(A107,MarketData!$D:$BP,MATCH($BS$1,MarketData!$D$1:$EG$1,0),TRUE),"")</f>
        <v/>
      </c>
      <c r="BT107" s="98" t="str">
        <f t="shared" si="43"/>
        <v/>
      </c>
    </row>
    <row r="108" spans="2:72" x14ac:dyDescent="0.25">
      <c r="B108" s="60" t="str">
        <f t="shared" si="56"/>
        <v/>
      </c>
      <c r="C108" s="3" t="str">
        <f t="shared" si="33"/>
        <v/>
      </c>
      <c r="D108" s="3" t="str">
        <f t="shared" si="34"/>
        <v/>
      </c>
      <c r="E108" s="3" t="str">
        <f t="shared" si="35"/>
        <v/>
      </c>
      <c r="F108" s="3" t="str">
        <f t="shared" si="36"/>
        <v/>
      </c>
      <c r="G108" s="74" t="str">
        <f t="shared" si="37"/>
        <v/>
      </c>
      <c r="H108" s="78" t="str">
        <f>IFERROR(C108/SUM(M$2:M107),"")</f>
        <v/>
      </c>
      <c r="I108" s="61" t="str">
        <f>IFERROR(D108/SUM(N$2:N108),"")</f>
        <v/>
      </c>
      <c r="J108" s="61" t="str">
        <f>IFERROR(E108/SUM(O$2:O108),"")</f>
        <v/>
      </c>
      <c r="K108" s="61" t="str">
        <f>IFERROR(F108/SUM(P$2:P108),"")</f>
        <v/>
      </c>
      <c r="L108" s="79" t="str">
        <f>IFERROR(G108/SUM(Q$2:Q108),"")</f>
        <v/>
      </c>
      <c r="M108" s="64" t="str">
        <f t="shared" si="38"/>
        <v/>
      </c>
      <c r="N108" s="55" t="str">
        <f t="shared" si="39"/>
        <v/>
      </c>
      <c r="O108" s="55" t="str">
        <f t="shared" si="40"/>
        <v/>
      </c>
      <c r="P108" s="55" t="str">
        <f t="shared" si="41"/>
        <v/>
      </c>
      <c r="Q108" s="65" t="str">
        <f t="shared" si="42"/>
        <v/>
      </c>
      <c r="R108" s="67" t="str">
        <f t="shared" si="44"/>
        <v/>
      </c>
      <c r="S108" s="56" t="str">
        <f t="shared" si="45"/>
        <v/>
      </c>
      <c r="T108" s="56" t="str">
        <f t="shared" si="46"/>
        <v/>
      </c>
      <c r="U108" s="56" t="str">
        <f t="shared" si="47"/>
        <v/>
      </c>
      <c r="V108" s="68" t="str">
        <f t="shared" si="48"/>
        <v/>
      </c>
      <c r="W108" s="80" t="str">
        <f t="shared" si="49"/>
        <v/>
      </c>
      <c r="X108" s="81" t="str">
        <f t="shared" si="50"/>
        <v/>
      </c>
      <c r="Y108" s="81" t="str">
        <f t="shared" si="51"/>
        <v/>
      </c>
      <c r="Z108" s="81" t="str">
        <f t="shared" si="52"/>
        <v/>
      </c>
      <c r="AA108" s="82" t="str">
        <f t="shared" si="53"/>
        <v/>
      </c>
      <c r="AB108" s="83" t="str">
        <f>IF(R108&lt;&gt;"",(W108-SUMPRODUCT(R$3:R108,$B$3:$B108)/SUM($B$3:$B108))/STDEVA(W98:W108),"")</f>
        <v/>
      </c>
      <c r="AC108" s="84" t="str">
        <f>IF(S108&lt;&gt;"",(X108-SUMPRODUCT(S$3:S108,$B$3:$B108)/SUM($B$3:$B108))/STDEVA(X98:X108),"")</f>
        <v/>
      </c>
      <c r="AD108" s="84" t="str">
        <f>IF(T108&lt;&gt;"",(Y108-SUMPRODUCT(T$3:T108,$B$3:$B108)/SUM($B$3:$B108))/STDEVA(Y98:Y108),"")</f>
        <v/>
      </c>
      <c r="AE108" s="84" t="str">
        <f>IF(U108&lt;&gt;"",(Z108-SUMPRODUCT(U$3:U108,$B$3:$B108)/SUM($B$3:$B108))/STDEVA(Z98:Z108),"")</f>
        <v/>
      </c>
      <c r="AF108" s="85" t="str">
        <f>IF(V108&lt;&gt;"",(AA108-SUMPRODUCT(V$3:V108,$B$3:$B108)/SUM($B$3:$B108))/STDEVA(AA98:AA108),"")</f>
        <v/>
      </c>
      <c r="AG108" s="90" t="str">
        <f t="shared" si="54"/>
        <v/>
      </c>
      <c r="AH108" s="90" t="str">
        <f t="shared" si="54"/>
        <v/>
      </c>
      <c r="AI108" s="90" t="str">
        <f t="shared" si="54"/>
        <v/>
      </c>
      <c r="AJ108" s="90" t="str">
        <f t="shared" si="54"/>
        <v/>
      </c>
      <c r="AK108" s="93" t="str">
        <f t="shared" si="55"/>
        <v/>
      </c>
      <c r="BQ108" s="100" t="str">
        <f>IF(A108&lt;&gt;"",(VLOOKUP(A108,MarketData!$D:$BP,MATCH($BQ$1,MarketData!$D$1:$EG$1,0),TRUE)/100/365+1)^(B108)*BQ107,"")</f>
        <v/>
      </c>
      <c r="BR108" s="98" t="str">
        <f t="shared" si="32"/>
        <v/>
      </c>
      <c r="BS108" s="106" t="str">
        <f>IF(A108&lt;&gt;"",VLOOKUP(A108,MarketData!$D:$BP,MATCH($BS$1,MarketData!$D$1:$EG$1,0),TRUE),"")</f>
        <v/>
      </c>
      <c r="BT108" s="98" t="str">
        <f t="shared" si="43"/>
        <v/>
      </c>
    </row>
    <row r="109" spans="2:72" x14ac:dyDescent="0.25">
      <c r="B109" s="60" t="str">
        <f t="shared" si="56"/>
        <v/>
      </c>
      <c r="C109" s="3" t="str">
        <f t="shared" si="33"/>
        <v/>
      </c>
      <c r="D109" s="3" t="str">
        <f t="shared" si="34"/>
        <v/>
      </c>
      <c r="E109" s="3" t="str">
        <f t="shared" si="35"/>
        <v/>
      </c>
      <c r="F109" s="3" t="str">
        <f t="shared" si="36"/>
        <v/>
      </c>
      <c r="G109" s="74" t="str">
        <f t="shared" si="37"/>
        <v/>
      </c>
      <c r="H109" s="78" t="str">
        <f>IFERROR(C109/SUM(M$2:M108),"")</f>
        <v/>
      </c>
      <c r="I109" s="61" t="str">
        <f>IFERROR(D109/SUM(N$2:N109),"")</f>
        <v/>
      </c>
      <c r="J109" s="61" t="str">
        <f>IFERROR(E109/SUM(O$2:O109),"")</f>
        <v/>
      </c>
      <c r="K109" s="61" t="str">
        <f>IFERROR(F109/SUM(P$2:P109),"")</f>
        <v/>
      </c>
      <c r="L109" s="79" t="str">
        <f>IFERROR(G109/SUM(Q$2:Q109),"")</f>
        <v/>
      </c>
      <c r="M109" s="64" t="str">
        <f t="shared" si="38"/>
        <v/>
      </c>
      <c r="N109" s="55" t="str">
        <f t="shared" si="39"/>
        <v/>
      </c>
      <c r="O109" s="55" t="str">
        <f t="shared" si="40"/>
        <v/>
      </c>
      <c r="P109" s="55" t="str">
        <f t="shared" si="41"/>
        <v/>
      </c>
      <c r="Q109" s="65" t="str">
        <f t="shared" si="42"/>
        <v/>
      </c>
      <c r="R109" s="67" t="str">
        <f t="shared" si="44"/>
        <v/>
      </c>
      <c r="S109" s="56" t="str">
        <f t="shared" si="45"/>
        <v/>
      </c>
      <c r="T109" s="56" t="str">
        <f t="shared" si="46"/>
        <v/>
      </c>
      <c r="U109" s="56" t="str">
        <f t="shared" si="47"/>
        <v/>
      </c>
      <c r="V109" s="68" t="str">
        <f t="shared" si="48"/>
        <v/>
      </c>
      <c r="W109" s="80" t="str">
        <f t="shared" si="49"/>
        <v/>
      </c>
      <c r="X109" s="81" t="str">
        <f t="shared" si="50"/>
        <v/>
      </c>
      <c r="Y109" s="81" t="str">
        <f t="shared" si="51"/>
        <v/>
      </c>
      <c r="Z109" s="81" t="str">
        <f t="shared" si="52"/>
        <v/>
      </c>
      <c r="AA109" s="82" t="str">
        <f t="shared" si="53"/>
        <v/>
      </c>
      <c r="AB109" s="83" t="str">
        <f>IF(R109&lt;&gt;"",(W109-SUMPRODUCT(R$3:R109,$B$3:$B109)/SUM($B$3:$B109))/STDEVA(W99:W109),"")</f>
        <v/>
      </c>
      <c r="AC109" s="84" t="str">
        <f>IF(S109&lt;&gt;"",(X109-SUMPRODUCT(S$3:S109,$B$3:$B109)/SUM($B$3:$B109))/STDEVA(X99:X109),"")</f>
        <v/>
      </c>
      <c r="AD109" s="84" t="str">
        <f>IF(T109&lt;&gt;"",(Y109-SUMPRODUCT(T$3:T109,$B$3:$B109)/SUM($B$3:$B109))/STDEVA(Y99:Y109),"")</f>
        <v/>
      </c>
      <c r="AE109" s="84" t="str">
        <f>IF(U109&lt;&gt;"",(Z109-SUMPRODUCT(U$3:U109,$B$3:$B109)/SUM($B$3:$B109))/STDEVA(Z99:Z109),"")</f>
        <v/>
      </c>
      <c r="AF109" s="85" t="str">
        <f>IF(V109&lt;&gt;"",(AA109-SUMPRODUCT(V$3:V109,$B$3:$B109)/SUM($B$3:$B109))/STDEVA(AA99:AA109),"")</f>
        <v/>
      </c>
      <c r="AG109" s="90" t="str">
        <f t="shared" si="54"/>
        <v/>
      </c>
      <c r="AH109" s="90" t="str">
        <f t="shared" si="54"/>
        <v/>
      </c>
      <c r="AI109" s="90" t="str">
        <f t="shared" si="54"/>
        <v/>
      </c>
      <c r="AJ109" s="90" t="str">
        <f t="shared" si="54"/>
        <v/>
      </c>
      <c r="AK109" s="93" t="str">
        <f t="shared" si="55"/>
        <v/>
      </c>
      <c r="BQ109" s="100" t="str">
        <f>IF(A109&lt;&gt;"",(VLOOKUP(A109,MarketData!$D:$BP,MATCH($BQ$1,MarketData!$D$1:$EG$1,0),TRUE)/100/365+1)^(B109)*BQ108,"")</f>
        <v/>
      </c>
      <c r="BR109" s="98" t="str">
        <f t="shared" si="32"/>
        <v/>
      </c>
      <c r="BS109" s="106" t="str">
        <f>IF(A109&lt;&gt;"",VLOOKUP(A109,MarketData!$D:$BP,MATCH($BS$1,MarketData!$D$1:$EG$1,0),TRUE),"")</f>
        <v/>
      </c>
      <c r="BT109" s="98" t="str">
        <f t="shared" si="43"/>
        <v/>
      </c>
    </row>
    <row r="110" spans="2:72" x14ac:dyDescent="0.25">
      <c r="B110" s="60" t="str">
        <f t="shared" si="56"/>
        <v/>
      </c>
      <c r="C110" s="3" t="str">
        <f t="shared" si="33"/>
        <v/>
      </c>
      <c r="D110" s="3" t="str">
        <f t="shared" si="34"/>
        <v/>
      </c>
      <c r="E110" s="3" t="str">
        <f t="shared" si="35"/>
        <v/>
      </c>
      <c r="F110" s="3" t="str">
        <f t="shared" si="36"/>
        <v/>
      </c>
      <c r="G110" s="74" t="str">
        <f t="shared" si="37"/>
        <v/>
      </c>
      <c r="H110" s="78" t="str">
        <f>IFERROR(C110/SUM(M$2:M109),"")</f>
        <v/>
      </c>
      <c r="I110" s="61" t="str">
        <f>IFERROR(D110/SUM(N$2:N110),"")</f>
        <v/>
      </c>
      <c r="J110" s="61" t="str">
        <f>IFERROR(E110/SUM(O$2:O110),"")</f>
        <v/>
      </c>
      <c r="K110" s="61" t="str">
        <f>IFERROR(F110/SUM(P$2:P110),"")</f>
        <v/>
      </c>
      <c r="L110" s="79" t="str">
        <f>IFERROR(G110/SUM(Q$2:Q110),"")</f>
        <v/>
      </c>
      <c r="M110" s="64" t="str">
        <f t="shared" si="38"/>
        <v/>
      </c>
      <c r="N110" s="55" t="str">
        <f t="shared" si="39"/>
        <v/>
      </c>
      <c r="O110" s="55" t="str">
        <f t="shared" si="40"/>
        <v/>
      </c>
      <c r="P110" s="55" t="str">
        <f t="shared" si="41"/>
        <v/>
      </c>
      <c r="Q110" s="65" t="str">
        <f t="shared" si="42"/>
        <v/>
      </c>
      <c r="R110" s="67" t="str">
        <f t="shared" si="44"/>
        <v/>
      </c>
      <c r="S110" s="56" t="str">
        <f t="shared" si="45"/>
        <v/>
      </c>
      <c r="T110" s="56" t="str">
        <f t="shared" si="46"/>
        <v/>
      </c>
      <c r="U110" s="56" t="str">
        <f t="shared" si="47"/>
        <v/>
      </c>
      <c r="V110" s="68" t="str">
        <f t="shared" si="48"/>
        <v/>
      </c>
      <c r="W110" s="80" t="str">
        <f t="shared" si="49"/>
        <v/>
      </c>
      <c r="X110" s="81" t="str">
        <f t="shared" si="50"/>
        <v/>
      </c>
      <c r="Y110" s="81" t="str">
        <f t="shared" si="51"/>
        <v/>
      </c>
      <c r="Z110" s="81" t="str">
        <f t="shared" si="52"/>
        <v/>
      </c>
      <c r="AA110" s="82" t="str">
        <f t="shared" si="53"/>
        <v/>
      </c>
      <c r="AB110" s="83" t="str">
        <f>IF(R110&lt;&gt;"",(W110-SUMPRODUCT(R$3:R110,$B$3:$B110)/SUM($B$3:$B110))/STDEVA(W100:W110),"")</f>
        <v/>
      </c>
      <c r="AC110" s="84" t="str">
        <f>IF(S110&lt;&gt;"",(X110-SUMPRODUCT(S$3:S110,$B$3:$B110)/SUM($B$3:$B110))/STDEVA(X100:X110),"")</f>
        <v/>
      </c>
      <c r="AD110" s="84" t="str">
        <f>IF(T110&lt;&gt;"",(Y110-SUMPRODUCT(T$3:T110,$B$3:$B110)/SUM($B$3:$B110))/STDEVA(Y100:Y110),"")</f>
        <v/>
      </c>
      <c r="AE110" s="84" t="str">
        <f>IF(U110&lt;&gt;"",(Z110-SUMPRODUCT(U$3:U110,$B$3:$B110)/SUM($B$3:$B110))/STDEVA(Z100:Z110),"")</f>
        <v/>
      </c>
      <c r="AF110" s="85" t="str">
        <f>IF(V110&lt;&gt;"",(AA110-SUMPRODUCT(V$3:V110,$B$3:$B110)/SUM($B$3:$B110))/STDEVA(AA100:AA110),"")</f>
        <v/>
      </c>
      <c r="AG110" s="90" t="str">
        <f t="shared" si="54"/>
        <v/>
      </c>
      <c r="AH110" s="90" t="str">
        <f t="shared" si="54"/>
        <v/>
      </c>
      <c r="AI110" s="90" t="str">
        <f t="shared" si="54"/>
        <v/>
      </c>
      <c r="AJ110" s="90" t="str">
        <f t="shared" si="54"/>
        <v/>
      </c>
      <c r="AK110" s="93" t="str">
        <f t="shared" si="55"/>
        <v/>
      </c>
      <c r="BQ110" s="100" t="str">
        <f>IF(A110&lt;&gt;"",(VLOOKUP(A110,MarketData!$D:$BP,MATCH($BQ$1,MarketData!$D$1:$EG$1,0),TRUE)/100/365+1)^(B110)*BQ109,"")</f>
        <v/>
      </c>
      <c r="BR110" s="98" t="str">
        <f t="shared" si="32"/>
        <v/>
      </c>
      <c r="BS110" s="106" t="str">
        <f>IF(A110&lt;&gt;"",VLOOKUP(A110,MarketData!$D:$BP,MATCH($BS$1,MarketData!$D$1:$EG$1,0),TRUE),"")</f>
        <v/>
      </c>
      <c r="BT110" s="98" t="str">
        <f t="shared" si="43"/>
        <v/>
      </c>
    </row>
    <row r="111" spans="2:72" x14ac:dyDescent="0.25">
      <c r="B111" s="60" t="str">
        <f t="shared" si="56"/>
        <v/>
      </c>
      <c r="C111" s="3" t="str">
        <f t="shared" si="33"/>
        <v/>
      </c>
      <c r="D111" s="3" t="str">
        <f t="shared" si="34"/>
        <v/>
      </c>
      <c r="E111" s="3" t="str">
        <f t="shared" si="35"/>
        <v/>
      </c>
      <c r="F111" s="3" t="str">
        <f t="shared" si="36"/>
        <v/>
      </c>
      <c r="G111" s="74" t="str">
        <f t="shared" si="37"/>
        <v/>
      </c>
      <c r="H111" s="78" t="str">
        <f>IFERROR(C111/SUM(M$2:M110),"")</f>
        <v/>
      </c>
      <c r="I111" s="61" t="str">
        <f>IFERROR(D111/SUM(N$2:N111),"")</f>
        <v/>
      </c>
      <c r="J111" s="61" t="str">
        <f>IFERROR(E111/SUM(O$2:O111),"")</f>
        <v/>
      </c>
      <c r="K111" s="61" t="str">
        <f>IFERROR(F111/SUM(P$2:P111),"")</f>
        <v/>
      </c>
      <c r="L111" s="79" t="str">
        <f>IFERROR(G111/SUM(Q$2:Q111),"")</f>
        <v/>
      </c>
      <c r="M111" s="64" t="str">
        <f t="shared" si="38"/>
        <v/>
      </c>
      <c r="N111" s="55" t="str">
        <f t="shared" si="39"/>
        <v/>
      </c>
      <c r="O111" s="55" t="str">
        <f t="shared" si="40"/>
        <v/>
      </c>
      <c r="P111" s="55" t="str">
        <f t="shared" si="41"/>
        <v/>
      </c>
      <c r="Q111" s="65" t="str">
        <f t="shared" si="42"/>
        <v/>
      </c>
      <c r="R111" s="67" t="str">
        <f t="shared" si="44"/>
        <v/>
      </c>
      <c r="S111" s="56" t="str">
        <f t="shared" si="45"/>
        <v/>
      </c>
      <c r="T111" s="56" t="str">
        <f t="shared" si="46"/>
        <v/>
      </c>
      <c r="U111" s="56" t="str">
        <f t="shared" si="47"/>
        <v/>
      </c>
      <c r="V111" s="68" t="str">
        <f t="shared" si="48"/>
        <v/>
      </c>
      <c r="W111" s="80" t="str">
        <f t="shared" si="49"/>
        <v/>
      </c>
      <c r="X111" s="81" t="str">
        <f t="shared" si="50"/>
        <v/>
      </c>
      <c r="Y111" s="81" t="str">
        <f t="shared" si="51"/>
        <v/>
      </c>
      <c r="Z111" s="81" t="str">
        <f t="shared" si="52"/>
        <v/>
      </c>
      <c r="AA111" s="82" t="str">
        <f t="shared" si="53"/>
        <v/>
      </c>
      <c r="AB111" s="83" t="str">
        <f>IF(R111&lt;&gt;"",(W111-SUMPRODUCT(R$3:R111,$B$3:$B111)/SUM($B$3:$B111))/STDEVA(W101:W111),"")</f>
        <v/>
      </c>
      <c r="AC111" s="84" t="str">
        <f>IF(S111&lt;&gt;"",(X111-SUMPRODUCT(S$3:S111,$B$3:$B111)/SUM($B$3:$B111))/STDEVA(X101:X111),"")</f>
        <v/>
      </c>
      <c r="AD111" s="84" t="str">
        <f>IF(T111&lt;&gt;"",(Y111-SUMPRODUCT(T$3:T111,$B$3:$B111)/SUM($B$3:$B111))/STDEVA(Y101:Y111),"")</f>
        <v/>
      </c>
      <c r="AE111" s="84" t="str">
        <f>IF(U111&lt;&gt;"",(Z111-SUMPRODUCT(U$3:U111,$B$3:$B111)/SUM($B$3:$B111))/STDEVA(Z101:Z111),"")</f>
        <v/>
      </c>
      <c r="AF111" s="85" t="str">
        <f>IF(V111&lt;&gt;"",(AA111-SUMPRODUCT(V$3:V111,$B$3:$B111)/SUM($B$3:$B111))/STDEVA(AA101:AA111),"")</f>
        <v/>
      </c>
      <c r="AG111" s="90" t="str">
        <f t="shared" si="54"/>
        <v/>
      </c>
      <c r="AH111" s="90" t="str">
        <f t="shared" si="54"/>
        <v/>
      </c>
      <c r="AI111" s="90" t="str">
        <f t="shared" si="54"/>
        <v/>
      </c>
      <c r="AJ111" s="90" t="str">
        <f t="shared" si="54"/>
        <v/>
      </c>
      <c r="AK111" s="93" t="str">
        <f t="shared" si="55"/>
        <v/>
      </c>
      <c r="BQ111" s="100" t="str">
        <f>IF(A111&lt;&gt;"",(VLOOKUP(A111,MarketData!$D:$BP,MATCH($BQ$1,MarketData!$D$1:$EG$1,0),TRUE)/100/365+1)^(B111)*BQ110,"")</f>
        <v/>
      </c>
      <c r="BR111" s="98" t="str">
        <f t="shared" si="32"/>
        <v/>
      </c>
      <c r="BS111" s="106" t="str">
        <f>IF(A111&lt;&gt;"",VLOOKUP(A111,MarketData!$D:$BP,MATCH($BS$1,MarketData!$D$1:$EG$1,0),TRUE),"")</f>
        <v/>
      </c>
      <c r="BT111" s="98" t="str">
        <f t="shared" si="43"/>
        <v/>
      </c>
    </row>
    <row r="112" spans="2:72" x14ac:dyDescent="0.25">
      <c r="B112" s="60" t="str">
        <f t="shared" si="56"/>
        <v/>
      </c>
      <c r="C112" s="3" t="str">
        <f t="shared" si="33"/>
        <v/>
      </c>
      <c r="D112" s="3" t="str">
        <f t="shared" si="34"/>
        <v/>
      </c>
      <c r="E112" s="3" t="str">
        <f t="shared" si="35"/>
        <v/>
      </c>
      <c r="F112" s="3" t="str">
        <f t="shared" si="36"/>
        <v/>
      </c>
      <c r="G112" s="74" t="str">
        <f t="shared" si="37"/>
        <v/>
      </c>
      <c r="H112" s="78" t="str">
        <f>IFERROR(C112/SUM(M$2:M111),"")</f>
        <v/>
      </c>
      <c r="I112" s="61" t="str">
        <f>IFERROR(D112/SUM(N$2:N112),"")</f>
        <v/>
      </c>
      <c r="J112" s="61" t="str">
        <f>IFERROR(E112/SUM(O$2:O112),"")</f>
        <v/>
      </c>
      <c r="K112" s="61" t="str">
        <f>IFERROR(F112/SUM(P$2:P112),"")</f>
        <v/>
      </c>
      <c r="L112" s="79" t="str">
        <f>IFERROR(G112/SUM(Q$2:Q112),"")</f>
        <v/>
      </c>
      <c r="M112" s="64" t="str">
        <f t="shared" si="38"/>
        <v/>
      </c>
      <c r="N112" s="55" t="str">
        <f t="shared" si="39"/>
        <v/>
      </c>
      <c r="O112" s="55" t="str">
        <f t="shared" si="40"/>
        <v/>
      </c>
      <c r="P112" s="55" t="str">
        <f t="shared" si="41"/>
        <v/>
      </c>
      <c r="Q112" s="65" t="str">
        <f t="shared" si="42"/>
        <v/>
      </c>
      <c r="R112" s="67" t="str">
        <f t="shared" si="44"/>
        <v/>
      </c>
      <c r="S112" s="56" t="str">
        <f t="shared" si="45"/>
        <v/>
      </c>
      <c r="T112" s="56" t="str">
        <f t="shared" si="46"/>
        <v/>
      </c>
      <c r="U112" s="56" t="str">
        <f t="shared" si="47"/>
        <v/>
      </c>
      <c r="V112" s="68" t="str">
        <f t="shared" si="48"/>
        <v/>
      </c>
      <c r="W112" s="80" t="str">
        <f t="shared" si="49"/>
        <v/>
      </c>
      <c r="X112" s="81" t="str">
        <f t="shared" si="50"/>
        <v/>
      </c>
      <c r="Y112" s="81" t="str">
        <f t="shared" si="51"/>
        <v/>
      </c>
      <c r="Z112" s="81" t="str">
        <f t="shared" si="52"/>
        <v/>
      </c>
      <c r="AA112" s="82" t="str">
        <f t="shared" si="53"/>
        <v/>
      </c>
      <c r="AB112" s="83" t="str">
        <f>IF(R112&lt;&gt;"",(W112-SUMPRODUCT(R$3:R112,$B$3:$B112)/SUM($B$3:$B112))/STDEVA(W102:W112),"")</f>
        <v/>
      </c>
      <c r="AC112" s="84" t="str">
        <f>IF(S112&lt;&gt;"",(X112-SUMPRODUCT(S$3:S112,$B$3:$B112)/SUM($B$3:$B112))/STDEVA(X102:X112),"")</f>
        <v/>
      </c>
      <c r="AD112" s="84" t="str">
        <f>IF(T112&lt;&gt;"",(Y112-SUMPRODUCT(T$3:T112,$B$3:$B112)/SUM($B$3:$B112))/STDEVA(Y102:Y112),"")</f>
        <v/>
      </c>
      <c r="AE112" s="84" t="str">
        <f>IF(U112&lt;&gt;"",(Z112-SUMPRODUCT(U$3:U112,$B$3:$B112)/SUM($B$3:$B112))/STDEVA(Z102:Z112),"")</f>
        <v/>
      </c>
      <c r="AF112" s="85" t="str">
        <f>IF(V112&lt;&gt;"",(AA112-SUMPRODUCT(V$3:V112,$B$3:$B112)/SUM($B$3:$B112))/STDEVA(AA102:AA112),"")</f>
        <v/>
      </c>
      <c r="AG112" s="90" t="str">
        <f t="shared" si="54"/>
        <v/>
      </c>
      <c r="AH112" s="90" t="str">
        <f t="shared" si="54"/>
        <v/>
      </c>
      <c r="AI112" s="90" t="str">
        <f t="shared" si="54"/>
        <v/>
      </c>
      <c r="AJ112" s="90" t="str">
        <f t="shared" si="54"/>
        <v/>
      </c>
      <c r="AK112" s="93" t="str">
        <f t="shared" si="55"/>
        <v/>
      </c>
      <c r="BQ112" s="100" t="str">
        <f>IF(A112&lt;&gt;"",(VLOOKUP(A112,MarketData!$D:$BP,MATCH($BQ$1,MarketData!$D$1:$EG$1,0),TRUE)/100/365+1)^(B112)*BQ111,"")</f>
        <v/>
      </c>
      <c r="BR112" s="98" t="str">
        <f t="shared" si="32"/>
        <v/>
      </c>
      <c r="BS112" s="106" t="str">
        <f>IF(A112&lt;&gt;"",VLOOKUP(A112,MarketData!$D:$BP,MATCH($BS$1,MarketData!$D$1:$EG$1,0),TRUE),"")</f>
        <v/>
      </c>
      <c r="BT112" s="98" t="str">
        <f t="shared" si="43"/>
        <v/>
      </c>
    </row>
    <row r="113" spans="2:72" x14ac:dyDescent="0.25">
      <c r="B113" s="60" t="str">
        <f t="shared" si="56"/>
        <v/>
      </c>
      <c r="C113" s="3" t="str">
        <f t="shared" si="33"/>
        <v/>
      </c>
      <c r="D113" s="3" t="str">
        <f t="shared" si="34"/>
        <v/>
      </c>
      <c r="E113" s="3" t="str">
        <f t="shared" si="35"/>
        <v/>
      </c>
      <c r="F113" s="3" t="str">
        <f t="shared" si="36"/>
        <v/>
      </c>
      <c r="G113" s="74" t="str">
        <f t="shared" si="37"/>
        <v/>
      </c>
      <c r="H113" s="78" t="str">
        <f>IFERROR(C113/SUM(M$2:M112),"")</f>
        <v/>
      </c>
      <c r="I113" s="61" t="str">
        <f>IFERROR(D113/SUM(N$2:N113),"")</f>
        <v/>
      </c>
      <c r="J113" s="61" t="str">
        <f>IFERROR(E113/SUM(O$2:O113),"")</f>
        <v/>
      </c>
      <c r="K113" s="61" t="str">
        <f>IFERROR(F113/SUM(P$2:P113),"")</f>
        <v/>
      </c>
      <c r="L113" s="79" t="str">
        <f>IFERROR(G113/SUM(Q$2:Q113),"")</f>
        <v/>
      </c>
      <c r="M113" s="64" t="str">
        <f t="shared" si="38"/>
        <v/>
      </c>
      <c r="N113" s="55" t="str">
        <f t="shared" si="39"/>
        <v/>
      </c>
      <c r="O113" s="55" t="str">
        <f t="shared" si="40"/>
        <v/>
      </c>
      <c r="P113" s="55" t="str">
        <f t="shared" si="41"/>
        <v/>
      </c>
      <c r="Q113" s="65" t="str">
        <f t="shared" si="42"/>
        <v/>
      </c>
      <c r="R113" s="67" t="str">
        <f t="shared" si="44"/>
        <v/>
      </c>
      <c r="S113" s="56" t="str">
        <f t="shared" si="45"/>
        <v/>
      </c>
      <c r="T113" s="56" t="str">
        <f t="shared" si="46"/>
        <v/>
      </c>
      <c r="U113" s="56" t="str">
        <f t="shared" si="47"/>
        <v/>
      </c>
      <c r="V113" s="68" t="str">
        <f t="shared" si="48"/>
        <v/>
      </c>
      <c r="W113" s="80" t="str">
        <f t="shared" si="49"/>
        <v/>
      </c>
      <c r="X113" s="81" t="str">
        <f t="shared" si="50"/>
        <v/>
      </c>
      <c r="Y113" s="81" t="str">
        <f t="shared" si="51"/>
        <v/>
      </c>
      <c r="Z113" s="81" t="str">
        <f t="shared" si="52"/>
        <v/>
      </c>
      <c r="AA113" s="82" t="str">
        <f t="shared" si="53"/>
        <v/>
      </c>
      <c r="AB113" s="83" t="str">
        <f>IF(R113&lt;&gt;"",(W113-SUMPRODUCT(R$3:R113,$B$3:$B113)/SUM($B$3:$B113))/STDEVA(W103:W113),"")</f>
        <v/>
      </c>
      <c r="AC113" s="84" t="str">
        <f>IF(S113&lt;&gt;"",(X113-SUMPRODUCT(S$3:S113,$B$3:$B113)/SUM($B$3:$B113))/STDEVA(X103:X113),"")</f>
        <v/>
      </c>
      <c r="AD113" s="84" t="str">
        <f>IF(T113&lt;&gt;"",(Y113-SUMPRODUCT(T$3:T113,$B$3:$B113)/SUM($B$3:$B113))/STDEVA(Y103:Y113),"")</f>
        <v/>
      </c>
      <c r="AE113" s="84" t="str">
        <f>IF(U113&lt;&gt;"",(Z113-SUMPRODUCT(U$3:U113,$B$3:$B113)/SUM($B$3:$B113))/STDEVA(Z103:Z113),"")</f>
        <v/>
      </c>
      <c r="AF113" s="85" t="str">
        <f>IF(V113&lt;&gt;"",(AA113-SUMPRODUCT(V$3:V113,$B$3:$B113)/SUM($B$3:$B113))/STDEVA(AA103:AA113),"")</f>
        <v/>
      </c>
      <c r="AG113" s="90" t="str">
        <f t="shared" si="54"/>
        <v/>
      </c>
      <c r="AH113" s="90" t="str">
        <f t="shared" si="54"/>
        <v/>
      </c>
      <c r="AI113" s="90" t="str">
        <f t="shared" si="54"/>
        <v/>
      </c>
      <c r="AJ113" s="90" t="str">
        <f t="shared" si="54"/>
        <v/>
      </c>
      <c r="AK113" s="93" t="str">
        <f t="shared" si="55"/>
        <v/>
      </c>
      <c r="BQ113" s="100" t="str">
        <f>IF(A113&lt;&gt;"",(VLOOKUP(A113,MarketData!$D:$BP,MATCH($BQ$1,MarketData!$D$1:$EG$1,0),TRUE)/100/365+1)^(B113)*BQ112,"")</f>
        <v/>
      </c>
      <c r="BR113" s="98" t="str">
        <f t="shared" si="32"/>
        <v/>
      </c>
      <c r="BS113" s="106" t="str">
        <f>IF(A113&lt;&gt;"",VLOOKUP(A113,MarketData!$D:$BP,MATCH($BS$1,MarketData!$D$1:$EG$1,0),TRUE),"")</f>
        <v/>
      </c>
      <c r="BT113" s="98" t="str">
        <f t="shared" si="43"/>
        <v/>
      </c>
    </row>
    <row r="114" spans="2:72" x14ac:dyDescent="0.25">
      <c r="B114" s="60" t="str">
        <f t="shared" si="56"/>
        <v/>
      </c>
      <c r="C114" s="3" t="str">
        <f t="shared" si="33"/>
        <v/>
      </c>
      <c r="D114" s="3" t="str">
        <f t="shared" si="34"/>
        <v/>
      </c>
      <c r="E114" s="3" t="str">
        <f t="shared" si="35"/>
        <v/>
      </c>
      <c r="F114" s="3" t="str">
        <f t="shared" si="36"/>
        <v/>
      </c>
      <c r="G114" s="74" t="str">
        <f t="shared" si="37"/>
        <v/>
      </c>
      <c r="H114" s="78" t="str">
        <f>IFERROR(C114/SUM(M$2:M113),"")</f>
        <v/>
      </c>
      <c r="I114" s="61" t="str">
        <f>IFERROR(D114/SUM(N$2:N114),"")</f>
        <v/>
      </c>
      <c r="J114" s="61" t="str">
        <f>IFERROR(E114/SUM(O$2:O114),"")</f>
        <v/>
      </c>
      <c r="K114" s="61" t="str">
        <f>IFERROR(F114/SUM(P$2:P114),"")</f>
        <v/>
      </c>
      <c r="L114" s="79" t="str">
        <f>IFERROR(G114/SUM(Q$2:Q114),"")</f>
        <v/>
      </c>
      <c r="M114" s="64" t="str">
        <f t="shared" si="38"/>
        <v/>
      </c>
      <c r="N114" s="55" t="str">
        <f t="shared" si="39"/>
        <v/>
      </c>
      <c r="O114" s="55" t="str">
        <f t="shared" si="40"/>
        <v/>
      </c>
      <c r="P114" s="55" t="str">
        <f t="shared" si="41"/>
        <v/>
      </c>
      <c r="Q114" s="65" t="str">
        <f t="shared" si="42"/>
        <v/>
      </c>
      <c r="R114" s="67" t="str">
        <f t="shared" si="44"/>
        <v/>
      </c>
      <c r="S114" s="56" t="str">
        <f t="shared" si="45"/>
        <v/>
      </c>
      <c r="T114" s="56" t="str">
        <f t="shared" si="46"/>
        <v/>
      </c>
      <c r="U114" s="56" t="str">
        <f t="shared" si="47"/>
        <v/>
      </c>
      <c r="V114" s="68" t="str">
        <f t="shared" si="48"/>
        <v/>
      </c>
      <c r="W114" s="80" t="str">
        <f t="shared" si="49"/>
        <v/>
      </c>
      <c r="X114" s="81" t="str">
        <f t="shared" si="50"/>
        <v/>
      </c>
      <c r="Y114" s="81" t="str">
        <f t="shared" si="51"/>
        <v/>
      </c>
      <c r="Z114" s="81" t="str">
        <f t="shared" si="52"/>
        <v/>
      </c>
      <c r="AA114" s="82" t="str">
        <f t="shared" si="53"/>
        <v/>
      </c>
      <c r="AB114" s="83" t="str">
        <f>IF(R114&lt;&gt;"",(W114-SUMPRODUCT(R$3:R114,$B$3:$B114)/SUM($B$3:$B114))/STDEVA(W104:W114),"")</f>
        <v/>
      </c>
      <c r="AC114" s="84" t="str">
        <f>IF(S114&lt;&gt;"",(X114-SUMPRODUCT(S$3:S114,$B$3:$B114)/SUM($B$3:$B114))/STDEVA(X104:X114),"")</f>
        <v/>
      </c>
      <c r="AD114" s="84" t="str">
        <f>IF(T114&lt;&gt;"",(Y114-SUMPRODUCT(T$3:T114,$B$3:$B114)/SUM($B$3:$B114))/STDEVA(Y104:Y114),"")</f>
        <v/>
      </c>
      <c r="AE114" s="84" t="str">
        <f>IF(U114&lt;&gt;"",(Z114-SUMPRODUCT(U$3:U114,$B$3:$B114)/SUM($B$3:$B114))/STDEVA(Z104:Z114),"")</f>
        <v/>
      </c>
      <c r="AF114" s="85" t="str">
        <f>IF(V114&lt;&gt;"",(AA114-SUMPRODUCT(V$3:V114,$B$3:$B114)/SUM($B$3:$B114))/STDEVA(AA104:AA114),"")</f>
        <v/>
      </c>
      <c r="AG114" s="90" t="str">
        <f t="shared" si="54"/>
        <v/>
      </c>
      <c r="AH114" s="90" t="str">
        <f t="shared" si="54"/>
        <v/>
      </c>
      <c r="AI114" s="90" t="str">
        <f t="shared" si="54"/>
        <v/>
      </c>
      <c r="AJ114" s="90" t="str">
        <f t="shared" si="54"/>
        <v/>
      </c>
      <c r="AK114" s="93" t="str">
        <f t="shared" si="55"/>
        <v/>
      </c>
      <c r="BQ114" s="100" t="str">
        <f>IF(A114&lt;&gt;"",(VLOOKUP(A114,MarketData!$D:$BP,MATCH($BQ$1,MarketData!$D$1:$EG$1,0),TRUE)/100/365+1)^(B114)*BQ113,"")</f>
        <v/>
      </c>
      <c r="BR114" s="98" t="str">
        <f t="shared" si="32"/>
        <v/>
      </c>
      <c r="BS114" s="106" t="str">
        <f>IF(A114&lt;&gt;"",VLOOKUP(A114,MarketData!$D:$BP,MATCH($BS$1,MarketData!$D$1:$EG$1,0),TRUE),"")</f>
        <v/>
      </c>
      <c r="BT114" s="98" t="str">
        <f t="shared" si="43"/>
        <v/>
      </c>
    </row>
    <row r="115" spans="2:72" x14ac:dyDescent="0.25">
      <c r="B115" s="60" t="str">
        <f t="shared" si="56"/>
        <v/>
      </c>
      <c r="C115" s="3" t="str">
        <f t="shared" si="33"/>
        <v/>
      </c>
      <c r="D115" s="3" t="str">
        <f t="shared" si="34"/>
        <v/>
      </c>
      <c r="E115" s="3" t="str">
        <f t="shared" si="35"/>
        <v/>
      </c>
      <c r="F115" s="3" t="str">
        <f t="shared" si="36"/>
        <v/>
      </c>
      <c r="G115" s="74" t="str">
        <f t="shared" si="37"/>
        <v/>
      </c>
      <c r="H115" s="78" t="str">
        <f>IFERROR(C115/SUM(M$2:M114),"")</f>
        <v/>
      </c>
      <c r="I115" s="61" t="str">
        <f>IFERROR(D115/SUM(N$2:N115),"")</f>
        <v/>
      </c>
      <c r="J115" s="61" t="str">
        <f>IFERROR(E115/SUM(O$2:O115),"")</f>
        <v/>
      </c>
      <c r="K115" s="61" t="str">
        <f>IFERROR(F115/SUM(P$2:P115),"")</f>
        <v/>
      </c>
      <c r="L115" s="79" t="str">
        <f>IFERROR(G115/SUM(Q$2:Q115),"")</f>
        <v/>
      </c>
      <c r="M115" s="64" t="str">
        <f t="shared" si="38"/>
        <v/>
      </c>
      <c r="N115" s="55" t="str">
        <f t="shared" si="39"/>
        <v/>
      </c>
      <c r="O115" s="55" t="str">
        <f t="shared" si="40"/>
        <v/>
      </c>
      <c r="P115" s="55" t="str">
        <f t="shared" si="41"/>
        <v/>
      </c>
      <c r="Q115" s="65" t="str">
        <f t="shared" si="42"/>
        <v/>
      </c>
      <c r="R115" s="67" t="str">
        <f t="shared" si="44"/>
        <v/>
      </c>
      <c r="S115" s="56" t="str">
        <f t="shared" si="45"/>
        <v/>
      </c>
      <c r="T115" s="56" t="str">
        <f t="shared" si="46"/>
        <v/>
      </c>
      <c r="U115" s="56" t="str">
        <f t="shared" si="47"/>
        <v/>
      </c>
      <c r="V115" s="68" t="str">
        <f t="shared" si="48"/>
        <v/>
      </c>
      <c r="W115" s="80" t="str">
        <f t="shared" si="49"/>
        <v/>
      </c>
      <c r="X115" s="81" t="str">
        <f t="shared" si="50"/>
        <v/>
      </c>
      <c r="Y115" s="81" t="str">
        <f t="shared" si="51"/>
        <v/>
      </c>
      <c r="Z115" s="81" t="str">
        <f t="shared" si="52"/>
        <v/>
      </c>
      <c r="AA115" s="82" t="str">
        <f t="shared" si="53"/>
        <v/>
      </c>
      <c r="AB115" s="83" t="str">
        <f>IF(R115&lt;&gt;"",(W115-SUMPRODUCT(R$3:R115,$B$3:$B115)/SUM($B$3:$B115))/STDEVA(W105:W115),"")</f>
        <v/>
      </c>
      <c r="AC115" s="84" t="str">
        <f>IF(S115&lt;&gt;"",(X115-SUMPRODUCT(S$3:S115,$B$3:$B115)/SUM($B$3:$B115))/STDEVA(X105:X115),"")</f>
        <v/>
      </c>
      <c r="AD115" s="84" t="str">
        <f>IF(T115&lt;&gt;"",(Y115-SUMPRODUCT(T$3:T115,$B$3:$B115)/SUM($B$3:$B115))/STDEVA(Y105:Y115),"")</f>
        <v/>
      </c>
      <c r="AE115" s="84" t="str">
        <f>IF(U115&lt;&gt;"",(Z115-SUMPRODUCT(U$3:U115,$B$3:$B115)/SUM($B$3:$B115))/STDEVA(Z105:Z115),"")</f>
        <v/>
      </c>
      <c r="AF115" s="85" t="str">
        <f>IF(V115&lt;&gt;"",(AA115-SUMPRODUCT(V$3:V115,$B$3:$B115)/SUM($B$3:$B115))/STDEVA(AA105:AA115),"")</f>
        <v/>
      </c>
      <c r="AG115" s="90" t="str">
        <f t="shared" si="54"/>
        <v/>
      </c>
      <c r="AH115" s="90" t="str">
        <f t="shared" si="54"/>
        <v/>
      </c>
      <c r="AI115" s="90" t="str">
        <f t="shared" si="54"/>
        <v/>
      </c>
      <c r="AJ115" s="90" t="str">
        <f t="shared" si="54"/>
        <v/>
      </c>
      <c r="AK115" s="93" t="str">
        <f t="shared" si="55"/>
        <v/>
      </c>
      <c r="BQ115" s="100" t="str">
        <f>IF(A115&lt;&gt;"",(VLOOKUP(A115,MarketData!$D:$BP,MATCH($BQ$1,MarketData!$D$1:$EG$1,0),TRUE)/100/365+1)^(B115)*BQ114,"")</f>
        <v/>
      </c>
      <c r="BR115" s="98" t="str">
        <f t="shared" si="32"/>
        <v/>
      </c>
      <c r="BS115" s="106" t="str">
        <f>IF(A115&lt;&gt;"",VLOOKUP(A115,MarketData!$D:$BP,MATCH($BS$1,MarketData!$D$1:$EG$1,0),TRUE),"")</f>
        <v/>
      </c>
      <c r="BT115" s="98" t="str">
        <f t="shared" si="43"/>
        <v/>
      </c>
    </row>
    <row r="116" spans="2:72" x14ac:dyDescent="0.25">
      <c r="B116" s="60" t="str">
        <f t="shared" si="56"/>
        <v/>
      </c>
      <c r="C116" s="3" t="str">
        <f t="shared" si="33"/>
        <v/>
      </c>
      <c r="D116" s="3" t="str">
        <f t="shared" si="34"/>
        <v/>
      </c>
      <c r="E116" s="3" t="str">
        <f t="shared" si="35"/>
        <v/>
      </c>
      <c r="F116" s="3" t="str">
        <f t="shared" si="36"/>
        <v/>
      </c>
      <c r="G116" s="74" t="str">
        <f t="shared" si="37"/>
        <v/>
      </c>
      <c r="H116" s="78" t="str">
        <f>IFERROR(C116/SUM(M$2:M115),"")</f>
        <v/>
      </c>
      <c r="I116" s="61" t="str">
        <f>IFERROR(D116/SUM(N$2:N116),"")</f>
        <v/>
      </c>
      <c r="J116" s="61" t="str">
        <f>IFERROR(E116/SUM(O$2:O116),"")</f>
        <v/>
      </c>
      <c r="K116" s="61" t="str">
        <f>IFERROR(F116/SUM(P$2:P116),"")</f>
        <v/>
      </c>
      <c r="L116" s="79" t="str">
        <f>IFERROR(G116/SUM(Q$2:Q116),"")</f>
        <v/>
      </c>
      <c r="M116" s="64" t="str">
        <f t="shared" si="38"/>
        <v/>
      </c>
      <c r="N116" s="55" t="str">
        <f t="shared" si="39"/>
        <v/>
      </c>
      <c r="O116" s="55" t="str">
        <f t="shared" si="40"/>
        <v/>
      </c>
      <c r="P116" s="55" t="str">
        <f t="shared" si="41"/>
        <v/>
      </c>
      <c r="Q116" s="65" t="str">
        <f t="shared" si="42"/>
        <v/>
      </c>
      <c r="R116" s="67" t="str">
        <f t="shared" si="44"/>
        <v/>
      </c>
      <c r="S116" s="56" t="str">
        <f t="shared" si="45"/>
        <v/>
      </c>
      <c r="T116" s="56" t="str">
        <f t="shared" si="46"/>
        <v/>
      </c>
      <c r="U116" s="56" t="str">
        <f t="shared" si="47"/>
        <v/>
      </c>
      <c r="V116" s="68" t="str">
        <f t="shared" si="48"/>
        <v/>
      </c>
      <c r="W116" s="80" t="str">
        <f t="shared" si="49"/>
        <v/>
      </c>
      <c r="X116" s="81" t="str">
        <f t="shared" si="50"/>
        <v/>
      </c>
      <c r="Y116" s="81" t="str">
        <f t="shared" si="51"/>
        <v/>
      </c>
      <c r="Z116" s="81" t="str">
        <f t="shared" si="52"/>
        <v/>
      </c>
      <c r="AA116" s="82" t="str">
        <f t="shared" si="53"/>
        <v/>
      </c>
      <c r="AB116" s="83" t="str">
        <f>IF(R116&lt;&gt;"",(W116-SUMPRODUCT(R$3:R116,$B$3:$B116)/SUM($B$3:$B116))/STDEVA(W106:W116),"")</f>
        <v/>
      </c>
      <c r="AC116" s="84" t="str">
        <f>IF(S116&lt;&gt;"",(X116-SUMPRODUCT(S$3:S116,$B$3:$B116)/SUM($B$3:$B116))/STDEVA(X106:X116),"")</f>
        <v/>
      </c>
      <c r="AD116" s="84" t="str">
        <f>IF(T116&lt;&gt;"",(Y116-SUMPRODUCT(T$3:T116,$B$3:$B116)/SUM($B$3:$B116))/STDEVA(Y106:Y116),"")</f>
        <v/>
      </c>
      <c r="AE116" s="84" t="str">
        <f>IF(U116&lt;&gt;"",(Z116-SUMPRODUCT(U$3:U116,$B$3:$B116)/SUM($B$3:$B116))/STDEVA(Z106:Z116),"")</f>
        <v/>
      </c>
      <c r="AF116" s="85" t="str">
        <f>IF(V116&lt;&gt;"",(AA116-SUMPRODUCT(V$3:V116,$B$3:$B116)/SUM($B$3:$B116))/STDEVA(AA106:AA116),"")</f>
        <v/>
      </c>
      <c r="AG116" s="90" t="str">
        <f t="shared" si="54"/>
        <v/>
      </c>
      <c r="AH116" s="90" t="str">
        <f t="shared" si="54"/>
        <v/>
      </c>
      <c r="AI116" s="90" t="str">
        <f t="shared" si="54"/>
        <v/>
      </c>
      <c r="AJ116" s="90" t="str">
        <f t="shared" si="54"/>
        <v/>
      </c>
      <c r="AK116" s="93" t="str">
        <f t="shared" si="55"/>
        <v/>
      </c>
      <c r="BQ116" s="100" t="str">
        <f>IF(A116&lt;&gt;"",(VLOOKUP(A116,MarketData!$D:$BP,MATCH($BQ$1,MarketData!$D$1:$EG$1,0),TRUE)/100/365+1)^(B116)*BQ115,"")</f>
        <v/>
      </c>
      <c r="BR116" s="98" t="str">
        <f t="shared" si="32"/>
        <v/>
      </c>
      <c r="BS116" s="106" t="str">
        <f>IF(A116&lt;&gt;"",VLOOKUP(A116,MarketData!$D:$BP,MATCH($BS$1,MarketData!$D$1:$EG$1,0),TRUE),"")</f>
        <v/>
      </c>
      <c r="BT116" s="98" t="str">
        <f t="shared" si="43"/>
        <v/>
      </c>
    </row>
    <row r="117" spans="2:72" x14ac:dyDescent="0.25">
      <c r="B117" s="60" t="str">
        <f t="shared" si="56"/>
        <v/>
      </c>
      <c r="C117" s="3" t="str">
        <f t="shared" si="33"/>
        <v/>
      </c>
      <c r="D117" s="3" t="str">
        <f t="shared" si="34"/>
        <v/>
      </c>
      <c r="E117" s="3" t="str">
        <f t="shared" si="35"/>
        <v/>
      </c>
      <c r="F117" s="3" t="str">
        <f t="shared" si="36"/>
        <v/>
      </c>
      <c r="G117" s="74" t="str">
        <f t="shared" si="37"/>
        <v/>
      </c>
      <c r="H117" s="78" t="str">
        <f>IFERROR(C117/SUM(M$2:M116),"")</f>
        <v/>
      </c>
      <c r="I117" s="61" t="str">
        <f>IFERROR(D117/SUM(N$2:N117),"")</f>
        <v/>
      </c>
      <c r="J117" s="61" t="str">
        <f>IFERROR(E117/SUM(O$2:O117),"")</f>
        <v/>
      </c>
      <c r="K117" s="61" t="str">
        <f>IFERROR(F117/SUM(P$2:P117),"")</f>
        <v/>
      </c>
      <c r="L117" s="79" t="str">
        <f>IFERROR(G117/SUM(Q$2:Q117),"")</f>
        <v/>
      </c>
      <c r="M117" s="64" t="str">
        <f t="shared" si="38"/>
        <v/>
      </c>
      <c r="N117" s="55" t="str">
        <f t="shared" si="39"/>
        <v/>
      </c>
      <c r="O117" s="55" t="str">
        <f t="shared" si="40"/>
        <v/>
      </c>
      <c r="P117" s="55" t="str">
        <f t="shared" si="41"/>
        <v/>
      </c>
      <c r="Q117" s="65" t="str">
        <f t="shared" si="42"/>
        <v/>
      </c>
      <c r="R117" s="67" t="str">
        <f t="shared" si="44"/>
        <v/>
      </c>
      <c r="S117" s="56" t="str">
        <f t="shared" si="45"/>
        <v/>
      </c>
      <c r="T117" s="56" t="str">
        <f t="shared" si="46"/>
        <v/>
      </c>
      <c r="U117" s="56" t="str">
        <f t="shared" si="47"/>
        <v/>
      </c>
      <c r="V117" s="68" t="str">
        <f t="shared" si="48"/>
        <v/>
      </c>
      <c r="W117" s="80" t="str">
        <f t="shared" si="49"/>
        <v/>
      </c>
      <c r="X117" s="81" t="str">
        <f t="shared" si="50"/>
        <v/>
      </c>
      <c r="Y117" s="81" t="str">
        <f t="shared" si="51"/>
        <v/>
      </c>
      <c r="Z117" s="81" t="str">
        <f t="shared" si="52"/>
        <v/>
      </c>
      <c r="AA117" s="82" t="str">
        <f t="shared" si="53"/>
        <v/>
      </c>
      <c r="AB117" s="83" t="str">
        <f>IF(R117&lt;&gt;"",(W117-SUMPRODUCT(R$3:R117,$B$3:$B117)/SUM($B$3:$B117))/STDEVA(W107:W117),"")</f>
        <v/>
      </c>
      <c r="AC117" s="84" t="str">
        <f>IF(S117&lt;&gt;"",(X117-SUMPRODUCT(S$3:S117,$B$3:$B117)/SUM($B$3:$B117))/STDEVA(X107:X117),"")</f>
        <v/>
      </c>
      <c r="AD117" s="84" t="str">
        <f>IF(T117&lt;&gt;"",(Y117-SUMPRODUCT(T$3:T117,$B$3:$B117)/SUM($B$3:$B117))/STDEVA(Y107:Y117),"")</f>
        <v/>
      </c>
      <c r="AE117" s="84" t="str">
        <f>IF(U117&lt;&gt;"",(Z117-SUMPRODUCT(U$3:U117,$B$3:$B117)/SUM($B$3:$B117))/STDEVA(Z107:Z117),"")</f>
        <v/>
      </c>
      <c r="AF117" s="85" t="str">
        <f>IF(V117&lt;&gt;"",(AA117-SUMPRODUCT(V$3:V117,$B$3:$B117)/SUM($B$3:$B117))/STDEVA(AA107:AA117),"")</f>
        <v/>
      </c>
      <c r="AG117" s="90" t="str">
        <f t="shared" si="54"/>
        <v/>
      </c>
      <c r="AH117" s="90" t="str">
        <f t="shared" si="54"/>
        <v/>
      </c>
      <c r="AI117" s="90" t="str">
        <f t="shared" si="54"/>
        <v/>
      </c>
      <c r="AJ117" s="90" t="str">
        <f t="shared" si="54"/>
        <v/>
      </c>
      <c r="AK117" s="93" t="str">
        <f t="shared" si="55"/>
        <v/>
      </c>
      <c r="BQ117" s="100" t="str">
        <f>IF(A117&lt;&gt;"",(VLOOKUP(A117,MarketData!$D:$BP,MATCH($BQ$1,MarketData!$D$1:$EG$1,0),TRUE)/100/365+1)^(B117)*BQ116,"")</f>
        <v/>
      </c>
      <c r="BR117" s="98" t="str">
        <f t="shared" si="32"/>
        <v/>
      </c>
      <c r="BS117" s="106" t="str">
        <f>IF(A117&lt;&gt;"",VLOOKUP(A117,MarketData!$D:$BP,MATCH($BS$1,MarketData!$D$1:$EG$1,0),TRUE),"")</f>
        <v/>
      </c>
      <c r="BT117" s="98" t="str">
        <f t="shared" si="43"/>
        <v/>
      </c>
    </row>
    <row r="118" spans="2:72" x14ac:dyDescent="0.25">
      <c r="B118" s="60" t="str">
        <f t="shared" si="56"/>
        <v/>
      </c>
      <c r="C118" s="3" t="str">
        <f t="shared" si="33"/>
        <v/>
      </c>
      <c r="D118" s="3" t="str">
        <f t="shared" si="34"/>
        <v/>
      </c>
      <c r="E118" s="3" t="str">
        <f t="shared" si="35"/>
        <v/>
      </c>
      <c r="F118" s="3" t="str">
        <f t="shared" si="36"/>
        <v/>
      </c>
      <c r="G118" s="74" t="str">
        <f t="shared" si="37"/>
        <v/>
      </c>
      <c r="H118" s="78" t="str">
        <f>IFERROR(C118/SUM(M$2:M117),"")</f>
        <v/>
      </c>
      <c r="I118" s="61" t="str">
        <f>IFERROR(D118/SUM(N$2:N118),"")</f>
        <v/>
      </c>
      <c r="J118" s="61" t="str">
        <f>IFERROR(E118/SUM(O$2:O118),"")</f>
        <v/>
      </c>
      <c r="K118" s="61" t="str">
        <f>IFERROR(F118/SUM(P$2:P118),"")</f>
        <v/>
      </c>
      <c r="L118" s="79" t="str">
        <f>IFERROR(G118/SUM(Q$2:Q118),"")</f>
        <v/>
      </c>
      <c r="M118" s="64" t="str">
        <f t="shared" si="38"/>
        <v/>
      </c>
      <c r="N118" s="55" t="str">
        <f t="shared" si="39"/>
        <v/>
      </c>
      <c r="O118" s="55" t="str">
        <f t="shared" si="40"/>
        <v/>
      </c>
      <c r="P118" s="55" t="str">
        <f t="shared" si="41"/>
        <v/>
      </c>
      <c r="Q118" s="65" t="str">
        <f t="shared" si="42"/>
        <v/>
      </c>
      <c r="R118" s="67" t="str">
        <f t="shared" si="44"/>
        <v/>
      </c>
      <c r="S118" s="56" t="str">
        <f t="shared" si="45"/>
        <v/>
      </c>
      <c r="T118" s="56" t="str">
        <f t="shared" si="46"/>
        <v/>
      </c>
      <c r="U118" s="56" t="str">
        <f t="shared" si="47"/>
        <v/>
      </c>
      <c r="V118" s="68" t="str">
        <f t="shared" si="48"/>
        <v/>
      </c>
      <c r="W118" s="80" t="str">
        <f t="shared" si="49"/>
        <v/>
      </c>
      <c r="X118" s="81" t="str">
        <f t="shared" si="50"/>
        <v/>
      </c>
      <c r="Y118" s="81" t="str">
        <f t="shared" si="51"/>
        <v/>
      </c>
      <c r="Z118" s="81" t="str">
        <f t="shared" si="52"/>
        <v/>
      </c>
      <c r="AA118" s="82" t="str">
        <f t="shared" si="53"/>
        <v/>
      </c>
      <c r="AB118" s="83" t="str">
        <f>IF(R118&lt;&gt;"",(W118-SUMPRODUCT(R$3:R118,$B$3:$B118)/SUM($B$3:$B118))/STDEVA(W108:W118),"")</f>
        <v/>
      </c>
      <c r="AC118" s="84" t="str">
        <f>IF(S118&lt;&gt;"",(X118-SUMPRODUCT(S$3:S118,$B$3:$B118)/SUM($B$3:$B118))/STDEVA(X108:X118),"")</f>
        <v/>
      </c>
      <c r="AD118" s="84" t="str">
        <f>IF(T118&lt;&gt;"",(Y118-SUMPRODUCT(T$3:T118,$B$3:$B118)/SUM($B$3:$B118))/STDEVA(Y108:Y118),"")</f>
        <v/>
      </c>
      <c r="AE118" s="84" t="str">
        <f>IF(U118&lt;&gt;"",(Z118-SUMPRODUCT(U$3:U118,$B$3:$B118)/SUM($B$3:$B118))/STDEVA(Z108:Z118),"")</f>
        <v/>
      </c>
      <c r="AF118" s="85" t="str">
        <f>IF(V118&lt;&gt;"",(AA118-SUMPRODUCT(V$3:V118,$B$3:$B118)/SUM($B$3:$B118))/STDEVA(AA108:AA118),"")</f>
        <v/>
      </c>
      <c r="AG118" s="90" t="str">
        <f t="shared" si="54"/>
        <v/>
      </c>
      <c r="AH118" s="90" t="str">
        <f t="shared" si="54"/>
        <v/>
      </c>
      <c r="AI118" s="90" t="str">
        <f t="shared" si="54"/>
        <v/>
      </c>
      <c r="AJ118" s="90" t="str">
        <f t="shared" si="54"/>
        <v/>
      </c>
      <c r="AK118" s="93" t="str">
        <f t="shared" si="55"/>
        <v/>
      </c>
      <c r="BQ118" s="100" t="str">
        <f>IF(A118&lt;&gt;"",(VLOOKUP(A118,MarketData!$D:$BP,MATCH($BQ$1,MarketData!$D$1:$EG$1,0),TRUE)/100/365+1)^(B118)*BQ117,"")</f>
        <v/>
      </c>
      <c r="BR118" s="98" t="str">
        <f t="shared" si="32"/>
        <v/>
      </c>
      <c r="BS118" s="106" t="str">
        <f>IF(A118&lt;&gt;"",VLOOKUP(A118,MarketData!$D:$BP,MATCH($BS$1,MarketData!$D$1:$EG$1,0),TRUE),"")</f>
        <v/>
      </c>
      <c r="BT118" s="98" t="str">
        <f t="shared" si="43"/>
        <v/>
      </c>
    </row>
    <row r="119" spans="2:72" x14ac:dyDescent="0.25">
      <c r="B119" s="60" t="str">
        <f t="shared" si="56"/>
        <v/>
      </c>
      <c r="C119" s="3" t="str">
        <f t="shared" si="33"/>
        <v/>
      </c>
      <c r="D119" s="3" t="str">
        <f t="shared" si="34"/>
        <v/>
      </c>
      <c r="E119" s="3" t="str">
        <f t="shared" si="35"/>
        <v/>
      </c>
      <c r="F119" s="3" t="str">
        <f t="shared" si="36"/>
        <v/>
      </c>
      <c r="G119" s="74" t="str">
        <f t="shared" si="37"/>
        <v/>
      </c>
      <c r="H119" s="78" t="str">
        <f>IFERROR(C119/SUM(M$2:M118),"")</f>
        <v/>
      </c>
      <c r="I119" s="61" t="str">
        <f>IFERROR(D119/SUM(N$2:N119),"")</f>
        <v/>
      </c>
      <c r="J119" s="61" t="str">
        <f>IFERROR(E119/SUM(O$2:O119),"")</f>
        <v/>
      </c>
      <c r="K119" s="61" t="str">
        <f>IFERROR(F119/SUM(P$2:P119),"")</f>
        <v/>
      </c>
      <c r="L119" s="79" t="str">
        <f>IFERROR(G119/SUM(Q$2:Q119),"")</f>
        <v/>
      </c>
      <c r="M119" s="64" t="str">
        <f t="shared" si="38"/>
        <v/>
      </c>
      <c r="N119" s="55" t="str">
        <f t="shared" si="39"/>
        <v/>
      </c>
      <c r="O119" s="55" t="str">
        <f t="shared" si="40"/>
        <v/>
      </c>
      <c r="P119" s="55" t="str">
        <f t="shared" si="41"/>
        <v/>
      </c>
      <c r="Q119" s="65" t="str">
        <f t="shared" si="42"/>
        <v/>
      </c>
      <c r="R119" s="67" t="str">
        <f t="shared" si="44"/>
        <v/>
      </c>
      <c r="S119" s="56" t="str">
        <f t="shared" si="45"/>
        <v/>
      </c>
      <c r="T119" s="56" t="str">
        <f t="shared" si="46"/>
        <v/>
      </c>
      <c r="U119" s="56" t="str">
        <f t="shared" si="47"/>
        <v/>
      </c>
      <c r="V119" s="68" t="str">
        <f t="shared" si="48"/>
        <v/>
      </c>
      <c r="W119" s="80" t="str">
        <f t="shared" si="49"/>
        <v/>
      </c>
      <c r="X119" s="81" t="str">
        <f t="shared" si="50"/>
        <v/>
      </c>
      <c r="Y119" s="81" t="str">
        <f t="shared" si="51"/>
        <v/>
      </c>
      <c r="Z119" s="81" t="str">
        <f t="shared" si="52"/>
        <v/>
      </c>
      <c r="AA119" s="82" t="str">
        <f t="shared" si="53"/>
        <v/>
      </c>
      <c r="AB119" s="83" t="str">
        <f>IF(R119&lt;&gt;"",(W119-SUMPRODUCT(R$3:R119,$B$3:$B119)/SUM($B$3:$B119))/STDEVA(W109:W119),"")</f>
        <v/>
      </c>
      <c r="AC119" s="84" t="str">
        <f>IF(S119&lt;&gt;"",(X119-SUMPRODUCT(S$3:S119,$B$3:$B119)/SUM($B$3:$B119))/STDEVA(X109:X119),"")</f>
        <v/>
      </c>
      <c r="AD119" s="84" t="str">
        <f>IF(T119&lt;&gt;"",(Y119-SUMPRODUCT(T$3:T119,$B$3:$B119)/SUM($B$3:$B119))/STDEVA(Y109:Y119),"")</f>
        <v/>
      </c>
      <c r="AE119" s="84" t="str">
        <f>IF(U119&lt;&gt;"",(Z119-SUMPRODUCT(U$3:U119,$B$3:$B119)/SUM($B$3:$B119))/STDEVA(Z109:Z119),"")</f>
        <v/>
      </c>
      <c r="AF119" s="85" t="str">
        <f>IF(V119&lt;&gt;"",(AA119-SUMPRODUCT(V$3:V119,$B$3:$B119)/SUM($B$3:$B119))/STDEVA(AA109:AA119),"")</f>
        <v/>
      </c>
      <c r="AG119" s="90" t="str">
        <f t="shared" si="54"/>
        <v/>
      </c>
      <c r="AH119" s="90" t="str">
        <f t="shared" si="54"/>
        <v/>
      </c>
      <c r="AI119" s="90" t="str">
        <f t="shared" si="54"/>
        <v/>
      </c>
      <c r="AJ119" s="90" t="str">
        <f t="shared" si="54"/>
        <v/>
      </c>
      <c r="AK119" s="93" t="str">
        <f t="shared" si="55"/>
        <v/>
      </c>
      <c r="BQ119" s="100" t="str">
        <f>IF(A119&lt;&gt;"",(VLOOKUP(A119,MarketData!$D:$BP,MATCH($BQ$1,MarketData!$D$1:$EG$1,0),TRUE)/100/365+1)^(B119)*BQ118,"")</f>
        <v/>
      </c>
      <c r="BR119" s="98" t="str">
        <f t="shared" si="32"/>
        <v/>
      </c>
      <c r="BS119" s="106" t="str">
        <f>IF(A119&lt;&gt;"",VLOOKUP(A119,MarketData!$D:$BP,MATCH($BS$1,MarketData!$D$1:$EG$1,0),TRUE),"")</f>
        <v/>
      </c>
      <c r="BT119" s="98" t="str">
        <f t="shared" si="43"/>
        <v/>
      </c>
    </row>
    <row r="120" spans="2:72" x14ac:dyDescent="0.25">
      <c r="B120" s="60" t="str">
        <f t="shared" si="56"/>
        <v/>
      </c>
      <c r="C120" s="3" t="str">
        <f t="shared" si="33"/>
        <v/>
      </c>
      <c r="D120" s="3" t="str">
        <f t="shared" si="34"/>
        <v/>
      </c>
      <c r="E120" s="3" t="str">
        <f t="shared" si="35"/>
        <v/>
      </c>
      <c r="F120" s="3" t="str">
        <f t="shared" si="36"/>
        <v/>
      </c>
      <c r="G120" s="74" t="str">
        <f t="shared" si="37"/>
        <v/>
      </c>
      <c r="H120" s="78" t="str">
        <f>IFERROR(C120/SUM(M$2:M119),"")</f>
        <v/>
      </c>
      <c r="I120" s="61" t="str">
        <f>IFERROR(D120/SUM(N$2:N120),"")</f>
        <v/>
      </c>
      <c r="J120" s="61" t="str">
        <f>IFERROR(E120/SUM(O$2:O120),"")</f>
        <v/>
      </c>
      <c r="K120" s="61" t="str">
        <f>IFERROR(F120/SUM(P$2:P120),"")</f>
        <v/>
      </c>
      <c r="L120" s="79" t="str">
        <f>IFERROR(G120/SUM(Q$2:Q120),"")</f>
        <v/>
      </c>
      <c r="M120" s="64" t="str">
        <f t="shared" si="38"/>
        <v/>
      </c>
      <c r="N120" s="55" t="str">
        <f t="shared" si="39"/>
        <v/>
      </c>
      <c r="O120" s="55" t="str">
        <f t="shared" si="40"/>
        <v/>
      </c>
      <c r="P120" s="55" t="str">
        <f t="shared" si="41"/>
        <v/>
      </c>
      <c r="Q120" s="65" t="str">
        <f t="shared" si="42"/>
        <v/>
      </c>
      <c r="R120" s="67" t="str">
        <f t="shared" si="44"/>
        <v/>
      </c>
      <c r="S120" s="56" t="str">
        <f t="shared" si="45"/>
        <v/>
      </c>
      <c r="T120" s="56" t="str">
        <f t="shared" si="46"/>
        <v/>
      </c>
      <c r="U120" s="56" t="str">
        <f t="shared" si="47"/>
        <v/>
      </c>
      <c r="V120" s="68" t="str">
        <f t="shared" si="48"/>
        <v/>
      </c>
      <c r="W120" s="80" t="str">
        <f t="shared" si="49"/>
        <v/>
      </c>
      <c r="X120" s="81" t="str">
        <f t="shared" si="50"/>
        <v/>
      </c>
      <c r="Y120" s="81" t="str">
        <f t="shared" si="51"/>
        <v/>
      </c>
      <c r="Z120" s="81" t="str">
        <f t="shared" si="52"/>
        <v/>
      </c>
      <c r="AA120" s="82" t="str">
        <f t="shared" si="53"/>
        <v/>
      </c>
      <c r="AB120" s="83" t="str">
        <f>IF(R120&lt;&gt;"",(W120-SUMPRODUCT(R$3:R120,$B$3:$B120)/SUM($B$3:$B120))/STDEVA(W110:W120),"")</f>
        <v/>
      </c>
      <c r="AC120" s="84" t="str">
        <f>IF(S120&lt;&gt;"",(X120-SUMPRODUCT(S$3:S120,$B$3:$B120)/SUM($B$3:$B120))/STDEVA(X110:X120),"")</f>
        <v/>
      </c>
      <c r="AD120" s="84" t="str">
        <f>IF(T120&lt;&gt;"",(Y120-SUMPRODUCT(T$3:T120,$B$3:$B120)/SUM($B$3:$B120))/STDEVA(Y110:Y120),"")</f>
        <v/>
      </c>
      <c r="AE120" s="84" t="str">
        <f>IF(U120&lt;&gt;"",(Z120-SUMPRODUCT(U$3:U120,$B$3:$B120)/SUM($B$3:$B120))/STDEVA(Z110:Z120),"")</f>
        <v/>
      </c>
      <c r="AF120" s="85" t="str">
        <f>IF(V120&lt;&gt;"",(AA120-SUMPRODUCT(V$3:V120,$B$3:$B120)/SUM($B$3:$B120))/STDEVA(AA110:AA120),"")</f>
        <v/>
      </c>
      <c r="AG120" s="90" t="str">
        <f t="shared" si="54"/>
        <v/>
      </c>
      <c r="AH120" s="90" t="str">
        <f t="shared" si="54"/>
        <v/>
      </c>
      <c r="AI120" s="90" t="str">
        <f t="shared" si="54"/>
        <v/>
      </c>
      <c r="AJ120" s="90" t="str">
        <f t="shared" si="54"/>
        <v/>
      </c>
      <c r="AK120" s="93" t="str">
        <f t="shared" si="55"/>
        <v/>
      </c>
      <c r="BQ120" s="100" t="str">
        <f>IF(A120&lt;&gt;"",(VLOOKUP(A120,MarketData!$D:$BP,MATCH($BQ$1,MarketData!$D$1:$EG$1,0),TRUE)/100/365+1)^(B120)*BQ119,"")</f>
        <v/>
      </c>
      <c r="BR120" s="98" t="str">
        <f t="shared" si="32"/>
        <v/>
      </c>
      <c r="BS120" s="106" t="str">
        <f>IF(A120&lt;&gt;"",VLOOKUP(A120,MarketData!$D:$BP,MATCH($BS$1,MarketData!$D$1:$EG$1,0),TRUE),"")</f>
        <v/>
      </c>
      <c r="BT120" s="98" t="str">
        <f t="shared" si="43"/>
        <v/>
      </c>
    </row>
    <row r="121" spans="2:72" x14ac:dyDescent="0.25">
      <c r="B121" s="60" t="str">
        <f t="shared" si="56"/>
        <v/>
      </c>
      <c r="C121" s="3" t="str">
        <f t="shared" si="33"/>
        <v/>
      </c>
      <c r="D121" s="3" t="str">
        <f t="shared" si="34"/>
        <v/>
      </c>
      <c r="E121" s="3" t="str">
        <f t="shared" si="35"/>
        <v/>
      </c>
      <c r="F121" s="3" t="str">
        <f t="shared" si="36"/>
        <v/>
      </c>
      <c r="G121" s="74" t="str">
        <f t="shared" si="37"/>
        <v/>
      </c>
      <c r="H121" s="78" t="str">
        <f>IFERROR(C121/SUM(M$2:M120),"")</f>
        <v/>
      </c>
      <c r="I121" s="61" t="str">
        <f>IFERROR(D121/SUM(N$2:N121),"")</f>
        <v/>
      </c>
      <c r="J121" s="61" t="str">
        <f>IFERROR(E121/SUM(O$2:O121),"")</f>
        <v/>
      </c>
      <c r="K121" s="61" t="str">
        <f>IFERROR(F121/SUM(P$2:P121),"")</f>
        <v/>
      </c>
      <c r="L121" s="79" t="str">
        <f>IFERROR(G121/SUM(Q$2:Q121),"")</f>
        <v/>
      </c>
      <c r="M121" s="64" t="str">
        <f t="shared" si="38"/>
        <v/>
      </c>
      <c r="N121" s="55" t="str">
        <f t="shared" si="39"/>
        <v/>
      </c>
      <c r="O121" s="55" t="str">
        <f t="shared" si="40"/>
        <v/>
      </c>
      <c r="P121" s="55" t="str">
        <f t="shared" si="41"/>
        <v/>
      </c>
      <c r="Q121" s="65" t="str">
        <f t="shared" si="42"/>
        <v/>
      </c>
      <c r="R121" s="67" t="str">
        <f t="shared" si="44"/>
        <v/>
      </c>
      <c r="S121" s="56" t="str">
        <f t="shared" si="45"/>
        <v/>
      </c>
      <c r="T121" s="56" t="str">
        <f t="shared" si="46"/>
        <v/>
      </c>
      <c r="U121" s="56" t="str">
        <f t="shared" si="47"/>
        <v/>
      </c>
      <c r="V121" s="68" t="str">
        <f t="shared" si="48"/>
        <v/>
      </c>
      <c r="W121" s="80" t="str">
        <f t="shared" si="49"/>
        <v/>
      </c>
      <c r="X121" s="81" t="str">
        <f t="shared" si="50"/>
        <v/>
      </c>
      <c r="Y121" s="81" t="str">
        <f t="shared" si="51"/>
        <v/>
      </c>
      <c r="Z121" s="81" t="str">
        <f t="shared" si="52"/>
        <v/>
      </c>
      <c r="AA121" s="82" t="str">
        <f t="shared" si="53"/>
        <v/>
      </c>
      <c r="AB121" s="83" t="str">
        <f>IF(R121&lt;&gt;"",(W121-SUMPRODUCT(R$3:R121,$B$3:$B121)/SUM($B$3:$B121))/STDEVA(W111:W121),"")</f>
        <v/>
      </c>
      <c r="AC121" s="84" t="str">
        <f>IF(S121&lt;&gt;"",(X121-SUMPRODUCT(S$3:S121,$B$3:$B121)/SUM($B$3:$B121))/STDEVA(X111:X121),"")</f>
        <v/>
      </c>
      <c r="AD121" s="84" t="str">
        <f>IF(T121&lt;&gt;"",(Y121-SUMPRODUCT(T$3:T121,$B$3:$B121)/SUM($B$3:$B121))/STDEVA(Y111:Y121),"")</f>
        <v/>
      </c>
      <c r="AE121" s="84" t="str">
        <f>IF(U121&lt;&gt;"",(Z121-SUMPRODUCT(U$3:U121,$B$3:$B121)/SUM($B$3:$B121))/STDEVA(Z111:Z121),"")</f>
        <v/>
      </c>
      <c r="AF121" s="85" t="str">
        <f>IF(V121&lt;&gt;"",(AA121-SUMPRODUCT(V$3:V121,$B$3:$B121)/SUM($B$3:$B121))/STDEVA(AA111:AA121),"")</f>
        <v/>
      </c>
      <c r="AG121" s="90" t="str">
        <f t="shared" si="54"/>
        <v/>
      </c>
      <c r="AH121" s="90" t="str">
        <f t="shared" si="54"/>
        <v/>
      </c>
      <c r="AI121" s="90" t="str">
        <f t="shared" si="54"/>
        <v/>
      </c>
      <c r="AJ121" s="90" t="str">
        <f t="shared" si="54"/>
        <v/>
      </c>
      <c r="AK121" s="93" t="str">
        <f t="shared" si="55"/>
        <v/>
      </c>
      <c r="BQ121" s="100" t="str">
        <f>IF(A121&lt;&gt;"",(VLOOKUP(A121,MarketData!$D:$BP,MATCH($BQ$1,MarketData!$D$1:$EG$1,0),TRUE)/100/365+1)^(B121)*BQ120,"")</f>
        <v/>
      </c>
      <c r="BR121" s="98" t="str">
        <f t="shared" si="32"/>
        <v/>
      </c>
      <c r="BS121" s="106" t="str">
        <f>IF(A121&lt;&gt;"",VLOOKUP(A121,MarketData!$D:$BP,MATCH($BS$1,MarketData!$D$1:$EG$1,0),TRUE),"")</f>
        <v/>
      </c>
      <c r="BT121" s="98" t="str">
        <f t="shared" si="43"/>
        <v/>
      </c>
    </row>
    <row r="122" spans="2:72" x14ac:dyDescent="0.25">
      <c r="B122" s="60" t="str">
        <f t="shared" si="56"/>
        <v/>
      </c>
      <c r="C122" s="3" t="str">
        <f t="shared" si="33"/>
        <v/>
      </c>
      <c r="D122" s="3" t="str">
        <f t="shared" si="34"/>
        <v/>
      </c>
      <c r="E122" s="3" t="str">
        <f t="shared" si="35"/>
        <v/>
      </c>
      <c r="F122" s="3" t="str">
        <f t="shared" si="36"/>
        <v/>
      </c>
      <c r="G122" s="74" t="str">
        <f t="shared" si="37"/>
        <v/>
      </c>
      <c r="H122" s="78" t="str">
        <f>IFERROR(C122/SUM(M$2:M121),"")</f>
        <v/>
      </c>
      <c r="I122" s="61" t="str">
        <f>IFERROR(D122/SUM(N$2:N122),"")</f>
        <v/>
      </c>
      <c r="J122" s="61" t="str">
        <f>IFERROR(E122/SUM(O$2:O122),"")</f>
        <v/>
      </c>
      <c r="K122" s="61" t="str">
        <f>IFERROR(F122/SUM(P$2:P122),"")</f>
        <v/>
      </c>
      <c r="L122" s="79" t="str">
        <f>IFERROR(G122/SUM(Q$2:Q122),"")</f>
        <v/>
      </c>
      <c r="M122" s="64" t="str">
        <f t="shared" si="38"/>
        <v/>
      </c>
      <c r="N122" s="55" t="str">
        <f t="shared" si="39"/>
        <v/>
      </c>
      <c r="O122" s="55" t="str">
        <f t="shared" si="40"/>
        <v/>
      </c>
      <c r="P122" s="55" t="str">
        <f t="shared" si="41"/>
        <v/>
      </c>
      <c r="Q122" s="65" t="str">
        <f t="shared" si="42"/>
        <v/>
      </c>
      <c r="R122" s="67" t="str">
        <f t="shared" si="44"/>
        <v/>
      </c>
      <c r="S122" s="56" t="str">
        <f t="shared" si="45"/>
        <v/>
      </c>
      <c r="T122" s="56" t="str">
        <f t="shared" si="46"/>
        <v/>
      </c>
      <c r="U122" s="56" t="str">
        <f t="shared" si="47"/>
        <v/>
      </c>
      <c r="V122" s="68" t="str">
        <f t="shared" si="48"/>
        <v/>
      </c>
      <c r="W122" s="80" t="str">
        <f t="shared" si="49"/>
        <v/>
      </c>
      <c r="X122" s="81" t="str">
        <f t="shared" si="50"/>
        <v/>
      </c>
      <c r="Y122" s="81" t="str">
        <f t="shared" si="51"/>
        <v/>
      </c>
      <c r="Z122" s="81" t="str">
        <f t="shared" si="52"/>
        <v/>
      </c>
      <c r="AA122" s="82" t="str">
        <f t="shared" si="53"/>
        <v/>
      </c>
      <c r="AB122" s="83" t="str">
        <f>IF(R122&lt;&gt;"",(W122-SUMPRODUCT(R$3:R122,$B$3:$B122)/SUM($B$3:$B122))/STDEVA(W112:W122),"")</f>
        <v/>
      </c>
      <c r="AC122" s="84" t="str">
        <f>IF(S122&lt;&gt;"",(X122-SUMPRODUCT(S$3:S122,$B$3:$B122)/SUM($B$3:$B122))/STDEVA(X112:X122),"")</f>
        <v/>
      </c>
      <c r="AD122" s="84" t="str">
        <f>IF(T122&lt;&gt;"",(Y122-SUMPRODUCT(T$3:T122,$B$3:$B122)/SUM($B$3:$B122))/STDEVA(Y112:Y122),"")</f>
        <v/>
      </c>
      <c r="AE122" s="84" t="str">
        <f>IF(U122&lt;&gt;"",(Z122-SUMPRODUCT(U$3:U122,$B$3:$B122)/SUM($B$3:$B122))/STDEVA(Z112:Z122),"")</f>
        <v/>
      </c>
      <c r="AF122" s="85" t="str">
        <f>IF(V122&lt;&gt;"",(AA122-SUMPRODUCT(V$3:V122,$B$3:$B122)/SUM($B$3:$B122))/STDEVA(AA112:AA122),"")</f>
        <v/>
      </c>
      <c r="AG122" s="90" t="str">
        <f t="shared" si="54"/>
        <v/>
      </c>
      <c r="AH122" s="90" t="str">
        <f t="shared" si="54"/>
        <v/>
      </c>
      <c r="AI122" s="90" t="str">
        <f t="shared" si="54"/>
        <v/>
      </c>
      <c r="AJ122" s="90" t="str">
        <f t="shared" si="54"/>
        <v/>
      </c>
      <c r="AK122" s="93" t="str">
        <f t="shared" si="55"/>
        <v/>
      </c>
      <c r="BQ122" s="100" t="str">
        <f>IF(A122&lt;&gt;"",(VLOOKUP(A122,MarketData!$D:$BP,MATCH($BQ$1,MarketData!$D$1:$EG$1,0),TRUE)/100/365+1)^(B122)*BQ121,"")</f>
        <v/>
      </c>
      <c r="BR122" s="98" t="str">
        <f t="shared" si="32"/>
        <v/>
      </c>
      <c r="BS122" s="106" t="str">
        <f>IF(A122&lt;&gt;"",VLOOKUP(A122,MarketData!$D:$BP,MATCH($BS$1,MarketData!$D$1:$EG$1,0),TRUE),"")</f>
        <v/>
      </c>
      <c r="BT122" s="98" t="str">
        <f t="shared" si="43"/>
        <v/>
      </c>
    </row>
    <row r="123" spans="2:72" x14ac:dyDescent="0.25">
      <c r="B123" s="60" t="str">
        <f t="shared" si="56"/>
        <v/>
      </c>
      <c r="C123" s="3" t="str">
        <f t="shared" si="33"/>
        <v/>
      </c>
      <c r="D123" s="3" t="str">
        <f t="shared" si="34"/>
        <v/>
      </c>
      <c r="E123" s="3" t="str">
        <f t="shared" si="35"/>
        <v/>
      </c>
      <c r="F123" s="3" t="str">
        <f t="shared" si="36"/>
        <v/>
      </c>
      <c r="G123" s="74" t="str">
        <f t="shared" si="37"/>
        <v/>
      </c>
      <c r="H123" s="78" t="str">
        <f>IFERROR(C123/SUM(M$2:M122),"")</f>
        <v/>
      </c>
      <c r="I123" s="61" t="str">
        <f>IFERROR(D123/SUM(N$2:N123),"")</f>
        <v/>
      </c>
      <c r="J123" s="61" t="str">
        <f>IFERROR(E123/SUM(O$2:O123),"")</f>
        <v/>
      </c>
      <c r="K123" s="61" t="str">
        <f>IFERROR(F123/SUM(P$2:P123),"")</f>
        <v/>
      </c>
      <c r="L123" s="79" t="str">
        <f>IFERROR(G123/SUM(Q$2:Q123),"")</f>
        <v/>
      </c>
      <c r="M123" s="64" t="str">
        <f t="shared" si="38"/>
        <v/>
      </c>
      <c r="N123" s="55" t="str">
        <f t="shared" si="39"/>
        <v/>
      </c>
      <c r="O123" s="55" t="str">
        <f t="shared" si="40"/>
        <v/>
      </c>
      <c r="P123" s="55" t="str">
        <f t="shared" si="41"/>
        <v/>
      </c>
      <c r="Q123" s="65" t="str">
        <f t="shared" si="42"/>
        <v/>
      </c>
      <c r="R123" s="67" t="str">
        <f t="shared" si="44"/>
        <v/>
      </c>
      <c r="S123" s="56" t="str">
        <f t="shared" si="45"/>
        <v/>
      </c>
      <c r="T123" s="56" t="str">
        <f t="shared" si="46"/>
        <v/>
      </c>
      <c r="U123" s="56" t="str">
        <f t="shared" si="47"/>
        <v/>
      </c>
      <c r="V123" s="68" t="str">
        <f t="shared" si="48"/>
        <v/>
      </c>
      <c r="W123" s="80" t="str">
        <f t="shared" si="49"/>
        <v/>
      </c>
      <c r="X123" s="81" t="str">
        <f t="shared" si="50"/>
        <v/>
      </c>
      <c r="Y123" s="81" t="str">
        <f t="shared" si="51"/>
        <v/>
      </c>
      <c r="Z123" s="81" t="str">
        <f t="shared" si="52"/>
        <v/>
      </c>
      <c r="AA123" s="82" t="str">
        <f t="shared" si="53"/>
        <v/>
      </c>
      <c r="AB123" s="83" t="str">
        <f>IF(R123&lt;&gt;"",(W123-SUMPRODUCT(R$3:R123,$B$3:$B123)/SUM($B$3:$B123))/STDEVA(W113:W123),"")</f>
        <v/>
      </c>
      <c r="AC123" s="84" t="str">
        <f>IF(S123&lt;&gt;"",(X123-SUMPRODUCT(S$3:S123,$B$3:$B123)/SUM($B$3:$B123))/STDEVA(X113:X123),"")</f>
        <v/>
      </c>
      <c r="AD123" s="84" t="str">
        <f>IF(T123&lt;&gt;"",(Y123-SUMPRODUCT(T$3:T123,$B$3:$B123)/SUM($B$3:$B123))/STDEVA(Y113:Y123),"")</f>
        <v/>
      </c>
      <c r="AE123" s="84" t="str">
        <f>IF(U123&lt;&gt;"",(Z123-SUMPRODUCT(U$3:U123,$B$3:$B123)/SUM($B$3:$B123))/STDEVA(Z113:Z123),"")</f>
        <v/>
      </c>
      <c r="AF123" s="85" t="str">
        <f>IF(V123&lt;&gt;"",(AA123-SUMPRODUCT(V$3:V123,$B$3:$B123)/SUM($B$3:$B123))/STDEVA(AA113:AA123),"")</f>
        <v/>
      </c>
      <c r="AG123" s="90" t="str">
        <f t="shared" si="54"/>
        <v/>
      </c>
      <c r="AH123" s="90" t="str">
        <f t="shared" si="54"/>
        <v/>
      </c>
      <c r="AI123" s="90" t="str">
        <f t="shared" si="54"/>
        <v/>
      </c>
      <c r="AJ123" s="90" t="str">
        <f t="shared" si="54"/>
        <v/>
      </c>
      <c r="AK123" s="93" t="str">
        <f t="shared" si="55"/>
        <v/>
      </c>
      <c r="BQ123" s="100" t="str">
        <f>IF(A123&lt;&gt;"",(VLOOKUP(A123,MarketData!$D:$BP,MATCH($BQ$1,MarketData!$D$1:$EG$1,0),TRUE)/100/365+1)^(B123)*BQ122,"")</f>
        <v/>
      </c>
      <c r="BR123" s="98" t="str">
        <f t="shared" si="32"/>
        <v/>
      </c>
      <c r="BS123" s="106" t="str">
        <f>IF(A123&lt;&gt;"",VLOOKUP(A123,MarketData!$D:$BP,MATCH($BS$1,MarketData!$D$1:$EG$1,0),TRUE),"")</f>
        <v/>
      </c>
      <c r="BT123" s="98" t="str">
        <f t="shared" si="43"/>
        <v/>
      </c>
    </row>
    <row r="124" spans="2:72" x14ac:dyDescent="0.25">
      <c r="B124" s="60" t="str">
        <f t="shared" si="56"/>
        <v/>
      </c>
      <c r="C124" s="3" t="str">
        <f t="shared" si="33"/>
        <v/>
      </c>
      <c r="D124" s="3" t="str">
        <f t="shared" si="34"/>
        <v/>
      </c>
      <c r="E124" s="3" t="str">
        <f t="shared" si="35"/>
        <v/>
      </c>
      <c r="F124" s="3" t="str">
        <f t="shared" si="36"/>
        <v/>
      </c>
      <c r="G124" s="74" t="str">
        <f t="shared" si="37"/>
        <v/>
      </c>
      <c r="H124" s="78" t="str">
        <f>IFERROR(C124/SUM(M$2:M123),"")</f>
        <v/>
      </c>
      <c r="I124" s="61" t="str">
        <f>IFERROR(D124/SUM(N$2:N124),"")</f>
        <v/>
      </c>
      <c r="J124" s="61" t="str">
        <f>IFERROR(E124/SUM(O$2:O124),"")</f>
        <v/>
      </c>
      <c r="K124" s="61" t="str">
        <f>IFERROR(F124/SUM(P$2:P124),"")</f>
        <v/>
      </c>
      <c r="L124" s="79" t="str">
        <f>IFERROR(G124/SUM(Q$2:Q124),"")</f>
        <v/>
      </c>
      <c r="M124" s="64" t="str">
        <f t="shared" si="38"/>
        <v/>
      </c>
      <c r="N124" s="55" t="str">
        <f t="shared" si="39"/>
        <v/>
      </c>
      <c r="O124" s="55" t="str">
        <f t="shared" si="40"/>
        <v/>
      </c>
      <c r="P124" s="55" t="str">
        <f t="shared" si="41"/>
        <v/>
      </c>
      <c r="Q124" s="65" t="str">
        <f t="shared" si="42"/>
        <v/>
      </c>
      <c r="R124" s="67" t="str">
        <f t="shared" si="44"/>
        <v/>
      </c>
      <c r="S124" s="56" t="str">
        <f t="shared" si="45"/>
        <v/>
      </c>
      <c r="T124" s="56" t="str">
        <f t="shared" si="46"/>
        <v/>
      </c>
      <c r="U124" s="56" t="str">
        <f t="shared" si="47"/>
        <v/>
      </c>
      <c r="V124" s="68" t="str">
        <f t="shared" si="48"/>
        <v/>
      </c>
      <c r="W124" s="80" t="str">
        <f t="shared" si="49"/>
        <v/>
      </c>
      <c r="X124" s="81" t="str">
        <f t="shared" si="50"/>
        <v/>
      </c>
      <c r="Y124" s="81" t="str">
        <f t="shared" si="51"/>
        <v/>
      </c>
      <c r="Z124" s="81" t="str">
        <f t="shared" si="52"/>
        <v/>
      </c>
      <c r="AA124" s="82" t="str">
        <f t="shared" si="53"/>
        <v/>
      </c>
      <c r="AB124" s="83" t="str">
        <f>IF(R124&lt;&gt;"",(W124-SUMPRODUCT(R$3:R124,$B$3:$B124)/SUM($B$3:$B124))/STDEVA(W114:W124),"")</f>
        <v/>
      </c>
      <c r="AC124" s="84" t="str">
        <f>IF(S124&lt;&gt;"",(X124-SUMPRODUCT(S$3:S124,$B$3:$B124)/SUM($B$3:$B124))/STDEVA(X114:X124),"")</f>
        <v/>
      </c>
      <c r="AD124" s="84" t="str">
        <f>IF(T124&lt;&gt;"",(Y124-SUMPRODUCT(T$3:T124,$B$3:$B124)/SUM($B$3:$B124))/STDEVA(Y114:Y124),"")</f>
        <v/>
      </c>
      <c r="AE124" s="84" t="str">
        <f>IF(U124&lt;&gt;"",(Z124-SUMPRODUCT(U$3:U124,$B$3:$B124)/SUM($B$3:$B124))/STDEVA(Z114:Z124),"")</f>
        <v/>
      </c>
      <c r="AF124" s="85" t="str">
        <f>IF(V124&lt;&gt;"",(AA124-SUMPRODUCT(V$3:V124,$B$3:$B124)/SUM($B$3:$B124))/STDEVA(AA114:AA124),"")</f>
        <v/>
      </c>
      <c r="AG124" s="90" t="str">
        <f t="shared" si="54"/>
        <v/>
      </c>
      <c r="AH124" s="90" t="str">
        <f t="shared" si="54"/>
        <v/>
      </c>
      <c r="AI124" s="90" t="str">
        <f t="shared" si="54"/>
        <v/>
      </c>
      <c r="AJ124" s="90" t="str">
        <f t="shared" si="54"/>
        <v/>
      </c>
      <c r="AK124" s="93" t="str">
        <f t="shared" si="55"/>
        <v/>
      </c>
      <c r="BQ124" s="100" t="str">
        <f>IF(A124&lt;&gt;"",(VLOOKUP(A124,MarketData!$D:$BP,MATCH($BQ$1,MarketData!$D$1:$EG$1,0),TRUE)/100/365+1)^(B124)*BQ123,"")</f>
        <v/>
      </c>
      <c r="BR124" s="98" t="str">
        <f t="shared" si="32"/>
        <v/>
      </c>
      <c r="BS124" s="106" t="str">
        <f>IF(A124&lt;&gt;"",VLOOKUP(A124,MarketData!$D:$BP,MATCH($BS$1,MarketData!$D$1:$EG$1,0),TRUE),"")</f>
        <v/>
      </c>
      <c r="BT124" s="98" t="str">
        <f t="shared" si="43"/>
        <v/>
      </c>
    </row>
    <row r="125" spans="2:72" x14ac:dyDescent="0.25">
      <c r="B125" s="60" t="str">
        <f t="shared" si="56"/>
        <v/>
      </c>
      <c r="C125" s="3" t="str">
        <f t="shared" si="33"/>
        <v/>
      </c>
      <c r="D125" s="3" t="str">
        <f t="shared" si="34"/>
        <v/>
      </c>
      <c r="E125" s="3" t="str">
        <f t="shared" si="35"/>
        <v/>
      </c>
      <c r="F125" s="3" t="str">
        <f t="shared" si="36"/>
        <v/>
      </c>
      <c r="G125" s="74" t="str">
        <f t="shared" si="37"/>
        <v/>
      </c>
      <c r="H125" s="78" t="str">
        <f>IFERROR(C125/SUM(M$2:M124),"")</f>
        <v/>
      </c>
      <c r="I125" s="61" t="str">
        <f>IFERROR(D125/SUM(N$2:N125),"")</f>
        <v/>
      </c>
      <c r="J125" s="61" t="str">
        <f>IFERROR(E125/SUM(O$2:O125),"")</f>
        <v/>
      </c>
      <c r="K125" s="61" t="str">
        <f>IFERROR(F125/SUM(P$2:P125),"")</f>
        <v/>
      </c>
      <c r="L125" s="79" t="str">
        <f>IFERROR(G125/SUM(Q$2:Q125),"")</f>
        <v/>
      </c>
      <c r="M125" s="64" t="str">
        <f t="shared" si="38"/>
        <v/>
      </c>
      <c r="N125" s="55" t="str">
        <f t="shared" si="39"/>
        <v/>
      </c>
      <c r="O125" s="55" t="str">
        <f t="shared" si="40"/>
        <v/>
      </c>
      <c r="P125" s="55" t="str">
        <f t="shared" si="41"/>
        <v/>
      </c>
      <c r="Q125" s="65" t="str">
        <f t="shared" si="42"/>
        <v/>
      </c>
      <c r="R125" s="67" t="str">
        <f t="shared" si="44"/>
        <v/>
      </c>
      <c r="S125" s="56" t="str">
        <f t="shared" si="45"/>
        <v/>
      </c>
      <c r="T125" s="56" t="str">
        <f t="shared" si="46"/>
        <v/>
      </c>
      <c r="U125" s="56" t="str">
        <f t="shared" si="47"/>
        <v/>
      </c>
      <c r="V125" s="68" t="str">
        <f t="shared" si="48"/>
        <v/>
      </c>
      <c r="W125" s="80" t="str">
        <f t="shared" si="49"/>
        <v/>
      </c>
      <c r="X125" s="81" t="str">
        <f t="shared" si="50"/>
        <v/>
      </c>
      <c r="Y125" s="81" t="str">
        <f t="shared" si="51"/>
        <v/>
      </c>
      <c r="Z125" s="81" t="str">
        <f t="shared" si="52"/>
        <v/>
      </c>
      <c r="AA125" s="82" t="str">
        <f t="shared" si="53"/>
        <v/>
      </c>
      <c r="AB125" s="83" t="str">
        <f>IF(R125&lt;&gt;"",(W125-SUMPRODUCT(R$3:R125,$B$3:$B125)/SUM($B$3:$B125))/STDEVA(W115:W125),"")</f>
        <v/>
      </c>
      <c r="AC125" s="84" t="str">
        <f>IF(S125&lt;&gt;"",(X125-SUMPRODUCT(S$3:S125,$B$3:$B125)/SUM($B$3:$B125))/STDEVA(X115:X125),"")</f>
        <v/>
      </c>
      <c r="AD125" s="84" t="str">
        <f>IF(T125&lt;&gt;"",(Y125-SUMPRODUCT(T$3:T125,$B$3:$B125)/SUM($B$3:$B125))/STDEVA(Y115:Y125),"")</f>
        <v/>
      </c>
      <c r="AE125" s="84" t="str">
        <f>IF(U125&lt;&gt;"",(Z125-SUMPRODUCT(U$3:U125,$B$3:$B125)/SUM($B$3:$B125))/STDEVA(Z115:Z125),"")</f>
        <v/>
      </c>
      <c r="AF125" s="85" t="str">
        <f>IF(V125&lt;&gt;"",(AA125-SUMPRODUCT(V$3:V125,$B$3:$B125)/SUM($B$3:$B125))/STDEVA(AA115:AA125),"")</f>
        <v/>
      </c>
      <c r="AG125" s="90" t="str">
        <f t="shared" si="54"/>
        <v/>
      </c>
      <c r="AH125" s="90" t="str">
        <f t="shared" si="54"/>
        <v/>
      </c>
      <c r="AI125" s="90" t="str">
        <f t="shared" si="54"/>
        <v/>
      </c>
      <c r="AJ125" s="90" t="str">
        <f t="shared" si="54"/>
        <v/>
      </c>
      <c r="AK125" s="93" t="str">
        <f t="shared" si="55"/>
        <v/>
      </c>
      <c r="BQ125" s="100" t="str">
        <f>IF(A125&lt;&gt;"",(VLOOKUP(A125,MarketData!$D:$BP,MATCH($BQ$1,MarketData!$D$1:$EG$1,0),TRUE)/100/365+1)^(B125)*BQ124,"")</f>
        <v/>
      </c>
      <c r="BR125" s="98" t="str">
        <f t="shared" si="32"/>
        <v/>
      </c>
      <c r="BS125" s="106" t="str">
        <f>IF(A125&lt;&gt;"",VLOOKUP(A125,MarketData!$D:$BP,MATCH($BS$1,MarketData!$D$1:$EG$1,0),TRUE),"")</f>
        <v/>
      </c>
      <c r="BT125" s="98" t="str">
        <f t="shared" si="43"/>
        <v/>
      </c>
    </row>
    <row r="126" spans="2:72" x14ac:dyDescent="0.25">
      <c r="B126" s="60" t="str">
        <f t="shared" si="56"/>
        <v/>
      </c>
      <c r="C126" s="3" t="str">
        <f t="shared" si="33"/>
        <v/>
      </c>
      <c r="D126" s="3" t="str">
        <f t="shared" si="34"/>
        <v/>
      </c>
      <c r="E126" s="3" t="str">
        <f t="shared" si="35"/>
        <v/>
      </c>
      <c r="F126" s="3" t="str">
        <f t="shared" si="36"/>
        <v/>
      </c>
      <c r="G126" s="74" t="str">
        <f t="shared" si="37"/>
        <v/>
      </c>
      <c r="H126" s="78" t="str">
        <f>IFERROR(C126/SUM(M$2:M125),"")</f>
        <v/>
      </c>
      <c r="I126" s="61" t="str">
        <f>IFERROR(D126/SUM(N$2:N126),"")</f>
        <v/>
      </c>
      <c r="J126" s="61" t="str">
        <f>IFERROR(E126/SUM(O$2:O126),"")</f>
        <v/>
      </c>
      <c r="K126" s="61" t="str">
        <f>IFERROR(F126/SUM(P$2:P126),"")</f>
        <v/>
      </c>
      <c r="L126" s="79" t="str">
        <f>IFERROR(G126/SUM(Q$2:Q126),"")</f>
        <v/>
      </c>
      <c r="M126" s="64" t="str">
        <f t="shared" si="38"/>
        <v/>
      </c>
      <c r="N126" s="55" t="str">
        <f t="shared" si="39"/>
        <v/>
      </c>
      <c r="O126" s="55" t="str">
        <f t="shared" si="40"/>
        <v/>
      </c>
      <c r="P126" s="55" t="str">
        <f t="shared" si="41"/>
        <v/>
      </c>
      <c r="Q126" s="65" t="str">
        <f t="shared" si="42"/>
        <v/>
      </c>
      <c r="R126" s="67" t="str">
        <f t="shared" si="44"/>
        <v/>
      </c>
      <c r="S126" s="56" t="str">
        <f t="shared" si="45"/>
        <v/>
      </c>
      <c r="T126" s="56" t="str">
        <f t="shared" si="46"/>
        <v/>
      </c>
      <c r="U126" s="56" t="str">
        <f t="shared" si="47"/>
        <v/>
      </c>
      <c r="V126" s="68" t="str">
        <f t="shared" si="48"/>
        <v/>
      </c>
      <c r="W126" s="80" t="str">
        <f t="shared" si="49"/>
        <v/>
      </c>
      <c r="X126" s="81" t="str">
        <f t="shared" si="50"/>
        <v/>
      </c>
      <c r="Y126" s="81" t="str">
        <f t="shared" si="51"/>
        <v/>
      </c>
      <c r="Z126" s="81" t="str">
        <f t="shared" si="52"/>
        <v/>
      </c>
      <c r="AA126" s="82" t="str">
        <f t="shared" si="53"/>
        <v/>
      </c>
      <c r="AB126" s="83" t="str">
        <f>IF(R126&lt;&gt;"",(W126-SUMPRODUCT(R$3:R126,$B$3:$B126)/SUM($B$3:$B126))/STDEVA(W116:W126),"")</f>
        <v/>
      </c>
      <c r="AC126" s="84" t="str">
        <f>IF(S126&lt;&gt;"",(X126-SUMPRODUCT(S$3:S126,$B$3:$B126)/SUM($B$3:$B126))/STDEVA(X116:X126),"")</f>
        <v/>
      </c>
      <c r="AD126" s="84" t="str">
        <f>IF(T126&lt;&gt;"",(Y126-SUMPRODUCT(T$3:T126,$B$3:$B126)/SUM($B$3:$B126))/STDEVA(Y116:Y126),"")</f>
        <v/>
      </c>
      <c r="AE126" s="84" t="str">
        <f>IF(U126&lt;&gt;"",(Z126-SUMPRODUCT(U$3:U126,$B$3:$B126)/SUM($B$3:$B126))/STDEVA(Z116:Z126),"")</f>
        <v/>
      </c>
      <c r="AF126" s="85" t="str">
        <f>IF(V126&lt;&gt;"",(AA126-SUMPRODUCT(V$3:V126,$B$3:$B126)/SUM($B$3:$B126))/STDEVA(AA116:AA126),"")</f>
        <v/>
      </c>
      <c r="AG126" s="90" t="str">
        <f t="shared" si="54"/>
        <v/>
      </c>
      <c r="AH126" s="90" t="str">
        <f t="shared" si="54"/>
        <v/>
      </c>
      <c r="AI126" s="90" t="str">
        <f t="shared" si="54"/>
        <v/>
      </c>
      <c r="AJ126" s="90" t="str">
        <f t="shared" si="54"/>
        <v/>
      </c>
      <c r="AK126" s="93" t="str">
        <f t="shared" si="55"/>
        <v/>
      </c>
      <c r="BQ126" s="100" t="str">
        <f>IF(A126&lt;&gt;"",(VLOOKUP(A126,MarketData!$D:$BP,MATCH($BQ$1,MarketData!$D$1:$EG$1,0),TRUE)/100/365+1)^(B126)*BQ125,"")</f>
        <v/>
      </c>
      <c r="BR126" s="98" t="str">
        <f t="shared" si="32"/>
        <v/>
      </c>
      <c r="BS126" s="106" t="str">
        <f>IF(A126&lt;&gt;"",VLOOKUP(A126,MarketData!$D:$BP,MATCH($BS$1,MarketData!$D$1:$EG$1,0),TRUE),"")</f>
        <v/>
      </c>
      <c r="BT126" s="98" t="str">
        <f t="shared" si="43"/>
        <v/>
      </c>
    </row>
    <row r="127" spans="2:72" x14ac:dyDescent="0.25">
      <c r="B127" s="60" t="str">
        <f t="shared" si="56"/>
        <v/>
      </c>
      <c r="C127" s="3" t="str">
        <f t="shared" si="33"/>
        <v/>
      </c>
      <c r="D127" s="3" t="str">
        <f t="shared" si="34"/>
        <v/>
      </c>
      <c r="E127" s="3" t="str">
        <f t="shared" si="35"/>
        <v/>
      </c>
      <c r="F127" s="3" t="str">
        <f t="shared" si="36"/>
        <v/>
      </c>
      <c r="G127" s="74" t="str">
        <f t="shared" si="37"/>
        <v/>
      </c>
      <c r="H127" s="78" t="str">
        <f>IFERROR(C127/SUM(M$2:M126),"")</f>
        <v/>
      </c>
      <c r="I127" s="61" t="str">
        <f>IFERROR(D127/SUM(N$2:N127),"")</f>
        <v/>
      </c>
      <c r="J127" s="61" t="str">
        <f>IFERROR(E127/SUM(O$2:O127),"")</f>
        <v/>
      </c>
      <c r="K127" s="61" t="str">
        <f>IFERROR(F127/SUM(P$2:P127),"")</f>
        <v/>
      </c>
      <c r="L127" s="79" t="str">
        <f>IFERROR(G127/SUM(Q$2:Q127),"")</f>
        <v/>
      </c>
      <c r="M127" s="64" t="str">
        <f t="shared" si="38"/>
        <v/>
      </c>
      <c r="N127" s="55" t="str">
        <f t="shared" si="39"/>
        <v/>
      </c>
      <c r="O127" s="55" t="str">
        <f t="shared" si="40"/>
        <v/>
      </c>
      <c r="P127" s="55" t="str">
        <f t="shared" si="41"/>
        <v/>
      </c>
      <c r="Q127" s="65" t="str">
        <f t="shared" si="42"/>
        <v/>
      </c>
      <c r="R127" s="67" t="str">
        <f t="shared" si="44"/>
        <v/>
      </c>
      <c r="S127" s="56" t="str">
        <f t="shared" si="45"/>
        <v/>
      </c>
      <c r="T127" s="56" t="str">
        <f t="shared" si="46"/>
        <v/>
      </c>
      <c r="U127" s="56" t="str">
        <f t="shared" si="47"/>
        <v/>
      </c>
      <c r="V127" s="68" t="str">
        <f t="shared" si="48"/>
        <v/>
      </c>
      <c r="W127" s="80" t="str">
        <f t="shared" si="49"/>
        <v/>
      </c>
      <c r="X127" s="81" t="str">
        <f t="shared" si="50"/>
        <v/>
      </c>
      <c r="Y127" s="81" t="str">
        <f t="shared" si="51"/>
        <v/>
      </c>
      <c r="Z127" s="81" t="str">
        <f t="shared" si="52"/>
        <v/>
      </c>
      <c r="AA127" s="82" t="str">
        <f t="shared" si="53"/>
        <v/>
      </c>
      <c r="AB127" s="83" t="str">
        <f>IF(R127&lt;&gt;"",(W127-SUMPRODUCT(R$3:R127,$B$3:$B127)/SUM($B$3:$B127))/STDEVA(W117:W127),"")</f>
        <v/>
      </c>
      <c r="AC127" s="84" t="str">
        <f>IF(S127&lt;&gt;"",(X127-SUMPRODUCT(S$3:S127,$B$3:$B127)/SUM($B$3:$B127))/STDEVA(X117:X127),"")</f>
        <v/>
      </c>
      <c r="AD127" s="84" t="str">
        <f>IF(T127&lt;&gt;"",(Y127-SUMPRODUCT(T$3:T127,$B$3:$B127)/SUM($B$3:$B127))/STDEVA(Y117:Y127),"")</f>
        <v/>
      </c>
      <c r="AE127" s="84" t="str">
        <f>IF(U127&lt;&gt;"",(Z127-SUMPRODUCT(U$3:U127,$B$3:$B127)/SUM($B$3:$B127))/STDEVA(Z117:Z127),"")</f>
        <v/>
      </c>
      <c r="AF127" s="85" t="str">
        <f>IF(V127&lt;&gt;"",(AA127-SUMPRODUCT(V$3:V127,$B$3:$B127)/SUM($B$3:$B127))/STDEVA(AA117:AA127),"")</f>
        <v/>
      </c>
      <c r="AG127" s="90" t="str">
        <f t="shared" si="54"/>
        <v/>
      </c>
      <c r="AH127" s="90" t="str">
        <f t="shared" si="54"/>
        <v/>
      </c>
      <c r="AI127" s="90" t="str">
        <f t="shared" si="54"/>
        <v/>
      </c>
      <c r="AJ127" s="90" t="str">
        <f t="shared" si="54"/>
        <v/>
      </c>
      <c r="AK127" s="93" t="str">
        <f t="shared" si="55"/>
        <v/>
      </c>
      <c r="BQ127" s="100" t="str">
        <f>IF(A127&lt;&gt;"",(VLOOKUP(A127,MarketData!$D:$BP,MATCH($BQ$1,MarketData!$D$1:$EG$1,0),TRUE)/100/365+1)^(B127)*BQ126,"")</f>
        <v/>
      </c>
      <c r="BR127" s="98" t="str">
        <f t="shared" si="32"/>
        <v/>
      </c>
      <c r="BS127" s="106" t="str">
        <f>IF(A127&lt;&gt;"",VLOOKUP(A127,MarketData!$D:$BP,MATCH($BS$1,MarketData!$D$1:$EG$1,0),TRUE),"")</f>
        <v/>
      </c>
      <c r="BT127" s="98" t="str">
        <f t="shared" si="43"/>
        <v/>
      </c>
    </row>
    <row r="128" spans="2:72" x14ac:dyDescent="0.25">
      <c r="B128" s="60" t="str">
        <f t="shared" si="56"/>
        <v/>
      </c>
      <c r="C128" s="3" t="str">
        <f t="shared" si="33"/>
        <v/>
      </c>
      <c r="D128" s="3" t="str">
        <f t="shared" si="34"/>
        <v/>
      </c>
      <c r="E128" s="3" t="str">
        <f t="shared" si="35"/>
        <v/>
      </c>
      <c r="F128" s="3" t="str">
        <f t="shared" si="36"/>
        <v/>
      </c>
      <c r="G128" s="74" t="str">
        <f t="shared" si="37"/>
        <v/>
      </c>
      <c r="H128" s="78" t="str">
        <f>IFERROR(C128/SUM(M$2:M127),"")</f>
        <v/>
      </c>
      <c r="I128" s="61" t="str">
        <f>IFERROR(D128/SUM(N$2:N128),"")</f>
        <v/>
      </c>
      <c r="J128" s="61" t="str">
        <f>IFERROR(E128/SUM(O$2:O128),"")</f>
        <v/>
      </c>
      <c r="K128" s="61" t="str">
        <f>IFERROR(F128/SUM(P$2:P128),"")</f>
        <v/>
      </c>
      <c r="L128" s="79" t="str">
        <f>IFERROR(G128/SUM(Q$2:Q128),"")</f>
        <v/>
      </c>
      <c r="M128" s="64" t="str">
        <f t="shared" si="38"/>
        <v/>
      </c>
      <c r="N128" s="55" t="str">
        <f t="shared" si="39"/>
        <v/>
      </c>
      <c r="O128" s="55" t="str">
        <f t="shared" si="40"/>
        <v/>
      </c>
      <c r="P128" s="55" t="str">
        <f t="shared" si="41"/>
        <v/>
      </c>
      <c r="Q128" s="65" t="str">
        <f t="shared" si="42"/>
        <v/>
      </c>
      <c r="R128" s="67" t="str">
        <f t="shared" si="44"/>
        <v/>
      </c>
      <c r="S128" s="56" t="str">
        <f t="shared" si="45"/>
        <v/>
      </c>
      <c r="T128" s="56" t="str">
        <f t="shared" si="46"/>
        <v/>
      </c>
      <c r="U128" s="56" t="str">
        <f t="shared" si="47"/>
        <v/>
      </c>
      <c r="V128" s="68" t="str">
        <f t="shared" si="48"/>
        <v/>
      </c>
      <c r="W128" s="80" t="str">
        <f t="shared" si="49"/>
        <v/>
      </c>
      <c r="X128" s="81" t="str">
        <f t="shared" si="50"/>
        <v/>
      </c>
      <c r="Y128" s="81" t="str">
        <f t="shared" si="51"/>
        <v/>
      </c>
      <c r="Z128" s="81" t="str">
        <f t="shared" si="52"/>
        <v/>
      </c>
      <c r="AA128" s="82" t="str">
        <f t="shared" si="53"/>
        <v/>
      </c>
      <c r="AB128" s="83" t="str">
        <f>IF(R128&lt;&gt;"",(W128-SUMPRODUCT(R$3:R128,$B$3:$B128)/SUM($B$3:$B128))/STDEVA(W118:W128),"")</f>
        <v/>
      </c>
      <c r="AC128" s="84" t="str">
        <f>IF(S128&lt;&gt;"",(X128-SUMPRODUCT(S$3:S128,$B$3:$B128)/SUM($B$3:$B128))/STDEVA(X118:X128),"")</f>
        <v/>
      </c>
      <c r="AD128" s="84" t="str">
        <f>IF(T128&lt;&gt;"",(Y128-SUMPRODUCT(T$3:T128,$B$3:$B128)/SUM($B$3:$B128))/STDEVA(Y118:Y128),"")</f>
        <v/>
      </c>
      <c r="AE128" s="84" t="str">
        <f>IF(U128&lt;&gt;"",(Z128-SUMPRODUCT(U$3:U128,$B$3:$B128)/SUM($B$3:$B128))/STDEVA(Z118:Z128),"")</f>
        <v/>
      </c>
      <c r="AF128" s="85" t="str">
        <f>IF(V128&lt;&gt;"",(AA128-SUMPRODUCT(V$3:V128,$B$3:$B128)/SUM($B$3:$B128))/STDEVA(AA118:AA128),"")</f>
        <v/>
      </c>
      <c r="AG128" s="90" t="str">
        <f t="shared" si="54"/>
        <v/>
      </c>
      <c r="AH128" s="90" t="str">
        <f t="shared" si="54"/>
        <v/>
      </c>
      <c r="AI128" s="90" t="str">
        <f t="shared" si="54"/>
        <v/>
      </c>
      <c r="AJ128" s="90" t="str">
        <f t="shared" si="54"/>
        <v/>
      </c>
      <c r="AK128" s="93" t="str">
        <f t="shared" si="55"/>
        <v/>
      </c>
      <c r="BQ128" s="100" t="str">
        <f>IF(A128&lt;&gt;"",(VLOOKUP(A128,MarketData!$D:$BP,MATCH($BQ$1,MarketData!$D$1:$EG$1,0),TRUE)/100/365+1)^(B128)*BQ127,"")</f>
        <v/>
      </c>
      <c r="BR128" s="98" t="str">
        <f t="shared" si="32"/>
        <v/>
      </c>
      <c r="BS128" s="106" t="str">
        <f>IF(A128&lt;&gt;"",VLOOKUP(A128,MarketData!$D:$BP,MATCH($BS$1,MarketData!$D$1:$EG$1,0),TRUE),"")</f>
        <v/>
      </c>
      <c r="BT128" s="98" t="str">
        <f t="shared" si="43"/>
        <v/>
      </c>
    </row>
    <row r="129" spans="2:72" x14ac:dyDescent="0.25">
      <c r="B129" s="60" t="str">
        <f t="shared" si="56"/>
        <v/>
      </c>
      <c r="C129" s="3" t="str">
        <f t="shared" si="33"/>
        <v/>
      </c>
      <c r="D129" s="3" t="str">
        <f t="shared" si="34"/>
        <v/>
      </c>
      <c r="E129" s="3" t="str">
        <f t="shared" si="35"/>
        <v/>
      </c>
      <c r="F129" s="3" t="str">
        <f t="shared" si="36"/>
        <v/>
      </c>
      <c r="G129" s="74" t="str">
        <f t="shared" si="37"/>
        <v/>
      </c>
      <c r="H129" s="78" t="str">
        <f>IFERROR(C129/SUM(M$2:M128),"")</f>
        <v/>
      </c>
      <c r="I129" s="61" t="str">
        <f>IFERROR(D129/SUM(N$2:N129),"")</f>
        <v/>
      </c>
      <c r="J129" s="61" t="str">
        <f>IFERROR(E129/SUM(O$2:O129),"")</f>
        <v/>
      </c>
      <c r="K129" s="61" t="str">
        <f>IFERROR(F129/SUM(P$2:P129),"")</f>
        <v/>
      </c>
      <c r="L129" s="79" t="str">
        <f>IFERROR(G129/SUM(Q$2:Q129),"")</f>
        <v/>
      </c>
      <c r="M129" s="64" t="str">
        <f t="shared" si="38"/>
        <v/>
      </c>
      <c r="N129" s="55" t="str">
        <f t="shared" si="39"/>
        <v/>
      </c>
      <c r="O129" s="55" t="str">
        <f t="shared" si="40"/>
        <v/>
      </c>
      <c r="P129" s="55" t="str">
        <f t="shared" si="41"/>
        <v/>
      </c>
      <c r="Q129" s="65" t="str">
        <f t="shared" si="42"/>
        <v/>
      </c>
      <c r="R129" s="67" t="str">
        <f t="shared" si="44"/>
        <v/>
      </c>
      <c r="S129" s="56" t="str">
        <f t="shared" si="45"/>
        <v/>
      </c>
      <c r="T129" s="56" t="str">
        <f t="shared" si="46"/>
        <v/>
      </c>
      <c r="U129" s="56" t="str">
        <f t="shared" si="47"/>
        <v/>
      </c>
      <c r="V129" s="68" t="str">
        <f t="shared" si="48"/>
        <v/>
      </c>
      <c r="W129" s="80" t="str">
        <f t="shared" si="49"/>
        <v/>
      </c>
      <c r="X129" s="81" t="str">
        <f t="shared" si="50"/>
        <v/>
      </c>
      <c r="Y129" s="81" t="str">
        <f t="shared" si="51"/>
        <v/>
      </c>
      <c r="Z129" s="81" t="str">
        <f t="shared" si="52"/>
        <v/>
      </c>
      <c r="AA129" s="82" t="str">
        <f t="shared" si="53"/>
        <v/>
      </c>
      <c r="AB129" s="83" t="str">
        <f>IF(R129&lt;&gt;"",(W129-SUMPRODUCT(R$3:R129,$B$3:$B129)/SUM($B$3:$B129))/STDEVA(W119:W129),"")</f>
        <v/>
      </c>
      <c r="AC129" s="84" t="str">
        <f>IF(S129&lt;&gt;"",(X129-SUMPRODUCT(S$3:S129,$B$3:$B129)/SUM($B$3:$B129))/STDEVA(X119:X129),"")</f>
        <v/>
      </c>
      <c r="AD129" s="84" t="str">
        <f>IF(T129&lt;&gt;"",(Y129-SUMPRODUCT(T$3:T129,$B$3:$B129)/SUM($B$3:$B129))/STDEVA(Y119:Y129),"")</f>
        <v/>
      </c>
      <c r="AE129" s="84" t="str">
        <f>IF(U129&lt;&gt;"",(Z129-SUMPRODUCT(U$3:U129,$B$3:$B129)/SUM($B$3:$B129))/STDEVA(Z119:Z129),"")</f>
        <v/>
      </c>
      <c r="AF129" s="85" t="str">
        <f>IF(V129&lt;&gt;"",(AA129-SUMPRODUCT(V$3:V129,$B$3:$B129)/SUM($B$3:$B129))/STDEVA(AA119:AA129),"")</f>
        <v/>
      </c>
      <c r="AG129" s="90" t="str">
        <f t="shared" si="54"/>
        <v/>
      </c>
      <c r="AH129" s="90" t="str">
        <f t="shared" si="54"/>
        <v/>
      </c>
      <c r="AI129" s="90" t="str">
        <f t="shared" si="54"/>
        <v/>
      </c>
      <c r="AJ129" s="90" t="str">
        <f t="shared" si="54"/>
        <v/>
      </c>
      <c r="AK129" s="93" t="str">
        <f t="shared" si="55"/>
        <v/>
      </c>
      <c r="BQ129" s="100" t="str">
        <f>IF(A129&lt;&gt;"",(VLOOKUP(A129,MarketData!$D:$BP,MATCH($BQ$1,MarketData!$D$1:$EG$1,0),TRUE)/100/365+1)^(B129)*BQ128,"")</f>
        <v/>
      </c>
      <c r="BR129" s="98" t="str">
        <f t="shared" si="32"/>
        <v/>
      </c>
      <c r="BS129" s="106" t="str">
        <f>IF(A129&lt;&gt;"",VLOOKUP(A129,MarketData!$D:$BP,MATCH($BS$1,MarketData!$D$1:$EG$1,0),TRUE),"")</f>
        <v/>
      </c>
      <c r="BT129" s="98" t="str">
        <f t="shared" si="43"/>
        <v/>
      </c>
    </row>
    <row r="130" spans="2:72" x14ac:dyDescent="0.25">
      <c r="B130" s="60" t="str">
        <f t="shared" si="56"/>
        <v/>
      </c>
      <c r="C130" s="3" t="str">
        <f t="shared" si="33"/>
        <v/>
      </c>
      <c r="D130" s="3" t="str">
        <f t="shared" si="34"/>
        <v/>
      </c>
      <c r="E130" s="3" t="str">
        <f t="shared" si="35"/>
        <v/>
      </c>
      <c r="F130" s="3" t="str">
        <f t="shared" si="36"/>
        <v/>
      </c>
      <c r="G130" s="74" t="str">
        <f t="shared" si="37"/>
        <v/>
      </c>
      <c r="H130" s="78" t="str">
        <f>IFERROR(C130/SUM(M$2:M129),"")</f>
        <v/>
      </c>
      <c r="I130" s="61" t="str">
        <f>IFERROR(D130/SUM(N$2:N130),"")</f>
        <v/>
      </c>
      <c r="J130" s="61" t="str">
        <f>IFERROR(E130/SUM(O$2:O130),"")</f>
        <v/>
      </c>
      <c r="K130" s="61" t="str">
        <f>IFERROR(F130/SUM(P$2:P130),"")</f>
        <v/>
      </c>
      <c r="L130" s="79" t="str">
        <f>IFERROR(G130/SUM(Q$2:Q130),"")</f>
        <v/>
      </c>
      <c r="M130" s="64" t="str">
        <f t="shared" si="38"/>
        <v/>
      </c>
      <c r="N130" s="55" t="str">
        <f t="shared" si="39"/>
        <v/>
      </c>
      <c r="O130" s="55" t="str">
        <f t="shared" si="40"/>
        <v/>
      </c>
      <c r="P130" s="55" t="str">
        <f t="shared" si="41"/>
        <v/>
      </c>
      <c r="Q130" s="65" t="str">
        <f t="shared" si="42"/>
        <v/>
      </c>
      <c r="R130" s="67" t="str">
        <f t="shared" si="44"/>
        <v/>
      </c>
      <c r="S130" s="56" t="str">
        <f t="shared" si="45"/>
        <v/>
      </c>
      <c r="T130" s="56" t="str">
        <f t="shared" si="46"/>
        <v/>
      </c>
      <c r="U130" s="56" t="str">
        <f t="shared" si="47"/>
        <v/>
      </c>
      <c r="V130" s="68" t="str">
        <f t="shared" si="48"/>
        <v/>
      </c>
      <c r="W130" s="80" t="str">
        <f t="shared" si="49"/>
        <v/>
      </c>
      <c r="X130" s="81" t="str">
        <f t="shared" si="50"/>
        <v/>
      </c>
      <c r="Y130" s="81" t="str">
        <f t="shared" si="51"/>
        <v/>
      </c>
      <c r="Z130" s="81" t="str">
        <f t="shared" si="52"/>
        <v/>
      </c>
      <c r="AA130" s="82" t="str">
        <f t="shared" si="53"/>
        <v/>
      </c>
      <c r="AB130" s="83" t="str">
        <f>IF(R130&lt;&gt;"",(W130-SUMPRODUCT(R$3:R130,$B$3:$B130)/SUM($B$3:$B130))/STDEVA(W120:W130),"")</f>
        <v/>
      </c>
      <c r="AC130" s="84" t="str">
        <f>IF(S130&lt;&gt;"",(X130-SUMPRODUCT(S$3:S130,$B$3:$B130)/SUM($B$3:$B130))/STDEVA(X120:X130),"")</f>
        <v/>
      </c>
      <c r="AD130" s="84" t="str">
        <f>IF(T130&lt;&gt;"",(Y130-SUMPRODUCT(T$3:T130,$B$3:$B130)/SUM($B$3:$B130))/STDEVA(Y120:Y130),"")</f>
        <v/>
      </c>
      <c r="AE130" s="84" t="str">
        <f>IF(U130&lt;&gt;"",(Z130-SUMPRODUCT(U$3:U130,$B$3:$B130)/SUM($B$3:$B130))/STDEVA(Z120:Z130),"")</f>
        <v/>
      </c>
      <c r="AF130" s="85" t="str">
        <f>IF(V130&lt;&gt;"",(AA130-SUMPRODUCT(V$3:V130,$B$3:$B130)/SUM($B$3:$B130))/STDEVA(AA120:AA130),"")</f>
        <v/>
      </c>
      <c r="AG130" s="90" t="str">
        <f t="shared" si="54"/>
        <v/>
      </c>
      <c r="AH130" s="90" t="str">
        <f t="shared" si="54"/>
        <v/>
      </c>
      <c r="AI130" s="90" t="str">
        <f t="shared" si="54"/>
        <v/>
      </c>
      <c r="AJ130" s="90" t="str">
        <f t="shared" si="54"/>
        <v/>
      </c>
      <c r="AK130" s="93" t="str">
        <f t="shared" si="55"/>
        <v/>
      </c>
      <c r="BQ130" s="100" t="str">
        <f>IF(A130&lt;&gt;"",(VLOOKUP(A130,MarketData!$D:$BP,MATCH($BQ$1,MarketData!$D$1:$EG$1,0),TRUE)/100/365+1)^(B130)*BQ129,"")</f>
        <v/>
      </c>
      <c r="BR130" s="98" t="str">
        <f t="shared" ref="BR130:BR193" si="57">IF(A130&lt;&gt;"",(BQ130-$BQ$2)/$BQ$2,"")</f>
        <v/>
      </c>
      <c r="BS130" s="106" t="str">
        <f>IF(A130&lt;&gt;"",VLOOKUP(A130,MarketData!$D:$BP,MATCH($BS$1,MarketData!$D$1:$EG$1,0),TRUE),"")</f>
        <v/>
      </c>
      <c r="BT130" s="98" t="str">
        <f t="shared" si="43"/>
        <v/>
      </c>
    </row>
    <row r="131" spans="2:72" x14ac:dyDescent="0.25">
      <c r="B131" s="60" t="str">
        <f t="shared" si="56"/>
        <v/>
      </c>
      <c r="C131" s="3" t="str">
        <f t="shared" ref="C131:C194" si="58">IF($A131&lt;&gt;0,SUMIFS(VM,Fecha,$A131,Linea,C$1)+SUMIFS(FX,Fecha,$A131,Linea,C$1)+C130,"")</f>
        <v/>
      </c>
      <c r="D131" s="3" t="str">
        <f t="shared" ref="D131:D194" si="59">IF($A131&lt;&gt;0,SUMIFS(VM,Fecha,$A131,Linea,D$1)+SUMIFS(FX,Fecha,$A131,Linea,D$1)+D130,"")</f>
        <v/>
      </c>
      <c r="E131" s="3" t="str">
        <f t="shared" ref="E131:E194" si="60">IF($A131&lt;&gt;0,SUMIFS(VM,Fecha,$A131,Linea,E$1)+SUMIFS(FX,Fecha,$A131,Linea,E$1)+E130,"")</f>
        <v/>
      </c>
      <c r="F131" s="3" t="str">
        <f t="shared" ref="F131:F194" si="61">IF($A131&lt;&gt;0,SUMIFS(VM,Fecha,$A131,Linea,F$1)+SUMIFS(FX,Fecha,$A131,Linea,F$1)+F130,"")</f>
        <v/>
      </c>
      <c r="G131" s="74" t="str">
        <f t="shared" ref="G131:G194" si="62">IF($A131&lt;&gt;0,SUMIFS(VM,Fecha,$A131,Linea,G$1)+SUMIFS(FX,Fecha,$A131,Linea,G$1)+G130,"")</f>
        <v/>
      </c>
      <c r="H131" s="78" t="str">
        <f>IFERROR(C131/SUM(M$2:M130),"")</f>
        <v/>
      </c>
      <c r="I131" s="61" t="str">
        <f>IFERROR(D131/SUM(N$2:N131),"")</f>
        <v/>
      </c>
      <c r="J131" s="61" t="str">
        <f>IFERROR(E131/SUM(O$2:O131),"")</f>
        <v/>
      </c>
      <c r="K131" s="61" t="str">
        <f>IFERROR(F131/SUM(P$2:P131),"")</f>
        <v/>
      </c>
      <c r="L131" s="79" t="str">
        <f>IFERROR(G131/SUM(Q$2:Q131),"")</f>
        <v/>
      </c>
      <c r="M131" s="64" t="str">
        <f t="shared" ref="M131:M194" si="63">IF($A131&lt;&gt;"",SUMIFS(Transferencias,Fecha,$A131,Linea,C$1),"")</f>
        <v/>
      </c>
      <c r="N131" s="55" t="str">
        <f t="shared" ref="N131:N194" si="64">IF($A131&lt;&gt;"",SUMIFS(Transferencias,Fecha,$A131,Linea,D$1),"")</f>
        <v/>
      </c>
      <c r="O131" s="55" t="str">
        <f t="shared" ref="O131:O194" si="65">IF($A131&lt;&gt;"",SUMIFS(Transferencias,Fecha,$A131,Linea,E$1),"")</f>
        <v/>
      </c>
      <c r="P131" s="55" t="str">
        <f t="shared" ref="P131:P194" si="66">IF($A131&lt;&gt;"",SUMIFS(Transferencias,Fecha,$A131,Linea,F$1),"")</f>
        <v/>
      </c>
      <c r="Q131" s="65" t="str">
        <f t="shared" ref="Q131:Q194" si="67">IF($A131&lt;&gt;"",SUMIFS(Transferencias,Fecha,$A131,Linea,G$1),"")</f>
        <v/>
      </c>
      <c r="R131" s="67" t="str">
        <f t="shared" si="44"/>
        <v/>
      </c>
      <c r="S131" s="56" t="str">
        <f t="shared" si="45"/>
        <v/>
      </c>
      <c r="T131" s="56" t="str">
        <f t="shared" si="46"/>
        <v/>
      </c>
      <c r="U131" s="56" t="str">
        <f t="shared" si="47"/>
        <v/>
      </c>
      <c r="V131" s="68" t="str">
        <f t="shared" si="48"/>
        <v/>
      </c>
      <c r="W131" s="80" t="str">
        <f t="shared" si="49"/>
        <v/>
      </c>
      <c r="X131" s="81" t="str">
        <f t="shared" si="50"/>
        <v/>
      </c>
      <c r="Y131" s="81" t="str">
        <f t="shared" si="51"/>
        <v/>
      </c>
      <c r="Z131" s="81" t="str">
        <f t="shared" si="52"/>
        <v/>
      </c>
      <c r="AA131" s="82" t="str">
        <f t="shared" si="53"/>
        <v/>
      </c>
      <c r="AB131" s="83" t="str">
        <f>IF(R131&lt;&gt;"",(W131-SUMPRODUCT(R$3:R131,$B$3:$B131)/SUM($B$3:$B131))/STDEVA(W121:W131),"")</f>
        <v/>
      </c>
      <c r="AC131" s="84" t="str">
        <f>IF(S131&lt;&gt;"",(X131-SUMPRODUCT(S$3:S131,$B$3:$B131)/SUM($B$3:$B131))/STDEVA(X121:X131),"")</f>
        <v/>
      </c>
      <c r="AD131" s="84" t="str">
        <f>IF(T131&lt;&gt;"",(Y131-SUMPRODUCT(T$3:T131,$B$3:$B131)/SUM($B$3:$B131))/STDEVA(Y121:Y131),"")</f>
        <v/>
      </c>
      <c r="AE131" s="84" t="str">
        <f>IF(U131&lt;&gt;"",(Z131-SUMPRODUCT(U$3:U131,$B$3:$B131)/SUM($B$3:$B131))/STDEVA(Z121:Z131),"")</f>
        <v/>
      </c>
      <c r="AF131" s="85" t="str">
        <f>IF(V131&lt;&gt;"",(AA131-SUMPRODUCT(V$3:V131,$B$3:$B131)/SUM($B$3:$B131))/STDEVA(AA121:AA131),"")</f>
        <v/>
      </c>
      <c r="AG131" s="90" t="str">
        <f t="shared" si="54"/>
        <v/>
      </c>
      <c r="AH131" s="90" t="str">
        <f t="shared" si="54"/>
        <v/>
      </c>
      <c r="AI131" s="90" t="str">
        <f t="shared" si="54"/>
        <v/>
      </c>
      <c r="AJ131" s="90" t="str">
        <f t="shared" si="54"/>
        <v/>
      </c>
      <c r="AK131" s="93" t="str">
        <f t="shared" si="55"/>
        <v/>
      </c>
      <c r="BQ131" s="100" t="str">
        <f>IF(A131&lt;&gt;"",(VLOOKUP(A131,MarketData!$D:$BP,MATCH($BQ$1,MarketData!$D$1:$EG$1,0),TRUE)/100/365+1)^(B131)*BQ130,"")</f>
        <v/>
      </c>
      <c r="BR131" s="98" t="str">
        <f t="shared" si="57"/>
        <v/>
      </c>
      <c r="BS131" s="106" t="str">
        <f>IF(A131&lt;&gt;"",VLOOKUP(A131,MarketData!$D:$BP,MATCH($BS$1,MarketData!$D$1:$EG$1,0),TRUE),"")</f>
        <v/>
      </c>
      <c r="BT131" s="98" t="str">
        <f t="shared" ref="BT131:BT194" si="68">IF(A131&lt;&gt;"",(BS131-$BS$2)/$BS$2,"")</f>
        <v/>
      </c>
    </row>
    <row r="132" spans="2:72" x14ac:dyDescent="0.25">
      <c r="B132" s="60" t="str">
        <f t="shared" si="56"/>
        <v/>
      </c>
      <c r="C132" s="3" t="str">
        <f t="shared" si="58"/>
        <v/>
      </c>
      <c r="D132" s="3" t="str">
        <f t="shared" si="59"/>
        <v/>
      </c>
      <c r="E132" s="3" t="str">
        <f t="shared" si="60"/>
        <v/>
      </c>
      <c r="F132" s="3" t="str">
        <f t="shared" si="61"/>
        <v/>
      </c>
      <c r="G132" s="74" t="str">
        <f t="shared" si="62"/>
        <v/>
      </c>
      <c r="H132" s="78" t="str">
        <f>IFERROR(C132/SUM(M$2:M131),"")</f>
        <v/>
      </c>
      <c r="I132" s="61" t="str">
        <f>IFERROR(D132/SUM(N$2:N132),"")</f>
        <v/>
      </c>
      <c r="J132" s="61" t="str">
        <f>IFERROR(E132/SUM(O$2:O132),"")</f>
        <v/>
      </c>
      <c r="K132" s="61" t="str">
        <f>IFERROR(F132/SUM(P$2:P132),"")</f>
        <v/>
      </c>
      <c r="L132" s="79" t="str">
        <f>IFERROR(G132/SUM(Q$2:Q132),"")</f>
        <v/>
      </c>
      <c r="M132" s="64" t="str">
        <f t="shared" si="63"/>
        <v/>
      </c>
      <c r="N132" s="55" t="str">
        <f t="shared" si="64"/>
        <v/>
      </c>
      <c r="O132" s="55" t="str">
        <f t="shared" si="65"/>
        <v/>
      </c>
      <c r="P132" s="55" t="str">
        <f t="shared" si="66"/>
        <v/>
      </c>
      <c r="Q132" s="65" t="str">
        <f t="shared" si="67"/>
        <v/>
      </c>
      <c r="R132" s="67" t="str">
        <f t="shared" ref="R132:R195" si="69">IF(C132&lt;&gt;"",LN((C132-C131)/(SUMIFS(Total,Fecha,$A131,Linea,C$1)+M131)+1)*365/($A132-$A131),"")</f>
        <v/>
      </c>
      <c r="S132" s="56" t="str">
        <f t="shared" ref="S132:S195" si="70">IF(D132&lt;&gt;"",LN((D132-D131)/(SUMIFS(Total,Fecha,$A131,Linea,D$1)+N131)+1)*365/($A132-$A131),"")</f>
        <v/>
      </c>
      <c r="T132" s="56" t="str">
        <f t="shared" ref="T132:T195" si="71">IF(E132&lt;&gt;"",LN((E132-E131)/(SUMIFS(Total,Fecha,$A131,Linea,E$1)+O131)+1)*365/($A132-$A131),"")</f>
        <v/>
      </c>
      <c r="U132" s="56" t="str">
        <f t="shared" ref="U132:U195" si="72">IF(F132&lt;&gt;"",LN((F132-F131)/(SUMIFS(Total,Fecha,$A131,Linea,F$1)+P131)+1)*365/($A132-$A131),"")</f>
        <v/>
      </c>
      <c r="V132" s="68" t="str">
        <f t="shared" ref="V132:V195" si="73">IF(G132&lt;&gt;"",LN((G132-G131)/(SUMIFS(Total,Fecha,$A131,Linea,G$1)+Q131)+1)*365/($A132-$A131),"")</f>
        <v/>
      </c>
      <c r="W132" s="80" t="str">
        <f t="shared" si="49"/>
        <v/>
      </c>
      <c r="X132" s="81" t="str">
        <f t="shared" si="50"/>
        <v/>
      </c>
      <c r="Y132" s="81" t="str">
        <f t="shared" si="51"/>
        <v/>
      </c>
      <c r="Z132" s="81" t="str">
        <f t="shared" si="52"/>
        <v/>
      </c>
      <c r="AA132" s="82" t="str">
        <f t="shared" si="53"/>
        <v/>
      </c>
      <c r="AB132" s="83" t="str">
        <f>IF(R132&lt;&gt;"",(W132-SUMPRODUCT(R$3:R132,$B$3:$B132)/SUM($B$3:$B132))/STDEVA(W122:W132),"")</f>
        <v/>
      </c>
      <c r="AC132" s="84" t="str">
        <f>IF(S132&lt;&gt;"",(X132-SUMPRODUCT(S$3:S132,$B$3:$B132)/SUM($B$3:$B132))/STDEVA(X122:X132),"")</f>
        <v/>
      </c>
      <c r="AD132" s="84" t="str">
        <f>IF(T132&lt;&gt;"",(Y132-SUMPRODUCT(T$3:T132,$B$3:$B132)/SUM($B$3:$B132))/STDEVA(Y122:Y132),"")</f>
        <v/>
      </c>
      <c r="AE132" s="84" t="str">
        <f>IF(U132&lt;&gt;"",(Z132-SUMPRODUCT(U$3:U132,$B$3:$B132)/SUM($B$3:$B132))/STDEVA(Z122:Z132),"")</f>
        <v/>
      </c>
      <c r="AF132" s="85" t="str">
        <f>IF(V132&lt;&gt;"",(AA132-SUMPRODUCT(V$3:V132,$B$3:$B132)/SUM($B$3:$B132))/STDEVA(AA122:AA132),"")</f>
        <v/>
      </c>
      <c r="AG132" s="90" t="str">
        <f t="shared" si="54"/>
        <v/>
      </c>
      <c r="AH132" s="90" t="str">
        <f t="shared" si="54"/>
        <v/>
      </c>
      <c r="AI132" s="90" t="str">
        <f t="shared" si="54"/>
        <v/>
      </c>
      <c r="AJ132" s="90" t="str">
        <f t="shared" si="54"/>
        <v/>
      </c>
      <c r="AK132" s="93" t="str">
        <f t="shared" si="55"/>
        <v/>
      </c>
      <c r="BQ132" s="100" t="str">
        <f>IF(A132&lt;&gt;"",(VLOOKUP(A132,MarketData!$D:$BP,MATCH($BQ$1,MarketData!$D$1:$EG$1,0),TRUE)/100/365+1)^(B132)*BQ131,"")</f>
        <v/>
      </c>
      <c r="BR132" s="98" t="str">
        <f t="shared" si="57"/>
        <v/>
      </c>
      <c r="BS132" s="106" t="str">
        <f>IF(A132&lt;&gt;"",VLOOKUP(A132,MarketData!$D:$BP,MATCH($BS$1,MarketData!$D$1:$EG$1,0),TRUE),"")</f>
        <v/>
      </c>
      <c r="BT132" s="98" t="str">
        <f t="shared" si="68"/>
        <v/>
      </c>
    </row>
    <row r="133" spans="2:72" x14ac:dyDescent="0.25">
      <c r="B133" s="60" t="str">
        <f t="shared" si="56"/>
        <v/>
      </c>
      <c r="C133" s="3" t="str">
        <f t="shared" si="58"/>
        <v/>
      </c>
      <c r="D133" s="3" t="str">
        <f t="shared" si="59"/>
        <v/>
      </c>
      <c r="E133" s="3" t="str">
        <f t="shared" si="60"/>
        <v/>
      </c>
      <c r="F133" s="3" t="str">
        <f t="shared" si="61"/>
        <v/>
      </c>
      <c r="G133" s="74" t="str">
        <f t="shared" si="62"/>
        <v/>
      </c>
      <c r="H133" s="78" t="str">
        <f>IFERROR(C133/SUM(M$2:M132),"")</f>
        <v/>
      </c>
      <c r="I133" s="61" t="str">
        <f>IFERROR(D133/SUM(N$2:N133),"")</f>
        <v/>
      </c>
      <c r="J133" s="61" t="str">
        <f>IFERROR(E133/SUM(O$2:O133),"")</f>
        <v/>
      </c>
      <c r="K133" s="61" t="str">
        <f>IFERROR(F133/SUM(P$2:P133),"")</f>
        <v/>
      </c>
      <c r="L133" s="79" t="str">
        <f>IFERROR(G133/SUM(Q$2:Q133),"")</f>
        <v/>
      </c>
      <c r="M133" s="64" t="str">
        <f t="shared" si="63"/>
        <v/>
      </c>
      <c r="N133" s="55" t="str">
        <f t="shared" si="64"/>
        <v/>
      </c>
      <c r="O133" s="55" t="str">
        <f t="shared" si="65"/>
        <v/>
      </c>
      <c r="P133" s="55" t="str">
        <f t="shared" si="66"/>
        <v/>
      </c>
      <c r="Q133" s="65" t="str">
        <f t="shared" si="67"/>
        <v/>
      </c>
      <c r="R133" s="67" t="str">
        <f t="shared" si="69"/>
        <v/>
      </c>
      <c r="S133" s="56" t="str">
        <f t="shared" si="70"/>
        <v/>
      </c>
      <c r="T133" s="56" t="str">
        <f t="shared" si="71"/>
        <v/>
      </c>
      <c r="U133" s="56" t="str">
        <f t="shared" si="72"/>
        <v/>
      </c>
      <c r="V133" s="68" t="str">
        <f t="shared" si="73"/>
        <v/>
      </c>
      <c r="W133" s="80" t="str">
        <f t="shared" si="49"/>
        <v/>
      </c>
      <c r="X133" s="81" t="str">
        <f t="shared" si="50"/>
        <v/>
      </c>
      <c r="Y133" s="81" t="str">
        <f t="shared" si="51"/>
        <v/>
      </c>
      <c r="Z133" s="81" t="str">
        <f t="shared" si="52"/>
        <v/>
      </c>
      <c r="AA133" s="82" t="str">
        <f t="shared" si="53"/>
        <v/>
      </c>
      <c r="AB133" s="83" t="str">
        <f>IF(R133&lt;&gt;"",(W133-SUMPRODUCT(R$3:R133,$B$3:$B133)/SUM($B$3:$B133))/STDEVA(W123:W133),"")</f>
        <v/>
      </c>
      <c r="AC133" s="84" t="str">
        <f>IF(S133&lt;&gt;"",(X133-SUMPRODUCT(S$3:S133,$B$3:$B133)/SUM($B$3:$B133))/STDEVA(X123:X133),"")</f>
        <v/>
      </c>
      <c r="AD133" s="84" t="str">
        <f>IF(T133&lt;&gt;"",(Y133-SUMPRODUCT(T$3:T133,$B$3:$B133)/SUM($B$3:$B133))/STDEVA(Y123:Y133),"")</f>
        <v/>
      </c>
      <c r="AE133" s="84" t="str">
        <f>IF(U133&lt;&gt;"",(Z133-SUMPRODUCT(U$3:U133,$B$3:$B133)/SUM($B$3:$B133))/STDEVA(Z123:Z133),"")</f>
        <v/>
      </c>
      <c r="AF133" s="85" t="str">
        <f>IF(V133&lt;&gt;"",(AA133-SUMPRODUCT(V$3:V133,$B$3:$B133)/SUM($B$3:$B133))/STDEVA(AA123:AA133),"")</f>
        <v/>
      </c>
      <c r="AG133" s="90" t="str">
        <f t="shared" si="54"/>
        <v/>
      </c>
      <c r="AH133" s="90" t="str">
        <f t="shared" si="54"/>
        <v/>
      </c>
      <c r="AI133" s="90" t="str">
        <f t="shared" si="54"/>
        <v/>
      </c>
      <c r="AJ133" s="90" t="str">
        <f t="shared" si="54"/>
        <v/>
      </c>
      <c r="AK133" s="93" t="str">
        <f t="shared" si="55"/>
        <v/>
      </c>
      <c r="BQ133" s="100" t="str">
        <f>IF(A133&lt;&gt;"",(VLOOKUP(A133,MarketData!$D:$BP,MATCH($BQ$1,MarketData!$D$1:$EG$1,0),TRUE)/100/365+1)^(B133)*BQ132,"")</f>
        <v/>
      </c>
      <c r="BR133" s="98" t="str">
        <f t="shared" si="57"/>
        <v/>
      </c>
      <c r="BS133" s="106" t="str">
        <f>IF(A133&lt;&gt;"",VLOOKUP(A133,MarketData!$D:$BP,MATCH($BS$1,MarketData!$D$1:$EG$1,0),TRUE),"")</f>
        <v/>
      </c>
      <c r="BT133" s="98" t="str">
        <f t="shared" si="68"/>
        <v/>
      </c>
    </row>
    <row r="134" spans="2:72" x14ac:dyDescent="0.25">
      <c r="B134" s="60" t="str">
        <f t="shared" si="56"/>
        <v/>
      </c>
      <c r="C134" s="3" t="str">
        <f t="shared" si="58"/>
        <v/>
      </c>
      <c r="D134" s="3" t="str">
        <f t="shared" si="59"/>
        <v/>
      </c>
      <c r="E134" s="3" t="str">
        <f t="shared" si="60"/>
        <v/>
      </c>
      <c r="F134" s="3" t="str">
        <f t="shared" si="61"/>
        <v/>
      </c>
      <c r="G134" s="74" t="str">
        <f t="shared" si="62"/>
        <v/>
      </c>
      <c r="H134" s="78" t="str">
        <f>IFERROR(C134/SUM(M$2:M133),"")</f>
        <v/>
      </c>
      <c r="I134" s="61" t="str">
        <f>IFERROR(D134/SUM(N$2:N134),"")</f>
        <v/>
      </c>
      <c r="J134" s="61" t="str">
        <f>IFERROR(E134/SUM(O$2:O134),"")</f>
        <v/>
      </c>
      <c r="K134" s="61" t="str">
        <f>IFERROR(F134/SUM(P$2:P134),"")</f>
        <v/>
      </c>
      <c r="L134" s="79" t="str">
        <f>IFERROR(G134/SUM(Q$2:Q134),"")</f>
        <v/>
      </c>
      <c r="M134" s="64" t="str">
        <f t="shared" si="63"/>
        <v/>
      </c>
      <c r="N134" s="55" t="str">
        <f t="shared" si="64"/>
        <v/>
      </c>
      <c r="O134" s="55" t="str">
        <f t="shared" si="65"/>
        <v/>
      </c>
      <c r="P134" s="55" t="str">
        <f t="shared" si="66"/>
        <v/>
      </c>
      <c r="Q134" s="65" t="str">
        <f t="shared" si="67"/>
        <v/>
      </c>
      <c r="R134" s="67" t="str">
        <f t="shared" si="69"/>
        <v/>
      </c>
      <c r="S134" s="56" t="str">
        <f t="shared" si="70"/>
        <v/>
      </c>
      <c r="T134" s="56" t="str">
        <f t="shared" si="71"/>
        <v/>
      </c>
      <c r="U134" s="56" t="str">
        <f t="shared" si="72"/>
        <v/>
      </c>
      <c r="V134" s="68" t="str">
        <f t="shared" si="73"/>
        <v/>
      </c>
      <c r="W134" s="80" t="str">
        <f t="shared" si="49"/>
        <v/>
      </c>
      <c r="X134" s="81" t="str">
        <f t="shared" si="50"/>
        <v/>
      </c>
      <c r="Y134" s="81" t="str">
        <f t="shared" si="51"/>
        <v/>
      </c>
      <c r="Z134" s="81" t="str">
        <f t="shared" si="52"/>
        <v/>
      </c>
      <c r="AA134" s="82" t="str">
        <f t="shared" si="53"/>
        <v/>
      </c>
      <c r="AB134" s="83" t="str">
        <f>IF(R134&lt;&gt;"",(W134-SUMPRODUCT(R$3:R134,$B$3:$B134)/SUM($B$3:$B134))/STDEVA(W124:W134),"")</f>
        <v/>
      </c>
      <c r="AC134" s="84" t="str">
        <f>IF(S134&lt;&gt;"",(X134-SUMPRODUCT(S$3:S134,$B$3:$B134)/SUM($B$3:$B134))/STDEVA(X124:X134),"")</f>
        <v/>
      </c>
      <c r="AD134" s="84" t="str">
        <f>IF(T134&lt;&gt;"",(Y134-SUMPRODUCT(T$3:T134,$B$3:$B134)/SUM($B$3:$B134))/STDEVA(Y124:Y134),"")</f>
        <v/>
      </c>
      <c r="AE134" s="84" t="str">
        <f>IF(U134&lt;&gt;"",(Z134-SUMPRODUCT(U$3:U134,$B$3:$B134)/SUM($B$3:$B134))/STDEVA(Z124:Z134),"")</f>
        <v/>
      </c>
      <c r="AF134" s="85" t="str">
        <f>IF(V134&lt;&gt;"",(AA134-SUMPRODUCT(V$3:V134,$B$3:$B134)/SUM($B$3:$B134))/STDEVA(AA124:AA134),"")</f>
        <v/>
      </c>
      <c r="AG134" s="90" t="str">
        <f t="shared" si="54"/>
        <v/>
      </c>
      <c r="AH134" s="90" t="str">
        <f t="shared" si="54"/>
        <v/>
      </c>
      <c r="AI134" s="90" t="str">
        <f t="shared" si="54"/>
        <v/>
      </c>
      <c r="AJ134" s="90" t="str">
        <f t="shared" si="54"/>
        <v/>
      </c>
      <c r="AK134" s="93" t="str">
        <f t="shared" si="55"/>
        <v/>
      </c>
      <c r="BQ134" s="100" t="str">
        <f>IF(A134&lt;&gt;"",(VLOOKUP(A134,MarketData!$D:$BP,MATCH($BQ$1,MarketData!$D$1:$EG$1,0),TRUE)/100/365+1)^(B134)*BQ133,"")</f>
        <v/>
      </c>
      <c r="BR134" s="98" t="str">
        <f t="shared" si="57"/>
        <v/>
      </c>
      <c r="BS134" s="106" t="str">
        <f>IF(A134&lt;&gt;"",VLOOKUP(A134,MarketData!$D:$BP,MATCH($BS$1,MarketData!$D$1:$EG$1,0),TRUE),"")</f>
        <v/>
      </c>
      <c r="BT134" s="98" t="str">
        <f t="shared" si="68"/>
        <v/>
      </c>
    </row>
    <row r="135" spans="2:72" x14ac:dyDescent="0.25">
      <c r="B135" s="60" t="str">
        <f t="shared" si="56"/>
        <v/>
      </c>
      <c r="C135" s="3" t="str">
        <f t="shared" si="58"/>
        <v/>
      </c>
      <c r="D135" s="3" t="str">
        <f t="shared" si="59"/>
        <v/>
      </c>
      <c r="E135" s="3" t="str">
        <f t="shared" si="60"/>
        <v/>
      </c>
      <c r="F135" s="3" t="str">
        <f t="shared" si="61"/>
        <v/>
      </c>
      <c r="G135" s="74" t="str">
        <f t="shared" si="62"/>
        <v/>
      </c>
      <c r="H135" s="78" t="str">
        <f>IFERROR(C135/SUM(M$2:M134),"")</f>
        <v/>
      </c>
      <c r="I135" s="61" t="str">
        <f>IFERROR(D135/SUM(N$2:N135),"")</f>
        <v/>
      </c>
      <c r="J135" s="61" t="str">
        <f>IFERROR(E135/SUM(O$2:O135),"")</f>
        <v/>
      </c>
      <c r="K135" s="61" t="str">
        <f>IFERROR(F135/SUM(P$2:P135),"")</f>
        <v/>
      </c>
      <c r="L135" s="79" t="str">
        <f>IFERROR(G135/SUM(Q$2:Q135),"")</f>
        <v/>
      </c>
      <c r="M135" s="64" t="str">
        <f t="shared" si="63"/>
        <v/>
      </c>
      <c r="N135" s="55" t="str">
        <f t="shared" si="64"/>
        <v/>
      </c>
      <c r="O135" s="55" t="str">
        <f t="shared" si="65"/>
        <v/>
      </c>
      <c r="P135" s="55" t="str">
        <f t="shared" si="66"/>
        <v/>
      </c>
      <c r="Q135" s="65" t="str">
        <f t="shared" si="67"/>
        <v/>
      </c>
      <c r="R135" s="67" t="str">
        <f t="shared" si="69"/>
        <v/>
      </c>
      <c r="S135" s="56" t="str">
        <f t="shared" si="70"/>
        <v/>
      </c>
      <c r="T135" s="56" t="str">
        <f t="shared" si="71"/>
        <v/>
      </c>
      <c r="U135" s="56" t="str">
        <f t="shared" si="72"/>
        <v/>
      </c>
      <c r="V135" s="68" t="str">
        <f t="shared" si="73"/>
        <v/>
      </c>
      <c r="W135" s="80" t="str">
        <f t="shared" si="49"/>
        <v/>
      </c>
      <c r="X135" s="81" t="str">
        <f t="shared" si="50"/>
        <v/>
      </c>
      <c r="Y135" s="81" t="str">
        <f t="shared" si="51"/>
        <v/>
      </c>
      <c r="Z135" s="81" t="str">
        <f t="shared" si="52"/>
        <v/>
      </c>
      <c r="AA135" s="82" t="str">
        <f t="shared" si="53"/>
        <v/>
      </c>
      <c r="AB135" s="83" t="str">
        <f>IF(R135&lt;&gt;"",(W135-SUMPRODUCT(R$3:R135,$B$3:$B135)/SUM($B$3:$B135))/STDEVA(W125:W135),"")</f>
        <v/>
      </c>
      <c r="AC135" s="84" t="str">
        <f>IF(S135&lt;&gt;"",(X135-SUMPRODUCT(S$3:S135,$B$3:$B135)/SUM($B$3:$B135))/STDEVA(X125:X135),"")</f>
        <v/>
      </c>
      <c r="AD135" s="84" t="str">
        <f>IF(T135&lt;&gt;"",(Y135-SUMPRODUCT(T$3:T135,$B$3:$B135)/SUM($B$3:$B135))/STDEVA(Y125:Y135),"")</f>
        <v/>
      </c>
      <c r="AE135" s="84" t="str">
        <f>IF(U135&lt;&gt;"",(Z135-SUMPRODUCT(U$3:U135,$B$3:$B135)/SUM($B$3:$B135))/STDEVA(Z125:Z135),"")</f>
        <v/>
      </c>
      <c r="AF135" s="85" t="str">
        <f>IF(V135&lt;&gt;"",(AA135-SUMPRODUCT(V$3:V135,$B$3:$B135)/SUM($B$3:$B135))/STDEVA(AA125:AA135),"")</f>
        <v/>
      </c>
      <c r="AG135" s="90" t="str">
        <f t="shared" si="54"/>
        <v/>
      </c>
      <c r="AH135" s="90" t="str">
        <f t="shared" si="54"/>
        <v/>
      </c>
      <c r="AI135" s="90" t="str">
        <f t="shared" si="54"/>
        <v/>
      </c>
      <c r="AJ135" s="90" t="str">
        <f t="shared" si="54"/>
        <v/>
      </c>
      <c r="AK135" s="93" t="str">
        <f t="shared" si="55"/>
        <v/>
      </c>
      <c r="BQ135" s="100" t="str">
        <f>IF(A135&lt;&gt;"",(VLOOKUP(A135,MarketData!$D:$BP,MATCH($BQ$1,MarketData!$D$1:$EG$1,0),TRUE)/100/365+1)^(B135)*BQ134,"")</f>
        <v/>
      </c>
      <c r="BR135" s="98" t="str">
        <f t="shared" si="57"/>
        <v/>
      </c>
      <c r="BS135" s="106" t="str">
        <f>IF(A135&lt;&gt;"",VLOOKUP(A135,MarketData!$D:$BP,MATCH($BS$1,MarketData!$D$1:$EG$1,0),TRUE),"")</f>
        <v/>
      </c>
      <c r="BT135" s="98" t="str">
        <f t="shared" si="68"/>
        <v/>
      </c>
    </row>
    <row r="136" spans="2:72" x14ac:dyDescent="0.25">
      <c r="B136" s="60" t="str">
        <f t="shared" si="56"/>
        <v/>
      </c>
      <c r="C136" s="3" t="str">
        <f t="shared" si="58"/>
        <v/>
      </c>
      <c r="D136" s="3" t="str">
        <f t="shared" si="59"/>
        <v/>
      </c>
      <c r="E136" s="3" t="str">
        <f t="shared" si="60"/>
        <v/>
      </c>
      <c r="F136" s="3" t="str">
        <f t="shared" si="61"/>
        <v/>
      </c>
      <c r="G136" s="74" t="str">
        <f t="shared" si="62"/>
        <v/>
      </c>
      <c r="H136" s="78" t="str">
        <f>IFERROR(C136/SUM(M$2:M135),"")</f>
        <v/>
      </c>
      <c r="I136" s="61" t="str">
        <f>IFERROR(D136/SUM(N$2:N136),"")</f>
        <v/>
      </c>
      <c r="J136" s="61" t="str">
        <f>IFERROR(E136/SUM(O$2:O136),"")</f>
        <v/>
      </c>
      <c r="K136" s="61" t="str">
        <f>IFERROR(F136/SUM(P$2:P136),"")</f>
        <v/>
      </c>
      <c r="L136" s="79" t="str">
        <f>IFERROR(G136/SUM(Q$2:Q136),"")</f>
        <v/>
      </c>
      <c r="M136" s="64" t="str">
        <f t="shared" si="63"/>
        <v/>
      </c>
      <c r="N136" s="55" t="str">
        <f t="shared" si="64"/>
        <v/>
      </c>
      <c r="O136" s="55" t="str">
        <f t="shared" si="65"/>
        <v/>
      </c>
      <c r="P136" s="55" t="str">
        <f t="shared" si="66"/>
        <v/>
      </c>
      <c r="Q136" s="65" t="str">
        <f t="shared" si="67"/>
        <v/>
      </c>
      <c r="R136" s="67" t="str">
        <f t="shared" si="69"/>
        <v/>
      </c>
      <c r="S136" s="56" t="str">
        <f t="shared" si="70"/>
        <v/>
      </c>
      <c r="T136" s="56" t="str">
        <f t="shared" si="71"/>
        <v/>
      </c>
      <c r="U136" s="56" t="str">
        <f t="shared" si="72"/>
        <v/>
      </c>
      <c r="V136" s="68" t="str">
        <f t="shared" si="73"/>
        <v/>
      </c>
      <c r="W136" s="80" t="str">
        <f t="shared" si="49"/>
        <v/>
      </c>
      <c r="X136" s="81" t="str">
        <f t="shared" si="50"/>
        <v/>
      </c>
      <c r="Y136" s="81" t="str">
        <f t="shared" si="51"/>
        <v/>
      </c>
      <c r="Z136" s="81" t="str">
        <f t="shared" si="52"/>
        <v/>
      </c>
      <c r="AA136" s="82" t="str">
        <f t="shared" si="53"/>
        <v/>
      </c>
      <c r="AB136" s="83" t="str">
        <f>IF(R136&lt;&gt;"",(W136-SUMPRODUCT(R$3:R136,$B$3:$B136)/SUM($B$3:$B136))/STDEVA(W126:W136),"")</f>
        <v/>
      </c>
      <c r="AC136" s="84" t="str">
        <f>IF(S136&lt;&gt;"",(X136-SUMPRODUCT(S$3:S136,$B$3:$B136)/SUM($B$3:$B136))/STDEVA(X126:X136),"")</f>
        <v/>
      </c>
      <c r="AD136" s="84" t="str">
        <f>IF(T136&lt;&gt;"",(Y136-SUMPRODUCT(T$3:T136,$B$3:$B136)/SUM($B$3:$B136))/STDEVA(Y126:Y136),"")</f>
        <v/>
      </c>
      <c r="AE136" s="84" t="str">
        <f>IF(U136&lt;&gt;"",(Z136-SUMPRODUCT(U$3:U136,$B$3:$B136)/SUM($B$3:$B136))/STDEVA(Z126:Z136),"")</f>
        <v/>
      </c>
      <c r="AF136" s="85" t="str">
        <f>IF(V136&lt;&gt;"",(AA136-SUMPRODUCT(V$3:V136,$B$3:$B136)/SUM($B$3:$B136))/STDEVA(AA126:AA136),"")</f>
        <v/>
      </c>
      <c r="AG136" s="90" t="str">
        <f t="shared" si="54"/>
        <v/>
      </c>
      <c r="AH136" s="90" t="str">
        <f t="shared" si="54"/>
        <v/>
      </c>
      <c r="AI136" s="90" t="str">
        <f t="shared" si="54"/>
        <v/>
      </c>
      <c r="AJ136" s="90" t="str">
        <f t="shared" si="54"/>
        <v/>
      </c>
      <c r="AK136" s="93" t="str">
        <f t="shared" si="55"/>
        <v/>
      </c>
      <c r="BQ136" s="100" t="str">
        <f>IF(A136&lt;&gt;"",(VLOOKUP(A136,MarketData!$D:$BP,MATCH($BQ$1,MarketData!$D$1:$EG$1,0),TRUE)/100/365+1)^(B136)*BQ135,"")</f>
        <v/>
      </c>
      <c r="BR136" s="98" t="str">
        <f t="shared" si="57"/>
        <v/>
      </c>
      <c r="BS136" s="106" t="str">
        <f>IF(A136&lt;&gt;"",VLOOKUP(A136,MarketData!$D:$BP,MATCH($BS$1,MarketData!$D$1:$EG$1,0),TRUE),"")</f>
        <v/>
      </c>
      <c r="BT136" s="98" t="str">
        <f t="shared" si="68"/>
        <v/>
      </c>
    </row>
    <row r="137" spans="2:72" x14ac:dyDescent="0.25">
      <c r="B137" s="60" t="str">
        <f t="shared" si="56"/>
        <v/>
      </c>
      <c r="C137" s="3" t="str">
        <f t="shared" si="58"/>
        <v/>
      </c>
      <c r="D137" s="3" t="str">
        <f t="shared" si="59"/>
        <v/>
      </c>
      <c r="E137" s="3" t="str">
        <f t="shared" si="60"/>
        <v/>
      </c>
      <c r="F137" s="3" t="str">
        <f t="shared" si="61"/>
        <v/>
      </c>
      <c r="G137" s="74" t="str">
        <f t="shared" si="62"/>
        <v/>
      </c>
      <c r="H137" s="78" t="str">
        <f>IFERROR(C137/SUM(M$2:M136),"")</f>
        <v/>
      </c>
      <c r="I137" s="61" t="str">
        <f>IFERROR(D137/SUM(N$2:N137),"")</f>
        <v/>
      </c>
      <c r="J137" s="61" t="str">
        <f>IFERROR(E137/SUM(O$2:O137),"")</f>
        <v/>
      </c>
      <c r="K137" s="61" t="str">
        <f>IFERROR(F137/SUM(P$2:P137),"")</f>
        <v/>
      </c>
      <c r="L137" s="79" t="str">
        <f>IFERROR(G137/SUM(Q$2:Q137),"")</f>
        <v/>
      </c>
      <c r="M137" s="64" t="str">
        <f t="shared" si="63"/>
        <v/>
      </c>
      <c r="N137" s="55" t="str">
        <f t="shared" si="64"/>
        <v/>
      </c>
      <c r="O137" s="55" t="str">
        <f t="shared" si="65"/>
        <v/>
      </c>
      <c r="P137" s="55" t="str">
        <f t="shared" si="66"/>
        <v/>
      </c>
      <c r="Q137" s="65" t="str">
        <f t="shared" si="67"/>
        <v/>
      </c>
      <c r="R137" s="67" t="str">
        <f t="shared" si="69"/>
        <v/>
      </c>
      <c r="S137" s="56" t="str">
        <f t="shared" si="70"/>
        <v/>
      </c>
      <c r="T137" s="56" t="str">
        <f t="shared" si="71"/>
        <v/>
      </c>
      <c r="U137" s="56" t="str">
        <f t="shared" si="72"/>
        <v/>
      </c>
      <c r="V137" s="68" t="str">
        <f t="shared" si="73"/>
        <v/>
      </c>
      <c r="W137" s="80" t="str">
        <f t="shared" si="49"/>
        <v/>
      </c>
      <c r="X137" s="81" t="str">
        <f t="shared" si="50"/>
        <v/>
      </c>
      <c r="Y137" s="81" t="str">
        <f t="shared" si="51"/>
        <v/>
      </c>
      <c r="Z137" s="81" t="str">
        <f t="shared" si="52"/>
        <v/>
      </c>
      <c r="AA137" s="82" t="str">
        <f t="shared" si="53"/>
        <v/>
      </c>
      <c r="AB137" s="83" t="str">
        <f>IF(R137&lt;&gt;"",(W137-SUMPRODUCT(R$3:R137,$B$3:$B137)/SUM($B$3:$B137))/STDEVA(W127:W137),"")</f>
        <v/>
      </c>
      <c r="AC137" s="84" t="str">
        <f>IF(S137&lt;&gt;"",(X137-SUMPRODUCT(S$3:S137,$B$3:$B137)/SUM($B$3:$B137))/STDEVA(X127:X137),"")</f>
        <v/>
      </c>
      <c r="AD137" s="84" t="str">
        <f>IF(T137&lt;&gt;"",(Y137-SUMPRODUCT(T$3:T137,$B$3:$B137)/SUM($B$3:$B137))/STDEVA(Y127:Y137),"")</f>
        <v/>
      </c>
      <c r="AE137" s="84" t="str">
        <f>IF(U137&lt;&gt;"",(Z137-SUMPRODUCT(U$3:U137,$B$3:$B137)/SUM($B$3:$B137))/STDEVA(Z127:Z137),"")</f>
        <v/>
      </c>
      <c r="AF137" s="85" t="str">
        <f>IF(V137&lt;&gt;"",(AA137-SUMPRODUCT(V$3:V137,$B$3:$B137)/SUM($B$3:$B137))/STDEVA(AA127:AA137),"")</f>
        <v/>
      </c>
      <c r="AG137" s="90" t="str">
        <f t="shared" si="54"/>
        <v/>
      </c>
      <c r="AH137" s="90" t="str">
        <f t="shared" si="54"/>
        <v/>
      </c>
      <c r="AI137" s="90" t="str">
        <f t="shared" si="54"/>
        <v/>
      </c>
      <c r="AJ137" s="90" t="str">
        <f t="shared" si="54"/>
        <v/>
      </c>
      <c r="AK137" s="93" t="str">
        <f t="shared" si="55"/>
        <v/>
      </c>
      <c r="BQ137" s="100" t="str">
        <f>IF(A137&lt;&gt;"",(VLOOKUP(A137,MarketData!$D:$BP,MATCH($BQ$1,MarketData!$D$1:$EG$1,0),TRUE)/100/365+1)^(B137)*BQ136,"")</f>
        <v/>
      </c>
      <c r="BR137" s="98" t="str">
        <f t="shared" si="57"/>
        <v/>
      </c>
      <c r="BS137" s="106" t="str">
        <f>IF(A137&lt;&gt;"",VLOOKUP(A137,MarketData!$D:$BP,MATCH($BS$1,MarketData!$D$1:$EG$1,0),TRUE),"")</f>
        <v/>
      </c>
      <c r="BT137" s="98" t="str">
        <f t="shared" si="68"/>
        <v/>
      </c>
    </row>
    <row r="138" spans="2:72" x14ac:dyDescent="0.25">
      <c r="B138" s="60" t="str">
        <f t="shared" si="56"/>
        <v/>
      </c>
      <c r="C138" s="3" t="str">
        <f t="shared" si="58"/>
        <v/>
      </c>
      <c r="D138" s="3" t="str">
        <f t="shared" si="59"/>
        <v/>
      </c>
      <c r="E138" s="3" t="str">
        <f t="shared" si="60"/>
        <v/>
      </c>
      <c r="F138" s="3" t="str">
        <f t="shared" si="61"/>
        <v/>
      </c>
      <c r="G138" s="74" t="str">
        <f t="shared" si="62"/>
        <v/>
      </c>
      <c r="H138" s="78" t="str">
        <f>IFERROR(C138/SUM(M$2:M137),"")</f>
        <v/>
      </c>
      <c r="I138" s="61" t="str">
        <f>IFERROR(D138/SUM(N$2:N138),"")</f>
        <v/>
      </c>
      <c r="J138" s="61" t="str">
        <f>IFERROR(E138/SUM(O$2:O138),"")</f>
        <v/>
      </c>
      <c r="K138" s="61" t="str">
        <f>IFERROR(F138/SUM(P$2:P138),"")</f>
        <v/>
      </c>
      <c r="L138" s="79" t="str">
        <f>IFERROR(G138/SUM(Q$2:Q138),"")</f>
        <v/>
      </c>
      <c r="M138" s="64" t="str">
        <f t="shared" si="63"/>
        <v/>
      </c>
      <c r="N138" s="55" t="str">
        <f t="shared" si="64"/>
        <v/>
      </c>
      <c r="O138" s="55" t="str">
        <f t="shared" si="65"/>
        <v/>
      </c>
      <c r="P138" s="55" t="str">
        <f t="shared" si="66"/>
        <v/>
      </c>
      <c r="Q138" s="65" t="str">
        <f t="shared" si="67"/>
        <v/>
      </c>
      <c r="R138" s="67" t="str">
        <f t="shared" si="69"/>
        <v/>
      </c>
      <c r="S138" s="56" t="str">
        <f t="shared" si="70"/>
        <v/>
      </c>
      <c r="T138" s="56" t="str">
        <f t="shared" si="71"/>
        <v/>
      </c>
      <c r="U138" s="56" t="str">
        <f t="shared" si="72"/>
        <v/>
      </c>
      <c r="V138" s="68" t="str">
        <f t="shared" si="73"/>
        <v/>
      </c>
      <c r="W138" s="80" t="str">
        <f t="shared" si="49"/>
        <v/>
      </c>
      <c r="X138" s="81" t="str">
        <f t="shared" si="50"/>
        <v/>
      </c>
      <c r="Y138" s="81" t="str">
        <f t="shared" si="51"/>
        <v/>
      </c>
      <c r="Z138" s="81" t="str">
        <f t="shared" si="52"/>
        <v/>
      </c>
      <c r="AA138" s="82" t="str">
        <f t="shared" si="53"/>
        <v/>
      </c>
      <c r="AB138" s="83" t="str">
        <f>IF(R138&lt;&gt;"",(W138-SUMPRODUCT(R$3:R138,$B$3:$B138)/SUM($B$3:$B138))/STDEVA(W128:W138),"")</f>
        <v/>
      </c>
      <c r="AC138" s="84" t="str">
        <f>IF(S138&lt;&gt;"",(X138-SUMPRODUCT(S$3:S138,$B$3:$B138)/SUM($B$3:$B138))/STDEVA(X128:X138),"")</f>
        <v/>
      </c>
      <c r="AD138" s="84" t="str">
        <f>IF(T138&lt;&gt;"",(Y138-SUMPRODUCT(T$3:T138,$B$3:$B138)/SUM($B$3:$B138))/STDEVA(Y128:Y138),"")</f>
        <v/>
      </c>
      <c r="AE138" s="84" t="str">
        <f>IF(U138&lt;&gt;"",(Z138-SUMPRODUCT(U$3:U138,$B$3:$B138)/SUM($B$3:$B138))/STDEVA(Z128:Z138),"")</f>
        <v/>
      </c>
      <c r="AF138" s="85" t="str">
        <f>IF(V138&lt;&gt;"",(AA138-SUMPRODUCT(V$3:V138,$B$3:$B138)/SUM($B$3:$B138))/STDEVA(AA128:AA138),"")</f>
        <v/>
      </c>
      <c r="AG138" s="90" t="str">
        <f t="shared" si="54"/>
        <v/>
      </c>
      <c r="AH138" s="90" t="str">
        <f t="shared" si="54"/>
        <v/>
      </c>
      <c r="AI138" s="90" t="str">
        <f t="shared" si="54"/>
        <v/>
      </c>
      <c r="AJ138" s="90" t="str">
        <f t="shared" si="54"/>
        <v/>
      </c>
      <c r="AK138" s="93" t="str">
        <f t="shared" si="55"/>
        <v/>
      </c>
      <c r="BQ138" s="100" t="str">
        <f>IF(A138&lt;&gt;"",(VLOOKUP(A138,MarketData!$D:$BP,MATCH($BQ$1,MarketData!$D$1:$EG$1,0),TRUE)/100/365+1)^(B138)*BQ137,"")</f>
        <v/>
      </c>
      <c r="BR138" s="98" t="str">
        <f t="shared" si="57"/>
        <v/>
      </c>
      <c r="BS138" s="106" t="str">
        <f>IF(A138&lt;&gt;"",VLOOKUP(A138,MarketData!$D:$BP,MATCH($BS$1,MarketData!$D$1:$EG$1,0),TRUE),"")</f>
        <v/>
      </c>
      <c r="BT138" s="98" t="str">
        <f t="shared" si="68"/>
        <v/>
      </c>
    </row>
    <row r="139" spans="2:72" x14ac:dyDescent="0.25">
      <c r="B139" s="60" t="str">
        <f t="shared" si="56"/>
        <v/>
      </c>
      <c r="C139" s="3" t="str">
        <f t="shared" si="58"/>
        <v/>
      </c>
      <c r="D139" s="3" t="str">
        <f t="shared" si="59"/>
        <v/>
      </c>
      <c r="E139" s="3" t="str">
        <f t="shared" si="60"/>
        <v/>
      </c>
      <c r="F139" s="3" t="str">
        <f t="shared" si="61"/>
        <v/>
      </c>
      <c r="G139" s="74" t="str">
        <f t="shared" si="62"/>
        <v/>
      </c>
      <c r="H139" s="78" t="str">
        <f>IFERROR(C139/SUM(M$2:M138),"")</f>
        <v/>
      </c>
      <c r="I139" s="61" t="str">
        <f>IFERROR(D139/SUM(N$2:N139),"")</f>
        <v/>
      </c>
      <c r="J139" s="61" t="str">
        <f>IFERROR(E139/SUM(O$2:O139),"")</f>
        <v/>
      </c>
      <c r="K139" s="61" t="str">
        <f>IFERROR(F139/SUM(P$2:P139),"")</f>
        <v/>
      </c>
      <c r="L139" s="79" t="str">
        <f>IFERROR(G139/SUM(Q$2:Q139),"")</f>
        <v/>
      </c>
      <c r="M139" s="64" t="str">
        <f t="shared" si="63"/>
        <v/>
      </c>
      <c r="N139" s="55" t="str">
        <f t="shared" si="64"/>
        <v/>
      </c>
      <c r="O139" s="55" t="str">
        <f t="shared" si="65"/>
        <v/>
      </c>
      <c r="P139" s="55" t="str">
        <f t="shared" si="66"/>
        <v/>
      </c>
      <c r="Q139" s="65" t="str">
        <f t="shared" si="67"/>
        <v/>
      </c>
      <c r="R139" s="67" t="str">
        <f t="shared" si="69"/>
        <v/>
      </c>
      <c r="S139" s="56" t="str">
        <f t="shared" si="70"/>
        <v/>
      </c>
      <c r="T139" s="56" t="str">
        <f t="shared" si="71"/>
        <v/>
      </c>
      <c r="U139" s="56" t="str">
        <f t="shared" si="72"/>
        <v/>
      </c>
      <c r="V139" s="68" t="str">
        <f t="shared" si="73"/>
        <v/>
      </c>
      <c r="W139" s="80" t="str">
        <f t="shared" si="49"/>
        <v/>
      </c>
      <c r="X139" s="81" t="str">
        <f t="shared" si="50"/>
        <v/>
      </c>
      <c r="Y139" s="81" t="str">
        <f t="shared" si="51"/>
        <v/>
      </c>
      <c r="Z139" s="81" t="str">
        <f t="shared" si="52"/>
        <v/>
      </c>
      <c r="AA139" s="82" t="str">
        <f t="shared" si="53"/>
        <v/>
      </c>
      <c r="AB139" s="83" t="str">
        <f>IF(R139&lt;&gt;"",(W139-SUMPRODUCT(R$3:R139,$B$3:$B139)/SUM($B$3:$B139))/STDEVA(W129:W139),"")</f>
        <v/>
      </c>
      <c r="AC139" s="84" t="str">
        <f>IF(S139&lt;&gt;"",(X139-SUMPRODUCT(S$3:S139,$B$3:$B139)/SUM($B$3:$B139))/STDEVA(X129:X139),"")</f>
        <v/>
      </c>
      <c r="AD139" s="84" t="str">
        <f>IF(T139&lt;&gt;"",(Y139-SUMPRODUCT(T$3:T139,$B$3:$B139)/SUM($B$3:$B139))/STDEVA(Y129:Y139),"")</f>
        <v/>
      </c>
      <c r="AE139" s="84" t="str">
        <f>IF(U139&lt;&gt;"",(Z139-SUMPRODUCT(U$3:U139,$B$3:$B139)/SUM($B$3:$B139))/STDEVA(Z129:Z139),"")</f>
        <v/>
      </c>
      <c r="AF139" s="85" t="str">
        <f>IF(V139&lt;&gt;"",(AA139-SUMPRODUCT(V$3:V139,$B$3:$B139)/SUM($B$3:$B139))/STDEVA(AA129:AA139),"")</f>
        <v/>
      </c>
      <c r="AG139" s="90" t="str">
        <f t="shared" si="54"/>
        <v/>
      </c>
      <c r="AH139" s="90" t="str">
        <f t="shared" si="54"/>
        <v/>
      </c>
      <c r="AI139" s="90" t="str">
        <f t="shared" si="54"/>
        <v/>
      </c>
      <c r="AJ139" s="90" t="str">
        <f t="shared" si="54"/>
        <v/>
      </c>
      <c r="AK139" s="93" t="str">
        <f t="shared" si="55"/>
        <v/>
      </c>
      <c r="BQ139" s="100" t="str">
        <f>IF(A139&lt;&gt;"",(VLOOKUP(A139,MarketData!$D:$BP,MATCH($BQ$1,MarketData!$D$1:$EG$1,0),TRUE)/100/365+1)^(B139)*BQ138,"")</f>
        <v/>
      </c>
      <c r="BR139" s="98" t="str">
        <f t="shared" si="57"/>
        <v/>
      </c>
      <c r="BS139" s="106" t="str">
        <f>IF(A139&lt;&gt;"",VLOOKUP(A139,MarketData!$D:$BP,MATCH($BS$1,MarketData!$D$1:$EG$1,0),TRUE),"")</f>
        <v/>
      </c>
      <c r="BT139" s="98" t="str">
        <f t="shared" si="68"/>
        <v/>
      </c>
    </row>
    <row r="140" spans="2:72" x14ac:dyDescent="0.25">
      <c r="B140" s="60" t="str">
        <f t="shared" si="56"/>
        <v/>
      </c>
      <c r="C140" s="3" t="str">
        <f t="shared" si="58"/>
        <v/>
      </c>
      <c r="D140" s="3" t="str">
        <f t="shared" si="59"/>
        <v/>
      </c>
      <c r="E140" s="3" t="str">
        <f t="shared" si="60"/>
        <v/>
      </c>
      <c r="F140" s="3" t="str">
        <f t="shared" si="61"/>
        <v/>
      </c>
      <c r="G140" s="74" t="str">
        <f t="shared" si="62"/>
        <v/>
      </c>
      <c r="H140" s="78" t="str">
        <f>IFERROR(C140/SUM(M$2:M139),"")</f>
        <v/>
      </c>
      <c r="I140" s="61" t="str">
        <f>IFERROR(D140/SUM(N$2:N140),"")</f>
        <v/>
      </c>
      <c r="J140" s="61" t="str">
        <f>IFERROR(E140/SUM(O$2:O140),"")</f>
        <v/>
      </c>
      <c r="K140" s="61" t="str">
        <f>IFERROR(F140/SUM(P$2:P140),"")</f>
        <v/>
      </c>
      <c r="L140" s="79" t="str">
        <f>IFERROR(G140/SUM(Q$2:Q140),"")</f>
        <v/>
      </c>
      <c r="M140" s="64" t="str">
        <f t="shared" si="63"/>
        <v/>
      </c>
      <c r="N140" s="55" t="str">
        <f t="shared" si="64"/>
        <v/>
      </c>
      <c r="O140" s="55" t="str">
        <f t="shared" si="65"/>
        <v/>
      </c>
      <c r="P140" s="55" t="str">
        <f t="shared" si="66"/>
        <v/>
      </c>
      <c r="Q140" s="65" t="str">
        <f t="shared" si="67"/>
        <v/>
      </c>
      <c r="R140" s="67" t="str">
        <f t="shared" si="69"/>
        <v/>
      </c>
      <c r="S140" s="56" t="str">
        <f t="shared" si="70"/>
        <v/>
      </c>
      <c r="T140" s="56" t="str">
        <f t="shared" si="71"/>
        <v/>
      </c>
      <c r="U140" s="56" t="str">
        <f t="shared" si="72"/>
        <v/>
      </c>
      <c r="V140" s="68" t="str">
        <f t="shared" si="73"/>
        <v/>
      </c>
      <c r="W140" s="80" t="str">
        <f t="shared" ref="W140:W203" si="74">IF(R140&lt;&gt;"",SUMPRODUCT(R131:R140,$B131:$B140)/SUM($B131:$B140),"")</f>
        <v/>
      </c>
      <c r="X140" s="81" t="str">
        <f t="shared" ref="X140:X203" si="75">IF(S140&lt;&gt;"",SUMPRODUCT(S131:S140,$B131:$B140)/SUM($B131:$B140),"")</f>
        <v/>
      </c>
      <c r="Y140" s="81" t="str">
        <f t="shared" ref="Y140:Y203" si="76">IF(T140&lt;&gt;"",SUMPRODUCT(T131:T140,$B131:$B140)/SUM($B131:$B140),"")</f>
        <v/>
      </c>
      <c r="Z140" s="81" t="str">
        <f t="shared" ref="Z140:Z203" si="77">IF(U140&lt;&gt;"",SUMPRODUCT(U131:U140,$B131:$B140)/SUM($B131:$B140),"")</f>
        <v/>
      </c>
      <c r="AA140" s="82" t="str">
        <f t="shared" ref="AA140:AA203" si="78">IF(V140&lt;&gt;"",SUMPRODUCT(V131:V140,$B131:$B140)/SUM($B131:$B140),"")</f>
        <v/>
      </c>
      <c r="AB140" s="83" t="str">
        <f>IF(R140&lt;&gt;"",(W140-SUMPRODUCT(R$3:R140,$B$3:$B140)/SUM($B$3:$B140))/STDEVA(W130:W140),"")</f>
        <v/>
      </c>
      <c r="AC140" s="84" t="str">
        <f>IF(S140&lt;&gt;"",(X140-SUMPRODUCT(S$3:S140,$B$3:$B140)/SUM($B$3:$B140))/STDEVA(X130:X140),"")</f>
        <v/>
      </c>
      <c r="AD140" s="84" t="str">
        <f>IF(T140&lt;&gt;"",(Y140-SUMPRODUCT(T$3:T140,$B$3:$B140)/SUM($B$3:$B140))/STDEVA(Y130:Y140),"")</f>
        <v/>
      </c>
      <c r="AE140" s="84" t="str">
        <f>IF(U140&lt;&gt;"",(Z140-SUMPRODUCT(U$3:U140,$B$3:$B140)/SUM($B$3:$B140))/STDEVA(Z130:Z140),"")</f>
        <v/>
      </c>
      <c r="AF140" s="85" t="str">
        <f>IF(V140&lt;&gt;"",(AA140-SUMPRODUCT(V$3:V140,$B$3:$B140)/SUM($B$3:$B140))/STDEVA(AA130:AA140),"")</f>
        <v/>
      </c>
      <c r="AG140" s="90" t="str">
        <f t="shared" si="54"/>
        <v/>
      </c>
      <c r="AH140" s="90" t="str">
        <f t="shared" si="54"/>
        <v/>
      </c>
      <c r="AI140" s="90" t="str">
        <f t="shared" si="54"/>
        <v/>
      </c>
      <c r="AJ140" s="90" t="str">
        <f t="shared" si="54"/>
        <v/>
      </c>
      <c r="AK140" s="93" t="str">
        <f t="shared" si="55"/>
        <v/>
      </c>
      <c r="BQ140" s="100" t="str">
        <f>IF(A140&lt;&gt;"",(VLOOKUP(A140,MarketData!$D:$BP,MATCH($BQ$1,MarketData!$D$1:$EG$1,0),TRUE)/100/365+1)^(B140)*BQ139,"")</f>
        <v/>
      </c>
      <c r="BR140" s="98" t="str">
        <f t="shared" si="57"/>
        <v/>
      </c>
      <c r="BS140" s="106" t="str">
        <f>IF(A140&lt;&gt;"",VLOOKUP(A140,MarketData!$D:$BP,MATCH($BS$1,MarketData!$D$1:$EG$1,0),TRUE),"")</f>
        <v/>
      </c>
      <c r="BT140" s="98" t="str">
        <f t="shared" si="68"/>
        <v/>
      </c>
    </row>
    <row r="141" spans="2:72" x14ac:dyDescent="0.25">
      <c r="B141" s="60" t="str">
        <f t="shared" si="56"/>
        <v/>
      </c>
      <c r="C141" s="3" t="str">
        <f t="shared" si="58"/>
        <v/>
      </c>
      <c r="D141" s="3" t="str">
        <f t="shared" si="59"/>
        <v/>
      </c>
      <c r="E141" s="3" t="str">
        <f t="shared" si="60"/>
        <v/>
      </c>
      <c r="F141" s="3" t="str">
        <f t="shared" si="61"/>
        <v/>
      </c>
      <c r="G141" s="74" t="str">
        <f t="shared" si="62"/>
        <v/>
      </c>
      <c r="H141" s="78" t="str">
        <f>IFERROR(C141/SUM(M$2:M140),"")</f>
        <v/>
      </c>
      <c r="I141" s="61" t="str">
        <f>IFERROR(D141/SUM(N$2:N141),"")</f>
        <v/>
      </c>
      <c r="J141" s="61" t="str">
        <f>IFERROR(E141/SUM(O$2:O141),"")</f>
        <v/>
      </c>
      <c r="K141" s="61" t="str">
        <f>IFERROR(F141/SUM(P$2:P141),"")</f>
        <v/>
      </c>
      <c r="L141" s="79" t="str">
        <f>IFERROR(G141/SUM(Q$2:Q141),"")</f>
        <v/>
      </c>
      <c r="M141" s="64" t="str">
        <f t="shared" si="63"/>
        <v/>
      </c>
      <c r="N141" s="55" t="str">
        <f t="shared" si="64"/>
        <v/>
      </c>
      <c r="O141" s="55" t="str">
        <f t="shared" si="65"/>
        <v/>
      </c>
      <c r="P141" s="55" t="str">
        <f t="shared" si="66"/>
        <v/>
      </c>
      <c r="Q141" s="65" t="str">
        <f t="shared" si="67"/>
        <v/>
      </c>
      <c r="R141" s="67" t="str">
        <f t="shared" si="69"/>
        <v/>
      </c>
      <c r="S141" s="56" t="str">
        <f t="shared" si="70"/>
        <v/>
      </c>
      <c r="T141" s="56" t="str">
        <f t="shared" si="71"/>
        <v/>
      </c>
      <c r="U141" s="56" t="str">
        <f t="shared" si="72"/>
        <v/>
      </c>
      <c r="V141" s="68" t="str">
        <f t="shared" si="73"/>
        <v/>
      </c>
      <c r="W141" s="80" t="str">
        <f t="shared" si="74"/>
        <v/>
      </c>
      <c r="X141" s="81" t="str">
        <f t="shared" si="75"/>
        <v/>
      </c>
      <c r="Y141" s="81" t="str">
        <f t="shared" si="76"/>
        <v/>
      </c>
      <c r="Z141" s="81" t="str">
        <f t="shared" si="77"/>
        <v/>
      </c>
      <c r="AA141" s="82" t="str">
        <f t="shared" si="78"/>
        <v/>
      </c>
      <c r="AB141" s="83" t="str">
        <f>IF(R141&lt;&gt;"",(W141-SUMPRODUCT(R$3:R141,$B$3:$B141)/SUM($B$3:$B141))/STDEVA(W131:W141),"")</f>
        <v/>
      </c>
      <c r="AC141" s="84" t="str">
        <f>IF(S141&lt;&gt;"",(X141-SUMPRODUCT(S$3:S141,$B$3:$B141)/SUM($B$3:$B141))/STDEVA(X131:X141),"")</f>
        <v/>
      </c>
      <c r="AD141" s="84" t="str">
        <f>IF(T141&lt;&gt;"",(Y141-SUMPRODUCT(T$3:T141,$B$3:$B141)/SUM($B$3:$B141))/STDEVA(Y131:Y141),"")</f>
        <v/>
      </c>
      <c r="AE141" s="84" t="str">
        <f>IF(U141&lt;&gt;"",(Z141-SUMPRODUCT(U$3:U141,$B$3:$B141)/SUM($B$3:$B141))/STDEVA(Z131:Z141),"")</f>
        <v/>
      </c>
      <c r="AF141" s="85" t="str">
        <f>IF(V141&lt;&gt;"",(AA141-SUMPRODUCT(V$3:V141,$B$3:$B141)/SUM($B$3:$B141))/STDEVA(AA131:AA141),"")</f>
        <v/>
      </c>
      <c r="AG141" s="90" t="str">
        <f t="shared" si="54"/>
        <v/>
      </c>
      <c r="AH141" s="90" t="str">
        <f t="shared" si="54"/>
        <v/>
      </c>
      <c r="AI141" s="90" t="str">
        <f t="shared" si="54"/>
        <v/>
      </c>
      <c r="AJ141" s="90" t="str">
        <f t="shared" ref="AJ141:AK204" si="79">IF(AE141&lt;&gt;"",SUMPRODUCT(AE136:AE141,$B136:$B141)/SUM($B136:$B141),"")</f>
        <v/>
      </c>
      <c r="AK141" s="93" t="str">
        <f t="shared" si="55"/>
        <v/>
      </c>
      <c r="BQ141" s="100" t="str">
        <f>IF(A141&lt;&gt;"",(VLOOKUP(A141,MarketData!$D:$BP,MATCH($BQ$1,MarketData!$D$1:$EG$1,0),TRUE)/100/365+1)^(B141)*BQ140,"")</f>
        <v/>
      </c>
      <c r="BR141" s="98" t="str">
        <f t="shared" si="57"/>
        <v/>
      </c>
      <c r="BS141" s="106" t="str">
        <f>IF(A141&lt;&gt;"",VLOOKUP(A141,MarketData!$D:$BP,MATCH($BS$1,MarketData!$D$1:$EG$1,0),TRUE),"")</f>
        <v/>
      </c>
      <c r="BT141" s="98" t="str">
        <f t="shared" si="68"/>
        <v/>
      </c>
    </row>
    <row r="142" spans="2:72" x14ac:dyDescent="0.25">
      <c r="B142" s="60" t="str">
        <f t="shared" si="56"/>
        <v/>
      </c>
      <c r="C142" s="3" t="str">
        <f t="shared" si="58"/>
        <v/>
      </c>
      <c r="D142" s="3" t="str">
        <f t="shared" si="59"/>
        <v/>
      </c>
      <c r="E142" s="3" t="str">
        <f t="shared" si="60"/>
        <v/>
      </c>
      <c r="F142" s="3" t="str">
        <f t="shared" si="61"/>
        <v/>
      </c>
      <c r="G142" s="74" t="str">
        <f t="shared" si="62"/>
        <v/>
      </c>
      <c r="H142" s="78" t="str">
        <f>IFERROR(C142/SUM(M$2:M141),"")</f>
        <v/>
      </c>
      <c r="I142" s="61" t="str">
        <f>IFERROR(D142/SUM(N$2:N142),"")</f>
        <v/>
      </c>
      <c r="J142" s="61" t="str">
        <f>IFERROR(E142/SUM(O$2:O142),"")</f>
        <v/>
      </c>
      <c r="K142" s="61" t="str">
        <f>IFERROR(F142/SUM(P$2:P142),"")</f>
        <v/>
      </c>
      <c r="L142" s="79" t="str">
        <f>IFERROR(G142/SUM(Q$2:Q142),"")</f>
        <v/>
      </c>
      <c r="M142" s="64" t="str">
        <f t="shared" si="63"/>
        <v/>
      </c>
      <c r="N142" s="55" t="str">
        <f t="shared" si="64"/>
        <v/>
      </c>
      <c r="O142" s="55" t="str">
        <f t="shared" si="65"/>
        <v/>
      </c>
      <c r="P142" s="55" t="str">
        <f t="shared" si="66"/>
        <v/>
      </c>
      <c r="Q142" s="65" t="str">
        <f t="shared" si="67"/>
        <v/>
      </c>
      <c r="R142" s="67" t="str">
        <f t="shared" si="69"/>
        <v/>
      </c>
      <c r="S142" s="56" t="str">
        <f t="shared" si="70"/>
        <v/>
      </c>
      <c r="T142" s="56" t="str">
        <f t="shared" si="71"/>
        <v/>
      </c>
      <c r="U142" s="56" t="str">
        <f t="shared" si="72"/>
        <v/>
      </c>
      <c r="V142" s="68" t="str">
        <f t="shared" si="73"/>
        <v/>
      </c>
      <c r="W142" s="80" t="str">
        <f t="shared" si="74"/>
        <v/>
      </c>
      <c r="X142" s="81" t="str">
        <f t="shared" si="75"/>
        <v/>
      </c>
      <c r="Y142" s="81" t="str">
        <f t="shared" si="76"/>
        <v/>
      </c>
      <c r="Z142" s="81" t="str">
        <f t="shared" si="77"/>
        <v/>
      </c>
      <c r="AA142" s="82" t="str">
        <f t="shared" si="78"/>
        <v/>
      </c>
      <c r="AB142" s="83" t="str">
        <f>IF(R142&lt;&gt;"",(W142-SUMPRODUCT(R$3:R142,$B$3:$B142)/SUM($B$3:$B142))/STDEVA(W132:W142),"")</f>
        <v/>
      </c>
      <c r="AC142" s="84" t="str">
        <f>IF(S142&lt;&gt;"",(X142-SUMPRODUCT(S$3:S142,$B$3:$B142)/SUM($B$3:$B142))/STDEVA(X132:X142),"")</f>
        <v/>
      </c>
      <c r="AD142" s="84" t="str">
        <f>IF(T142&lt;&gt;"",(Y142-SUMPRODUCT(T$3:T142,$B$3:$B142)/SUM($B$3:$B142))/STDEVA(Y132:Y142),"")</f>
        <v/>
      </c>
      <c r="AE142" s="84" t="str">
        <f>IF(U142&lt;&gt;"",(Z142-SUMPRODUCT(U$3:U142,$B$3:$B142)/SUM($B$3:$B142))/STDEVA(Z132:Z142),"")</f>
        <v/>
      </c>
      <c r="AF142" s="85" t="str">
        <f>IF(V142&lt;&gt;"",(AA142-SUMPRODUCT(V$3:V142,$B$3:$B142)/SUM($B$3:$B142))/STDEVA(AA132:AA142),"")</f>
        <v/>
      </c>
      <c r="AG142" s="90" t="str">
        <f t="shared" ref="AG142:AK205" si="80">IF(AB142&lt;&gt;"",SUMPRODUCT(AB137:AB142,$B137:$B142)/SUM($B137:$B142),"")</f>
        <v/>
      </c>
      <c r="AH142" s="90" t="str">
        <f t="shared" si="80"/>
        <v/>
      </c>
      <c r="AI142" s="90" t="str">
        <f t="shared" si="80"/>
        <v/>
      </c>
      <c r="AJ142" s="90" t="str">
        <f t="shared" si="79"/>
        <v/>
      </c>
      <c r="AK142" s="93" t="str">
        <f t="shared" si="79"/>
        <v/>
      </c>
      <c r="BQ142" s="100" t="str">
        <f>IF(A142&lt;&gt;"",(VLOOKUP(A142,MarketData!$D:$BP,MATCH($BQ$1,MarketData!$D$1:$EG$1,0),TRUE)/100/365+1)^(B142)*BQ141,"")</f>
        <v/>
      </c>
      <c r="BR142" s="98" t="str">
        <f t="shared" si="57"/>
        <v/>
      </c>
      <c r="BS142" s="106" t="str">
        <f>IF(A142&lt;&gt;"",VLOOKUP(A142,MarketData!$D:$BP,MATCH($BS$1,MarketData!$D$1:$EG$1,0),TRUE),"")</f>
        <v/>
      </c>
      <c r="BT142" s="98" t="str">
        <f t="shared" si="68"/>
        <v/>
      </c>
    </row>
    <row r="143" spans="2:72" x14ac:dyDescent="0.25">
      <c r="B143" s="60" t="str">
        <f t="shared" si="56"/>
        <v/>
      </c>
      <c r="C143" s="3" t="str">
        <f t="shared" si="58"/>
        <v/>
      </c>
      <c r="D143" s="3" t="str">
        <f t="shared" si="59"/>
        <v/>
      </c>
      <c r="E143" s="3" t="str">
        <f t="shared" si="60"/>
        <v/>
      </c>
      <c r="F143" s="3" t="str">
        <f t="shared" si="61"/>
        <v/>
      </c>
      <c r="G143" s="74" t="str">
        <f t="shared" si="62"/>
        <v/>
      </c>
      <c r="H143" s="78" t="str">
        <f>IFERROR(C143/SUM(M$2:M142),"")</f>
        <v/>
      </c>
      <c r="I143" s="61" t="str">
        <f>IFERROR(D143/SUM(N$2:N143),"")</f>
        <v/>
      </c>
      <c r="J143" s="61" t="str">
        <f>IFERROR(E143/SUM(O$2:O143),"")</f>
        <v/>
      </c>
      <c r="K143" s="61" t="str">
        <f>IFERROR(F143/SUM(P$2:P143),"")</f>
        <v/>
      </c>
      <c r="L143" s="79" t="str">
        <f>IFERROR(G143/SUM(Q$2:Q143),"")</f>
        <v/>
      </c>
      <c r="M143" s="64" t="str">
        <f t="shared" si="63"/>
        <v/>
      </c>
      <c r="N143" s="55" t="str">
        <f t="shared" si="64"/>
        <v/>
      </c>
      <c r="O143" s="55" t="str">
        <f t="shared" si="65"/>
        <v/>
      </c>
      <c r="P143" s="55" t="str">
        <f t="shared" si="66"/>
        <v/>
      </c>
      <c r="Q143" s="65" t="str">
        <f t="shared" si="67"/>
        <v/>
      </c>
      <c r="R143" s="67" t="str">
        <f t="shared" si="69"/>
        <v/>
      </c>
      <c r="S143" s="56" t="str">
        <f t="shared" si="70"/>
        <v/>
      </c>
      <c r="T143" s="56" t="str">
        <f t="shared" si="71"/>
        <v/>
      </c>
      <c r="U143" s="56" t="str">
        <f t="shared" si="72"/>
        <v/>
      </c>
      <c r="V143" s="68" t="str">
        <f t="shared" si="73"/>
        <v/>
      </c>
      <c r="W143" s="80" t="str">
        <f t="shared" si="74"/>
        <v/>
      </c>
      <c r="X143" s="81" t="str">
        <f t="shared" si="75"/>
        <v/>
      </c>
      <c r="Y143" s="81" t="str">
        <f t="shared" si="76"/>
        <v/>
      </c>
      <c r="Z143" s="81" t="str">
        <f t="shared" si="77"/>
        <v/>
      </c>
      <c r="AA143" s="82" t="str">
        <f t="shared" si="78"/>
        <v/>
      </c>
      <c r="AB143" s="83" t="str">
        <f>IF(R143&lt;&gt;"",(W143-SUMPRODUCT(R$3:R143,$B$3:$B143)/SUM($B$3:$B143))/STDEVA(W133:W143),"")</f>
        <v/>
      </c>
      <c r="AC143" s="84" t="str">
        <f>IF(S143&lt;&gt;"",(X143-SUMPRODUCT(S$3:S143,$B$3:$B143)/SUM($B$3:$B143))/STDEVA(X133:X143),"")</f>
        <v/>
      </c>
      <c r="AD143" s="84" t="str">
        <f>IF(T143&lt;&gt;"",(Y143-SUMPRODUCT(T$3:T143,$B$3:$B143)/SUM($B$3:$B143))/STDEVA(Y133:Y143),"")</f>
        <v/>
      </c>
      <c r="AE143" s="84" t="str">
        <f>IF(U143&lt;&gt;"",(Z143-SUMPRODUCT(U$3:U143,$B$3:$B143)/SUM($B$3:$B143))/STDEVA(Z133:Z143),"")</f>
        <v/>
      </c>
      <c r="AF143" s="85" t="str">
        <f>IF(V143&lt;&gt;"",(AA143-SUMPRODUCT(V$3:V143,$B$3:$B143)/SUM($B$3:$B143))/STDEVA(AA133:AA143),"")</f>
        <v/>
      </c>
      <c r="AG143" s="90" t="str">
        <f t="shared" si="80"/>
        <v/>
      </c>
      <c r="AH143" s="90" t="str">
        <f t="shared" si="80"/>
        <v/>
      </c>
      <c r="AI143" s="90" t="str">
        <f t="shared" si="80"/>
        <v/>
      </c>
      <c r="AJ143" s="90" t="str">
        <f t="shared" si="79"/>
        <v/>
      </c>
      <c r="AK143" s="93" t="str">
        <f t="shared" si="79"/>
        <v/>
      </c>
      <c r="BQ143" s="100" t="str">
        <f>IF(A143&lt;&gt;"",(VLOOKUP(A143,MarketData!$D:$BP,MATCH($BQ$1,MarketData!$D$1:$EG$1,0),TRUE)/100/365+1)^(B143)*BQ142,"")</f>
        <v/>
      </c>
      <c r="BR143" s="98" t="str">
        <f t="shared" si="57"/>
        <v/>
      </c>
      <c r="BS143" s="106" t="str">
        <f>IF(A143&lt;&gt;"",VLOOKUP(A143,MarketData!$D:$BP,MATCH($BS$1,MarketData!$D$1:$EG$1,0),TRUE),"")</f>
        <v/>
      </c>
      <c r="BT143" s="98" t="str">
        <f t="shared" si="68"/>
        <v/>
      </c>
    </row>
    <row r="144" spans="2:72" x14ac:dyDescent="0.25">
      <c r="B144" s="60" t="str">
        <f t="shared" si="56"/>
        <v/>
      </c>
      <c r="C144" s="3" t="str">
        <f t="shared" si="58"/>
        <v/>
      </c>
      <c r="D144" s="3" t="str">
        <f t="shared" si="59"/>
        <v/>
      </c>
      <c r="E144" s="3" t="str">
        <f t="shared" si="60"/>
        <v/>
      </c>
      <c r="F144" s="3" t="str">
        <f t="shared" si="61"/>
        <v/>
      </c>
      <c r="G144" s="74" t="str">
        <f t="shared" si="62"/>
        <v/>
      </c>
      <c r="H144" s="78" t="str">
        <f>IFERROR(C144/SUM(M$2:M143),"")</f>
        <v/>
      </c>
      <c r="I144" s="61" t="str">
        <f>IFERROR(D144/SUM(N$2:N144),"")</f>
        <v/>
      </c>
      <c r="J144" s="61" t="str">
        <f>IFERROR(E144/SUM(O$2:O144),"")</f>
        <v/>
      </c>
      <c r="K144" s="61" t="str">
        <f>IFERROR(F144/SUM(P$2:P144),"")</f>
        <v/>
      </c>
      <c r="L144" s="79" t="str">
        <f>IFERROR(G144/SUM(Q$2:Q144),"")</f>
        <v/>
      </c>
      <c r="M144" s="64" t="str">
        <f t="shared" si="63"/>
        <v/>
      </c>
      <c r="N144" s="55" t="str">
        <f t="shared" si="64"/>
        <v/>
      </c>
      <c r="O144" s="55" t="str">
        <f t="shared" si="65"/>
        <v/>
      </c>
      <c r="P144" s="55" t="str">
        <f t="shared" si="66"/>
        <v/>
      </c>
      <c r="Q144" s="65" t="str">
        <f t="shared" si="67"/>
        <v/>
      </c>
      <c r="R144" s="67" t="str">
        <f t="shared" si="69"/>
        <v/>
      </c>
      <c r="S144" s="56" t="str">
        <f t="shared" si="70"/>
        <v/>
      </c>
      <c r="T144" s="56" t="str">
        <f t="shared" si="71"/>
        <v/>
      </c>
      <c r="U144" s="56" t="str">
        <f t="shared" si="72"/>
        <v/>
      </c>
      <c r="V144" s="68" t="str">
        <f t="shared" si="73"/>
        <v/>
      </c>
      <c r="W144" s="80" t="str">
        <f t="shared" si="74"/>
        <v/>
      </c>
      <c r="X144" s="81" t="str">
        <f t="shared" si="75"/>
        <v/>
      </c>
      <c r="Y144" s="81" t="str">
        <f t="shared" si="76"/>
        <v/>
      </c>
      <c r="Z144" s="81" t="str">
        <f t="shared" si="77"/>
        <v/>
      </c>
      <c r="AA144" s="82" t="str">
        <f t="shared" si="78"/>
        <v/>
      </c>
      <c r="AB144" s="83" t="str">
        <f>IF(R144&lt;&gt;"",(W144-SUMPRODUCT(R$3:R144,$B$3:$B144)/SUM($B$3:$B144))/STDEVA(W134:W144),"")</f>
        <v/>
      </c>
      <c r="AC144" s="84" t="str">
        <f>IF(S144&lt;&gt;"",(X144-SUMPRODUCT(S$3:S144,$B$3:$B144)/SUM($B$3:$B144))/STDEVA(X134:X144),"")</f>
        <v/>
      </c>
      <c r="AD144" s="84" t="str">
        <f>IF(T144&lt;&gt;"",(Y144-SUMPRODUCT(T$3:T144,$B$3:$B144)/SUM($B$3:$B144))/STDEVA(Y134:Y144),"")</f>
        <v/>
      </c>
      <c r="AE144" s="84" t="str">
        <f>IF(U144&lt;&gt;"",(Z144-SUMPRODUCT(U$3:U144,$B$3:$B144)/SUM($B$3:$B144))/STDEVA(Z134:Z144),"")</f>
        <v/>
      </c>
      <c r="AF144" s="85" t="str">
        <f>IF(V144&lt;&gt;"",(AA144-SUMPRODUCT(V$3:V144,$B$3:$B144)/SUM($B$3:$B144))/STDEVA(AA134:AA144),"")</f>
        <v/>
      </c>
      <c r="AG144" s="90" t="str">
        <f t="shared" si="80"/>
        <v/>
      </c>
      <c r="AH144" s="90" t="str">
        <f t="shared" si="80"/>
        <v/>
      </c>
      <c r="AI144" s="90" t="str">
        <f t="shared" si="80"/>
        <v/>
      </c>
      <c r="AJ144" s="90" t="str">
        <f t="shared" si="79"/>
        <v/>
      </c>
      <c r="AK144" s="93" t="str">
        <f t="shared" si="79"/>
        <v/>
      </c>
      <c r="BQ144" s="100" t="str">
        <f>IF(A144&lt;&gt;"",(VLOOKUP(A144,MarketData!$D:$BP,MATCH($BQ$1,MarketData!$D$1:$EG$1,0),TRUE)/100/365+1)^(B144)*BQ143,"")</f>
        <v/>
      </c>
      <c r="BR144" s="98" t="str">
        <f t="shared" si="57"/>
        <v/>
      </c>
      <c r="BS144" s="106" t="str">
        <f>IF(A144&lt;&gt;"",VLOOKUP(A144,MarketData!$D:$BP,MATCH($BS$1,MarketData!$D$1:$EG$1,0),TRUE),"")</f>
        <v/>
      </c>
      <c r="BT144" s="98" t="str">
        <f t="shared" si="68"/>
        <v/>
      </c>
    </row>
    <row r="145" spans="2:72" x14ac:dyDescent="0.25">
      <c r="B145" s="60" t="str">
        <f t="shared" si="56"/>
        <v/>
      </c>
      <c r="C145" s="3" t="str">
        <f t="shared" si="58"/>
        <v/>
      </c>
      <c r="D145" s="3" t="str">
        <f t="shared" si="59"/>
        <v/>
      </c>
      <c r="E145" s="3" t="str">
        <f t="shared" si="60"/>
        <v/>
      </c>
      <c r="F145" s="3" t="str">
        <f t="shared" si="61"/>
        <v/>
      </c>
      <c r="G145" s="74" t="str">
        <f t="shared" si="62"/>
        <v/>
      </c>
      <c r="H145" s="78" t="str">
        <f>IFERROR(C145/SUM(M$2:M144),"")</f>
        <v/>
      </c>
      <c r="I145" s="61" t="str">
        <f>IFERROR(D145/SUM(N$2:N145),"")</f>
        <v/>
      </c>
      <c r="J145" s="61" t="str">
        <f>IFERROR(E145/SUM(O$2:O145),"")</f>
        <v/>
      </c>
      <c r="K145" s="61" t="str">
        <f>IFERROR(F145/SUM(P$2:P145),"")</f>
        <v/>
      </c>
      <c r="L145" s="79" t="str">
        <f>IFERROR(G145/SUM(Q$2:Q145),"")</f>
        <v/>
      </c>
      <c r="M145" s="64" t="str">
        <f t="shared" si="63"/>
        <v/>
      </c>
      <c r="N145" s="55" t="str">
        <f t="shared" si="64"/>
        <v/>
      </c>
      <c r="O145" s="55" t="str">
        <f t="shared" si="65"/>
        <v/>
      </c>
      <c r="P145" s="55" t="str">
        <f t="shared" si="66"/>
        <v/>
      </c>
      <c r="Q145" s="65" t="str">
        <f t="shared" si="67"/>
        <v/>
      </c>
      <c r="R145" s="67" t="str">
        <f t="shared" si="69"/>
        <v/>
      </c>
      <c r="S145" s="56" t="str">
        <f t="shared" si="70"/>
        <v/>
      </c>
      <c r="T145" s="56" t="str">
        <f t="shared" si="71"/>
        <v/>
      </c>
      <c r="U145" s="56" t="str">
        <f t="shared" si="72"/>
        <v/>
      </c>
      <c r="V145" s="68" t="str">
        <f t="shared" si="73"/>
        <v/>
      </c>
      <c r="W145" s="80" t="str">
        <f t="shared" si="74"/>
        <v/>
      </c>
      <c r="X145" s="81" t="str">
        <f t="shared" si="75"/>
        <v/>
      </c>
      <c r="Y145" s="81" t="str">
        <f t="shared" si="76"/>
        <v/>
      </c>
      <c r="Z145" s="81" t="str">
        <f t="shared" si="77"/>
        <v/>
      </c>
      <c r="AA145" s="82" t="str">
        <f t="shared" si="78"/>
        <v/>
      </c>
      <c r="AB145" s="83" t="str">
        <f>IF(R145&lt;&gt;"",(W145-SUMPRODUCT(R$3:R145,$B$3:$B145)/SUM($B$3:$B145))/STDEVA(W135:W145),"")</f>
        <v/>
      </c>
      <c r="AC145" s="84" t="str">
        <f>IF(S145&lt;&gt;"",(X145-SUMPRODUCT(S$3:S145,$B$3:$B145)/SUM($B$3:$B145))/STDEVA(X135:X145),"")</f>
        <v/>
      </c>
      <c r="AD145" s="84" t="str">
        <f>IF(T145&lt;&gt;"",(Y145-SUMPRODUCT(T$3:T145,$B$3:$B145)/SUM($B$3:$B145))/STDEVA(Y135:Y145),"")</f>
        <v/>
      </c>
      <c r="AE145" s="84" t="str">
        <f>IF(U145&lt;&gt;"",(Z145-SUMPRODUCT(U$3:U145,$B$3:$B145)/SUM($B$3:$B145))/STDEVA(Z135:Z145),"")</f>
        <v/>
      </c>
      <c r="AF145" s="85" t="str">
        <f>IF(V145&lt;&gt;"",(AA145-SUMPRODUCT(V$3:V145,$B$3:$B145)/SUM($B$3:$B145))/STDEVA(AA135:AA145),"")</f>
        <v/>
      </c>
      <c r="AG145" s="90" t="str">
        <f t="shared" si="80"/>
        <v/>
      </c>
      <c r="AH145" s="90" t="str">
        <f t="shared" si="80"/>
        <v/>
      </c>
      <c r="AI145" s="90" t="str">
        <f t="shared" si="80"/>
        <v/>
      </c>
      <c r="AJ145" s="90" t="str">
        <f t="shared" si="79"/>
        <v/>
      </c>
      <c r="AK145" s="93" t="str">
        <f t="shared" si="79"/>
        <v/>
      </c>
      <c r="BQ145" s="100" t="str">
        <f>IF(A145&lt;&gt;"",(VLOOKUP(A145,MarketData!$D:$BP,MATCH($BQ$1,MarketData!$D$1:$EG$1,0),TRUE)/100/365+1)^(B145)*BQ144,"")</f>
        <v/>
      </c>
      <c r="BR145" s="98" t="str">
        <f t="shared" si="57"/>
        <v/>
      </c>
      <c r="BS145" s="106" t="str">
        <f>IF(A145&lt;&gt;"",VLOOKUP(A145,MarketData!$D:$BP,MATCH($BS$1,MarketData!$D$1:$EG$1,0),TRUE),"")</f>
        <v/>
      </c>
      <c r="BT145" s="98" t="str">
        <f t="shared" si="68"/>
        <v/>
      </c>
    </row>
    <row r="146" spans="2:72" x14ac:dyDescent="0.25">
      <c r="B146" s="60" t="str">
        <f t="shared" si="56"/>
        <v/>
      </c>
      <c r="C146" s="3" t="str">
        <f t="shared" si="58"/>
        <v/>
      </c>
      <c r="D146" s="3" t="str">
        <f t="shared" si="59"/>
        <v/>
      </c>
      <c r="E146" s="3" t="str">
        <f t="shared" si="60"/>
        <v/>
      </c>
      <c r="F146" s="3" t="str">
        <f t="shared" si="61"/>
        <v/>
      </c>
      <c r="G146" s="74" t="str">
        <f t="shared" si="62"/>
        <v/>
      </c>
      <c r="H146" s="78" t="str">
        <f>IFERROR(C146/SUM(M$2:M145),"")</f>
        <v/>
      </c>
      <c r="I146" s="61" t="str">
        <f>IFERROR(D146/SUM(N$2:N146),"")</f>
        <v/>
      </c>
      <c r="J146" s="61" t="str">
        <f>IFERROR(E146/SUM(O$2:O146),"")</f>
        <v/>
      </c>
      <c r="K146" s="61" t="str">
        <f>IFERROR(F146/SUM(P$2:P146),"")</f>
        <v/>
      </c>
      <c r="L146" s="79" t="str">
        <f>IFERROR(G146/SUM(Q$2:Q146),"")</f>
        <v/>
      </c>
      <c r="M146" s="64" t="str">
        <f t="shared" si="63"/>
        <v/>
      </c>
      <c r="N146" s="55" t="str">
        <f t="shared" si="64"/>
        <v/>
      </c>
      <c r="O146" s="55" t="str">
        <f t="shared" si="65"/>
        <v/>
      </c>
      <c r="P146" s="55" t="str">
        <f t="shared" si="66"/>
        <v/>
      </c>
      <c r="Q146" s="65" t="str">
        <f t="shared" si="67"/>
        <v/>
      </c>
      <c r="R146" s="67" t="str">
        <f t="shared" si="69"/>
        <v/>
      </c>
      <c r="S146" s="56" t="str">
        <f t="shared" si="70"/>
        <v/>
      </c>
      <c r="T146" s="56" t="str">
        <f t="shared" si="71"/>
        <v/>
      </c>
      <c r="U146" s="56" t="str">
        <f t="shared" si="72"/>
        <v/>
      </c>
      <c r="V146" s="68" t="str">
        <f t="shared" si="73"/>
        <v/>
      </c>
      <c r="W146" s="80" t="str">
        <f t="shared" si="74"/>
        <v/>
      </c>
      <c r="X146" s="81" t="str">
        <f t="shared" si="75"/>
        <v/>
      </c>
      <c r="Y146" s="81" t="str">
        <f t="shared" si="76"/>
        <v/>
      </c>
      <c r="Z146" s="81" t="str">
        <f t="shared" si="77"/>
        <v/>
      </c>
      <c r="AA146" s="82" t="str">
        <f t="shared" si="78"/>
        <v/>
      </c>
      <c r="AB146" s="83" t="str">
        <f>IF(R146&lt;&gt;"",(W146-SUMPRODUCT(R$3:R146,$B$3:$B146)/SUM($B$3:$B146))/STDEVA(W136:W146),"")</f>
        <v/>
      </c>
      <c r="AC146" s="84" t="str">
        <f>IF(S146&lt;&gt;"",(X146-SUMPRODUCT(S$3:S146,$B$3:$B146)/SUM($B$3:$B146))/STDEVA(X136:X146),"")</f>
        <v/>
      </c>
      <c r="AD146" s="84" t="str">
        <f>IF(T146&lt;&gt;"",(Y146-SUMPRODUCT(T$3:T146,$B$3:$B146)/SUM($B$3:$B146))/STDEVA(Y136:Y146),"")</f>
        <v/>
      </c>
      <c r="AE146" s="84" t="str">
        <f>IF(U146&lt;&gt;"",(Z146-SUMPRODUCT(U$3:U146,$B$3:$B146)/SUM($B$3:$B146))/STDEVA(Z136:Z146),"")</f>
        <v/>
      </c>
      <c r="AF146" s="85" t="str">
        <f>IF(V146&lt;&gt;"",(AA146-SUMPRODUCT(V$3:V146,$B$3:$B146)/SUM($B$3:$B146))/STDEVA(AA136:AA146),"")</f>
        <v/>
      </c>
      <c r="AG146" s="90" t="str">
        <f t="shared" si="80"/>
        <v/>
      </c>
      <c r="AH146" s="90" t="str">
        <f t="shared" si="80"/>
        <v/>
      </c>
      <c r="AI146" s="90" t="str">
        <f t="shared" si="80"/>
        <v/>
      </c>
      <c r="AJ146" s="90" t="str">
        <f t="shared" si="79"/>
        <v/>
      </c>
      <c r="AK146" s="93" t="str">
        <f t="shared" si="79"/>
        <v/>
      </c>
      <c r="BQ146" s="100" t="str">
        <f>IF(A146&lt;&gt;"",(VLOOKUP(A146,MarketData!$D:$BP,MATCH($BQ$1,MarketData!$D$1:$EG$1,0),TRUE)/100/365+1)^(B146)*BQ145,"")</f>
        <v/>
      </c>
      <c r="BR146" s="98" t="str">
        <f t="shared" si="57"/>
        <v/>
      </c>
      <c r="BS146" s="106" t="str">
        <f>IF(A146&lt;&gt;"",VLOOKUP(A146,MarketData!$D:$BP,MATCH($BS$1,MarketData!$D$1:$EG$1,0),TRUE),"")</f>
        <v/>
      </c>
      <c r="BT146" s="98" t="str">
        <f t="shared" si="68"/>
        <v/>
      </c>
    </row>
    <row r="147" spans="2:72" x14ac:dyDescent="0.25">
      <c r="B147" s="60" t="str">
        <f t="shared" si="56"/>
        <v/>
      </c>
      <c r="C147" s="3" t="str">
        <f t="shared" si="58"/>
        <v/>
      </c>
      <c r="D147" s="3" t="str">
        <f t="shared" si="59"/>
        <v/>
      </c>
      <c r="E147" s="3" t="str">
        <f t="shared" si="60"/>
        <v/>
      </c>
      <c r="F147" s="3" t="str">
        <f t="shared" si="61"/>
        <v/>
      </c>
      <c r="G147" s="74" t="str">
        <f t="shared" si="62"/>
        <v/>
      </c>
      <c r="H147" s="78" t="str">
        <f>IFERROR(C147/SUM(M$2:M146),"")</f>
        <v/>
      </c>
      <c r="I147" s="61" t="str">
        <f>IFERROR(D147/SUM(N$2:N147),"")</f>
        <v/>
      </c>
      <c r="J147" s="61" t="str">
        <f>IFERROR(E147/SUM(O$2:O147),"")</f>
        <v/>
      </c>
      <c r="K147" s="61" t="str">
        <f>IFERROR(F147/SUM(P$2:P147),"")</f>
        <v/>
      </c>
      <c r="L147" s="79" t="str">
        <f>IFERROR(G147/SUM(Q$2:Q147),"")</f>
        <v/>
      </c>
      <c r="M147" s="64" t="str">
        <f t="shared" si="63"/>
        <v/>
      </c>
      <c r="N147" s="55" t="str">
        <f t="shared" si="64"/>
        <v/>
      </c>
      <c r="O147" s="55" t="str">
        <f t="shared" si="65"/>
        <v/>
      </c>
      <c r="P147" s="55" t="str">
        <f t="shared" si="66"/>
        <v/>
      </c>
      <c r="Q147" s="65" t="str">
        <f t="shared" si="67"/>
        <v/>
      </c>
      <c r="R147" s="67" t="str">
        <f t="shared" si="69"/>
        <v/>
      </c>
      <c r="S147" s="56" t="str">
        <f t="shared" si="70"/>
        <v/>
      </c>
      <c r="T147" s="56" t="str">
        <f t="shared" si="71"/>
        <v/>
      </c>
      <c r="U147" s="56" t="str">
        <f t="shared" si="72"/>
        <v/>
      </c>
      <c r="V147" s="68" t="str">
        <f t="shared" si="73"/>
        <v/>
      </c>
      <c r="W147" s="80" t="str">
        <f t="shared" si="74"/>
        <v/>
      </c>
      <c r="X147" s="81" t="str">
        <f t="shared" si="75"/>
        <v/>
      </c>
      <c r="Y147" s="81" t="str">
        <f t="shared" si="76"/>
        <v/>
      </c>
      <c r="Z147" s="81" t="str">
        <f t="shared" si="77"/>
        <v/>
      </c>
      <c r="AA147" s="82" t="str">
        <f t="shared" si="78"/>
        <v/>
      </c>
      <c r="AB147" s="83" t="str">
        <f>IF(R147&lt;&gt;"",(W147-SUMPRODUCT(R$3:R147,$B$3:$B147)/SUM($B$3:$B147))/STDEVA(W137:W147),"")</f>
        <v/>
      </c>
      <c r="AC147" s="84" t="str">
        <f>IF(S147&lt;&gt;"",(X147-SUMPRODUCT(S$3:S147,$B$3:$B147)/SUM($B$3:$B147))/STDEVA(X137:X147),"")</f>
        <v/>
      </c>
      <c r="AD147" s="84" t="str">
        <f>IF(T147&lt;&gt;"",(Y147-SUMPRODUCT(T$3:T147,$B$3:$B147)/SUM($B$3:$B147))/STDEVA(Y137:Y147),"")</f>
        <v/>
      </c>
      <c r="AE147" s="84" t="str">
        <f>IF(U147&lt;&gt;"",(Z147-SUMPRODUCT(U$3:U147,$B$3:$B147)/SUM($B$3:$B147))/STDEVA(Z137:Z147),"")</f>
        <v/>
      </c>
      <c r="AF147" s="85" t="str">
        <f>IF(V147&lt;&gt;"",(AA147-SUMPRODUCT(V$3:V147,$B$3:$B147)/SUM($B$3:$B147))/STDEVA(AA137:AA147),"")</f>
        <v/>
      </c>
      <c r="AG147" s="90" t="str">
        <f t="shared" si="80"/>
        <v/>
      </c>
      <c r="AH147" s="90" t="str">
        <f t="shared" si="80"/>
        <v/>
      </c>
      <c r="AI147" s="90" t="str">
        <f t="shared" si="80"/>
        <v/>
      </c>
      <c r="AJ147" s="90" t="str">
        <f t="shared" si="79"/>
        <v/>
      </c>
      <c r="AK147" s="93" t="str">
        <f t="shared" si="79"/>
        <v/>
      </c>
      <c r="BQ147" s="100" t="str">
        <f>IF(A147&lt;&gt;"",(VLOOKUP(A147,MarketData!$D:$BP,MATCH($BQ$1,MarketData!$D$1:$EG$1,0),TRUE)/100/365+1)^(B147)*BQ146,"")</f>
        <v/>
      </c>
      <c r="BR147" s="98" t="str">
        <f t="shared" si="57"/>
        <v/>
      </c>
      <c r="BS147" s="106" t="str">
        <f>IF(A147&lt;&gt;"",VLOOKUP(A147,MarketData!$D:$BP,MATCH($BS$1,MarketData!$D$1:$EG$1,0),TRUE),"")</f>
        <v/>
      </c>
      <c r="BT147" s="98" t="str">
        <f t="shared" si="68"/>
        <v/>
      </c>
    </row>
    <row r="148" spans="2:72" x14ac:dyDescent="0.25">
      <c r="B148" s="60" t="str">
        <f t="shared" si="56"/>
        <v/>
      </c>
      <c r="C148" s="3" t="str">
        <f t="shared" si="58"/>
        <v/>
      </c>
      <c r="D148" s="3" t="str">
        <f t="shared" si="59"/>
        <v/>
      </c>
      <c r="E148" s="3" t="str">
        <f t="shared" si="60"/>
        <v/>
      </c>
      <c r="F148" s="3" t="str">
        <f t="shared" si="61"/>
        <v/>
      </c>
      <c r="G148" s="74" t="str">
        <f t="shared" si="62"/>
        <v/>
      </c>
      <c r="H148" s="78" t="str">
        <f>IFERROR(C148/SUM(M$2:M147),"")</f>
        <v/>
      </c>
      <c r="I148" s="61" t="str">
        <f>IFERROR(D148/SUM(N$2:N148),"")</f>
        <v/>
      </c>
      <c r="J148" s="61" t="str">
        <f>IFERROR(E148/SUM(O$2:O148),"")</f>
        <v/>
      </c>
      <c r="K148" s="61" t="str">
        <f>IFERROR(F148/SUM(P$2:P148),"")</f>
        <v/>
      </c>
      <c r="L148" s="79" t="str">
        <f>IFERROR(G148/SUM(Q$2:Q148),"")</f>
        <v/>
      </c>
      <c r="M148" s="64" t="str">
        <f t="shared" si="63"/>
        <v/>
      </c>
      <c r="N148" s="55" t="str">
        <f t="shared" si="64"/>
        <v/>
      </c>
      <c r="O148" s="55" t="str">
        <f t="shared" si="65"/>
        <v/>
      </c>
      <c r="P148" s="55" t="str">
        <f t="shared" si="66"/>
        <v/>
      </c>
      <c r="Q148" s="65" t="str">
        <f t="shared" si="67"/>
        <v/>
      </c>
      <c r="R148" s="67" t="str">
        <f t="shared" si="69"/>
        <v/>
      </c>
      <c r="S148" s="56" t="str">
        <f t="shared" si="70"/>
        <v/>
      </c>
      <c r="T148" s="56" t="str">
        <f t="shared" si="71"/>
        <v/>
      </c>
      <c r="U148" s="56" t="str">
        <f t="shared" si="72"/>
        <v/>
      </c>
      <c r="V148" s="68" t="str">
        <f t="shared" si="73"/>
        <v/>
      </c>
      <c r="W148" s="80" t="str">
        <f t="shared" si="74"/>
        <v/>
      </c>
      <c r="X148" s="81" t="str">
        <f t="shared" si="75"/>
        <v/>
      </c>
      <c r="Y148" s="81" t="str">
        <f t="shared" si="76"/>
        <v/>
      </c>
      <c r="Z148" s="81" t="str">
        <f t="shared" si="77"/>
        <v/>
      </c>
      <c r="AA148" s="82" t="str">
        <f t="shared" si="78"/>
        <v/>
      </c>
      <c r="AB148" s="83" t="str">
        <f>IF(R148&lt;&gt;"",(W148-SUMPRODUCT(R$3:R148,$B$3:$B148)/SUM($B$3:$B148))/STDEVA(W138:W148),"")</f>
        <v/>
      </c>
      <c r="AC148" s="84" t="str">
        <f>IF(S148&lt;&gt;"",(X148-SUMPRODUCT(S$3:S148,$B$3:$B148)/SUM($B$3:$B148))/STDEVA(X138:X148),"")</f>
        <v/>
      </c>
      <c r="AD148" s="84" t="str">
        <f>IF(T148&lt;&gt;"",(Y148-SUMPRODUCT(T$3:T148,$B$3:$B148)/SUM($B$3:$B148))/STDEVA(Y138:Y148),"")</f>
        <v/>
      </c>
      <c r="AE148" s="84" t="str">
        <f>IF(U148&lt;&gt;"",(Z148-SUMPRODUCT(U$3:U148,$B$3:$B148)/SUM($B$3:$B148))/STDEVA(Z138:Z148),"")</f>
        <v/>
      </c>
      <c r="AF148" s="85" t="str">
        <f>IF(V148&lt;&gt;"",(AA148-SUMPRODUCT(V$3:V148,$B$3:$B148)/SUM($B$3:$B148))/STDEVA(AA138:AA148),"")</f>
        <v/>
      </c>
      <c r="AG148" s="90" t="str">
        <f t="shared" si="80"/>
        <v/>
      </c>
      <c r="AH148" s="90" t="str">
        <f t="shared" si="80"/>
        <v/>
      </c>
      <c r="AI148" s="90" t="str">
        <f t="shared" si="80"/>
        <v/>
      </c>
      <c r="AJ148" s="90" t="str">
        <f t="shared" si="79"/>
        <v/>
      </c>
      <c r="AK148" s="93" t="str">
        <f t="shared" si="79"/>
        <v/>
      </c>
      <c r="BQ148" s="100" t="str">
        <f>IF(A148&lt;&gt;"",(VLOOKUP(A148,MarketData!$D:$BP,MATCH($BQ$1,MarketData!$D$1:$EG$1,0),TRUE)/100/365+1)^(B148)*BQ147,"")</f>
        <v/>
      </c>
      <c r="BR148" s="98" t="str">
        <f t="shared" si="57"/>
        <v/>
      </c>
      <c r="BS148" s="106" t="str">
        <f>IF(A148&lt;&gt;"",VLOOKUP(A148,MarketData!$D:$BP,MATCH($BS$1,MarketData!$D$1:$EG$1,0),TRUE),"")</f>
        <v/>
      </c>
      <c r="BT148" s="98" t="str">
        <f t="shared" si="68"/>
        <v/>
      </c>
    </row>
    <row r="149" spans="2:72" x14ac:dyDescent="0.25">
      <c r="B149" s="60" t="str">
        <f t="shared" si="56"/>
        <v/>
      </c>
      <c r="C149" s="3" t="str">
        <f t="shared" si="58"/>
        <v/>
      </c>
      <c r="D149" s="3" t="str">
        <f t="shared" si="59"/>
        <v/>
      </c>
      <c r="E149" s="3" t="str">
        <f t="shared" si="60"/>
        <v/>
      </c>
      <c r="F149" s="3" t="str">
        <f t="shared" si="61"/>
        <v/>
      </c>
      <c r="G149" s="74" t="str">
        <f t="shared" si="62"/>
        <v/>
      </c>
      <c r="H149" s="78" t="str">
        <f>IFERROR(C149/SUM(M$2:M148),"")</f>
        <v/>
      </c>
      <c r="I149" s="61" t="str">
        <f>IFERROR(D149/SUM(N$2:N149),"")</f>
        <v/>
      </c>
      <c r="J149" s="61" t="str">
        <f>IFERROR(E149/SUM(O$2:O149),"")</f>
        <v/>
      </c>
      <c r="K149" s="61" t="str">
        <f>IFERROR(F149/SUM(P$2:P149),"")</f>
        <v/>
      </c>
      <c r="L149" s="79" t="str">
        <f>IFERROR(G149/SUM(Q$2:Q149),"")</f>
        <v/>
      </c>
      <c r="M149" s="64" t="str">
        <f t="shared" si="63"/>
        <v/>
      </c>
      <c r="N149" s="55" t="str">
        <f t="shared" si="64"/>
        <v/>
      </c>
      <c r="O149" s="55" t="str">
        <f t="shared" si="65"/>
        <v/>
      </c>
      <c r="P149" s="55" t="str">
        <f t="shared" si="66"/>
        <v/>
      </c>
      <c r="Q149" s="65" t="str">
        <f t="shared" si="67"/>
        <v/>
      </c>
      <c r="R149" s="67" t="str">
        <f t="shared" si="69"/>
        <v/>
      </c>
      <c r="S149" s="56" t="str">
        <f t="shared" si="70"/>
        <v/>
      </c>
      <c r="T149" s="56" t="str">
        <f t="shared" si="71"/>
        <v/>
      </c>
      <c r="U149" s="56" t="str">
        <f t="shared" si="72"/>
        <v/>
      </c>
      <c r="V149" s="68" t="str">
        <f t="shared" si="73"/>
        <v/>
      </c>
      <c r="W149" s="80" t="str">
        <f t="shared" si="74"/>
        <v/>
      </c>
      <c r="X149" s="81" t="str">
        <f t="shared" si="75"/>
        <v/>
      </c>
      <c r="Y149" s="81" t="str">
        <f t="shared" si="76"/>
        <v/>
      </c>
      <c r="Z149" s="81" t="str">
        <f t="shared" si="77"/>
        <v/>
      </c>
      <c r="AA149" s="82" t="str">
        <f t="shared" si="78"/>
        <v/>
      </c>
      <c r="AB149" s="83" t="str">
        <f>IF(R149&lt;&gt;"",(W149-SUMPRODUCT(R$3:R149,$B$3:$B149)/SUM($B$3:$B149))/STDEVA(W139:W149),"")</f>
        <v/>
      </c>
      <c r="AC149" s="84" t="str">
        <f>IF(S149&lt;&gt;"",(X149-SUMPRODUCT(S$3:S149,$B$3:$B149)/SUM($B$3:$B149))/STDEVA(X139:X149),"")</f>
        <v/>
      </c>
      <c r="AD149" s="84" t="str">
        <f>IF(T149&lt;&gt;"",(Y149-SUMPRODUCT(T$3:T149,$B$3:$B149)/SUM($B$3:$B149))/STDEVA(Y139:Y149),"")</f>
        <v/>
      </c>
      <c r="AE149" s="84" t="str">
        <f>IF(U149&lt;&gt;"",(Z149-SUMPRODUCT(U$3:U149,$B$3:$B149)/SUM($B$3:$B149))/STDEVA(Z139:Z149),"")</f>
        <v/>
      </c>
      <c r="AF149" s="85" t="str">
        <f>IF(V149&lt;&gt;"",(AA149-SUMPRODUCT(V$3:V149,$B$3:$B149)/SUM($B$3:$B149))/STDEVA(AA139:AA149),"")</f>
        <v/>
      </c>
      <c r="AG149" s="90" t="str">
        <f t="shared" si="80"/>
        <v/>
      </c>
      <c r="AH149" s="90" t="str">
        <f t="shared" si="80"/>
        <v/>
      </c>
      <c r="AI149" s="90" t="str">
        <f t="shared" si="80"/>
        <v/>
      </c>
      <c r="AJ149" s="90" t="str">
        <f t="shared" si="79"/>
        <v/>
      </c>
      <c r="AK149" s="93" t="str">
        <f t="shared" si="79"/>
        <v/>
      </c>
      <c r="BQ149" s="100" t="str">
        <f>IF(A149&lt;&gt;"",(VLOOKUP(A149,MarketData!$D:$BP,MATCH($BQ$1,MarketData!$D$1:$EG$1,0),TRUE)/100/365+1)^(B149)*BQ148,"")</f>
        <v/>
      </c>
      <c r="BR149" s="98" t="str">
        <f t="shared" si="57"/>
        <v/>
      </c>
      <c r="BS149" s="106" t="str">
        <f>IF(A149&lt;&gt;"",VLOOKUP(A149,MarketData!$D:$BP,MATCH($BS$1,MarketData!$D$1:$EG$1,0),TRUE),"")</f>
        <v/>
      </c>
      <c r="BT149" s="98" t="str">
        <f t="shared" si="68"/>
        <v/>
      </c>
    </row>
    <row r="150" spans="2:72" x14ac:dyDescent="0.25">
      <c r="B150" s="60" t="str">
        <f t="shared" si="56"/>
        <v/>
      </c>
      <c r="C150" s="3" t="str">
        <f t="shared" si="58"/>
        <v/>
      </c>
      <c r="D150" s="3" t="str">
        <f t="shared" si="59"/>
        <v/>
      </c>
      <c r="E150" s="3" t="str">
        <f t="shared" si="60"/>
        <v/>
      </c>
      <c r="F150" s="3" t="str">
        <f t="shared" si="61"/>
        <v/>
      </c>
      <c r="G150" s="74" t="str">
        <f t="shared" si="62"/>
        <v/>
      </c>
      <c r="H150" s="78" t="str">
        <f>IFERROR(C150/SUM(M$2:M149),"")</f>
        <v/>
      </c>
      <c r="I150" s="61" t="str">
        <f>IFERROR(D150/SUM(N$2:N150),"")</f>
        <v/>
      </c>
      <c r="J150" s="61" t="str">
        <f>IFERROR(E150/SUM(O$2:O150),"")</f>
        <v/>
      </c>
      <c r="K150" s="61" t="str">
        <f>IFERROR(F150/SUM(P$2:P150),"")</f>
        <v/>
      </c>
      <c r="L150" s="79" t="str">
        <f>IFERROR(G150/SUM(Q$2:Q150),"")</f>
        <v/>
      </c>
      <c r="M150" s="64" t="str">
        <f t="shared" si="63"/>
        <v/>
      </c>
      <c r="N150" s="55" t="str">
        <f t="shared" si="64"/>
        <v/>
      </c>
      <c r="O150" s="55" t="str">
        <f t="shared" si="65"/>
        <v/>
      </c>
      <c r="P150" s="55" t="str">
        <f t="shared" si="66"/>
        <v/>
      </c>
      <c r="Q150" s="65" t="str">
        <f t="shared" si="67"/>
        <v/>
      </c>
      <c r="R150" s="67" t="str">
        <f t="shared" si="69"/>
        <v/>
      </c>
      <c r="S150" s="56" t="str">
        <f t="shared" si="70"/>
        <v/>
      </c>
      <c r="T150" s="56" t="str">
        <f t="shared" si="71"/>
        <v/>
      </c>
      <c r="U150" s="56" t="str">
        <f t="shared" si="72"/>
        <v/>
      </c>
      <c r="V150" s="68" t="str">
        <f t="shared" si="73"/>
        <v/>
      </c>
      <c r="W150" s="80" t="str">
        <f t="shared" si="74"/>
        <v/>
      </c>
      <c r="X150" s="81" t="str">
        <f t="shared" si="75"/>
        <v/>
      </c>
      <c r="Y150" s="81" t="str">
        <f t="shared" si="76"/>
        <v/>
      </c>
      <c r="Z150" s="81" t="str">
        <f t="shared" si="77"/>
        <v/>
      </c>
      <c r="AA150" s="82" t="str">
        <f t="shared" si="78"/>
        <v/>
      </c>
      <c r="AB150" s="83" t="str">
        <f>IF(R150&lt;&gt;"",(W150-SUMPRODUCT(R$3:R150,$B$3:$B150)/SUM($B$3:$B150))/STDEVA(W140:W150),"")</f>
        <v/>
      </c>
      <c r="AC150" s="84" t="str">
        <f>IF(S150&lt;&gt;"",(X150-SUMPRODUCT(S$3:S150,$B$3:$B150)/SUM($B$3:$B150))/STDEVA(X140:X150),"")</f>
        <v/>
      </c>
      <c r="AD150" s="84" t="str">
        <f>IF(T150&lt;&gt;"",(Y150-SUMPRODUCT(T$3:T150,$B$3:$B150)/SUM($B$3:$B150))/STDEVA(Y140:Y150),"")</f>
        <v/>
      </c>
      <c r="AE150" s="84" t="str">
        <f>IF(U150&lt;&gt;"",(Z150-SUMPRODUCT(U$3:U150,$B$3:$B150)/SUM($B$3:$B150))/STDEVA(Z140:Z150),"")</f>
        <v/>
      </c>
      <c r="AF150" s="85" t="str">
        <f>IF(V150&lt;&gt;"",(AA150-SUMPRODUCT(V$3:V150,$B$3:$B150)/SUM($B$3:$B150))/STDEVA(AA140:AA150),"")</f>
        <v/>
      </c>
      <c r="AG150" s="90" t="str">
        <f t="shared" si="80"/>
        <v/>
      </c>
      <c r="AH150" s="90" t="str">
        <f t="shared" si="80"/>
        <v/>
      </c>
      <c r="AI150" s="90" t="str">
        <f t="shared" si="80"/>
        <v/>
      </c>
      <c r="AJ150" s="90" t="str">
        <f t="shared" si="79"/>
        <v/>
      </c>
      <c r="AK150" s="93" t="str">
        <f t="shared" si="79"/>
        <v/>
      </c>
      <c r="BQ150" s="100" t="str">
        <f>IF(A150&lt;&gt;"",(VLOOKUP(A150,MarketData!$D:$BP,MATCH($BQ$1,MarketData!$D$1:$EG$1,0),TRUE)/100/365+1)^(B150)*BQ149,"")</f>
        <v/>
      </c>
      <c r="BR150" s="98" t="str">
        <f t="shared" si="57"/>
        <v/>
      </c>
      <c r="BS150" s="106" t="str">
        <f>IF(A150&lt;&gt;"",VLOOKUP(A150,MarketData!$D:$BP,MATCH($BS$1,MarketData!$D$1:$EG$1,0),TRUE),"")</f>
        <v/>
      </c>
      <c r="BT150" s="98" t="str">
        <f t="shared" si="68"/>
        <v/>
      </c>
    </row>
    <row r="151" spans="2:72" x14ac:dyDescent="0.25">
      <c r="B151" s="60" t="str">
        <f t="shared" si="56"/>
        <v/>
      </c>
      <c r="C151" s="3" t="str">
        <f t="shared" si="58"/>
        <v/>
      </c>
      <c r="D151" s="3" t="str">
        <f t="shared" si="59"/>
        <v/>
      </c>
      <c r="E151" s="3" t="str">
        <f t="shared" si="60"/>
        <v/>
      </c>
      <c r="F151" s="3" t="str">
        <f t="shared" si="61"/>
        <v/>
      </c>
      <c r="G151" s="74" t="str">
        <f t="shared" si="62"/>
        <v/>
      </c>
      <c r="H151" s="78" t="str">
        <f>IFERROR(C151/SUM(M$2:M150),"")</f>
        <v/>
      </c>
      <c r="I151" s="61" t="str">
        <f>IFERROR(D151/SUM(N$2:N151),"")</f>
        <v/>
      </c>
      <c r="J151" s="61" t="str">
        <f>IFERROR(E151/SUM(O$2:O151),"")</f>
        <v/>
      </c>
      <c r="K151" s="61" t="str">
        <f>IFERROR(F151/SUM(P$2:P151),"")</f>
        <v/>
      </c>
      <c r="L151" s="79" t="str">
        <f>IFERROR(G151/SUM(Q$2:Q151),"")</f>
        <v/>
      </c>
      <c r="M151" s="64" t="str">
        <f t="shared" si="63"/>
        <v/>
      </c>
      <c r="N151" s="55" t="str">
        <f t="shared" si="64"/>
        <v/>
      </c>
      <c r="O151" s="55" t="str">
        <f t="shared" si="65"/>
        <v/>
      </c>
      <c r="P151" s="55" t="str">
        <f t="shared" si="66"/>
        <v/>
      </c>
      <c r="Q151" s="65" t="str">
        <f t="shared" si="67"/>
        <v/>
      </c>
      <c r="R151" s="67" t="str">
        <f t="shared" si="69"/>
        <v/>
      </c>
      <c r="S151" s="56" t="str">
        <f t="shared" si="70"/>
        <v/>
      </c>
      <c r="T151" s="56" t="str">
        <f t="shared" si="71"/>
        <v/>
      </c>
      <c r="U151" s="56" t="str">
        <f t="shared" si="72"/>
        <v/>
      </c>
      <c r="V151" s="68" t="str">
        <f t="shared" si="73"/>
        <v/>
      </c>
      <c r="W151" s="80" t="str">
        <f t="shared" si="74"/>
        <v/>
      </c>
      <c r="X151" s="81" t="str">
        <f t="shared" si="75"/>
        <v/>
      </c>
      <c r="Y151" s="81" t="str">
        <f t="shared" si="76"/>
        <v/>
      </c>
      <c r="Z151" s="81" t="str">
        <f t="shared" si="77"/>
        <v/>
      </c>
      <c r="AA151" s="82" t="str">
        <f t="shared" si="78"/>
        <v/>
      </c>
      <c r="AB151" s="83" t="str">
        <f>IF(R151&lt;&gt;"",(W151-SUMPRODUCT(R$3:R151,$B$3:$B151)/SUM($B$3:$B151))/STDEVA(W141:W151),"")</f>
        <v/>
      </c>
      <c r="AC151" s="84" t="str">
        <f>IF(S151&lt;&gt;"",(X151-SUMPRODUCT(S$3:S151,$B$3:$B151)/SUM($B$3:$B151))/STDEVA(X141:X151),"")</f>
        <v/>
      </c>
      <c r="AD151" s="84" t="str">
        <f>IF(T151&lt;&gt;"",(Y151-SUMPRODUCT(T$3:T151,$B$3:$B151)/SUM($B$3:$B151))/STDEVA(Y141:Y151),"")</f>
        <v/>
      </c>
      <c r="AE151" s="84" t="str">
        <f>IF(U151&lt;&gt;"",(Z151-SUMPRODUCT(U$3:U151,$B$3:$B151)/SUM($B$3:$B151))/STDEVA(Z141:Z151),"")</f>
        <v/>
      </c>
      <c r="AF151" s="85" t="str">
        <f>IF(V151&lt;&gt;"",(AA151-SUMPRODUCT(V$3:V151,$B$3:$B151)/SUM($B$3:$B151))/STDEVA(AA141:AA151),"")</f>
        <v/>
      </c>
      <c r="AG151" s="90" t="str">
        <f t="shared" si="80"/>
        <v/>
      </c>
      <c r="AH151" s="90" t="str">
        <f t="shared" si="80"/>
        <v/>
      </c>
      <c r="AI151" s="90" t="str">
        <f t="shared" si="80"/>
        <v/>
      </c>
      <c r="AJ151" s="90" t="str">
        <f t="shared" si="79"/>
        <v/>
      </c>
      <c r="AK151" s="93" t="str">
        <f t="shared" si="79"/>
        <v/>
      </c>
      <c r="BQ151" s="100" t="str">
        <f>IF(A151&lt;&gt;"",(VLOOKUP(A151,MarketData!$D:$BP,MATCH($BQ$1,MarketData!$D$1:$EG$1,0),TRUE)/100/365+1)^(B151)*BQ150,"")</f>
        <v/>
      </c>
      <c r="BR151" s="98" t="str">
        <f t="shared" si="57"/>
        <v/>
      </c>
      <c r="BS151" s="106" t="str">
        <f>IF(A151&lt;&gt;"",VLOOKUP(A151,MarketData!$D:$BP,MATCH($BS$1,MarketData!$D$1:$EG$1,0),TRUE),"")</f>
        <v/>
      </c>
      <c r="BT151" s="98" t="str">
        <f t="shared" si="68"/>
        <v/>
      </c>
    </row>
    <row r="152" spans="2:72" x14ac:dyDescent="0.25">
      <c r="B152" s="60" t="str">
        <f t="shared" si="56"/>
        <v/>
      </c>
      <c r="C152" s="3" t="str">
        <f t="shared" si="58"/>
        <v/>
      </c>
      <c r="D152" s="3" t="str">
        <f t="shared" si="59"/>
        <v/>
      </c>
      <c r="E152" s="3" t="str">
        <f t="shared" si="60"/>
        <v/>
      </c>
      <c r="F152" s="3" t="str">
        <f t="shared" si="61"/>
        <v/>
      </c>
      <c r="G152" s="74" t="str">
        <f t="shared" si="62"/>
        <v/>
      </c>
      <c r="H152" s="78" t="str">
        <f>IFERROR(C152/SUM(M$2:M151),"")</f>
        <v/>
      </c>
      <c r="I152" s="61" t="str">
        <f>IFERROR(D152/SUM(N$2:N152),"")</f>
        <v/>
      </c>
      <c r="J152" s="61" t="str">
        <f>IFERROR(E152/SUM(O$2:O152),"")</f>
        <v/>
      </c>
      <c r="K152" s="61" t="str">
        <f>IFERROR(F152/SUM(P$2:P152),"")</f>
        <v/>
      </c>
      <c r="L152" s="79" t="str">
        <f>IFERROR(G152/SUM(Q$2:Q152),"")</f>
        <v/>
      </c>
      <c r="M152" s="64" t="str">
        <f t="shared" si="63"/>
        <v/>
      </c>
      <c r="N152" s="55" t="str">
        <f t="shared" si="64"/>
        <v/>
      </c>
      <c r="O152" s="55" t="str">
        <f t="shared" si="65"/>
        <v/>
      </c>
      <c r="P152" s="55" t="str">
        <f t="shared" si="66"/>
        <v/>
      </c>
      <c r="Q152" s="65" t="str">
        <f t="shared" si="67"/>
        <v/>
      </c>
      <c r="R152" s="67" t="str">
        <f t="shared" si="69"/>
        <v/>
      </c>
      <c r="S152" s="56" t="str">
        <f t="shared" si="70"/>
        <v/>
      </c>
      <c r="T152" s="56" t="str">
        <f t="shared" si="71"/>
        <v/>
      </c>
      <c r="U152" s="56" t="str">
        <f t="shared" si="72"/>
        <v/>
      </c>
      <c r="V152" s="68" t="str">
        <f t="shared" si="73"/>
        <v/>
      </c>
      <c r="W152" s="80" t="str">
        <f t="shared" si="74"/>
        <v/>
      </c>
      <c r="X152" s="81" t="str">
        <f t="shared" si="75"/>
        <v/>
      </c>
      <c r="Y152" s="81" t="str">
        <f t="shared" si="76"/>
        <v/>
      </c>
      <c r="Z152" s="81" t="str">
        <f t="shared" si="77"/>
        <v/>
      </c>
      <c r="AA152" s="82" t="str">
        <f t="shared" si="78"/>
        <v/>
      </c>
      <c r="AB152" s="83" t="str">
        <f>IF(R152&lt;&gt;"",(W152-SUMPRODUCT(R$3:R152,$B$3:$B152)/SUM($B$3:$B152))/STDEVA(W142:W152),"")</f>
        <v/>
      </c>
      <c r="AC152" s="84" t="str">
        <f>IF(S152&lt;&gt;"",(X152-SUMPRODUCT(S$3:S152,$B$3:$B152)/SUM($B$3:$B152))/STDEVA(X142:X152),"")</f>
        <v/>
      </c>
      <c r="AD152" s="84" t="str">
        <f>IF(T152&lt;&gt;"",(Y152-SUMPRODUCT(T$3:T152,$B$3:$B152)/SUM($B$3:$B152))/STDEVA(Y142:Y152),"")</f>
        <v/>
      </c>
      <c r="AE152" s="84" t="str">
        <f>IF(U152&lt;&gt;"",(Z152-SUMPRODUCT(U$3:U152,$B$3:$B152)/SUM($B$3:$B152))/STDEVA(Z142:Z152),"")</f>
        <v/>
      </c>
      <c r="AF152" s="85" t="str">
        <f>IF(V152&lt;&gt;"",(AA152-SUMPRODUCT(V$3:V152,$B$3:$B152)/SUM($B$3:$B152))/STDEVA(AA142:AA152),"")</f>
        <v/>
      </c>
      <c r="AG152" s="90" t="str">
        <f t="shared" si="80"/>
        <v/>
      </c>
      <c r="AH152" s="90" t="str">
        <f t="shared" si="80"/>
        <v/>
      </c>
      <c r="AI152" s="90" t="str">
        <f t="shared" si="80"/>
        <v/>
      </c>
      <c r="AJ152" s="90" t="str">
        <f t="shared" si="79"/>
        <v/>
      </c>
      <c r="AK152" s="93" t="str">
        <f t="shared" si="79"/>
        <v/>
      </c>
      <c r="BQ152" s="100" t="str">
        <f>IF(A152&lt;&gt;"",(VLOOKUP(A152,MarketData!$D:$BP,MATCH($BQ$1,MarketData!$D$1:$EG$1,0),TRUE)/100/365+1)^(B152)*BQ151,"")</f>
        <v/>
      </c>
      <c r="BR152" s="98" t="str">
        <f t="shared" si="57"/>
        <v/>
      </c>
      <c r="BS152" s="106" t="str">
        <f>IF(A152&lt;&gt;"",VLOOKUP(A152,MarketData!$D:$BP,MATCH($BS$1,MarketData!$D$1:$EG$1,0),TRUE),"")</f>
        <v/>
      </c>
      <c r="BT152" s="98" t="str">
        <f t="shared" si="68"/>
        <v/>
      </c>
    </row>
    <row r="153" spans="2:72" x14ac:dyDescent="0.25">
      <c r="B153" s="60" t="str">
        <f t="shared" si="56"/>
        <v/>
      </c>
      <c r="C153" s="3" t="str">
        <f t="shared" si="58"/>
        <v/>
      </c>
      <c r="D153" s="3" t="str">
        <f t="shared" si="59"/>
        <v/>
      </c>
      <c r="E153" s="3" t="str">
        <f t="shared" si="60"/>
        <v/>
      </c>
      <c r="F153" s="3" t="str">
        <f t="shared" si="61"/>
        <v/>
      </c>
      <c r="G153" s="74" t="str">
        <f t="shared" si="62"/>
        <v/>
      </c>
      <c r="H153" s="78" t="str">
        <f>IFERROR(C153/SUM(M$2:M152),"")</f>
        <v/>
      </c>
      <c r="I153" s="61" t="str">
        <f>IFERROR(D153/SUM(N$2:N153),"")</f>
        <v/>
      </c>
      <c r="J153" s="61" t="str">
        <f>IFERROR(E153/SUM(O$2:O153),"")</f>
        <v/>
      </c>
      <c r="K153" s="61" t="str">
        <f>IFERROR(F153/SUM(P$2:P153),"")</f>
        <v/>
      </c>
      <c r="L153" s="79" t="str">
        <f>IFERROR(G153/SUM(Q$2:Q153),"")</f>
        <v/>
      </c>
      <c r="M153" s="64" t="str">
        <f t="shared" si="63"/>
        <v/>
      </c>
      <c r="N153" s="55" t="str">
        <f t="shared" si="64"/>
        <v/>
      </c>
      <c r="O153" s="55" t="str">
        <f t="shared" si="65"/>
        <v/>
      </c>
      <c r="P153" s="55" t="str">
        <f t="shared" si="66"/>
        <v/>
      </c>
      <c r="Q153" s="65" t="str">
        <f t="shared" si="67"/>
        <v/>
      </c>
      <c r="R153" s="67" t="str">
        <f t="shared" si="69"/>
        <v/>
      </c>
      <c r="S153" s="56" t="str">
        <f t="shared" si="70"/>
        <v/>
      </c>
      <c r="T153" s="56" t="str">
        <f t="shared" si="71"/>
        <v/>
      </c>
      <c r="U153" s="56" t="str">
        <f t="shared" si="72"/>
        <v/>
      </c>
      <c r="V153" s="68" t="str">
        <f t="shared" si="73"/>
        <v/>
      </c>
      <c r="W153" s="80" t="str">
        <f t="shared" si="74"/>
        <v/>
      </c>
      <c r="X153" s="81" t="str">
        <f t="shared" si="75"/>
        <v/>
      </c>
      <c r="Y153" s="81" t="str">
        <f t="shared" si="76"/>
        <v/>
      </c>
      <c r="Z153" s="81" t="str">
        <f t="shared" si="77"/>
        <v/>
      </c>
      <c r="AA153" s="82" t="str">
        <f t="shared" si="78"/>
        <v/>
      </c>
      <c r="AB153" s="83" t="str">
        <f>IF(R153&lt;&gt;"",(W153-SUMPRODUCT(R$3:R153,$B$3:$B153)/SUM($B$3:$B153))/STDEVA(W143:W153),"")</f>
        <v/>
      </c>
      <c r="AC153" s="84" t="str">
        <f>IF(S153&lt;&gt;"",(X153-SUMPRODUCT(S$3:S153,$B$3:$B153)/SUM($B$3:$B153))/STDEVA(X143:X153),"")</f>
        <v/>
      </c>
      <c r="AD153" s="84" t="str">
        <f>IF(T153&lt;&gt;"",(Y153-SUMPRODUCT(T$3:T153,$B$3:$B153)/SUM($B$3:$B153))/STDEVA(Y143:Y153),"")</f>
        <v/>
      </c>
      <c r="AE153" s="84" t="str">
        <f>IF(U153&lt;&gt;"",(Z153-SUMPRODUCT(U$3:U153,$B$3:$B153)/SUM($B$3:$B153))/STDEVA(Z143:Z153),"")</f>
        <v/>
      </c>
      <c r="AF153" s="85" t="str">
        <f>IF(V153&lt;&gt;"",(AA153-SUMPRODUCT(V$3:V153,$B$3:$B153)/SUM($B$3:$B153))/STDEVA(AA143:AA153),"")</f>
        <v/>
      </c>
      <c r="AG153" s="90" t="str">
        <f t="shared" si="80"/>
        <v/>
      </c>
      <c r="AH153" s="90" t="str">
        <f t="shared" si="80"/>
        <v/>
      </c>
      <c r="AI153" s="90" t="str">
        <f t="shared" si="80"/>
        <v/>
      </c>
      <c r="AJ153" s="90" t="str">
        <f t="shared" si="79"/>
        <v/>
      </c>
      <c r="AK153" s="93" t="str">
        <f t="shared" si="79"/>
        <v/>
      </c>
      <c r="BQ153" s="100" t="str">
        <f>IF(A153&lt;&gt;"",(VLOOKUP(A153,MarketData!$D:$BP,MATCH($BQ$1,MarketData!$D$1:$EG$1,0),TRUE)/100/365+1)^(B153)*BQ152,"")</f>
        <v/>
      </c>
      <c r="BR153" s="98" t="str">
        <f t="shared" si="57"/>
        <v/>
      </c>
      <c r="BS153" s="106" t="str">
        <f>IF(A153&lt;&gt;"",VLOOKUP(A153,MarketData!$D:$BP,MATCH($BS$1,MarketData!$D$1:$EG$1,0),TRUE),"")</f>
        <v/>
      </c>
      <c r="BT153" s="98" t="str">
        <f t="shared" si="68"/>
        <v/>
      </c>
    </row>
    <row r="154" spans="2:72" x14ac:dyDescent="0.25">
      <c r="B154" s="60" t="str">
        <f t="shared" si="56"/>
        <v/>
      </c>
      <c r="C154" s="3" t="str">
        <f t="shared" si="58"/>
        <v/>
      </c>
      <c r="D154" s="3" t="str">
        <f t="shared" si="59"/>
        <v/>
      </c>
      <c r="E154" s="3" t="str">
        <f t="shared" si="60"/>
        <v/>
      </c>
      <c r="F154" s="3" t="str">
        <f t="shared" si="61"/>
        <v/>
      </c>
      <c r="G154" s="74" t="str">
        <f t="shared" si="62"/>
        <v/>
      </c>
      <c r="H154" s="78" t="str">
        <f>IFERROR(C154/SUM(M$2:M153),"")</f>
        <v/>
      </c>
      <c r="I154" s="61" t="str">
        <f>IFERROR(D154/SUM(N$2:N154),"")</f>
        <v/>
      </c>
      <c r="J154" s="61" t="str">
        <f>IFERROR(E154/SUM(O$2:O154),"")</f>
        <v/>
      </c>
      <c r="K154" s="61" t="str">
        <f>IFERROR(F154/SUM(P$2:P154),"")</f>
        <v/>
      </c>
      <c r="L154" s="79" t="str">
        <f>IFERROR(G154/SUM(Q$2:Q154),"")</f>
        <v/>
      </c>
      <c r="M154" s="64" t="str">
        <f t="shared" si="63"/>
        <v/>
      </c>
      <c r="N154" s="55" t="str">
        <f t="shared" si="64"/>
        <v/>
      </c>
      <c r="O154" s="55" t="str">
        <f t="shared" si="65"/>
        <v/>
      </c>
      <c r="P154" s="55" t="str">
        <f t="shared" si="66"/>
        <v/>
      </c>
      <c r="Q154" s="65" t="str">
        <f t="shared" si="67"/>
        <v/>
      </c>
      <c r="R154" s="67" t="str">
        <f t="shared" si="69"/>
        <v/>
      </c>
      <c r="S154" s="56" t="str">
        <f t="shared" si="70"/>
        <v/>
      </c>
      <c r="T154" s="56" t="str">
        <f t="shared" si="71"/>
        <v/>
      </c>
      <c r="U154" s="56" t="str">
        <f t="shared" si="72"/>
        <v/>
      </c>
      <c r="V154" s="68" t="str">
        <f t="shared" si="73"/>
        <v/>
      </c>
      <c r="W154" s="80" t="str">
        <f t="shared" si="74"/>
        <v/>
      </c>
      <c r="X154" s="81" t="str">
        <f t="shared" si="75"/>
        <v/>
      </c>
      <c r="Y154" s="81" t="str">
        <f t="shared" si="76"/>
        <v/>
      </c>
      <c r="Z154" s="81" t="str">
        <f t="shared" si="77"/>
        <v/>
      </c>
      <c r="AA154" s="82" t="str">
        <f t="shared" si="78"/>
        <v/>
      </c>
      <c r="AB154" s="83" t="str">
        <f>IF(R154&lt;&gt;"",(W154-SUMPRODUCT(R$3:R154,$B$3:$B154)/SUM($B$3:$B154))/STDEVA(W144:W154),"")</f>
        <v/>
      </c>
      <c r="AC154" s="84" t="str">
        <f>IF(S154&lt;&gt;"",(X154-SUMPRODUCT(S$3:S154,$B$3:$B154)/SUM($B$3:$B154))/STDEVA(X144:X154),"")</f>
        <v/>
      </c>
      <c r="AD154" s="84" t="str">
        <f>IF(T154&lt;&gt;"",(Y154-SUMPRODUCT(T$3:T154,$B$3:$B154)/SUM($B$3:$B154))/STDEVA(Y144:Y154),"")</f>
        <v/>
      </c>
      <c r="AE154" s="84" t="str">
        <f>IF(U154&lt;&gt;"",(Z154-SUMPRODUCT(U$3:U154,$B$3:$B154)/SUM($B$3:$B154))/STDEVA(Z144:Z154),"")</f>
        <v/>
      </c>
      <c r="AF154" s="85" t="str">
        <f>IF(V154&lt;&gt;"",(AA154-SUMPRODUCT(V$3:V154,$B$3:$B154)/SUM($B$3:$B154))/STDEVA(AA144:AA154),"")</f>
        <v/>
      </c>
      <c r="AG154" s="90" t="str">
        <f t="shared" si="80"/>
        <v/>
      </c>
      <c r="AH154" s="90" t="str">
        <f t="shared" si="80"/>
        <v/>
      </c>
      <c r="AI154" s="90" t="str">
        <f t="shared" si="80"/>
        <v/>
      </c>
      <c r="AJ154" s="90" t="str">
        <f t="shared" si="79"/>
        <v/>
      </c>
      <c r="AK154" s="93" t="str">
        <f t="shared" si="79"/>
        <v/>
      </c>
      <c r="BQ154" s="100" t="str">
        <f>IF(A154&lt;&gt;"",(VLOOKUP(A154,MarketData!$D:$BP,MATCH($BQ$1,MarketData!$D$1:$EG$1,0),TRUE)/100/365+1)^(B154)*BQ153,"")</f>
        <v/>
      </c>
      <c r="BR154" s="98" t="str">
        <f t="shared" si="57"/>
        <v/>
      </c>
      <c r="BS154" s="106" t="str">
        <f>IF(A154&lt;&gt;"",VLOOKUP(A154,MarketData!$D:$BP,MATCH($BS$1,MarketData!$D$1:$EG$1,0),TRUE),"")</f>
        <v/>
      </c>
      <c r="BT154" s="98" t="str">
        <f t="shared" si="68"/>
        <v/>
      </c>
    </row>
    <row r="155" spans="2:72" x14ac:dyDescent="0.25">
      <c r="B155" s="60" t="str">
        <f t="shared" ref="B155:B218" si="81">IF(A155&lt;&gt;0,A155-A154,"")</f>
        <v/>
      </c>
      <c r="C155" s="3" t="str">
        <f t="shared" si="58"/>
        <v/>
      </c>
      <c r="D155" s="3" t="str">
        <f t="shared" si="59"/>
        <v/>
      </c>
      <c r="E155" s="3" t="str">
        <f t="shared" si="60"/>
        <v/>
      </c>
      <c r="F155" s="3" t="str">
        <f t="shared" si="61"/>
        <v/>
      </c>
      <c r="G155" s="74" t="str">
        <f t="shared" si="62"/>
        <v/>
      </c>
      <c r="H155" s="78" t="str">
        <f>IFERROR(C155/SUM(M$2:M154),"")</f>
        <v/>
      </c>
      <c r="I155" s="61" t="str">
        <f>IFERROR(D155/SUM(N$2:N155),"")</f>
        <v/>
      </c>
      <c r="J155" s="61" t="str">
        <f>IFERROR(E155/SUM(O$2:O155),"")</f>
        <v/>
      </c>
      <c r="K155" s="61" t="str">
        <f>IFERROR(F155/SUM(P$2:P155),"")</f>
        <v/>
      </c>
      <c r="L155" s="79" t="str">
        <f>IFERROR(G155/SUM(Q$2:Q155),"")</f>
        <v/>
      </c>
      <c r="M155" s="64" t="str">
        <f t="shared" si="63"/>
        <v/>
      </c>
      <c r="N155" s="55" t="str">
        <f t="shared" si="64"/>
        <v/>
      </c>
      <c r="O155" s="55" t="str">
        <f t="shared" si="65"/>
        <v/>
      </c>
      <c r="P155" s="55" t="str">
        <f t="shared" si="66"/>
        <v/>
      </c>
      <c r="Q155" s="65" t="str">
        <f t="shared" si="67"/>
        <v/>
      </c>
      <c r="R155" s="67" t="str">
        <f t="shared" si="69"/>
        <v/>
      </c>
      <c r="S155" s="56" t="str">
        <f t="shared" si="70"/>
        <v/>
      </c>
      <c r="T155" s="56" t="str">
        <f t="shared" si="71"/>
        <v/>
      </c>
      <c r="U155" s="56" t="str">
        <f t="shared" si="72"/>
        <v/>
      </c>
      <c r="V155" s="68" t="str">
        <f t="shared" si="73"/>
        <v/>
      </c>
      <c r="W155" s="80" t="str">
        <f t="shared" si="74"/>
        <v/>
      </c>
      <c r="X155" s="81" t="str">
        <f t="shared" si="75"/>
        <v/>
      </c>
      <c r="Y155" s="81" t="str">
        <f t="shared" si="76"/>
        <v/>
      </c>
      <c r="Z155" s="81" t="str">
        <f t="shared" si="77"/>
        <v/>
      </c>
      <c r="AA155" s="82" t="str">
        <f t="shared" si="78"/>
        <v/>
      </c>
      <c r="AB155" s="83" t="str">
        <f>IF(R155&lt;&gt;"",(W155-SUMPRODUCT(R$3:R155,$B$3:$B155)/SUM($B$3:$B155))/STDEVA(W145:W155),"")</f>
        <v/>
      </c>
      <c r="AC155" s="84" t="str">
        <f>IF(S155&lt;&gt;"",(X155-SUMPRODUCT(S$3:S155,$B$3:$B155)/SUM($B$3:$B155))/STDEVA(X145:X155),"")</f>
        <v/>
      </c>
      <c r="AD155" s="84" t="str">
        <f>IF(T155&lt;&gt;"",(Y155-SUMPRODUCT(T$3:T155,$B$3:$B155)/SUM($B$3:$B155))/STDEVA(Y145:Y155),"")</f>
        <v/>
      </c>
      <c r="AE155" s="84" t="str">
        <f>IF(U155&lt;&gt;"",(Z155-SUMPRODUCT(U$3:U155,$B$3:$B155)/SUM($B$3:$B155))/STDEVA(Z145:Z155),"")</f>
        <v/>
      </c>
      <c r="AF155" s="85" t="str">
        <f>IF(V155&lt;&gt;"",(AA155-SUMPRODUCT(V$3:V155,$B$3:$B155)/SUM($B$3:$B155))/STDEVA(AA145:AA155),"")</f>
        <v/>
      </c>
      <c r="AG155" s="90" t="str">
        <f t="shared" si="80"/>
        <v/>
      </c>
      <c r="AH155" s="90" t="str">
        <f t="shared" si="80"/>
        <v/>
      </c>
      <c r="AI155" s="90" t="str">
        <f t="shared" si="80"/>
        <v/>
      </c>
      <c r="AJ155" s="90" t="str">
        <f t="shared" si="79"/>
        <v/>
      </c>
      <c r="AK155" s="93" t="str">
        <f t="shared" si="79"/>
        <v/>
      </c>
      <c r="BQ155" s="100" t="str">
        <f>IF(A155&lt;&gt;"",(VLOOKUP(A155,MarketData!$D:$BP,MATCH($BQ$1,MarketData!$D$1:$EG$1,0),TRUE)/100/365+1)^(B155)*BQ154,"")</f>
        <v/>
      </c>
      <c r="BR155" s="98" t="str">
        <f t="shared" si="57"/>
        <v/>
      </c>
      <c r="BS155" s="106" t="str">
        <f>IF(A155&lt;&gt;"",VLOOKUP(A155,MarketData!$D:$BP,MATCH($BS$1,MarketData!$D$1:$EG$1,0),TRUE),"")</f>
        <v/>
      </c>
      <c r="BT155" s="98" t="str">
        <f t="shared" si="68"/>
        <v/>
      </c>
    </row>
    <row r="156" spans="2:72" x14ac:dyDescent="0.25">
      <c r="B156" s="60" t="str">
        <f t="shared" si="81"/>
        <v/>
      </c>
      <c r="C156" s="3" t="str">
        <f t="shared" si="58"/>
        <v/>
      </c>
      <c r="D156" s="3" t="str">
        <f t="shared" si="59"/>
        <v/>
      </c>
      <c r="E156" s="3" t="str">
        <f t="shared" si="60"/>
        <v/>
      </c>
      <c r="F156" s="3" t="str">
        <f t="shared" si="61"/>
        <v/>
      </c>
      <c r="G156" s="74" t="str">
        <f t="shared" si="62"/>
        <v/>
      </c>
      <c r="H156" s="78" t="str">
        <f>IFERROR(C156/SUM(M$2:M155),"")</f>
        <v/>
      </c>
      <c r="I156" s="61" t="str">
        <f>IFERROR(D156/SUM(N$2:N156),"")</f>
        <v/>
      </c>
      <c r="J156" s="61" t="str">
        <f>IFERROR(E156/SUM(O$2:O156),"")</f>
        <v/>
      </c>
      <c r="K156" s="61" t="str">
        <f>IFERROR(F156/SUM(P$2:P156),"")</f>
        <v/>
      </c>
      <c r="L156" s="79" t="str">
        <f>IFERROR(G156/SUM(Q$2:Q156),"")</f>
        <v/>
      </c>
      <c r="M156" s="64" t="str">
        <f t="shared" si="63"/>
        <v/>
      </c>
      <c r="N156" s="55" t="str">
        <f t="shared" si="64"/>
        <v/>
      </c>
      <c r="O156" s="55" t="str">
        <f t="shared" si="65"/>
        <v/>
      </c>
      <c r="P156" s="55" t="str">
        <f t="shared" si="66"/>
        <v/>
      </c>
      <c r="Q156" s="65" t="str">
        <f t="shared" si="67"/>
        <v/>
      </c>
      <c r="R156" s="67" t="str">
        <f t="shared" si="69"/>
        <v/>
      </c>
      <c r="S156" s="56" t="str">
        <f t="shared" si="70"/>
        <v/>
      </c>
      <c r="T156" s="56" t="str">
        <f t="shared" si="71"/>
        <v/>
      </c>
      <c r="U156" s="56" t="str">
        <f t="shared" si="72"/>
        <v/>
      </c>
      <c r="V156" s="68" t="str">
        <f t="shared" si="73"/>
        <v/>
      </c>
      <c r="W156" s="80" t="str">
        <f t="shared" si="74"/>
        <v/>
      </c>
      <c r="X156" s="81" t="str">
        <f t="shared" si="75"/>
        <v/>
      </c>
      <c r="Y156" s="81" t="str">
        <f t="shared" si="76"/>
        <v/>
      </c>
      <c r="Z156" s="81" t="str">
        <f t="shared" si="77"/>
        <v/>
      </c>
      <c r="AA156" s="82" t="str">
        <f t="shared" si="78"/>
        <v/>
      </c>
      <c r="AB156" s="83" t="str">
        <f>IF(R156&lt;&gt;"",(W156-SUMPRODUCT(R$3:R156,$B$3:$B156)/SUM($B$3:$B156))/STDEVA(W146:W156),"")</f>
        <v/>
      </c>
      <c r="AC156" s="84" t="str">
        <f>IF(S156&lt;&gt;"",(X156-SUMPRODUCT(S$3:S156,$B$3:$B156)/SUM($B$3:$B156))/STDEVA(X146:X156),"")</f>
        <v/>
      </c>
      <c r="AD156" s="84" t="str">
        <f>IF(T156&lt;&gt;"",(Y156-SUMPRODUCT(T$3:T156,$B$3:$B156)/SUM($B$3:$B156))/STDEVA(Y146:Y156),"")</f>
        <v/>
      </c>
      <c r="AE156" s="84" t="str">
        <f>IF(U156&lt;&gt;"",(Z156-SUMPRODUCT(U$3:U156,$B$3:$B156)/SUM($B$3:$B156))/STDEVA(Z146:Z156),"")</f>
        <v/>
      </c>
      <c r="AF156" s="85" t="str">
        <f>IF(V156&lt;&gt;"",(AA156-SUMPRODUCT(V$3:V156,$B$3:$B156)/SUM($B$3:$B156))/STDEVA(AA146:AA156),"")</f>
        <v/>
      </c>
      <c r="AG156" s="90" t="str">
        <f t="shared" si="80"/>
        <v/>
      </c>
      <c r="AH156" s="90" t="str">
        <f t="shared" si="80"/>
        <v/>
      </c>
      <c r="AI156" s="90" t="str">
        <f t="shared" si="80"/>
        <v/>
      </c>
      <c r="AJ156" s="90" t="str">
        <f t="shared" si="79"/>
        <v/>
      </c>
      <c r="AK156" s="93" t="str">
        <f t="shared" si="79"/>
        <v/>
      </c>
      <c r="BQ156" s="100" t="str">
        <f>IF(A156&lt;&gt;"",(VLOOKUP(A156,MarketData!$D:$BP,MATCH($BQ$1,MarketData!$D$1:$EG$1,0),TRUE)/100/365+1)^(B156)*BQ155,"")</f>
        <v/>
      </c>
      <c r="BR156" s="98" t="str">
        <f t="shared" si="57"/>
        <v/>
      </c>
      <c r="BS156" s="106" t="str">
        <f>IF(A156&lt;&gt;"",VLOOKUP(A156,MarketData!$D:$BP,MATCH($BS$1,MarketData!$D$1:$EG$1,0),TRUE),"")</f>
        <v/>
      </c>
      <c r="BT156" s="98" t="str">
        <f t="shared" si="68"/>
        <v/>
      </c>
    </row>
    <row r="157" spans="2:72" x14ac:dyDescent="0.25">
      <c r="B157" s="60" t="str">
        <f t="shared" si="81"/>
        <v/>
      </c>
      <c r="C157" s="3" t="str">
        <f t="shared" si="58"/>
        <v/>
      </c>
      <c r="D157" s="3" t="str">
        <f t="shared" si="59"/>
        <v/>
      </c>
      <c r="E157" s="3" t="str">
        <f t="shared" si="60"/>
        <v/>
      </c>
      <c r="F157" s="3" t="str">
        <f t="shared" si="61"/>
        <v/>
      </c>
      <c r="G157" s="74" t="str">
        <f t="shared" si="62"/>
        <v/>
      </c>
      <c r="H157" s="78" t="str">
        <f>IFERROR(C157/SUM(M$2:M156),"")</f>
        <v/>
      </c>
      <c r="I157" s="61" t="str">
        <f>IFERROR(D157/SUM(N$2:N157),"")</f>
        <v/>
      </c>
      <c r="J157" s="61" t="str">
        <f>IFERROR(E157/SUM(O$2:O157),"")</f>
        <v/>
      </c>
      <c r="K157" s="61" t="str">
        <f>IFERROR(F157/SUM(P$2:P157),"")</f>
        <v/>
      </c>
      <c r="L157" s="79" t="str">
        <f>IFERROR(G157/SUM(Q$2:Q157),"")</f>
        <v/>
      </c>
      <c r="M157" s="64" t="str">
        <f t="shared" si="63"/>
        <v/>
      </c>
      <c r="N157" s="55" t="str">
        <f t="shared" si="64"/>
        <v/>
      </c>
      <c r="O157" s="55" t="str">
        <f t="shared" si="65"/>
        <v/>
      </c>
      <c r="P157" s="55" t="str">
        <f t="shared" si="66"/>
        <v/>
      </c>
      <c r="Q157" s="65" t="str">
        <f t="shared" si="67"/>
        <v/>
      </c>
      <c r="R157" s="67" t="str">
        <f t="shared" si="69"/>
        <v/>
      </c>
      <c r="S157" s="56" t="str">
        <f t="shared" si="70"/>
        <v/>
      </c>
      <c r="T157" s="56" t="str">
        <f t="shared" si="71"/>
        <v/>
      </c>
      <c r="U157" s="56" t="str">
        <f t="shared" si="72"/>
        <v/>
      </c>
      <c r="V157" s="68" t="str">
        <f t="shared" si="73"/>
        <v/>
      </c>
      <c r="W157" s="80" t="str">
        <f t="shared" si="74"/>
        <v/>
      </c>
      <c r="X157" s="81" t="str">
        <f t="shared" si="75"/>
        <v/>
      </c>
      <c r="Y157" s="81" t="str">
        <f t="shared" si="76"/>
        <v/>
      </c>
      <c r="Z157" s="81" t="str">
        <f t="shared" si="77"/>
        <v/>
      </c>
      <c r="AA157" s="82" t="str">
        <f t="shared" si="78"/>
        <v/>
      </c>
      <c r="AB157" s="83" t="str">
        <f>IF(R157&lt;&gt;"",(W157-SUMPRODUCT(R$3:R157,$B$3:$B157)/SUM($B$3:$B157))/STDEVA(W147:W157),"")</f>
        <v/>
      </c>
      <c r="AC157" s="84" t="str">
        <f>IF(S157&lt;&gt;"",(X157-SUMPRODUCT(S$3:S157,$B$3:$B157)/SUM($B$3:$B157))/STDEVA(X147:X157),"")</f>
        <v/>
      </c>
      <c r="AD157" s="84" t="str">
        <f>IF(T157&lt;&gt;"",(Y157-SUMPRODUCT(T$3:T157,$B$3:$B157)/SUM($B$3:$B157))/STDEVA(Y147:Y157),"")</f>
        <v/>
      </c>
      <c r="AE157" s="84" t="str">
        <f>IF(U157&lt;&gt;"",(Z157-SUMPRODUCT(U$3:U157,$B$3:$B157)/SUM($B$3:$B157))/STDEVA(Z147:Z157),"")</f>
        <v/>
      </c>
      <c r="AF157" s="85" t="str">
        <f>IF(V157&lt;&gt;"",(AA157-SUMPRODUCT(V$3:V157,$B$3:$B157)/SUM($B$3:$B157))/STDEVA(AA147:AA157),"")</f>
        <v/>
      </c>
      <c r="AG157" s="90" t="str">
        <f t="shared" si="80"/>
        <v/>
      </c>
      <c r="AH157" s="90" t="str">
        <f t="shared" si="80"/>
        <v/>
      </c>
      <c r="AI157" s="90" t="str">
        <f t="shared" si="80"/>
        <v/>
      </c>
      <c r="AJ157" s="90" t="str">
        <f t="shared" si="79"/>
        <v/>
      </c>
      <c r="AK157" s="93" t="str">
        <f t="shared" si="79"/>
        <v/>
      </c>
      <c r="BQ157" s="100" t="str">
        <f>IF(A157&lt;&gt;"",(VLOOKUP(A157,MarketData!$D:$BP,MATCH($BQ$1,MarketData!$D$1:$EG$1,0),TRUE)/100/365+1)^(B157)*BQ156,"")</f>
        <v/>
      </c>
      <c r="BR157" s="98" t="str">
        <f t="shared" si="57"/>
        <v/>
      </c>
      <c r="BS157" s="106" t="str">
        <f>IF(A157&lt;&gt;"",VLOOKUP(A157,MarketData!$D:$BP,MATCH($BS$1,MarketData!$D$1:$EG$1,0),TRUE),"")</f>
        <v/>
      </c>
      <c r="BT157" s="98" t="str">
        <f t="shared" si="68"/>
        <v/>
      </c>
    </row>
    <row r="158" spans="2:72" x14ac:dyDescent="0.25">
      <c r="B158" s="60" t="str">
        <f t="shared" si="81"/>
        <v/>
      </c>
      <c r="C158" s="3" t="str">
        <f t="shared" si="58"/>
        <v/>
      </c>
      <c r="D158" s="3" t="str">
        <f t="shared" si="59"/>
        <v/>
      </c>
      <c r="E158" s="3" t="str">
        <f t="shared" si="60"/>
        <v/>
      </c>
      <c r="F158" s="3" t="str">
        <f t="shared" si="61"/>
        <v/>
      </c>
      <c r="G158" s="74" t="str">
        <f t="shared" si="62"/>
        <v/>
      </c>
      <c r="H158" s="78" t="str">
        <f>IFERROR(C158/SUM(M$2:M157),"")</f>
        <v/>
      </c>
      <c r="I158" s="61" t="str">
        <f>IFERROR(D158/SUM(N$2:N158),"")</f>
        <v/>
      </c>
      <c r="J158" s="61" t="str">
        <f>IFERROR(E158/SUM(O$2:O158),"")</f>
        <v/>
      </c>
      <c r="K158" s="61" t="str">
        <f>IFERROR(F158/SUM(P$2:P158),"")</f>
        <v/>
      </c>
      <c r="L158" s="79" t="str">
        <f>IFERROR(G158/SUM(Q$2:Q158),"")</f>
        <v/>
      </c>
      <c r="M158" s="64" t="str">
        <f t="shared" si="63"/>
        <v/>
      </c>
      <c r="N158" s="55" t="str">
        <f t="shared" si="64"/>
        <v/>
      </c>
      <c r="O158" s="55" t="str">
        <f t="shared" si="65"/>
        <v/>
      </c>
      <c r="P158" s="55" t="str">
        <f t="shared" si="66"/>
        <v/>
      </c>
      <c r="Q158" s="65" t="str">
        <f t="shared" si="67"/>
        <v/>
      </c>
      <c r="R158" s="67" t="str">
        <f t="shared" si="69"/>
        <v/>
      </c>
      <c r="S158" s="56" t="str">
        <f t="shared" si="70"/>
        <v/>
      </c>
      <c r="T158" s="56" t="str">
        <f t="shared" si="71"/>
        <v/>
      </c>
      <c r="U158" s="56" t="str">
        <f t="shared" si="72"/>
        <v/>
      </c>
      <c r="V158" s="68" t="str">
        <f t="shared" si="73"/>
        <v/>
      </c>
      <c r="W158" s="80" t="str">
        <f t="shared" si="74"/>
        <v/>
      </c>
      <c r="X158" s="81" t="str">
        <f t="shared" si="75"/>
        <v/>
      </c>
      <c r="Y158" s="81" t="str">
        <f t="shared" si="76"/>
        <v/>
      </c>
      <c r="Z158" s="81" t="str">
        <f t="shared" si="77"/>
        <v/>
      </c>
      <c r="AA158" s="82" t="str">
        <f t="shared" si="78"/>
        <v/>
      </c>
      <c r="AB158" s="83" t="str">
        <f>IF(R158&lt;&gt;"",(W158-SUMPRODUCT(R$3:R158,$B$3:$B158)/SUM($B$3:$B158))/STDEVA(W148:W158),"")</f>
        <v/>
      </c>
      <c r="AC158" s="84" t="str">
        <f>IF(S158&lt;&gt;"",(X158-SUMPRODUCT(S$3:S158,$B$3:$B158)/SUM($B$3:$B158))/STDEVA(X148:X158),"")</f>
        <v/>
      </c>
      <c r="AD158" s="84" t="str">
        <f>IF(T158&lt;&gt;"",(Y158-SUMPRODUCT(T$3:T158,$B$3:$B158)/SUM($B$3:$B158))/STDEVA(Y148:Y158),"")</f>
        <v/>
      </c>
      <c r="AE158" s="84" t="str">
        <f>IF(U158&lt;&gt;"",(Z158-SUMPRODUCT(U$3:U158,$B$3:$B158)/SUM($B$3:$B158))/STDEVA(Z148:Z158),"")</f>
        <v/>
      </c>
      <c r="AF158" s="85" t="str">
        <f>IF(V158&lt;&gt;"",(AA158-SUMPRODUCT(V$3:V158,$B$3:$B158)/SUM($B$3:$B158))/STDEVA(AA148:AA158),"")</f>
        <v/>
      </c>
      <c r="AG158" s="90" t="str">
        <f t="shared" si="80"/>
        <v/>
      </c>
      <c r="AH158" s="90" t="str">
        <f t="shared" si="80"/>
        <v/>
      </c>
      <c r="AI158" s="90" t="str">
        <f t="shared" si="80"/>
        <v/>
      </c>
      <c r="AJ158" s="90" t="str">
        <f t="shared" si="79"/>
        <v/>
      </c>
      <c r="AK158" s="93" t="str">
        <f t="shared" si="79"/>
        <v/>
      </c>
      <c r="BQ158" s="100" t="str">
        <f>IF(A158&lt;&gt;"",(VLOOKUP(A158,MarketData!$D:$BP,MATCH($BQ$1,MarketData!$D$1:$EG$1,0),TRUE)/100/365+1)^(B158)*BQ157,"")</f>
        <v/>
      </c>
      <c r="BR158" s="98" t="str">
        <f t="shared" si="57"/>
        <v/>
      </c>
      <c r="BS158" s="106" t="str">
        <f>IF(A158&lt;&gt;"",VLOOKUP(A158,MarketData!$D:$BP,MATCH($BS$1,MarketData!$D$1:$EG$1,0),TRUE),"")</f>
        <v/>
      </c>
      <c r="BT158" s="98" t="str">
        <f t="shared" si="68"/>
        <v/>
      </c>
    </row>
    <row r="159" spans="2:72" x14ac:dyDescent="0.25">
      <c r="B159" s="60" t="str">
        <f t="shared" si="81"/>
        <v/>
      </c>
      <c r="C159" s="3" t="str">
        <f t="shared" si="58"/>
        <v/>
      </c>
      <c r="D159" s="3" t="str">
        <f t="shared" si="59"/>
        <v/>
      </c>
      <c r="E159" s="3" t="str">
        <f t="shared" si="60"/>
        <v/>
      </c>
      <c r="F159" s="3" t="str">
        <f t="shared" si="61"/>
        <v/>
      </c>
      <c r="G159" s="74" t="str">
        <f t="shared" si="62"/>
        <v/>
      </c>
      <c r="H159" s="78" t="str">
        <f>IFERROR(C159/SUM(M$2:M158),"")</f>
        <v/>
      </c>
      <c r="I159" s="61" t="str">
        <f>IFERROR(D159/SUM(N$2:N159),"")</f>
        <v/>
      </c>
      <c r="J159" s="61" t="str">
        <f>IFERROR(E159/SUM(O$2:O159),"")</f>
        <v/>
      </c>
      <c r="K159" s="61" t="str">
        <f>IFERROR(F159/SUM(P$2:P159),"")</f>
        <v/>
      </c>
      <c r="L159" s="79" t="str">
        <f>IFERROR(G159/SUM(Q$2:Q159),"")</f>
        <v/>
      </c>
      <c r="M159" s="64" t="str">
        <f t="shared" si="63"/>
        <v/>
      </c>
      <c r="N159" s="55" t="str">
        <f t="shared" si="64"/>
        <v/>
      </c>
      <c r="O159" s="55" t="str">
        <f t="shared" si="65"/>
        <v/>
      </c>
      <c r="P159" s="55" t="str">
        <f t="shared" si="66"/>
        <v/>
      </c>
      <c r="Q159" s="65" t="str">
        <f t="shared" si="67"/>
        <v/>
      </c>
      <c r="R159" s="67" t="str">
        <f t="shared" si="69"/>
        <v/>
      </c>
      <c r="S159" s="56" t="str">
        <f t="shared" si="70"/>
        <v/>
      </c>
      <c r="T159" s="56" t="str">
        <f t="shared" si="71"/>
        <v/>
      </c>
      <c r="U159" s="56" t="str">
        <f t="shared" si="72"/>
        <v/>
      </c>
      <c r="V159" s="68" t="str">
        <f t="shared" si="73"/>
        <v/>
      </c>
      <c r="W159" s="80" t="str">
        <f t="shared" si="74"/>
        <v/>
      </c>
      <c r="X159" s="81" t="str">
        <f t="shared" si="75"/>
        <v/>
      </c>
      <c r="Y159" s="81" t="str">
        <f t="shared" si="76"/>
        <v/>
      </c>
      <c r="Z159" s="81" t="str">
        <f t="shared" si="77"/>
        <v/>
      </c>
      <c r="AA159" s="82" t="str">
        <f t="shared" si="78"/>
        <v/>
      </c>
      <c r="AB159" s="83" t="str">
        <f>IF(R159&lt;&gt;"",(W159-SUMPRODUCT(R$3:R159,$B$3:$B159)/SUM($B$3:$B159))/STDEVA(W149:W159),"")</f>
        <v/>
      </c>
      <c r="AC159" s="84" t="str">
        <f>IF(S159&lt;&gt;"",(X159-SUMPRODUCT(S$3:S159,$B$3:$B159)/SUM($B$3:$B159))/STDEVA(X149:X159),"")</f>
        <v/>
      </c>
      <c r="AD159" s="84" t="str">
        <f>IF(T159&lt;&gt;"",(Y159-SUMPRODUCT(T$3:T159,$B$3:$B159)/SUM($B$3:$B159))/STDEVA(Y149:Y159),"")</f>
        <v/>
      </c>
      <c r="AE159" s="84" t="str">
        <f>IF(U159&lt;&gt;"",(Z159-SUMPRODUCT(U$3:U159,$B$3:$B159)/SUM($B$3:$B159))/STDEVA(Z149:Z159),"")</f>
        <v/>
      </c>
      <c r="AF159" s="85" t="str">
        <f>IF(V159&lt;&gt;"",(AA159-SUMPRODUCT(V$3:V159,$B$3:$B159)/SUM($B$3:$B159))/STDEVA(AA149:AA159),"")</f>
        <v/>
      </c>
      <c r="AG159" s="90" t="str">
        <f t="shared" si="80"/>
        <v/>
      </c>
      <c r="AH159" s="90" t="str">
        <f t="shared" si="80"/>
        <v/>
      </c>
      <c r="AI159" s="90" t="str">
        <f t="shared" si="80"/>
        <v/>
      </c>
      <c r="AJ159" s="90" t="str">
        <f t="shared" si="79"/>
        <v/>
      </c>
      <c r="AK159" s="93" t="str">
        <f t="shared" si="79"/>
        <v/>
      </c>
      <c r="BQ159" s="100" t="str">
        <f>IF(A159&lt;&gt;"",(VLOOKUP(A159,MarketData!$D:$BP,MATCH($BQ$1,MarketData!$D$1:$EG$1,0),TRUE)/100/365+1)^(B159)*BQ158,"")</f>
        <v/>
      </c>
      <c r="BR159" s="98" t="str">
        <f t="shared" si="57"/>
        <v/>
      </c>
      <c r="BS159" s="106" t="str">
        <f>IF(A159&lt;&gt;"",VLOOKUP(A159,MarketData!$D:$BP,MATCH($BS$1,MarketData!$D$1:$EG$1,0),TRUE),"")</f>
        <v/>
      </c>
      <c r="BT159" s="98" t="str">
        <f t="shared" si="68"/>
        <v/>
      </c>
    </row>
    <row r="160" spans="2:72" x14ac:dyDescent="0.25">
      <c r="B160" s="60" t="str">
        <f t="shared" si="81"/>
        <v/>
      </c>
      <c r="C160" s="3" t="str">
        <f t="shared" si="58"/>
        <v/>
      </c>
      <c r="D160" s="3" t="str">
        <f t="shared" si="59"/>
        <v/>
      </c>
      <c r="E160" s="3" t="str">
        <f t="shared" si="60"/>
        <v/>
      </c>
      <c r="F160" s="3" t="str">
        <f t="shared" si="61"/>
        <v/>
      </c>
      <c r="G160" s="74" t="str">
        <f t="shared" si="62"/>
        <v/>
      </c>
      <c r="H160" s="78" t="str">
        <f>IFERROR(C160/SUM(M$2:M159),"")</f>
        <v/>
      </c>
      <c r="I160" s="61" t="str">
        <f>IFERROR(D160/SUM(N$2:N160),"")</f>
        <v/>
      </c>
      <c r="J160" s="61" t="str">
        <f>IFERROR(E160/SUM(O$2:O160),"")</f>
        <v/>
      </c>
      <c r="K160" s="61" t="str">
        <f>IFERROR(F160/SUM(P$2:P160),"")</f>
        <v/>
      </c>
      <c r="L160" s="79" t="str">
        <f>IFERROR(G160/SUM(Q$2:Q160),"")</f>
        <v/>
      </c>
      <c r="M160" s="64" t="str">
        <f t="shared" si="63"/>
        <v/>
      </c>
      <c r="N160" s="55" t="str">
        <f t="shared" si="64"/>
        <v/>
      </c>
      <c r="O160" s="55" t="str">
        <f t="shared" si="65"/>
        <v/>
      </c>
      <c r="P160" s="55" t="str">
        <f t="shared" si="66"/>
        <v/>
      </c>
      <c r="Q160" s="65" t="str">
        <f t="shared" si="67"/>
        <v/>
      </c>
      <c r="R160" s="67" t="str">
        <f t="shared" si="69"/>
        <v/>
      </c>
      <c r="S160" s="56" t="str">
        <f t="shared" si="70"/>
        <v/>
      </c>
      <c r="T160" s="56" t="str">
        <f t="shared" si="71"/>
        <v/>
      </c>
      <c r="U160" s="56" t="str">
        <f t="shared" si="72"/>
        <v/>
      </c>
      <c r="V160" s="68" t="str">
        <f t="shared" si="73"/>
        <v/>
      </c>
      <c r="W160" s="80" t="str">
        <f t="shared" si="74"/>
        <v/>
      </c>
      <c r="X160" s="81" t="str">
        <f t="shared" si="75"/>
        <v/>
      </c>
      <c r="Y160" s="81" t="str">
        <f t="shared" si="76"/>
        <v/>
      </c>
      <c r="Z160" s="81" t="str">
        <f t="shared" si="77"/>
        <v/>
      </c>
      <c r="AA160" s="82" t="str">
        <f t="shared" si="78"/>
        <v/>
      </c>
      <c r="AB160" s="83" t="str">
        <f>IF(R160&lt;&gt;"",(W160-SUMPRODUCT(R$3:R160,$B$3:$B160)/SUM($B$3:$B160))/STDEVA(W150:W160),"")</f>
        <v/>
      </c>
      <c r="AC160" s="84" t="str">
        <f>IF(S160&lt;&gt;"",(X160-SUMPRODUCT(S$3:S160,$B$3:$B160)/SUM($B$3:$B160))/STDEVA(X150:X160),"")</f>
        <v/>
      </c>
      <c r="AD160" s="84" t="str">
        <f>IF(T160&lt;&gt;"",(Y160-SUMPRODUCT(T$3:T160,$B$3:$B160)/SUM($B$3:$B160))/STDEVA(Y150:Y160),"")</f>
        <v/>
      </c>
      <c r="AE160" s="84" t="str">
        <f>IF(U160&lt;&gt;"",(Z160-SUMPRODUCT(U$3:U160,$B$3:$B160)/SUM($B$3:$B160))/STDEVA(Z150:Z160),"")</f>
        <v/>
      </c>
      <c r="AF160" s="85" t="str">
        <f>IF(V160&lt;&gt;"",(AA160-SUMPRODUCT(V$3:V160,$B$3:$B160)/SUM($B$3:$B160))/STDEVA(AA150:AA160),"")</f>
        <v/>
      </c>
      <c r="AG160" s="90" t="str">
        <f t="shared" si="80"/>
        <v/>
      </c>
      <c r="AH160" s="90" t="str">
        <f t="shared" si="80"/>
        <v/>
      </c>
      <c r="AI160" s="90" t="str">
        <f t="shared" si="80"/>
        <v/>
      </c>
      <c r="AJ160" s="90" t="str">
        <f t="shared" si="79"/>
        <v/>
      </c>
      <c r="AK160" s="93" t="str">
        <f t="shared" si="79"/>
        <v/>
      </c>
      <c r="BQ160" s="100" t="str">
        <f>IF(A160&lt;&gt;"",(VLOOKUP(A160,MarketData!$D:$BP,MATCH($BQ$1,MarketData!$D$1:$EG$1,0),TRUE)/100/365+1)^(B160)*BQ159,"")</f>
        <v/>
      </c>
      <c r="BR160" s="98" t="str">
        <f t="shared" si="57"/>
        <v/>
      </c>
      <c r="BS160" s="106" t="str">
        <f>IF(A160&lt;&gt;"",VLOOKUP(A160,MarketData!$D:$BP,MATCH($BS$1,MarketData!$D$1:$EG$1,0),TRUE),"")</f>
        <v/>
      </c>
      <c r="BT160" s="98" t="str">
        <f t="shared" si="68"/>
        <v/>
      </c>
    </row>
    <row r="161" spans="2:72" x14ac:dyDescent="0.25">
      <c r="B161" s="60" t="str">
        <f t="shared" si="81"/>
        <v/>
      </c>
      <c r="C161" s="3" t="str">
        <f t="shared" si="58"/>
        <v/>
      </c>
      <c r="D161" s="3" t="str">
        <f t="shared" si="59"/>
        <v/>
      </c>
      <c r="E161" s="3" t="str">
        <f t="shared" si="60"/>
        <v/>
      </c>
      <c r="F161" s="3" t="str">
        <f t="shared" si="61"/>
        <v/>
      </c>
      <c r="G161" s="74" t="str">
        <f t="shared" si="62"/>
        <v/>
      </c>
      <c r="H161" s="78" t="str">
        <f>IFERROR(C161/SUM(M$2:M160),"")</f>
        <v/>
      </c>
      <c r="I161" s="61" t="str">
        <f>IFERROR(D161/SUM(N$2:N161),"")</f>
        <v/>
      </c>
      <c r="J161" s="61" t="str">
        <f>IFERROR(E161/SUM(O$2:O161),"")</f>
        <v/>
      </c>
      <c r="K161" s="61" t="str">
        <f>IFERROR(F161/SUM(P$2:P161),"")</f>
        <v/>
      </c>
      <c r="L161" s="79" t="str">
        <f>IFERROR(G161/SUM(Q$2:Q161),"")</f>
        <v/>
      </c>
      <c r="M161" s="64" t="str">
        <f t="shared" si="63"/>
        <v/>
      </c>
      <c r="N161" s="55" t="str">
        <f t="shared" si="64"/>
        <v/>
      </c>
      <c r="O161" s="55" t="str">
        <f t="shared" si="65"/>
        <v/>
      </c>
      <c r="P161" s="55" t="str">
        <f t="shared" si="66"/>
        <v/>
      </c>
      <c r="Q161" s="65" t="str">
        <f t="shared" si="67"/>
        <v/>
      </c>
      <c r="R161" s="67" t="str">
        <f t="shared" si="69"/>
        <v/>
      </c>
      <c r="S161" s="56" t="str">
        <f t="shared" si="70"/>
        <v/>
      </c>
      <c r="T161" s="56" t="str">
        <f t="shared" si="71"/>
        <v/>
      </c>
      <c r="U161" s="56" t="str">
        <f t="shared" si="72"/>
        <v/>
      </c>
      <c r="V161" s="68" t="str">
        <f t="shared" si="73"/>
        <v/>
      </c>
      <c r="W161" s="80" t="str">
        <f t="shared" si="74"/>
        <v/>
      </c>
      <c r="X161" s="81" t="str">
        <f t="shared" si="75"/>
        <v/>
      </c>
      <c r="Y161" s="81" t="str">
        <f t="shared" si="76"/>
        <v/>
      </c>
      <c r="Z161" s="81" t="str">
        <f t="shared" si="77"/>
        <v/>
      </c>
      <c r="AA161" s="82" t="str">
        <f t="shared" si="78"/>
        <v/>
      </c>
      <c r="AB161" s="83" t="str">
        <f>IF(R161&lt;&gt;"",(W161-SUMPRODUCT(R$3:R161,$B$3:$B161)/SUM($B$3:$B161))/STDEVA(W151:W161),"")</f>
        <v/>
      </c>
      <c r="AC161" s="84" t="str">
        <f>IF(S161&lt;&gt;"",(X161-SUMPRODUCT(S$3:S161,$B$3:$B161)/SUM($B$3:$B161))/STDEVA(X151:X161),"")</f>
        <v/>
      </c>
      <c r="AD161" s="84" t="str">
        <f>IF(T161&lt;&gt;"",(Y161-SUMPRODUCT(T$3:T161,$B$3:$B161)/SUM($B$3:$B161))/STDEVA(Y151:Y161),"")</f>
        <v/>
      </c>
      <c r="AE161" s="84" t="str">
        <f>IF(U161&lt;&gt;"",(Z161-SUMPRODUCT(U$3:U161,$B$3:$B161)/SUM($B$3:$B161))/STDEVA(Z151:Z161),"")</f>
        <v/>
      </c>
      <c r="AF161" s="85" t="str">
        <f>IF(V161&lt;&gt;"",(AA161-SUMPRODUCT(V$3:V161,$B$3:$B161)/SUM($B$3:$B161))/STDEVA(AA151:AA161),"")</f>
        <v/>
      </c>
      <c r="AG161" s="90" t="str">
        <f t="shared" si="80"/>
        <v/>
      </c>
      <c r="AH161" s="90" t="str">
        <f t="shared" si="80"/>
        <v/>
      </c>
      <c r="AI161" s="90" t="str">
        <f t="shared" si="80"/>
        <v/>
      </c>
      <c r="AJ161" s="90" t="str">
        <f t="shared" si="79"/>
        <v/>
      </c>
      <c r="AK161" s="93" t="str">
        <f t="shared" si="79"/>
        <v/>
      </c>
      <c r="BQ161" s="100" t="str">
        <f>IF(A161&lt;&gt;"",(VLOOKUP(A161,MarketData!$D:$BP,MATCH($BQ$1,MarketData!$D$1:$EG$1,0),TRUE)/100/365+1)^(B161)*BQ160,"")</f>
        <v/>
      </c>
      <c r="BR161" s="98" t="str">
        <f t="shared" si="57"/>
        <v/>
      </c>
      <c r="BS161" s="106" t="str">
        <f>IF(A161&lt;&gt;"",VLOOKUP(A161,MarketData!$D:$BP,MATCH($BS$1,MarketData!$D$1:$EG$1,0),TRUE),"")</f>
        <v/>
      </c>
      <c r="BT161" s="98" t="str">
        <f t="shared" si="68"/>
        <v/>
      </c>
    </row>
    <row r="162" spans="2:72" x14ac:dyDescent="0.25">
      <c r="B162" s="60" t="str">
        <f t="shared" si="81"/>
        <v/>
      </c>
      <c r="C162" s="3" t="str">
        <f t="shared" si="58"/>
        <v/>
      </c>
      <c r="D162" s="3" t="str">
        <f t="shared" si="59"/>
        <v/>
      </c>
      <c r="E162" s="3" t="str">
        <f t="shared" si="60"/>
        <v/>
      </c>
      <c r="F162" s="3" t="str">
        <f t="shared" si="61"/>
        <v/>
      </c>
      <c r="G162" s="74" t="str">
        <f t="shared" si="62"/>
        <v/>
      </c>
      <c r="H162" s="78" t="str">
        <f>IFERROR(C162/SUM(M$2:M161),"")</f>
        <v/>
      </c>
      <c r="I162" s="61" t="str">
        <f>IFERROR(D162/SUM(N$2:N162),"")</f>
        <v/>
      </c>
      <c r="J162" s="61" t="str">
        <f>IFERROR(E162/SUM(O$2:O162),"")</f>
        <v/>
      </c>
      <c r="K162" s="61" t="str">
        <f>IFERROR(F162/SUM(P$2:P162),"")</f>
        <v/>
      </c>
      <c r="L162" s="79" t="str">
        <f>IFERROR(G162/SUM(Q$2:Q162),"")</f>
        <v/>
      </c>
      <c r="M162" s="64" t="str">
        <f t="shared" si="63"/>
        <v/>
      </c>
      <c r="N162" s="55" t="str">
        <f t="shared" si="64"/>
        <v/>
      </c>
      <c r="O162" s="55" t="str">
        <f t="shared" si="65"/>
        <v/>
      </c>
      <c r="P162" s="55" t="str">
        <f t="shared" si="66"/>
        <v/>
      </c>
      <c r="Q162" s="65" t="str">
        <f t="shared" si="67"/>
        <v/>
      </c>
      <c r="R162" s="67" t="str">
        <f t="shared" si="69"/>
        <v/>
      </c>
      <c r="S162" s="56" t="str">
        <f t="shared" si="70"/>
        <v/>
      </c>
      <c r="T162" s="56" t="str">
        <f t="shared" si="71"/>
        <v/>
      </c>
      <c r="U162" s="56" t="str">
        <f t="shared" si="72"/>
        <v/>
      </c>
      <c r="V162" s="68" t="str">
        <f t="shared" si="73"/>
        <v/>
      </c>
      <c r="W162" s="80" t="str">
        <f t="shared" si="74"/>
        <v/>
      </c>
      <c r="X162" s="81" t="str">
        <f t="shared" si="75"/>
        <v/>
      </c>
      <c r="Y162" s="81" t="str">
        <f t="shared" si="76"/>
        <v/>
      </c>
      <c r="Z162" s="81" t="str">
        <f t="shared" si="77"/>
        <v/>
      </c>
      <c r="AA162" s="82" t="str">
        <f t="shared" si="78"/>
        <v/>
      </c>
      <c r="AB162" s="83" t="str">
        <f>IF(R162&lt;&gt;"",(W162-SUMPRODUCT(R$3:R162,$B$3:$B162)/SUM($B$3:$B162))/STDEVA(W152:W162),"")</f>
        <v/>
      </c>
      <c r="AC162" s="84" t="str">
        <f>IF(S162&lt;&gt;"",(X162-SUMPRODUCT(S$3:S162,$B$3:$B162)/SUM($B$3:$B162))/STDEVA(X152:X162),"")</f>
        <v/>
      </c>
      <c r="AD162" s="84" t="str">
        <f>IF(T162&lt;&gt;"",(Y162-SUMPRODUCT(T$3:T162,$B$3:$B162)/SUM($B$3:$B162))/STDEVA(Y152:Y162),"")</f>
        <v/>
      </c>
      <c r="AE162" s="84" t="str">
        <f>IF(U162&lt;&gt;"",(Z162-SUMPRODUCT(U$3:U162,$B$3:$B162)/SUM($B$3:$B162))/STDEVA(Z152:Z162),"")</f>
        <v/>
      </c>
      <c r="AF162" s="85" t="str">
        <f>IF(V162&lt;&gt;"",(AA162-SUMPRODUCT(V$3:V162,$B$3:$B162)/SUM($B$3:$B162))/STDEVA(AA152:AA162),"")</f>
        <v/>
      </c>
      <c r="AG162" s="90" t="str">
        <f t="shared" si="80"/>
        <v/>
      </c>
      <c r="AH162" s="90" t="str">
        <f t="shared" si="80"/>
        <v/>
      </c>
      <c r="AI162" s="90" t="str">
        <f t="shared" si="80"/>
        <v/>
      </c>
      <c r="AJ162" s="90" t="str">
        <f t="shared" si="79"/>
        <v/>
      </c>
      <c r="AK162" s="93" t="str">
        <f t="shared" si="79"/>
        <v/>
      </c>
      <c r="BQ162" s="100" t="str">
        <f>IF(A162&lt;&gt;"",(VLOOKUP(A162,MarketData!$D:$BP,MATCH($BQ$1,MarketData!$D$1:$EG$1,0),TRUE)/100/365+1)^(B162)*BQ161,"")</f>
        <v/>
      </c>
      <c r="BR162" s="98" t="str">
        <f t="shared" si="57"/>
        <v/>
      </c>
      <c r="BS162" s="106" t="str">
        <f>IF(A162&lt;&gt;"",VLOOKUP(A162,MarketData!$D:$BP,MATCH($BS$1,MarketData!$D$1:$EG$1,0),TRUE),"")</f>
        <v/>
      </c>
      <c r="BT162" s="98" t="str">
        <f t="shared" si="68"/>
        <v/>
      </c>
    </row>
    <row r="163" spans="2:72" x14ac:dyDescent="0.25">
      <c r="B163" s="60" t="str">
        <f t="shared" si="81"/>
        <v/>
      </c>
      <c r="C163" s="3" t="str">
        <f t="shared" si="58"/>
        <v/>
      </c>
      <c r="D163" s="3" t="str">
        <f t="shared" si="59"/>
        <v/>
      </c>
      <c r="E163" s="3" t="str">
        <f t="shared" si="60"/>
        <v/>
      </c>
      <c r="F163" s="3" t="str">
        <f t="shared" si="61"/>
        <v/>
      </c>
      <c r="G163" s="74" t="str">
        <f t="shared" si="62"/>
        <v/>
      </c>
      <c r="H163" s="78" t="str">
        <f>IFERROR(C163/SUM(M$2:M162),"")</f>
        <v/>
      </c>
      <c r="I163" s="61" t="str">
        <f>IFERROR(D163/SUM(N$2:N163),"")</f>
        <v/>
      </c>
      <c r="J163" s="61" t="str">
        <f>IFERROR(E163/SUM(O$2:O163),"")</f>
        <v/>
      </c>
      <c r="K163" s="61" t="str">
        <f>IFERROR(F163/SUM(P$2:P163),"")</f>
        <v/>
      </c>
      <c r="L163" s="79" t="str">
        <f>IFERROR(G163/SUM(Q$2:Q163),"")</f>
        <v/>
      </c>
      <c r="M163" s="64" t="str">
        <f t="shared" si="63"/>
        <v/>
      </c>
      <c r="N163" s="55" t="str">
        <f t="shared" si="64"/>
        <v/>
      </c>
      <c r="O163" s="55" t="str">
        <f t="shared" si="65"/>
        <v/>
      </c>
      <c r="P163" s="55" t="str">
        <f t="shared" si="66"/>
        <v/>
      </c>
      <c r="Q163" s="65" t="str">
        <f t="shared" si="67"/>
        <v/>
      </c>
      <c r="R163" s="67" t="str">
        <f t="shared" si="69"/>
        <v/>
      </c>
      <c r="S163" s="56" t="str">
        <f t="shared" si="70"/>
        <v/>
      </c>
      <c r="T163" s="56" t="str">
        <f t="shared" si="71"/>
        <v/>
      </c>
      <c r="U163" s="56" t="str">
        <f t="shared" si="72"/>
        <v/>
      </c>
      <c r="V163" s="68" t="str">
        <f t="shared" si="73"/>
        <v/>
      </c>
      <c r="W163" s="80" t="str">
        <f t="shared" si="74"/>
        <v/>
      </c>
      <c r="X163" s="81" t="str">
        <f t="shared" si="75"/>
        <v/>
      </c>
      <c r="Y163" s="81" t="str">
        <f t="shared" si="76"/>
        <v/>
      </c>
      <c r="Z163" s="81" t="str">
        <f t="shared" si="77"/>
        <v/>
      </c>
      <c r="AA163" s="82" t="str">
        <f t="shared" si="78"/>
        <v/>
      </c>
      <c r="AB163" s="83" t="str">
        <f>IF(R163&lt;&gt;"",(W163-SUMPRODUCT(R$3:R163,$B$3:$B163)/SUM($B$3:$B163))/STDEVA(W153:W163),"")</f>
        <v/>
      </c>
      <c r="AC163" s="84" t="str">
        <f>IF(S163&lt;&gt;"",(X163-SUMPRODUCT(S$3:S163,$B$3:$B163)/SUM($B$3:$B163))/STDEVA(X153:X163),"")</f>
        <v/>
      </c>
      <c r="AD163" s="84" t="str">
        <f>IF(T163&lt;&gt;"",(Y163-SUMPRODUCT(T$3:T163,$B$3:$B163)/SUM($B$3:$B163))/STDEVA(Y153:Y163),"")</f>
        <v/>
      </c>
      <c r="AE163" s="84" t="str">
        <f>IF(U163&lt;&gt;"",(Z163-SUMPRODUCT(U$3:U163,$B$3:$B163)/SUM($B$3:$B163))/STDEVA(Z153:Z163),"")</f>
        <v/>
      </c>
      <c r="AF163" s="85" t="str">
        <f>IF(V163&lt;&gt;"",(AA163-SUMPRODUCT(V$3:V163,$B$3:$B163)/SUM($B$3:$B163))/STDEVA(AA153:AA163),"")</f>
        <v/>
      </c>
      <c r="AG163" s="90" t="str">
        <f t="shared" si="80"/>
        <v/>
      </c>
      <c r="AH163" s="90" t="str">
        <f t="shared" si="80"/>
        <v/>
      </c>
      <c r="AI163" s="90" t="str">
        <f t="shared" si="80"/>
        <v/>
      </c>
      <c r="AJ163" s="90" t="str">
        <f t="shared" si="79"/>
        <v/>
      </c>
      <c r="AK163" s="93" t="str">
        <f t="shared" si="79"/>
        <v/>
      </c>
      <c r="BQ163" s="100" t="str">
        <f>IF(A163&lt;&gt;"",(VLOOKUP(A163,MarketData!$D:$BP,MATCH($BQ$1,MarketData!$D$1:$EG$1,0),TRUE)/100/365+1)^(B163)*BQ162,"")</f>
        <v/>
      </c>
      <c r="BR163" s="98" t="str">
        <f t="shared" si="57"/>
        <v/>
      </c>
      <c r="BS163" s="106" t="str">
        <f>IF(A163&lt;&gt;"",VLOOKUP(A163,MarketData!$D:$BP,MATCH($BS$1,MarketData!$D$1:$EG$1,0),TRUE),"")</f>
        <v/>
      </c>
      <c r="BT163" s="98" t="str">
        <f t="shared" si="68"/>
        <v/>
      </c>
    </row>
    <row r="164" spans="2:72" x14ac:dyDescent="0.25">
      <c r="B164" s="60" t="str">
        <f t="shared" si="81"/>
        <v/>
      </c>
      <c r="C164" s="3" t="str">
        <f t="shared" si="58"/>
        <v/>
      </c>
      <c r="D164" s="3" t="str">
        <f t="shared" si="59"/>
        <v/>
      </c>
      <c r="E164" s="3" t="str">
        <f t="shared" si="60"/>
        <v/>
      </c>
      <c r="F164" s="3" t="str">
        <f t="shared" si="61"/>
        <v/>
      </c>
      <c r="G164" s="74" t="str">
        <f t="shared" si="62"/>
        <v/>
      </c>
      <c r="H164" s="78" t="str">
        <f>IFERROR(C164/SUM(M$2:M163),"")</f>
        <v/>
      </c>
      <c r="I164" s="61" t="str">
        <f>IFERROR(D164/SUM(N$2:N164),"")</f>
        <v/>
      </c>
      <c r="J164" s="61" t="str">
        <f>IFERROR(E164/SUM(O$2:O164),"")</f>
        <v/>
      </c>
      <c r="K164" s="61" t="str">
        <f>IFERROR(F164/SUM(P$2:P164),"")</f>
        <v/>
      </c>
      <c r="L164" s="79" t="str">
        <f>IFERROR(G164/SUM(Q$2:Q164),"")</f>
        <v/>
      </c>
      <c r="M164" s="64" t="str">
        <f t="shared" si="63"/>
        <v/>
      </c>
      <c r="N164" s="55" t="str">
        <f t="shared" si="64"/>
        <v/>
      </c>
      <c r="O164" s="55" t="str">
        <f t="shared" si="65"/>
        <v/>
      </c>
      <c r="P164" s="55" t="str">
        <f t="shared" si="66"/>
        <v/>
      </c>
      <c r="Q164" s="65" t="str">
        <f t="shared" si="67"/>
        <v/>
      </c>
      <c r="R164" s="67" t="str">
        <f t="shared" si="69"/>
        <v/>
      </c>
      <c r="S164" s="56" t="str">
        <f t="shared" si="70"/>
        <v/>
      </c>
      <c r="T164" s="56" t="str">
        <f t="shared" si="71"/>
        <v/>
      </c>
      <c r="U164" s="56" t="str">
        <f t="shared" si="72"/>
        <v/>
      </c>
      <c r="V164" s="68" t="str">
        <f t="shared" si="73"/>
        <v/>
      </c>
      <c r="W164" s="80" t="str">
        <f t="shared" si="74"/>
        <v/>
      </c>
      <c r="X164" s="81" t="str">
        <f t="shared" si="75"/>
        <v/>
      </c>
      <c r="Y164" s="81" t="str">
        <f t="shared" si="76"/>
        <v/>
      </c>
      <c r="Z164" s="81" t="str">
        <f t="shared" si="77"/>
        <v/>
      </c>
      <c r="AA164" s="82" t="str">
        <f t="shared" si="78"/>
        <v/>
      </c>
      <c r="AB164" s="83" t="str">
        <f>IF(R164&lt;&gt;"",(W164-SUMPRODUCT(R$3:R164,$B$3:$B164)/SUM($B$3:$B164))/STDEVA(W154:W164),"")</f>
        <v/>
      </c>
      <c r="AC164" s="84" t="str">
        <f>IF(S164&lt;&gt;"",(X164-SUMPRODUCT(S$3:S164,$B$3:$B164)/SUM($B$3:$B164))/STDEVA(X154:X164),"")</f>
        <v/>
      </c>
      <c r="AD164" s="84" t="str">
        <f>IF(T164&lt;&gt;"",(Y164-SUMPRODUCT(T$3:T164,$B$3:$B164)/SUM($B$3:$B164))/STDEVA(Y154:Y164),"")</f>
        <v/>
      </c>
      <c r="AE164" s="84" t="str">
        <f>IF(U164&lt;&gt;"",(Z164-SUMPRODUCT(U$3:U164,$B$3:$B164)/SUM($B$3:$B164))/STDEVA(Z154:Z164),"")</f>
        <v/>
      </c>
      <c r="AF164" s="85" t="str">
        <f>IF(V164&lt;&gt;"",(AA164-SUMPRODUCT(V$3:V164,$B$3:$B164)/SUM($B$3:$B164))/STDEVA(AA154:AA164),"")</f>
        <v/>
      </c>
      <c r="AG164" s="90" t="str">
        <f t="shared" si="80"/>
        <v/>
      </c>
      <c r="AH164" s="90" t="str">
        <f t="shared" si="80"/>
        <v/>
      </c>
      <c r="AI164" s="90" t="str">
        <f t="shared" si="80"/>
        <v/>
      </c>
      <c r="AJ164" s="90" t="str">
        <f t="shared" si="79"/>
        <v/>
      </c>
      <c r="AK164" s="93" t="str">
        <f t="shared" si="79"/>
        <v/>
      </c>
      <c r="BQ164" s="100" t="str">
        <f>IF(A164&lt;&gt;"",(VLOOKUP(A164,MarketData!$D:$BP,MATCH($BQ$1,MarketData!$D$1:$EG$1,0),TRUE)/100/365+1)^(B164)*BQ163,"")</f>
        <v/>
      </c>
      <c r="BR164" s="98" t="str">
        <f t="shared" si="57"/>
        <v/>
      </c>
      <c r="BS164" s="106" t="str">
        <f>IF(A164&lt;&gt;"",VLOOKUP(A164,MarketData!$D:$BP,MATCH($BS$1,MarketData!$D$1:$EG$1,0),TRUE),"")</f>
        <v/>
      </c>
      <c r="BT164" s="98" t="str">
        <f t="shared" si="68"/>
        <v/>
      </c>
    </row>
    <row r="165" spans="2:72" x14ac:dyDescent="0.25">
      <c r="B165" s="60" t="str">
        <f t="shared" si="81"/>
        <v/>
      </c>
      <c r="C165" s="3" t="str">
        <f t="shared" si="58"/>
        <v/>
      </c>
      <c r="D165" s="3" t="str">
        <f t="shared" si="59"/>
        <v/>
      </c>
      <c r="E165" s="3" t="str">
        <f t="shared" si="60"/>
        <v/>
      </c>
      <c r="F165" s="3" t="str">
        <f t="shared" si="61"/>
        <v/>
      </c>
      <c r="G165" s="74" t="str">
        <f t="shared" si="62"/>
        <v/>
      </c>
      <c r="H165" s="78" t="str">
        <f>IFERROR(C165/SUM(M$2:M164),"")</f>
        <v/>
      </c>
      <c r="I165" s="61" t="str">
        <f>IFERROR(D165/SUM(N$2:N165),"")</f>
        <v/>
      </c>
      <c r="J165" s="61" t="str">
        <f>IFERROR(E165/SUM(O$2:O165),"")</f>
        <v/>
      </c>
      <c r="K165" s="61" t="str">
        <f>IFERROR(F165/SUM(P$2:P165),"")</f>
        <v/>
      </c>
      <c r="L165" s="79" t="str">
        <f>IFERROR(G165/SUM(Q$2:Q165),"")</f>
        <v/>
      </c>
      <c r="M165" s="64" t="str">
        <f t="shared" si="63"/>
        <v/>
      </c>
      <c r="N165" s="55" t="str">
        <f t="shared" si="64"/>
        <v/>
      </c>
      <c r="O165" s="55" t="str">
        <f t="shared" si="65"/>
        <v/>
      </c>
      <c r="P165" s="55" t="str">
        <f t="shared" si="66"/>
        <v/>
      </c>
      <c r="Q165" s="65" t="str">
        <f t="shared" si="67"/>
        <v/>
      </c>
      <c r="R165" s="67" t="str">
        <f t="shared" si="69"/>
        <v/>
      </c>
      <c r="S165" s="56" t="str">
        <f t="shared" si="70"/>
        <v/>
      </c>
      <c r="T165" s="56" t="str">
        <f t="shared" si="71"/>
        <v/>
      </c>
      <c r="U165" s="56" t="str">
        <f t="shared" si="72"/>
        <v/>
      </c>
      <c r="V165" s="68" t="str">
        <f t="shared" si="73"/>
        <v/>
      </c>
      <c r="W165" s="80" t="str">
        <f t="shared" si="74"/>
        <v/>
      </c>
      <c r="X165" s="81" t="str">
        <f t="shared" si="75"/>
        <v/>
      </c>
      <c r="Y165" s="81" t="str">
        <f t="shared" si="76"/>
        <v/>
      </c>
      <c r="Z165" s="81" t="str">
        <f t="shared" si="77"/>
        <v/>
      </c>
      <c r="AA165" s="82" t="str">
        <f t="shared" si="78"/>
        <v/>
      </c>
      <c r="AB165" s="83" t="str">
        <f>IF(R165&lt;&gt;"",(W165-SUMPRODUCT(R$3:R165,$B$3:$B165)/SUM($B$3:$B165))/STDEVA(W155:W165),"")</f>
        <v/>
      </c>
      <c r="AC165" s="84" t="str">
        <f>IF(S165&lt;&gt;"",(X165-SUMPRODUCT(S$3:S165,$B$3:$B165)/SUM($B$3:$B165))/STDEVA(X155:X165),"")</f>
        <v/>
      </c>
      <c r="AD165" s="84" t="str">
        <f>IF(T165&lt;&gt;"",(Y165-SUMPRODUCT(T$3:T165,$B$3:$B165)/SUM($B$3:$B165))/STDEVA(Y155:Y165),"")</f>
        <v/>
      </c>
      <c r="AE165" s="84" t="str">
        <f>IF(U165&lt;&gt;"",(Z165-SUMPRODUCT(U$3:U165,$B$3:$B165)/SUM($B$3:$B165))/STDEVA(Z155:Z165),"")</f>
        <v/>
      </c>
      <c r="AF165" s="85" t="str">
        <f>IF(V165&lt;&gt;"",(AA165-SUMPRODUCT(V$3:V165,$B$3:$B165)/SUM($B$3:$B165))/STDEVA(AA155:AA165),"")</f>
        <v/>
      </c>
      <c r="AG165" s="90" t="str">
        <f t="shared" si="80"/>
        <v/>
      </c>
      <c r="AH165" s="90" t="str">
        <f t="shared" si="80"/>
        <v/>
      </c>
      <c r="AI165" s="90" t="str">
        <f t="shared" si="80"/>
        <v/>
      </c>
      <c r="AJ165" s="90" t="str">
        <f t="shared" si="79"/>
        <v/>
      </c>
      <c r="AK165" s="93" t="str">
        <f t="shared" si="79"/>
        <v/>
      </c>
      <c r="BQ165" s="100" t="str">
        <f>IF(A165&lt;&gt;"",(VLOOKUP(A165,MarketData!$D:$BP,MATCH($BQ$1,MarketData!$D$1:$EG$1,0),TRUE)/100/365+1)^(B165)*BQ164,"")</f>
        <v/>
      </c>
      <c r="BR165" s="98" t="str">
        <f t="shared" si="57"/>
        <v/>
      </c>
      <c r="BS165" s="106" t="str">
        <f>IF(A165&lt;&gt;"",VLOOKUP(A165,MarketData!$D:$BP,MATCH($BS$1,MarketData!$D$1:$EG$1,0),TRUE),"")</f>
        <v/>
      </c>
      <c r="BT165" s="98" t="str">
        <f t="shared" si="68"/>
        <v/>
      </c>
    </row>
    <row r="166" spans="2:72" x14ac:dyDescent="0.25">
      <c r="B166" s="60" t="str">
        <f t="shared" si="81"/>
        <v/>
      </c>
      <c r="C166" s="3" t="str">
        <f t="shared" si="58"/>
        <v/>
      </c>
      <c r="D166" s="3" t="str">
        <f t="shared" si="59"/>
        <v/>
      </c>
      <c r="E166" s="3" t="str">
        <f t="shared" si="60"/>
        <v/>
      </c>
      <c r="F166" s="3" t="str">
        <f t="shared" si="61"/>
        <v/>
      </c>
      <c r="G166" s="74" t="str">
        <f t="shared" si="62"/>
        <v/>
      </c>
      <c r="H166" s="78" t="str">
        <f>IFERROR(C166/SUM(M$2:M165),"")</f>
        <v/>
      </c>
      <c r="I166" s="61" t="str">
        <f>IFERROR(D166/SUM(N$2:N166),"")</f>
        <v/>
      </c>
      <c r="J166" s="61" t="str">
        <f>IFERROR(E166/SUM(O$2:O166),"")</f>
        <v/>
      </c>
      <c r="K166" s="61" t="str">
        <f>IFERROR(F166/SUM(P$2:P166),"")</f>
        <v/>
      </c>
      <c r="L166" s="79" t="str">
        <f>IFERROR(G166/SUM(Q$2:Q166),"")</f>
        <v/>
      </c>
      <c r="M166" s="64" t="str">
        <f t="shared" si="63"/>
        <v/>
      </c>
      <c r="N166" s="55" t="str">
        <f t="shared" si="64"/>
        <v/>
      </c>
      <c r="O166" s="55" t="str">
        <f t="shared" si="65"/>
        <v/>
      </c>
      <c r="P166" s="55" t="str">
        <f t="shared" si="66"/>
        <v/>
      </c>
      <c r="Q166" s="65" t="str">
        <f t="shared" si="67"/>
        <v/>
      </c>
      <c r="R166" s="67" t="str">
        <f t="shared" si="69"/>
        <v/>
      </c>
      <c r="S166" s="56" t="str">
        <f t="shared" si="70"/>
        <v/>
      </c>
      <c r="T166" s="56" t="str">
        <f t="shared" si="71"/>
        <v/>
      </c>
      <c r="U166" s="56" t="str">
        <f t="shared" si="72"/>
        <v/>
      </c>
      <c r="V166" s="68" t="str">
        <f t="shared" si="73"/>
        <v/>
      </c>
      <c r="W166" s="80" t="str">
        <f t="shared" si="74"/>
        <v/>
      </c>
      <c r="X166" s="81" t="str">
        <f t="shared" si="75"/>
        <v/>
      </c>
      <c r="Y166" s="81" t="str">
        <f t="shared" si="76"/>
        <v/>
      </c>
      <c r="Z166" s="81" t="str">
        <f t="shared" si="77"/>
        <v/>
      </c>
      <c r="AA166" s="82" t="str">
        <f t="shared" si="78"/>
        <v/>
      </c>
      <c r="AB166" s="83" t="str">
        <f>IF(R166&lt;&gt;"",(W166-SUMPRODUCT(R$3:R166,$B$3:$B166)/SUM($B$3:$B166))/STDEVA(W156:W166),"")</f>
        <v/>
      </c>
      <c r="AC166" s="84" t="str">
        <f>IF(S166&lt;&gt;"",(X166-SUMPRODUCT(S$3:S166,$B$3:$B166)/SUM($B$3:$B166))/STDEVA(X156:X166),"")</f>
        <v/>
      </c>
      <c r="AD166" s="84" t="str">
        <f>IF(T166&lt;&gt;"",(Y166-SUMPRODUCT(T$3:T166,$B$3:$B166)/SUM($B$3:$B166))/STDEVA(Y156:Y166),"")</f>
        <v/>
      </c>
      <c r="AE166" s="84" t="str">
        <f>IF(U166&lt;&gt;"",(Z166-SUMPRODUCT(U$3:U166,$B$3:$B166)/SUM($B$3:$B166))/STDEVA(Z156:Z166),"")</f>
        <v/>
      </c>
      <c r="AF166" s="85" t="str">
        <f>IF(V166&lt;&gt;"",(AA166-SUMPRODUCT(V$3:V166,$B$3:$B166)/SUM($B$3:$B166))/STDEVA(AA156:AA166),"")</f>
        <v/>
      </c>
      <c r="AG166" s="90" t="str">
        <f t="shared" si="80"/>
        <v/>
      </c>
      <c r="AH166" s="90" t="str">
        <f t="shared" si="80"/>
        <v/>
      </c>
      <c r="AI166" s="90" t="str">
        <f t="shared" si="80"/>
        <v/>
      </c>
      <c r="AJ166" s="90" t="str">
        <f t="shared" si="79"/>
        <v/>
      </c>
      <c r="AK166" s="93" t="str">
        <f t="shared" si="79"/>
        <v/>
      </c>
      <c r="BQ166" s="100" t="str">
        <f>IF(A166&lt;&gt;"",(VLOOKUP(A166,MarketData!$D:$BP,MATCH($BQ$1,MarketData!$D$1:$EG$1,0),TRUE)/100/365+1)^(B166)*BQ165,"")</f>
        <v/>
      </c>
      <c r="BR166" s="98" t="str">
        <f t="shared" si="57"/>
        <v/>
      </c>
      <c r="BS166" s="106" t="str">
        <f>IF(A166&lt;&gt;"",VLOOKUP(A166,MarketData!$D:$BP,MATCH($BS$1,MarketData!$D$1:$EG$1,0),TRUE),"")</f>
        <v/>
      </c>
      <c r="BT166" s="98" t="str">
        <f t="shared" si="68"/>
        <v/>
      </c>
    </row>
    <row r="167" spans="2:72" x14ac:dyDescent="0.25">
      <c r="B167" s="60" t="str">
        <f t="shared" si="81"/>
        <v/>
      </c>
      <c r="C167" s="3" t="str">
        <f t="shared" si="58"/>
        <v/>
      </c>
      <c r="D167" s="3" t="str">
        <f t="shared" si="59"/>
        <v/>
      </c>
      <c r="E167" s="3" t="str">
        <f t="shared" si="60"/>
        <v/>
      </c>
      <c r="F167" s="3" t="str">
        <f t="shared" si="61"/>
        <v/>
      </c>
      <c r="G167" s="74" t="str">
        <f t="shared" si="62"/>
        <v/>
      </c>
      <c r="H167" s="78" t="str">
        <f>IFERROR(C167/SUM(M$2:M166),"")</f>
        <v/>
      </c>
      <c r="I167" s="61" t="str">
        <f>IFERROR(D167/SUM(N$2:N167),"")</f>
        <v/>
      </c>
      <c r="J167" s="61" t="str">
        <f>IFERROR(E167/SUM(O$2:O167),"")</f>
        <v/>
      </c>
      <c r="K167" s="61" t="str">
        <f>IFERROR(F167/SUM(P$2:P167),"")</f>
        <v/>
      </c>
      <c r="L167" s="79" t="str">
        <f>IFERROR(G167/SUM(Q$2:Q167),"")</f>
        <v/>
      </c>
      <c r="M167" s="64" t="str">
        <f t="shared" si="63"/>
        <v/>
      </c>
      <c r="N167" s="55" t="str">
        <f t="shared" si="64"/>
        <v/>
      </c>
      <c r="O167" s="55" t="str">
        <f t="shared" si="65"/>
        <v/>
      </c>
      <c r="P167" s="55" t="str">
        <f t="shared" si="66"/>
        <v/>
      </c>
      <c r="Q167" s="65" t="str">
        <f t="shared" si="67"/>
        <v/>
      </c>
      <c r="R167" s="67" t="str">
        <f t="shared" si="69"/>
        <v/>
      </c>
      <c r="S167" s="56" t="str">
        <f t="shared" si="70"/>
        <v/>
      </c>
      <c r="T167" s="56" t="str">
        <f t="shared" si="71"/>
        <v/>
      </c>
      <c r="U167" s="56" t="str">
        <f t="shared" si="72"/>
        <v/>
      </c>
      <c r="V167" s="68" t="str">
        <f t="shared" si="73"/>
        <v/>
      </c>
      <c r="W167" s="80" t="str">
        <f t="shared" si="74"/>
        <v/>
      </c>
      <c r="X167" s="81" t="str">
        <f t="shared" si="75"/>
        <v/>
      </c>
      <c r="Y167" s="81" t="str">
        <f t="shared" si="76"/>
        <v/>
      </c>
      <c r="Z167" s="81" t="str">
        <f t="shared" si="77"/>
        <v/>
      </c>
      <c r="AA167" s="82" t="str">
        <f t="shared" si="78"/>
        <v/>
      </c>
      <c r="AB167" s="83" t="str">
        <f>IF(R167&lt;&gt;"",(W167-SUMPRODUCT(R$3:R167,$B$3:$B167)/SUM($B$3:$B167))/STDEVA(W157:W167),"")</f>
        <v/>
      </c>
      <c r="AC167" s="84" t="str">
        <f>IF(S167&lt;&gt;"",(X167-SUMPRODUCT(S$3:S167,$B$3:$B167)/SUM($B$3:$B167))/STDEVA(X157:X167),"")</f>
        <v/>
      </c>
      <c r="AD167" s="84" t="str">
        <f>IF(T167&lt;&gt;"",(Y167-SUMPRODUCT(T$3:T167,$B$3:$B167)/SUM($B$3:$B167))/STDEVA(Y157:Y167),"")</f>
        <v/>
      </c>
      <c r="AE167" s="84" t="str">
        <f>IF(U167&lt;&gt;"",(Z167-SUMPRODUCT(U$3:U167,$B$3:$B167)/SUM($B$3:$B167))/STDEVA(Z157:Z167),"")</f>
        <v/>
      </c>
      <c r="AF167" s="85" t="str">
        <f>IF(V167&lt;&gt;"",(AA167-SUMPRODUCT(V$3:V167,$B$3:$B167)/SUM($B$3:$B167))/STDEVA(AA157:AA167),"")</f>
        <v/>
      </c>
      <c r="AG167" s="90" t="str">
        <f t="shared" si="80"/>
        <v/>
      </c>
      <c r="AH167" s="90" t="str">
        <f t="shared" si="80"/>
        <v/>
      </c>
      <c r="AI167" s="90" t="str">
        <f t="shared" si="80"/>
        <v/>
      </c>
      <c r="AJ167" s="90" t="str">
        <f t="shared" si="79"/>
        <v/>
      </c>
      <c r="AK167" s="93" t="str">
        <f t="shared" si="79"/>
        <v/>
      </c>
      <c r="BQ167" s="100" t="str">
        <f>IF(A167&lt;&gt;"",(VLOOKUP(A167,MarketData!$D:$BP,MATCH($BQ$1,MarketData!$D$1:$EG$1,0),TRUE)/100/365+1)^(B167)*BQ166,"")</f>
        <v/>
      </c>
      <c r="BR167" s="98" t="str">
        <f t="shared" si="57"/>
        <v/>
      </c>
      <c r="BS167" s="106" t="str">
        <f>IF(A167&lt;&gt;"",VLOOKUP(A167,MarketData!$D:$BP,MATCH($BS$1,MarketData!$D$1:$EG$1,0),TRUE),"")</f>
        <v/>
      </c>
      <c r="BT167" s="98" t="str">
        <f t="shared" si="68"/>
        <v/>
      </c>
    </row>
    <row r="168" spans="2:72" x14ac:dyDescent="0.25">
      <c r="B168" s="60" t="str">
        <f t="shared" si="81"/>
        <v/>
      </c>
      <c r="C168" s="3" t="str">
        <f t="shared" si="58"/>
        <v/>
      </c>
      <c r="D168" s="3" t="str">
        <f t="shared" si="59"/>
        <v/>
      </c>
      <c r="E168" s="3" t="str">
        <f t="shared" si="60"/>
        <v/>
      </c>
      <c r="F168" s="3" t="str">
        <f t="shared" si="61"/>
        <v/>
      </c>
      <c r="G168" s="74" t="str">
        <f t="shared" si="62"/>
        <v/>
      </c>
      <c r="H168" s="78" t="str">
        <f>IFERROR(C168/SUM(M$2:M167),"")</f>
        <v/>
      </c>
      <c r="I168" s="61" t="str">
        <f>IFERROR(D168/SUM(N$2:N168),"")</f>
        <v/>
      </c>
      <c r="J168" s="61" t="str">
        <f>IFERROR(E168/SUM(O$2:O168),"")</f>
        <v/>
      </c>
      <c r="K168" s="61" t="str">
        <f>IFERROR(F168/SUM(P$2:P168),"")</f>
        <v/>
      </c>
      <c r="L168" s="79" t="str">
        <f>IFERROR(G168/SUM(Q$2:Q168),"")</f>
        <v/>
      </c>
      <c r="M168" s="64" t="str">
        <f t="shared" si="63"/>
        <v/>
      </c>
      <c r="N168" s="55" t="str">
        <f t="shared" si="64"/>
        <v/>
      </c>
      <c r="O168" s="55" t="str">
        <f t="shared" si="65"/>
        <v/>
      </c>
      <c r="P168" s="55" t="str">
        <f t="shared" si="66"/>
        <v/>
      </c>
      <c r="Q168" s="65" t="str">
        <f t="shared" si="67"/>
        <v/>
      </c>
      <c r="R168" s="67" t="str">
        <f t="shared" si="69"/>
        <v/>
      </c>
      <c r="S168" s="56" t="str">
        <f t="shared" si="70"/>
        <v/>
      </c>
      <c r="T168" s="56" t="str">
        <f t="shared" si="71"/>
        <v/>
      </c>
      <c r="U168" s="56" t="str">
        <f t="shared" si="72"/>
        <v/>
      </c>
      <c r="V168" s="68" t="str">
        <f t="shared" si="73"/>
        <v/>
      </c>
      <c r="W168" s="80" t="str">
        <f t="shared" si="74"/>
        <v/>
      </c>
      <c r="X168" s="81" t="str">
        <f t="shared" si="75"/>
        <v/>
      </c>
      <c r="Y168" s="81" t="str">
        <f t="shared" si="76"/>
        <v/>
      </c>
      <c r="Z168" s="81" t="str">
        <f t="shared" si="77"/>
        <v/>
      </c>
      <c r="AA168" s="82" t="str">
        <f t="shared" si="78"/>
        <v/>
      </c>
      <c r="AB168" s="83" t="str">
        <f>IF(R168&lt;&gt;"",(W168-SUMPRODUCT(R$3:R168,$B$3:$B168)/SUM($B$3:$B168))/STDEVA(W158:W168),"")</f>
        <v/>
      </c>
      <c r="AC168" s="84" t="str">
        <f>IF(S168&lt;&gt;"",(X168-SUMPRODUCT(S$3:S168,$B$3:$B168)/SUM($B$3:$B168))/STDEVA(X158:X168),"")</f>
        <v/>
      </c>
      <c r="AD168" s="84" t="str">
        <f>IF(T168&lt;&gt;"",(Y168-SUMPRODUCT(T$3:T168,$B$3:$B168)/SUM($B$3:$B168))/STDEVA(Y158:Y168),"")</f>
        <v/>
      </c>
      <c r="AE168" s="84" t="str">
        <f>IF(U168&lt;&gt;"",(Z168-SUMPRODUCT(U$3:U168,$B$3:$B168)/SUM($B$3:$B168))/STDEVA(Z158:Z168),"")</f>
        <v/>
      </c>
      <c r="AF168" s="85" t="str">
        <f>IF(V168&lt;&gt;"",(AA168-SUMPRODUCT(V$3:V168,$B$3:$B168)/SUM($B$3:$B168))/STDEVA(AA158:AA168),"")</f>
        <v/>
      </c>
      <c r="AG168" s="90" t="str">
        <f t="shared" si="80"/>
        <v/>
      </c>
      <c r="AH168" s="90" t="str">
        <f t="shared" si="80"/>
        <v/>
      </c>
      <c r="AI168" s="90" t="str">
        <f t="shared" si="80"/>
        <v/>
      </c>
      <c r="AJ168" s="90" t="str">
        <f t="shared" si="79"/>
        <v/>
      </c>
      <c r="AK168" s="93" t="str">
        <f t="shared" si="79"/>
        <v/>
      </c>
      <c r="BQ168" s="100" t="str">
        <f>IF(A168&lt;&gt;"",(VLOOKUP(A168,MarketData!$D:$BP,MATCH($BQ$1,MarketData!$D$1:$EG$1,0),TRUE)/100/365+1)^(B168)*BQ167,"")</f>
        <v/>
      </c>
      <c r="BR168" s="98" t="str">
        <f t="shared" si="57"/>
        <v/>
      </c>
      <c r="BS168" s="106" t="str">
        <f>IF(A168&lt;&gt;"",VLOOKUP(A168,MarketData!$D:$BP,MATCH($BS$1,MarketData!$D$1:$EG$1,0),TRUE),"")</f>
        <v/>
      </c>
      <c r="BT168" s="98" t="str">
        <f t="shared" si="68"/>
        <v/>
      </c>
    </row>
    <row r="169" spans="2:72" x14ac:dyDescent="0.25">
      <c r="B169" s="60" t="str">
        <f t="shared" si="81"/>
        <v/>
      </c>
      <c r="C169" s="3" t="str">
        <f t="shared" si="58"/>
        <v/>
      </c>
      <c r="D169" s="3" t="str">
        <f t="shared" si="59"/>
        <v/>
      </c>
      <c r="E169" s="3" t="str">
        <f t="shared" si="60"/>
        <v/>
      </c>
      <c r="F169" s="3" t="str">
        <f t="shared" si="61"/>
        <v/>
      </c>
      <c r="G169" s="74" t="str">
        <f t="shared" si="62"/>
        <v/>
      </c>
      <c r="H169" s="78" t="str">
        <f>IFERROR(C169/SUM(M$2:M168),"")</f>
        <v/>
      </c>
      <c r="I169" s="61" t="str">
        <f>IFERROR(D169/SUM(N$2:N169),"")</f>
        <v/>
      </c>
      <c r="J169" s="61" t="str">
        <f>IFERROR(E169/SUM(O$2:O169),"")</f>
        <v/>
      </c>
      <c r="K169" s="61" t="str">
        <f>IFERROR(F169/SUM(P$2:P169),"")</f>
        <v/>
      </c>
      <c r="L169" s="79" t="str">
        <f>IFERROR(G169/SUM(Q$2:Q169),"")</f>
        <v/>
      </c>
      <c r="M169" s="64" t="str">
        <f t="shared" si="63"/>
        <v/>
      </c>
      <c r="N169" s="55" t="str">
        <f t="shared" si="64"/>
        <v/>
      </c>
      <c r="O169" s="55" t="str">
        <f t="shared" si="65"/>
        <v/>
      </c>
      <c r="P169" s="55" t="str">
        <f t="shared" si="66"/>
        <v/>
      </c>
      <c r="Q169" s="65" t="str">
        <f t="shared" si="67"/>
        <v/>
      </c>
      <c r="R169" s="67" t="str">
        <f t="shared" si="69"/>
        <v/>
      </c>
      <c r="S169" s="56" t="str">
        <f t="shared" si="70"/>
        <v/>
      </c>
      <c r="T169" s="56" t="str">
        <f t="shared" si="71"/>
        <v/>
      </c>
      <c r="U169" s="56" t="str">
        <f t="shared" si="72"/>
        <v/>
      </c>
      <c r="V169" s="68" t="str">
        <f t="shared" si="73"/>
        <v/>
      </c>
      <c r="W169" s="80" t="str">
        <f t="shared" si="74"/>
        <v/>
      </c>
      <c r="X169" s="81" t="str">
        <f t="shared" si="75"/>
        <v/>
      </c>
      <c r="Y169" s="81" t="str">
        <f t="shared" si="76"/>
        <v/>
      </c>
      <c r="Z169" s="81" t="str">
        <f t="shared" si="77"/>
        <v/>
      </c>
      <c r="AA169" s="82" t="str">
        <f t="shared" si="78"/>
        <v/>
      </c>
      <c r="AB169" s="83" t="str">
        <f>IF(R169&lt;&gt;"",(W169-SUMPRODUCT(R$3:R169,$B$3:$B169)/SUM($B$3:$B169))/STDEVA(W159:W169),"")</f>
        <v/>
      </c>
      <c r="AC169" s="84" t="str">
        <f>IF(S169&lt;&gt;"",(X169-SUMPRODUCT(S$3:S169,$B$3:$B169)/SUM($B$3:$B169))/STDEVA(X159:X169),"")</f>
        <v/>
      </c>
      <c r="AD169" s="84" t="str">
        <f>IF(T169&lt;&gt;"",(Y169-SUMPRODUCT(T$3:T169,$B$3:$B169)/SUM($B$3:$B169))/STDEVA(Y159:Y169),"")</f>
        <v/>
      </c>
      <c r="AE169" s="84" t="str">
        <f>IF(U169&lt;&gt;"",(Z169-SUMPRODUCT(U$3:U169,$B$3:$B169)/SUM($B$3:$B169))/STDEVA(Z159:Z169),"")</f>
        <v/>
      </c>
      <c r="AF169" s="85" t="str">
        <f>IF(V169&lt;&gt;"",(AA169-SUMPRODUCT(V$3:V169,$B$3:$B169)/SUM($B$3:$B169))/STDEVA(AA159:AA169),"")</f>
        <v/>
      </c>
      <c r="AG169" s="90" t="str">
        <f t="shared" si="80"/>
        <v/>
      </c>
      <c r="AH169" s="90" t="str">
        <f t="shared" si="80"/>
        <v/>
      </c>
      <c r="AI169" s="90" t="str">
        <f t="shared" si="80"/>
        <v/>
      </c>
      <c r="AJ169" s="90" t="str">
        <f t="shared" si="79"/>
        <v/>
      </c>
      <c r="AK169" s="93" t="str">
        <f t="shared" si="79"/>
        <v/>
      </c>
      <c r="BQ169" s="100" t="str">
        <f>IF(A169&lt;&gt;"",(VLOOKUP(A169,MarketData!$D:$BP,MATCH($BQ$1,MarketData!$D$1:$EG$1,0),TRUE)/100/365+1)^(B169)*BQ168,"")</f>
        <v/>
      </c>
      <c r="BR169" s="98" t="str">
        <f t="shared" si="57"/>
        <v/>
      </c>
      <c r="BS169" s="106" t="str">
        <f>IF(A169&lt;&gt;"",VLOOKUP(A169,MarketData!$D:$BP,MATCH($BS$1,MarketData!$D$1:$EG$1,0),TRUE),"")</f>
        <v/>
      </c>
      <c r="BT169" s="98" t="str">
        <f t="shared" si="68"/>
        <v/>
      </c>
    </row>
    <row r="170" spans="2:72" x14ac:dyDescent="0.25">
      <c r="B170" s="60" t="str">
        <f t="shared" si="81"/>
        <v/>
      </c>
      <c r="C170" s="3" t="str">
        <f t="shared" si="58"/>
        <v/>
      </c>
      <c r="D170" s="3" t="str">
        <f t="shared" si="59"/>
        <v/>
      </c>
      <c r="E170" s="3" t="str">
        <f t="shared" si="60"/>
        <v/>
      </c>
      <c r="F170" s="3" t="str">
        <f t="shared" si="61"/>
        <v/>
      </c>
      <c r="G170" s="74" t="str">
        <f t="shared" si="62"/>
        <v/>
      </c>
      <c r="H170" s="78" t="str">
        <f>IFERROR(C170/SUM(M$2:M169),"")</f>
        <v/>
      </c>
      <c r="I170" s="61" t="str">
        <f>IFERROR(D170/SUM(N$2:N170),"")</f>
        <v/>
      </c>
      <c r="J170" s="61" t="str">
        <f>IFERROR(E170/SUM(O$2:O170),"")</f>
        <v/>
      </c>
      <c r="K170" s="61" t="str">
        <f>IFERROR(F170/SUM(P$2:P170),"")</f>
        <v/>
      </c>
      <c r="L170" s="79" t="str">
        <f>IFERROR(G170/SUM(Q$2:Q170),"")</f>
        <v/>
      </c>
      <c r="M170" s="64" t="str">
        <f t="shared" si="63"/>
        <v/>
      </c>
      <c r="N170" s="55" t="str">
        <f t="shared" si="64"/>
        <v/>
      </c>
      <c r="O170" s="55" t="str">
        <f t="shared" si="65"/>
        <v/>
      </c>
      <c r="P170" s="55" t="str">
        <f t="shared" si="66"/>
        <v/>
      </c>
      <c r="Q170" s="65" t="str">
        <f t="shared" si="67"/>
        <v/>
      </c>
      <c r="R170" s="67" t="str">
        <f t="shared" si="69"/>
        <v/>
      </c>
      <c r="S170" s="56" t="str">
        <f t="shared" si="70"/>
        <v/>
      </c>
      <c r="T170" s="56" t="str">
        <f t="shared" si="71"/>
        <v/>
      </c>
      <c r="U170" s="56" t="str">
        <f t="shared" si="72"/>
        <v/>
      </c>
      <c r="V170" s="68" t="str">
        <f t="shared" si="73"/>
        <v/>
      </c>
      <c r="W170" s="80" t="str">
        <f t="shared" si="74"/>
        <v/>
      </c>
      <c r="X170" s="81" t="str">
        <f t="shared" si="75"/>
        <v/>
      </c>
      <c r="Y170" s="81" t="str">
        <f t="shared" si="76"/>
        <v/>
      </c>
      <c r="Z170" s="81" t="str">
        <f t="shared" si="77"/>
        <v/>
      </c>
      <c r="AA170" s="82" t="str">
        <f t="shared" si="78"/>
        <v/>
      </c>
      <c r="AB170" s="83" t="str">
        <f>IF(R170&lt;&gt;"",(W170-SUMPRODUCT(R$3:R170,$B$3:$B170)/SUM($B$3:$B170))/STDEVA(W160:W170),"")</f>
        <v/>
      </c>
      <c r="AC170" s="84" t="str">
        <f>IF(S170&lt;&gt;"",(X170-SUMPRODUCT(S$3:S170,$B$3:$B170)/SUM($B$3:$B170))/STDEVA(X160:X170),"")</f>
        <v/>
      </c>
      <c r="AD170" s="84" t="str">
        <f>IF(T170&lt;&gt;"",(Y170-SUMPRODUCT(T$3:T170,$B$3:$B170)/SUM($B$3:$B170))/STDEVA(Y160:Y170),"")</f>
        <v/>
      </c>
      <c r="AE170" s="84" t="str">
        <f>IF(U170&lt;&gt;"",(Z170-SUMPRODUCT(U$3:U170,$B$3:$B170)/SUM($B$3:$B170))/STDEVA(Z160:Z170),"")</f>
        <v/>
      </c>
      <c r="AF170" s="85" t="str">
        <f>IF(V170&lt;&gt;"",(AA170-SUMPRODUCT(V$3:V170,$B$3:$B170)/SUM($B$3:$B170))/STDEVA(AA160:AA170),"")</f>
        <v/>
      </c>
      <c r="AG170" s="90" t="str">
        <f t="shared" si="80"/>
        <v/>
      </c>
      <c r="AH170" s="90" t="str">
        <f t="shared" si="80"/>
        <v/>
      </c>
      <c r="AI170" s="90" t="str">
        <f t="shared" si="80"/>
        <v/>
      </c>
      <c r="AJ170" s="90" t="str">
        <f t="shared" si="79"/>
        <v/>
      </c>
      <c r="AK170" s="93" t="str">
        <f t="shared" si="79"/>
        <v/>
      </c>
      <c r="BQ170" s="100" t="str">
        <f>IF(A170&lt;&gt;"",(VLOOKUP(A170,MarketData!$D:$BP,MATCH($BQ$1,MarketData!$D$1:$EG$1,0),TRUE)/100/365+1)^(B170)*BQ169,"")</f>
        <v/>
      </c>
      <c r="BR170" s="98" t="str">
        <f t="shared" si="57"/>
        <v/>
      </c>
      <c r="BS170" s="106" t="str">
        <f>IF(A170&lt;&gt;"",VLOOKUP(A170,MarketData!$D:$BP,MATCH($BS$1,MarketData!$D$1:$EG$1,0),TRUE),"")</f>
        <v/>
      </c>
      <c r="BT170" s="98" t="str">
        <f t="shared" si="68"/>
        <v/>
      </c>
    </row>
    <row r="171" spans="2:72" x14ac:dyDescent="0.25">
      <c r="B171" s="60" t="str">
        <f t="shared" si="81"/>
        <v/>
      </c>
      <c r="C171" s="3" t="str">
        <f t="shared" si="58"/>
        <v/>
      </c>
      <c r="D171" s="3" t="str">
        <f t="shared" si="59"/>
        <v/>
      </c>
      <c r="E171" s="3" t="str">
        <f t="shared" si="60"/>
        <v/>
      </c>
      <c r="F171" s="3" t="str">
        <f t="shared" si="61"/>
        <v/>
      </c>
      <c r="G171" s="74" t="str">
        <f t="shared" si="62"/>
        <v/>
      </c>
      <c r="H171" s="78" t="str">
        <f>IFERROR(C171/SUM(M$2:M170),"")</f>
        <v/>
      </c>
      <c r="I171" s="61" t="str">
        <f>IFERROR(D171/SUM(N$2:N171),"")</f>
        <v/>
      </c>
      <c r="J171" s="61" t="str">
        <f>IFERROR(E171/SUM(O$2:O171),"")</f>
        <v/>
      </c>
      <c r="K171" s="61" t="str">
        <f>IFERROR(F171/SUM(P$2:P171),"")</f>
        <v/>
      </c>
      <c r="L171" s="79" t="str">
        <f>IFERROR(G171/SUM(Q$2:Q171),"")</f>
        <v/>
      </c>
      <c r="M171" s="64" t="str">
        <f t="shared" si="63"/>
        <v/>
      </c>
      <c r="N171" s="55" t="str">
        <f t="shared" si="64"/>
        <v/>
      </c>
      <c r="O171" s="55" t="str">
        <f t="shared" si="65"/>
        <v/>
      </c>
      <c r="P171" s="55" t="str">
        <f t="shared" si="66"/>
        <v/>
      </c>
      <c r="Q171" s="65" t="str">
        <f t="shared" si="67"/>
        <v/>
      </c>
      <c r="R171" s="67" t="str">
        <f t="shared" si="69"/>
        <v/>
      </c>
      <c r="S171" s="56" t="str">
        <f t="shared" si="70"/>
        <v/>
      </c>
      <c r="T171" s="56" t="str">
        <f t="shared" si="71"/>
        <v/>
      </c>
      <c r="U171" s="56" t="str">
        <f t="shared" si="72"/>
        <v/>
      </c>
      <c r="V171" s="68" t="str">
        <f t="shared" si="73"/>
        <v/>
      </c>
      <c r="W171" s="80" t="str">
        <f t="shared" si="74"/>
        <v/>
      </c>
      <c r="X171" s="81" t="str">
        <f t="shared" si="75"/>
        <v/>
      </c>
      <c r="Y171" s="81" t="str">
        <f t="shared" si="76"/>
        <v/>
      </c>
      <c r="Z171" s="81" t="str">
        <f t="shared" si="77"/>
        <v/>
      </c>
      <c r="AA171" s="82" t="str">
        <f t="shared" si="78"/>
        <v/>
      </c>
      <c r="AB171" s="83" t="str">
        <f>IF(R171&lt;&gt;"",(W171-SUMPRODUCT(R$3:R171,$B$3:$B171)/SUM($B$3:$B171))/STDEVA(W161:W171),"")</f>
        <v/>
      </c>
      <c r="AC171" s="84" t="str">
        <f>IF(S171&lt;&gt;"",(X171-SUMPRODUCT(S$3:S171,$B$3:$B171)/SUM($B$3:$B171))/STDEVA(X161:X171),"")</f>
        <v/>
      </c>
      <c r="AD171" s="84" t="str">
        <f>IF(T171&lt;&gt;"",(Y171-SUMPRODUCT(T$3:T171,$B$3:$B171)/SUM($B$3:$B171))/STDEVA(Y161:Y171),"")</f>
        <v/>
      </c>
      <c r="AE171" s="84" t="str">
        <f>IF(U171&lt;&gt;"",(Z171-SUMPRODUCT(U$3:U171,$B$3:$B171)/SUM($B$3:$B171))/STDEVA(Z161:Z171),"")</f>
        <v/>
      </c>
      <c r="AF171" s="85" t="str">
        <f>IF(V171&lt;&gt;"",(AA171-SUMPRODUCT(V$3:V171,$B$3:$B171)/SUM($B$3:$B171))/STDEVA(AA161:AA171),"")</f>
        <v/>
      </c>
      <c r="AG171" s="90" t="str">
        <f t="shared" si="80"/>
        <v/>
      </c>
      <c r="AH171" s="90" t="str">
        <f t="shared" si="80"/>
        <v/>
      </c>
      <c r="AI171" s="90" t="str">
        <f t="shared" si="80"/>
        <v/>
      </c>
      <c r="AJ171" s="90" t="str">
        <f t="shared" si="79"/>
        <v/>
      </c>
      <c r="AK171" s="93" t="str">
        <f t="shared" si="79"/>
        <v/>
      </c>
      <c r="BQ171" s="100" t="str">
        <f>IF(A171&lt;&gt;"",(VLOOKUP(A171,MarketData!$D:$BP,MATCH($BQ$1,MarketData!$D$1:$EG$1,0),TRUE)/100/365+1)^(B171)*BQ170,"")</f>
        <v/>
      </c>
      <c r="BR171" s="98" t="str">
        <f t="shared" si="57"/>
        <v/>
      </c>
      <c r="BS171" s="106" t="str">
        <f>IF(A171&lt;&gt;"",VLOOKUP(A171,MarketData!$D:$BP,MATCH($BS$1,MarketData!$D$1:$EG$1,0),TRUE),"")</f>
        <v/>
      </c>
      <c r="BT171" s="98" t="str">
        <f t="shared" si="68"/>
        <v/>
      </c>
    </row>
    <row r="172" spans="2:72" x14ac:dyDescent="0.25">
      <c r="B172" s="60" t="str">
        <f t="shared" si="81"/>
        <v/>
      </c>
      <c r="C172" s="3" t="str">
        <f t="shared" si="58"/>
        <v/>
      </c>
      <c r="D172" s="3" t="str">
        <f t="shared" si="59"/>
        <v/>
      </c>
      <c r="E172" s="3" t="str">
        <f t="shared" si="60"/>
        <v/>
      </c>
      <c r="F172" s="3" t="str">
        <f t="shared" si="61"/>
        <v/>
      </c>
      <c r="G172" s="74" t="str">
        <f t="shared" si="62"/>
        <v/>
      </c>
      <c r="H172" s="78" t="str">
        <f>IFERROR(C172/SUM(M$2:M171),"")</f>
        <v/>
      </c>
      <c r="I172" s="61" t="str">
        <f>IFERROR(D172/SUM(N$2:N172),"")</f>
        <v/>
      </c>
      <c r="J172" s="61" t="str">
        <f>IFERROR(E172/SUM(O$2:O172),"")</f>
        <v/>
      </c>
      <c r="K172" s="61" t="str">
        <f>IFERROR(F172/SUM(P$2:P172),"")</f>
        <v/>
      </c>
      <c r="L172" s="79" t="str">
        <f>IFERROR(G172/SUM(Q$2:Q172),"")</f>
        <v/>
      </c>
      <c r="M172" s="64" t="str">
        <f t="shared" si="63"/>
        <v/>
      </c>
      <c r="N172" s="55" t="str">
        <f t="shared" si="64"/>
        <v/>
      </c>
      <c r="O172" s="55" t="str">
        <f t="shared" si="65"/>
        <v/>
      </c>
      <c r="P172" s="55" t="str">
        <f t="shared" si="66"/>
        <v/>
      </c>
      <c r="Q172" s="65" t="str">
        <f t="shared" si="67"/>
        <v/>
      </c>
      <c r="R172" s="67" t="str">
        <f t="shared" si="69"/>
        <v/>
      </c>
      <c r="S172" s="56" t="str">
        <f t="shared" si="70"/>
        <v/>
      </c>
      <c r="T172" s="56" t="str">
        <f t="shared" si="71"/>
        <v/>
      </c>
      <c r="U172" s="56" t="str">
        <f t="shared" si="72"/>
        <v/>
      </c>
      <c r="V172" s="68" t="str">
        <f t="shared" si="73"/>
        <v/>
      </c>
      <c r="W172" s="80" t="str">
        <f t="shared" si="74"/>
        <v/>
      </c>
      <c r="X172" s="81" t="str">
        <f t="shared" si="75"/>
        <v/>
      </c>
      <c r="Y172" s="81" t="str">
        <f t="shared" si="76"/>
        <v/>
      </c>
      <c r="Z172" s="81" t="str">
        <f t="shared" si="77"/>
        <v/>
      </c>
      <c r="AA172" s="82" t="str">
        <f t="shared" si="78"/>
        <v/>
      </c>
      <c r="AB172" s="83" t="str">
        <f>IF(R172&lt;&gt;"",(W172-SUMPRODUCT(R$3:R172,$B$3:$B172)/SUM($B$3:$B172))/STDEVA(W162:W172),"")</f>
        <v/>
      </c>
      <c r="AC172" s="84" t="str">
        <f>IF(S172&lt;&gt;"",(X172-SUMPRODUCT(S$3:S172,$B$3:$B172)/SUM($B$3:$B172))/STDEVA(X162:X172),"")</f>
        <v/>
      </c>
      <c r="AD172" s="84" t="str">
        <f>IF(T172&lt;&gt;"",(Y172-SUMPRODUCT(T$3:T172,$B$3:$B172)/SUM($B$3:$B172))/STDEVA(Y162:Y172),"")</f>
        <v/>
      </c>
      <c r="AE172" s="84" t="str">
        <f>IF(U172&lt;&gt;"",(Z172-SUMPRODUCT(U$3:U172,$B$3:$B172)/SUM($B$3:$B172))/STDEVA(Z162:Z172),"")</f>
        <v/>
      </c>
      <c r="AF172" s="85" t="str">
        <f>IF(V172&lt;&gt;"",(AA172-SUMPRODUCT(V$3:V172,$B$3:$B172)/SUM($B$3:$B172))/STDEVA(AA162:AA172),"")</f>
        <v/>
      </c>
      <c r="AG172" s="90" t="str">
        <f t="shared" si="80"/>
        <v/>
      </c>
      <c r="AH172" s="90" t="str">
        <f t="shared" si="80"/>
        <v/>
      </c>
      <c r="AI172" s="90" t="str">
        <f t="shared" si="80"/>
        <v/>
      </c>
      <c r="AJ172" s="90" t="str">
        <f t="shared" si="79"/>
        <v/>
      </c>
      <c r="AK172" s="93" t="str">
        <f t="shared" si="79"/>
        <v/>
      </c>
      <c r="BQ172" s="100" t="str">
        <f>IF(A172&lt;&gt;"",(VLOOKUP(A172,MarketData!$D:$BP,MATCH($BQ$1,MarketData!$D$1:$EG$1,0),TRUE)/100/365+1)^(B172)*BQ171,"")</f>
        <v/>
      </c>
      <c r="BR172" s="98" t="str">
        <f t="shared" si="57"/>
        <v/>
      </c>
      <c r="BS172" s="106" t="str">
        <f>IF(A172&lt;&gt;"",VLOOKUP(A172,MarketData!$D:$BP,MATCH($BS$1,MarketData!$D$1:$EG$1,0),TRUE),"")</f>
        <v/>
      </c>
      <c r="BT172" s="98" t="str">
        <f t="shared" si="68"/>
        <v/>
      </c>
    </row>
    <row r="173" spans="2:72" x14ac:dyDescent="0.25">
      <c r="B173" s="60" t="str">
        <f t="shared" si="81"/>
        <v/>
      </c>
      <c r="C173" s="3" t="str">
        <f t="shared" si="58"/>
        <v/>
      </c>
      <c r="D173" s="3" t="str">
        <f t="shared" si="59"/>
        <v/>
      </c>
      <c r="E173" s="3" t="str">
        <f t="shared" si="60"/>
        <v/>
      </c>
      <c r="F173" s="3" t="str">
        <f t="shared" si="61"/>
        <v/>
      </c>
      <c r="G173" s="74" t="str">
        <f t="shared" si="62"/>
        <v/>
      </c>
      <c r="H173" s="78" t="str">
        <f>IFERROR(C173/SUM(M$2:M172),"")</f>
        <v/>
      </c>
      <c r="I173" s="61" t="str">
        <f>IFERROR(D173/SUM(N$2:N173),"")</f>
        <v/>
      </c>
      <c r="J173" s="61" t="str">
        <f>IFERROR(E173/SUM(O$2:O173),"")</f>
        <v/>
      </c>
      <c r="K173" s="61" t="str">
        <f>IFERROR(F173/SUM(P$2:P173),"")</f>
        <v/>
      </c>
      <c r="L173" s="79" t="str">
        <f>IFERROR(G173/SUM(Q$2:Q173),"")</f>
        <v/>
      </c>
      <c r="M173" s="64" t="str">
        <f t="shared" si="63"/>
        <v/>
      </c>
      <c r="N173" s="55" t="str">
        <f t="shared" si="64"/>
        <v/>
      </c>
      <c r="O173" s="55" t="str">
        <f t="shared" si="65"/>
        <v/>
      </c>
      <c r="P173" s="55" t="str">
        <f t="shared" si="66"/>
        <v/>
      </c>
      <c r="Q173" s="65" t="str">
        <f t="shared" si="67"/>
        <v/>
      </c>
      <c r="R173" s="67" t="str">
        <f t="shared" si="69"/>
        <v/>
      </c>
      <c r="S173" s="56" t="str">
        <f t="shared" si="70"/>
        <v/>
      </c>
      <c r="T173" s="56" t="str">
        <f t="shared" si="71"/>
        <v/>
      </c>
      <c r="U173" s="56" t="str">
        <f t="shared" si="72"/>
        <v/>
      </c>
      <c r="V173" s="68" t="str">
        <f t="shared" si="73"/>
        <v/>
      </c>
      <c r="W173" s="80" t="str">
        <f t="shared" si="74"/>
        <v/>
      </c>
      <c r="X173" s="81" t="str">
        <f t="shared" si="75"/>
        <v/>
      </c>
      <c r="Y173" s="81" t="str">
        <f t="shared" si="76"/>
        <v/>
      </c>
      <c r="Z173" s="81" t="str">
        <f t="shared" si="77"/>
        <v/>
      </c>
      <c r="AA173" s="82" t="str">
        <f t="shared" si="78"/>
        <v/>
      </c>
      <c r="AB173" s="83" t="str">
        <f>IF(R173&lt;&gt;"",(W173-SUMPRODUCT(R$3:R173,$B$3:$B173)/SUM($B$3:$B173))/STDEVA(W163:W173),"")</f>
        <v/>
      </c>
      <c r="AC173" s="84" t="str">
        <f>IF(S173&lt;&gt;"",(X173-SUMPRODUCT(S$3:S173,$B$3:$B173)/SUM($B$3:$B173))/STDEVA(X163:X173),"")</f>
        <v/>
      </c>
      <c r="AD173" s="84" t="str">
        <f>IF(T173&lt;&gt;"",(Y173-SUMPRODUCT(T$3:T173,$B$3:$B173)/SUM($B$3:$B173))/STDEVA(Y163:Y173),"")</f>
        <v/>
      </c>
      <c r="AE173" s="84" t="str">
        <f>IF(U173&lt;&gt;"",(Z173-SUMPRODUCT(U$3:U173,$B$3:$B173)/SUM($B$3:$B173))/STDEVA(Z163:Z173),"")</f>
        <v/>
      </c>
      <c r="AF173" s="85" t="str">
        <f>IF(V173&lt;&gt;"",(AA173-SUMPRODUCT(V$3:V173,$B$3:$B173)/SUM($B$3:$B173))/STDEVA(AA163:AA173),"")</f>
        <v/>
      </c>
      <c r="AG173" s="90" t="str">
        <f t="shared" si="80"/>
        <v/>
      </c>
      <c r="AH173" s="90" t="str">
        <f t="shared" si="80"/>
        <v/>
      </c>
      <c r="AI173" s="90" t="str">
        <f t="shared" si="80"/>
        <v/>
      </c>
      <c r="AJ173" s="90" t="str">
        <f t="shared" si="79"/>
        <v/>
      </c>
      <c r="AK173" s="93" t="str">
        <f t="shared" si="79"/>
        <v/>
      </c>
      <c r="BQ173" s="100" t="str">
        <f>IF(A173&lt;&gt;"",(VLOOKUP(A173,MarketData!$D:$BP,MATCH($BQ$1,MarketData!$D$1:$EG$1,0),TRUE)/100/365+1)^(B173)*BQ172,"")</f>
        <v/>
      </c>
      <c r="BR173" s="98" t="str">
        <f t="shared" si="57"/>
        <v/>
      </c>
      <c r="BS173" s="106" t="str">
        <f>IF(A173&lt;&gt;"",VLOOKUP(A173,MarketData!$D:$BP,MATCH($BS$1,MarketData!$D$1:$EG$1,0),TRUE),"")</f>
        <v/>
      </c>
      <c r="BT173" s="98" t="str">
        <f t="shared" si="68"/>
        <v/>
      </c>
    </row>
    <row r="174" spans="2:72" x14ac:dyDescent="0.25">
      <c r="B174" s="60" t="str">
        <f t="shared" si="81"/>
        <v/>
      </c>
      <c r="C174" s="3" t="str">
        <f t="shared" si="58"/>
        <v/>
      </c>
      <c r="D174" s="3" t="str">
        <f t="shared" si="59"/>
        <v/>
      </c>
      <c r="E174" s="3" t="str">
        <f t="shared" si="60"/>
        <v/>
      </c>
      <c r="F174" s="3" t="str">
        <f t="shared" si="61"/>
        <v/>
      </c>
      <c r="G174" s="74" t="str">
        <f t="shared" si="62"/>
        <v/>
      </c>
      <c r="H174" s="78" t="str">
        <f>IFERROR(C174/SUM(M$2:M173),"")</f>
        <v/>
      </c>
      <c r="I174" s="61" t="str">
        <f>IFERROR(D174/SUM(N$2:N174),"")</f>
        <v/>
      </c>
      <c r="J174" s="61" t="str">
        <f>IFERROR(E174/SUM(O$2:O174),"")</f>
        <v/>
      </c>
      <c r="K174" s="61" t="str">
        <f>IFERROR(F174/SUM(P$2:P174),"")</f>
        <v/>
      </c>
      <c r="L174" s="79" t="str">
        <f>IFERROR(G174/SUM(Q$2:Q174),"")</f>
        <v/>
      </c>
      <c r="M174" s="64" t="str">
        <f t="shared" si="63"/>
        <v/>
      </c>
      <c r="N174" s="55" t="str">
        <f t="shared" si="64"/>
        <v/>
      </c>
      <c r="O174" s="55" t="str">
        <f t="shared" si="65"/>
        <v/>
      </c>
      <c r="P174" s="55" t="str">
        <f t="shared" si="66"/>
        <v/>
      </c>
      <c r="Q174" s="65" t="str">
        <f t="shared" si="67"/>
        <v/>
      </c>
      <c r="R174" s="67" t="str">
        <f t="shared" si="69"/>
        <v/>
      </c>
      <c r="S174" s="56" t="str">
        <f t="shared" si="70"/>
        <v/>
      </c>
      <c r="T174" s="56" t="str">
        <f t="shared" si="71"/>
        <v/>
      </c>
      <c r="U174" s="56" t="str">
        <f t="shared" si="72"/>
        <v/>
      </c>
      <c r="V174" s="68" t="str">
        <f t="shared" si="73"/>
        <v/>
      </c>
      <c r="W174" s="80" t="str">
        <f t="shared" si="74"/>
        <v/>
      </c>
      <c r="X174" s="81" t="str">
        <f t="shared" si="75"/>
        <v/>
      </c>
      <c r="Y174" s="81" t="str">
        <f t="shared" si="76"/>
        <v/>
      </c>
      <c r="Z174" s="81" t="str">
        <f t="shared" si="77"/>
        <v/>
      </c>
      <c r="AA174" s="82" t="str">
        <f t="shared" si="78"/>
        <v/>
      </c>
      <c r="AB174" s="83" t="str">
        <f>IF(R174&lt;&gt;"",(W174-SUMPRODUCT(R$3:R174,$B$3:$B174)/SUM($B$3:$B174))/STDEVA(W164:W174),"")</f>
        <v/>
      </c>
      <c r="AC174" s="84" t="str">
        <f>IF(S174&lt;&gt;"",(X174-SUMPRODUCT(S$3:S174,$B$3:$B174)/SUM($B$3:$B174))/STDEVA(X164:X174),"")</f>
        <v/>
      </c>
      <c r="AD174" s="84" t="str">
        <f>IF(T174&lt;&gt;"",(Y174-SUMPRODUCT(T$3:T174,$B$3:$B174)/SUM($B$3:$B174))/STDEVA(Y164:Y174),"")</f>
        <v/>
      </c>
      <c r="AE174" s="84" t="str">
        <f>IF(U174&lt;&gt;"",(Z174-SUMPRODUCT(U$3:U174,$B$3:$B174)/SUM($B$3:$B174))/STDEVA(Z164:Z174),"")</f>
        <v/>
      </c>
      <c r="AF174" s="85" t="str">
        <f>IF(V174&lt;&gt;"",(AA174-SUMPRODUCT(V$3:V174,$B$3:$B174)/SUM($B$3:$B174))/STDEVA(AA164:AA174),"")</f>
        <v/>
      </c>
      <c r="AG174" s="90" t="str">
        <f t="shared" si="80"/>
        <v/>
      </c>
      <c r="AH174" s="90" t="str">
        <f t="shared" si="80"/>
        <v/>
      </c>
      <c r="AI174" s="90" t="str">
        <f t="shared" si="80"/>
        <v/>
      </c>
      <c r="AJ174" s="90" t="str">
        <f t="shared" si="79"/>
        <v/>
      </c>
      <c r="AK174" s="93" t="str">
        <f t="shared" si="79"/>
        <v/>
      </c>
      <c r="BQ174" s="100" t="str">
        <f>IF(A174&lt;&gt;"",(VLOOKUP(A174,MarketData!$D:$BP,MATCH($BQ$1,MarketData!$D$1:$EG$1,0),TRUE)/100/365+1)^(B174)*BQ173,"")</f>
        <v/>
      </c>
      <c r="BR174" s="98" t="str">
        <f t="shared" si="57"/>
        <v/>
      </c>
      <c r="BS174" s="106" t="str">
        <f>IF(A174&lt;&gt;"",VLOOKUP(A174,MarketData!$D:$BP,MATCH($BS$1,MarketData!$D$1:$EG$1,0),TRUE),"")</f>
        <v/>
      </c>
      <c r="BT174" s="98" t="str">
        <f t="shared" si="68"/>
        <v/>
      </c>
    </row>
    <row r="175" spans="2:72" x14ac:dyDescent="0.25">
      <c r="B175" s="60" t="str">
        <f t="shared" si="81"/>
        <v/>
      </c>
      <c r="C175" s="3" t="str">
        <f t="shared" si="58"/>
        <v/>
      </c>
      <c r="D175" s="3" t="str">
        <f t="shared" si="59"/>
        <v/>
      </c>
      <c r="E175" s="3" t="str">
        <f t="shared" si="60"/>
        <v/>
      </c>
      <c r="F175" s="3" t="str">
        <f t="shared" si="61"/>
        <v/>
      </c>
      <c r="G175" s="74" t="str">
        <f t="shared" si="62"/>
        <v/>
      </c>
      <c r="H175" s="78" t="str">
        <f>IFERROR(C175/SUM(M$2:M174),"")</f>
        <v/>
      </c>
      <c r="I175" s="61" t="str">
        <f>IFERROR(D175/SUM(N$2:N175),"")</f>
        <v/>
      </c>
      <c r="J175" s="61" t="str">
        <f>IFERROR(E175/SUM(O$2:O175),"")</f>
        <v/>
      </c>
      <c r="K175" s="61" t="str">
        <f>IFERROR(F175/SUM(P$2:P175),"")</f>
        <v/>
      </c>
      <c r="L175" s="79" t="str">
        <f>IFERROR(G175/SUM(Q$2:Q175),"")</f>
        <v/>
      </c>
      <c r="M175" s="64" t="str">
        <f t="shared" si="63"/>
        <v/>
      </c>
      <c r="N175" s="55" t="str">
        <f t="shared" si="64"/>
        <v/>
      </c>
      <c r="O175" s="55" t="str">
        <f t="shared" si="65"/>
        <v/>
      </c>
      <c r="P175" s="55" t="str">
        <f t="shared" si="66"/>
        <v/>
      </c>
      <c r="Q175" s="65" t="str">
        <f t="shared" si="67"/>
        <v/>
      </c>
      <c r="R175" s="67" t="str">
        <f t="shared" si="69"/>
        <v/>
      </c>
      <c r="S175" s="56" t="str">
        <f t="shared" si="70"/>
        <v/>
      </c>
      <c r="T175" s="56" t="str">
        <f t="shared" si="71"/>
        <v/>
      </c>
      <c r="U175" s="56" t="str">
        <f t="shared" si="72"/>
        <v/>
      </c>
      <c r="V175" s="68" t="str">
        <f t="shared" si="73"/>
        <v/>
      </c>
      <c r="W175" s="80" t="str">
        <f t="shared" si="74"/>
        <v/>
      </c>
      <c r="X175" s="81" t="str">
        <f t="shared" si="75"/>
        <v/>
      </c>
      <c r="Y175" s="81" t="str">
        <f t="shared" si="76"/>
        <v/>
      </c>
      <c r="Z175" s="81" t="str">
        <f t="shared" si="77"/>
        <v/>
      </c>
      <c r="AA175" s="82" t="str">
        <f t="shared" si="78"/>
        <v/>
      </c>
      <c r="AB175" s="83" t="str">
        <f>IF(R175&lt;&gt;"",(W175-SUMPRODUCT(R$3:R175,$B$3:$B175)/SUM($B$3:$B175))/STDEVA(W165:W175),"")</f>
        <v/>
      </c>
      <c r="AC175" s="84" t="str">
        <f>IF(S175&lt;&gt;"",(X175-SUMPRODUCT(S$3:S175,$B$3:$B175)/SUM($B$3:$B175))/STDEVA(X165:X175),"")</f>
        <v/>
      </c>
      <c r="AD175" s="84" t="str">
        <f>IF(T175&lt;&gt;"",(Y175-SUMPRODUCT(T$3:T175,$B$3:$B175)/SUM($B$3:$B175))/STDEVA(Y165:Y175),"")</f>
        <v/>
      </c>
      <c r="AE175" s="84" t="str">
        <f>IF(U175&lt;&gt;"",(Z175-SUMPRODUCT(U$3:U175,$B$3:$B175)/SUM($B$3:$B175))/STDEVA(Z165:Z175),"")</f>
        <v/>
      </c>
      <c r="AF175" s="85" t="str">
        <f>IF(V175&lt;&gt;"",(AA175-SUMPRODUCT(V$3:V175,$B$3:$B175)/SUM($B$3:$B175))/STDEVA(AA165:AA175),"")</f>
        <v/>
      </c>
      <c r="AG175" s="90" t="str">
        <f t="shared" si="80"/>
        <v/>
      </c>
      <c r="AH175" s="90" t="str">
        <f t="shared" si="80"/>
        <v/>
      </c>
      <c r="AI175" s="90" t="str">
        <f t="shared" si="80"/>
        <v/>
      </c>
      <c r="AJ175" s="90" t="str">
        <f t="shared" si="79"/>
        <v/>
      </c>
      <c r="AK175" s="93" t="str">
        <f t="shared" si="79"/>
        <v/>
      </c>
      <c r="BQ175" s="100" t="str">
        <f>IF(A175&lt;&gt;"",(VLOOKUP(A175,MarketData!$D:$BP,MATCH($BQ$1,MarketData!$D$1:$EG$1,0),TRUE)/100/365+1)^(B175)*BQ174,"")</f>
        <v/>
      </c>
      <c r="BR175" s="98" t="str">
        <f t="shared" si="57"/>
        <v/>
      </c>
      <c r="BS175" s="106" t="str">
        <f>IF(A175&lt;&gt;"",VLOOKUP(A175,MarketData!$D:$BP,MATCH($BS$1,MarketData!$D$1:$EG$1,0),TRUE),"")</f>
        <v/>
      </c>
      <c r="BT175" s="98" t="str">
        <f t="shared" si="68"/>
        <v/>
      </c>
    </row>
    <row r="176" spans="2:72" x14ac:dyDescent="0.25">
      <c r="B176" s="60" t="str">
        <f t="shared" si="81"/>
        <v/>
      </c>
      <c r="C176" s="3" t="str">
        <f t="shared" si="58"/>
        <v/>
      </c>
      <c r="D176" s="3" t="str">
        <f t="shared" si="59"/>
        <v/>
      </c>
      <c r="E176" s="3" t="str">
        <f t="shared" si="60"/>
        <v/>
      </c>
      <c r="F176" s="3" t="str">
        <f t="shared" si="61"/>
        <v/>
      </c>
      <c r="G176" s="74" t="str">
        <f t="shared" si="62"/>
        <v/>
      </c>
      <c r="H176" s="78" t="str">
        <f>IFERROR(C176/SUM(M$2:M175),"")</f>
        <v/>
      </c>
      <c r="I176" s="61" t="str">
        <f>IFERROR(D176/SUM(N$2:N176),"")</f>
        <v/>
      </c>
      <c r="J176" s="61" t="str">
        <f>IFERROR(E176/SUM(O$2:O176),"")</f>
        <v/>
      </c>
      <c r="K176" s="61" t="str">
        <f>IFERROR(F176/SUM(P$2:P176),"")</f>
        <v/>
      </c>
      <c r="L176" s="79" t="str">
        <f>IFERROR(G176/SUM(Q$2:Q176),"")</f>
        <v/>
      </c>
      <c r="M176" s="64" t="str">
        <f t="shared" si="63"/>
        <v/>
      </c>
      <c r="N176" s="55" t="str">
        <f t="shared" si="64"/>
        <v/>
      </c>
      <c r="O176" s="55" t="str">
        <f t="shared" si="65"/>
        <v/>
      </c>
      <c r="P176" s="55" t="str">
        <f t="shared" si="66"/>
        <v/>
      </c>
      <c r="Q176" s="65" t="str">
        <f t="shared" si="67"/>
        <v/>
      </c>
      <c r="R176" s="67" t="str">
        <f t="shared" si="69"/>
        <v/>
      </c>
      <c r="S176" s="56" t="str">
        <f t="shared" si="70"/>
        <v/>
      </c>
      <c r="T176" s="56" t="str">
        <f t="shared" si="71"/>
        <v/>
      </c>
      <c r="U176" s="56" t="str">
        <f t="shared" si="72"/>
        <v/>
      </c>
      <c r="V176" s="68" t="str">
        <f t="shared" si="73"/>
        <v/>
      </c>
      <c r="W176" s="80" t="str">
        <f t="shared" si="74"/>
        <v/>
      </c>
      <c r="X176" s="81" t="str">
        <f t="shared" si="75"/>
        <v/>
      </c>
      <c r="Y176" s="81" t="str">
        <f t="shared" si="76"/>
        <v/>
      </c>
      <c r="Z176" s="81" t="str">
        <f t="shared" si="77"/>
        <v/>
      </c>
      <c r="AA176" s="82" t="str">
        <f t="shared" si="78"/>
        <v/>
      </c>
      <c r="AB176" s="83" t="str">
        <f>IF(R176&lt;&gt;"",(W176-SUMPRODUCT(R$3:R176,$B$3:$B176)/SUM($B$3:$B176))/STDEVA(W166:W176),"")</f>
        <v/>
      </c>
      <c r="AC176" s="84" t="str">
        <f>IF(S176&lt;&gt;"",(X176-SUMPRODUCT(S$3:S176,$B$3:$B176)/SUM($B$3:$B176))/STDEVA(X166:X176),"")</f>
        <v/>
      </c>
      <c r="AD176" s="84" t="str">
        <f>IF(T176&lt;&gt;"",(Y176-SUMPRODUCT(T$3:T176,$B$3:$B176)/SUM($B$3:$B176))/STDEVA(Y166:Y176),"")</f>
        <v/>
      </c>
      <c r="AE176" s="84" t="str">
        <f>IF(U176&lt;&gt;"",(Z176-SUMPRODUCT(U$3:U176,$B$3:$B176)/SUM($B$3:$B176))/STDEVA(Z166:Z176),"")</f>
        <v/>
      </c>
      <c r="AF176" s="85" t="str">
        <f>IF(V176&lt;&gt;"",(AA176-SUMPRODUCT(V$3:V176,$B$3:$B176)/SUM($B$3:$B176))/STDEVA(AA166:AA176),"")</f>
        <v/>
      </c>
      <c r="AG176" s="90" t="str">
        <f t="shared" si="80"/>
        <v/>
      </c>
      <c r="AH176" s="90" t="str">
        <f t="shared" si="80"/>
        <v/>
      </c>
      <c r="AI176" s="90" t="str">
        <f t="shared" si="80"/>
        <v/>
      </c>
      <c r="AJ176" s="90" t="str">
        <f t="shared" si="79"/>
        <v/>
      </c>
      <c r="AK176" s="93" t="str">
        <f t="shared" si="79"/>
        <v/>
      </c>
      <c r="BQ176" s="100" t="str">
        <f>IF(A176&lt;&gt;"",(VLOOKUP(A176,MarketData!$D:$BP,MATCH($BQ$1,MarketData!$D$1:$EG$1,0),TRUE)/100/365+1)^(B176)*BQ175,"")</f>
        <v/>
      </c>
      <c r="BR176" s="98" t="str">
        <f t="shared" si="57"/>
        <v/>
      </c>
      <c r="BS176" s="106" t="str">
        <f>IF(A176&lt;&gt;"",VLOOKUP(A176,MarketData!$D:$BP,MATCH($BS$1,MarketData!$D$1:$EG$1,0),TRUE),"")</f>
        <v/>
      </c>
      <c r="BT176" s="98" t="str">
        <f t="shared" si="68"/>
        <v/>
      </c>
    </row>
    <row r="177" spans="2:72" x14ac:dyDescent="0.25">
      <c r="B177" s="60" t="str">
        <f t="shared" si="81"/>
        <v/>
      </c>
      <c r="C177" s="3" t="str">
        <f t="shared" si="58"/>
        <v/>
      </c>
      <c r="D177" s="3" t="str">
        <f t="shared" si="59"/>
        <v/>
      </c>
      <c r="E177" s="3" t="str">
        <f t="shared" si="60"/>
        <v/>
      </c>
      <c r="F177" s="3" t="str">
        <f t="shared" si="61"/>
        <v/>
      </c>
      <c r="G177" s="74" t="str">
        <f t="shared" si="62"/>
        <v/>
      </c>
      <c r="H177" s="78" t="str">
        <f>IFERROR(C177/SUM(M$2:M176),"")</f>
        <v/>
      </c>
      <c r="I177" s="61" t="str">
        <f>IFERROR(D177/SUM(N$2:N177),"")</f>
        <v/>
      </c>
      <c r="J177" s="61" t="str">
        <f>IFERROR(E177/SUM(O$2:O177),"")</f>
        <v/>
      </c>
      <c r="K177" s="61" t="str">
        <f>IFERROR(F177/SUM(P$2:P177),"")</f>
        <v/>
      </c>
      <c r="L177" s="79" t="str">
        <f>IFERROR(G177/SUM(Q$2:Q177),"")</f>
        <v/>
      </c>
      <c r="M177" s="64" t="str">
        <f t="shared" si="63"/>
        <v/>
      </c>
      <c r="N177" s="55" t="str">
        <f t="shared" si="64"/>
        <v/>
      </c>
      <c r="O177" s="55" t="str">
        <f t="shared" si="65"/>
        <v/>
      </c>
      <c r="P177" s="55" t="str">
        <f t="shared" si="66"/>
        <v/>
      </c>
      <c r="Q177" s="65" t="str">
        <f t="shared" si="67"/>
        <v/>
      </c>
      <c r="R177" s="67" t="str">
        <f t="shared" si="69"/>
        <v/>
      </c>
      <c r="S177" s="56" t="str">
        <f t="shared" si="70"/>
        <v/>
      </c>
      <c r="T177" s="56" t="str">
        <f t="shared" si="71"/>
        <v/>
      </c>
      <c r="U177" s="56" t="str">
        <f t="shared" si="72"/>
        <v/>
      </c>
      <c r="V177" s="68" t="str">
        <f t="shared" si="73"/>
        <v/>
      </c>
      <c r="W177" s="80" t="str">
        <f t="shared" si="74"/>
        <v/>
      </c>
      <c r="X177" s="81" t="str">
        <f t="shared" si="75"/>
        <v/>
      </c>
      <c r="Y177" s="81" t="str">
        <f t="shared" si="76"/>
        <v/>
      </c>
      <c r="Z177" s="81" t="str">
        <f t="shared" si="77"/>
        <v/>
      </c>
      <c r="AA177" s="82" t="str">
        <f t="shared" si="78"/>
        <v/>
      </c>
      <c r="AB177" s="83" t="str">
        <f>IF(R177&lt;&gt;"",(W177-SUMPRODUCT(R$3:R177,$B$3:$B177)/SUM($B$3:$B177))/STDEVA(W167:W177),"")</f>
        <v/>
      </c>
      <c r="AC177" s="84" t="str">
        <f>IF(S177&lt;&gt;"",(X177-SUMPRODUCT(S$3:S177,$B$3:$B177)/SUM($B$3:$B177))/STDEVA(X167:X177),"")</f>
        <v/>
      </c>
      <c r="AD177" s="84" t="str">
        <f>IF(T177&lt;&gt;"",(Y177-SUMPRODUCT(T$3:T177,$B$3:$B177)/SUM($B$3:$B177))/STDEVA(Y167:Y177),"")</f>
        <v/>
      </c>
      <c r="AE177" s="84" t="str">
        <f>IF(U177&lt;&gt;"",(Z177-SUMPRODUCT(U$3:U177,$B$3:$B177)/SUM($B$3:$B177))/STDEVA(Z167:Z177),"")</f>
        <v/>
      </c>
      <c r="AF177" s="85" t="str">
        <f>IF(V177&lt;&gt;"",(AA177-SUMPRODUCT(V$3:V177,$B$3:$B177)/SUM($B$3:$B177))/STDEVA(AA167:AA177),"")</f>
        <v/>
      </c>
      <c r="AG177" s="90" t="str">
        <f t="shared" si="80"/>
        <v/>
      </c>
      <c r="AH177" s="90" t="str">
        <f t="shared" si="80"/>
        <v/>
      </c>
      <c r="AI177" s="90" t="str">
        <f t="shared" si="80"/>
        <v/>
      </c>
      <c r="AJ177" s="90" t="str">
        <f t="shared" si="79"/>
        <v/>
      </c>
      <c r="AK177" s="93" t="str">
        <f t="shared" si="79"/>
        <v/>
      </c>
      <c r="BQ177" s="100" t="str">
        <f>IF(A177&lt;&gt;"",(VLOOKUP(A177,MarketData!$D:$BP,MATCH($BQ$1,MarketData!$D$1:$EG$1,0),TRUE)/100/365+1)^(B177)*BQ176,"")</f>
        <v/>
      </c>
      <c r="BR177" s="98" t="str">
        <f t="shared" si="57"/>
        <v/>
      </c>
      <c r="BS177" s="106" t="str">
        <f>IF(A177&lt;&gt;"",VLOOKUP(A177,MarketData!$D:$BP,MATCH($BS$1,MarketData!$D$1:$EG$1,0),TRUE),"")</f>
        <v/>
      </c>
      <c r="BT177" s="98" t="str">
        <f t="shared" si="68"/>
        <v/>
      </c>
    </row>
    <row r="178" spans="2:72" x14ac:dyDescent="0.25">
      <c r="B178" s="60" t="str">
        <f t="shared" si="81"/>
        <v/>
      </c>
      <c r="C178" s="3" t="str">
        <f t="shared" si="58"/>
        <v/>
      </c>
      <c r="D178" s="3" t="str">
        <f t="shared" si="59"/>
        <v/>
      </c>
      <c r="E178" s="3" t="str">
        <f t="shared" si="60"/>
        <v/>
      </c>
      <c r="F178" s="3" t="str">
        <f t="shared" si="61"/>
        <v/>
      </c>
      <c r="G178" s="74" t="str">
        <f t="shared" si="62"/>
        <v/>
      </c>
      <c r="H178" s="78" t="str">
        <f>IFERROR(C178/SUM(M$2:M177),"")</f>
        <v/>
      </c>
      <c r="I178" s="61" t="str">
        <f>IFERROR(D178/SUM(N$2:N178),"")</f>
        <v/>
      </c>
      <c r="J178" s="61" t="str">
        <f>IFERROR(E178/SUM(O$2:O178),"")</f>
        <v/>
      </c>
      <c r="K178" s="61" t="str">
        <f>IFERROR(F178/SUM(P$2:P178),"")</f>
        <v/>
      </c>
      <c r="L178" s="79" t="str">
        <f>IFERROR(G178/SUM(Q$2:Q178),"")</f>
        <v/>
      </c>
      <c r="M178" s="64" t="str">
        <f t="shared" si="63"/>
        <v/>
      </c>
      <c r="N178" s="55" t="str">
        <f t="shared" si="64"/>
        <v/>
      </c>
      <c r="O178" s="55" t="str">
        <f t="shared" si="65"/>
        <v/>
      </c>
      <c r="P178" s="55" t="str">
        <f t="shared" si="66"/>
        <v/>
      </c>
      <c r="Q178" s="65" t="str">
        <f t="shared" si="67"/>
        <v/>
      </c>
      <c r="R178" s="67" t="str">
        <f t="shared" si="69"/>
        <v/>
      </c>
      <c r="S178" s="56" t="str">
        <f t="shared" si="70"/>
        <v/>
      </c>
      <c r="T178" s="56" t="str">
        <f t="shared" si="71"/>
        <v/>
      </c>
      <c r="U178" s="56" t="str">
        <f t="shared" si="72"/>
        <v/>
      </c>
      <c r="V178" s="68" t="str">
        <f t="shared" si="73"/>
        <v/>
      </c>
      <c r="W178" s="80" t="str">
        <f t="shared" si="74"/>
        <v/>
      </c>
      <c r="X178" s="81" t="str">
        <f t="shared" si="75"/>
        <v/>
      </c>
      <c r="Y178" s="81" t="str">
        <f t="shared" si="76"/>
        <v/>
      </c>
      <c r="Z178" s="81" t="str">
        <f t="shared" si="77"/>
        <v/>
      </c>
      <c r="AA178" s="82" t="str">
        <f t="shared" si="78"/>
        <v/>
      </c>
      <c r="AB178" s="83" t="str">
        <f>IF(R178&lt;&gt;"",(W178-SUMPRODUCT(R$3:R178,$B$3:$B178)/SUM($B$3:$B178))/STDEVA(W168:W178),"")</f>
        <v/>
      </c>
      <c r="AC178" s="84" t="str">
        <f>IF(S178&lt;&gt;"",(X178-SUMPRODUCT(S$3:S178,$B$3:$B178)/SUM($B$3:$B178))/STDEVA(X168:X178),"")</f>
        <v/>
      </c>
      <c r="AD178" s="84" t="str">
        <f>IF(T178&lt;&gt;"",(Y178-SUMPRODUCT(T$3:T178,$B$3:$B178)/SUM($B$3:$B178))/STDEVA(Y168:Y178),"")</f>
        <v/>
      </c>
      <c r="AE178" s="84" t="str">
        <f>IF(U178&lt;&gt;"",(Z178-SUMPRODUCT(U$3:U178,$B$3:$B178)/SUM($B$3:$B178))/STDEVA(Z168:Z178),"")</f>
        <v/>
      </c>
      <c r="AF178" s="85" t="str">
        <f>IF(V178&lt;&gt;"",(AA178-SUMPRODUCT(V$3:V178,$B$3:$B178)/SUM($B$3:$B178))/STDEVA(AA168:AA178),"")</f>
        <v/>
      </c>
      <c r="AG178" s="90" t="str">
        <f t="shared" si="80"/>
        <v/>
      </c>
      <c r="AH178" s="90" t="str">
        <f t="shared" si="80"/>
        <v/>
      </c>
      <c r="AI178" s="90" t="str">
        <f t="shared" si="80"/>
        <v/>
      </c>
      <c r="AJ178" s="90" t="str">
        <f t="shared" si="79"/>
        <v/>
      </c>
      <c r="AK178" s="93" t="str">
        <f t="shared" si="79"/>
        <v/>
      </c>
      <c r="BQ178" s="100" t="str">
        <f>IF(A178&lt;&gt;"",(VLOOKUP(A178,MarketData!$D:$BP,MATCH($BQ$1,MarketData!$D$1:$EG$1,0),TRUE)/100/365+1)^(B178)*BQ177,"")</f>
        <v/>
      </c>
      <c r="BR178" s="98" t="str">
        <f t="shared" si="57"/>
        <v/>
      </c>
      <c r="BS178" s="106" t="str">
        <f>IF(A178&lt;&gt;"",VLOOKUP(A178,MarketData!$D:$BP,MATCH($BS$1,MarketData!$D$1:$EG$1,0),TRUE),"")</f>
        <v/>
      </c>
      <c r="BT178" s="98" t="str">
        <f t="shared" si="68"/>
        <v/>
      </c>
    </row>
    <row r="179" spans="2:72" x14ac:dyDescent="0.25">
      <c r="B179" s="60" t="str">
        <f t="shared" si="81"/>
        <v/>
      </c>
      <c r="C179" s="3" t="str">
        <f t="shared" si="58"/>
        <v/>
      </c>
      <c r="D179" s="3" t="str">
        <f t="shared" si="59"/>
        <v/>
      </c>
      <c r="E179" s="3" t="str">
        <f t="shared" si="60"/>
        <v/>
      </c>
      <c r="F179" s="3" t="str">
        <f t="shared" si="61"/>
        <v/>
      </c>
      <c r="G179" s="74" t="str">
        <f t="shared" si="62"/>
        <v/>
      </c>
      <c r="H179" s="78" t="str">
        <f>IFERROR(C179/SUM(M$2:M178),"")</f>
        <v/>
      </c>
      <c r="I179" s="61" t="str">
        <f>IFERROR(D179/SUM(N$2:N179),"")</f>
        <v/>
      </c>
      <c r="J179" s="61" t="str">
        <f>IFERROR(E179/SUM(O$2:O179),"")</f>
        <v/>
      </c>
      <c r="K179" s="61" t="str">
        <f>IFERROR(F179/SUM(P$2:P179),"")</f>
        <v/>
      </c>
      <c r="L179" s="79" t="str">
        <f>IFERROR(G179/SUM(Q$2:Q179),"")</f>
        <v/>
      </c>
      <c r="M179" s="64" t="str">
        <f t="shared" si="63"/>
        <v/>
      </c>
      <c r="N179" s="55" t="str">
        <f t="shared" si="64"/>
        <v/>
      </c>
      <c r="O179" s="55" t="str">
        <f t="shared" si="65"/>
        <v/>
      </c>
      <c r="P179" s="55" t="str">
        <f t="shared" si="66"/>
        <v/>
      </c>
      <c r="Q179" s="65" t="str">
        <f t="shared" si="67"/>
        <v/>
      </c>
      <c r="R179" s="67" t="str">
        <f t="shared" si="69"/>
        <v/>
      </c>
      <c r="S179" s="56" t="str">
        <f t="shared" si="70"/>
        <v/>
      </c>
      <c r="T179" s="56" t="str">
        <f t="shared" si="71"/>
        <v/>
      </c>
      <c r="U179" s="56" t="str">
        <f t="shared" si="72"/>
        <v/>
      </c>
      <c r="V179" s="68" t="str">
        <f t="shared" si="73"/>
        <v/>
      </c>
      <c r="W179" s="80" t="str">
        <f t="shared" si="74"/>
        <v/>
      </c>
      <c r="X179" s="81" t="str">
        <f t="shared" si="75"/>
        <v/>
      </c>
      <c r="Y179" s="81" t="str">
        <f t="shared" si="76"/>
        <v/>
      </c>
      <c r="Z179" s="81" t="str">
        <f t="shared" si="77"/>
        <v/>
      </c>
      <c r="AA179" s="82" t="str">
        <f t="shared" si="78"/>
        <v/>
      </c>
      <c r="AB179" s="83" t="str">
        <f>IF(R179&lt;&gt;"",(W179-SUMPRODUCT(R$3:R179,$B$3:$B179)/SUM($B$3:$B179))/STDEVA(W169:W179),"")</f>
        <v/>
      </c>
      <c r="AC179" s="84" t="str">
        <f>IF(S179&lt;&gt;"",(X179-SUMPRODUCT(S$3:S179,$B$3:$B179)/SUM($B$3:$B179))/STDEVA(X169:X179),"")</f>
        <v/>
      </c>
      <c r="AD179" s="84" t="str">
        <f>IF(T179&lt;&gt;"",(Y179-SUMPRODUCT(T$3:T179,$B$3:$B179)/SUM($B$3:$B179))/STDEVA(Y169:Y179),"")</f>
        <v/>
      </c>
      <c r="AE179" s="84" t="str">
        <f>IF(U179&lt;&gt;"",(Z179-SUMPRODUCT(U$3:U179,$B$3:$B179)/SUM($B$3:$B179))/STDEVA(Z169:Z179),"")</f>
        <v/>
      </c>
      <c r="AF179" s="85" t="str">
        <f>IF(V179&lt;&gt;"",(AA179-SUMPRODUCT(V$3:V179,$B$3:$B179)/SUM($B$3:$B179))/STDEVA(AA169:AA179),"")</f>
        <v/>
      </c>
      <c r="AG179" s="90" t="str">
        <f t="shared" si="80"/>
        <v/>
      </c>
      <c r="AH179" s="90" t="str">
        <f t="shared" si="80"/>
        <v/>
      </c>
      <c r="AI179" s="90" t="str">
        <f t="shared" si="80"/>
        <v/>
      </c>
      <c r="AJ179" s="90" t="str">
        <f t="shared" si="79"/>
        <v/>
      </c>
      <c r="AK179" s="93" t="str">
        <f t="shared" si="79"/>
        <v/>
      </c>
      <c r="BQ179" s="100" t="str">
        <f>IF(A179&lt;&gt;"",(VLOOKUP(A179,MarketData!$D:$BP,MATCH($BQ$1,MarketData!$D$1:$EG$1,0),TRUE)/100/365+1)^(B179)*BQ178,"")</f>
        <v/>
      </c>
      <c r="BR179" s="98" t="str">
        <f t="shared" si="57"/>
        <v/>
      </c>
      <c r="BS179" s="106" t="str">
        <f>IF(A179&lt;&gt;"",VLOOKUP(A179,MarketData!$D:$BP,MATCH($BS$1,MarketData!$D$1:$EG$1,0),TRUE),"")</f>
        <v/>
      </c>
      <c r="BT179" s="98" t="str">
        <f t="shared" si="68"/>
        <v/>
      </c>
    </row>
    <row r="180" spans="2:72" x14ac:dyDescent="0.25">
      <c r="B180" s="60" t="str">
        <f t="shared" si="81"/>
        <v/>
      </c>
      <c r="C180" s="3" t="str">
        <f t="shared" si="58"/>
        <v/>
      </c>
      <c r="D180" s="3" t="str">
        <f t="shared" si="59"/>
        <v/>
      </c>
      <c r="E180" s="3" t="str">
        <f t="shared" si="60"/>
        <v/>
      </c>
      <c r="F180" s="3" t="str">
        <f t="shared" si="61"/>
        <v/>
      </c>
      <c r="G180" s="74" t="str">
        <f t="shared" si="62"/>
        <v/>
      </c>
      <c r="H180" s="78" t="str">
        <f>IFERROR(C180/SUM(M$2:M179),"")</f>
        <v/>
      </c>
      <c r="I180" s="61" t="str">
        <f>IFERROR(D180/SUM(N$2:N180),"")</f>
        <v/>
      </c>
      <c r="J180" s="61" t="str">
        <f>IFERROR(E180/SUM(O$2:O180),"")</f>
        <v/>
      </c>
      <c r="K180" s="61" t="str">
        <f>IFERROR(F180/SUM(P$2:P180),"")</f>
        <v/>
      </c>
      <c r="L180" s="79" t="str">
        <f>IFERROR(G180/SUM(Q$2:Q180),"")</f>
        <v/>
      </c>
      <c r="M180" s="64" t="str">
        <f t="shared" si="63"/>
        <v/>
      </c>
      <c r="N180" s="55" t="str">
        <f t="shared" si="64"/>
        <v/>
      </c>
      <c r="O180" s="55" t="str">
        <f t="shared" si="65"/>
        <v/>
      </c>
      <c r="P180" s="55" t="str">
        <f t="shared" si="66"/>
        <v/>
      </c>
      <c r="Q180" s="65" t="str">
        <f t="shared" si="67"/>
        <v/>
      </c>
      <c r="R180" s="67" t="str">
        <f t="shared" si="69"/>
        <v/>
      </c>
      <c r="S180" s="56" t="str">
        <f t="shared" si="70"/>
        <v/>
      </c>
      <c r="T180" s="56" t="str">
        <f t="shared" si="71"/>
        <v/>
      </c>
      <c r="U180" s="56" t="str">
        <f t="shared" si="72"/>
        <v/>
      </c>
      <c r="V180" s="68" t="str">
        <f t="shared" si="73"/>
        <v/>
      </c>
      <c r="W180" s="80" t="str">
        <f t="shared" si="74"/>
        <v/>
      </c>
      <c r="X180" s="81" t="str">
        <f t="shared" si="75"/>
        <v/>
      </c>
      <c r="Y180" s="81" t="str">
        <f t="shared" si="76"/>
        <v/>
      </c>
      <c r="Z180" s="81" t="str">
        <f t="shared" si="77"/>
        <v/>
      </c>
      <c r="AA180" s="82" t="str">
        <f t="shared" si="78"/>
        <v/>
      </c>
      <c r="AB180" s="83" t="str">
        <f>IF(R180&lt;&gt;"",(W180-SUMPRODUCT(R$3:R180,$B$3:$B180)/SUM($B$3:$B180))/STDEVA(W170:W180),"")</f>
        <v/>
      </c>
      <c r="AC180" s="84" t="str">
        <f>IF(S180&lt;&gt;"",(X180-SUMPRODUCT(S$3:S180,$B$3:$B180)/SUM($B$3:$B180))/STDEVA(X170:X180),"")</f>
        <v/>
      </c>
      <c r="AD180" s="84" t="str">
        <f>IF(T180&lt;&gt;"",(Y180-SUMPRODUCT(T$3:T180,$B$3:$B180)/SUM($B$3:$B180))/STDEVA(Y170:Y180),"")</f>
        <v/>
      </c>
      <c r="AE180" s="84" t="str">
        <f>IF(U180&lt;&gt;"",(Z180-SUMPRODUCT(U$3:U180,$B$3:$B180)/SUM($B$3:$B180))/STDEVA(Z170:Z180),"")</f>
        <v/>
      </c>
      <c r="AF180" s="85" t="str">
        <f>IF(V180&lt;&gt;"",(AA180-SUMPRODUCT(V$3:V180,$B$3:$B180)/SUM($B$3:$B180))/STDEVA(AA170:AA180),"")</f>
        <v/>
      </c>
      <c r="AG180" s="90" t="str">
        <f t="shared" si="80"/>
        <v/>
      </c>
      <c r="AH180" s="90" t="str">
        <f t="shared" si="80"/>
        <v/>
      </c>
      <c r="AI180" s="90" t="str">
        <f t="shared" si="80"/>
        <v/>
      </c>
      <c r="AJ180" s="90" t="str">
        <f t="shared" si="79"/>
        <v/>
      </c>
      <c r="AK180" s="93" t="str">
        <f t="shared" si="79"/>
        <v/>
      </c>
      <c r="BQ180" s="100" t="str">
        <f>IF(A180&lt;&gt;"",(VLOOKUP(A180,MarketData!$D:$BP,MATCH($BQ$1,MarketData!$D$1:$EG$1,0),TRUE)/100/365+1)^(B180)*BQ179,"")</f>
        <v/>
      </c>
      <c r="BR180" s="98" t="str">
        <f t="shared" si="57"/>
        <v/>
      </c>
      <c r="BS180" s="106" t="str">
        <f>IF(A180&lt;&gt;"",VLOOKUP(A180,MarketData!$D:$BP,MATCH($BS$1,MarketData!$D$1:$EG$1,0),TRUE),"")</f>
        <v/>
      </c>
      <c r="BT180" s="98" t="str">
        <f t="shared" si="68"/>
        <v/>
      </c>
    </row>
    <row r="181" spans="2:72" x14ac:dyDescent="0.25">
      <c r="B181" s="60" t="str">
        <f t="shared" si="81"/>
        <v/>
      </c>
      <c r="C181" s="3" t="str">
        <f t="shared" si="58"/>
        <v/>
      </c>
      <c r="D181" s="3" t="str">
        <f t="shared" si="59"/>
        <v/>
      </c>
      <c r="E181" s="3" t="str">
        <f t="shared" si="60"/>
        <v/>
      </c>
      <c r="F181" s="3" t="str">
        <f t="shared" si="61"/>
        <v/>
      </c>
      <c r="G181" s="74" t="str">
        <f t="shared" si="62"/>
        <v/>
      </c>
      <c r="H181" s="78" t="str">
        <f>IFERROR(C181/SUM(M$2:M180),"")</f>
        <v/>
      </c>
      <c r="I181" s="61" t="str">
        <f>IFERROR(D181/SUM(N$2:N181),"")</f>
        <v/>
      </c>
      <c r="J181" s="61" t="str">
        <f>IFERROR(E181/SUM(O$2:O181),"")</f>
        <v/>
      </c>
      <c r="K181" s="61" t="str">
        <f>IFERROR(F181/SUM(P$2:P181),"")</f>
        <v/>
      </c>
      <c r="L181" s="79" t="str">
        <f>IFERROR(G181/SUM(Q$2:Q181),"")</f>
        <v/>
      </c>
      <c r="M181" s="64" t="str">
        <f t="shared" si="63"/>
        <v/>
      </c>
      <c r="N181" s="55" t="str">
        <f t="shared" si="64"/>
        <v/>
      </c>
      <c r="O181" s="55" t="str">
        <f t="shared" si="65"/>
        <v/>
      </c>
      <c r="P181" s="55" t="str">
        <f t="shared" si="66"/>
        <v/>
      </c>
      <c r="Q181" s="65" t="str">
        <f t="shared" si="67"/>
        <v/>
      </c>
      <c r="R181" s="67" t="str">
        <f t="shared" si="69"/>
        <v/>
      </c>
      <c r="S181" s="56" t="str">
        <f t="shared" si="70"/>
        <v/>
      </c>
      <c r="T181" s="56" t="str">
        <f t="shared" si="71"/>
        <v/>
      </c>
      <c r="U181" s="56" t="str">
        <f t="shared" si="72"/>
        <v/>
      </c>
      <c r="V181" s="68" t="str">
        <f t="shared" si="73"/>
        <v/>
      </c>
      <c r="W181" s="80" t="str">
        <f t="shared" si="74"/>
        <v/>
      </c>
      <c r="X181" s="81" t="str">
        <f t="shared" si="75"/>
        <v/>
      </c>
      <c r="Y181" s="81" t="str">
        <f t="shared" si="76"/>
        <v/>
      </c>
      <c r="Z181" s="81" t="str">
        <f t="shared" si="77"/>
        <v/>
      </c>
      <c r="AA181" s="82" t="str">
        <f t="shared" si="78"/>
        <v/>
      </c>
      <c r="AB181" s="83" t="str">
        <f>IF(R181&lt;&gt;"",(W181-SUMPRODUCT(R$3:R181,$B$3:$B181)/SUM($B$3:$B181))/STDEVA(W171:W181),"")</f>
        <v/>
      </c>
      <c r="AC181" s="84" t="str">
        <f>IF(S181&lt;&gt;"",(X181-SUMPRODUCT(S$3:S181,$B$3:$B181)/SUM($B$3:$B181))/STDEVA(X171:X181),"")</f>
        <v/>
      </c>
      <c r="AD181" s="84" t="str">
        <f>IF(T181&lt;&gt;"",(Y181-SUMPRODUCT(T$3:T181,$B$3:$B181)/SUM($B$3:$B181))/STDEVA(Y171:Y181),"")</f>
        <v/>
      </c>
      <c r="AE181" s="84" t="str">
        <f>IF(U181&lt;&gt;"",(Z181-SUMPRODUCT(U$3:U181,$B$3:$B181)/SUM($B$3:$B181))/STDEVA(Z171:Z181),"")</f>
        <v/>
      </c>
      <c r="AF181" s="85" t="str">
        <f>IF(V181&lt;&gt;"",(AA181-SUMPRODUCT(V$3:V181,$B$3:$B181)/SUM($B$3:$B181))/STDEVA(AA171:AA181),"")</f>
        <v/>
      </c>
      <c r="AG181" s="90" t="str">
        <f t="shared" si="80"/>
        <v/>
      </c>
      <c r="AH181" s="90" t="str">
        <f t="shared" si="80"/>
        <v/>
      </c>
      <c r="AI181" s="90" t="str">
        <f t="shared" si="80"/>
        <v/>
      </c>
      <c r="AJ181" s="90" t="str">
        <f t="shared" si="79"/>
        <v/>
      </c>
      <c r="AK181" s="93" t="str">
        <f t="shared" si="79"/>
        <v/>
      </c>
      <c r="BQ181" s="100" t="str">
        <f>IF(A181&lt;&gt;"",(VLOOKUP(A181,MarketData!$D:$BP,MATCH($BQ$1,MarketData!$D$1:$EG$1,0),TRUE)/100/365+1)^(B181)*BQ180,"")</f>
        <v/>
      </c>
      <c r="BR181" s="98" t="str">
        <f t="shared" si="57"/>
        <v/>
      </c>
      <c r="BS181" s="106" t="str">
        <f>IF(A181&lt;&gt;"",VLOOKUP(A181,MarketData!$D:$BP,MATCH($BS$1,MarketData!$D$1:$EG$1,0),TRUE),"")</f>
        <v/>
      </c>
      <c r="BT181" s="98" t="str">
        <f t="shared" si="68"/>
        <v/>
      </c>
    </row>
    <row r="182" spans="2:72" x14ac:dyDescent="0.25">
      <c r="B182" s="60" t="str">
        <f t="shared" si="81"/>
        <v/>
      </c>
      <c r="C182" s="3" t="str">
        <f t="shared" si="58"/>
        <v/>
      </c>
      <c r="D182" s="3" t="str">
        <f t="shared" si="59"/>
        <v/>
      </c>
      <c r="E182" s="3" t="str">
        <f t="shared" si="60"/>
        <v/>
      </c>
      <c r="F182" s="3" t="str">
        <f t="shared" si="61"/>
        <v/>
      </c>
      <c r="G182" s="74" t="str">
        <f t="shared" si="62"/>
        <v/>
      </c>
      <c r="H182" s="78" t="str">
        <f>IFERROR(C182/SUM(M$2:M181),"")</f>
        <v/>
      </c>
      <c r="I182" s="61" t="str">
        <f>IFERROR(D182/SUM(N$2:N182),"")</f>
        <v/>
      </c>
      <c r="J182" s="61" t="str">
        <f>IFERROR(E182/SUM(O$2:O182),"")</f>
        <v/>
      </c>
      <c r="K182" s="61" t="str">
        <f>IFERROR(F182/SUM(P$2:P182),"")</f>
        <v/>
      </c>
      <c r="L182" s="79" t="str">
        <f>IFERROR(G182/SUM(Q$2:Q182),"")</f>
        <v/>
      </c>
      <c r="M182" s="64" t="str">
        <f t="shared" si="63"/>
        <v/>
      </c>
      <c r="N182" s="55" t="str">
        <f t="shared" si="64"/>
        <v/>
      </c>
      <c r="O182" s="55" t="str">
        <f t="shared" si="65"/>
        <v/>
      </c>
      <c r="P182" s="55" t="str">
        <f t="shared" si="66"/>
        <v/>
      </c>
      <c r="Q182" s="65" t="str">
        <f t="shared" si="67"/>
        <v/>
      </c>
      <c r="R182" s="67" t="str">
        <f t="shared" si="69"/>
        <v/>
      </c>
      <c r="S182" s="56" t="str">
        <f t="shared" si="70"/>
        <v/>
      </c>
      <c r="T182" s="56" t="str">
        <f t="shared" si="71"/>
        <v/>
      </c>
      <c r="U182" s="56" t="str">
        <f t="shared" si="72"/>
        <v/>
      </c>
      <c r="V182" s="68" t="str">
        <f t="shared" si="73"/>
        <v/>
      </c>
      <c r="W182" s="80" t="str">
        <f t="shared" si="74"/>
        <v/>
      </c>
      <c r="X182" s="81" t="str">
        <f t="shared" si="75"/>
        <v/>
      </c>
      <c r="Y182" s="81" t="str">
        <f t="shared" si="76"/>
        <v/>
      </c>
      <c r="Z182" s="81" t="str">
        <f t="shared" si="77"/>
        <v/>
      </c>
      <c r="AA182" s="82" t="str">
        <f t="shared" si="78"/>
        <v/>
      </c>
      <c r="AB182" s="83" t="str">
        <f>IF(R182&lt;&gt;"",(W182-SUMPRODUCT(R$3:R182,$B$3:$B182)/SUM($B$3:$B182))/STDEVA(W172:W182),"")</f>
        <v/>
      </c>
      <c r="AC182" s="84" t="str">
        <f>IF(S182&lt;&gt;"",(X182-SUMPRODUCT(S$3:S182,$B$3:$B182)/SUM($B$3:$B182))/STDEVA(X172:X182),"")</f>
        <v/>
      </c>
      <c r="AD182" s="84" t="str">
        <f>IF(T182&lt;&gt;"",(Y182-SUMPRODUCT(T$3:T182,$B$3:$B182)/SUM($B$3:$B182))/STDEVA(Y172:Y182),"")</f>
        <v/>
      </c>
      <c r="AE182" s="84" t="str">
        <f>IF(U182&lt;&gt;"",(Z182-SUMPRODUCT(U$3:U182,$B$3:$B182)/SUM($B$3:$B182))/STDEVA(Z172:Z182),"")</f>
        <v/>
      </c>
      <c r="AF182" s="85" t="str">
        <f>IF(V182&lt;&gt;"",(AA182-SUMPRODUCT(V$3:V182,$B$3:$B182)/SUM($B$3:$B182))/STDEVA(AA172:AA182),"")</f>
        <v/>
      </c>
      <c r="AG182" s="90" t="str">
        <f t="shared" si="80"/>
        <v/>
      </c>
      <c r="AH182" s="90" t="str">
        <f t="shared" si="80"/>
        <v/>
      </c>
      <c r="AI182" s="90" t="str">
        <f t="shared" si="80"/>
        <v/>
      </c>
      <c r="AJ182" s="90" t="str">
        <f t="shared" si="79"/>
        <v/>
      </c>
      <c r="AK182" s="93" t="str">
        <f t="shared" si="79"/>
        <v/>
      </c>
      <c r="BQ182" s="100" t="str">
        <f>IF(A182&lt;&gt;"",(VLOOKUP(A182,MarketData!$D:$BP,MATCH($BQ$1,MarketData!$D$1:$EG$1,0),TRUE)/100/365+1)^(B182)*BQ181,"")</f>
        <v/>
      </c>
      <c r="BR182" s="98" t="str">
        <f t="shared" si="57"/>
        <v/>
      </c>
      <c r="BS182" s="106" t="str">
        <f>IF(A182&lt;&gt;"",VLOOKUP(A182,MarketData!$D:$BP,MATCH($BS$1,MarketData!$D$1:$EG$1,0),TRUE),"")</f>
        <v/>
      </c>
      <c r="BT182" s="98" t="str">
        <f t="shared" si="68"/>
        <v/>
      </c>
    </row>
    <row r="183" spans="2:72" x14ac:dyDescent="0.25">
      <c r="B183" s="60" t="str">
        <f t="shared" si="81"/>
        <v/>
      </c>
      <c r="C183" s="3" t="str">
        <f t="shared" si="58"/>
        <v/>
      </c>
      <c r="D183" s="3" t="str">
        <f t="shared" si="59"/>
        <v/>
      </c>
      <c r="E183" s="3" t="str">
        <f t="shared" si="60"/>
        <v/>
      </c>
      <c r="F183" s="3" t="str">
        <f t="shared" si="61"/>
        <v/>
      </c>
      <c r="G183" s="74" t="str">
        <f t="shared" si="62"/>
        <v/>
      </c>
      <c r="H183" s="78" t="str">
        <f>IFERROR(C183/SUM(M$2:M182),"")</f>
        <v/>
      </c>
      <c r="I183" s="61" t="str">
        <f>IFERROR(D183/SUM(N$2:N183),"")</f>
        <v/>
      </c>
      <c r="J183" s="61" t="str">
        <f>IFERROR(E183/SUM(O$2:O183),"")</f>
        <v/>
      </c>
      <c r="K183" s="61" t="str">
        <f>IFERROR(F183/SUM(P$2:P183),"")</f>
        <v/>
      </c>
      <c r="L183" s="79" t="str">
        <f>IFERROR(G183/SUM(Q$2:Q183),"")</f>
        <v/>
      </c>
      <c r="M183" s="64" t="str">
        <f t="shared" si="63"/>
        <v/>
      </c>
      <c r="N183" s="55" t="str">
        <f t="shared" si="64"/>
        <v/>
      </c>
      <c r="O183" s="55" t="str">
        <f t="shared" si="65"/>
        <v/>
      </c>
      <c r="P183" s="55" t="str">
        <f t="shared" si="66"/>
        <v/>
      </c>
      <c r="Q183" s="65" t="str">
        <f t="shared" si="67"/>
        <v/>
      </c>
      <c r="R183" s="67" t="str">
        <f t="shared" si="69"/>
        <v/>
      </c>
      <c r="S183" s="56" t="str">
        <f t="shared" si="70"/>
        <v/>
      </c>
      <c r="T183" s="56" t="str">
        <f t="shared" si="71"/>
        <v/>
      </c>
      <c r="U183" s="56" t="str">
        <f t="shared" si="72"/>
        <v/>
      </c>
      <c r="V183" s="68" t="str">
        <f t="shared" si="73"/>
        <v/>
      </c>
      <c r="W183" s="80" t="str">
        <f t="shared" si="74"/>
        <v/>
      </c>
      <c r="X183" s="81" t="str">
        <f t="shared" si="75"/>
        <v/>
      </c>
      <c r="Y183" s="81" t="str">
        <f t="shared" si="76"/>
        <v/>
      </c>
      <c r="Z183" s="81" t="str">
        <f t="shared" si="77"/>
        <v/>
      </c>
      <c r="AA183" s="82" t="str">
        <f t="shared" si="78"/>
        <v/>
      </c>
      <c r="AB183" s="83" t="str">
        <f>IF(R183&lt;&gt;"",(W183-SUMPRODUCT(R$3:R183,$B$3:$B183)/SUM($B$3:$B183))/STDEVA(W173:W183),"")</f>
        <v/>
      </c>
      <c r="AC183" s="84" t="str">
        <f>IF(S183&lt;&gt;"",(X183-SUMPRODUCT(S$3:S183,$B$3:$B183)/SUM($B$3:$B183))/STDEVA(X173:X183),"")</f>
        <v/>
      </c>
      <c r="AD183" s="84" t="str">
        <f>IF(T183&lt;&gt;"",(Y183-SUMPRODUCT(T$3:T183,$B$3:$B183)/SUM($B$3:$B183))/STDEVA(Y173:Y183),"")</f>
        <v/>
      </c>
      <c r="AE183" s="84" t="str">
        <f>IF(U183&lt;&gt;"",(Z183-SUMPRODUCT(U$3:U183,$B$3:$B183)/SUM($B$3:$B183))/STDEVA(Z173:Z183),"")</f>
        <v/>
      </c>
      <c r="AF183" s="85" t="str">
        <f>IF(V183&lt;&gt;"",(AA183-SUMPRODUCT(V$3:V183,$B$3:$B183)/SUM($B$3:$B183))/STDEVA(AA173:AA183),"")</f>
        <v/>
      </c>
      <c r="AG183" s="90" t="str">
        <f t="shared" si="80"/>
        <v/>
      </c>
      <c r="AH183" s="90" t="str">
        <f t="shared" si="80"/>
        <v/>
      </c>
      <c r="AI183" s="90" t="str">
        <f t="shared" si="80"/>
        <v/>
      </c>
      <c r="AJ183" s="90" t="str">
        <f t="shared" si="79"/>
        <v/>
      </c>
      <c r="AK183" s="93" t="str">
        <f t="shared" si="79"/>
        <v/>
      </c>
      <c r="BQ183" s="100" t="str">
        <f>IF(A183&lt;&gt;"",(VLOOKUP(A183,MarketData!$D:$BP,MATCH($BQ$1,MarketData!$D$1:$EG$1,0),TRUE)/100/365+1)^(B183)*BQ182,"")</f>
        <v/>
      </c>
      <c r="BR183" s="98" t="str">
        <f t="shared" si="57"/>
        <v/>
      </c>
      <c r="BS183" s="106" t="str">
        <f>IF(A183&lt;&gt;"",VLOOKUP(A183,MarketData!$D:$BP,MATCH($BS$1,MarketData!$D$1:$EG$1,0),TRUE),"")</f>
        <v/>
      </c>
      <c r="BT183" s="98" t="str">
        <f t="shared" si="68"/>
        <v/>
      </c>
    </row>
    <row r="184" spans="2:72" x14ac:dyDescent="0.25">
      <c r="B184" s="60" t="str">
        <f t="shared" si="81"/>
        <v/>
      </c>
      <c r="C184" s="3" t="str">
        <f t="shared" si="58"/>
        <v/>
      </c>
      <c r="D184" s="3" t="str">
        <f t="shared" si="59"/>
        <v/>
      </c>
      <c r="E184" s="3" t="str">
        <f t="shared" si="60"/>
        <v/>
      </c>
      <c r="F184" s="3" t="str">
        <f t="shared" si="61"/>
        <v/>
      </c>
      <c r="G184" s="74" t="str">
        <f t="shared" si="62"/>
        <v/>
      </c>
      <c r="H184" s="78" t="str">
        <f>IFERROR(C184/SUM(M$2:M183),"")</f>
        <v/>
      </c>
      <c r="I184" s="61" t="str">
        <f>IFERROR(D184/SUM(N$2:N184),"")</f>
        <v/>
      </c>
      <c r="J184" s="61" t="str">
        <f>IFERROR(E184/SUM(O$2:O184),"")</f>
        <v/>
      </c>
      <c r="K184" s="61" t="str">
        <f>IFERROR(F184/SUM(P$2:P184),"")</f>
        <v/>
      </c>
      <c r="L184" s="79" t="str">
        <f>IFERROR(G184/SUM(Q$2:Q184),"")</f>
        <v/>
      </c>
      <c r="M184" s="64" t="str">
        <f t="shared" si="63"/>
        <v/>
      </c>
      <c r="N184" s="55" t="str">
        <f t="shared" si="64"/>
        <v/>
      </c>
      <c r="O184" s="55" t="str">
        <f t="shared" si="65"/>
        <v/>
      </c>
      <c r="P184" s="55" t="str">
        <f t="shared" si="66"/>
        <v/>
      </c>
      <c r="Q184" s="65" t="str">
        <f t="shared" si="67"/>
        <v/>
      </c>
      <c r="R184" s="67" t="str">
        <f t="shared" si="69"/>
        <v/>
      </c>
      <c r="S184" s="56" t="str">
        <f t="shared" si="70"/>
        <v/>
      </c>
      <c r="T184" s="56" t="str">
        <f t="shared" si="71"/>
        <v/>
      </c>
      <c r="U184" s="56" t="str">
        <f t="shared" si="72"/>
        <v/>
      </c>
      <c r="V184" s="68" t="str">
        <f t="shared" si="73"/>
        <v/>
      </c>
      <c r="W184" s="80" t="str">
        <f t="shared" si="74"/>
        <v/>
      </c>
      <c r="X184" s="81" t="str">
        <f t="shared" si="75"/>
        <v/>
      </c>
      <c r="Y184" s="81" t="str">
        <f t="shared" si="76"/>
        <v/>
      </c>
      <c r="Z184" s="81" t="str">
        <f t="shared" si="77"/>
        <v/>
      </c>
      <c r="AA184" s="82" t="str">
        <f t="shared" si="78"/>
        <v/>
      </c>
      <c r="AB184" s="83" t="str">
        <f>IF(R184&lt;&gt;"",(W184-SUMPRODUCT(R$3:R184,$B$3:$B184)/SUM($B$3:$B184))/STDEVA(W174:W184),"")</f>
        <v/>
      </c>
      <c r="AC184" s="84" t="str">
        <f>IF(S184&lt;&gt;"",(X184-SUMPRODUCT(S$3:S184,$B$3:$B184)/SUM($B$3:$B184))/STDEVA(X174:X184),"")</f>
        <v/>
      </c>
      <c r="AD184" s="84" t="str">
        <f>IF(T184&lt;&gt;"",(Y184-SUMPRODUCT(T$3:T184,$B$3:$B184)/SUM($B$3:$B184))/STDEVA(Y174:Y184),"")</f>
        <v/>
      </c>
      <c r="AE184" s="84" t="str">
        <f>IF(U184&lt;&gt;"",(Z184-SUMPRODUCT(U$3:U184,$B$3:$B184)/SUM($B$3:$B184))/STDEVA(Z174:Z184),"")</f>
        <v/>
      </c>
      <c r="AF184" s="85" t="str">
        <f>IF(V184&lt;&gt;"",(AA184-SUMPRODUCT(V$3:V184,$B$3:$B184)/SUM($B$3:$B184))/STDEVA(AA174:AA184),"")</f>
        <v/>
      </c>
      <c r="AG184" s="90" t="str">
        <f t="shared" si="80"/>
        <v/>
      </c>
      <c r="AH184" s="90" t="str">
        <f t="shared" si="80"/>
        <v/>
      </c>
      <c r="AI184" s="90" t="str">
        <f t="shared" si="80"/>
        <v/>
      </c>
      <c r="AJ184" s="90" t="str">
        <f t="shared" si="79"/>
        <v/>
      </c>
      <c r="AK184" s="93" t="str">
        <f t="shared" si="79"/>
        <v/>
      </c>
      <c r="BQ184" s="100" t="str">
        <f>IF(A184&lt;&gt;"",(VLOOKUP(A184,MarketData!$D:$BP,MATCH($BQ$1,MarketData!$D$1:$EG$1,0),TRUE)/100/365+1)^(B184)*BQ183,"")</f>
        <v/>
      </c>
      <c r="BR184" s="98" t="str">
        <f t="shared" si="57"/>
        <v/>
      </c>
      <c r="BS184" s="106" t="str">
        <f>IF(A184&lt;&gt;"",VLOOKUP(A184,MarketData!$D:$BP,MATCH($BS$1,MarketData!$D$1:$EG$1,0),TRUE),"")</f>
        <v/>
      </c>
      <c r="BT184" s="98" t="str">
        <f t="shared" si="68"/>
        <v/>
      </c>
    </row>
    <row r="185" spans="2:72" x14ac:dyDescent="0.25">
      <c r="B185" s="60" t="str">
        <f t="shared" si="81"/>
        <v/>
      </c>
      <c r="C185" s="3" t="str">
        <f t="shared" si="58"/>
        <v/>
      </c>
      <c r="D185" s="3" t="str">
        <f t="shared" si="59"/>
        <v/>
      </c>
      <c r="E185" s="3" t="str">
        <f t="shared" si="60"/>
        <v/>
      </c>
      <c r="F185" s="3" t="str">
        <f t="shared" si="61"/>
        <v/>
      </c>
      <c r="G185" s="74" t="str">
        <f t="shared" si="62"/>
        <v/>
      </c>
      <c r="H185" s="78" t="str">
        <f>IFERROR(C185/SUM(M$2:M184),"")</f>
        <v/>
      </c>
      <c r="I185" s="61" t="str">
        <f>IFERROR(D185/SUM(N$2:N185),"")</f>
        <v/>
      </c>
      <c r="J185" s="61" t="str">
        <f>IFERROR(E185/SUM(O$2:O185),"")</f>
        <v/>
      </c>
      <c r="K185" s="61" t="str">
        <f>IFERROR(F185/SUM(P$2:P185),"")</f>
        <v/>
      </c>
      <c r="L185" s="79" t="str">
        <f>IFERROR(G185/SUM(Q$2:Q185),"")</f>
        <v/>
      </c>
      <c r="M185" s="64" t="str">
        <f t="shared" si="63"/>
        <v/>
      </c>
      <c r="N185" s="55" t="str">
        <f t="shared" si="64"/>
        <v/>
      </c>
      <c r="O185" s="55" t="str">
        <f t="shared" si="65"/>
        <v/>
      </c>
      <c r="P185" s="55" t="str">
        <f t="shared" si="66"/>
        <v/>
      </c>
      <c r="Q185" s="65" t="str">
        <f t="shared" si="67"/>
        <v/>
      </c>
      <c r="R185" s="67" t="str">
        <f t="shared" si="69"/>
        <v/>
      </c>
      <c r="S185" s="56" t="str">
        <f t="shared" si="70"/>
        <v/>
      </c>
      <c r="T185" s="56" t="str">
        <f t="shared" si="71"/>
        <v/>
      </c>
      <c r="U185" s="56" t="str">
        <f t="shared" si="72"/>
        <v/>
      </c>
      <c r="V185" s="68" t="str">
        <f t="shared" si="73"/>
        <v/>
      </c>
      <c r="W185" s="80" t="str">
        <f t="shared" si="74"/>
        <v/>
      </c>
      <c r="X185" s="81" t="str">
        <f t="shared" si="75"/>
        <v/>
      </c>
      <c r="Y185" s="81" t="str">
        <f t="shared" si="76"/>
        <v/>
      </c>
      <c r="Z185" s="81" t="str">
        <f t="shared" si="77"/>
        <v/>
      </c>
      <c r="AA185" s="82" t="str">
        <f t="shared" si="78"/>
        <v/>
      </c>
      <c r="AB185" s="83" t="str">
        <f>IF(R185&lt;&gt;"",(W185-SUMPRODUCT(R$3:R185,$B$3:$B185)/SUM($B$3:$B185))/STDEVA(W175:W185),"")</f>
        <v/>
      </c>
      <c r="AC185" s="84" t="str">
        <f>IF(S185&lt;&gt;"",(X185-SUMPRODUCT(S$3:S185,$B$3:$B185)/SUM($B$3:$B185))/STDEVA(X175:X185),"")</f>
        <v/>
      </c>
      <c r="AD185" s="84" t="str">
        <f>IF(T185&lt;&gt;"",(Y185-SUMPRODUCT(T$3:T185,$B$3:$B185)/SUM($B$3:$B185))/STDEVA(Y175:Y185),"")</f>
        <v/>
      </c>
      <c r="AE185" s="84" t="str">
        <f>IF(U185&lt;&gt;"",(Z185-SUMPRODUCT(U$3:U185,$B$3:$B185)/SUM($B$3:$B185))/STDEVA(Z175:Z185),"")</f>
        <v/>
      </c>
      <c r="AF185" s="85" t="str">
        <f>IF(V185&lt;&gt;"",(AA185-SUMPRODUCT(V$3:V185,$B$3:$B185)/SUM($B$3:$B185))/STDEVA(AA175:AA185),"")</f>
        <v/>
      </c>
      <c r="AG185" s="90" t="str">
        <f t="shared" si="80"/>
        <v/>
      </c>
      <c r="AH185" s="90" t="str">
        <f t="shared" si="80"/>
        <v/>
      </c>
      <c r="AI185" s="90" t="str">
        <f t="shared" si="80"/>
        <v/>
      </c>
      <c r="AJ185" s="90" t="str">
        <f t="shared" si="79"/>
        <v/>
      </c>
      <c r="AK185" s="93" t="str">
        <f t="shared" si="79"/>
        <v/>
      </c>
      <c r="BQ185" s="100" t="str">
        <f>IF(A185&lt;&gt;"",(VLOOKUP(A185,MarketData!$D:$BP,MATCH($BQ$1,MarketData!$D$1:$EG$1,0),TRUE)/100/365+1)^(B185)*BQ184,"")</f>
        <v/>
      </c>
      <c r="BR185" s="98" t="str">
        <f t="shared" si="57"/>
        <v/>
      </c>
      <c r="BS185" s="106" t="str">
        <f>IF(A185&lt;&gt;"",VLOOKUP(A185,MarketData!$D:$BP,MATCH($BS$1,MarketData!$D$1:$EG$1,0),TRUE),"")</f>
        <v/>
      </c>
      <c r="BT185" s="98" t="str">
        <f t="shared" si="68"/>
        <v/>
      </c>
    </row>
    <row r="186" spans="2:72" x14ac:dyDescent="0.25">
      <c r="B186" s="60" t="str">
        <f t="shared" si="81"/>
        <v/>
      </c>
      <c r="C186" s="3" t="str">
        <f t="shared" si="58"/>
        <v/>
      </c>
      <c r="D186" s="3" t="str">
        <f t="shared" si="59"/>
        <v/>
      </c>
      <c r="E186" s="3" t="str">
        <f t="shared" si="60"/>
        <v/>
      </c>
      <c r="F186" s="3" t="str">
        <f t="shared" si="61"/>
        <v/>
      </c>
      <c r="G186" s="74" t="str">
        <f t="shared" si="62"/>
        <v/>
      </c>
      <c r="H186" s="78" t="str">
        <f>IFERROR(C186/SUM(M$2:M185),"")</f>
        <v/>
      </c>
      <c r="I186" s="61" t="str">
        <f>IFERROR(D186/SUM(N$2:N186),"")</f>
        <v/>
      </c>
      <c r="J186" s="61" t="str">
        <f>IFERROR(E186/SUM(O$2:O186),"")</f>
        <v/>
      </c>
      <c r="K186" s="61" t="str">
        <f>IFERROR(F186/SUM(P$2:P186),"")</f>
        <v/>
      </c>
      <c r="L186" s="79" t="str">
        <f>IFERROR(G186/SUM(Q$2:Q186),"")</f>
        <v/>
      </c>
      <c r="M186" s="64" t="str">
        <f t="shared" si="63"/>
        <v/>
      </c>
      <c r="N186" s="55" t="str">
        <f t="shared" si="64"/>
        <v/>
      </c>
      <c r="O186" s="55" t="str">
        <f t="shared" si="65"/>
        <v/>
      </c>
      <c r="P186" s="55" t="str">
        <f t="shared" si="66"/>
        <v/>
      </c>
      <c r="Q186" s="65" t="str">
        <f t="shared" si="67"/>
        <v/>
      </c>
      <c r="R186" s="67" t="str">
        <f t="shared" si="69"/>
        <v/>
      </c>
      <c r="S186" s="56" t="str">
        <f t="shared" si="70"/>
        <v/>
      </c>
      <c r="T186" s="56" t="str">
        <f t="shared" si="71"/>
        <v/>
      </c>
      <c r="U186" s="56" t="str">
        <f t="shared" si="72"/>
        <v/>
      </c>
      <c r="V186" s="68" t="str">
        <f t="shared" si="73"/>
        <v/>
      </c>
      <c r="W186" s="80" t="str">
        <f t="shared" si="74"/>
        <v/>
      </c>
      <c r="X186" s="81" t="str">
        <f t="shared" si="75"/>
        <v/>
      </c>
      <c r="Y186" s="81" t="str">
        <f t="shared" si="76"/>
        <v/>
      </c>
      <c r="Z186" s="81" t="str">
        <f t="shared" si="77"/>
        <v/>
      </c>
      <c r="AA186" s="82" t="str">
        <f t="shared" si="78"/>
        <v/>
      </c>
      <c r="AB186" s="83" t="str">
        <f>IF(R186&lt;&gt;"",(W186-SUMPRODUCT(R$3:R186,$B$3:$B186)/SUM($B$3:$B186))/STDEVA(W176:W186),"")</f>
        <v/>
      </c>
      <c r="AC186" s="84" t="str">
        <f>IF(S186&lt;&gt;"",(X186-SUMPRODUCT(S$3:S186,$B$3:$B186)/SUM($B$3:$B186))/STDEVA(X176:X186),"")</f>
        <v/>
      </c>
      <c r="AD186" s="84" t="str">
        <f>IF(T186&lt;&gt;"",(Y186-SUMPRODUCT(T$3:T186,$B$3:$B186)/SUM($B$3:$B186))/STDEVA(Y176:Y186),"")</f>
        <v/>
      </c>
      <c r="AE186" s="84" t="str">
        <f>IF(U186&lt;&gt;"",(Z186-SUMPRODUCT(U$3:U186,$B$3:$B186)/SUM($B$3:$B186))/STDEVA(Z176:Z186),"")</f>
        <v/>
      </c>
      <c r="AF186" s="85" t="str">
        <f>IF(V186&lt;&gt;"",(AA186-SUMPRODUCT(V$3:V186,$B$3:$B186)/SUM($B$3:$B186))/STDEVA(AA176:AA186),"")</f>
        <v/>
      </c>
      <c r="AG186" s="90" t="str">
        <f t="shared" si="80"/>
        <v/>
      </c>
      <c r="AH186" s="90" t="str">
        <f t="shared" si="80"/>
        <v/>
      </c>
      <c r="AI186" s="90" t="str">
        <f t="shared" si="80"/>
        <v/>
      </c>
      <c r="AJ186" s="90" t="str">
        <f t="shared" si="79"/>
        <v/>
      </c>
      <c r="AK186" s="93" t="str">
        <f t="shared" si="79"/>
        <v/>
      </c>
      <c r="BQ186" s="100" t="str">
        <f>IF(A186&lt;&gt;"",(VLOOKUP(A186,MarketData!$D:$BP,MATCH($BQ$1,MarketData!$D$1:$EG$1,0),TRUE)/100/365+1)^(B186)*BQ185,"")</f>
        <v/>
      </c>
      <c r="BR186" s="98" t="str">
        <f t="shared" si="57"/>
        <v/>
      </c>
      <c r="BS186" s="106" t="str">
        <f>IF(A186&lt;&gt;"",VLOOKUP(A186,MarketData!$D:$BP,MATCH($BS$1,MarketData!$D$1:$EG$1,0),TRUE),"")</f>
        <v/>
      </c>
      <c r="BT186" s="98" t="str">
        <f t="shared" si="68"/>
        <v/>
      </c>
    </row>
    <row r="187" spans="2:72" x14ac:dyDescent="0.25">
      <c r="B187" s="60" t="str">
        <f t="shared" si="81"/>
        <v/>
      </c>
      <c r="C187" s="3" t="str">
        <f t="shared" si="58"/>
        <v/>
      </c>
      <c r="D187" s="3" t="str">
        <f t="shared" si="59"/>
        <v/>
      </c>
      <c r="E187" s="3" t="str">
        <f t="shared" si="60"/>
        <v/>
      </c>
      <c r="F187" s="3" t="str">
        <f t="shared" si="61"/>
        <v/>
      </c>
      <c r="G187" s="74" t="str">
        <f t="shared" si="62"/>
        <v/>
      </c>
      <c r="H187" s="78" t="str">
        <f>IFERROR(C187/SUM(M$2:M186),"")</f>
        <v/>
      </c>
      <c r="I187" s="61" t="str">
        <f>IFERROR(D187/SUM(N$2:N187),"")</f>
        <v/>
      </c>
      <c r="J187" s="61" t="str">
        <f>IFERROR(E187/SUM(O$2:O187),"")</f>
        <v/>
      </c>
      <c r="K187" s="61" t="str">
        <f>IFERROR(F187/SUM(P$2:P187),"")</f>
        <v/>
      </c>
      <c r="L187" s="79" t="str">
        <f>IFERROR(G187/SUM(Q$2:Q187),"")</f>
        <v/>
      </c>
      <c r="M187" s="64" t="str">
        <f t="shared" si="63"/>
        <v/>
      </c>
      <c r="N187" s="55" t="str">
        <f t="shared" si="64"/>
        <v/>
      </c>
      <c r="O187" s="55" t="str">
        <f t="shared" si="65"/>
        <v/>
      </c>
      <c r="P187" s="55" t="str">
        <f t="shared" si="66"/>
        <v/>
      </c>
      <c r="Q187" s="65" t="str">
        <f t="shared" si="67"/>
        <v/>
      </c>
      <c r="R187" s="67" t="str">
        <f t="shared" si="69"/>
        <v/>
      </c>
      <c r="S187" s="56" t="str">
        <f t="shared" si="70"/>
        <v/>
      </c>
      <c r="T187" s="56" t="str">
        <f t="shared" si="71"/>
        <v/>
      </c>
      <c r="U187" s="56" t="str">
        <f t="shared" si="72"/>
        <v/>
      </c>
      <c r="V187" s="68" t="str">
        <f t="shared" si="73"/>
        <v/>
      </c>
      <c r="W187" s="80" t="str">
        <f t="shared" si="74"/>
        <v/>
      </c>
      <c r="X187" s="81" t="str">
        <f t="shared" si="75"/>
        <v/>
      </c>
      <c r="Y187" s="81" t="str">
        <f t="shared" si="76"/>
        <v/>
      </c>
      <c r="Z187" s="81" t="str">
        <f t="shared" si="77"/>
        <v/>
      </c>
      <c r="AA187" s="82" t="str">
        <f t="shared" si="78"/>
        <v/>
      </c>
      <c r="AB187" s="83" t="str">
        <f>IF(R187&lt;&gt;"",(W187-SUMPRODUCT(R$3:R187,$B$3:$B187)/SUM($B$3:$B187))/STDEVA(W177:W187),"")</f>
        <v/>
      </c>
      <c r="AC187" s="84" t="str">
        <f>IF(S187&lt;&gt;"",(X187-SUMPRODUCT(S$3:S187,$B$3:$B187)/SUM($B$3:$B187))/STDEVA(X177:X187),"")</f>
        <v/>
      </c>
      <c r="AD187" s="84" t="str">
        <f>IF(T187&lt;&gt;"",(Y187-SUMPRODUCT(T$3:T187,$B$3:$B187)/SUM($B$3:$B187))/STDEVA(Y177:Y187),"")</f>
        <v/>
      </c>
      <c r="AE187" s="84" t="str">
        <f>IF(U187&lt;&gt;"",(Z187-SUMPRODUCT(U$3:U187,$B$3:$B187)/SUM($B$3:$B187))/STDEVA(Z177:Z187),"")</f>
        <v/>
      </c>
      <c r="AF187" s="85" t="str">
        <f>IF(V187&lt;&gt;"",(AA187-SUMPRODUCT(V$3:V187,$B$3:$B187)/SUM($B$3:$B187))/STDEVA(AA177:AA187),"")</f>
        <v/>
      </c>
      <c r="AG187" s="90" t="str">
        <f t="shared" si="80"/>
        <v/>
      </c>
      <c r="AH187" s="90" t="str">
        <f t="shared" si="80"/>
        <v/>
      </c>
      <c r="AI187" s="90" t="str">
        <f t="shared" si="80"/>
        <v/>
      </c>
      <c r="AJ187" s="90" t="str">
        <f t="shared" si="79"/>
        <v/>
      </c>
      <c r="AK187" s="93" t="str">
        <f t="shared" si="79"/>
        <v/>
      </c>
      <c r="BQ187" s="100" t="str">
        <f>IF(A187&lt;&gt;"",(VLOOKUP(A187,MarketData!$D:$BP,MATCH($BQ$1,MarketData!$D$1:$EG$1,0),TRUE)/100/365+1)^(B187)*BQ186,"")</f>
        <v/>
      </c>
      <c r="BR187" s="98" t="str">
        <f t="shared" si="57"/>
        <v/>
      </c>
      <c r="BS187" s="106" t="str">
        <f>IF(A187&lt;&gt;"",VLOOKUP(A187,MarketData!$D:$BP,MATCH($BS$1,MarketData!$D$1:$EG$1,0),TRUE),"")</f>
        <v/>
      </c>
      <c r="BT187" s="98" t="str">
        <f t="shared" si="68"/>
        <v/>
      </c>
    </row>
    <row r="188" spans="2:72" x14ac:dyDescent="0.25">
      <c r="B188" s="60" t="str">
        <f t="shared" si="81"/>
        <v/>
      </c>
      <c r="C188" s="3" t="str">
        <f t="shared" si="58"/>
        <v/>
      </c>
      <c r="D188" s="3" t="str">
        <f t="shared" si="59"/>
        <v/>
      </c>
      <c r="E188" s="3" t="str">
        <f t="shared" si="60"/>
        <v/>
      </c>
      <c r="F188" s="3" t="str">
        <f t="shared" si="61"/>
        <v/>
      </c>
      <c r="G188" s="74" t="str">
        <f t="shared" si="62"/>
        <v/>
      </c>
      <c r="H188" s="78" t="str">
        <f>IFERROR(C188/SUM(M$2:M187),"")</f>
        <v/>
      </c>
      <c r="I188" s="61" t="str">
        <f>IFERROR(D188/SUM(N$2:N188),"")</f>
        <v/>
      </c>
      <c r="J188" s="61" t="str">
        <f>IFERROR(E188/SUM(O$2:O188),"")</f>
        <v/>
      </c>
      <c r="K188" s="61" t="str">
        <f>IFERROR(F188/SUM(P$2:P188),"")</f>
        <v/>
      </c>
      <c r="L188" s="79" t="str">
        <f>IFERROR(G188/SUM(Q$2:Q188),"")</f>
        <v/>
      </c>
      <c r="M188" s="64" t="str">
        <f t="shared" si="63"/>
        <v/>
      </c>
      <c r="N188" s="55" t="str">
        <f t="shared" si="64"/>
        <v/>
      </c>
      <c r="O188" s="55" t="str">
        <f t="shared" si="65"/>
        <v/>
      </c>
      <c r="P188" s="55" t="str">
        <f t="shared" si="66"/>
        <v/>
      </c>
      <c r="Q188" s="65" t="str">
        <f t="shared" si="67"/>
        <v/>
      </c>
      <c r="R188" s="67" t="str">
        <f t="shared" si="69"/>
        <v/>
      </c>
      <c r="S188" s="56" t="str">
        <f t="shared" si="70"/>
        <v/>
      </c>
      <c r="T188" s="56" t="str">
        <f t="shared" si="71"/>
        <v/>
      </c>
      <c r="U188" s="56" t="str">
        <f t="shared" si="72"/>
        <v/>
      </c>
      <c r="V188" s="68" t="str">
        <f t="shared" si="73"/>
        <v/>
      </c>
      <c r="W188" s="80" t="str">
        <f t="shared" si="74"/>
        <v/>
      </c>
      <c r="X188" s="81" t="str">
        <f t="shared" si="75"/>
        <v/>
      </c>
      <c r="Y188" s="81" t="str">
        <f t="shared" si="76"/>
        <v/>
      </c>
      <c r="Z188" s="81" t="str">
        <f t="shared" si="77"/>
        <v/>
      </c>
      <c r="AA188" s="82" t="str">
        <f t="shared" si="78"/>
        <v/>
      </c>
      <c r="AB188" s="83" t="str">
        <f>IF(R188&lt;&gt;"",(W188-SUMPRODUCT(R$3:R188,$B$3:$B188)/SUM($B$3:$B188))/STDEVA(W178:W188),"")</f>
        <v/>
      </c>
      <c r="AC188" s="84" t="str">
        <f>IF(S188&lt;&gt;"",(X188-SUMPRODUCT(S$3:S188,$B$3:$B188)/SUM($B$3:$B188))/STDEVA(X178:X188),"")</f>
        <v/>
      </c>
      <c r="AD188" s="84" t="str">
        <f>IF(T188&lt;&gt;"",(Y188-SUMPRODUCT(T$3:T188,$B$3:$B188)/SUM($B$3:$B188))/STDEVA(Y178:Y188),"")</f>
        <v/>
      </c>
      <c r="AE188" s="84" t="str">
        <f>IF(U188&lt;&gt;"",(Z188-SUMPRODUCT(U$3:U188,$B$3:$B188)/SUM($B$3:$B188))/STDEVA(Z178:Z188),"")</f>
        <v/>
      </c>
      <c r="AF188" s="85" t="str">
        <f>IF(V188&lt;&gt;"",(AA188-SUMPRODUCT(V$3:V188,$B$3:$B188)/SUM($B$3:$B188))/STDEVA(AA178:AA188),"")</f>
        <v/>
      </c>
      <c r="AG188" s="90" t="str">
        <f t="shared" si="80"/>
        <v/>
      </c>
      <c r="AH188" s="90" t="str">
        <f t="shared" si="80"/>
        <v/>
      </c>
      <c r="AI188" s="90" t="str">
        <f t="shared" si="80"/>
        <v/>
      </c>
      <c r="AJ188" s="90" t="str">
        <f t="shared" si="79"/>
        <v/>
      </c>
      <c r="AK188" s="93" t="str">
        <f t="shared" si="79"/>
        <v/>
      </c>
      <c r="BQ188" s="100" t="str">
        <f>IF(A188&lt;&gt;"",(VLOOKUP(A188,MarketData!$D:$BP,MATCH($BQ$1,MarketData!$D$1:$EG$1,0),TRUE)/100/365+1)^(B188)*BQ187,"")</f>
        <v/>
      </c>
      <c r="BR188" s="98" t="str">
        <f t="shared" si="57"/>
        <v/>
      </c>
      <c r="BS188" s="106" t="str">
        <f>IF(A188&lt;&gt;"",VLOOKUP(A188,MarketData!$D:$BP,MATCH($BS$1,MarketData!$D$1:$EG$1,0),TRUE),"")</f>
        <v/>
      </c>
      <c r="BT188" s="98" t="str">
        <f t="shared" si="68"/>
        <v/>
      </c>
    </row>
    <row r="189" spans="2:72" x14ac:dyDescent="0.25">
      <c r="B189" s="60" t="str">
        <f t="shared" si="81"/>
        <v/>
      </c>
      <c r="C189" s="3" t="str">
        <f t="shared" si="58"/>
        <v/>
      </c>
      <c r="D189" s="3" t="str">
        <f t="shared" si="59"/>
        <v/>
      </c>
      <c r="E189" s="3" t="str">
        <f t="shared" si="60"/>
        <v/>
      </c>
      <c r="F189" s="3" t="str">
        <f t="shared" si="61"/>
        <v/>
      </c>
      <c r="G189" s="74" t="str">
        <f t="shared" si="62"/>
        <v/>
      </c>
      <c r="H189" s="78" t="str">
        <f>IFERROR(C189/SUM(M$2:M188),"")</f>
        <v/>
      </c>
      <c r="I189" s="61" t="str">
        <f>IFERROR(D189/SUM(N$2:N189),"")</f>
        <v/>
      </c>
      <c r="J189" s="61" t="str">
        <f>IFERROR(E189/SUM(O$2:O189),"")</f>
        <v/>
      </c>
      <c r="K189" s="61" t="str">
        <f>IFERROR(F189/SUM(P$2:P189),"")</f>
        <v/>
      </c>
      <c r="L189" s="79" t="str">
        <f>IFERROR(G189/SUM(Q$2:Q189),"")</f>
        <v/>
      </c>
      <c r="M189" s="64" t="str">
        <f t="shared" si="63"/>
        <v/>
      </c>
      <c r="N189" s="55" t="str">
        <f t="shared" si="64"/>
        <v/>
      </c>
      <c r="O189" s="55" t="str">
        <f t="shared" si="65"/>
        <v/>
      </c>
      <c r="P189" s="55" t="str">
        <f t="shared" si="66"/>
        <v/>
      </c>
      <c r="Q189" s="65" t="str">
        <f t="shared" si="67"/>
        <v/>
      </c>
      <c r="R189" s="67" t="str">
        <f t="shared" si="69"/>
        <v/>
      </c>
      <c r="S189" s="56" t="str">
        <f t="shared" si="70"/>
        <v/>
      </c>
      <c r="T189" s="56" t="str">
        <f t="shared" si="71"/>
        <v/>
      </c>
      <c r="U189" s="56" t="str">
        <f t="shared" si="72"/>
        <v/>
      </c>
      <c r="V189" s="68" t="str">
        <f t="shared" si="73"/>
        <v/>
      </c>
      <c r="W189" s="80" t="str">
        <f t="shared" si="74"/>
        <v/>
      </c>
      <c r="X189" s="81" t="str">
        <f t="shared" si="75"/>
        <v/>
      </c>
      <c r="Y189" s="81" t="str">
        <f t="shared" si="76"/>
        <v/>
      </c>
      <c r="Z189" s="81" t="str">
        <f t="shared" si="77"/>
        <v/>
      </c>
      <c r="AA189" s="82" t="str">
        <f t="shared" si="78"/>
        <v/>
      </c>
      <c r="AB189" s="83" t="str">
        <f>IF(R189&lt;&gt;"",(W189-SUMPRODUCT(R$3:R189,$B$3:$B189)/SUM($B$3:$B189))/STDEVA(W179:W189),"")</f>
        <v/>
      </c>
      <c r="AC189" s="84" t="str">
        <f>IF(S189&lt;&gt;"",(X189-SUMPRODUCT(S$3:S189,$B$3:$B189)/SUM($B$3:$B189))/STDEVA(X179:X189),"")</f>
        <v/>
      </c>
      <c r="AD189" s="84" t="str">
        <f>IF(T189&lt;&gt;"",(Y189-SUMPRODUCT(T$3:T189,$B$3:$B189)/SUM($B$3:$B189))/STDEVA(Y179:Y189),"")</f>
        <v/>
      </c>
      <c r="AE189" s="84" t="str">
        <f>IF(U189&lt;&gt;"",(Z189-SUMPRODUCT(U$3:U189,$B$3:$B189)/SUM($B$3:$B189))/STDEVA(Z179:Z189),"")</f>
        <v/>
      </c>
      <c r="AF189" s="85" t="str">
        <f>IF(V189&lt;&gt;"",(AA189-SUMPRODUCT(V$3:V189,$B$3:$B189)/SUM($B$3:$B189))/STDEVA(AA179:AA189),"")</f>
        <v/>
      </c>
      <c r="AG189" s="90" t="str">
        <f t="shared" si="80"/>
        <v/>
      </c>
      <c r="AH189" s="90" t="str">
        <f t="shared" si="80"/>
        <v/>
      </c>
      <c r="AI189" s="90" t="str">
        <f t="shared" si="80"/>
        <v/>
      </c>
      <c r="AJ189" s="90" t="str">
        <f t="shared" si="79"/>
        <v/>
      </c>
      <c r="AK189" s="93" t="str">
        <f t="shared" si="79"/>
        <v/>
      </c>
      <c r="BQ189" s="100" t="str">
        <f>IF(A189&lt;&gt;"",(VLOOKUP(A189,MarketData!$D:$BP,MATCH($BQ$1,MarketData!$D$1:$EG$1,0),TRUE)/100/365+1)^(B189)*BQ188,"")</f>
        <v/>
      </c>
      <c r="BR189" s="98" t="str">
        <f t="shared" si="57"/>
        <v/>
      </c>
      <c r="BS189" s="106" t="str">
        <f>IF(A189&lt;&gt;"",VLOOKUP(A189,MarketData!$D:$BP,MATCH($BS$1,MarketData!$D$1:$EG$1,0),TRUE),"")</f>
        <v/>
      </c>
      <c r="BT189" s="98" t="str">
        <f t="shared" si="68"/>
        <v/>
      </c>
    </row>
    <row r="190" spans="2:72" x14ac:dyDescent="0.25">
      <c r="B190" s="60" t="str">
        <f t="shared" si="81"/>
        <v/>
      </c>
      <c r="C190" s="3" t="str">
        <f t="shared" si="58"/>
        <v/>
      </c>
      <c r="D190" s="3" t="str">
        <f t="shared" si="59"/>
        <v/>
      </c>
      <c r="E190" s="3" t="str">
        <f t="shared" si="60"/>
        <v/>
      </c>
      <c r="F190" s="3" t="str">
        <f t="shared" si="61"/>
        <v/>
      </c>
      <c r="G190" s="74" t="str">
        <f t="shared" si="62"/>
        <v/>
      </c>
      <c r="H190" s="78" t="str">
        <f>IFERROR(C190/SUM(M$2:M189),"")</f>
        <v/>
      </c>
      <c r="I190" s="61" t="str">
        <f>IFERROR(D190/SUM(N$2:N190),"")</f>
        <v/>
      </c>
      <c r="J190" s="61" t="str">
        <f>IFERROR(E190/SUM(O$2:O190),"")</f>
        <v/>
      </c>
      <c r="K190" s="61" t="str">
        <f>IFERROR(F190/SUM(P$2:P190),"")</f>
        <v/>
      </c>
      <c r="L190" s="79" t="str">
        <f>IFERROR(G190/SUM(Q$2:Q190),"")</f>
        <v/>
      </c>
      <c r="M190" s="64" t="str">
        <f t="shared" si="63"/>
        <v/>
      </c>
      <c r="N190" s="55" t="str">
        <f t="shared" si="64"/>
        <v/>
      </c>
      <c r="O190" s="55" t="str">
        <f t="shared" si="65"/>
        <v/>
      </c>
      <c r="P190" s="55" t="str">
        <f t="shared" si="66"/>
        <v/>
      </c>
      <c r="Q190" s="65" t="str">
        <f t="shared" si="67"/>
        <v/>
      </c>
      <c r="R190" s="67" t="str">
        <f t="shared" si="69"/>
        <v/>
      </c>
      <c r="S190" s="56" t="str">
        <f t="shared" si="70"/>
        <v/>
      </c>
      <c r="T190" s="56" t="str">
        <f t="shared" si="71"/>
        <v/>
      </c>
      <c r="U190" s="56" t="str">
        <f t="shared" si="72"/>
        <v/>
      </c>
      <c r="V190" s="68" t="str">
        <f t="shared" si="73"/>
        <v/>
      </c>
      <c r="W190" s="80" t="str">
        <f t="shared" si="74"/>
        <v/>
      </c>
      <c r="X190" s="81" t="str">
        <f t="shared" si="75"/>
        <v/>
      </c>
      <c r="Y190" s="81" t="str">
        <f t="shared" si="76"/>
        <v/>
      </c>
      <c r="Z190" s="81" t="str">
        <f t="shared" si="77"/>
        <v/>
      </c>
      <c r="AA190" s="82" t="str">
        <f t="shared" si="78"/>
        <v/>
      </c>
      <c r="AB190" s="83" t="str">
        <f>IF(R190&lt;&gt;"",(W190-SUMPRODUCT(R$3:R190,$B$3:$B190)/SUM($B$3:$B190))/STDEVA(W180:W190),"")</f>
        <v/>
      </c>
      <c r="AC190" s="84" t="str">
        <f>IF(S190&lt;&gt;"",(X190-SUMPRODUCT(S$3:S190,$B$3:$B190)/SUM($B$3:$B190))/STDEVA(X180:X190),"")</f>
        <v/>
      </c>
      <c r="AD190" s="84" t="str">
        <f>IF(T190&lt;&gt;"",(Y190-SUMPRODUCT(T$3:T190,$B$3:$B190)/SUM($B$3:$B190))/STDEVA(Y180:Y190),"")</f>
        <v/>
      </c>
      <c r="AE190" s="84" t="str">
        <f>IF(U190&lt;&gt;"",(Z190-SUMPRODUCT(U$3:U190,$B$3:$B190)/SUM($B$3:$B190))/STDEVA(Z180:Z190),"")</f>
        <v/>
      </c>
      <c r="AF190" s="85" t="str">
        <f>IF(V190&lt;&gt;"",(AA190-SUMPRODUCT(V$3:V190,$B$3:$B190)/SUM($B$3:$B190))/STDEVA(AA180:AA190),"")</f>
        <v/>
      </c>
      <c r="AG190" s="90" t="str">
        <f t="shared" si="80"/>
        <v/>
      </c>
      <c r="AH190" s="90" t="str">
        <f t="shared" si="80"/>
        <v/>
      </c>
      <c r="AI190" s="90" t="str">
        <f t="shared" si="80"/>
        <v/>
      </c>
      <c r="AJ190" s="90" t="str">
        <f t="shared" si="79"/>
        <v/>
      </c>
      <c r="AK190" s="93" t="str">
        <f t="shared" si="79"/>
        <v/>
      </c>
      <c r="BQ190" s="100" t="str">
        <f>IF(A190&lt;&gt;"",(VLOOKUP(A190,MarketData!$D:$BP,MATCH($BQ$1,MarketData!$D$1:$EG$1,0),TRUE)/100/365+1)^(B190)*BQ189,"")</f>
        <v/>
      </c>
      <c r="BR190" s="98" t="str">
        <f t="shared" si="57"/>
        <v/>
      </c>
      <c r="BS190" s="106" t="str">
        <f>IF(A190&lt;&gt;"",VLOOKUP(A190,MarketData!$D:$BP,MATCH($BS$1,MarketData!$D$1:$EG$1,0),TRUE),"")</f>
        <v/>
      </c>
      <c r="BT190" s="98" t="str">
        <f t="shared" si="68"/>
        <v/>
      </c>
    </row>
    <row r="191" spans="2:72" x14ac:dyDescent="0.25">
      <c r="B191" s="60" t="str">
        <f t="shared" si="81"/>
        <v/>
      </c>
      <c r="C191" s="3" t="str">
        <f t="shared" si="58"/>
        <v/>
      </c>
      <c r="D191" s="3" t="str">
        <f t="shared" si="59"/>
        <v/>
      </c>
      <c r="E191" s="3" t="str">
        <f t="shared" si="60"/>
        <v/>
      </c>
      <c r="F191" s="3" t="str">
        <f t="shared" si="61"/>
        <v/>
      </c>
      <c r="G191" s="74" t="str">
        <f t="shared" si="62"/>
        <v/>
      </c>
      <c r="H191" s="78" t="str">
        <f>IFERROR(C191/SUM(M$2:M190),"")</f>
        <v/>
      </c>
      <c r="I191" s="61" t="str">
        <f>IFERROR(D191/SUM(N$2:N191),"")</f>
        <v/>
      </c>
      <c r="J191" s="61" t="str">
        <f>IFERROR(E191/SUM(O$2:O191),"")</f>
        <v/>
      </c>
      <c r="K191" s="61" t="str">
        <f>IFERROR(F191/SUM(P$2:P191),"")</f>
        <v/>
      </c>
      <c r="L191" s="79" t="str">
        <f>IFERROR(G191/SUM(Q$2:Q191),"")</f>
        <v/>
      </c>
      <c r="M191" s="64" t="str">
        <f t="shared" si="63"/>
        <v/>
      </c>
      <c r="N191" s="55" t="str">
        <f t="shared" si="64"/>
        <v/>
      </c>
      <c r="O191" s="55" t="str">
        <f t="shared" si="65"/>
        <v/>
      </c>
      <c r="P191" s="55" t="str">
        <f t="shared" si="66"/>
        <v/>
      </c>
      <c r="Q191" s="65" t="str">
        <f t="shared" si="67"/>
        <v/>
      </c>
      <c r="R191" s="67" t="str">
        <f t="shared" si="69"/>
        <v/>
      </c>
      <c r="S191" s="56" t="str">
        <f t="shared" si="70"/>
        <v/>
      </c>
      <c r="T191" s="56" t="str">
        <f t="shared" si="71"/>
        <v/>
      </c>
      <c r="U191" s="56" t="str">
        <f t="shared" si="72"/>
        <v/>
      </c>
      <c r="V191" s="68" t="str">
        <f t="shared" si="73"/>
        <v/>
      </c>
      <c r="W191" s="80" t="str">
        <f t="shared" si="74"/>
        <v/>
      </c>
      <c r="X191" s="81" t="str">
        <f t="shared" si="75"/>
        <v/>
      </c>
      <c r="Y191" s="81" t="str">
        <f t="shared" si="76"/>
        <v/>
      </c>
      <c r="Z191" s="81" t="str">
        <f t="shared" si="77"/>
        <v/>
      </c>
      <c r="AA191" s="82" t="str">
        <f t="shared" si="78"/>
        <v/>
      </c>
      <c r="AB191" s="83" t="str">
        <f>IF(R191&lt;&gt;"",(W191-SUMPRODUCT(R$3:R191,$B$3:$B191)/SUM($B$3:$B191))/STDEVA(W181:W191),"")</f>
        <v/>
      </c>
      <c r="AC191" s="84" t="str">
        <f>IF(S191&lt;&gt;"",(X191-SUMPRODUCT(S$3:S191,$B$3:$B191)/SUM($B$3:$B191))/STDEVA(X181:X191),"")</f>
        <v/>
      </c>
      <c r="AD191" s="84" t="str">
        <f>IF(T191&lt;&gt;"",(Y191-SUMPRODUCT(T$3:T191,$B$3:$B191)/SUM($B$3:$B191))/STDEVA(Y181:Y191),"")</f>
        <v/>
      </c>
      <c r="AE191" s="84" t="str">
        <f>IF(U191&lt;&gt;"",(Z191-SUMPRODUCT(U$3:U191,$B$3:$B191)/SUM($B$3:$B191))/STDEVA(Z181:Z191),"")</f>
        <v/>
      </c>
      <c r="AF191" s="85" t="str">
        <f>IF(V191&lt;&gt;"",(AA191-SUMPRODUCT(V$3:V191,$B$3:$B191)/SUM($B$3:$B191))/STDEVA(AA181:AA191),"")</f>
        <v/>
      </c>
      <c r="AG191" s="90" t="str">
        <f t="shared" si="80"/>
        <v/>
      </c>
      <c r="AH191" s="90" t="str">
        <f t="shared" si="80"/>
        <v/>
      </c>
      <c r="AI191" s="90" t="str">
        <f t="shared" si="80"/>
        <v/>
      </c>
      <c r="AJ191" s="90" t="str">
        <f t="shared" si="79"/>
        <v/>
      </c>
      <c r="AK191" s="93" t="str">
        <f t="shared" si="79"/>
        <v/>
      </c>
      <c r="BQ191" s="100" t="str">
        <f>IF(A191&lt;&gt;"",(VLOOKUP(A191,MarketData!$D:$BP,MATCH($BQ$1,MarketData!$D$1:$EG$1,0),TRUE)/100/365+1)^(B191)*BQ190,"")</f>
        <v/>
      </c>
      <c r="BR191" s="98" t="str">
        <f t="shared" si="57"/>
        <v/>
      </c>
      <c r="BS191" s="106" t="str">
        <f>IF(A191&lt;&gt;"",VLOOKUP(A191,MarketData!$D:$BP,MATCH($BS$1,MarketData!$D$1:$EG$1,0),TRUE),"")</f>
        <v/>
      </c>
      <c r="BT191" s="98" t="str">
        <f t="shared" si="68"/>
        <v/>
      </c>
    </row>
    <row r="192" spans="2:72" x14ac:dyDescent="0.25">
      <c r="B192" s="60" t="str">
        <f t="shared" si="81"/>
        <v/>
      </c>
      <c r="C192" s="3" t="str">
        <f t="shared" si="58"/>
        <v/>
      </c>
      <c r="D192" s="3" t="str">
        <f t="shared" si="59"/>
        <v/>
      </c>
      <c r="E192" s="3" t="str">
        <f t="shared" si="60"/>
        <v/>
      </c>
      <c r="F192" s="3" t="str">
        <f t="shared" si="61"/>
        <v/>
      </c>
      <c r="G192" s="74" t="str">
        <f t="shared" si="62"/>
        <v/>
      </c>
      <c r="H192" s="78" t="str">
        <f>IFERROR(C192/SUM(M$2:M191),"")</f>
        <v/>
      </c>
      <c r="I192" s="61" t="str">
        <f>IFERROR(D192/SUM(N$2:N192),"")</f>
        <v/>
      </c>
      <c r="J192" s="61" t="str">
        <f>IFERROR(E192/SUM(O$2:O192),"")</f>
        <v/>
      </c>
      <c r="K192" s="61" t="str">
        <f>IFERROR(F192/SUM(P$2:P192),"")</f>
        <v/>
      </c>
      <c r="L192" s="79" t="str">
        <f>IFERROR(G192/SUM(Q$2:Q192),"")</f>
        <v/>
      </c>
      <c r="M192" s="64" t="str">
        <f t="shared" si="63"/>
        <v/>
      </c>
      <c r="N192" s="55" t="str">
        <f t="shared" si="64"/>
        <v/>
      </c>
      <c r="O192" s="55" t="str">
        <f t="shared" si="65"/>
        <v/>
      </c>
      <c r="P192" s="55" t="str">
        <f t="shared" si="66"/>
        <v/>
      </c>
      <c r="Q192" s="65" t="str">
        <f t="shared" si="67"/>
        <v/>
      </c>
      <c r="R192" s="67" t="str">
        <f t="shared" si="69"/>
        <v/>
      </c>
      <c r="S192" s="56" t="str">
        <f t="shared" si="70"/>
        <v/>
      </c>
      <c r="T192" s="56" t="str">
        <f t="shared" si="71"/>
        <v/>
      </c>
      <c r="U192" s="56" t="str">
        <f t="shared" si="72"/>
        <v/>
      </c>
      <c r="V192" s="68" t="str">
        <f t="shared" si="73"/>
        <v/>
      </c>
      <c r="W192" s="80" t="str">
        <f t="shared" si="74"/>
        <v/>
      </c>
      <c r="X192" s="81" t="str">
        <f t="shared" si="75"/>
        <v/>
      </c>
      <c r="Y192" s="81" t="str">
        <f t="shared" si="76"/>
        <v/>
      </c>
      <c r="Z192" s="81" t="str">
        <f t="shared" si="77"/>
        <v/>
      </c>
      <c r="AA192" s="82" t="str">
        <f t="shared" si="78"/>
        <v/>
      </c>
      <c r="AB192" s="83" t="str">
        <f>IF(R192&lt;&gt;"",(W192-SUMPRODUCT(R$3:R192,$B$3:$B192)/SUM($B$3:$B192))/STDEVA(W182:W192),"")</f>
        <v/>
      </c>
      <c r="AC192" s="84" t="str">
        <f>IF(S192&lt;&gt;"",(X192-SUMPRODUCT(S$3:S192,$B$3:$B192)/SUM($B$3:$B192))/STDEVA(X182:X192),"")</f>
        <v/>
      </c>
      <c r="AD192" s="84" t="str">
        <f>IF(T192&lt;&gt;"",(Y192-SUMPRODUCT(T$3:T192,$B$3:$B192)/SUM($B$3:$B192))/STDEVA(Y182:Y192),"")</f>
        <v/>
      </c>
      <c r="AE192" s="84" t="str">
        <f>IF(U192&lt;&gt;"",(Z192-SUMPRODUCT(U$3:U192,$B$3:$B192)/SUM($B$3:$B192))/STDEVA(Z182:Z192),"")</f>
        <v/>
      </c>
      <c r="AF192" s="85" t="str">
        <f>IF(V192&lt;&gt;"",(AA192-SUMPRODUCT(V$3:V192,$B$3:$B192)/SUM($B$3:$B192))/STDEVA(AA182:AA192),"")</f>
        <v/>
      </c>
      <c r="AG192" s="90" t="str">
        <f t="shared" si="80"/>
        <v/>
      </c>
      <c r="AH192" s="90" t="str">
        <f t="shared" si="80"/>
        <v/>
      </c>
      <c r="AI192" s="90" t="str">
        <f t="shared" si="80"/>
        <v/>
      </c>
      <c r="AJ192" s="90" t="str">
        <f t="shared" si="79"/>
        <v/>
      </c>
      <c r="AK192" s="93" t="str">
        <f t="shared" si="79"/>
        <v/>
      </c>
      <c r="BQ192" s="100" t="str">
        <f>IF(A192&lt;&gt;"",(VLOOKUP(A192,MarketData!$D:$BP,MATCH($BQ$1,MarketData!$D$1:$EG$1,0),TRUE)/100/365+1)^(B192)*BQ191,"")</f>
        <v/>
      </c>
      <c r="BR192" s="98" t="str">
        <f t="shared" si="57"/>
        <v/>
      </c>
      <c r="BS192" s="106" t="str">
        <f>IF(A192&lt;&gt;"",VLOOKUP(A192,MarketData!$D:$BP,MATCH($BS$1,MarketData!$D$1:$EG$1,0),TRUE),"")</f>
        <v/>
      </c>
      <c r="BT192" s="98" t="str">
        <f t="shared" si="68"/>
        <v/>
      </c>
    </row>
    <row r="193" spans="2:72" x14ac:dyDescent="0.25">
      <c r="B193" s="60" t="str">
        <f t="shared" si="81"/>
        <v/>
      </c>
      <c r="C193" s="3" t="str">
        <f t="shared" si="58"/>
        <v/>
      </c>
      <c r="D193" s="3" t="str">
        <f t="shared" si="59"/>
        <v/>
      </c>
      <c r="E193" s="3" t="str">
        <f t="shared" si="60"/>
        <v/>
      </c>
      <c r="F193" s="3" t="str">
        <f t="shared" si="61"/>
        <v/>
      </c>
      <c r="G193" s="74" t="str">
        <f t="shared" si="62"/>
        <v/>
      </c>
      <c r="H193" s="78" t="str">
        <f>IFERROR(C193/SUM(M$2:M192),"")</f>
        <v/>
      </c>
      <c r="I193" s="61" t="str">
        <f>IFERROR(D193/SUM(N$2:N193),"")</f>
        <v/>
      </c>
      <c r="J193" s="61" t="str">
        <f>IFERROR(E193/SUM(O$2:O193),"")</f>
        <v/>
      </c>
      <c r="K193" s="61" t="str">
        <f>IFERROR(F193/SUM(P$2:P193),"")</f>
        <v/>
      </c>
      <c r="L193" s="79" t="str">
        <f>IFERROR(G193/SUM(Q$2:Q193),"")</f>
        <v/>
      </c>
      <c r="M193" s="64" t="str">
        <f t="shared" si="63"/>
        <v/>
      </c>
      <c r="N193" s="55" t="str">
        <f t="shared" si="64"/>
        <v/>
      </c>
      <c r="O193" s="55" t="str">
        <f t="shared" si="65"/>
        <v/>
      </c>
      <c r="P193" s="55" t="str">
        <f t="shared" si="66"/>
        <v/>
      </c>
      <c r="Q193" s="65" t="str">
        <f t="shared" si="67"/>
        <v/>
      </c>
      <c r="R193" s="67" t="str">
        <f t="shared" si="69"/>
        <v/>
      </c>
      <c r="S193" s="56" t="str">
        <f t="shared" si="70"/>
        <v/>
      </c>
      <c r="T193" s="56" t="str">
        <f t="shared" si="71"/>
        <v/>
      </c>
      <c r="U193" s="56" t="str">
        <f t="shared" si="72"/>
        <v/>
      </c>
      <c r="V193" s="68" t="str">
        <f t="shared" si="73"/>
        <v/>
      </c>
      <c r="W193" s="80" t="str">
        <f t="shared" si="74"/>
        <v/>
      </c>
      <c r="X193" s="81" t="str">
        <f t="shared" si="75"/>
        <v/>
      </c>
      <c r="Y193" s="81" t="str">
        <f t="shared" si="76"/>
        <v/>
      </c>
      <c r="Z193" s="81" t="str">
        <f t="shared" si="77"/>
        <v/>
      </c>
      <c r="AA193" s="82" t="str">
        <f t="shared" si="78"/>
        <v/>
      </c>
      <c r="AB193" s="83" t="str">
        <f>IF(R193&lt;&gt;"",(W193-SUMPRODUCT(R$3:R193,$B$3:$B193)/SUM($B$3:$B193))/STDEVA(W183:W193),"")</f>
        <v/>
      </c>
      <c r="AC193" s="84" t="str">
        <f>IF(S193&lt;&gt;"",(X193-SUMPRODUCT(S$3:S193,$B$3:$B193)/SUM($B$3:$B193))/STDEVA(X183:X193),"")</f>
        <v/>
      </c>
      <c r="AD193" s="84" t="str">
        <f>IF(T193&lt;&gt;"",(Y193-SUMPRODUCT(T$3:T193,$B$3:$B193)/SUM($B$3:$B193))/STDEVA(Y183:Y193),"")</f>
        <v/>
      </c>
      <c r="AE193" s="84" t="str">
        <f>IF(U193&lt;&gt;"",(Z193-SUMPRODUCT(U$3:U193,$B$3:$B193)/SUM($B$3:$B193))/STDEVA(Z183:Z193),"")</f>
        <v/>
      </c>
      <c r="AF193" s="85" t="str">
        <f>IF(V193&lt;&gt;"",(AA193-SUMPRODUCT(V$3:V193,$B$3:$B193)/SUM($B$3:$B193))/STDEVA(AA183:AA193),"")</f>
        <v/>
      </c>
      <c r="AG193" s="90" t="str">
        <f t="shared" si="80"/>
        <v/>
      </c>
      <c r="AH193" s="90" t="str">
        <f t="shared" si="80"/>
        <v/>
      </c>
      <c r="AI193" s="90" t="str">
        <f t="shared" si="80"/>
        <v/>
      </c>
      <c r="AJ193" s="90" t="str">
        <f t="shared" si="79"/>
        <v/>
      </c>
      <c r="AK193" s="93" t="str">
        <f t="shared" si="79"/>
        <v/>
      </c>
      <c r="BQ193" s="100" t="str">
        <f>IF(A193&lt;&gt;"",(VLOOKUP(A193,MarketData!$D:$BP,MATCH($BQ$1,MarketData!$D$1:$EG$1,0),TRUE)/100/365+1)^(B193)*BQ192,"")</f>
        <v/>
      </c>
      <c r="BR193" s="98" t="str">
        <f t="shared" si="57"/>
        <v/>
      </c>
      <c r="BS193" s="106" t="str">
        <f>IF(A193&lt;&gt;"",VLOOKUP(A193,MarketData!$D:$BP,MATCH($BS$1,MarketData!$D$1:$EG$1,0),TRUE),"")</f>
        <v/>
      </c>
      <c r="BT193" s="98" t="str">
        <f t="shared" si="68"/>
        <v/>
      </c>
    </row>
    <row r="194" spans="2:72" x14ac:dyDescent="0.25">
      <c r="B194" s="60" t="str">
        <f t="shared" si="81"/>
        <v/>
      </c>
      <c r="C194" s="3" t="str">
        <f t="shared" si="58"/>
        <v/>
      </c>
      <c r="D194" s="3" t="str">
        <f t="shared" si="59"/>
        <v/>
      </c>
      <c r="E194" s="3" t="str">
        <f t="shared" si="60"/>
        <v/>
      </c>
      <c r="F194" s="3" t="str">
        <f t="shared" si="61"/>
        <v/>
      </c>
      <c r="G194" s="74" t="str">
        <f t="shared" si="62"/>
        <v/>
      </c>
      <c r="H194" s="78" t="str">
        <f>IFERROR(C194/SUM(M$2:M193),"")</f>
        <v/>
      </c>
      <c r="I194" s="61" t="str">
        <f>IFERROR(D194/SUM(N$2:N194),"")</f>
        <v/>
      </c>
      <c r="J194" s="61" t="str">
        <f>IFERROR(E194/SUM(O$2:O194),"")</f>
        <v/>
      </c>
      <c r="K194" s="61" t="str">
        <f>IFERROR(F194/SUM(P$2:P194),"")</f>
        <v/>
      </c>
      <c r="L194" s="79" t="str">
        <f>IFERROR(G194/SUM(Q$2:Q194),"")</f>
        <v/>
      </c>
      <c r="M194" s="64" t="str">
        <f t="shared" si="63"/>
        <v/>
      </c>
      <c r="N194" s="55" t="str">
        <f t="shared" si="64"/>
        <v/>
      </c>
      <c r="O194" s="55" t="str">
        <f t="shared" si="65"/>
        <v/>
      </c>
      <c r="P194" s="55" t="str">
        <f t="shared" si="66"/>
        <v/>
      </c>
      <c r="Q194" s="65" t="str">
        <f t="shared" si="67"/>
        <v/>
      </c>
      <c r="R194" s="67" t="str">
        <f t="shared" si="69"/>
        <v/>
      </c>
      <c r="S194" s="56" t="str">
        <f t="shared" si="70"/>
        <v/>
      </c>
      <c r="T194" s="56" t="str">
        <f t="shared" si="71"/>
        <v/>
      </c>
      <c r="U194" s="56" t="str">
        <f t="shared" si="72"/>
        <v/>
      </c>
      <c r="V194" s="68" t="str">
        <f t="shared" si="73"/>
        <v/>
      </c>
      <c r="W194" s="80" t="str">
        <f t="shared" si="74"/>
        <v/>
      </c>
      <c r="X194" s="81" t="str">
        <f t="shared" si="75"/>
        <v/>
      </c>
      <c r="Y194" s="81" t="str">
        <f t="shared" si="76"/>
        <v/>
      </c>
      <c r="Z194" s="81" t="str">
        <f t="shared" si="77"/>
        <v/>
      </c>
      <c r="AA194" s="82" t="str">
        <f t="shared" si="78"/>
        <v/>
      </c>
      <c r="AB194" s="83" t="str">
        <f>IF(R194&lt;&gt;"",(W194-SUMPRODUCT(R$3:R194,$B$3:$B194)/SUM($B$3:$B194))/STDEVA(W184:W194),"")</f>
        <v/>
      </c>
      <c r="AC194" s="84" t="str">
        <f>IF(S194&lt;&gt;"",(X194-SUMPRODUCT(S$3:S194,$B$3:$B194)/SUM($B$3:$B194))/STDEVA(X184:X194),"")</f>
        <v/>
      </c>
      <c r="AD194" s="84" t="str">
        <f>IF(T194&lt;&gt;"",(Y194-SUMPRODUCT(T$3:T194,$B$3:$B194)/SUM($B$3:$B194))/STDEVA(Y184:Y194),"")</f>
        <v/>
      </c>
      <c r="AE194" s="84" t="str">
        <f>IF(U194&lt;&gt;"",(Z194-SUMPRODUCT(U$3:U194,$B$3:$B194)/SUM($B$3:$B194))/STDEVA(Z184:Z194),"")</f>
        <v/>
      </c>
      <c r="AF194" s="85" t="str">
        <f>IF(V194&lt;&gt;"",(AA194-SUMPRODUCT(V$3:V194,$B$3:$B194)/SUM($B$3:$B194))/STDEVA(AA184:AA194),"")</f>
        <v/>
      </c>
      <c r="AG194" s="90" t="str">
        <f t="shared" si="80"/>
        <v/>
      </c>
      <c r="AH194" s="90" t="str">
        <f t="shared" si="80"/>
        <v/>
      </c>
      <c r="AI194" s="90" t="str">
        <f t="shared" si="80"/>
        <v/>
      </c>
      <c r="AJ194" s="90" t="str">
        <f t="shared" si="79"/>
        <v/>
      </c>
      <c r="AK194" s="93" t="str">
        <f t="shared" si="79"/>
        <v/>
      </c>
      <c r="BQ194" s="100" t="str">
        <f>IF(A194&lt;&gt;"",(VLOOKUP(A194,MarketData!$D:$BP,MATCH($BQ$1,MarketData!$D$1:$EG$1,0),TRUE)/100/365+1)^(B194)*BQ193,"")</f>
        <v/>
      </c>
      <c r="BR194" s="98" t="str">
        <f t="shared" ref="BR194:BR257" si="82">IF(A194&lt;&gt;"",(BQ194-$BQ$2)/$BQ$2,"")</f>
        <v/>
      </c>
      <c r="BS194" s="106" t="str">
        <f>IF(A194&lt;&gt;"",VLOOKUP(A194,MarketData!$D:$BP,MATCH($BS$1,MarketData!$D$1:$EG$1,0),TRUE),"")</f>
        <v/>
      </c>
      <c r="BT194" s="98" t="str">
        <f t="shared" si="68"/>
        <v/>
      </c>
    </row>
    <row r="195" spans="2:72" x14ac:dyDescent="0.25">
      <c r="B195" s="60" t="str">
        <f t="shared" si="81"/>
        <v/>
      </c>
      <c r="C195" s="3" t="str">
        <f t="shared" ref="C195:C258" si="83">IF($A195&lt;&gt;0,SUMIFS(VM,Fecha,$A195,Linea,C$1)+SUMIFS(FX,Fecha,$A195,Linea,C$1)+C194,"")</f>
        <v/>
      </c>
      <c r="D195" s="3" t="str">
        <f t="shared" ref="D195:D258" si="84">IF($A195&lt;&gt;0,SUMIFS(VM,Fecha,$A195,Linea,D$1)+SUMIFS(FX,Fecha,$A195,Linea,D$1)+D194,"")</f>
        <v/>
      </c>
      <c r="E195" s="3" t="str">
        <f t="shared" ref="E195:E258" si="85">IF($A195&lt;&gt;0,SUMIFS(VM,Fecha,$A195,Linea,E$1)+SUMIFS(FX,Fecha,$A195,Linea,E$1)+E194,"")</f>
        <v/>
      </c>
      <c r="F195" s="3" t="str">
        <f t="shared" ref="F195:F258" si="86">IF($A195&lt;&gt;0,SUMIFS(VM,Fecha,$A195,Linea,F$1)+SUMIFS(FX,Fecha,$A195,Linea,F$1)+F194,"")</f>
        <v/>
      </c>
      <c r="G195" s="74" t="str">
        <f t="shared" ref="G195:G258" si="87">IF($A195&lt;&gt;0,SUMIFS(VM,Fecha,$A195,Linea,G$1)+SUMIFS(FX,Fecha,$A195,Linea,G$1)+G194,"")</f>
        <v/>
      </c>
      <c r="H195" s="78" t="str">
        <f>IFERROR(C195/SUM(M$2:M194),"")</f>
        <v/>
      </c>
      <c r="I195" s="61" t="str">
        <f>IFERROR(D195/SUM(N$2:N195),"")</f>
        <v/>
      </c>
      <c r="J195" s="61" t="str">
        <f>IFERROR(E195/SUM(O$2:O195),"")</f>
        <v/>
      </c>
      <c r="K195" s="61" t="str">
        <f>IFERROR(F195/SUM(P$2:P195),"")</f>
        <v/>
      </c>
      <c r="L195" s="79" t="str">
        <f>IFERROR(G195/SUM(Q$2:Q195),"")</f>
        <v/>
      </c>
      <c r="M195" s="64" t="str">
        <f t="shared" ref="M195:M258" si="88">IF($A195&lt;&gt;"",SUMIFS(Transferencias,Fecha,$A195,Linea,C$1),"")</f>
        <v/>
      </c>
      <c r="N195" s="55" t="str">
        <f t="shared" ref="N195:N258" si="89">IF($A195&lt;&gt;"",SUMIFS(Transferencias,Fecha,$A195,Linea,D$1),"")</f>
        <v/>
      </c>
      <c r="O195" s="55" t="str">
        <f t="shared" ref="O195:O258" si="90">IF($A195&lt;&gt;"",SUMIFS(Transferencias,Fecha,$A195,Linea,E$1),"")</f>
        <v/>
      </c>
      <c r="P195" s="55" t="str">
        <f t="shared" ref="P195:P258" si="91">IF($A195&lt;&gt;"",SUMIFS(Transferencias,Fecha,$A195,Linea,F$1),"")</f>
        <v/>
      </c>
      <c r="Q195" s="65" t="str">
        <f t="shared" ref="Q195:Q258" si="92">IF($A195&lt;&gt;"",SUMIFS(Transferencias,Fecha,$A195,Linea,G$1),"")</f>
        <v/>
      </c>
      <c r="R195" s="67" t="str">
        <f t="shared" si="69"/>
        <v/>
      </c>
      <c r="S195" s="56" t="str">
        <f t="shared" si="70"/>
        <v/>
      </c>
      <c r="T195" s="56" t="str">
        <f t="shared" si="71"/>
        <v/>
      </c>
      <c r="U195" s="56" t="str">
        <f t="shared" si="72"/>
        <v/>
      </c>
      <c r="V195" s="68" t="str">
        <f t="shared" si="73"/>
        <v/>
      </c>
      <c r="W195" s="80" t="str">
        <f t="shared" si="74"/>
        <v/>
      </c>
      <c r="X195" s="81" t="str">
        <f t="shared" si="75"/>
        <v/>
      </c>
      <c r="Y195" s="81" t="str">
        <f t="shared" si="76"/>
        <v/>
      </c>
      <c r="Z195" s="81" t="str">
        <f t="shared" si="77"/>
        <v/>
      </c>
      <c r="AA195" s="82" t="str">
        <f t="shared" si="78"/>
        <v/>
      </c>
      <c r="AB195" s="83" t="str">
        <f>IF(R195&lt;&gt;"",(W195-SUMPRODUCT(R$3:R195,$B$3:$B195)/SUM($B$3:$B195))/STDEVA(W185:W195),"")</f>
        <v/>
      </c>
      <c r="AC195" s="84" t="str">
        <f>IF(S195&lt;&gt;"",(X195-SUMPRODUCT(S$3:S195,$B$3:$B195)/SUM($B$3:$B195))/STDEVA(X185:X195),"")</f>
        <v/>
      </c>
      <c r="AD195" s="84" t="str">
        <f>IF(T195&lt;&gt;"",(Y195-SUMPRODUCT(T$3:T195,$B$3:$B195)/SUM($B$3:$B195))/STDEVA(Y185:Y195),"")</f>
        <v/>
      </c>
      <c r="AE195" s="84" t="str">
        <f>IF(U195&lt;&gt;"",(Z195-SUMPRODUCT(U$3:U195,$B$3:$B195)/SUM($B$3:$B195))/STDEVA(Z185:Z195),"")</f>
        <v/>
      </c>
      <c r="AF195" s="85" t="str">
        <f>IF(V195&lt;&gt;"",(AA195-SUMPRODUCT(V$3:V195,$B$3:$B195)/SUM($B$3:$B195))/STDEVA(AA185:AA195),"")</f>
        <v/>
      </c>
      <c r="AG195" s="90" t="str">
        <f t="shared" si="80"/>
        <v/>
      </c>
      <c r="AH195" s="90" t="str">
        <f t="shared" si="80"/>
        <v/>
      </c>
      <c r="AI195" s="90" t="str">
        <f t="shared" si="80"/>
        <v/>
      </c>
      <c r="AJ195" s="90" t="str">
        <f t="shared" si="79"/>
        <v/>
      </c>
      <c r="AK195" s="93" t="str">
        <f t="shared" si="79"/>
        <v/>
      </c>
      <c r="BQ195" s="100" t="str">
        <f>IF(A195&lt;&gt;"",(VLOOKUP(A195,MarketData!$D:$BP,MATCH($BQ$1,MarketData!$D$1:$EG$1,0),TRUE)/100/365+1)^(B195)*BQ194,"")</f>
        <v/>
      </c>
      <c r="BR195" s="98" t="str">
        <f t="shared" si="82"/>
        <v/>
      </c>
      <c r="BS195" s="106" t="str">
        <f>IF(A195&lt;&gt;"",VLOOKUP(A195,MarketData!$D:$BP,MATCH($BS$1,MarketData!$D$1:$EG$1,0),TRUE),"")</f>
        <v/>
      </c>
      <c r="BT195" s="98" t="str">
        <f t="shared" ref="BT195:BT258" si="93">IF(A195&lt;&gt;"",(BS195-$BS$2)/$BS$2,"")</f>
        <v/>
      </c>
    </row>
    <row r="196" spans="2:72" x14ac:dyDescent="0.25">
      <c r="B196" s="60" t="str">
        <f t="shared" si="81"/>
        <v/>
      </c>
      <c r="C196" s="3" t="str">
        <f t="shared" si="83"/>
        <v/>
      </c>
      <c r="D196" s="3" t="str">
        <f t="shared" si="84"/>
        <v/>
      </c>
      <c r="E196" s="3" t="str">
        <f t="shared" si="85"/>
        <v/>
      </c>
      <c r="F196" s="3" t="str">
        <f t="shared" si="86"/>
        <v/>
      </c>
      <c r="G196" s="74" t="str">
        <f t="shared" si="87"/>
        <v/>
      </c>
      <c r="H196" s="78" t="str">
        <f>IFERROR(C196/SUM(M$2:M195),"")</f>
        <v/>
      </c>
      <c r="I196" s="61" t="str">
        <f>IFERROR(D196/SUM(N$2:N196),"")</f>
        <v/>
      </c>
      <c r="J196" s="61" t="str">
        <f>IFERROR(E196/SUM(O$2:O196),"")</f>
        <v/>
      </c>
      <c r="K196" s="61" t="str">
        <f>IFERROR(F196/SUM(P$2:P196),"")</f>
        <v/>
      </c>
      <c r="L196" s="79" t="str">
        <f>IFERROR(G196/SUM(Q$2:Q196),"")</f>
        <v/>
      </c>
      <c r="M196" s="64" t="str">
        <f t="shared" si="88"/>
        <v/>
      </c>
      <c r="N196" s="55" t="str">
        <f t="shared" si="89"/>
        <v/>
      </c>
      <c r="O196" s="55" t="str">
        <f t="shared" si="90"/>
        <v/>
      </c>
      <c r="P196" s="55" t="str">
        <f t="shared" si="91"/>
        <v/>
      </c>
      <c r="Q196" s="65" t="str">
        <f t="shared" si="92"/>
        <v/>
      </c>
      <c r="R196" s="67" t="str">
        <f t="shared" ref="R196:R259" si="94">IF(C196&lt;&gt;"",LN((C196-C195)/(SUMIFS(Total,Fecha,$A195,Linea,C$1)+M195)+1)*365/($A196-$A195),"")</f>
        <v/>
      </c>
      <c r="S196" s="56" t="str">
        <f t="shared" ref="S196:S259" si="95">IF(D196&lt;&gt;"",LN((D196-D195)/(SUMIFS(Total,Fecha,$A195,Linea,D$1)+N195)+1)*365/($A196-$A195),"")</f>
        <v/>
      </c>
      <c r="T196" s="56" t="str">
        <f t="shared" ref="T196:T259" si="96">IF(E196&lt;&gt;"",LN((E196-E195)/(SUMIFS(Total,Fecha,$A195,Linea,E$1)+O195)+1)*365/($A196-$A195),"")</f>
        <v/>
      </c>
      <c r="U196" s="56" t="str">
        <f t="shared" ref="U196:U259" si="97">IF(F196&lt;&gt;"",LN((F196-F195)/(SUMIFS(Total,Fecha,$A195,Linea,F$1)+P195)+1)*365/($A196-$A195),"")</f>
        <v/>
      </c>
      <c r="V196" s="68" t="str">
        <f t="shared" ref="V196:V259" si="98">IF(G196&lt;&gt;"",LN((G196-G195)/(SUMIFS(Total,Fecha,$A195,Linea,G$1)+Q195)+1)*365/($A196-$A195),"")</f>
        <v/>
      </c>
      <c r="W196" s="80" t="str">
        <f t="shared" si="74"/>
        <v/>
      </c>
      <c r="X196" s="81" t="str">
        <f t="shared" si="75"/>
        <v/>
      </c>
      <c r="Y196" s="81" t="str">
        <f t="shared" si="76"/>
        <v/>
      </c>
      <c r="Z196" s="81" t="str">
        <f t="shared" si="77"/>
        <v/>
      </c>
      <c r="AA196" s="82" t="str">
        <f t="shared" si="78"/>
        <v/>
      </c>
      <c r="AB196" s="83" t="str">
        <f>IF(R196&lt;&gt;"",(W196-SUMPRODUCT(R$3:R196,$B$3:$B196)/SUM($B$3:$B196))/STDEVA(W186:W196),"")</f>
        <v/>
      </c>
      <c r="AC196" s="84" t="str">
        <f>IF(S196&lt;&gt;"",(X196-SUMPRODUCT(S$3:S196,$B$3:$B196)/SUM($B$3:$B196))/STDEVA(X186:X196),"")</f>
        <v/>
      </c>
      <c r="AD196" s="84" t="str">
        <f>IF(T196&lt;&gt;"",(Y196-SUMPRODUCT(T$3:T196,$B$3:$B196)/SUM($B$3:$B196))/STDEVA(Y186:Y196),"")</f>
        <v/>
      </c>
      <c r="AE196" s="84" t="str">
        <f>IF(U196&lt;&gt;"",(Z196-SUMPRODUCT(U$3:U196,$B$3:$B196)/SUM($B$3:$B196))/STDEVA(Z186:Z196),"")</f>
        <v/>
      </c>
      <c r="AF196" s="85" t="str">
        <f>IF(V196&lt;&gt;"",(AA196-SUMPRODUCT(V$3:V196,$B$3:$B196)/SUM($B$3:$B196))/STDEVA(AA186:AA196),"")</f>
        <v/>
      </c>
      <c r="AG196" s="90" t="str">
        <f t="shared" si="80"/>
        <v/>
      </c>
      <c r="AH196" s="90" t="str">
        <f t="shared" si="80"/>
        <v/>
      </c>
      <c r="AI196" s="90" t="str">
        <f t="shared" si="80"/>
        <v/>
      </c>
      <c r="AJ196" s="90" t="str">
        <f t="shared" si="79"/>
        <v/>
      </c>
      <c r="AK196" s="93" t="str">
        <f t="shared" si="79"/>
        <v/>
      </c>
      <c r="BQ196" s="100" t="str">
        <f>IF(A196&lt;&gt;"",(VLOOKUP(A196,MarketData!$D:$BP,MATCH($BQ$1,MarketData!$D$1:$EG$1,0),TRUE)/100/365+1)^(B196)*BQ195,"")</f>
        <v/>
      </c>
      <c r="BR196" s="98" t="str">
        <f t="shared" si="82"/>
        <v/>
      </c>
      <c r="BS196" s="106" t="str">
        <f>IF(A196&lt;&gt;"",VLOOKUP(A196,MarketData!$D:$BP,MATCH($BS$1,MarketData!$D$1:$EG$1,0),TRUE),"")</f>
        <v/>
      </c>
      <c r="BT196" s="98" t="str">
        <f t="shared" si="93"/>
        <v/>
      </c>
    </row>
    <row r="197" spans="2:72" x14ac:dyDescent="0.25">
      <c r="B197" s="60" t="str">
        <f t="shared" si="81"/>
        <v/>
      </c>
      <c r="C197" s="3" t="str">
        <f t="shared" si="83"/>
        <v/>
      </c>
      <c r="D197" s="3" t="str">
        <f t="shared" si="84"/>
        <v/>
      </c>
      <c r="E197" s="3" t="str">
        <f t="shared" si="85"/>
        <v/>
      </c>
      <c r="F197" s="3" t="str">
        <f t="shared" si="86"/>
        <v/>
      </c>
      <c r="G197" s="74" t="str">
        <f t="shared" si="87"/>
        <v/>
      </c>
      <c r="H197" s="78" t="str">
        <f>IFERROR(C197/SUM(M$2:M196),"")</f>
        <v/>
      </c>
      <c r="I197" s="61" t="str">
        <f>IFERROR(D197/SUM(N$2:N197),"")</f>
        <v/>
      </c>
      <c r="J197" s="61" t="str">
        <f>IFERROR(E197/SUM(O$2:O197),"")</f>
        <v/>
      </c>
      <c r="K197" s="61" t="str">
        <f>IFERROR(F197/SUM(P$2:P197),"")</f>
        <v/>
      </c>
      <c r="L197" s="79" t="str">
        <f>IFERROR(G197/SUM(Q$2:Q197),"")</f>
        <v/>
      </c>
      <c r="M197" s="64" t="str">
        <f t="shared" si="88"/>
        <v/>
      </c>
      <c r="N197" s="55" t="str">
        <f t="shared" si="89"/>
        <v/>
      </c>
      <c r="O197" s="55" t="str">
        <f t="shared" si="90"/>
        <v/>
      </c>
      <c r="P197" s="55" t="str">
        <f t="shared" si="91"/>
        <v/>
      </c>
      <c r="Q197" s="65" t="str">
        <f t="shared" si="92"/>
        <v/>
      </c>
      <c r="R197" s="67" t="str">
        <f t="shared" si="94"/>
        <v/>
      </c>
      <c r="S197" s="56" t="str">
        <f t="shared" si="95"/>
        <v/>
      </c>
      <c r="T197" s="56" t="str">
        <f t="shared" si="96"/>
        <v/>
      </c>
      <c r="U197" s="56" t="str">
        <f t="shared" si="97"/>
        <v/>
      </c>
      <c r="V197" s="68" t="str">
        <f t="shared" si="98"/>
        <v/>
      </c>
      <c r="W197" s="80" t="str">
        <f t="shared" si="74"/>
        <v/>
      </c>
      <c r="X197" s="81" t="str">
        <f t="shared" si="75"/>
        <v/>
      </c>
      <c r="Y197" s="81" t="str">
        <f t="shared" si="76"/>
        <v/>
      </c>
      <c r="Z197" s="81" t="str">
        <f t="shared" si="77"/>
        <v/>
      </c>
      <c r="AA197" s="82" t="str">
        <f t="shared" si="78"/>
        <v/>
      </c>
      <c r="AB197" s="83" t="str">
        <f>IF(R197&lt;&gt;"",(W197-SUMPRODUCT(R$3:R197,$B$3:$B197)/SUM($B$3:$B197))/STDEVA(W187:W197),"")</f>
        <v/>
      </c>
      <c r="AC197" s="84" t="str">
        <f>IF(S197&lt;&gt;"",(X197-SUMPRODUCT(S$3:S197,$B$3:$B197)/SUM($B$3:$B197))/STDEVA(X187:X197),"")</f>
        <v/>
      </c>
      <c r="AD197" s="84" t="str">
        <f>IF(T197&lt;&gt;"",(Y197-SUMPRODUCT(T$3:T197,$B$3:$B197)/SUM($B$3:$B197))/STDEVA(Y187:Y197),"")</f>
        <v/>
      </c>
      <c r="AE197" s="84" t="str">
        <f>IF(U197&lt;&gt;"",(Z197-SUMPRODUCT(U$3:U197,$B$3:$B197)/SUM($B$3:$B197))/STDEVA(Z187:Z197),"")</f>
        <v/>
      </c>
      <c r="AF197" s="85" t="str">
        <f>IF(V197&lt;&gt;"",(AA197-SUMPRODUCT(V$3:V197,$B$3:$B197)/SUM($B$3:$B197))/STDEVA(AA187:AA197),"")</f>
        <v/>
      </c>
      <c r="AG197" s="90" t="str">
        <f t="shared" si="80"/>
        <v/>
      </c>
      <c r="AH197" s="90" t="str">
        <f t="shared" si="80"/>
        <v/>
      </c>
      <c r="AI197" s="90" t="str">
        <f t="shared" si="80"/>
        <v/>
      </c>
      <c r="AJ197" s="90" t="str">
        <f t="shared" si="79"/>
        <v/>
      </c>
      <c r="AK197" s="93" t="str">
        <f t="shared" si="79"/>
        <v/>
      </c>
      <c r="BQ197" s="100" t="str">
        <f>IF(A197&lt;&gt;"",(VLOOKUP(A197,MarketData!$D:$BP,MATCH($BQ$1,MarketData!$D$1:$EG$1,0),TRUE)/100/365+1)^(B197)*BQ196,"")</f>
        <v/>
      </c>
      <c r="BR197" s="98" t="str">
        <f t="shared" si="82"/>
        <v/>
      </c>
      <c r="BS197" s="106" t="str">
        <f>IF(A197&lt;&gt;"",VLOOKUP(A197,MarketData!$D:$BP,MATCH($BS$1,MarketData!$D$1:$EG$1,0),TRUE),"")</f>
        <v/>
      </c>
      <c r="BT197" s="98" t="str">
        <f t="shared" si="93"/>
        <v/>
      </c>
    </row>
    <row r="198" spans="2:72" x14ac:dyDescent="0.25">
      <c r="B198" s="60" t="str">
        <f t="shared" si="81"/>
        <v/>
      </c>
      <c r="C198" s="3" t="str">
        <f t="shared" si="83"/>
        <v/>
      </c>
      <c r="D198" s="3" t="str">
        <f t="shared" si="84"/>
        <v/>
      </c>
      <c r="E198" s="3" t="str">
        <f t="shared" si="85"/>
        <v/>
      </c>
      <c r="F198" s="3" t="str">
        <f t="shared" si="86"/>
        <v/>
      </c>
      <c r="G198" s="74" t="str">
        <f t="shared" si="87"/>
        <v/>
      </c>
      <c r="H198" s="78" t="str">
        <f>IFERROR(C198/SUM(M$2:M197),"")</f>
        <v/>
      </c>
      <c r="I198" s="61" t="str">
        <f>IFERROR(D198/SUM(N$2:N198),"")</f>
        <v/>
      </c>
      <c r="J198" s="61" t="str">
        <f>IFERROR(E198/SUM(O$2:O198),"")</f>
        <v/>
      </c>
      <c r="K198" s="61" t="str">
        <f>IFERROR(F198/SUM(P$2:P198),"")</f>
        <v/>
      </c>
      <c r="L198" s="79" t="str">
        <f>IFERROR(G198/SUM(Q$2:Q198),"")</f>
        <v/>
      </c>
      <c r="M198" s="64" t="str">
        <f t="shared" si="88"/>
        <v/>
      </c>
      <c r="N198" s="55" t="str">
        <f t="shared" si="89"/>
        <v/>
      </c>
      <c r="O198" s="55" t="str">
        <f t="shared" si="90"/>
        <v/>
      </c>
      <c r="P198" s="55" t="str">
        <f t="shared" si="91"/>
        <v/>
      </c>
      <c r="Q198" s="65" t="str">
        <f t="shared" si="92"/>
        <v/>
      </c>
      <c r="R198" s="67" t="str">
        <f t="shared" si="94"/>
        <v/>
      </c>
      <c r="S198" s="56" t="str">
        <f t="shared" si="95"/>
        <v/>
      </c>
      <c r="T198" s="56" t="str">
        <f t="shared" si="96"/>
        <v/>
      </c>
      <c r="U198" s="56" t="str">
        <f t="shared" si="97"/>
        <v/>
      </c>
      <c r="V198" s="68" t="str">
        <f t="shared" si="98"/>
        <v/>
      </c>
      <c r="W198" s="80" t="str">
        <f t="shared" si="74"/>
        <v/>
      </c>
      <c r="X198" s="81" t="str">
        <f t="shared" si="75"/>
        <v/>
      </c>
      <c r="Y198" s="81" t="str">
        <f t="shared" si="76"/>
        <v/>
      </c>
      <c r="Z198" s="81" t="str">
        <f t="shared" si="77"/>
        <v/>
      </c>
      <c r="AA198" s="82" t="str">
        <f t="shared" si="78"/>
        <v/>
      </c>
      <c r="AB198" s="83" t="str">
        <f>IF(R198&lt;&gt;"",(W198-SUMPRODUCT(R$3:R198,$B$3:$B198)/SUM($B$3:$B198))/STDEVA(W188:W198),"")</f>
        <v/>
      </c>
      <c r="AC198" s="84" t="str">
        <f>IF(S198&lt;&gt;"",(X198-SUMPRODUCT(S$3:S198,$B$3:$B198)/SUM($B$3:$B198))/STDEVA(X188:X198),"")</f>
        <v/>
      </c>
      <c r="AD198" s="84" t="str">
        <f>IF(T198&lt;&gt;"",(Y198-SUMPRODUCT(T$3:T198,$B$3:$B198)/SUM($B$3:$B198))/STDEVA(Y188:Y198),"")</f>
        <v/>
      </c>
      <c r="AE198" s="84" t="str">
        <f>IF(U198&lt;&gt;"",(Z198-SUMPRODUCT(U$3:U198,$B$3:$B198)/SUM($B$3:$B198))/STDEVA(Z188:Z198),"")</f>
        <v/>
      </c>
      <c r="AF198" s="85" t="str">
        <f>IF(V198&lt;&gt;"",(AA198-SUMPRODUCT(V$3:V198,$B$3:$B198)/SUM($B$3:$B198))/STDEVA(AA188:AA198),"")</f>
        <v/>
      </c>
      <c r="AG198" s="90" t="str">
        <f t="shared" si="80"/>
        <v/>
      </c>
      <c r="AH198" s="90" t="str">
        <f t="shared" si="80"/>
        <v/>
      </c>
      <c r="AI198" s="90" t="str">
        <f t="shared" si="80"/>
        <v/>
      </c>
      <c r="AJ198" s="90" t="str">
        <f t="shared" si="79"/>
        <v/>
      </c>
      <c r="AK198" s="93" t="str">
        <f t="shared" si="79"/>
        <v/>
      </c>
      <c r="BQ198" s="100" t="str">
        <f>IF(A198&lt;&gt;"",(VLOOKUP(A198,MarketData!$D:$BP,MATCH($BQ$1,MarketData!$D$1:$EG$1,0),TRUE)/100/365+1)^(B198)*BQ197,"")</f>
        <v/>
      </c>
      <c r="BR198" s="98" t="str">
        <f t="shared" si="82"/>
        <v/>
      </c>
      <c r="BS198" s="106" t="str">
        <f>IF(A198&lt;&gt;"",VLOOKUP(A198,MarketData!$D:$BP,MATCH($BS$1,MarketData!$D$1:$EG$1,0),TRUE),"")</f>
        <v/>
      </c>
      <c r="BT198" s="98" t="str">
        <f t="shared" si="93"/>
        <v/>
      </c>
    </row>
    <row r="199" spans="2:72" x14ac:dyDescent="0.25">
      <c r="B199" s="60" t="str">
        <f t="shared" si="81"/>
        <v/>
      </c>
      <c r="C199" s="3" t="str">
        <f t="shared" si="83"/>
        <v/>
      </c>
      <c r="D199" s="3" t="str">
        <f t="shared" si="84"/>
        <v/>
      </c>
      <c r="E199" s="3" t="str">
        <f t="shared" si="85"/>
        <v/>
      </c>
      <c r="F199" s="3" t="str">
        <f t="shared" si="86"/>
        <v/>
      </c>
      <c r="G199" s="74" t="str">
        <f t="shared" si="87"/>
        <v/>
      </c>
      <c r="H199" s="78" t="str">
        <f>IFERROR(C199/SUM(M$2:M198),"")</f>
        <v/>
      </c>
      <c r="I199" s="61" t="str">
        <f>IFERROR(D199/SUM(N$2:N199),"")</f>
        <v/>
      </c>
      <c r="J199" s="61" t="str">
        <f>IFERROR(E199/SUM(O$2:O199),"")</f>
        <v/>
      </c>
      <c r="K199" s="61" t="str">
        <f>IFERROR(F199/SUM(P$2:P199),"")</f>
        <v/>
      </c>
      <c r="L199" s="79" t="str">
        <f>IFERROR(G199/SUM(Q$2:Q199),"")</f>
        <v/>
      </c>
      <c r="M199" s="64" t="str">
        <f t="shared" si="88"/>
        <v/>
      </c>
      <c r="N199" s="55" t="str">
        <f t="shared" si="89"/>
        <v/>
      </c>
      <c r="O199" s="55" t="str">
        <f t="shared" si="90"/>
        <v/>
      </c>
      <c r="P199" s="55" t="str">
        <f t="shared" si="91"/>
        <v/>
      </c>
      <c r="Q199" s="65" t="str">
        <f t="shared" si="92"/>
        <v/>
      </c>
      <c r="R199" s="67" t="str">
        <f t="shared" si="94"/>
        <v/>
      </c>
      <c r="S199" s="56" t="str">
        <f t="shared" si="95"/>
        <v/>
      </c>
      <c r="T199" s="56" t="str">
        <f t="shared" si="96"/>
        <v/>
      </c>
      <c r="U199" s="56" t="str">
        <f t="shared" si="97"/>
        <v/>
      </c>
      <c r="V199" s="68" t="str">
        <f t="shared" si="98"/>
        <v/>
      </c>
      <c r="W199" s="80" t="str">
        <f t="shared" si="74"/>
        <v/>
      </c>
      <c r="X199" s="81" t="str">
        <f t="shared" si="75"/>
        <v/>
      </c>
      <c r="Y199" s="81" t="str">
        <f t="shared" si="76"/>
        <v/>
      </c>
      <c r="Z199" s="81" t="str">
        <f t="shared" si="77"/>
        <v/>
      </c>
      <c r="AA199" s="82" t="str">
        <f t="shared" si="78"/>
        <v/>
      </c>
      <c r="AB199" s="83" t="str">
        <f>IF(R199&lt;&gt;"",(W199-SUMPRODUCT(R$3:R199,$B$3:$B199)/SUM($B$3:$B199))/STDEVA(W189:W199),"")</f>
        <v/>
      </c>
      <c r="AC199" s="84" t="str">
        <f>IF(S199&lt;&gt;"",(X199-SUMPRODUCT(S$3:S199,$B$3:$B199)/SUM($B$3:$B199))/STDEVA(X189:X199),"")</f>
        <v/>
      </c>
      <c r="AD199" s="84" t="str">
        <f>IF(T199&lt;&gt;"",(Y199-SUMPRODUCT(T$3:T199,$B$3:$B199)/SUM($B$3:$B199))/STDEVA(Y189:Y199),"")</f>
        <v/>
      </c>
      <c r="AE199" s="84" t="str">
        <f>IF(U199&lt;&gt;"",(Z199-SUMPRODUCT(U$3:U199,$B$3:$B199)/SUM($B$3:$B199))/STDEVA(Z189:Z199),"")</f>
        <v/>
      </c>
      <c r="AF199" s="85" t="str">
        <f>IF(V199&lt;&gt;"",(AA199-SUMPRODUCT(V$3:V199,$B$3:$B199)/SUM($B$3:$B199))/STDEVA(AA189:AA199),"")</f>
        <v/>
      </c>
      <c r="AG199" s="90" t="str">
        <f t="shared" si="80"/>
        <v/>
      </c>
      <c r="AH199" s="90" t="str">
        <f t="shared" si="80"/>
        <v/>
      </c>
      <c r="AI199" s="90" t="str">
        <f t="shared" si="80"/>
        <v/>
      </c>
      <c r="AJ199" s="90" t="str">
        <f t="shared" si="79"/>
        <v/>
      </c>
      <c r="AK199" s="93" t="str">
        <f t="shared" si="79"/>
        <v/>
      </c>
      <c r="BQ199" s="100" t="str">
        <f>IF(A199&lt;&gt;"",(VLOOKUP(A199,MarketData!$D:$BP,MATCH($BQ$1,MarketData!$D$1:$EG$1,0),TRUE)/100/365+1)^(B199)*BQ198,"")</f>
        <v/>
      </c>
      <c r="BR199" s="98" t="str">
        <f t="shared" si="82"/>
        <v/>
      </c>
      <c r="BS199" s="106" t="str">
        <f>IF(A199&lt;&gt;"",VLOOKUP(A199,MarketData!$D:$BP,MATCH($BS$1,MarketData!$D$1:$EG$1,0),TRUE),"")</f>
        <v/>
      </c>
      <c r="BT199" s="98" t="str">
        <f t="shared" si="93"/>
        <v/>
      </c>
    </row>
    <row r="200" spans="2:72" x14ac:dyDescent="0.25">
      <c r="B200" s="60" t="str">
        <f t="shared" si="81"/>
        <v/>
      </c>
      <c r="C200" s="3" t="str">
        <f t="shared" si="83"/>
        <v/>
      </c>
      <c r="D200" s="3" t="str">
        <f t="shared" si="84"/>
        <v/>
      </c>
      <c r="E200" s="3" t="str">
        <f t="shared" si="85"/>
        <v/>
      </c>
      <c r="F200" s="3" t="str">
        <f t="shared" si="86"/>
        <v/>
      </c>
      <c r="G200" s="74" t="str">
        <f t="shared" si="87"/>
        <v/>
      </c>
      <c r="H200" s="78" t="str">
        <f>IFERROR(C200/SUM(M$2:M199),"")</f>
        <v/>
      </c>
      <c r="I200" s="61" t="str">
        <f>IFERROR(D200/SUM(N$2:N200),"")</f>
        <v/>
      </c>
      <c r="J200" s="61" t="str">
        <f>IFERROR(E200/SUM(O$2:O200),"")</f>
        <v/>
      </c>
      <c r="K200" s="61" t="str">
        <f>IFERROR(F200/SUM(P$2:P200),"")</f>
        <v/>
      </c>
      <c r="L200" s="79" t="str">
        <f>IFERROR(G200/SUM(Q$2:Q200),"")</f>
        <v/>
      </c>
      <c r="M200" s="64" t="str">
        <f t="shared" si="88"/>
        <v/>
      </c>
      <c r="N200" s="55" t="str">
        <f t="shared" si="89"/>
        <v/>
      </c>
      <c r="O200" s="55" t="str">
        <f t="shared" si="90"/>
        <v/>
      </c>
      <c r="P200" s="55" t="str">
        <f t="shared" si="91"/>
        <v/>
      </c>
      <c r="Q200" s="65" t="str">
        <f t="shared" si="92"/>
        <v/>
      </c>
      <c r="R200" s="67" t="str">
        <f t="shared" si="94"/>
        <v/>
      </c>
      <c r="S200" s="56" t="str">
        <f t="shared" si="95"/>
        <v/>
      </c>
      <c r="T200" s="56" t="str">
        <f t="shared" si="96"/>
        <v/>
      </c>
      <c r="U200" s="56" t="str">
        <f t="shared" si="97"/>
        <v/>
      </c>
      <c r="V200" s="68" t="str">
        <f t="shared" si="98"/>
        <v/>
      </c>
      <c r="W200" s="80" t="str">
        <f t="shared" si="74"/>
        <v/>
      </c>
      <c r="X200" s="81" t="str">
        <f t="shared" si="75"/>
        <v/>
      </c>
      <c r="Y200" s="81" t="str">
        <f t="shared" si="76"/>
        <v/>
      </c>
      <c r="Z200" s="81" t="str">
        <f t="shared" si="77"/>
        <v/>
      </c>
      <c r="AA200" s="82" t="str">
        <f t="shared" si="78"/>
        <v/>
      </c>
      <c r="AB200" s="83" t="str">
        <f>IF(R200&lt;&gt;"",(W200-SUMPRODUCT(R$3:R200,$B$3:$B200)/SUM($B$3:$B200))/STDEVA(W190:W200),"")</f>
        <v/>
      </c>
      <c r="AC200" s="84" t="str">
        <f>IF(S200&lt;&gt;"",(X200-SUMPRODUCT(S$3:S200,$B$3:$B200)/SUM($B$3:$B200))/STDEVA(X190:X200),"")</f>
        <v/>
      </c>
      <c r="AD200" s="84" t="str">
        <f>IF(T200&lt;&gt;"",(Y200-SUMPRODUCT(T$3:T200,$B$3:$B200)/SUM($B$3:$B200))/STDEVA(Y190:Y200),"")</f>
        <v/>
      </c>
      <c r="AE200" s="84" t="str">
        <f>IF(U200&lt;&gt;"",(Z200-SUMPRODUCT(U$3:U200,$B$3:$B200)/SUM($B$3:$B200))/STDEVA(Z190:Z200),"")</f>
        <v/>
      </c>
      <c r="AF200" s="85" t="str">
        <f>IF(V200&lt;&gt;"",(AA200-SUMPRODUCT(V$3:V200,$B$3:$B200)/SUM($B$3:$B200))/STDEVA(AA190:AA200),"")</f>
        <v/>
      </c>
      <c r="AG200" s="90" t="str">
        <f t="shared" si="80"/>
        <v/>
      </c>
      <c r="AH200" s="90" t="str">
        <f t="shared" si="80"/>
        <v/>
      </c>
      <c r="AI200" s="90" t="str">
        <f t="shared" si="80"/>
        <v/>
      </c>
      <c r="AJ200" s="90" t="str">
        <f t="shared" si="79"/>
        <v/>
      </c>
      <c r="AK200" s="93" t="str">
        <f t="shared" si="79"/>
        <v/>
      </c>
      <c r="BQ200" s="100" t="str">
        <f>IF(A200&lt;&gt;"",(VLOOKUP(A200,MarketData!$D:$BP,MATCH($BQ$1,MarketData!$D$1:$EG$1,0),TRUE)/100/365+1)^(B200)*BQ199,"")</f>
        <v/>
      </c>
      <c r="BR200" s="98" t="str">
        <f t="shared" si="82"/>
        <v/>
      </c>
      <c r="BS200" s="106" t="str">
        <f>IF(A200&lt;&gt;"",VLOOKUP(A200,MarketData!$D:$BP,MATCH($BS$1,MarketData!$D$1:$EG$1,0),TRUE),"")</f>
        <v/>
      </c>
      <c r="BT200" s="98" t="str">
        <f t="shared" si="93"/>
        <v/>
      </c>
    </row>
    <row r="201" spans="2:72" x14ac:dyDescent="0.25">
      <c r="B201" s="60" t="str">
        <f t="shared" si="81"/>
        <v/>
      </c>
      <c r="C201" s="3" t="str">
        <f t="shared" si="83"/>
        <v/>
      </c>
      <c r="D201" s="3" t="str">
        <f t="shared" si="84"/>
        <v/>
      </c>
      <c r="E201" s="3" t="str">
        <f t="shared" si="85"/>
        <v/>
      </c>
      <c r="F201" s="3" t="str">
        <f t="shared" si="86"/>
        <v/>
      </c>
      <c r="G201" s="74" t="str">
        <f t="shared" si="87"/>
        <v/>
      </c>
      <c r="H201" s="78" t="str">
        <f>IFERROR(C201/SUM(M$2:M200),"")</f>
        <v/>
      </c>
      <c r="I201" s="61" t="str">
        <f>IFERROR(D201/SUM(N$2:N201),"")</f>
        <v/>
      </c>
      <c r="J201" s="61" t="str">
        <f>IFERROR(E201/SUM(O$2:O201),"")</f>
        <v/>
      </c>
      <c r="K201" s="61" t="str">
        <f>IFERROR(F201/SUM(P$2:P201),"")</f>
        <v/>
      </c>
      <c r="L201" s="79" t="str">
        <f>IFERROR(G201/SUM(Q$2:Q201),"")</f>
        <v/>
      </c>
      <c r="M201" s="64" t="str">
        <f t="shared" si="88"/>
        <v/>
      </c>
      <c r="N201" s="55" t="str">
        <f t="shared" si="89"/>
        <v/>
      </c>
      <c r="O201" s="55" t="str">
        <f t="shared" si="90"/>
        <v/>
      </c>
      <c r="P201" s="55" t="str">
        <f t="shared" si="91"/>
        <v/>
      </c>
      <c r="Q201" s="65" t="str">
        <f t="shared" si="92"/>
        <v/>
      </c>
      <c r="R201" s="67" t="str">
        <f t="shared" si="94"/>
        <v/>
      </c>
      <c r="S201" s="56" t="str">
        <f t="shared" si="95"/>
        <v/>
      </c>
      <c r="T201" s="56" t="str">
        <f t="shared" si="96"/>
        <v/>
      </c>
      <c r="U201" s="56" t="str">
        <f t="shared" si="97"/>
        <v/>
      </c>
      <c r="V201" s="68" t="str">
        <f t="shared" si="98"/>
        <v/>
      </c>
      <c r="W201" s="80" t="str">
        <f t="shared" si="74"/>
        <v/>
      </c>
      <c r="X201" s="81" t="str">
        <f t="shared" si="75"/>
        <v/>
      </c>
      <c r="Y201" s="81" t="str">
        <f t="shared" si="76"/>
        <v/>
      </c>
      <c r="Z201" s="81" t="str">
        <f t="shared" si="77"/>
        <v/>
      </c>
      <c r="AA201" s="82" t="str">
        <f t="shared" si="78"/>
        <v/>
      </c>
      <c r="AB201" s="83" t="str">
        <f>IF(R201&lt;&gt;"",(W201-SUMPRODUCT(R$3:R201,$B$3:$B201)/SUM($B$3:$B201))/STDEVA(W191:W201),"")</f>
        <v/>
      </c>
      <c r="AC201" s="84" t="str">
        <f>IF(S201&lt;&gt;"",(X201-SUMPRODUCT(S$3:S201,$B$3:$B201)/SUM($B$3:$B201))/STDEVA(X191:X201),"")</f>
        <v/>
      </c>
      <c r="AD201" s="84" t="str">
        <f>IF(T201&lt;&gt;"",(Y201-SUMPRODUCT(T$3:T201,$B$3:$B201)/SUM($B$3:$B201))/STDEVA(Y191:Y201),"")</f>
        <v/>
      </c>
      <c r="AE201" s="84" t="str">
        <f>IF(U201&lt;&gt;"",(Z201-SUMPRODUCT(U$3:U201,$B$3:$B201)/SUM($B$3:$B201))/STDEVA(Z191:Z201),"")</f>
        <v/>
      </c>
      <c r="AF201" s="85" t="str">
        <f>IF(V201&lt;&gt;"",(AA201-SUMPRODUCT(V$3:V201,$B$3:$B201)/SUM($B$3:$B201))/STDEVA(AA191:AA201),"")</f>
        <v/>
      </c>
      <c r="AG201" s="90" t="str">
        <f t="shared" si="80"/>
        <v/>
      </c>
      <c r="AH201" s="90" t="str">
        <f t="shared" si="80"/>
        <v/>
      </c>
      <c r="AI201" s="90" t="str">
        <f t="shared" si="80"/>
        <v/>
      </c>
      <c r="AJ201" s="90" t="str">
        <f t="shared" si="79"/>
        <v/>
      </c>
      <c r="AK201" s="93" t="str">
        <f t="shared" si="79"/>
        <v/>
      </c>
      <c r="BQ201" s="100" t="str">
        <f>IF(A201&lt;&gt;"",(VLOOKUP(A201,MarketData!$D:$BP,MATCH($BQ$1,MarketData!$D$1:$EG$1,0),TRUE)/100/365+1)^(B201)*BQ200,"")</f>
        <v/>
      </c>
      <c r="BR201" s="98" t="str">
        <f t="shared" si="82"/>
        <v/>
      </c>
      <c r="BS201" s="106" t="str">
        <f>IF(A201&lt;&gt;"",VLOOKUP(A201,MarketData!$D:$BP,MATCH($BS$1,MarketData!$D$1:$EG$1,0),TRUE),"")</f>
        <v/>
      </c>
      <c r="BT201" s="98" t="str">
        <f t="shared" si="93"/>
        <v/>
      </c>
    </row>
    <row r="202" spans="2:72" x14ac:dyDescent="0.25">
      <c r="B202" s="60" t="str">
        <f t="shared" si="81"/>
        <v/>
      </c>
      <c r="C202" s="3" t="str">
        <f t="shared" si="83"/>
        <v/>
      </c>
      <c r="D202" s="3" t="str">
        <f t="shared" si="84"/>
        <v/>
      </c>
      <c r="E202" s="3" t="str">
        <f t="shared" si="85"/>
        <v/>
      </c>
      <c r="F202" s="3" t="str">
        <f t="shared" si="86"/>
        <v/>
      </c>
      <c r="G202" s="74" t="str">
        <f t="shared" si="87"/>
        <v/>
      </c>
      <c r="H202" s="78" t="str">
        <f>IFERROR(C202/SUM(M$2:M201),"")</f>
        <v/>
      </c>
      <c r="I202" s="61" t="str">
        <f>IFERROR(D202/SUM(N$2:N202),"")</f>
        <v/>
      </c>
      <c r="J202" s="61" t="str">
        <f>IFERROR(E202/SUM(O$2:O202),"")</f>
        <v/>
      </c>
      <c r="K202" s="61" t="str">
        <f>IFERROR(F202/SUM(P$2:P202),"")</f>
        <v/>
      </c>
      <c r="L202" s="79" t="str">
        <f>IFERROR(G202/SUM(Q$2:Q202),"")</f>
        <v/>
      </c>
      <c r="M202" s="64" t="str">
        <f t="shared" si="88"/>
        <v/>
      </c>
      <c r="N202" s="55" t="str">
        <f t="shared" si="89"/>
        <v/>
      </c>
      <c r="O202" s="55" t="str">
        <f t="shared" si="90"/>
        <v/>
      </c>
      <c r="P202" s="55" t="str">
        <f t="shared" si="91"/>
        <v/>
      </c>
      <c r="Q202" s="65" t="str">
        <f t="shared" si="92"/>
        <v/>
      </c>
      <c r="R202" s="67" t="str">
        <f t="shared" si="94"/>
        <v/>
      </c>
      <c r="S202" s="56" t="str">
        <f t="shared" si="95"/>
        <v/>
      </c>
      <c r="T202" s="56" t="str">
        <f t="shared" si="96"/>
        <v/>
      </c>
      <c r="U202" s="56" t="str">
        <f t="shared" si="97"/>
        <v/>
      </c>
      <c r="V202" s="68" t="str">
        <f t="shared" si="98"/>
        <v/>
      </c>
      <c r="W202" s="80" t="str">
        <f t="shared" si="74"/>
        <v/>
      </c>
      <c r="X202" s="81" t="str">
        <f t="shared" si="75"/>
        <v/>
      </c>
      <c r="Y202" s="81" t="str">
        <f t="shared" si="76"/>
        <v/>
      </c>
      <c r="Z202" s="81" t="str">
        <f t="shared" si="77"/>
        <v/>
      </c>
      <c r="AA202" s="82" t="str">
        <f t="shared" si="78"/>
        <v/>
      </c>
      <c r="AB202" s="83" t="str">
        <f>IF(R202&lt;&gt;"",(W202-SUMPRODUCT(R$3:R202,$B$3:$B202)/SUM($B$3:$B202))/STDEVA(W192:W202),"")</f>
        <v/>
      </c>
      <c r="AC202" s="84" t="str">
        <f>IF(S202&lt;&gt;"",(X202-SUMPRODUCT(S$3:S202,$B$3:$B202)/SUM($B$3:$B202))/STDEVA(X192:X202),"")</f>
        <v/>
      </c>
      <c r="AD202" s="84" t="str">
        <f>IF(T202&lt;&gt;"",(Y202-SUMPRODUCT(T$3:T202,$B$3:$B202)/SUM($B$3:$B202))/STDEVA(Y192:Y202),"")</f>
        <v/>
      </c>
      <c r="AE202" s="84" t="str">
        <f>IF(U202&lt;&gt;"",(Z202-SUMPRODUCT(U$3:U202,$B$3:$B202)/SUM($B$3:$B202))/STDEVA(Z192:Z202),"")</f>
        <v/>
      </c>
      <c r="AF202" s="85" t="str">
        <f>IF(V202&lt;&gt;"",(AA202-SUMPRODUCT(V$3:V202,$B$3:$B202)/SUM($B$3:$B202))/STDEVA(AA192:AA202),"")</f>
        <v/>
      </c>
      <c r="AG202" s="90" t="str">
        <f t="shared" si="80"/>
        <v/>
      </c>
      <c r="AH202" s="90" t="str">
        <f t="shared" si="80"/>
        <v/>
      </c>
      <c r="AI202" s="90" t="str">
        <f t="shared" si="80"/>
        <v/>
      </c>
      <c r="AJ202" s="90" t="str">
        <f t="shared" si="79"/>
        <v/>
      </c>
      <c r="AK202" s="93" t="str">
        <f t="shared" si="79"/>
        <v/>
      </c>
      <c r="BQ202" s="100" t="str">
        <f>IF(A202&lt;&gt;"",(VLOOKUP(A202,MarketData!$D:$BP,MATCH($BQ$1,MarketData!$D$1:$EG$1,0),TRUE)/100/365+1)^(B202)*BQ201,"")</f>
        <v/>
      </c>
      <c r="BR202" s="98" t="str">
        <f t="shared" si="82"/>
        <v/>
      </c>
      <c r="BS202" s="106" t="str">
        <f>IF(A202&lt;&gt;"",VLOOKUP(A202,MarketData!$D:$BP,MATCH($BS$1,MarketData!$D$1:$EG$1,0),TRUE),"")</f>
        <v/>
      </c>
      <c r="BT202" s="98" t="str">
        <f t="shared" si="93"/>
        <v/>
      </c>
    </row>
    <row r="203" spans="2:72" x14ac:dyDescent="0.25">
      <c r="B203" s="60" t="str">
        <f t="shared" si="81"/>
        <v/>
      </c>
      <c r="C203" s="3" t="str">
        <f t="shared" si="83"/>
        <v/>
      </c>
      <c r="D203" s="3" t="str">
        <f t="shared" si="84"/>
        <v/>
      </c>
      <c r="E203" s="3" t="str">
        <f t="shared" si="85"/>
        <v/>
      </c>
      <c r="F203" s="3" t="str">
        <f t="shared" si="86"/>
        <v/>
      </c>
      <c r="G203" s="74" t="str">
        <f t="shared" si="87"/>
        <v/>
      </c>
      <c r="H203" s="78" t="str">
        <f>IFERROR(C203/SUM(M$2:M202),"")</f>
        <v/>
      </c>
      <c r="I203" s="61" t="str">
        <f>IFERROR(D203/SUM(N$2:N203),"")</f>
        <v/>
      </c>
      <c r="J203" s="61" t="str">
        <f>IFERROR(E203/SUM(O$2:O203),"")</f>
        <v/>
      </c>
      <c r="K203" s="61" t="str">
        <f>IFERROR(F203/SUM(P$2:P203),"")</f>
        <v/>
      </c>
      <c r="L203" s="79" t="str">
        <f>IFERROR(G203/SUM(Q$2:Q203),"")</f>
        <v/>
      </c>
      <c r="M203" s="64" t="str">
        <f t="shared" si="88"/>
        <v/>
      </c>
      <c r="N203" s="55" t="str">
        <f t="shared" si="89"/>
        <v/>
      </c>
      <c r="O203" s="55" t="str">
        <f t="shared" si="90"/>
        <v/>
      </c>
      <c r="P203" s="55" t="str">
        <f t="shared" si="91"/>
        <v/>
      </c>
      <c r="Q203" s="65" t="str">
        <f t="shared" si="92"/>
        <v/>
      </c>
      <c r="R203" s="67" t="str">
        <f t="shared" si="94"/>
        <v/>
      </c>
      <c r="S203" s="56" t="str">
        <f t="shared" si="95"/>
        <v/>
      </c>
      <c r="T203" s="56" t="str">
        <f t="shared" si="96"/>
        <v/>
      </c>
      <c r="U203" s="56" t="str">
        <f t="shared" si="97"/>
        <v/>
      </c>
      <c r="V203" s="68" t="str">
        <f t="shared" si="98"/>
        <v/>
      </c>
      <c r="W203" s="80" t="str">
        <f t="shared" si="74"/>
        <v/>
      </c>
      <c r="X203" s="81" t="str">
        <f t="shared" si="75"/>
        <v/>
      </c>
      <c r="Y203" s="81" t="str">
        <f t="shared" si="76"/>
        <v/>
      </c>
      <c r="Z203" s="81" t="str">
        <f t="shared" si="77"/>
        <v/>
      </c>
      <c r="AA203" s="82" t="str">
        <f t="shared" si="78"/>
        <v/>
      </c>
      <c r="AB203" s="83" t="str">
        <f>IF(R203&lt;&gt;"",(W203-SUMPRODUCT(R$3:R203,$B$3:$B203)/SUM($B$3:$B203))/STDEVA(W193:W203),"")</f>
        <v/>
      </c>
      <c r="AC203" s="84" t="str">
        <f>IF(S203&lt;&gt;"",(X203-SUMPRODUCT(S$3:S203,$B$3:$B203)/SUM($B$3:$B203))/STDEVA(X193:X203),"")</f>
        <v/>
      </c>
      <c r="AD203" s="84" t="str">
        <f>IF(T203&lt;&gt;"",(Y203-SUMPRODUCT(T$3:T203,$B$3:$B203)/SUM($B$3:$B203))/STDEVA(Y193:Y203),"")</f>
        <v/>
      </c>
      <c r="AE203" s="84" t="str">
        <f>IF(U203&lt;&gt;"",(Z203-SUMPRODUCT(U$3:U203,$B$3:$B203)/SUM($B$3:$B203))/STDEVA(Z193:Z203),"")</f>
        <v/>
      </c>
      <c r="AF203" s="85" t="str">
        <f>IF(V203&lt;&gt;"",(AA203-SUMPRODUCT(V$3:V203,$B$3:$B203)/SUM($B$3:$B203))/STDEVA(AA193:AA203),"")</f>
        <v/>
      </c>
      <c r="AG203" s="90" t="str">
        <f t="shared" si="80"/>
        <v/>
      </c>
      <c r="AH203" s="90" t="str">
        <f t="shared" si="80"/>
        <v/>
      </c>
      <c r="AI203" s="90" t="str">
        <f t="shared" si="80"/>
        <v/>
      </c>
      <c r="AJ203" s="90" t="str">
        <f t="shared" si="79"/>
        <v/>
      </c>
      <c r="AK203" s="93" t="str">
        <f t="shared" si="79"/>
        <v/>
      </c>
      <c r="BQ203" s="100" t="str">
        <f>IF(A203&lt;&gt;"",(VLOOKUP(A203,MarketData!$D:$BP,MATCH($BQ$1,MarketData!$D$1:$EG$1,0),TRUE)/100/365+1)^(B203)*BQ202,"")</f>
        <v/>
      </c>
      <c r="BR203" s="98" t="str">
        <f t="shared" si="82"/>
        <v/>
      </c>
      <c r="BS203" s="106" t="str">
        <f>IF(A203&lt;&gt;"",VLOOKUP(A203,MarketData!$D:$BP,MATCH($BS$1,MarketData!$D$1:$EG$1,0),TRUE),"")</f>
        <v/>
      </c>
      <c r="BT203" s="98" t="str">
        <f t="shared" si="93"/>
        <v/>
      </c>
    </row>
    <row r="204" spans="2:72" x14ac:dyDescent="0.25">
      <c r="B204" s="60" t="str">
        <f t="shared" si="81"/>
        <v/>
      </c>
      <c r="C204" s="3" t="str">
        <f t="shared" si="83"/>
        <v/>
      </c>
      <c r="D204" s="3" t="str">
        <f t="shared" si="84"/>
        <v/>
      </c>
      <c r="E204" s="3" t="str">
        <f t="shared" si="85"/>
        <v/>
      </c>
      <c r="F204" s="3" t="str">
        <f t="shared" si="86"/>
        <v/>
      </c>
      <c r="G204" s="74" t="str">
        <f t="shared" si="87"/>
        <v/>
      </c>
      <c r="H204" s="78" t="str">
        <f>IFERROR(C204/SUM(M$2:M203),"")</f>
        <v/>
      </c>
      <c r="I204" s="61" t="str">
        <f>IFERROR(D204/SUM(N$2:N204),"")</f>
        <v/>
      </c>
      <c r="J204" s="61" t="str">
        <f>IFERROR(E204/SUM(O$2:O204),"")</f>
        <v/>
      </c>
      <c r="K204" s="61" t="str">
        <f>IFERROR(F204/SUM(P$2:P204),"")</f>
        <v/>
      </c>
      <c r="L204" s="79" t="str">
        <f>IFERROR(G204/SUM(Q$2:Q204),"")</f>
        <v/>
      </c>
      <c r="M204" s="64" t="str">
        <f t="shared" si="88"/>
        <v/>
      </c>
      <c r="N204" s="55" t="str">
        <f t="shared" si="89"/>
        <v/>
      </c>
      <c r="O204" s="55" t="str">
        <f t="shared" si="90"/>
        <v/>
      </c>
      <c r="P204" s="55" t="str">
        <f t="shared" si="91"/>
        <v/>
      </c>
      <c r="Q204" s="65" t="str">
        <f t="shared" si="92"/>
        <v/>
      </c>
      <c r="R204" s="67" t="str">
        <f t="shared" si="94"/>
        <v/>
      </c>
      <c r="S204" s="56" t="str">
        <f t="shared" si="95"/>
        <v/>
      </c>
      <c r="T204" s="56" t="str">
        <f t="shared" si="96"/>
        <v/>
      </c>
      <c r="U204" s="56" t="str">
        <f t="shared" si="97"/>
        <v/>
      </c>
      <c r="V204" s="68" t="str">
        <f t="shared" si="98"/>
        <v/>
      </c>
      <c r="W204" s="80" t="str">
        <f t="shared" ref="W204:W267" si="99">IF(R204&lt;&gt;"",SUMPRODUCT(R195:R204,$B195:$B204)/SUM($B195:$B204),"")</f>
        <v/>
      </c>
      <c r="X204" s="81" t="str">
        <f t="shared" ref="X204:X267" si="100">IF(S204&lt;&gt;"",SUMPRODUCT(S195:S204,$B195:$B204)/SUM($B195:$B204),"")</f>
        <v/>
      </c>
      <c r="Y204" s="81" t="str">
        <f t="shared" ref="Y204:Y267" si="101">IF(T204&lt;&gt;"",SUMPRODUCT(T195:T204,$B195:$B204)/SUM($B195:$B204),"")</f>
        <v/>
      </c>
      <c r="Z204" s="81" t="str">
        <f t="shared" ref="Z204:Z267" si="102">IF(U204&lt;&gt;"",SUMPRODUCT(U195:U204,$B195:$B204)/SUM($B195:$B204),"")</f>
        <v/>
      </c>
      <c r="AA204" s="82" t="str">
        <f t="shared" ref="AA204:AA267" si="103">IF(V204&lt;&gt;"",SUMPRODUCT(V195:V204,$B195:$B204)/SUM($B195:$B204),"")</f>
        <v/>
      </c>
      <c r="AB204" s="83" t="str">
        <f>IF(R204&lt;&gt;"",(W204-SUMPRODUCT(R$3:R204,$B$3:$B204)/SUM($B$3:$B204))/STDEVA(W194:W204),"")</f>
        <v/>
      </c>
      <c r="AC204" s="84" t="str">
        <f>IF(S204&lt;&gt;"",(X204-SUMPRODUCT(S$3:S204,$B$3:$B204)/SUM($B$3:$B204))/STDEVA(X194:X204),"")</f>
        <v/>
      </c>
      <c r="AD204" s="84" t="str">
        <f>IF(T204&lt;&gt;"",(Y204-SUMPRODUCT(T$3:T204,$B$3:$B204)/SUM($B$3:$B204))/STDEVA(Y194:Y204),"")</f>
        <v/>
      </c>
      <c r="AE204" s="84" t="str">
        <f>IF(U204&lt;&gt;"",(Z204-SUMPRODUCT(U$3:U204,$B$3:$B204)/SUM($B$3:$B204))/STDEVA(Z194:Z204),"")</f>
        <v/>
      </c>
      <c r="AF204" s="85" t="str">
        <f>IF(V204&lt;&gt;"",(AA204-SUMPRODUCT(V$3:V204,$B$3:$B204)/SUM($B$3:$B204))/STDEVA(AA194:AA204),"")</f>
        <v/>
      </c>
      <c r="AG204" s="90" t="str">
        <f t="shared" si="80"/>
        <v/>
      </c>
      <c r="AH204" s="90" t="str">
        <f t="shared" si="80"/>
        <v/>
      </c>
      <c r="AI204" s="90" t="str">
        <f t="shared" si="80"/>
        <v/>
      </c>
      <c r="AJ204" s="90" t="str">
        <f t="shared" si="79"/>
        <v/>
      </c>
      <c r="AK204" s="93" t="str">
        <f t="shared" si="79"/>
        <v/>
      </c>
      <c r="BQ204" s="100" t="str">
        <f>IF(A204&lt;&gt;"",(VLOOKUP(A204,MarketData!$D:$BP,MATCH($BQ$1,MarketData!$D$1:$EG$1,0),TRUE)/100/365+1)^(B204)*BQ203,"")</f>
        <v/>
      </c>
      <c r="BR204" s="98" t="str">
        <f t="shared" si="82"/>
        <v/>
      </c>
      <c r="BS204" s="106" t="str">
        <f>IF(A204&lt;&gt;"",VLOOKUP(A204,MarketData!$D:$BP,MATCH($BS$1,MarketData!$D$1:$EG$1,0),TRUE),"")</f>
        <v/>
      </c>
      <c r="BT204" s="98" t="str">
        <f t="shared" si="93"/>
        <v/>
      </c>
    </row>
    <row r="205" spans="2:72" x14ac:dyDescent="0.25">
      <c r="B205" s="60" t="str">
        <f t="shared" si="81"/>
        <v/>
      </c>
      <c r="C205" s="3" t="str">
        <f t="shared" si="83"/>
        <v/>
      </c>
      <c r="D205" s="3" t="str">
        <f t="shared" si="84"/>
        <v/>
      </c>
      <c r="E205" s="3" t="str">
        <f t="shared" si="85"/>
        <v/>
      </c>
      <c r="F205" s="3" t="str">
        <f t="shared" si="86"/>
        <v/>
      </c>
      <c r="G205" s="74" t="str">
        <f t="shared" si="87"/>
        <v/>
      </c>
      <c r="H205" s="78" t="str">
        <f>IFERROR(C205/SUM(M$2:M204),"")</f>
        <v/>
      </c>
      <c r="I205" s="61" t="str">
        <f>IFERROR(D205/SUM(N$2:N205),"")</f>
        <v/>
      </c>
      <c r="J205" s="61" t="str">
        <f>IFERROR(E205/SUM(O$2:O205),"")</f>
        <v/>
      </c>
      <c r="K205" s="61" t="str">
        <f>IFERROR(F205/SUM(P$2:P205),"")</f>
        <v/>
      </c>
      <c r="L205" s="79" t="str">
        <f>IFERROR(G205/SUM(Q$2:Q205),"")</f>
        <v/>
      </c>
      <c r="M205" s="64" t="str">
        <f t="shared" si="88"/>
        <v/>
      </c>
      <c r="N205" s="55" t="str">
        <f t="shared" si="89"/>
        <v/>
      </c>
      <c r="O205" s="55" t="str">
        <f t="shared" si="90"/>
        <v/>
      </c>
      <c r="P205" s="55" t="str">
        <f t="shared" si="91"/>
        <v/>
      </c>
      <c r="Q205" s="65" t="str">
        <f t="shared" si="92"/>
        <v/>
      </c>
      <c r="R205" s="67" t="str">
        <f t="shared" si="94"/>
        <v/>
      </c>
      <c r="S205" s="56" t="str">
        <f t="shared" si="95"/>
        <v/>
      </c>
      <c r="T205" s="56" t="str">
        <f t="shared" si="96"/>
        <v/>
      </c>
      <c r="U205" s="56" t="str">
        <f t="shared" si="97"/>
        <v/>
      </c>
      <c r="V205" s="68" t="str">
        <f t="shared" si="98"/>
        <v/>
      </c>
      <c r="W205" s="80" t="str">
        <f t="shared" si="99"/>
        <v/>
      </c>
      <c r="X205" s="81" t="str">
        <f t="shared" si="100"/>
        <v/>
      </c>
      <c r="Y205" s="81" t="str">
        <f t="shared" si="101"/>
        <v/>
      </c>
      <c r="Z205" s="81" t="str">
        <f t="shared" si="102"/>
        <v/>
      </c>
      <c r="AA205" s="82" t="str">
        <f t="shared" si="103"/>
        <v/>
      </c>
      <c r="AB205" s="83" t="str">
        <f>IF(R205&lt;&gt;"",(W205-SUMPRODUCT(R$3:R205,$B$3:$B205)/SUM($B$3:$B205))/STDEVA(W195:W205),"")</f>
        <v/>
      </c>
      <c r="AC205" s="84" t="str">
        <f>IF(S205&lt;&gt;"",(X205-SUMPRODUCT(S$3:S205,$B$3:$B205)/SUM($B$3:$B205))/STDEVA(X195:X205),"")</f>
        <v/>
      </c>
      <c r="AD205" s="84" t="str">
        <f>IF(T205&lt;&gt;"",(Y205-SUMPRODUCT(T$3:T205,$B$3:$B205)/SUM($B$3:$B205))/STDEVA(Y195:Y205),"")</f>
        <v/>
      </c>
      <c r="AE205" s="84" t="str">
        <f>IF(U205&lt;&gt;"",(Z205-SUMPRODUCT(U$3:U205,$B$3:$B205)/SUM($B$3:$B205))/STDEVA(Z195:Z205),"")</f>
        <v/>
      </c>
      <c r="AF205" s="85" t="str">
        <f>IF(V205&lt;&gt;"",(AA205-SUMPRODUCT(V$3:V205,$B$3:$B205)/SUM($B$3:$B205))/STDEVA(AA195:AA205),"")</f>
        <v/>
      </c>
      <c r="AG205" s="90" t="str">
        <f t="shared" si="80"/>
        <v/>
      </c>
      <c r="AH205" s="90" t="str">
        <f t="shared" si="80"/>
        <v/>
      </c>
      <c r="AI205" s="90" t="str">
        <f t="shared" si="80"/>
        <v/>
      </c>
      <c r="AJ205" s="90" t="str">
        <f t="shared" si="80"/>
        <v/>
      </c>
      <c r="AK205" s="93" t="str">
        <f t="shared" si="80"/>
        <v/>
      </c>
      <c r="BQ205" s="100" t="str">
        <f>IF(A205&lt;&gt;"",(VLOOKUP(A205,MarketData!$D:$BP,MATCH($BQ$1,MarketData!$D$1:$EG$1,0),TRUE)/100/365+1)^(B205)*BQ204,"")</f>
        <v/>
      </c>
      <c r="BR205" s="98" t="str">
        <f t="shared" si="82"/>
        <v/>
      </c>
      <c r="BS205" s="106" t="str">
        <f>IF(A205&lt;&gt;"",VLOOKUP(A205,MarketData!$D:$BP,MATCH($BS$1,MarketData!$D$1:$EG$1,0),TRUE),"")</f>
        <v/>
      </c>
      <c r="BT205" s="98" t="str">
        <f t="shared" si="93"/>
        <v/>
      </c>
    </row>
    <row r="206" spans="2:72" x14ac:dyDescent="0.25">
      <c r="B206" s="60" t="str">
        <f t="shared" si="81"/>
        <v/>
      </c>
      <c r="C206" s="3" t="str">
        <f t="shared" si="83"/>
        <v/>
      </c>
      <c r="D206" s="3" t="str">
        <f t="shared" si="84"/>
        <v/>
      </c>
      <c r="E206" s="3" t="str">
        <f t="shared" si="85"/>
        <v/>
      </c>
      <c r="F206" s="3" t="str">
        <f t="shared" si="86"/>
        <v/>
      </c>
      <c r="G206" s="74" t="str">
        <f t="shared" si="87"/>
        <v/>
      </c>
      <c r="H206" s="78" t="str">
        <f>IFERROR(C206/SUM(M$2:M205),"")</f>
        <v/>
      </c>
      <c r="I206" s="61" t="str">
        <f>IFERROR(D206/SUM(N$2:N206),"")</f>
        <v/>
      </c>
      <c r="J206" s="61" t="str">
        <f>IFERROR(E206/SUM(O$2:O206),"")</f>
        <v/>
      </c>
      <c r="K206" s="61" t="str">
        <f>IFERROR(F206/SUM(P$2:P206),"")</f>
        <v/>
      </c>
      <c r="L206" s="79" t="str">
        <f>IFERROR(G206/SUM(Q$2:Q206),"")</f>
        <v/>
      </c>
      <c r="M206" s="64" t="str">
        <f t="shared" si="88"/>
        <v/>
      </c>
      <c r="N206" s="55" t="str">
        <f t="shared" si="89"/>
        <v/>
      </c>
      <c r="O206" s="55" t="str">
        <f t="shared" si="90"/>
        <v/>
      </c>
      <c r="P206" s="55" t="str">
        <f t="shared" si="91"/>
        <v/>
      </c>
      <c r="Q206" s="65" t="str">
        <f t="shared" si="92"/>
        <v/>
      </c>
      <c r="R206" s="67" t="str">
        <f t="shared" si="94"/>
        <v/>
      </c>
      <c r="S206" s="56" t="str">
        <f t="shared" si="95"/>
        <v/>
      </c>
      <c r="T206" s="56" t="str">
        <f t="shared" si="96"/>
        <v/>
      </c>
      <c r="U206" s="56" t="str">
        <f t="shared" si="97"/>
        <v/>
      </c>
      <c r="V206" s="68" t="str">
        <f t="shared" si="98"/>
        <v/>
      </c>
      <c r="W206" s="80" t="str">
        <f t="shared" si="99"/>
        <v/>
      </c>
      <c r="X206" s="81" t="str">
        <f t="shared" si="100"/>
        <v/>
      </c>
      <c r="Y206" s="81" t="str">
        <f t="shared" si="101"/>
        <v/>
      </c>
      <c r="Z206" s="81" t="str">
        <f t="shared" si="102"/>
        <v/>
      </c>
      <c r="AA206" s="82" t="str">
        <f t="shared" si="103"/>
        <v/>
      </c>
      <c r="AB206" s="83" t="str">
        <f>IF(R206&lt;&gt;"",(W206-SUMPRODUCT(R$3:R206,$B$3:$B206)/SUM($B$3:$B206))/STDEVA(W196:W206),"")</f>
        <v/>
      </c>
      <c r="AC206" s="84" t="str">
        <f>IF(S206&lt;&gt;"",(X206-SUMPRODUCT(S$3:S206,$B$3:$B206)/SUM($B$3:$B206))/STDEVA(X196:X206),"")</f>
        <v/>
      </c>
      <c r="AD206" s="84" t="str">
        <f>IF(T206&lt;&gt;"",(Y206-SUMPRODUCT(T$3:T206,$B$3:$B206)/SUM($B$3:$B206))/STDEVA(Y196:Y206),"")</f>
        <v/>
      </c>
      <c r="AE206" s="84" t="str">
        <f>IF(U206&lt;&gt;"",(Z206-SUMPRODUCT(U$3:U206,$B$3:$B206)/SUM($B$3:$B206))/STDEVA(Z196:Z206),"")</f>
        <v/>
      </c>
      <c r="AF206" s="85" t="str">
        <f>IF(V206&lt;&gt;"",(AA206-SUMPRODUCT(V$3:V206,$B$3:$B206)/SUM($B$3:$B206))/STDEVA(AA196:AA206),"")</f>
        <v/>
      </c>
      <c r="AG206" s="90" t="str">
        <f t="shared" ref="AG206:AJ269" si="104">IF(AB206&lt;&gt;"",SUMPRODUCT(AB201:AB206,$B201:$B206)/SUM($B201:$B206),"")</f>
        <v/>
      </c>
      <c r="AH206" s="90" t="str">
        <f t="shared" si="104"/>
        <v/>
      </c>
      <c r="AI206" s="90" t="str">
        <f t="shared" si="104"/>
        <v/>
      </c>
      <c r="AJ206" s="90" t="str">
        <f t="shared" si="104"/>
        <v/>
      </c>
      <c r="AK206" s="93" t="str">
        <f t="shared" ref="AK206:AK269" si="105">IF(AF206&lt;&gt;"",SUMPRODUCT(AF201:AF206,$B201:$B206)/SUM($B201:$B206),"")</f>
        <v/>
      </c>
      <c r="BQ206" s="100" t="str">
        <f>IF(A206&lt;&gt;"",(VLOOKUP(A206,MarketData!$D:$BP,MATCH($BQ$1,MarketData!$D$1:$EG$1,0),TRUE)/100/365+1)^(B206)*BQ205,"")</f>
        <v/>
      </c>
      <c r="BR206" s="98" t="str">
        <f t="shared" si="82"/>
        <v/>
      </c>
      <c r="BS206" s="106" t="str">
        <f>IF(A206&lt;&gt;"",VLOOKUP(A206,MarketData!$D:$BP,MATCH($BS$1,MarketData!$D$1:$EG$1,0),TRUE),"")</f>
        <v/>
      </c>
      <c r="BT206" s="98" t="str">
        <f t="shared" si="93"/>
        <v/>
      </c>
    </row>
    <row r="207" spans="2:72" x14ac:dyDescent="0.25">
      <c r="B207" s="60" t="str">
        <f t="shared" si="81"/>
        <v/>
      </c>
      <c r="C207" s="3" t="str">
        <f t="shared" si="83"/>
        <v/>
      </c>
      <c r="D207" s="3" t="str">
        <f t="shared" si="84"/>
        <v/>
      </c>
      <c r="E207" s="3" t="str">
        <f t="shared" si="85"/>
        <v/>
      </c>
      <c r="F207" s="3" t="str">
        <f t="shared" si="86"/>
        <v/>
      </c>
      <c r="G207" s="74" t="str">
        <f t="shared" si="87"/>
        <v/>
      </c>
      <c r="H207" s="78" t="str">
        <f>IFERROR(C207/SUM(M$2:M206),"")</f>
        <v/>
      </c>
      <c r="I207" s="61" t="str">
        <f>IFERROR(D207/SUM(N$2:N207),"")</f>
        <v/>
      </c>
      <c r="J207" s="61" t="str">
        <f>IFERROR(E207/SUM(O$2:O207),"")</f>
        <v/>
      </c>
      <c r="K207" s="61" t="str">
        <f>IFERROR(F207/SUM(P$2:P207),"")</f>
        <v/>
      </c>
      <c r="L207" s="79" t="str">
        <f>IFERROR(G207/SUM(Q$2:Q207),"")</f>
        <v/>
      </c>
      <c r="M207" s="64" t="str">
        <f t="shared" si="88"/>
        <v/>
      </c>
      <c r="N207" s="55" t="str">
        <f t="shared" si="89"/>
        <v/>
      </c>
      <c r="O207" s="55" t="str">
        <f t="shared" si="90"/>
        <v/>
      </c>
      <c r="P207" s="55" t="str">
        <f t="shared" si="91"/>
        <v/>
      </c>
      <c r="Q207" s="65" t="str">
        <f t="shared" si="92"/>
        <v/>
      </c>
      <c r="R207" s="67" t="str">
        <f t="shared" si="94"/>
        <v/>
      </c>
      <c r="S207" s="56" t="str">
        <f t="shared" si="95"/>
        <v/>
      </c>
      <c r="T207" s="56" t="str">
        <f t="shared" si="96"/>
        <v/>
      </c>
      <c r="U207" s="56" t="str">
        <f t="shared" si="97"/>
        <v/>
      </c>
      <c r="V207" s="68" t="str">
        <f t="shared" si="98"/>
        <v/>
      </c>
      <c r="W207" s="80" t="str">
        <f t="shared" si="99"/>
        <v/>
      </c>
      <c r="X207" s="81" t="str">
        <f t="shared" si="100"/>
        <v/>
      </c>
      <c r="Y207" s="81" t="str">
        <f t="shared" si="101"/>
        <v/>
      </c>
      <c r="Z207" s="81" t="str">
        <f t="shared" si="102"/>
        <v/>
      </c>
      <c r="AA207" s="82" t="str">
        <f t="shared" si="103"/>
        <v/>
      </c>
      <c r="AB207" s="83" t="str">
        <f>IF(R207&lt;&gt;"",(W207-SUMPRODUCT(R$3:R207,$B$3:$B207)/SUM($B$3:$B207))/STDEVA(W197:W207),"")</f>
        <v/>
      </c>
      <c r="AC207" s="84" t="str">
        <f>IF(S207&lt;&gt;"",(X207-SUMPRODUCT(S$3:S207,$B$3:$B207)/SUM($B$3:$B207))/STDEVA(X197:X207),"")</f>
        <v/>
      </c>
      <c r="AD207" s="84" t="str">
        <f>IF(T207&lt;&gt;"",(Y207-SUMPRODUCT(T$3:T207,$B$3:$B207)/SUM($B$3:$B207))/STDEVA(Y197:Y207),"")</f>
        <v/>
      </c>
      <c r="AE207" s="84" t="str">
        <f>IF(U207&lt;&gt;"",(Z207-SUMPRODUCT(U$3:U207,$B$3:$B207)/SUM($B$3:$B207))/STDEVA(Z197:Z207),"")</f>
        <v/>
      </c>
      <c r="AF207" s="85" t="str">
        <f>IF(V207&lt;&gt;"",(AA207-SUMPRODUCT(V$3:V207,$B$3:$B207)/SUM($B$3:$B207))/STDEVA(AA197:AA207),"")</f>
        <v/>
      </c>
      <c r="AG207" s="90" t="str">
        <f t="shared" si="104"/>
        <v/>
      </c>
      <c r="AH207" s="90" t="str">
        <f t="shared" si="104"/>
        <v/>
      </c>
      <c r="AI207" s="90" t="str">
        <f t="shared" si="104"/>
        <v/>
      </c>
      <c r="AJ207" s="90" t="str">
        <f t="shared" si="104"/>
        <v/>
      </c>
      <c r="AK207" s="93" t="str">
        <f t="shared" si="105"/>
        <v/>
      </c>
      <c r="BQ207" s="100" t="str">
        <f>IF(A207&lt;&gt;"",(VLOOKUP(A207,MarketData!$D:$BP,MATCH($BQ$1,MarketData!$D$1:$EG$1,0),TRUE)/100/365+1)^(B207)*BQ206,"")</f>
        <v/>
      </c>
      <c r="BR207" s="98" t="str">
        <f t="shared" si="82"/>
        <v/>
      </c>
      <c r="BS207" s="106" t="str">
        <f>IF(A207&lt;&gt;"",VLOOKUP(A207,MarketData!$D:$BP,MATCH($BS$1,MarketData!$D$1:$EG$1,0),TRUE),"")</f>
        <v/>
      </c>
      <c r="BT207" s="98" t="str">
        <f t="shared" si="93"/>
        <v/>
      </c>
    </row>
    <row r="208" spans="2:72" x14ac:dyDescent="0.25">
      <c r="B208" s="60" t="str">
        <f t="shared" si="81"/>
        <v/>
      </c>
      <c r="C208" s="3" t="str">
        <f t="shared" si="83"/>
        <v/>
      </c>
      <c r="D208" s="3" t="str">
        <f t="shared" si="84"/>
        <v/>
      </c>
      <c r="E208" s="3" t="str">
        <f t="shared" si="85"/>
        <v/>
      </c>
      <c r="F208" s="3" t="str">
        <f t="shared" si="86"/>
        <v/>
      </c>
      <c r="G208" s="74" t="str">
        <f t="shared" si="87"/>
        <v/>
      </c>
      <c r="H208" s="78" t="str">
        <f>IFERROR(C208/SUM(M$2:M207),"")</f>
        <v/>
      </c>
      <c r="I208" s="61" t="str">
        <f>IFERROR(D208/SUM(N$2:N208),"")</f>
        <v/>
      </c>
      <c r="J208" s="61" t="str">
        <f>IFERROR(E208/SUM(O$2:O208),"")</f>
        <v/>
      </c>
      <c r="K208" s="61" t="str">
        <f>IFERROR(F208/SUM(P$2:P208),"")</f>
        <v/>
      </c>
      <c r="L208" s="79" t="str">
        <f>IFERROR(G208/SUM(Q$2:Q208),"")</f>
        <v/>
      </c>
      <c r="M208" s="64" t="str">
        <f t="shared" si="88"/>
        <v/>
      </c>
      <c r="N208" s="55" t="str">
        <f t="shared" si="89"/>
        <v/>
      </c>
      <c r="O208" s="55" t="str">
        <f t="shared" si="90"/>
        <v/>
      </c>
      <c r="P208" s="55" t="str">
        <f t="shared" si="91"/>
        <v/>
      </c>
      <c r="Q208" s="65" t="str">
        <f t="shared" si="92"/>
        <v/>
      </c>
      <c r="R208" s="67" t="str">
        <f t="shared" si="94"/>
        <v/>
      </c>
      <c r="S208" s="56" t="str">
        <f t="shared" si="95"/>
        <v/>
      </c>
      <c r="T208" s="56" t="str">
        <f t="shared" si="96"/>
        <v/>
      </c>
      <c r="U208" s="56" t="str">
        <f t="shared" si="97"/>
        <v/>
      </c>
      <c r="V208" s="68" t="str">
        <f t="shared" si="98"/>
        <v/>
      </c>
      <c r="W208" s="80" t="str">
        <f t="shared" si="99"/>
        <v/>
      </c>
      <c r="X208" s="81" t="str">
        <f t="shared" si="100"/>
        <v/>
      </c>
      <c r="Y208" s="81" t="str">
        <f t="shared" si="101"/>
        <v/>
      </c>
      <c r="Z208" s="81" t="str">
        <f t="shared" si="102"/>
        <v/>
      </c>
      <c r="AA208" s="82" t="str">
        <f t="shared" si="103"/>
        <v/>
      </c>
      <c r="AB208" s="83" t="str">
        <f>IF(R208&lt;&gt;"",(W208-SUMPRODUCT(R$3:R208,$B$3:$B208)/SUM($B$3:$B208))/STDEVA(W198:W208),"")</f>
        <v/>
      </c>
      <c r="AC208" s="84" t="str">
        <f>IF(S208&lt;&gt;"",(X208-SUMPRODUCT(S$3:S208,$B$3:$B208)/SUM($B$3:$B208))/STDEVA(X198:X208),"")</f>
        <v/>
      </c>
      <c r="AD208" s="84" t="str">
        <f>IF(T208&lt;&gt;"",(Y208-SUMPRODUCT(T$3:T208,$B$3:$B208)/SUM($B$3:$B208))/STDEVA(Y198:Y208),"")</f>
        <v/>
      </c>
      <c r="AE208" s="84" t="str">
        <f>IF(U208&lt;&gt;"",(Z208-SUMPRODUCT(U$3:U208,$B$3:$B208)/SUM($B$3:$B208))/STDEVA(Z198:Z208),"")</f>
        <v/>
      </c>
      <c r="AF208" s="85" t="str">
        <f>IF(V208&lt;&gt;"",(AA208-SUMPRODUCT(V$3:V208,$B$3:$B208)/SUM($B$3:$B208))/STDEVA(AA198:AA208),"")</f>
        <v/>
      </c>
      <c r="AG208" s="90" t="str">
        <f t="shared" si="104"/>
        <v/>
      </c>
      <c r="AH208" s="90" t="str">
        <f t="shared" si="104"/>
        <v/>
      </c>
      <c r="AI208" s="90" t="str">
        <f t="shared" si="104"/>
        <v/>
      </c>
      <c r="AJ208" s="90" t="str">
        <f t="shared" si="104"/>
        <v/>
      </c>
      <c r="AK208" s="93" t="str">
        <f t="shared" si="105"/>
        <v/>
      </c>
      <c r="BQ208" s="100" t="str">
        <f>IF(A208&lt;&gt;"",(VLOOKUP(A208,MarketData!$D:$BP,MATCH($BQ$1,MarketData!$D$1:$EG$1,0),TRUE)/100/365+1)^(B208)*BQ207,"")</f>
        <v/>
      </c>
      <c r="BR208" s="98" t="str">
        <f t="shared" si="82"/>
        <v/>
      </c>
      <c r="BS208" s="106" t="str">
        <f>IF(A208&lt;&gt;"",VLOOKUP(A208,MarketData!$D:$BP,MATCH($BS$1,MarketData!$D$1:$EG$1,0),TRUE),"")</f>
        <v/>
      </c>
      <c r="BT208" s="98" t="str">
        <f t="shared" si="93"/>
        <v/>
      </c>
    </row>
    <row r="209" spans="2:72" x14ac:dyDescent="0.25">
      <c r="B209" s="60" t="str">
        <f t="shared" si="81"/>
        <v/>
      </c>
      <c r="C209" s="3" t="str">
        <f t="shared" si="83"/>
        <v/>
      </c>
      <c r="D209" s="3" t="str">
        <f t="shared" si="84"/>
        <v/>
      </c>
      <c r="E209" s="3" t="str">
        <f t="shared" si="85"/>
        <v/>
      </c>
      <c r="F209" s="3" t="str">
        <f t="shared" si="86"/>
        <v/>
      </c>
      <c r="G209" s="74" t="str">
        <f t="shared" si="87"/>
        <v/>
      </c>
      <c r="H209" s="78" t="str">
        <f>IFERROR(C209/SUM(M$2:M208),"")</f>
        <v/>
      </c>
      <c r="I209" s="61" t="str">
        <f>IFERROR(D209/SUM(N$2:N209),"")</f>
        <v/>
      </c>
      <c r="J209" s="61" t="str">
        <f>IFERROR(E209/SUM(O$2:O209),"")</f>
        <v/>
      </c>
      <c r="K209" s="61" t="str">
        <f>IFERROR(F209/SUM(P$2:P209),"")</f>
        <v/>
      </c>
      <c r="L209" s="79" t="str">
        <f>IFERROR(G209/SUM(Q$2:Q209),"")</f>
        <v/>
      </c>
      <c r="M209" s="64" t="str">
        <f t="shared" si="88"/>
        <v/>
      </c>
      <c r="N209" s="55" t="str">
        <f t="shared" si="89"/>
        <v/>
      </c>
      <c r="O209" s="55" t="str">
        <f t="shared" si="90"/>
        <v/>
      </c>
      <c r="P209" s="55" t="str">
        <f t="shared" si="91"/>
        <v/>
      </c>
      <c r="Q209" s="65" t="str">
        <f t="shared" si="92"/>
        <v/>
      </c>
      <c r="R209" s="67" t="str">
        <f t="shared" si="94"/>
        <v/>
      </c>
      <c r="S209" s="56" t="str">
        <f t="shared" si="95"/>
        <v/>
      </c>
      <c r="T209" s="56" t="str">
        <f t="shared" si="96"/>
        <v/>
      </c>
      <c r="U209" s="56" t="str">
        <f t="shared" si="97"/>
        <v/>
      </c>
      <c r="V209" s="68" t="str">
        <f t="shared" si="98"/>
        <v/>
      </c>
      <c r="W209" s="80" t="str">
        <f t="shared" si="99"/>
        <v/>
      </c>
      <c r="X209" s="81" t="str">
        <f t="shared" si="100"/>
        <v/>
      </c>
      <c r="Y209" s="81" t="str">
        <f t="shared" si="101"/>
        <v/>
      </c>
      <c r="Z209" s="81" t="str">
        <f t="shared" si="102"/>
        <v/>
      </c>
      <c r="AA209" s="82" t="str">
        <f t="shared" si="103"/>
        <v/>
      </c>
      <c r="AB209" s="83" t="str">
        <f>IF(R209&lt;&gt;"",(W209-SUMPRODUCT(R$3:R209,$B$3:$B209)/SUM($B$3:$B209))/STDEVA(W199:W209),"")</f>
        <v/>
      </c>
      <c r="AC209" s="84" t="str">
        <f>IF(S209&lt;&gt;"",(X209-SUMPRODUCT(S$3:S209,$B$3:$B209)/SUM($B$3:$B209))/STDEVA(X199:X209),"")</f>
        <v/>
      </c>
      <c r="AD209" s="84" t="str">
        <f>IF(T209&lt;&gt;"",(Y209-SUMPRODUCT(T$3:T209,$B$3:$B209)/SUM($B$3:$B209))/STDEVA(Y199:Y209),"")</f>
        <v/>
      </c>
      <c r="AE209" s="84" t="str">
        <f>IF(U209&lt;&gt;"",(Z209-SUMPRODUCT(U$3:U209,$B$3:$B209)/SUM($B$3:$B209))/STDEVA(Z199:Z209),"")</f>
        <v/>
      </c>
      <c r="AF209" s="85" t="str">
        <f>IF(V209&lt;&gt;"",(AA209-SUMPRODUCT(V$3:V209,$B$3:$B209)/SUM($B$3:$B209))/STDEVA(AA199:AA209),"")</f>
        <v/>
      </c>
      <c r="AG209" s="90" t="str">
        <f t="shared" si="104"/>
        <v/>
      </c>
      <c r="AH209" s="90" t="str">
        <f t="shared" si="104"/>
        <v/>
      </c>
      <c r="AI209" s="90" t="str">
        <f t="shared" si="104"/>
        <v/>
      </c>
      <c r="AJ209" s="90" t="str">
        <f t="shared" si="104"/>
        <v/>
      </c>
      <c r="AK209" s="93" t="str">
        <f t="shared" si="105"/>
        <v/>
      </c>
      <c r="BQ209" s="100" t="str">
        <f>IF(A209&lt;&gt;"",(VLOOKUP(A209,MarketData!$D:$BP,MATCH($BQ$1,MarketData!$D$1:$EG$1,0),TRUE)/100/365+1)^(B209)*BQ208,"")</f>
        <v/>
      </c>
      <c r="BR209" s="98" t="str">
        <f t="shared" si="82"/>
        <v/>
      </c>
      <c r="BS209" s="106" t="str">
        <f>IF(A209&lt;&gt;"",VLOOKUP(A209,MarketData!$D:$BP,MATCH($BS$1,MarketData!$D$1:$EG$1,0),TRUE),"")</f>
        <v/>
      </c>
      <c r="BT209" s="98" t="str">
        <f t="shared" si="93"/>
        <v/>
      </c>
    </row>
    <row r="210" spans="2:72" x14ac:dyDescent="0.25">
      <c r="B210" s="60" t="str">
        <f t="shared" si="81"/>
        <v/>
      </c>
      <c r="C210" s="3" t="str">
        <f t="shared" si="83"/>
        <v/>
      </c>
      <c r="D210" s="3" t="str">
        <f t="shared" si="84"/>
        <v/>
      </c>
      <c r="E210" s="3" t="str">
        <f t="shared" si="85"/>
        <v/>
      </c>
      <c r="F210" s="3" t="str">
        <f t="shared" si="86"/>
        <v/>
      </c>
      <c r="G210" s="74" t="str">
        <f t="shared" si="87"/>
        <v/>
      </c>
      <c r="H210" s="78" t="str">
        <f>IFERROR(C210/SUM(M$2:M209),"")</f>
        <v/>
      </c>
      <c r="I210" s="61" t="str">
        <f>IFERROR(D210/SUM(N$2:N210),"")</f>
        <v/>
      </c>
      <c r="J210" s="61" t="str">
        <f>IFERROR(E210/SUM(O$2:O210),"")</f>
        <v/>
      </c>
      <c r="K210" s="61" t="str">
        <f>IFERROR(F210/SUM(P$2:P210),"")</f>
        <v/>
      </c>
      <c r="L210" s="79" t="str">
        <f>IFERROR(G210/SUM(Q$2:Q210),"")</f>
        <v/>
      </c>
      <c r="M210" s="64" t="str">
        <f t="shared" si="88"/>
        <v/>
      </c>
      <c r="N210" s="55" t="str">
        <f t="shared" si="89"/>
        <v/>
      </c>
      <c r="O210" s="55" t="str">
        <f t="shared" si="90"/>
        <v/>
      </c>
      <c r="P210" s="55" t="str">
        <f t="shared" si="91"/>
        <v/>
      </c>
      <c r="Q210" s="65" t="str">
        <f t="shared" si="92"/>
        <v/>
      </c>
      <c r="R210" s="67" t="str">
        <f t="shared" si="94"/>
        <v/>
      </c>
      <c r="S210" s="56" t="str">
        <f t="shared" si="95"/>
        <v/>
      </c>
      <c r="T210" s="56" t="str">
        <f t="shared" si="96"/>
        <v/>
      </c>
      <c r="U210" s="56" t="str">
        <f t="shared" si="97"/>
        <v/>
      </c>
      <c r="V210" s="68" t="str">
        <f t="shared" si="98"/>
        <v/>
      </c>
      <c r="W210" s="80" t="str">
        <f t="shared" si="99"/>
        <v/>
      </c>
      <c r="X210" s="81" t="str">
        <f t="shared" si="100"/>
        <v/>
      </c>
      <c r="Y210" s="81" t="str">
        <f t="shared" si="101"/>
        <v/>
      </c>
      <c r="Z210" s="81" t="str">
        <f t="shared" si="102"/>
        <v/>
      </c>
      <c r="AA210" s="82" t="str">
        <f t="shared" si="103"/>
        <v/>
      </c>
      <c r="AB210" s="83" t="str">
        <f>IF(R210&lt;&gt;"",(W210-SUMPRODUCT(R$3:R210,$B$3:$B210)/SUM($B$3:$B210))/STDEVA(W200:W210),"")</f>
        <v/>
      </c>
      <c r="AC210" s="84" t="str">
        <f>IF(S210&lt;&gt;"",(X210-SUMPRODUCT(S$3:S210,$B$3:$B210)/SUM($B$3:$B210))/STDEVA(X200:X210),"")</f>
        <v/>
      </c>
      <c r="AD210" s="84" t="str">
        <f>IF(T210&lt;&gt;"",(Y210-SUMPRODUCT(T$3:T210,$B$3:$B210)/SUM($B$3:$B210))/STDEVA(Y200:Y210),"")</f>
        <v/>
      </c>
      <c r="AE210" s="84" t="str">
        <f>IF(U210&lt;&gt;"",(Z210-SUMPRODUCT(U$3:U210,$B$3:$B210)/SUM($B$3:$B210))/STDEVA(Z200:Z210),"")</f>
        <v/>
      </c>
      <c r="AF210" s="85" t="str">
        <f>IF(V210&lt;&gt;"",(AA210-SUMPRODUCT(V$3:V210,$B$3:$B210)/SUM($B$3:$B210))/STDEVA(AA200:AA210),"")</f>
        <v/>
      </c>
      <c r="AG210" s="90" t="str">
        <f t="shared" si="104"/>
        <v/>
      </c>
      <c r="AH210" s="90" t="str">
        <f t="shared" si="104"/>
        <v/>
      </c>
      <c r="AI210" s="90" t="str">
        <f t="shared" si="104"/>
        <v/>
      </c>
      <c r="AJ210" s="90" t="str">
        <f t="shared" si="104"/>
        <v/>
      </c>
      <c r="AK210" s="93" t="str">
        <f t="shared" si="105"/>
        <v/>
      </c>
      <c r="BQ210" s="100" t="str">
        <f>IF(A210&lt;&gt;"",(VLOOKUP(A210,MarketData!$D:$BP,MATCH($BQ$1,MarketData!$D$1:$EG$1,0),TRUE)/100/365+1)^(B210)*BQ209,"")</f>
        <v/>
      </c>
      <c r="BR210" s="98" t="str">
        <f t="shared" si="82"/>
        <v/>
      </c>
      <c r="BS210" s="106" t="str">
        <f>IF(A210&lt;&gt;"",VLOOKUP(A210,MarketData!$D:$BP,MATCH($BS$1,MarketData!$D$1:$EG$1,0),TRUE),"")</f>
        <v/>
      </c>
      <c r="BT210" s="98" t="str">
        <f t="shared" si="93"/>
        <v/>
      </c>
    </row>
    <row r="211" spans="2:72" x14ac:dyDescent="0.25">
      <c r="B211" s="60" t="str">
        <f t="shared" si="81"/>
        <v/>
      </c>
      <c r="C211" s="3" t="str">
        <f t="shared" si="83"/>
        <v/>
      </c>
      <c r="D211" s="3" t="str">
        <f t="shared" si="84"/>
        <v/>
      </c>
      <c r="E211" s="3" t="str">
        <f t="shared" si="85"/>
        <v/>
      </c>
      <c r="F211" s="3" t="str">
        <f t="shared" si="86"/>
        <v/>
      </c>
      <c r="G211" s="74" t="str">
        <f t="shared" si="87"/>
        <v/>
      </c>
      <c r="H211" s="78" t="str">
        <f>IFERROR(C211/SUM(M$2:M210),"")</f>
        <v/>
      </c>
      <c r="I211" s="61" t="str">
        <f>IFERROR(D211/SUM(N$2:N211),"")</f>
        <v/>
      </c>
      <c r="J211" s="61" t="str">
        <f>IFERROR(E211/SUM(O$2:O211),"")</f>
        <v/>
      </c>
      <c r="K211" s="61" t="str">
        <f>IFERROR(F211/SUM(P$2:P211),"")</f>
        <v/>
      </c>
      <c r="L211" s="79" t="str">
        <f>IFERROR(G211/SUM(Q$2:Q211),"")</f>
        <v/>
      </c>
      <c r="M211" s="64" t="str">
        <f t="shared" si="88"/>
        <v/>
      </c>
      <c r="N211" s="55" t="str">
        <f t="shared" si="89"/>
        <v/>
      </c>
      <c r="O211" s="55" t="str">
        <f t="shared" si="90"/>
        <v/>
      </c>
      <c r="P211" s="55" t="str">
        <f t="shared" si="91"/>
        <v/>
      </c>
      <c r="Q211" s="65" t="str">
        <f t="shared" si="92"/>
        <v/>
      </c>
      <c r="R211" s="67" t="str">
        <f t="shared" si="94"/>
        <v/>
      </c>
      <c r="S211" s="56" t="str">
        <f t="shared" si="95"/>
        <v/>
      </c>
      <c r="T211" s="56" t="str">
        <f t="shared" si="96"/>
        <v/>
      </c>
      <c r="U211" s="56" t="str">
        <f t="shared" si="97"/>
        <v/>
      </c>
      <c r="V211" s="68" t="str">
        <f t="shared" si="98"/>
        <v/>
      </c>
      <c r="W211" s="80" t="str">
        <f t="shared" si="99"/>
        <v/>
      </c>
      <c r="X211" s="81" t="str">
        <f t="shared" si="100"/>
        <v/>
      </c>
      <c r="Y211" s="81" t="str">
        <f t="shared" si="101"/>
        <v/>
      </c>
      <c r="Z211" s="81" t="str">
        <f t="shared" si="102"/>
        <v/>
      </c>
      <c r="AA211" s="82" t="str">
        <f t="shared" si="103"/>
        <v/>
      </c>
      <c r="AB211" s="83" t="str">
        <f>IF(R211&lt;&gt;"",(W211-SUMPRODUCT(R$3:R211,$B$3:$B211)/SUM($B$3:$B211))/STDEVA(W201:W211),"")</f>
        <v/>
      </c>
      <c r="AC211" s="84" t="str">
        <f>IF(S211&lt;&gt;"",(X211-SUMPRODUCT(S$3:S211,$B$3:$B211)/SUM($B$3:$B211))/STDEVA(X201:X211),"")</f>
        <v/>
      </c>
      <c r="AD211" s="84" t="str">
        <f>IF(T211&lt;&gt;"",(Y211-SUMPRODUCT(T$3:T211,$B$3:$B211)/SUM($B$3:$B211))/STDEVA(Y201:Y211),"")</f>
        <v/>
      </c>
      <c r="AE211" s="84" t="str">
        <f>IF(U211&lt;&gt;"",(Z211-SUMPRODUCT(U$3:U211,$B$3:$B211)/SUM($B$3:$B211))/STDEVA(Z201:Z211),"")</f>
        <v/>
      </c>
      <c r="AF211" s="85" t="str">
        <f>IF(V211&lt;&gt;"",(AA211-SUMPRODUCT(V$3:V211,$B$3:$B211)/SUM($B$3:$B211))/STDEVA(AA201:AA211),"")</f>
        <v/>
      </c>
      <c r="AG211" s="90" t="str">
        <f t="shared" si="104"/>
        <v/>
      </c>
      <c r="AH211" s="90" t="str">
        <f t="shared" si="104"/>
        <v/>
      </c>
      <c r="AI211" s="90" t="str">
        <f t="shared" si="104"/>
        <v/>
      </c>
      <c r="AJ211" s="90" t="str">
        <f t="shared" si="104"/>
        <v/>
      </c>
      <c r="AK211" s="93" t="str">
        <f t="shared" si="105"/>
        <v/>
      </c>
      <c r="BQ211" s="100" t="str">
        <f>IF(A211&lt;&gt;"",(VLOOKUP(A211,MarketData!$D:$BP,MATCH($BQ$1,MarketData!$D$1:$EG$1,0),TRUE)/100/365+1)^(B211)*BQ210,"")</f>
        <v/>
      </c>
      <c r="BR211" s="98" t="str">
        <f t="shared" si="82"/>
        <v/>
      </c>
      <c r="BS211" s="106" t="str">
        <f>IF(A211&lt;&gt;"",VLOOKUP(A211,MarketData!$D:$BP,MATCH($BS$1,MarketData!$D$1:$EG$1,0),TRUE),"")</f>
        <v/>
      </c>
      <c r="BT211" s="98" t="str">
        <f t="shared" si="93"/>
        <v/>
      </c>
    </row>
    <row r="212" spans="2:72" x14ac:dyDescent="0.25">
      <c r="B212" s="60" t="str">
        <f t="shared" si="81"/>
        <v/>
      </c>
      <c r="C212" s="3" t="str">
        <f t="shared" si="83"/>
        <v/>
      </c>
      <c r="D212" s="3" t="str">
        <f t="shared" si="84"/>
        <v/>
      </c>
      <c r="E212" s="3" t="str">
        <f t="shared" si="85"/>
        <v/>
      </c>
      <c r="F212" s="3" t="str">
        <f t="shared" si="86"/>
        <v/>
      </c>
      <c r="G212" s="74" t="str">
        <f t="shared" si="87"/>
        <v/>
      </c>
      <c r="H212" s="78" t="str">
        <f>IFERROR(C212/SUM(M$2:M211),"")</f>
        <v/>
      </c>
      <c r="I212" s="61" t="str">
        <f>IFERROR(D212/SUM(N$2:N212),"")</f>
        <v/>
      </c>
      <c r="J212" s="61" t="str">
        <f>IFERROR(E212/SUM(O$2:O212),"")</f>
        <v/>
      </c>
      <c r="K212" s="61" t="str">
        <f>IFERROR(F212/SUM(P$2:P212),"")</f>
        <v/>
      </c>
      <c r="L212" s="79" t="str">
        <f>IFERROR(G212/SUM(Q$2:Q212),"")</f>
        <v/>
      </c>
      <c r="M212" s="64" t="str">
        <f t="shared" si="88"/>
        <v/>
      </c>
      <c r="N212" s="55" t="str">
        <f t="shared" si="89"/>
        <v/>
      </c>
      <c r="O212" s="55" t="str">
        <f t="shared" si="90"/>
        <v/>
      </c>
      <c r="P212" s="55" t="str">
        <f t="shared" si="91"/>
        <v/>
      </c>
      <c r="Q212" s="65" t="str">
        <f t="shared" si="92"/>
        <v/>
      </c>
      <c r="R212" s="67" t="str">
        <f t="shared" si="94"/>
        <v/>
      </c>
      <c r="S212" s="56" t="str">
        <f t="shared" si="95"/>
        <v/>
      </c>
      <c r="T212" s="56" t="str">
        <f t="shared" si="96"/>
        <v/>
      </c>
      <c r="U212" s="56" t="str">
        <f t="shared" si="97"/>
        <v/>
      </c>
      <c r="V212" s="68" t="str">
        <f t="shared" si="98"/>
        <v/>
      </c>
      <c r="W212" s="80" t="str">
        <f t="shared" si="99"/>
        <v/>
      </c>
      <c r="X212" s="81" t="str">
        <f t="shared" si="100"/>
        <v/>
      </c>
      <c r="Y212" s="81" t="str">
        <f t="shared" si="101"/>
        <v/>
      </c>
      <c r="Z212" s="81" t="str">
        <f t="shared" si="102"/>
        <v/>
      </c>
      <c r="AA212" s="82" t="str">
        <f t="shared" si="103"/>
        <v/>
      </c>
      <c r="AB212" s="83" t="str">
        <f>IF(R212&lt;&gt;"",(W212-SUMPRODUCT(R$3:R212,$B$3:$B212)/SUM($B$3:$B212))/STDEVA(W202:W212),"")</f>
        <v/>
      </c>
      <c r="AC212" s="84" t="str">
        <f>IF(S212&lt;&gt;"",(X212-SUMPRODUCT(S$3:S212,$B$3:$B212)/SUM($B$3:$B212))/STDEVA(X202:X212),"")</f>
        <v/>
      </c>
      <c r="AD212" s="84" t="str">
        <f>IF(T212&lt;&gt;"",(Y212-SUMPRODUCT(T$3:T212,$B$3:$B212)/SUM($B$3:$B212))/STDEVA(Y202:Y212),"")</f>
        <v/>
      </c>
      <c r="AE212" s="84" t="str">
        <f>IF(U212&lt;&gt;"",(Z212-SUMPRODUCT(U$3:U212,$B$3:$B212)/SUM($B$3:$B212))/STDEVA(Z202:Z212),"")</f>
        <v/>
      </c>
      <c r="AF212" s="85" t="str">
        <f>IF(V212&lt;&gt;"",(AA212-SUMPRODUCT(V$3:V212,$B$3:$B212)/SUM($B$3:$B212))/STDEVA(AA202:AA212),"")</f>
        <v/>
      </c>
      <c r="AG212" s="90" t="str">
        <f t="shared" si="104"/>
        <v/>
      </c>
      <c r="AH212" s="90" t="str">
        <f t="shared" si="104"/>
        <v/>
      </c>
      <c r="AI212" s="90" t="str">
        <f t="shared" si="104"/>
        <v/>
      </c>
      <c r="AJ212" s="90" t="str">
        <f t="shared" si="104"/>
        <v/>
      </c>
      <c r="AK212" s="93" t="str">
        <f t="shared" si="105"/>
        <v/>
      </c>
      <c r="BQ212" s="100" t="str">
        <f>IF(A212&lt;&gt;"",(VLOOKUP(A212,MarketData!$D:$BP,MATCH($BQ$1,MarketData!$D$1:$EG$1,0),TRUE)/100/365+1)^(B212)*BQ211,"")</f>
        <v/>
      </c>
      <c r="BR212" s="98" t="str">
        <f t="shared" si="82"/>
        <v/>
      </c>
      <c r="BS212" s="106" t="str">
        <f>IF(A212&lt;&gt;"",VLOOKUP(A212,MarketData!$D:$BP,MATCH($BS$1,MarketData!$D$1:$EG$1,0),TRUE),"")</f>
        <v/>
      </c>
      <c r="BT212" s="98" t="str">
        <f t="shared" si="93"/>
        <v/>
      </c>
    </row>
    <row r="213" spans="2:72" x14ac:dyDescent="0.25">
      <c r="B213" s="60" t="str">
        <f t="shared" si="81"/>
        <v/>
      </c>
      <c r="C213" s="3" t="str">
        <f t="shared" si="83"/>
        <v/>
      </c>
      <c r="D213" s="3" t="str">
        <f t="shared" si="84"/>
        <v/>
      </c>
      <c r="E213" s="3" t="str">
        <f t="shared" si="85"/>
        <v/>
      </c>
      <c r="F213" s="3" t="str">
        <f t="shared" si="86"/>
        <v/>
      </c>
      <c r="G213" s="74" t="str">
        <f t="shared" si="87"/>
        <v/>
      </c>
      <c r="H213" s="78" t="str">
        <f>IFERROR(C213/SUM(M$2:M212),"")</f>
        <v/>
      </c>
      <c r="I213" s="61" t="str">
        <f>IFERROR(D213/SUM(N$2:N213),"")</f>
        <v/>
      </c>
      <c r="J213" s="61" t="str">
        <f>IFERROR(E213/SUM(O$2:O213),"")</f>
        <v/>
      </c>
      <c r="K213" s="61" t="str">
        <f>IFERROR(F213/SUM(P$2:P213),"")</f>
        <v/>
      </c>
      <c r="L213" s="79" t="str">
        <f>IFERROR(G213/SUM(Q$2:Q213),"")</f>
        <v/>
      </c>
      <c r="M213" s="64" t="str">
        <f t="shared" si="88"/>
        <v/>
      </c>
      <c r="N213" s="55" t="str">
        <f t="shared" si="89"/>
        <v/>
      </c>
      <c r="O213" s="55" t="str">
        <f t="shared" si="90"/>
        <v/>
      </c>
      <c r="P213" s="55" t="str">
        <f t="shared" si="91"/>
        <v/>
      </c>
      <c r="Q213" s="65" t="str">
        <f t="shared" si="92"/>
        <v/>
      </c>
      <c r="R213" s="67" t="str">
        <f t="shared" si="94"/>
        <v/>
      </c>
      <c r="S213" s="56" t="str">
        <f t="shared" si="95"/>
        <v/>
      </c>
      <c r="T213" s="56" t="str">
        <f t="shared" si="96"/>
        <v/>
      </c>
      <c r="U213" s="56" t="str">
        <f t="shared" si="97"/>
        <v/>
      </c>
      <c r="V213" s="68" t="str">
        <f t="shared" si="98"/>
        <v/>
      </c>
      <c r="W213" s="80" t="str">
        <f t="shared" si="99"/>
        <v/>
      </c>
      <c r="X213" s="81" t="str">
        <f t="shared" si="100"/>
        <v/>
      </c>
      <c r="Y213" s="81" t="str">
        <f t="shared" si="101"/>
        <v/>
      </c>
      <c r="Z213" s="81" t="str">
        <f t="shared" si="102"/>
        <v/>
      </c>
      <c r="AA213" s="82" t="str">
        <f t="shared" si="103"/>
        <v/>
      </c>
      <c r="AB213" s="83" t="str">
        <f>IF(R213&lt;&gt;"",(W213-SUMPRODUCT(R$3:R213,$B$3:$B213)/SUM($B$3:$B213))/STDEVA(W203:W213),"")</f>
        <v/>
      </c>
      <c r="AC213" s="84" t="str">
        <f>IF(S213&lt;&gt;"",(X213-SUMPRODUCT(S$3:S213,$B$3:$B213)/SUM($B$3:$B213))/STDEVA(X203:X213),"")</f>
        <v/>
      </c>
      <c r="AD213" s="84" t="str">
        <f>IF(T213&lt;&gt;"",(Y213-SUMPRODUCT(T$3:T213,$B$3:$B213)/SUM($B$3:$B213))/STDEVA(Y203:Y213),"")</f>
        <v/>
      </c>
      <c r="AE213" s="84" t="str">
        <f>IF(U213&lt;&gt;"",(Z213-SUMPRODUCT(U$3:U213,$B$3:$B213)/SUM($B$3:$B213))/STDEVA(Z203:Z213),"")</f>
        <v/>
      </c>
      <c r="AF213" s="85" t="str">
        <f>IF(V213&lt;&gt;"",(AA213-SUMPRODUCT(V$3:V213,$B$3:$B213)/SUM($B$3:$B213))/STDEVA(AA203:AA213),"")</f>
        <v/>
      </c>
      <c r="AG213" s="90" t="str">
        <f t="shared" si="104"/>
        <v/>
      </c>
      <c r="AH213" s="90" t="str">
        <f t="shared" si="104"/>
        <v/>
      </c>
      <c r="AI213" s="90" t="str">
        <f t="shared" si="104"/>
        <v/>
      </c>
      <c r="AJ213" s="90" t="str">
        <f t="shared" si="104"/>
        <v/>
      </c>
      <c r="AK213" s="93" t="str">
        <f t="shared" si="105"/>
        <v/>
      </c>
      <c r="BQ213" s="100" t="str">
        <f>IF(A213&lt;&gt;"",(VLOOKUP(A213,MarketData!$D:$BP,MATCH($BQ$1,MarketData!$D$1:$EG$1,0),TRUE)/100/365+1)^(B213)*BQ212,"")</f>
        <v/>
      </c>
      <c r="BR213" s="98" t="str">
        <f t="shared" si="82"/>
        <v/>
      </c>
      <c r="BS213" s="106" t="str">
        <f>IF(A213&lt;&gt;"",VLOOKUP(A213,MarketData!$D:$BP,MATCH($BS$1,MarketData!$D$1:$EG$1,0),TRUE),"")</f>
        <v/>
      </c>
      <c r="BT213" s="98" t="str">
        <f t="shared" si="93"/>
        <v/>
      </c>
    </row>
    <row r="214" spans="2:72" x14ac:dyDescent="0.25">
      <c r="B214" s="60" t="str">
        <f t="shared" si="81"/>
        <v/>
      </c>
      <c r="C214" s="3" t="str">
        <f t="shared" si="83"/>
        <v/>
      </c>
      <c r="D214" s="3" t="str">
        <f t="shared" si="84"/>
        <v/>
      </c>
      <c r="E214" s="3" t="str">
        <f t="shared" si="85"/>
        <v/>
      </c>
      <c r="F214" s="3" t="str">
        <f t="shared" si="86"/>
        <v/>
      </c>
      <c r="G214" s="74" t="str">
        <f t="shared" si="87"/>
        <v/>
      </c>
      <c r="H214" s="78" t="str">
        <f>IFERROR(C214/SUM(M$2:M213),"")</f>
        <v/>
      </c>
      <c r="I214" s="61" t="str">
        <f>IFERROR(D214/SUM(N$2:N214),"")</f>
        <v/>
      </c>
      <c r="J214" s="61" t="str">
        <f>IFERROR(E214/SUM(O$2:O214),"")</f>
        <v/>
      </c>
      <c r="K214" s="61" t="str">
        <f>IFERROR(F214/SUM(P$2:P214),"")</f>
        <v/>
      </c>
      <c r="L214" s="79" t="str">
        <f>IFERROR(G214/SUM(Q$2:Q214),"")</f>
        <v/>
      </c>
      <c r="M214" s="64" t="str">
        <f t="shared" si="88"/>
        <v/>
      </c>
      <c r="N214" s="55" t="str">
        <f t="shared" si="89"/>
        <v/>
      </c>
      <c r="O214" s="55" t="str">
        <f t="shared" si="90"/>
        <v/>
      </c>
      <c r="P214" s="55" t="str">
        <f t="shared" si="91"/>
        <v/>
      </c>
      <c r="Q214" s="65" t="str">
        <f t="shared" si="92"/>
        <v/>
      </c>
      <c r="R214" s="67" t="str">
        <f t="shared" si="94"/>
        <v/>
      </c>
      <c r="S214" s="56" t="str">
        <f t="shared" si="95"/>
        <v/>
      </c>
      <c r="T214" s="56" t="str">
        <f t="shared" si="96"/>
        <v/>
      </c>
      <c r="U214" s="56" t="str">
        <f t="shared" si="97"/>
        <v/>
      </c>
      <c r="V214" s="68" t="str">
        <f t="shared" si="98"/>
        <v/>
      </c>
      <c r="W214" s="80" t="str">
        <f t="shared" si="99"/>
        <v/>
      </c>
      <c r="X214" s="81" t="str">
        <f t="shared" si="100"/>
        <v/>
      </c>
      <c r="Y214" s="81" t="str">
        <f t="shared" si="101"/>
        <v/>
      </c>
      <c r="Z214" s="81" t="str">
        <f t="shared" si="102"/>
        <v/>
      </c>
      <c r="AA214" s="82" t="str">
        <f t="shared" si="103"/>
        <v/>
      </c>
      <c r="AB214" s="83" t="str">
        <f>IF(R214&lt;&gt;"",(W214-SUMPRODUCT(R$3:R214,$B$3:$B214)/SUM($B$3:$B214))/STDEVA(W204:W214),"")</f>
        <v/>
      </c>
      <c r="AC214" s="84" t="str">
        <f>IF(S214&lt;&gt;"",(X214-SUMPRODUCT(S$3:S214,$B$3:$B214)/SUM($B$3:$B214))/STDEVA(X204:X214),"")</f>
        <v/>
      </c>
      <c r="AD214" s="84" t="str">
        <f>IF(T214&lt;&gt;"",(Y214-SUMPRODUCT(T$3:T214,$B$3:$B214)/SUM($B$3:$B214))/STDEVA(Y204:Y214),"")</f>
        <v/>
      </c>
      <c r="AE214" s="84" t="str">
        <f>IF(U214&lt;&gt;"",(Z214-SUMPRODUCT(U$3:U214,$B$3:$B214)/SUM($B$3:$B214))/STDEVA(Z204:Z214),"")</f>
        <v/>
      </c>
      <c r="AF214" s="85" t="str">
        <f>IF(V214&lt;&gt;"",(AA214-SUMPRODUCT(V$3:V214,$B$3:$B214)/SUM($B$3:$B214))/STDEVA(AA204:AA214),"")</f>
        <v/>
      </c>
      <c r="AG214" s="90" t="str">
        <f t="shared" si="104"/>
        <v/>
      </c>
      <c r="AH214" s="90" t="str">
        <f t="shared" si="104"/>
        <v/>
      </c>
      <c r="AI214" s="90" t="str">
        <f t="shared" si="104"/>
        <v/>
      </c>
      <c r="AJ214" s="90" t="str">
        <f t="shared" si="104"/>
        <v/>
      </c>
      <c r="AK214" s="93" t="str">
        <f t="shared" si="105"/>
        <v/>
      </c>
      <c r="BQ214" s="100" t="str">
        <f>IF(A214&lt;&gt;"",(VLOOKUP(A214,MarketData!$D:$BP,MATCH($BQ$1,MarketData!$D$1:$EG$1,0),TRUE)/100/365+1)^(B214)*BQ213,"")</f>
        <v/>
      </c>
      <c r="BR214" s="98" t="str">
        <f t="shared" si="82"/>
        <v/>
      </c>
      <c r="BS214" s="106" t="str">
        <f>IF(A214&lt;&gt;"",VLOOKUP(A214,MarketData!$D:$BP,MATCH($BS$1,MarketData!$D$1:$EG$1,0),TRUE),"")</f>
        <v/>
      </c>
      <c r="BT214" s="98" t="str">
        <f t="shared" si="93"/>
        <v/>
      </c>
    </row>
    <row r="215" spans="2:72" x14ac:dyDescent="0.25">
      <c r="B215" s="60" t="str">
        <f t="shared" si="81"/>
        <v/>
      </c>
      <c r="C215" s="3" t="str">
        <f t="shared" si="83"/>
        <v/>
      </c>
      <c r="D215" s="3" t="str">
        <f t="shared" si="84"/>
        <v/>
      </c>
      <c r="E215" s="3" t="str">
        <f t="shared" si="85"/>
        <v/>
      </c>
      <c r="F215" s="3" t="str">
        <f t="shared" si="86"/>
        <v/>
      </c>
      <c r="G215" s="74" t="str">
        <f t="shared" si="87"/>
        <v/>
      </c>
      <c r="H215" s="78" t="str">
        <f>IFERROR(C215/SUM(M$2:M214),"")</f>
        <v/>
      </c>
      <c r="I215" s="61" t="str">
        <f>IFERROR(D215/SUM(N$2:N215),"")</f>
        <v/>
      </c>
      <c r="J215" s="61" t="str">
        <f>IFERROR(E215/SUM(O$2:O215),"")</f>
        <v/>
      </c>
      <c r="K215" s="61" t="str">
        <f>IFERROR(F215/SUM(P$2:P215),"")</f>
        <v/>
      </c>
      <c r="L215" s="79" t="str">
        <f>IFERROR(G215/SUM(Q$2:Q215),"")</f>
        <v/>
      </c>
      <c r="M215" s="64" t="str">
        <f t="shared" si="88"/>
        <v/>
      </c>
      <c r="N215" s="55" t="str">
        <f t="shared" si="89"/>
        <v/>
      </c>
      <c r="O215" s="55" t="str">
        <f t="shared" si="90"/>
        <v/>
      </c>
      <c r="P215" s="55" t="str">
        <f t="shared" si="91"/>
        <v/>
      </c>
      <c r="Q215" s="65" t="str">
        <f t="shared" si="92"/>
        <v/>
      </c>
      <c r="R215" s="67" t="str">
        <f t="shared" si="94"/>
        <v/>
      </c>
      <c r="S215" s="56" t="str">
        <f t="shared" si="95"/>
        <v/>
      </c>
      <c r="T215" s="56" t="str">
        <f t="shared" si="96"/>
        <v/>
      </c>
      <c r="U215" s="56" t="str">
        <f t="shared" si="97"/>
        <v/>
      </c>
      <c r="V215" s="68" t="str">
        <f t="shared" si="98"/>
        <v/>
      </c>
      <c r="W215" s="80" t="str">
        <f t="shared" si="99"/>
        <v/>
      </c>
      <c r="X215" s="81" t="str">
        <f t="shared" si="100"/>
        <v/>
      </c>
      <c r="Y215" s="81" t="str">
        <f t="shared" si="101"/>
        <v/>
      </c>
      <c r="Z215" s="81" t="str">
        <f t="shared" si="102"/>
        <v/>
      </c>
      <c r="AA215" s="82" t="str">
        <f t="shared" si="103"/>
        <v/>
      </c>
      <c r="AB215" s="83" t="str">
        <f>IF(R215&lt;&gt;"",(W215-SUMPRODUCT(R$3:R215,$B$3:$B215)/SUM($B$3:$B215))/STDEVA(W205:W215),"")</f>
        <v/>
      </c>
      <c r="AC215" s="84" t="str">
        <f>IF(S215&lt;&gt;"",(X215-SUMPRODUCT(S$3:S215,$B$3:$B215)/SUM($B$3:$B215))/STDEVA(X205:X215),"")</f>
        <v/>
      </c>
      <c r="AD215" s="84" t="str">
        <f>IF(T215&lt;&gt;"",(Y215-SUMPRODUCT(T$3:T215,$B$3:$B215)/SUM($B$3:$B215))/STDEVA(Y205:Y215),"")</f>
        <v/>
      </c>
      <c r="AE215" s="84" t="str">
        <f>IF(U215&lt;&gt;"",(Z215-SUMPRODUCT(U$3:U215,$B$3:$B215)/SUM($B$3:$B215))/STDEVA(Z205:Z215),"")</f>
        <v/>
      </c>
      <c r="AF215" s="85" t="str">
        <f>IF(V215&lt;&gt;"",(AA215-SUMPRODUCT(V$3:V215,$B$3:$B215)/SUM($B$3:$B215))/STDEVA(AA205:AA215),"")</f>
        <v/>
      </c>
      <c r="AG215" s="90" t="str">
        <f t="shared" si="104"/>
        <v/>
      </c>
      <c r="AH215" s="90" t="str">
        <f t="shared" si="104"/>
        <v/>
      </c>
      <c r="AI215" s="90" t="str">
        <f t="shared" si="104"/>
        <v/>
      </c>
      <c r="AJ215" s="90" t="str">
        <f t="shared" si="104"/>
        <v/>
      </c>
      <c r="AK215" s="93" t="str">
        <f t="shared" si="105"/>
        <v/>
      </c>
      <c r="BQ215" s="100" t="str">
        <f>IF(A215&lt;&gt;"",(VLOOKUP(A215,MarketData!$D:$BP,MATCH($BQ$1,MarketData!$D$1:$EG$1,0),TRUE)/100/365+1)^(B215)*BQ214,"")</f>
        <v/>
      </c>
      <c r="BR215" s="98" t="str">
        <f t="shared" si="82"/>
        <v/>
      </c>
      <c r="BS215" s="106" t="str">
        <f>IF(A215&lt;&gt;"",VLOOKUP(A215,MarketData!$D:$BP,MATCH($BS$1,MarketData!$D$1:$EG$1,0),TRUE),"")</f>
        <v/>
      </c>
      <c r="BT215" s="98" t="str">
        <f t="shared" si="93"/>
        <v/>
      </c>
    </row>
    <row r="216" spans="2:72" x14ac:dyDescent="0.25">
      <c r="B216" s="60" t="str">
        <f t="shared" si="81"/>
        <v/>
      </c>
      <c r="C216" s="3" t="str">
        <f t="shared" si="83"/>
        <v/>
      </c>
      <c r="D216" s="3" t="str">
        <f t="shared" si="84"/>
        <v/>
      </c>
      <c r="E216" s="3" t="str">
        <f t="shared" si="85"/>
        <v/>
      </c>
      <c r="F216" s="3" t="str">
        <f t="shared" si="86"/>
        <v/>
      </c>
      <c r="G216" s="74" t="str">
        <f t="shared" si="87"/>
        <v/>
      </c>
      <c r="H216" s="78" t="str">
        <f>IFERROR(C216/SUM(M$2:M215),"")</f>
        <v/>
      </c>
      <c r="I216" s="61" t="str">
        <f>IFERROR(D216/SUM(N$2:N216),"")</f>
        <v/>
      </c>
      <c r="J216" s="61" t="str">
        <f>IFERROR(E216/SUM(O$2:O216),"")</f>
        <v/>
      </c>
      <c r="K216" s="61" t="str">
        <f>IFERROR(F216/SUM(P$2:P216),"")</f>
        <v/>
      </c>
      <c r="L216" s="79" t="str">
        <f>IFERROR(G216/SUM(Q$2:Q216),"")</f>
        <v/>
      </c>
      <c r="M216" s="64" t="str">
        <f t="shared" si="88"/>
        <v/>
      </c>
      <c r="N216" s="55" t="str">
        <f t="shared" si="89"/>
        <v/>
      </c>
      <c r="O216" s="55" t="str">
        <f t="shared" si="90"/>
        <v/>
      </c>
      <c r="P216" s="55" t="str">
        <f t="shared" si="91"/>
        <v/>
      </c>
      <c r="Q216" s="65" t="str">
        <f t="shared" si="92"/>
        <v/>
      </c>
      <c r="R216" s="67" t="str">
        <f t="shared" si="94"/>
        <v/>
      </c>
      <c r="S216" s="56" t="str">
        <f t="shared" si="95"/>
        <v/>
      </c>
      <c r="T216" s="56" t="str">
        <f t="shared" si="96"/>
        <v/>
      </c>
      <c r="U216" s="56" t="str">
        <f t="shared" si="97"/>
        <v/>
      </c>
      <c r="V216" s="68" t="str">
        <f t="shared" si="98"/>
        <v/>
      </c>
      <c r="W216" s="80" t="str">
        <f t="shared" si="99"/>
        <v/>
      </c>
      <c r="X216" s="81" t="str">
        <f t="shared" si="100"/>
        <v/>
      </c>
      <c r="Y216" s="81" t="str">
        <f t="shared" si="101"/>
        <v/>
      </c>
      <c r="Z216" s="81" t="str">
        <f t="shared" si="102"/>
        <v/>
      </c>
      <c r="AA216" s="82" t="str">
        <f t="shared" si="103"/>
        <v/>
      </c>
      <c r="AB216" s="83" t="str">
        <f>IF(R216&lt;&gt;"",(W216-SUMPRODUCT(R$3:R216,$B$3:$B216)/SUM($B$3:$B216))/STDEVA(W206:W216),"")</f>
        <v/>
      </c>
      <c r="AC216" s="84" t="str">
        <f>IF(S216&lt;&gt;"",(X216-SUMPRODUCT(S$3:S216,$B$3:$B216)/SUM($B$3:$B216))/STDEVA(X206:X216),"")</f>
        <v/>
      </c>
      <c r="AD216" s="84" t="str">
        <f>IF(T216&lt;&gt;"",(Y216-SUMPRODUCT(T$3:T216,$B$3:$B216)/SUM($B$3:$B216))/STDEVA(Y206:Y216),"")</f>
        <v/>
      </c>
      <c r="AE216" s="84" t="str">
        <f>IF(U216&lt;&gt;"",(Z216-SUMPRODUCT(U$3:U216,$B$3:$B216)/SUM($B$3:$B216))/STDEVA(Z206:Z216),"")</f>
        <v/>
      </c>
      <c r="AF216" s="85" t="str">
        <f>IF(V216&lt;&gt;"",(AA216-SUMPRODUCT(V$3:V216,$B$3:$B216)/SUM($B$3:$B216))/STDEVA(AA206:AA216),"")</f>
        <v/>
      </c>
      <c r="AG216" s="90" t="str">
        <f t="shared" si="104"/>
        <v/>
      </c>
      <c r="AH216" s="90" t="str">
        <f t="shared" si="104"/>
        <v/>
      </c>
      <c r="AI216" s="90" t="str">
        <f t="shared" si="104"/>
        <v/>
      </c>
      <c r="AJ216" s="90" t="str">
        <f t="shared" si="104"/>
        <v/>
      </c>
      <c r="AK216" s="93" t="str">
        <f t="shared" si="105"/>
        <v/>
      </c>
      <c r="BQ216" s="100" t="str">
        <f>IF(A216&lt;&gt;"",(VLOOKUP(A216,MarketData!$D:$BP,MATCH($BQ$1,MarketData!$D$1:$EG$1,0),TRUE)/100/365+1)^(B216)*BQ215,"")</f>
        <v/>
      </c>
      <c r="BR216" s="98" t="str">
        <f t="shared" si="82"/>
        <v/>
      </c>
      <c r="BS216" s="106" t="str">
        <f>IF(A216&lt;&gt;"",VLOOKUP(A216,MarketData!$D:$BP,MATCH($BS$1,MarketData!$D$1:$EG$1,0),TRUE),"")</f>
        <v/>
      </c>
      <c r="BT216" s="98" t="str">
        <f t="shared" si="93"/>
        <v/>
      </c>
    </row>
    <row r="217" spans="2:72" x14ac:dyDescent="0.25">
      <c r="B217" s="60" t="str">
        <f t="shared" si="81"/>
        <v/>
      </c>
      <c r="C217" s="3" t="str">
        <f t="shared" si="83"/>
        <v/>
      </c>
      <c r="D217" s="3" t="str">
        <f t="shared" si="84"/>
        <v/>
      </c>
      <c r="E217" s="3" t="str">
        <f t="shared" si="85"/>
        <v/>
      </c>
      <c r="F217" s="3" t="str">
        <f t="shared" si="86"/>
        <v/>
      </c>
      <c r="G217" s="74" t="str">
        <f t="shared" si="87"/>
        <v/>
      </c>
      <c r="H217" s="78" t="str">
        <f>IFERROR(C217/SUM(M$2:M216),"")</f>
        <v/>
      </c>
      <c r="I217" s="61" t="str">
        <f>IFERROR(D217/SUM(N$2:N217),"")</f>
        <v/>
      </c>
      <c r="J217" s="61" t="str">
        <f>IFERROR(E217/SUM(O$2:O217),"")</f>
        <v/>
      </c>
      <c r="K217" s="61" t="str">
        <f>IFERROR(F217/SUM(P$2:P217),"")</f>
        <v/>
      </c>
      <c r="L217" s="79" t="str">
        <f>IFERROR(G217/SUM(Q$2:Q217),"")</f>
        <v/>
      </c>
      <c r="M217" s="64" t="str">
        <f t="shared" si="88"/>
        <v/>
      </c>
      <c r="N217" s="55" t="str">
        <f t="shared" si="89"/>
        <v/>
      </c>
      <c r="O217" s="55" t="str">
        <f t="shared" si="90"/>
        <v/>
      </c>
      <c r="P217" s="55" t="str">
        <f t="shared" si="91"/>
        <v/>
      </c>
      <c r="Q217" s="65" t="str">
        <f t="shared" si="92"/>
        <v/>
      </c>
      <c r="R217" s="67" t="str">
        <f t="shared" si="94"/>
        <v/>
      </c>
      <c r="S217" s="56" t="str">
        <f t="shared" si="95"/>
        <v/>
      </c>
      <c r="T217" s="56" t="str">
        <f t="shared" si="96"/>
        <v/>
      </c>
      <c r="U217" s="56" t="str">
        <f t="shared" si="97"/>
        <v/>
      </c>
      <c r="V217" s="68" t="str">
        <f t="shared" si="98"/>
        <v/>
      </c>
      <c r="W217" s="80" t="str">
        <f t="shared" si="99"/>
        <v/>
      </c>
      <c r="X217" s="81" t="str">
        <f t="shared" si="100"/>
        <v/>
      </c>
      <c r="Y217" s="81" t="str">
        <f t="shared" si="101"/>
        <v/>
      </c>
      <c r="Z217" s="81" t="str">
        <f t="shared" si="102"/>
        <v/>
      </c>
      <c r="AA217" s="82" t="str">
        <f t="shared" si="103"/>
        <v/>
      </c>
      <c r="AB217" s="83" t="str">
        <f>IF(R217&lt;&gt;"",(W217-SUMPRODUCT(R$3:R217,$B$3:$B217)/SUM($B$3:$B217))/STDEVA(W207:W217),"")</f>
        <v/>
      </c>
      <c r="AC217" s="84" t="str">
        <f>IF(S217&lt;&gt;"",(X217-SUMPRODUCT(S$3:S217,$B$3:$B217)/SUM($B$3:$B217))/STDEVA(X207:X217),"")</f>
        <v/>
      </c>
      <c r="AD217" s="84" t="str">
        <f>IF(T217&lt;&gt;"",(Y217-SUMPRODUCT(T$3:T217,$B$3:$B217)/SUM($B$3:$B217))/STDEVA(Y207:Y217),"")</f>
        <v/>
      </c>
      <c r="AE217" s="84" t="str">
        <f>IF(U217&lt;&gt;"",(Z217-SUMPRODUCT(U$3:U217,$B$3:$B217)/SUM($B$3:$B217))/STDEVA(Z207:Z217),"")</f>
        <v/>
      </c>
      <c r="AF217" s="85" t="str">
        <f>IF(V217&lt;&gt;"",(AA217-SUMPRODUCT(V$3:V217,$B$3:$B217)/SUM($B$3:$B217))/STDEVA(AA207:AA217),"")</f>
        <v/>
      </c>
      <c r="AG217" s="90" t="str">
        <f t="shared" si="104"/>
        <v/>
      </c>
      <c r="AH217" s="90" t="str">
        <f t="shared" si="104"/>
        <v/>
      </c>
      <c r="AI217" s="90" t="str">
        <f t="shared" si="104"/>
        <v/>
      </c>
      <c r="AJ217" s="90" t="str">
        <f t="shared" si="104"/>
        <v/>
      </c>
      <c r="AK217" s="93" t="str">
        <f t="shared" si="105"/>
        <v/>
      </c>
      <c r="BQ217" s="100" t="str">
        <f>IF(A217&lt;&gt;"",(VLOOKUP(A217,MarketData!$D:$BP,MATCH($BQ$1,MarketData!$D$1:$EG$1,0),TRUE)/100/365+1)^(B217)*BQ216,"")</f>
        <v/>
      </c>
      <c r="BR217" s="98" t="str">
        <f t="shared" si="82"/>
        <v/>
      </c>
      <c r="BS217" s="106" t="str">
        <f>IF(A217&lt;&gt;"",VLOOKUP(A217,MarketData!$D:$BP,MATCH($BS$1,MarketData!$D$1:$EG$1,0),TRUE),"")</f>
        <v/>
      </c>
      <c r="BT217" s="98" t="str">
        <f t="shared" si="93"/>
        <v/>
      </c>
    </row>
    <row r="218" spans="2:72" x14ac:dyDescent="0.25">
      <c r="B218" s="60" t="str">
        <f t="shared" si="81"/>
        <v/>
      </c>
      <c r="C218" s="3" t="str">
        <f t="shared" si="83"/>
        <v/>
      </c>
      <c r="D218" s="3" t="str">
        <f t="shared" si="84"/>
        <v/>
      </c>
      <c r="E218" s="3" t="str">
        <f t="shared" si="85"/>
        <v/>
      </c>
      <c r="F218" s="3" t="str">
        <f t="shared" si="86"/>
        <v/>
      </c>
      <c r="G218" s="74" t="str">
        <f t="shared" si="87"/>
        <v/>
      </c>
      <c r="H218" s="78" t="str">
        <f>IFERROR(C218/SUM(M$2:M217),"")</f>
        <v/>
      </c>
      <c r="I218" s="61" t="str">
        <f>IFERROR(D218/SUM(N$2:N218),"")</f>
        <v/>
      </c>
      <c r="J218" s="61" t="str">
        <f>IFERROR(E218/SUM(O$2:O218),"")</f>
        <v/>
      </c>
      <c r="K218" s="61" t="str">
        <f>IFERROR(F218/SUM(P$2:P218),"")</f>
        <v/>
      </c>
      <c r="L218" s="79" t="str">
        <f>IFERROR(G218/SUM(Q$2:Q218),"")</f>
        <v/>
      </c>
      <c r="M218" s="64" t="str">
        <f t="shared" si="88"/>
        <v/>
      </c>
      <c r="N218" s="55" t="str">
        <f t="shared" si="89"/>
        <v/>
      </c>
      <c r="O218" s="55" t="str">
        <f t="shared" si="90"/>
        <v/>
      </c>
      <c r="P218" s="55" t="str">
        <f t="shared" si="91"/>
        <v/>
      </c>
      <c r="Q218" s="65" t="str">
        <f t="shared" si="92"/>
        <v/>
      </c>
      <c r="R218" s="67" t="str">
        <f t="shared" si="94"/>
        <v/>
      </c>
      <c r="S218" s="56" t="str">
        <f t="shared" si="95"/>
        <v/>
      </c>
      <c r="T218" s="56" t="str">
        <f t="shared" si="96"/>
        <v/>
      </c>
      <c r="U218" s="56" t="str">
        <f t="shared" si="97"/>
        <v/>
      </c>
      <c r="V218" s="68" t="str">
        <f t="shared" si="98"/>
        <v/>
      </c>
      <c r="W218" s="80" t="str">
        <f t="shared" si="99"/>
        <v/>
      </c>
      <c r="X218" s="81" t="str">
        <f t="shared" si="100"/>
        <v/>
      </c>
      <c r="Y218" s="81" t="str">
        <f t="shared" si="101"/>
        <v/>
      </c>
      <c r="Z218" s="81" t="str">
        <f t="shared" si="102"/>
        <v/>
      </c>
      <c r="AA218" s="82" t="str">
        <f t="shared" si="103"/>
        <v/>
      </c>
      <c r="AB218" s="83" t="str">
        <f>IF(R218&lt;&gt;"",(W218-SUMPRODUCT(R$3:R218,$B$3:$B218)/SUM($B$3:$B218))/STDEVA(W208:W218),"")</f>
        <v/>
      </c>
      <c r="AC218" s="84" t="str">
        <f>IF(S218&lt;&gt;"",(X218-SUMPRODUCT(S$3:S218,$B$3:$B218)/SUM($B$3:$B218))/STDEVA(X208:X218),"")</f>
        <v/>
      </c>
      <c r="AD218" s="84" t="str">
        <f>IF(T218&lt;&gt;"",(Y218-SUMPRODUCT(T$3:T218,$B$3:$B218)/SUM($B$3:$B218))/STDEVA(Y208:Y218),"")</f>
        <v/>
      </c>
      <c r="AE218" s="84" t="str">
        <f>IF(U218&lt;&gt;"",(Z218-SUMPRODUCT(U$3:U218,$B$3:$B218)/SUM($B$3:$B218))/STDEVA(Z208:Z218),"")</f>
        <v/>
      </c>
      <c r="AF218" s="85" t="str">
        <f>IF(V218&lt;&gt;"",(AA218-SUMPRODUCT(V$3:V218,$B$3:$B218)/SUM($B$3:$B218))/STDEVA(AA208:AA218),"")</f>
        <v/>
      </c>
      <c r="AG218" s="90" t="str">
        <f t="shared" si="104"/>
        <v/>
      </c>
      <c r="AH218" s="90" t="str">
        <f t="shared" si="104"/>
        <v/>
      </c>
      <c r="AI218" s="90" t="str">
        <f t="shared" si="104"/>
        <v/>
      </c>
      <c r="AJ218" s="90" t="str">
        <f t="shared" si="104"/>
        <v/>
      </c>
      <c r="AK218" s="93" t="str">
        <f t="shared" si="105"/>
        <v/>
      </c>
      <c r="BQ218" s="100" t="str">
        <f>IF(A218&lt;&gt;"",(VLOOKUP(A218,MarketData!$D:$BP,MATCH($BQ$1,MarketData!$D$1:$EG$1,0),TRUE)/100/365+1)^(B218)*BQ217,"")</f>
        <v/>
      </c>
      <c r="BR218" s="98" t="str">
        <f t="shared" si="82"/>
        <v/>
      </c>
      <c r="BS218" s="106" t="str">
        <f>IF(A218&lt;&gt;"",VLOOKUP(A218,MarketData!$D:$BP,MATCH($BS$1,MarketData!$D$1:$EG$1,0),TRUE),"")</f>
        <v/>
      </c>
      <c r="BT218" s="98" t="str">
        <f t="shared" si="93"/>
        <v/>
      </c>
    </row>
    <row r="219" spans="2:72" x14ac:dyDescent="0.25">
      <c r="B219" s="60" t="str">
        <f t="shared" ref="B219:B282" si="106">IF(A219&lt;&gt;0,A219-A218,"")</f>
        <v/>
      </c>
      <c r="C219" s="3" t="str">
        <f t="shared" si="83"/>
        <v/>
      </c>
      <c r="D219" s="3" t="str">
        <f t="shared" si="84"/>
        <v/>
      </c>
      <c r="E219" s="3" t="str">
        <f t="shared" si="85"/>
        <v/>
      </c>
      <c r="F219" s="3" t="str">
        <f t="shared" si="86"/>
        <v/>
      </c>
      <c r="G219" s="74" t="str">
        <f t="shared" si="87"/>
        <v/>
      </c>
      <c r="H219" s="78" t="str">
        <f>IFERROR(C219/SUM(M$2:M218),"")</f>
        <v/>
      </c>
      <c r="I219" s="61" t="str">
        <f>IFERROR(D219/SUM(N$2:N219),"")</f>
        <v/>
      </c>
      <c r="J219" s="61" t="str">
        <f>IFERROR(E219/SUM(O$2:O219),"")</f>
        <v/>
      </c>
      <c r="K219" s="61" t="str">
        <f>IFERROR(F219/SUM(P$2:P219),"")</f>
        <v/>
      </c>
      <c r="L219" s="79" t="str">
        <f>IFERROR(G219/SUM(Q$2:Q219),"")</f>
        <v/>
      </c>
      <c r="M219" s="64" t="str">
        <f t="shared" si="88"/>
        <v/>
      </c>
      <c r="N219" s="55" t="str">
        <f t="shared" si="89"/>
        <v/>
      </c>
      <c r="O219" s="55" t="str">
        <f t="shared" si="90"/>
        <v/>
      </c>
      <c r="P219" s="55" t="str">
        <f t="shared" si="91"/>
        <v/>
      </c>
      <c r="Q219" s="65" t="str">
        <f t="shared" si="92"/>
        <v/>
      </c>
      <c r="R219" s="67" t="str">
        <f t="shared" si="94"/>
        <v/>
      </c>
      <c r="S219" s="56" t="str">
        <f t="shared" si="95"/>
        <v/>
      </c>
      <c r="T219" s="56" t="str">
        <f t="shared" si="96"/>
        <v/>
      </c>
      <c r="U219" s="56" t="str">
        <f t="shared" si="97"/>
        <v/>
      </c>
      <c r="V219" s="68" t="str">
        <f t="shared" si="98"/>
        <v/>
      </c>
      <c r="W219" s="80" t="str">
        <f t="shared" si="99"/>
        <v/>
      </c>
      <c r="X219" s="81" t="str">
        <f t="shared" si="100"/>
        <v/>
      </c>
      <c r="Y219" s="81" t="str">
        <f t="shared" si="101"/>
        <v/>
      </c>
      <c r="Z219" s="81" t="str">
        <f t="shared" si="102"/>
        <v/>
      </c>
      <c r="AA219" s="82" t="str">
        <f t="shared" si="103"/>
        <v/>
      </c>
      <c r="AB219" s="83" t="str">
        <f>IF(R219&lt;&gt;"",(W219-SUMPRODUCT(R$3:R219,$B$3:$B219)/SUM($B$3:$B219))/STDEVA(W209:W219),"")</f>
        <v/>
      </c>
      <c r="AC219" s="84" t="str">
        <f>IF(S219&lt;&gt;"",(X219-SUMPRODUCT(S$3:S219,$B$3:$B219)/SUM($B$3:$B219))/STDEVA(X209:X219),"")</f>
        <v/>
      </c>
      <c r="AD219" s="84" t="str">
        <f>IF(T219&lt;&gt;"",(Y219-SUMPRODUCT(T$3:T219,$B$3:$B219)/SUM($B$3:$B219))/STDEVA(Y209:Y219),"")</f>
        <v/>
      </c>
      <c r="AE219" s="84" t="str">
        <f>IF(U219&lt;&gt;"",(Z219-SUMPRODUCT(U$3:U219,$B$3:$B219)/SUM($B$3:$B219))/STDEVA(Z209:Z219),"")</f>
        <v/>
      </c>
      <c r="AF219" s="85" t="str">
        <f>IF(V219&lt;&gt;"",(AA219-SUMPRODUCT(V$3:V219,$B$3:$B219)/SUM($B$3:$B219))/STDEVA(AA209:AA219),"")</f>
        <v/>
      </c>
      <c r="AG219" s="90" t="str">
        <f t="shared" si="104"/>
        <v/>
      </c>
      <c r="AH219" s="90" t="str">
        <f t="shared" si="104"/>
        <v/>
      </c>
      <c r="AI219" s="90" t="str">
        <f t="shared" si="104"/>
        <v/>
      </c>
      <c r="AJ219" s="90" t="str">
        <f t="shared" si="104"/>
        <v/>
      </c>
      <c r="AK219" s="93" t="str">
        <f t="shared" si="105"/>
        <v/>
      </c>
      <c r="BQ219" s="100" t="str">
        <f>IF(A219&lt;&gt;"",(VLOOKUP(A219,MarketData!$D:$BP,MATCH($BQ$1,MarketData!$D$1:$EG$1,0),TRUE)/100/365+1)^(B219)*BQ218,"")</f>
        <v/>
      </c>
      <c r="BR219" s="98" t="str">
        <f t="shared" si="82"/>
        <v/>
      </c>
      <c r="BS219" s="106" t="str">
        <f>IF(A219&lt;&gt;"",VLOOKUP(A219,MarketData!$D:$BP,MATCH($BS$1,MarketData!$D$1:$EG$1,0),TRUE),"")</f>
        <v/>
      </c>
      <c r="BT219" s="98" t="str">
        <f t="shared" si="93"/>
        <v/>
      </c>
    </row>
    <row r="220" spans="2:72" x14ac:dyDescent="0.25">
      <c r="B220" s="60" t="str">
        <f t="shared" si="106"/>
        <v/>
      </c>
      <c r="C220" s="3" t="str">
        <f t="shared" si="83"/>
        <v/>
      </c>
      <c r="D220" s="3" t="str">
        <f t="shared" si="84"/>
        <v/>
      </c>
      <c r="E220" s="3" t="str">
        <f t="shared" si="85"/>
        <v/>
      </c>
      <c r="F220" s="3" t="str">
        <f t="shared" si="86"/>
        <v/>
      </c>
      <c r="G220" s="74" t="str">
        <f t="shared" si="87"/>
        <v/>
      </c>
      <c r="H220" s="78" t="str">
        <f>IFERROR(C220/SUM(M$2:M219),"")</f>
        <v/>
      </c>
      <c r="I220" s="61" t="str">
        <f>IFERROR(D220/SUM(N$2:N220),"")</f>
        <v/>
      </c>
      <c r="J220" s="61" t="str">
        <f>IFERROR(E220/SUM(O$2:O220),"")</f>
        <v/>
      </c>
      <c r="K220" s="61" t="str">
        <f>IFERROR(F220/SUM(P$2:P220),"")</f>
        <v/>
      </c>
      <c r="L220" s="79" t="str">
        <f>IFERROR(G220/SUM(Q$2:Q220),"")</f>
        <v/>
      </c>
      <c r="M220" s="64" t="str">
        <f t="shared" si="88"/>
        <v/>
      </c>
      <c r="N220" s="55" t="str">
        <f t="shared" si="89"/>
        <v/>
      </c>
      <c r="O220" s="55" t="str">
        <f t="shared" si="90"/>
        <v/>
      </c>
      <c r="P220" s="55" t="str">
        <f t="shared" si="91"/>
        <v/>
      </c>
      <c r="Q220" s="65" t="str">
        <f t="shared" si="92"/>
        <v/>
      </c>
      <c r="R220" s="67" t="str">
        <f t="shared" si="94"/>
        <v/>
      </c>
      <c r="S220" s="56" t="str">
        <f t="shared" si="95"/>
        <v/>
      </c>
      <c r="T220" s="56" t="str">
        <f t="shared" si="96"/>
        <v/>
      </c>
      <c r="U220" s="56" t="str">
        <f t="shared" si="97"/>
        <v/>
      </c>
      <c r="V220" s="68" t="str">
        <f t="shared" si="98"/>
        <v/>
      </c>
      <c r="W220" s="80" t="str">
        <f t="shared" si="99"/>
        <v/>
      </c>
      <c r="X220" s="81" t="str">
        <f t="shared" si="100"/>
        <v/>
      </c>
      <c r="Y220" s="81" t="str">
        <f t="shared" si="101"/>
        <v/>
      </c>
      <c r="Z220" s="81" t="str">
        <f t="shared" si="102"/>
        <v/>
      </c>
      <c r="AA220" s="82" t="str">
        <f t="shared" si="103"/>
        <v/>
      </c>
      <c r="AB220" s="83" t="str">
        <f>IF(R220&lt;&gt;"",(W220-SUMPRODUCT(R$3:R220,$B$3:$B220)/SUM($B$3:$B220))/STDEVA(W210:W220),"")</f>
        <v/>
      </c>
      <c r="AC220" s="84" t="str">
        <f>IF(S220&lt;&gt;"",(X220-SUMPRODUCT(S$3:S220,$B$3:$B220)/SUM($B$3:$B220))/STDEVA(X210:X220),"")</f>
        <v/>
      </c>
      <c r="AD220" s="84" t="str">
        <f>IF(T220&lt;&gt;"",(Y220-SUMPRODUCT(T$3:T220,$B$3:$B220)/SUM($B$3:$B220))/STDEVA(Y210:Y220),"")</f>
        <v/>
      </c>
      <c r="AE220" s="84" t="str">
        <f>IF(U220&lt;&gt;"",(Z220-SUMPRODUCT(U$3:U220,$B$3:$B220)/SUM($B$3:$B220))/STDEVA(Z210:Z220),"")</f>
        <v/>
      </c>
      <c r="AF220" s="85" t="str">
        <f>IF(V220&lt;&gt;"",(AA220-SUMPRODUCT(V$3:V220,$B$3:$B220)/SUM($B$3:$B220))/STDEVA(AA210:AA220),"")</f>
        <v/>
      </c>
      <c r="AG220" s="90" t="str">
        <f t="shared" si="104"/>
        <v/>
      </c>
      <c r="AH220" s="90" t="str">
        <f t="shared" si="104"/>
        <v/>
      </c>
      <c r="AI220" s="90" t="str">
        <f t="shared" si="104"/>
        <v/>
      </c>
      <c r="AJ220" s="90" t="str">
        <f t="shared" si="104"/>
        <v/>
      </c>
      <c r="AK220" s="93" t="str">
        <f t="shared" si="105"/>
        <v/>
      </c>
      <c r="BQ220" s="100" t="str">
        <f>IF(A220&lt;&gt;"",(VLOOKUP(A220,MarketData!$D:$BP,MATCH($BQ$1,MarketData!$D$1:$EG$1,0),TRUE)/100/365+1)^(B220)*BQ219,"")</f>
        <v/>
      </c>
      <c r="BR220" s="98" t="str">
        <f t="shared" si="82"/>
        <v/>
      </c>
      <c r="BS220" s="106" t="str">
        <f>IF(A220&lt;&gt;"",VLOOKUP(A220,MarketData!$D:$BP,MATCH($BS$1,MarketData!$D$1:$EG$1,0),TRUE),"")</f>
        <v/>
      </c>
      <c r="BT220" s="98" t="str">
        <f t="shared" si="93"/>
        <v/>
      </c>
    </row>
    <row r="221" spans="2:72" x14ac:dyDescent="0.25">
      <c r="B221" s="60" t="str">
        <f t="shared" si="106"/>
        <v/>
      </c>
      <c r="C221" s="3" t="str">
        <f t="shared" si="83"/>
        <v/>
      </c>
      <c r="D221" s="3" t="str">
        <f t="shared" si="84"/>
        <v/>
      </c>
      <c r="E221" s="3" t="str">
        <f t="shared" si="85"/>
        <v/>
      </c>
      <c r="F221" s="3" t="str">
        <f t="shared" si="86"/>
        <v/>
      </c>
      <c r="G221" s="74" t="str">
        <f t="shared" si="87"/>
        <v/>
      </c>
      <c r="H221" s="78" t="str">
        <f>IFERROR(C221/SUM(M$2:M220),"")</f>
        <v/>
      </c>
      <c r="I221" s="61" t="str">
        <f>IFERROR(D221/SUM(N$2:N221),"")</f>
        <v/>
      </c>
      <c r="J221" s="61" t="str">
        <f>IFERROR(E221/SUM(O$2:O221),"")</f>
        <v/>
      </c>
      <c r="K221" s="61" t="str">
        <f>IFERROR(F221/SUM(P$2:P221),"")</f>
        <v/>
      </c>
      <c r="L221" s="79" t="str">
        <f>IFERROR(G221/SUM(Q$2:Q221),"")</f>
        <v/>
      </c>
      <c r="M221" s="64" t="str">
        <f t="shared" si="88"/>
        <v/>
      </c>
      <c r="N221" s="55" t="str">
        <f t="shared" si="89"/>
        <v/>
      </c>
      <c r="O221" s="55" t="str">
        <f t="shared" si="90"/>
        <v/>
      </c>
      <c r="P221" s="55" t="str">
        <f t="shared" si="91"/>
        <v/>
      </c>
      <c r="Q221" s="65" t="str">
        <f t="shared" si="92"/>
        <v/>
      </c>
      <c r="R221" s="67" t="str">
        <f t="shared" si="94"/>
        <v/>
      </c>
      <c r="S221" s="56" t="str">
        <f t="shared" si="95"/>
        <v/>
      </c>
      <c r="T221" s="56" t="str">
        <f t="shared" si="96"/>
        <v/>
      </c>
      <c r="U221" s="56" t="str">
        <f t="shared" si="97"/>
        <v/>
      </c>
      <c r="V221" s="68" t="str">
        <f t="shared" si="98"/>
        <v/>
      </c>
      <c r="W221" s="80" t="str">
        <f t="shared" si="99"/>
        <v/>
      </c>
      <c r="X221" s="81" t="str">
        <f t="shared" si="100"/>
        <v/>
      </c>
      <c r="Y221" s="81" t="str">
        <f t="shared" si="101"/>
        <v/>
      </c>
      <c r="Z221" s="81" t="str">
        <f t="shared" si="102"/>
        <v/>
      </c>
      <c r="AA221" s="82" t="str">
        <f t="shared" si="103"/>
        <v/>
      </c>
      <c r="AB221" s="83" t="str">
        <f>IF(R221&lt;&gt;"",(W221-SUMPRODUCT(R$3:R221,$B$3:$B221)/SUM($B$3:$B221))/STDEVA(W211:W221),"")</f>
        <v/>
      </c>
      <c r="AC221" s="84" t="str">
        <f>IF(S221&lt;&gt;"",(X221-SUMPRODUCT(S$3:S221,$B$3:$B221)/SUM($B$3:$B221))/STDEVA(X211:X221),"")</f>
        <v/>
      </c>
      <c r="AD221" s="84" t="str">
        <f>IF(T221&lt;&gt;"",(Y221-SUMPRODUCT(T$3:T221,$B$3:$B221)/SUM($B$3:$B221))/STDEVA(Y211:Y221),"")</f>
        <v/>
      </c>
      <c r="AE221" s="84" t="str">
        <f>IF(U221&lt;&gt;"",(Z221-SUMPRODUCT(U$3:U221,$B$3:$B221)/SUM($B$3:$B221))/STDEVA(Z211:Z221),"")</f>
        <v/>
      </c>
      <c r="AF221" s="85" t="str">
        <f>IF(V221&lt;&gt;"",(AA221-SUMPRODUCT(V$3:V221,$B$3:$B221)/SUM($B$3:$B221))/STDEVA(AA211:AA221),"")</f>
        <v/>
      </c>
      <c r="AG221" s="90" t="str">
        <f t="shared" si="104"/>
        <v/>
      </c>
      <c r="AH221" s="90" t="str">
        <f t="shared" si="104"/>
        <v/>
      </c>
      <c r="AI221" s="90" t="str">
        <f t="shared" si="104"/>
        <v/>
      </c>
      <c r="AJ221" s="90" t="str">
        <f t="shared" si="104"/>
        <v/>
      </c>
      <c r="AK221" s="93" t="str">
        <f t="shared" si="105"/>
        <v/>
      </c>
      <c r="BQ221" s="100" t="str">
        <f>IF(A221&lt;&gt;"",(VLOOKUP(A221,MarketData!$D:$BP,MATCH($BQ$1,MarketData!$D$1:$EG$1,0),TRUE)/100/365+1)^(B221)*BQ220,"")</f>
        <v/>
      </c>
      <c r="BR221" s="98" t="str">
        <f t="shared" si="82"/>
        <v/>
      </c>
      <c r="BS221" s="106" t="str">
        <f>IF(A221&lt;&gt;"",VLOOKUP(A221,MarketData!$D:$BP,MATCH($BS$1,MarketData!$D$1:$EG$1,0),TRUE),"")</f>
        <v/>
      </c>
      <c r="BT221" s="98" t="str">
        <f t="shared" si="93"/>
        <v/>
      </c>
    </row>
    <row r="222" spans="2:72" x14ac:dyDescent="0.25">
      <c r="B222" s="60" t="str">
        <f t="shared" si="106"/>
        <v/>
      </c>
      <c r="C222" s="3" t="str">
        <f t="shared" si="83"/>
        <v/>
      </c>
      <c r="D222" s="3" t="str">
        <f t="shared" si="84"/>
        <v/>
      </c>
      <c r="E222" s="3" t="str">
        <f t="shared" si="85"/>
        <v/>
      </c>
      <c r="F222" s="3" t="str">
        <f t="shared" si="86"/>
        <v/>
      </c>
      <c r="G222" s="74" t="str">
        <f t="shared" si="87"/>
        <v/>
      </c>
      <c r="H222" s="78" t="str">
        <f>IFERROR(C222/SUM(M$2:M221),"")</f>
        <v/>
      </c>
      <c r="I222" s="61" t="str">
        <f>IFERROR(D222/SUM(N$2:N222),"")</f>
        <v/>
      </c>
      <c r="J222" s="61" t="str">
        <f>IFERROR(E222/SUM(O$2:O222),"")</f>
        <v/>
      </c>
      <c r="K222" s="61" t="str">
        <f>IFERROR(F222/SUM(P$2:P222),"")</f>
        <v/>
      </c>
      <c r="L222" s="79" t="str">
        <f>IFERROR(G222/SUM(Q$2:Q222),"")</f>
        <v/>
      </c>
      <c r="M222" s="64" t="str">
        <f t="shared" si="88"/>
        <v/>
      </c>
      <c r="N222" s="55" t="str">
        <f t="shared" si="89"/>
        <v/>
      </c>
      <c r="O222" s="55" t="str">
        <f t="shared" si="90"/>
        <v/>
      </c>
      <c r="P222" s="55" t="str">
        <f t="shared" si="91"/>
        <v/>
      </c>
      <c r="Q222" s="65" t="str">
        <f t="shared" si="92"/>
        <v/>
      </c>
      <c r="R222" s="67" t="str">
        <f t="shared" si="94"/>
        <v/>
      </c>
      <c r="S222" s="56" t="str">
        <f t="shared" si="95"/>
        <v/>
      </c>
      <c r="T222" s="56" t="str">
        <f t="shared" si="96"/>
        <v/>
      </c>
      <c r="U222" s="56" t="str">
        <f t="shared" si="97"/>
        <v/>
      </c>
      <c r="V222" s="68" t="str">
        <f t="shared" si="98"/>
        <v/>
      </c>
      <c r="W222" s="80" t="str">
        <f t="shared" si="99"/>
        <v/>
      </c>
      <c r="X222" s="81" t="str">
        <f t="shared" si="100"/>
        <v/>
      </c>
      <c r="Y222" s="81" t="str">
        <f t="shared" si="101"/>
        <v/>
      </c>
      <c r="Z222" s="81" t="str">
        <f t="shared" si="102"/>
        <v/>
      </c>
      <c r="AA222" s="82" t="str">
        <f t="shared" si="103"/>
        <v/>
      </c>
      <c r="AB222" s="83" t="str">
        <f>IF(R222&lt;&gt;"",(W222-SUMPRODUCT(R$3:R222,$B$3:$B222)/SUM($B$3:$B222))/STDEVA(W212:W222),"")</f>
        <v/>
      </c>
      <c r="AC222" s="84" t="str">
        <f>IF(S222&lt;&gt;"",(X222-SUMPRODUCT(S$3:S222,$B$3:$B222)/SUM($B$3:$B222))/STDEVA(X212:X222),"")</f>
        <v/>
      </c>
      <c r="AD222" s="84" t="str">
        <f>IF(T222&lt;&gt;"",(Y222-SUMPRODUCT(T$3:T222,$B$3:$B222)/SUM($B$3:$B222))/STDEVA(Y212:Y222),"")</f>
        <v/>
      </c>
      <c r="AE222" s="84" t="str">
        <f>IF(U222&lt;&gt;"",(Z222-SUMPRODUCT(U$3:U222,$B$3:$B222)/SUM($B$3:$B222))/STDEVA(Z212:Z222),"")</f>
        <v/>
      </c>
      <c r="AF222" s="85" t="str">
        <f>IF(V222&lt;&gt;"",(AA222-SUMPRODUCT(V$3:V222,$B$3:$B222)/SUM($B$3:$B222))/STDEVA(AA212:AA222),"")</f>
        <v/>
      </c>
      <c r="AG222" s="90" t="str">
        <f t="shared" si="104"/>
        <v/>
      </c>
      <c r="AH222" s="90" t="str">
        <f t="shared" si="104"/>
        <v/>
      </c>
      <c r="AI222" s="90" t="str">
        <f t="shared" si="104"/>
        <v/>
      </c>
      <c r="AJ222" s="90" t="str">
        <f t="shared" si="104"/>
        <v/>
      </c>
      <c r="AK222" s="93" t="str">
        <f t="shared" si="105"/>
        <v/>
      </c>
      <c r="BQ222" s="100" t="str">
        <f>IF(A222&lt;&gt;"",(VLOOKUP(A222,MarketData!$D:$BP,MATCH($BQ$1,MarketData!$D$1:$EG$1,0),TRUE)/100/365+1)^(B222)*BQ221,"")</f>
        <v/>
      </c>
      <c r="BR222" s="98" t="str">
        <f t="shared" si="82"/>
        <v/>
      </c>
      <c r="BS222" s="106" t="str">
        <f>IF(A222&lt;&gt;"",VLOOKUP(A222,MarketData!$D:$BP,MATCH($BS$1,MarketData!$D$1:$EG$1,0),TRUE),"")</f>
        <v/>
      </c>
      <c r="BT222" s="98" t="str">
        <f t="shared" si="93"/>
        <v/>
      </c>
    </row>
    <row r="223" spans="2:72" x14ac:dyDescent="0.25">
      <c r="B223" s="60" t="str">
        <f t="shared" si="106"/>
        <v/>
      </c>
      <c r="C223" s="3" t="str">
        <f t="shared" si="83"/>
        <v/>
      </c>
      <c r="D223" s="3" t="str">
        <f t="shared" si="84"/>
        <v/>
      </c>
      <c r="E223" s="3" t="str">
        <f t="shared" si="85"/>
        <v/>
      </c>
      <c r="F223" s="3" t="str">
        <f t="shared" si="86"/>
        <v/>
      </c>
      <c r="G223" s="74" t="str">
        <f t="shared" si="87"/>
        <v/>
      </c>
      <c r="H223" s="78" t="str">
        <f>IFERROR(C223/SUM(M$2:M222),"")</f>
        <v/>
      </c>
      <c r="I223" s="61" t="str">
        <f>IFERROR(D223/SUM(N$2:N223),"")</f>
        <v/>
      </c>
      <c r="J223" s="61" t="str">
        <f>IFERROR(E223/SUM(O$2:O223),"")</f>
        <v/>
      </c>
      <c r="K223" s="61" t="str">
        <f>IFERROR(F223/SUM(P$2:P223),"")</f>
        <v/>
      </c>
      <c r="L223" s="79" t="str">
        <f>IFERROR(G223/SUM(Q$2:Q223),"")</f>
        <v/>
      </c>
      <c r="M223" s="64" t="str">
        <f t="shared" si="88"/>
        <v/>
      </c>
      <c r="N223" s="55" t="str">
        <f t="shared" si="89"/>
        <v/>
      </c>
      <c r="O223" s="55" t="str">
        <f t="shared" si="90"/>
        <v/>
      </c>
      <c r="P223" s="55" t="str">
        <f t="shared" si="91"/>
        <v/>
      </c>
      <c r="Q223" s="65" t="str">
        <f t="shared" si="92"/>
        <v/>
      </c>
      <c r="R223" s="67" t="str">
        <f t="shared" si="94"/>
        <v/>
      </c>
      <c r="S223" s="56" t="str">
        <f t="shared" si="95"/>
        <v/>
      </c>
      <c r="T223" s="56" t="str">
        <f t="shared" si="96"/>
        <v/>
      </c>
      <c r="U223" s="56" t="str">
        <f t="shared" si="97"/>
        <v/>
      </c>
      <c r="V223" s="68" t="str">
        <f t="shared" si="98"/>
        <v/>
      </c>
      <c r="W223" s="80" t="str">
        <f t="shared" si="99"/>
        <v/>
      </c>
      <c r="X223" s="81" t="str">
        <f t="shared" si="100"/>
        <v/>
      </c>
      <c r="Y223" s="81" t="str">
        <f t="shared" si="101"/>
        <v/>
      </c>
      <c r="Z223" s="81" t="str">
        <f t="shared" si="102"/>
        <v/>
      </c>
      <c r="AA223" s="82" t="str">
        <f t="shared" si="103"/>
        <v/>
      </c>
      <c r="AB223" s="83" t="str">
        <f>IF(R223&lt;&gt;"",(W223-SUMPRODUCT(R$3:R223,$B$3:$B223)/SUM($B$3:$B223))/STDEVA(W213:W223),"")</f>
        <v/>
      </c>
      <c r="AC223" s="84" t="str">
        <f>IF(S223&lt;&gt;"",(X223-SUMPRODUCT(S$3:S223,$B$3:$B223)/SUM($B$3:$B223))/STDEVA(X213:X223),"")</f>
        <v/>
      </c>
      <c r="AD223" s="84" t="str">
        <f>IF(T223&lt;&gt;"",(Y223-SUMPRODUCT(T$3:T223,$B$3:$B223)/SUM($B$3:$B223))/STDEVA(Y213:Y223),"")</f>
        <v/>
      </c>
      <c r="AE223" s="84" t="str">
        <f>IF(U223&lt;&gt;"",(Z223-SUMPRODUCT(U$3:U223,$B$3:$B223)/SUM($B$3:$B223))/STDEVA(Z213:Z223),"")</f>
        <v/>
      </c>
      <c r="AF223" s="85" t="str">
        <f>IF(V223&lt;&gt;"",(AA223-SUMPRODUCT(V$3:V223,$B$3:$B223)/SUM($B$3:$B223))/STDEVA(AA213:AA223),"")</f>
        <v/>
      </c>
      <c r="AG223" s="90" t="str">
        <f t="shared" si="104"/>
        <v/>
      </c>
      <c r="AH223" s="90" t="str">
        <f t="shared" si="104"/>
        <v/>
      </c>
      <c r="AI223" s="90" t="str">
        <f t="shared" si="104"/>
        <v/>
      </c>
      <c r="AJ223" s="90" t="str">
        <f t="shared" si="104"/>
        <v/>
      </c>
      <c r="AK223" s="93" t="str">
        <f t="shared" si="105"/>
        <v/>
      </c>
      <c r="BQ223" s="100" t="str">
        <f>IF(A223&lt;&gt;"",(VLOOKUP(A223,MarketData!$D:$BP,MATCH($BQ$1,MarketData!$D$1:$EG$1,0),TRUE)/100/365+1)^(B223)*BQ222,"")</f>
        <v/>
      </c>
      <c r="BR223" s="98" t="str">
        <f t="shared" si="82"/>
        <v/>
      </c>
      <c r="BS223" s="106" t="str">
        <f>IF(A223&lt;&gt;"",VLOOKUP(A223,MarketData!$D:$BP,MATCH($BS$1,MarketData!$D$1:$EG$1,0),TRUE),"")</f>
        <v/>
      </c>
      <c r="BT223" s="98" t="str">
        <f t="shared" si="93"/>
        <v/>
      </c>
    </row>
    <row r="224" spans="2:72" x14ac:dyDescent="0.25">
      <c r="B224" s="60" t="str">
        <f t="shared" si="106"/>
        <v/>
      </c>
      <c r="C224" s="3" t="str">
        <f t="shared" si="83"/>
        <v/>
      </c>
      <c r="D224" s="3" t="str">
        <f t="shared" si="84"/>
        <v/>
      </c>
      <c r="E224" s="3" t="str">
        <f t="shared" si="85"/>
        <v/>
      </c>
      <c r="F224" s="3" t="str">
        <f t="shared" si="86"/>
        <v/>
      </c>
      <c r="G224" s="74" t="str">
        <f t="shared" si="87"/>
        <v/>
      </c>
      <c r="H224" s="78" t="str">
        <f>IFERROR(C224/SUM(M$2:M223),"")</f>
        <v/>
      </c>
      <c r="I224" s="61" t="str">
        <f>IFERROR(D224/SUM(N$2:N224),"")</f>
        <v/>
      </c>
      <c r="J224" s="61" t="str">
        <f>IFERROR(E224/SUM(O$2:O224),"")</f>
        <v/>
      </c>
      <c r="K224" s="61" t="str">
        <f>IFERROR(F224/SUM(P$2:P224),"")</f>
        <v/>
      </c>
      <c r="L224" s="79" t="str">
        <f>IFERROR(G224/SUM(Q$2:Q224),"")</f>
        <v/>
      </c>
      <c r="M224" s="64" t="str">
        <f t="shared" si="88"/>
        <v/>
      </c>
      <c r="N224" s="55" t="str">
        <f t="shared" si="89"/>
        <v/>
      </c>
      <c r="O224" s="55" t="str">
        <f t="shared" si="90"/>
        <v/>
      </c>
      <c r="P224" s="55" t="str">
        <f t="shared" si="91"/>
        <v/>
      </c>
      <c r="Q224" s="65" t="str">
        <f t="shared" si="92"/>
        <v/>
      </c>
      <c r="R224" s="67" t="str">
        <f t="shared" si="94"/>
        <v/>
      </c>
      <c r="S224" s="56" t="str">
        <f t="shared" si="95"/>
        <v/>
      </c>
      <c r="T224" s="56" t="str">
        <f t="shared" si="96"/>
        <v/>
      </c>
      <c r="U224" s="56" t="str">
        <f t="shared" si="97"/>
        <v/>
      </c>
      <c r="V224" s="68" t="str">
        <f t="shared" si="98"/>
        <v/>
      </c>
      <c r="W224" s="80" t="str">
        <f t="shared" si="99"/>
        <v/>
      </c>
      <c r="X224" s="81" t="str">
        <f t="shared" si="100"/>
        <v/>
      </c>
      <c r="Y224" s="81" t="str">
        <f t="shared" si="101"/>
        <v/>
      </c>
      <c r="Z224" s="81" t="str">
        <f t="shared" si="102"/>
        <v/>
      </c>
      <c r="AA224" s="82" t="str">
        <f t="shared" si="103"/>
        <v/>
      </c>
      <c r="AB224" s="83" t="str">
        <f>IF(R224&lt;&gt;"",(W224-SUMPRODUCT(R$3:R224,$B$3:$B224)/SUM($B$3:$B224))/STDEVA(W214:W224),"")</f>
        <v/>
      </c>
      <c r="AC224" s="84" t="str">
        <f>IF(S224&lt;&gt;"",(X224-SUMPRODUCT(S$3:S224,$B$3:$B224)/SUM($B$3:$B224))/STDEVA(X214:X224),"")</f>
        <v/>
      </c>
      <c r="AD224" s="84" t="str">
        <f>IF(T224&lt;&gt;"",(Y224-SUMPRODUCT(T$3:T224,$B$3:$B224)/SUM($B$3:$B224))/STDEVA(Y214:Y224),"")</f>
        <v/>
      </c>
      <c r="AE224" s="84" t="str">
        <f>IF(U224&lt;&gt;"",(Z224-SUMPRODUCT(U$3:U224,$B$3:$B224)/SUM($B$3:$B224))/STDEVA(Z214:Z224),"")</f>
        <v/>
      </c>
      <c r="AF224" s="85" t="str">
        <f>IF(V224&lt;&gt;"",(AA224-SUMPRODUCT(V$3:V224,$B$3:$B224)/SUM($B$3:$B224))/STDEVA(AA214:AA224),"")</f>
        <v/>
      </c>
      <c r="AG224" s="90" t="str">
        <f t="shared" si="104"/>
        <v/>
      </c>
      <c r="AH224" s="90" t="str">
        <f t="shared" si="104"/>
        <v/>
      </c>
      <c r="AI224" s="90" t="str">
        <f t="shared" si="104"/>
        <v/>
      </c>
      <c r="AJ224" s="90" t="str">
        <f t="shared" si="104"/>
        <v/>
      </c>
      <c r="AK224" s="93" t="str">
        <f t="shared" si="105"/>
        <v/>
      </c>
      <c r="BQ224" s="100" t="str">
        <f>IF(A224&lt;&gt;"",(VLOOKUP(A224,MarketData!$D:$BP,MATCH($BQ$1,MarketData!$D$1:$EG$1,0),TRUE)/100/365+1)^(B224)*BQ223,"")</f>
        <v/>
      </c>
      <c r="BR224" s="98" t="str">
        <f t="shared" si="82"/>
        <v/>
      </c>
      <c r="BS224" s="106" t="str">
        <f>IF(A224&lt;&gt;"",VLOOKUP(A224,MarketData!$D:$BP,MATCH($BS$1,MarketData!$D$1:$EG$1,0),TRUE),"")</f>
        <v/>
      </c>
      <c r="BT224" s="98" t="str">
        <f t="shared" si="93"/>
        <v/>
      </c>
    </row>
    <row r="225" spans="2:72" x14ac:dyDescent="0.25">
      <c r="B225" s="60" t="str">
        <f t="shared" si="106"/>
        <v/>
      </c>
      <c r="C225" s="3" t="str">
        <f t="shared" si="83"/>
        <v/>
      </c>
      <c r="D225" s="3" t="str">
        <f t="shared" si="84"/>
        <v/>
      </c>
      <c r="E225" s="3" t="str">
        <f t="shared" si="85"/>
        <v/>
      </c>
      <c r="F225" s="3" t="str">
        <f t="shared" si="86"/>
        <v/>
      </c>
      <c r="G225" s="74" t="str">
        <f t="shared" si="87"/>
        <v/>
      </c>
      <c r="H225" s="78" t="str">
        <f>IFERROR(C225/SUM(M$2:M224),"")</f>
        <v/>
      </c>
      <c r="I225" s="61" t="str">
        <f>IFERROR(D225/SUM(N$2:N225),"")</f>
        <v/>
      </c>
      <c r="J225" s="61" t="str">
        <f>IFERROR(E225/SUM(O$2:O225),"")</f>
        <v/>
      </c>
      <c r="K225" s="61" t="str">
        <f>IFERROR(F225/SUM(P$2:P225),"")</f>
        <v/>
      </c>
      <c r="L225" s="79" t="str">
        <f>IFERROR(G225/SUM(Q$2:Q225),"")</f>
        <v/>
      </c>
      <c r="M225" s="64" t="str">
        <f t="shared" si="88"/>
        <v/>
      </c>
      <c r="N225" s="55" t="str">
        <f t="shared" si="89"/>
        <v/>
      </c>
      <c r="O225" s="55" t="str">
        <f t="shared" si="90"/>
        <v/>
      </c>
      <c r="P225" s="55" t="str">
        <f t="shared" si="91"/>
        <v/>
      </c>
      <c r="Q225" s="65" t="str">
        <f t="shared" si="92"/>
        <v/>
      </c>
      <c r="R225" s="67" t="str">
        <f t="shared" si="94"/>
        <v/>
      </c>
      <c r="S225" s="56" t="str">
        <f t="shared" si="95"/>
        <v/>
      </c>
      <c r="T225" s="56" t="str">
        <f t="shared" si="96"/>
        <v/>
      </c>
      <c r="U225" s="56" t="str">
        <f t="shared" si="97"/>
        <v/>
      </c>
      <c r="V225" s="68" t="str">
        <f t="shared" si="98"/>
        <v/>
      </c>
      <c r="W225" s="80" t="str">
        <f t="shared" si="99"/>
        <v/>
      </c>
      <c r="X225" s="81" t="str">
        <f t="shared" si="100"/>
        <v/>
      </c>
      <c r="Y225" s="81" t="str">
        <f t="shared" si="101"/>
        <v/>
      </c>
      <c r="Z225" s="81" t="str">
        <f t="shared" si="102"/>
        <v/>
      </c>
      <c r="AA225" s="82" t="str">
        <f t="shared" si="103"/>
        <v/>
      </c>
      <c r="AB225" s="83" t="str">
        <f>IF(R225&lt;&gt;"",(W225-SUMPRODUCT(R$3:R225,$B$3:$B225)/SUM($B$3:$B225))/STDEVA(W215:W225),"")</f>
        <v/>
      </c>
      <c r="AC225" s="84" t="str">
        <f>IF(S225&lt;&gt;"",(X225-SUMPRODUCT(S$3:S225,$B$3:$B225)/SUM($B$3:$B225))/STDEVA(X215:X225),"")</f>
        <v/>
      </c>
      <c r="AD225" s="84" t="str">
        <f>IF(T225&lt;&gt;"",(Y225-SUMPRODUCT(T$3:T225,$B$3:$B225)/SUM($B$3:$B225))/STDEVA(Y215:Y225),"")</f>
        <v/>
      </c>
      <c r="AE225" s="84" t="str">
        <f>IF(U225&lt;&gt;"",(Z225-SUMPRODUCT(U$3:U225,$B$3:$B225)/SUM($B$3:$B225))/STDEVA(Z215:Z225),"")</f>
        <v/>
      </c>
      <c r="AF225" s="85" t="str">
        <f>IF(V225&lt;&gt;"",(AA225-SUMPRODUCT(V$3:V225,$B$3:$B225)/SUM($B$3:$B225))/STDEVA(AA215:AA225),"")</f>
        <v/>
      </c>
      <c r="AG225" s="90" t="str">
        <f t="shared" si="104"/>
        <v/>
      </c>
      <c r="AH225" s="90" t="str">
        <f t="shared" si="104"/>
        <v/>
      </c>
      <c r="AI225" s="90" t="str">
        <f t="shared" si="104"/>
        <v/>
      </c>
      <c r="AJ225" s="90" t="str">
        <f t="shared" si="104"/>
        <v/>
      </c>
      <c r="AK225" s="93" t="str">
        <f t="shared" si="105"/>
        <v/>
      </c>
      <c r="BQ225" s="100" t="str">
        <f>IF(A225&lt;&gt;"",(VLOOKUP(A225,MarketData!$D:$BP,MATCH($BQ$1,MarketData!$D$1:$EG$1,0),TRUE)/100/365+1)^(B225)*BQ224,"")</f>
        <v/>
      </c>
      <c r="BR225" s="98" t="str">
        <f t="shared" si="82"/>
        <v/>
      </c>
      <c r="BS225" s="106" t="str">
        <f>IF(A225&lt;&gt;"",VLOOKUP(A225,MarketData!$D:$BP,MATCH($BS$1,MarketData!$D$1:$EG$1,0),TRUE),"")</f>
        <v/>
      </c>
      <c r="BT225" s="98" t="str">
        <f t="shared" si="93"/>
        <v/>
      </c>
    </row>
    <row r="226" spans="2:72" x14ac:dyDescent="0.25">
      <c r="B226" s="60" t="str">
        <f t="shared" si="106"/>
        <v/>
      </c>
      <c r="C226" s="3" t="str">
        <f t="shared" si="83"/>
        <v/>
      </c>
      <c r="D226" s="3" t="str">
        <f t="shared" si="84"/>
        <v/>
      </c>
      <c r="E226" s="3" t="str">
        <f t="shared" si="85"/>
        <v/>
      </c>
      <c r="F226" s="3" t="str">
        <f t="shared" si="86"/>
        <v/>
      </c>
      <c r="G226" s="74" t="str">
        <f t="shared" si="87"/>
        <v/>
      </c>
      <c r="H226" s="78" t="str">
        <f>IFERROR(C226/SUM(M$2:M225),"")</f>
        <v/>
      </c>
      <c r="I226" s="61" t="str">
        <f>IFERROR(D226/SUM(N$2:N226),"")</f>
        <v/>
      </c>
      <c r="J226" s="61" t="str">
        <f>IFERROR(E226/SUM(O$2:O226),"")</f>
        <v/>
      </c>
      <c r="K226" s="61" t="str">
        <f>IFERROR(F226/SUM(P$2:P226),"")</f>
        <v/>
      </c>
      <c r="L226" s="79" t="str">
        <f>IFERROR(G226/SUM(Q$2:Q226),"")</f>
        <v/>
      </c>
      <c r="M226" s="64" t="str">
        <f t="shared" si="88"/>
        <v/>
      </c>
      <c r="N226" s="55" t="str">
        <f t="shared" si="89"/>
        <v/>
      </c>
      <c r="O226" s="55" t="str">
        <f t="shared" si="90"/>
        <v/>
      </c>
      <c r="P226" s="55" t="str">
        <f t="shared" si="91"/>
        <v/>
      </c>
      <c r="Q226" s="65" t="str">
        <f t="shared" si="92"/>
        <v/>
      </c>
      <c r="R226" s="67" t="str">
        <f t="shared" si="94"/>
        <v/>
      </c>
      <c r="S226" s="56" t="str">
        <f t="shared" si="95"/>
        <v/>
      </c>
      <c r="T226" s="56" t="str">
        <f t="shared" si="96"/>
        <v/>
      </c>
      <c r="U226" s="56" t="str">
        <f t="shared" si="97"/>
        <v/>
      </c>
      <c r="V226" s="68" t="str">
        <f t="shared" si="98"/>
        <v/>
      </c>
      <c r="W226" s="80" t="str">
        <f t="shared" si="99"/>
        <v/>
      </c>
      <c r="X226" s="81" t="str">
        <f t="shared" si="100"/>
        <v/>
      </c>
      <c r="Y226" s="81" t="str">
        <f t="shared" si="101"/>
        <v/>
      </c>
      <c r="Z226" s="81" t="str">
        <f t="shared" si="102"/>
        <v/>
      </c>
      <c r="AA226" s="82" t="str">
        <f t="shared" si="103"/>
        <v/>
      </c>
      <c r="AB226" s="83" t="str">
        <f>IF(R226&lt;&gt;"",(W226-SUMPRODUCT(R$3:R226,$B$3:$B226)/SUM($B$3:$B226))/STDEVA(W216:W226),"")</f>
        <v/>
      </c>
      <c r="AC226" s="84" t="str">
        <f>IF(S226&lt;&gt;"",(X226-SUMPRODUCT(S$3:S226,$B$3:$B226)/SUM($B$3:$B226))/STDEVA(X216:X226),"")</f>
        <v/>
      </c>
      <c r="AD226" s="84" t="str">
        <f>IF(T226&lt;&gt;"",(Y226-SUMPRODUCT(T$3:T226,$B$3:$B226)/SUM($B$3:$B226))/STDEVA(Y216:Y226),"")</f>
        <v/>
      </c>
      <c r="AE226" s="84" t="str">
        <f>IF(U226&lt;&gt;"",(Z226-SUMPRODUCT(U$3:U226,$B$3:$B226)/SUM($B$3:$B226))/STDEVA(Z216:Z226),"")</f>
        <v/>
      </c>
      <c r="AF226" s="85" t="str">
        <f>IF(V226&lt;&gt;"",(AA226-SUMPRODUCT(V$3:V226,$B$3:$B226)/SUM($B$3:$B226))/STDEVA(AA216:AA226),"")</f>
        <v/>
      </c>
      <c r="AG226" s="90" t="str">
        <f t="shared" si="104"/>
        <v/>
      </c>
      <c r="AH226" s="90" t="str">
        <f t="shared" si="104"/>
        <v/>
      </c>
      <c r="AI226" s="90" t="str">
        <f t="shared" si="104"/>
        <v/>
      </c>
      <c r="AJ226" s="90" t="str">
        <f t="shared" si="104"/>
        <v/>
      </c>
      <c r="AK226" s="93" t="str">
        <f t="shared" si="105"/>
        <v/>
      </c>
      <c r="BQ226" s="100" t="str">
        <f>IF(A226&lt;&gt;"",(VLOOKUP(A226,MarketData!$D:$BP,MATCH($BQ$1,MarketData!$D$1:$EG$1,0),TRUE)/100/365+1)^(B226)*BQ225,"")</f>
        <v/>
      </c>
      <c r="BR226" s="98" t="str">
        <f t="shared" si="82"/>
        <v/>
      </c>
      <c r="BS226" s="106" t="str">
        <f>IF(A226&lt;&gt;"",VLOOKUP(A226,MarketData!$D:$BP,MATCH($BS$1,MarketData!$D$1:$EG$1,0),TRUE),"")</f>
        <v/>
      </c>
      <c r="BT226" s="98" t="str">
        <f t="shared" si="93"/>
        <v/>
      </c>
    </row>
    <row r="227" spans="2:72" x14ac:dyDescent="0.25">
      <c r="B227" s="60" t="str">
        <f t="shared" si="106"/>
        <v/>
      </c>
      <c r="C227" s="3" t="str">
        <f t="shared" si="83"/>
        <v/>
      </c>
      <c r="D227" s="3" t="str">
        <f t="shared" si="84"/>
        <v/>
      </c>
      <c r="E227" s="3" t="str">
        <f t="shared" si="85"/>
        <v/>
      </c>
      <c r="F227" s="3" t="str">
        <f t="shared" si="86"/>
        <v/>
      </c>
      <c r="G227" s="74" t="str">
        <f t="shared" si="87"/>
        <v/>
      </c>
      <c r="H227" s="78" t="str">
        <f>IFERROR(C227/SUM(M$2:M226),"")</f>
        <v/>
      </c>
      <c r="I227" s="61" t="str">
        <f>IFERROR(D227/SUM(N$2:N227),"")</f>
        <v/>
      </c>
      <c r="J227" s="61" t="str">
        <f>IFERROR(E227/SUM(O$2:O227),"")</f>
        <v/>
      </c>
      <c r="K227" s="61" t="str">
        <f>IFERROR(F227/SUM(P$2:P227),"")</f>
        <v/>
      </c>
      <c r="L227" s="79" t="str">
        <f>IFERROR(G227/SUM(Q$2:Q227),"")</f>
        <v/>
      </c>
      <c r="M227" s="64" t="str">
        <f t="shared" si="88"/>
        <v/>
      </c>
      <c r="N227" s="55" t="str">
        <f t="shared" si="89"/>
        <v/>
      </c>
      <c r="O227" s="55" t="str">
        <f t="shared" si="90"/>
        <v/>
      </c>
      <c r="P227" s="55" t="str">
        <f t="shared" si="91"/>
        <v/>
      </c>
      <c r="Q227" s="65" t="str">
        <f t="shared" si="92"/>
        <v/>
      </c>
      <c r="R227" s="67" t="str">
        <f t="shared" si="94"/>
        <v/>
      </c>
      <c r="S227" s="56" t="str">
        <f t="shared" si="95"/>
        <v/>
      </c>
      <c r="T227" s="56" t="str">
        <f t="shared" si="96"/>
        <v/>
      </c>
      <c r="U227" s="56" t="str">
        <f t="shared" si="97"/>
        <v/>
      </c>
      <c r="V227" s="68" t="str">
        <f t="shared" si="98"/>
        <v/>
      </c>
      <c r="W227" s="80" t="str">
        <f t="shared" si="99"/>
        <v/>
      </c>
      <c r="X227" s="81" t="str">
        <f t="shared" si="100"/>
        <v/>
      </c>
      <c r="Y227" s="81" t="str">
        <f t="shared" si="101"/>
        <v/>
      </c>
      <c r="Z227" s="81" t="str">
        <f t="shared" si="102"/>
        <v/>
      </c>
      <c r="AA227" s="82" t="str">
        <f t="shared" si="103"/>
        <v/>
      </c>
      <c r="AB227" s="83" t="str">
        <f>IF(R227&lt;&gt;"",(W227-SUMPRODUCT(R$3:R227,$B$3:$B227)/SUM($B$3:$B227))/STDEVA(W217:W227),"")</f>
        <v/>
      </c>
      <c r="AC227" s="84" t="str">
        <f>IF(S227&lt;&gt;"",(X227-SUMPRODUCT(S$3:S227,$B$3:$B227)/SUM($B$3:$B227))/STDEVA(X217:X227),"")</f>
        <v/>
      </c>
      <c r="AD227" s="84" t="str">
        <f>IF(T227&lt;&gt;"",(Y227-SUMPRODUCT(T$3:T227,$B$3:$B227)/SUM($B$3:$B227))/STDEVA(Y217:Y227),"")</f>
        <v/>
      </c>
      <c r="AE227" s="84" t="str">
        <f>IF(U227&lt;&gt;"",(Z227-SUMPRODUCT(U$3:U227,$B$3:$B227)/SUM($B$3:$B227))/STDEVA(Z217:Z227),"")</f>
        <v/>
      </c>
      <c r="AF227" s="85" t="str">
        <f>IF(V227&lt;&gt;"",(AA227-SUMPRODUCT(V$3:V227,$B$3:$B227)/SUM($B$3:$B227))/STDEVA(AA217:AA227),"")</f>
        <v/>
      </c>
      <c r="AG227" s="90" t="str">
        <f t="shared" si="104"/>
        <v/>
      </c>
      <c r="AH227" s="90" t="str">
        <f t="shared" si="104"/>
        <v/>
      </c>
      <c r="AI227" s="90" t="str">
        <f t="shared" si="104"/>
        <v/>
      </c>
      <c r="AJ227" s="90" t="str">
        <f t="shared" si="104"/>
        <v/>
      </c>
      <c r="AK227" s="93" t="str">
        <f t="shared" si="105"/>
        <v/>
      </c>
      <c r="BQ227" s="100" t="str">
        <f>IF(A227&lt;&gt;"",(VLOOKUP(A227,MarketData!$D:$BP,MATCH($BQ$1,MarketData!$D$1:$EG$1,0),TRUE)/100/365+1)^(B227)*BQ226,"")</f>
        <v/>
      </c>
      <c r="BR227" s="98" t="str">
        <f t="shared" si="82"/>
        <v/>
      </c>
      <c r="BS227" s="106" t="str">
        <f>IF(A227&lt;&gt;"",VLOOKUP(A227,MarketData!$D:$BP,MATCH($BS$1,MarketData!$D$1:$EG$1,0),TRUE),"")</f>
        <v/>
      </c>
      <c r="BT227" s="98" t="str">
        <f t="shared" si="93"/>
        <v/>
      </c>
    </row>
    <row r="228" spans="2:72" x14ac:dyDescent="0.25">
      <c r="B228" s="60" t="str">
        <f t="shared" si="106"/>
        <v/>
      </c>
      <c r="C228" s="3" t="str">
        <f t="shared" si="83"/>
        <v/>
      </c>
      <c r="D228" s="3" t="str">
        <f t="shared" si="84"/>
        <v/>
      </c>
      <c r="E228" s="3" t="str">
        <f t="shared" si="85"/>
        <v/>
      </c>
      <c r="F228" s="3" t="str">
        <f t="shared" si="86"/>
        <v/>
      </c>
      <c r="G228" s="74" t="str">
        <f t="shared" si="87"/>
        <v/>
      </c>
      <c r="H228" s="78" t="str">
        <f>IFERROR(C228/SUM(M$2:M227),"")</f>
        <v/>
      </c>
      <c r="I228" s="61" t="str">
        <f>IFERROR(D228/SUM(N$2:N228),"")</f>
        <v/>
      </c>
      <c r="J228" s="61" t="str">
        <f>IFERROR(E228/SUM(O$2:O228),"")</f>
        <v/>
      </c>
      <c r="K228" s="61" t="str">
        <f>IFERROR(F228/SUM(P$2:P228),"")</f>
        <v/>
      </c>
      <c r="L228" s="79" t="str">
        <f>IFERROR(G228/SUM(Q$2:Q228),"")</f>
        <v/>
      </c>
      <c r="M228" s="64" t="str">
        <f t="shared" si="88"/>
        <v/>
      </c>
      <c r="N228" s="55" t="str">
        <f t="shared" si="89"/>
        <v/>
      </c>
      <c r="O228" s="55" t="str">
        <f t="shared" si="90"/>
        <v/>
      </c>
      <c r="P228" s="55" t="str">
        <f t="shared" si="91"/>
        <v/>
      </c>
      <c r="Q228" s="65" t="str">
        <f t="shared" si="92"/>
        <v/>
      </c>
      <c r="R228" s="67" t="str">
        <f t="shared" si="94"/>
        <v/>
      </c>
      <c r="S228" s="56" t="str">
        <f t="shared" si="95"/>
        <v/>
      </c>
      <c r="T228" s="56" t="str">
        <f t="shared" si="96"/>
        <v/>
      </c>
      <c r="U228" s="56" t="str">
        <f t="shared" si="97"/>
        <v/>
      </c>
      <c r="V228" s="68" t="str">
        <f t="shared" si="98"/>
        <v/>
      </c>
      <c r="W228" s="80" t="str">
        <f t="shared" si="99"/>
        <v/>
      </c>
      <c r="X228" s="81" t="str">
        <f t="shared" si="100"/>
        <v/>
      </c>
      <c r="Y228" s="81" t="str">
        <f t="shared" si="101"/>
        <v/>
      </c>
      <c r="Z228" s="81" t="str">
        <f t="shared" si="102"/>
        <v/>
      </c>
      <c r="AA228" s="82" t="str">
        <f t="shared" si="103"/>
        <v/>
      </c>
      <c r="AB228" s="83" t="str">
        <f>IF(R228&lt;&gt;"",(W228-SUMPRODUCT(R$3:R228,$B$3:$B228)/SUM($B$3:$B228))/STDEVA(W218:W228),"")</f>
        <v/>
      </c>
      <c r="AC228" s="84" t="str">
        <f>IF(S228&lt;&gt;"",(X228-SUMPRODUCT(S$3:S228,$B$3:$B228)/SUM($B$3:$B228))/STDEVA(X218:X228),"")</f>
        <v/>
      </c>
      <c r="AD228" s="84" t="str">
        <f>IF(T228&lt;&gt;"",(Y228-SUMPRODUCT(T$3:T228,$B$3:$B228)/SUM($B$3:$B228))/STDEVA(Y218:Y228),"")</f>
        <v/>
      </c>
      <c r="AE228" s="84" t="str">
        <f>IF(U228&lt;&gt;"",(Z228-SUMPRODUCT(U$3:U228,$B$3:$B228)/SUM($B$3:$B228))/STDEVA(Z218:Z228),"")</f>
        <v/>
      </c>
      <c r="AF228" s="85" t="str">
        <f>IF(V228&lt;&gt;"",(AA228-SUMPRODUCT(V$3:V228,$B$3:$B228)/SUM($B$3:$B228))/STDEVA(AA218:AA228),"")</f>
        <v/>
      </c>
      <c r="AG228" s="90" t="str">
        <f t="shared" si="104"/>
        <v/>
      </c>
      <c r="AH228" s="90" t="str">
        <f t="shared" si="104"/>
        <v/>
      </c>
      <c r="AI228" s="90" t="str">
        <f t="shared" si="104"/>
        <v/>
      </c>
      <c r="AJ228" s="90" t="str">
        <f t="shared" si="104"/>
        <v/>
      </c>
      <c r="AK228" s="93" t="str">
        <f t="shared" si="105"/>
        <v/>
      </c>
      <c r="BQ228" s="100" t="str">
        <f>IF(A228&lt;&gt;"",(VLOOKUP(A228,MarketData!$D:$BP,MATCH($BQ$1,MarketData!$D$1:$EG$1,0),TRUE)/100/365+1)^(B228)*BQ227,"")</f>
        <v/>
      </c>
      <c r="BR228" s="98" t="str">
        <f t="shared" si="82"/>
        <v/>
      </c>
      <c r="BS228" s="106" t="str">
        <f>IF(A228&lt;&gt;"",VLOOKUP(A228,MarketData!$D:$BP,MATCH($BS$1,MarketData!$D$1:$EG$1,0),TRUE),"")</f>
        <v/>
      </c>
      <c r="BT228" s="98" t="str">
        <f t="shared" si="93"/>
        <v/>
      </c>
    </row>
    <row r="229" spans="2:72" x14ac:dyDescent="0.25">
      <c r="B229" s="60" t="str">
        <f t="shared" si="106"/>
        <v/>
      </c>
      <c r="C229" s="3" t="str">
        <f t="shared" si="83"/>
        <v/>
      </c>
      <c r="D229" s="3" t="str">
        <f t="shared" si="84"/>
        <v/>
      </c>
      <c r="E229" s="3" t="str">
        <f t="shared" si="85"/>
        <v/>
      </c>
      <c r="F229" s="3" t="str">
        <f t="shared" si="86"/>
        <v/>
      </c>
      <c r="G229" s="74" t="str">
        <f t="shared" si="87"/>
        <v/>
      </c>
      <c r="H229" s="78" t="str">
        <f>IFERROR(C229/SUM(M$2:M228),"")</f>
        <v/>
      </c>
      <c r="I229" s="61" t="str">
        <f>IFERROR(D229/SUM(N$2:N229),"")</f>
        <v/>
      </c>
      <c r="J229" s="61" t="str">
        <f>IFERROR(E229/SUM(O$2:O229),"")</f>
        <v/>
      </c>
      <c r="K229" s="61" t="str">
        <f>IFERROR(F229/SUM(P$2:P229),"")</f>
        <v/>
      </c>
      <c r="L229" s="79" t="str">
        <f>IFERROR(G229/SUM(Q$2:Q229),"")</f>
        <v/>
      </c>
      <c r="M229" s="64" t="str">
        <f t="shared" si="88"/>
        <v/>
      </c>
      <c r="N229" s="55" t="str">
        <f t="shared" si="89"/>
        <v/>
      </c>
      <c r="O229" s="55" t="str">
        <f t="shared" si="90"/>
        <v/>
      </c>
      <c r="P229" s="55" t="str">
        <f t="shared" si="91"/>
        <v/>
      </c>
      <c r="Q229" s="65" t="str">
        <f t="shared" si="92"/>
        <v/>
      </c>
      <c r="R229" s="67" t="str">
        <f t="shared" si="94"/>
        <v/>
      </c>
      <c r="S229" s="56" t="str">
        <f t="shared" si="95"/>
        <v/>
      </c>
      <c r="T229" s="56" t="str">
        <f t="shared" si="96"/>
        <v/>
      </c>
      <c r="U229" s="56" t="str">
        <f t="shared" si="97"/>
        <v/>
      </c>
      <c r="V229" s="68" t="str">
        <f t="shared" si="98"/>
        <v/>
      </c>
      <c r="W229" s="80" t="str">
        <f t="shared" si="99"/>
        <v/>
      </c>
      <c r="X229" s="81" t="str">
        <f t="shared" si="100"/>
        <v/>
      </c>
      <c r="Y229" s="81" t="str">
        <f t="shared" si="101"/>
        <v/>
      </c>
      <c r="Z229" s="81" t="str">
        <f t="shared" si="102"/>
        <v/>
      </c>
      <c r="AA229" s="82" t="str">
        <f t="shared" si="103"/>
        <v/>
      </c>
      <c r="AB229" s="83" t="str">
        <f>IF(R229&lt;&gt;"",(W229-SUMPRODUCT(R$3:R229,$B$3:$B229)/SUM($B$3:$B229))/STDEVA(W219:W229),"")</f>
        <v/>
      </c>
      <c r="AC229" s="84" t="str">
        <f>IF(S229&lt;&gt;"",(X229-SUMPRODUCT(S$3:S229,$B$3:$B229)/SUM($B$3:$B229))/STDEVA(X219:X229),"")</f>
        <v/>
      </c>
      <c r="AD229" s="84" t="str">
        <f>IF(T229&lt;&gt;"",(Y229-SUMPRODUCT(T$3:T229,$B$3:$B229)/SUM($B$3:$B229))/STDEVA(Y219:Y229),"")</f>
        <v/>
      </c>
      <c r="AE229" s="84" t="str">
        <f>IF(U229&lt;&gt;"",(Z229-SUMPRODUCT(U$3:U229,$B$3:$B229)/SUM($B$3:$B229))/STDEVA(Z219:Z229),"")</f>
        <v/>
      </c>
      <c r="AF229" s="85" t="str">
        <f>IF(V229&lt;&gt;"",(AA229-SUMPRODUCT(V$3:V229,$B$3:$B229)/SUM($B$3:$B229))/STDEVA(AA219:AA229),"")</f>
        <v/>
      </c>
      <c r="AG229" s="90" t="str">
        <f t="shared" si="104"/>
        <v/>
      </c>
      <c r="AH229" s="90" t="str">
        <f t="shared" si="104"/>
        <v/>
      </c>
      <c r="AI229" s="90" t="str">
        <f t="shared" si="104"/>
        <v/>
      </c>
      <c r="AJ229" s="90" t="str">
        <f t="shared" si="104"/>
        <v/>
      </c>
      <c r="AK229" s="93" t="str">
        <f t="shared" si="105"/>
        <v/>
      </c>
      <c r="BQ229" s="100" t="str">
        <f>IF(A229&lt;&gt;"",(VLOOKUP(A229,MarketData!$D:$BP,MATCH($BQ$1,MarketData!$D$1:$EG$1,0),TRUE)/100/365+1)^(B229)*BQ228,"")</f>
        <v/>
      </c>
      <c r="BR229" s="98" t="str">
        <f t="shared" si="82"/>
        <v/>
      </c>
      <c r="BS229" s="106" t="str">
        <f>IF(A229&lt;&gt;"",VLOOKUP(A229,MarketData!$D:$BP,MATCH($BS$1,MarketData!$D$1:$EG$1,0),TRUE),"")</f>
        <v/>
      </c>
      <c r="BT229" s="98" t="str">
        <f t="shared" si="93"/>
        <v/>
      </c>
    </row>
    <row r="230" spans="2:72" x14ac:dyDescent="0.25">
      <c r="B230" s="60" t="str">
        <f t="shared" si="106"/>
        <v/>
      </c>
      <c r="C230" s="3" t="str">
        <f t="shared" si="83"/>
        <v/>
      </c>
      <c r="D230" s="3" t="str">
        <f t="shared" si="84"/>
        <v/>
      </c>
      <c r="E230" s="3" t="str">
        <f t="shared" si="85"/>
        <v/>
      </c>
      <c r="F230" s="3" t="str">
        <f t="shared" si="86"/>
        <v/>
      </c>
      <c r="G230" s="74" t="str">
        <f t="shared" si="87"/>
        <v/>
      </c>
      <c r="H230" s="78" t="str">
        <f>IFERROR(C230/SUM(M$2:M229),"")</f>
        <v/>
      </c>
      <c r="I230" s="61" t="str">
        <f>IFERROR(D230/SUM(N$2:N230),"")</f>
        <v/>
      </c>
      <c r="J230" s="61" t="str">
        <f>IFERROR(E230/SUM(O$2:O230),"")</f>
        <v/>
      </c>
      <c r="K230" s="61" t="str">
        <f>IFERROR(F230/SUM(P$2:P230),"")</f>
        <v/>
      </c>
      <c r="L230" s="79" t="str">
        <f>IFERROR(G230/SUM(Q$2:Q230),"")</f>
        <v/>
      </c>
      <c r="M230" s="64" t="str">
        <f t="shared" si="88"/>
        <v/>
      </c>
      <c r="N230" s="55" t="str">
        <f t="shared" si="89"/>
        <v/>
      </c>
      <c r="O230" s="55" t="str">
        <f t="shared" si="90"/>
        <v/>
      </c>
      <c r="P230" s="55" t="str">
        <f t="shared" si="91"/>
        <v/>
      </c>
      <c r="Q230" s="65" t="str">
        <f t="shared" si="92"/>
        <v/>
      </c>
      <c r="R230" s="67" t="str">
        <f t="shared" si="94"/>
        <v/>
      </c>
      <c r="S230" s="56" t="str">
        <f t="shared" si="95"/>
        <v/>
      </c>
      <c r="T230" s="56" t="str">
        <f t="shared" si="96"/>
        <v/>
      </c>
      <c r="U230" s="56" t="str">
        <f t="shared" si="97"/>
        <v/>
      </c>
      <c r="V230" s="68" t="str">
        <f t="shared" si="98"/>
        <v/>
      </c>
      <c r="W230" s="80" t="str">
        <f t="shared" si="99"/>
        <v/>
      </c>
      <c r="X230" s="81" t="str">
        <f t="shared" si="100"/>
        <v/>
      </c>
      <c r="Y230" s="81" t="str">
        <f t="shared" si="101"/>
        <v/>
      </c>
      <c r="Z230" s="81" t="str">
        <f t="shared" si="102"/>
        <v/>
      </c>
      <c r="AA230" s="82" t="str">
        <f t="shared" si="103"/>
        <v/>
      </c>
      <c r="AB230" s="83" t="str">
        <f>IF(R230&lt;&gt;"",(W230-SUMPRODUCT(R$3:R230,$B$3:$B230)/SUM($B$3:$B230))/STDEVA(W220:W230),"")</f>
        <v/>
      </c>
      <c r="AC230" s="84" t="str">
        <f>IF(S230&lt;&gt;"",(X230-SUMPRODUCT(S$3:S230,$B$3:$B230)/SUM($B$3:$B230))/STDEVA(X220:X230),"")</f>
        <v/>
      </c>
      <c r="AD230" s="84" t="str">
        <f>IF(T230&lt;&gt;"",(Y230-SUMPRODUCT(T$3:T230,$B$3:$B230)/SUM($B$3:$B230))/STDEVA(Y220:Y230),"")</f>
        <v/>
      </c>
      <c r="AE230" s="84" t="str">
        <f>IF(U230&lt;&gt;"",(Z230-SUMPRODUCT(U$3:U230,$B$3:$B230)/SUM($B$3:$B230))/STDEVA(Z220:Z230),"")</f>
        <v/>
      </c>
      <c r="AF230" s="85" t="str">
        <f>IF(V230&lt;&gt;"",(AA230-SUMPRODUCT(V$3:V230,$B$3:$B230)/SUM($B$3:$B230))/STDEVA(AA220:AA230),"")</f>
        <v/>
      </c>
      <c r="AG230" s="90" t="str">
        <f t="shared" si="104"/>
        <v/>
      </c>
      <c r="AH230" s="90" t="str">
        <f t="shared" si="104"/>
        <v/>
      </c>
      <c r="AI230" s="90" t="str">
        <f t="shared" si="104"/>
        <v/>
      </c>
      <c r="AJ230" s="90" t="str">
        <f t="shared" si="104"/>
        <v/>
      </c>
      <c r="AK230" s="93" t="str">
        <f t="shared" si="105"/>
        <v/>
      </c>
      <c r="BQ230" s="100" t="str">
        <f>IF(A230&lt;&gt;"",(VLOOKUP(A230,MarketData!$D:$BP,MATCH($BQ$1,MarketData!$D$1:$EG$1,0),TRUE)/100/365+1)^(B230)*BQ229,"")</f>
        <v/>
      </c>
      <c r="BR230" s="98" t="str">
        <f t="shared" si="82"/>
        <v/>
      </c>
      <c r="BS230" s="106" t="str">
        <f>IF(A230&lt;&gt;"",VLOOKUP(A230,MarketData!$D:$BP,MATCH($BS$1,MarketData!$D$1:$EG$1,0),TRUE),"")</f>
        <v/>
      </c>
      <c r="BT230" s="98" t="str">
        <f t="shared" si="93"/>
        <v/>
      </c>
    </row>
    <row r="231" spans="2:72" x14ac:dyDescent="0.25">
      <c r="B231" s="60" t="str">
        <f t="shared" si="106"/>
        <v/>
      </c>
      <c r="C231" s="3" t="str">
        <f t="shared" si="83"/>
        <v/>
      </c>
      <c r="D231" s="3" t="str">
        <f t="shared" si="84"/>
        <v/>
      </c>
      <c r="E231" s="3" t="str">
        <f t="shared" si="85"/>
        <v/>
      </c>
      <c r="F231" s="3" t="str">
        <f t="shared" si="86"/>
        <v/>
      </c>
      <c r="G231" s="74" t="str">
        <f t="shared" si="87"/>
        <v/>
      </c>
      <c r="H231" s="78" t="str">
        <f>IFERROR(C231/SUM(M$2:M230),"")</f>
        <v/>
      </c>
      <c r="I231" s="61" t="str">
        <f>IFERROR(D231/SUM(N$2:N231),"")</f>
        <v/>
      </c>
      <c r="J231" s="61" t="str">
        <f>IFERROR(E231/SUM(O$2:O231),"")</f>
        <v/>
      </c>
      <c r="K231" s="61" t="str">
        <f>IFERROR(F231/SUM(P$2:P231),"")</f>
        <v/>
      </c>
      <c r="L231" s="79" t="str">
        <f>IFERROR(G231/SUM(Q$2:Q231),"")</f>
        <v/>
      </c>
      <c r="M231" s="64" t="str">
        <f t="shared" si="88"/>
        <v/>
      </c>
      <c r="N231" s="55" t="str">
        <f t="shared" si="89"/>
        <v/>
      </c>
      <c r="O231" s="55" t="str">
        <f t="shared" si="90"/>
        <v/>
      </c>
      <c r="P231" s="55" t="str">
        <f t="shared" si="91"/>
        <v/>
      </c>
      <c r="Q231" s="65" t="str">
        <f t="shared" si="92"/>
        <v/>
      </c>
      <c r="R231" s="67" t="str">
        <f t="shared" si="94"/>
        <v/>
      </c>
      <c r="S231" s="56" t="str">
        <f t="shared" si="95"/>
        <v/>
      </c>
      <c r="T231" s="56" t="str">
        <f t="shared" si="96"/>
        <v/>
      </c>
      <c r="U231" s="56" t="str">
        <f t="shared" si="97"/>
        <v/>
      </c>
      <c r="V231" s="68" t="str">
        <f t="shared" si="98"/>
        <v/>
      </c>
      <c r="W231" s="80" t="str">
        <f t="shared" si="99"/>
        <v/>
      </c>
      <c r="X231" s="81" t="str">
        <f t="shared" si="100"/>
        <v/>
      </c>
      <c r="Y231" s="81" t="str">
        <f t="shared" si="101"/>
        <v/>
      </c>
      <c r="Z231" s="81" t="str">
        <f t="shared" si="102"/>
        <v/>
      </c>
      <c r="AA231" s="82" t="str">
        <f t="shared" si="103"/>
        <v/>
      </c>
      <c r="AB231" s="83" t="str">
        <f>IF(R231&lt;&gt;"",(W231-SUMPRODUCT(R$3:R231,$B$3:$B231)/SUM($B$3:$B231))/STDEVA(W221:W231),"")</f>
        <v/>
      </c>
      <c r="AC231" s="84" t="str">
        <f>IF(S231&lt;&gt;"",(X231-SUMPRODUCT(S$3:S231,$B$3:$B231)/SUM($B$3:$B231))/STDEVA(X221:X231),"")</f>
        <v/>
      </c>
      <c r="AD231" s="84" t="str">
        <f>IF(T231&lt;&gt;"",(Y231-SUMPRODUCT(T$3:T231,$B$3:$B231)/SUM($B$3:$B231))/STDEVA(Y221:Y231),"")</f>
        <v/>
      </c>
      <c r="AE231" s="84" t="str">
        <f>IF(U231&lt;&gt;"",(Z231-SUMPRODUCT(U$3:U231,$B$3:$B231)/SUM($B$3:$B231))/STDEVA(Z221:Z231),"")</f>
        <v/>
      </c>
      <c r="AF231" s="85" t="str">
        <f>IF(V231&lt;&gt;"",(AA231-SUMPRODUCT(V$3:V231,$B$3:$B231)/SUM($B$3:$B231))/STDEVA(AA221:AA231),"")</f>
        <v/>
      </c>
      <c r="AG231" s="90" t="str">
        <f t="shared" si="104"/>
        <v/>
      </c>
      <c r="AH231" s="90" t="str">
        <f t="shared" si="104"/>
        <v/>
      </c>
      <c r="AI231" s="90" t="str">
        <f t="shared" si="104"/>
        <v/>
      </c>
      <c r="AJ231" s="90" t="str">
        <f t="shared" si="104"/>
        <v/>
      </c>
      <c r="AK231" s="93" t="str">
        <f t="shared" si="105"/>
        <v/>
      </c>
      <c r="BQ231" s="100" t="str">
        <f>IF(A231&lt;&gt;"",(VLOOKUP(A231,MarketData!$D:$BP,MATCH($BQ$1,MarketData!$D$1:$EG$1,0),TRUE)/100/365+1)^(B231)*BQ230,"")</f>
        <v/>
      </c>
      <c r="BR231" s="98" t="str">
        <f t="shared" si="82"/>
        <v/>
      </c>
      <c r="BS231" s="106" t="str">
        <f>IF(A231&lt;&gt;"",VLOOKUP(A231,MarketData!$D:$BP,MATCH($BS$1,MarketData!$D$1:$EG$1,0),TRUE),"")</f>
        <v/>
      </c>
      <c r="BT231" s="98" t="str">
        <f t="shared" si="93"/>
        <v/>
      </c>
    </row>
    <row r="232" spans="2:72" x14ac:dyDescent="0.25">
      <c r="B232" s="60" t="str">
        <f t="shared" si="106"/>
        <v/>
      </c>
      <c r="C232" s="3" t="str">
        <f t="shared" si="83"/>
        <v/>
      </c>
      <c r="D232" s="3" t="str">
        <f t="shared" si="84"/>
        <v/>
      </c>
      <c r="E232" s="3" t="str">
        <f t="shared" si="85"/>
        <v/>
      </c>
      <c r="F232" s="3" t="str">
        <f t="shared" si="86"/>
        <v/>
      </c>
      <c r="G232" s="74" t="str">
        <f t="shared" si="87"/>
        <v/>
      </c>
      <c r="H232" s="78" t="str">
        <f>IFERROR(C232/SUM(M$2:M231),"")</f>
        <v/>
      </c>
      <c r="I232" s="61" t="str">
        <f>IFERROR(D232/SUM(N$2:N232),"")</f>
        <v/>
      </c>
      <c r="J232" s="61" t="str">
        <f>IFERROR(E232/SUM(O$2:O232),"")</f>
        <v/>
      </c>
      <c r="K232" s="61" t="str">
        <f>IFERROR(F232/SUM(P$2:P232),"")</f>
        <v/>
      </c>
      <c r="L232" s="79" t="str">
        <f>IFERROR(G232/SUM(Q$2:Q232),"")</f>
        <v/>
      </c>
      <c r="M232" s="64" t="str">
        <f t="shared" si="88"/>
        <v/>
      </c>
      <c r="N232" s="55" t="str">
        <f t="shared" si="89"/>
        <v/>
      </c>
      <c r="O232" s="55" t="str">
        <f t="shared" si="90"/>
        <v/>
      </c>
      <c r="P232" s="55" t="str">
        <f t="shared" si="91"/>
        <v/>
      </c>
      <c r="Q232" s="65" t="str">
        <f t="shared" si="92"/>
        <v/>
      </c>
      <c r="R232" s="67" t="str">
        <f t="shared" si="94"/>
        <v/>
      </c>
      <c r="S232" s="56" t="str">
        <f t="shared" si="95"/>
        <v/>
      </c>
      <c r="T232" s="56" t="str">
        <f t="shared" si="96"/>
        <v/>
      </c>
      <c r="U232" s="56" t="str">
        <f t="shared" si="97"/>
        <v/>
      </c>
      <c r="V232" s="68" t="str">
        <f t="shared" si="98"/>
        <v/>
      </c>
      <c r="W232" s="80" t="str">
        <f t="shared" si="99"/>
        <v/>
      </c>
      <c r="X232" s="81" t="str">
        <f t="shared" si="100"/>
        <v/>
      </c>
      <c r="Y232" s="81" t="str">
        <f t="shared" si="101"/>
        <v/>
      </c>
      <c r="Z232" s="81" t="str">
        <f t="shared" si="102"/>
        <v/>
      </c>
      <c r="AA232" s="82" t="str">
        <f t="shared" si="103"/>
        <v/>
      </c>
      <c r="AB232" s="83" t="str">
        <f>IF(R232&lt;&gt;"",(W232-SUMPRODUCT(R$3:R232,$B$3:$B232)/SUM($B$3:$B232))/STDEVA(W222:W232),"")</f>
        <v/>
      </c>
      <c r="AC232" s="84" t="str">
        <f>IF(S232&lt;&gt;"",(X232-SUMPRODUCT(S$3:S232,$B$3:$B232)/SUM($B$3:$B232))/STDEVA(X222:X232),"")</f>
        <v/>
      </c>
      <c r="AD232" s="84" t="str">
        <f>IF(T232&lt;&gt;"",(Y232-SUMPRODUCT(T$3:T232,$B$3:$B232)/SUM($B$3:$B232))/STDEVA(Y222:Y232),"")</f>
        <v/>
      </c>
      <c r="AE232" s="84" t="str">
        <f>IF(U232&lt;&gt;"",(Z232-SUMPRODUCT(U$3:U232,$B$3:$B232)/SUM($B$3:$B232))/STDEVA(Z222:Z232),"")</f>
        <v/>
      </c>
      <c r="AF232" s="85" t="str">
        <f>IF(V232&lt;&gt;"",(AA232-SUMPRODUCT(V$3:V232,$B$3:$B232)/SUM($B$3:$B232))/STDEVA(AA222:AA232),"")</f>
        <v/>
      </c>
      <c r="AG232" s="90" t="str">
        <f t="shared" si="104"/>
        <v/>
      </c>
      <c r="AH232" s="90" t="str">
        <f t="shared" si="104"/>
        <v/>
      </c>
      <c r="AI232" s="90" t="str">
        <f t="shared" si="104"/>
        <v/>
      </c>
      <c r="AJ232" s="90" t="str">
        <f t="shared" si="104"/>
        <v/>
      </c>
      <c r="AK232" s="93" t="str">
        <f t="shared" si="105"/>
        <v/>
      </c>
      <c r="BQ232" s="100" t="str">
        <f>IF(A232&lt;&gt;"",(VLOOKUP(A232,MarketData!$D:$BP,MATCH($BQ$1,MarketData!$D$1:$EG$1,0),TRUE)/100/365+1)^(B232)*BQ231,"")</f>
        <v/>
      </c>
      <c r="BR232" s="98" t="str">
        <f t="shared" si="82"/>
        <v/>
      </c>
      <c r="BS232" s="106" t="str">
        <f>IF(A232&lt;&gt;"",VLOOKUP(A232,MarketData!$D:$BP,MATCH($BS$1,MarketData!$D$1:$EG$1,0),TRUE),"")</f>
        <v/>
      </c>
      <c r="BT232" s="98" t="str">
        <f t="shared" si="93"/>
        <v/>
      </c>
    </row>
    <row r="233" spans="2:72" x14ac:dyDescent="0.25">
      <c r="B233" s="60" t="str">
        <f t="shared" si="106"/>
        <v/>
      </c>
      <c r="C233" s="3" t="str">
        <f t="shared" si="83"/>
        <v/>
      </c>
      <c r="D233" s="3" t="str">
        <f t="shared" si="84"/>
        <v/>
      </c>
      <c r="E233" s="3" t="str">
        <f t="shared" si="85"/>
        <v/>
      </c>
      <c r="F233" s="3" t="str">
        <f t="shared" si="86"/>
        <v/>
      </c>
      <c r="G233" s="74" t="str">
        <f t="shared" si="87"/>
        <v/>
      </c>
      <c r="H233" s="78" t="str">
        <f>IFERROR(C233/SUM(M$2:M232),"")</f>
        <v/>
      </c>
      <c r="I233" s="61" t="str">
        <f>IFERROR(D233/SUM(N$2:N233),"")</f>
        <v/>
      </c>
      <c r="J233" s="61" t="str">
        <f>IFERROR(E233/SUM(O$2:O233),"")</f>
        <v/>
      </c>
      <c r="K233" s="61" t="str">
        <f>IFERROR(F233/SUM(P$2:P233),"")</f>
        <v/>
      </c>
      <c r="L233" s="79" t="str">
        <f>IFERROR(G233/SUM(Q$2:Q233),"")</f>
        <v/>
      </c>
      <c r="M233" s="64" t="str">
        <f t="shared" si="88"/>
        <v/>
      </c>
      <c r="N233" s="55" t="str">
        <f t="shared" si="89"/>
        <v/>
      </c>
      <c r="O233" s="55" t="str">
        <f t="shared" si="90"/>
        <v/>
      </c>
      <c r="P233" s="55" t="str">
        <f t="shared" si="91"/>
        <v/>
      </c>
      <c r="Q233" s="65" t="str">
        <f t="shared" si="92"/>
        <v/>
      </c>
      <c r="R233" s="67" t="str">
        <f t="shared" si="94"/>
        <v/>
      </c>
      <c r="S233" s="56" t="str">
        <f t="shared" si="95"/>
        <v/>
      </c>
      <c r="T233" s="56" t="str">
        <f t="shared" si="96"/>
        <v/>
      </c>
      <c r="U233" s="56" t="str">
        <f t="shared" si="97"/>
        <v/>
      </c>
      <c r="V233" s="68" t="str">
        <f t="shared" si="98"/>
        <v/>
      </c>
      <c r="W233" s="80" t="str">
        <f t="shared" si="99"/>
        <v/>
      </c>
      <c r="X233" s="81" t="str">
        <f t="shared" si="100"/>
        <v/>
      </c>
      <c r="Y233" s="81" t="str">
        <f t="shared" si="101"/>
        <v/>
      </c>
      <c r="Z233" s="81" t="str">
        <f t="shared" si="102"/>
        <v/>
      </c>
      <c r="AA233" s="82" t="str">
        <f t="shared" si="103"/>
        <v/>
      </c>
      <c r="AB233" s="83" t="str">
        <f>IF(R233&lt;&gt;"",(W233-SUMPRODUCT(R$3:R233,$B$3:$B233)/SUM($B$3:$B233))/STDEVA(W223:W233),"")</f>
        <v/>
      </c>
      <c r="AC233" s="84" t="str">
        <f>IF(S233&lt;&gt;"",(X233-SUMPRODUCT(S$3:S233,$B$3:$B233)/SUM($B$3:$B233))/STDEVA(X223:X233),"")</f>
        <v/>
      </c>
      <c r="AD233" s="84" t="str">
        <f>IF(T233&lt;&gt;"",(Y233-SUMPRODUCT(T$3:T233,$B$3:$B233)/SUM($B$3:$B233))/STDEVA(Y223:Y233),"")</f>
        <v/>
      </c>
      <c r="AE233" s="84" t="str">
        <f>IF(U233&lt;&gt;"",(Z233-SUMPRODUCT(U$3:U233,$B$3:$B233)/SUM($B$3:$B233))/STDEVA(Z223:Z233),"")</f>
        <v/>
      </c>
      <c r="AF233" s="85" t="str">
        <f>IF(V233&lt;&gt;"",(AA233-SUMPRODUCT(V$3:V233,$B$3:$B233)/SUM($B$3:$B233))/STDEVA(AA223:AA233),"")</f>
        <v/>
      </c>
      <c r="AG233" s="90" t="str">
        <f t="shared" si="104"/>
        <v/>
      </c>
      <c r="AH233" s="90" t="str">
        <f t="shared" si="104"/>
        <v/>
      </c>
      <c r="AI233" s="90" t="str">
        <f t="shared" si="104"/>
        <v/>
      </c>
      <c r="AJ233" s="90" t="str">
        <f t="shared" si="104"/>
        <v/>
      </c>
      <c r="AK233" s="93" t="str">
        <f t="shared" si="105"/>
        <v/>
      </c>
      <c r="BQ233" s="100" t="str">
        <f>IF(A233&lt;&gt;"",(VLOOKUP(A233,MarketData!$D:$BP,MATCH($BQ$1,MarketData!$D$1:$EG$1,0),TRUE)/100/365+1)^(B233)*BQ232,"")</f>
        <v/>
      </c>
      <c r="BR233" s="98" t="str">
        <f t="shared" si="82"/>
        <v/>
      </c>
      <c r="BS233" s="106" t="str">
        <f>IF(A233&lt;&gt;"",VLOOKUP(A233,MarketData!$D:$BP,MATCH($BS$1,MarketData!$D$1:$EG$1,0),TRUE),"")</f>
        <v/>
      </c>
      <c r="BT233" s="98" t="str">
        <f t="shared" si="93"/>
        <v/>
      </c>
    </row>
    <row r="234" spans="2:72" x14ac:dyDescent="0.25">
      <c r="B234" s="60" t="str">
        <f t="shared" si="106"/>
        <v/>
      </c>
      <c r="C234" s="3" t="str">
        <f t="shared" si="83"/>
        <v/>
      </c>
      <c r="D234" s="3" t="str">
        <f t="shared" si="84"/>
        <v/>
      </c>
      <c r="E234" s="3" t="str">
        <f t="shared" si="85"/>
        <v/>
      </c>
      <c r="F234" s="3" t="str">
        <f t="shared" si="86"/>
        <v/>
      </c>
      <c r="G234" s="74" t="str">
        <f t="shared" si="87"/>
        <v/>
      </c>
      <c r="H234" s="78" t="str">
        <f>IFERROR(C234/SUM(M$2:M233),"")</f>
        <v/>
      </c>
      <c r="I234" s="61" t="str">
        <f>IFERROR(D234/SUM(N$2:N234),"")</f>
        <v/>
      </c>
      <c r="J234" s="61" t="str">
        <f>IFERROR(E234/SUM(O$2:O234),"")</f>
        <v/>
      </c>
      <c r="K234" s="61" t="str">
        <f>IFERROR(F234/SUM(P$2:P234),"")</f>
        <v/>
      </c>
      <c r="L234" s="79" t="str">
        <f>IFERROR(G234/SUM(Q$2:Q234),"")</f>
        <v/>
      </c>
      <c r="M234" s="64" t="str">
        <f t="shared" si="88"/>
        <v/>
      </c>
      <c r="N234" s="55" t="str">
        <f t="shared" si="89"/>
        <v/>
      </c>
      <c r="O234" s="55" t="str">
        <f t="shared" si="90"/>
        <v/>
      </c>
      <c r="P234" s="55" t="str">
        <f t="shared" si="91"/>
        <v/>
      </c>
      <c r="Q234" s="65" t="str">
        <f t="shared" si="92"/>
        <v/>
      </c>
      <c r="R234" s="67" t="str">
        <f t="shared" si="94"/>
        <v/>
      </c>
      <c r="S234" s="56" t="str">
        <f t="shared" si="95"/>
        <v/>
      </c>
      <c r="T234" s="56" t="str">
        <f t="shared" si="96"/>
        <v/>
      </c>
      <c r="U234" s="56" t="str">
        <f t="shared" si="97"/>
        <v/>
      </c>
      <c r="V234" s="68" t="str">
        <f t="shared" si="98"/>
        <v/>
      </c>
      <c r="W234" s="80" t="str">
        <f t="shared" si="99"/>
        <v/>
      </c>
      <c r="X234" s="81" t="str">
        <f t="shared" si="100"/>
        <v/>
      </c>
      <c r="Y234" s="81" t="str">
        <f t="shared" si="101"/>
        <v/>
      </c>
      <c r="Z234" s="81" t="str">
        <f t="shared" si="102"/>
        <v/>
      </c>
      <c r="AA234" s="82" t="str">
        <f t="shared" si="103"/>
        <v/>
      </c>
      <c r="AB234" s="83" t="str">
        <f>IF(R234&lt;&gt;"",(W234-SUMPRODUCT(R$3:R234,$B$3:$B234)/SUM($B$3:$B234))/STDEVA(W224:W234),"")</f>
        <v/>
      </c>
      <c r="AC234" s="84" t="str">
        <f>IF(S234&lt;&gt;"",(X234-SUMPRODUCT(S$3:S234,$B$3:$B234)/SUM($B$3:$B234))/STDEVA(X224:X234),"")</f>
        <v/>
      </c>
      <c r="AD234" s="84" t="str">
        <f>IF(T234&lt;&gt;"",(Y234-SUMPRODUCT(T$3:T234,$B$3:$B234)/SUM($B$3:$B234))/STDEVA(Y224:Y234),"")</f>
        <v/>
      </c>
      <c r="AE234" s="84" t="str">
        <f>IF(U234&lt;&gt;"",(Z234-SUMPRODUCT(U$3:U234,$B$3:$B234)/SUM($B$3:$B234))/STDEVA(Z224:Z234),"")</f>
        <v/>
      </c>
      <c r="AF234" s="85" t="str">
        <f>IF(V234&lt;&gt;"",(AA234-SUMPRODUCT(V$3:V234,$B$3:$B234)/SUM($B$3:$B234))/STDEVA(AA224:AA234),"")</f>
        <v/>
      </c>
      <c r="AG234" s="90" t="str">
        <f t="shared" si="104"/>
        <v/>
      </c>
      <c r="AH234" s="90" t="str">
        <f t="shared" si="104"/>
        <v/>
      </c>
      <c r="AI234" s="90" t="str">
        <f t="shared" si="104"/>
        <v/>
      </c>
      <c r="AJ234" s="90" t="str">
        <f t="shared" si="104"/>
        <v/>
      </c>
      <c r="AK234" s="93" t="str">
        <f t="shared" si="105"/>
        <v/>
      </c>
      <c r="BQ234" s="100" t="str">
        <f>IF(A234&lt;&gt;"",(VLOOKUP(A234,MarketData!$D:$BP,MATCH($BQ$1,MarketData!$D$1:$EG$1,0),TRUE)/100/365+1)^(B234)*BQ233,"")</f>
        <v/>
      </c>
      <c r="BR234" s="98" t="str">
        <f t="shared" si="82"/>
        <v/>
      </c>
      <c r="BS234" s="106" t="str">
        <f>IF(A234&lt;&gt;"",VLOOKUP(A234,MarketData!$D:$BP,MATCH($BS$1,MarketData!$D$1:$EG$1,0),TRUE),"")</f>
        <v/>
      </c>
      <c r="BT234" s="98" t="str">
        <f t="shared" si="93"/>
        <v/>
      </c>
    </row>
    <row r="235" spans="2:72" x14ac:dyDescent="0.25">
      <c r="B235" s="60" t="str">
        <f t="shared" si="106"/>
        <v/>
      </c>
      <c r="C235" s="3" t="str">
        <f t="shared" si="83"/>
        <v/>
      </c>
      <c r="D235" s="3" t="str">
        <f t="shared" si="84"/>
        <v/>
      </c>
      <c r="E235" s="3" t="str">
        <f t="shared" si="85"/>
        <v/>
      </c>
      <c r="F235" s="3" t="str">
        <f t="shared" si="86"/>
        <v/>
      </c>
      <c r="G235" s="74" t="str">
        <f t="shared" si="87"/>
        <v/>
      </c>
      <c r="H235" s="78" t="str">
        <f>IFERROR(C235/SUM(M$2:M234),"")</f>
        <v/>
      </c>
      <c r="I235" s="61" t="str">
        <f>IFERROR(D235/SUM(N$2:N235),"")</f>
        <v/>
      </c>
      <c r="J235" s="61" t="str">
        <f>IFERROR(E235/SUM(O$2:O235),"")</f>
        <v/>
      </c>
      <c r="K235" s="61" t="str">
        <f>IFERROR(F235/SUM(P$2:P235),"")</f>
        <v/>
      </c>
      <c r="L235" s="79" t="str">
        <f>IFERROR(G235/SUM(Q$2:Q235),"")</f>
        <v/>
      </c>
      <c r="M235" s="64" t="str">
        <f t="shared" si="88"/>
        <v/>
      </c>
      <c r="N235" s="55" t="str">
        <f t="shared" si="89"/>
        <v/>
      </c>
      <c r="O235" s="55" t="str">
        <f t="shared" si="90"/>
        <v/>
      </c>
      <c r="P235" s="55" t="str">
        <f t="shared" si="91"/>
        <v/>
      </c>
      <c r="Q235" s="65" t="str">
        <f t="shared" si="92"/>
        <v/>
      </c>
      <c r="R235" s="67" t="str">
        <f t="shared" si="94"/>
        <v/>
      </c>
      <c r="S235" s="56" t="str">
        <f t="shared" si="95"/>
        <v/>
      </c>
      <c r="T235" s="56" t="str">
        <f t="shared" si="96"/>
        <v/>
      </c>
      <c r="U235" s="56" t="str">
        <f t="shared" si="97"/>
        <v/>
      </c>
      <c r="V235" s="68" t="str">
        <f t="shared" si="98"/>
        <v/>
      </c>
      <c r="W235" s="80" t="str">
        <f t="shared" si="99"/>
        <v/>
      </c>
      <c r="X235" s="81" t="str">
        <f t="shared" si="100"/>
        <v/>
      </c>
      <c r="Y235" s="81" t="str">
        <f t="shared" si="101"/>
        <v/>
      </c>
      <c r="Z235" s="81" t="str">
        <f t="shared" si="102"/>
        <v/>
      </c>
      <c r="AA235" s="82" t="str">
        <f t="shared" si="103"/>
        <v/>
      </c>
      <c r="AB235" s="83" t="str">
        <f>IF(R235&lt;&gt;"",(W235-SUMPRODUCT(R$3:R235,$B$3:$B235)/SUM($B$3:$B235))/STDEVA(W225:W235),"")</f>
        <v/>
      </c>
      <c r="AC235" s="84" t="str">
        <f>IF(S235&lt;&gt;"",(X235-SUMPRODUCT(S$3:S235,$B$3:$B235)/SUM($B$3:$B235))/STDEVA(X225:X235),"")</f>
        <v/>
      </c>
      <c r="AD235" s="84" t="str">
        <f>IF(T235&lt;&gt;"",(Y235-SUMPRODUCT(T$3:T235,$B$3:$B235)/SUM($B$3:$B235))/STDEVA(Y225:Y235),"")</f>
        <v/>
      </c>
      <c r="AE235" s="84" t="str">
        <f>IF(U235&lt;&gt;"",(Z235-SUMPRODUCT(U$3:U235,$B$3:$B235)/SUM($B$3:$B235))/STDEVA(Z225:Z235),"")</f>
        <v/>
      </c>
      <c r="AF235" s="85" t="str">
        <f>IF(V235&lt;&gt;"",(AA235-SUMPRODUCT(V$3:V235,$B$3:$B235)/SUM($B$3:$B235))/STDEVA(AA225:AA235),"")</f>
        <v/>
      </c>
      <c r="AG235" s="90" t="str">
        <f t="shared" si="104"/>
        <v/>
      </c>
      <c r="AH235" s="90" t="str">
        <f t="shared" si="104"/>
        <v/>
      </c>
      <c r="AI235" s="90" t="str">
        <f t="shared" si="104"/>
        <v/>
      </c>
      <c r="AJ235" s="90" t="str">
        <f t="shared" si="104"/>
        <v/>
      </c>
      <c r="AK235" s="93" t="str">
        <f t="shared" si="105"/>
        <v/>
      </c>
      <c r="BQ235" s="100" t="str">
        <f>IF(A235&lt;&gt;"",(VLOOKUP(A235,MarketData!$D:$BP,MATCH($BQ$1,MarketData!$D$1:$EG$1,0),TRUE)/100/365+1)^(B235)*BQ234,"")</f>
        <v/>
      </c>
      <c r="BR235" s="98" t="str">
        <f t="shared" si="82"/>
        <v/>
      </c>
      <c r="BS235" s="106" t="str">
        <f>IF(A235&lt;&gt;"",VLOOKUP(A235,MarketData!$D:$BP,MATCH($BS$1,MarketData!$D$1:$EG$1,0),TRUE),"")</f>
        <v/>
      </c>
      <c r="BT235" s="98" t="str">
        <f t="shared" si="93"/>
        <v/>
      </c>
    </row>
    <row r="236" spans="2:72" x14ac:dyDescent="0.25">
      <c r="B236" s="60" t="str">
        <f t="shared" si="106"/>
        <v/>
      </c>
      <c r="C236" s="3" t="str">
        <f t="shared" si="83"/>
        <v/>
      </c>
      <c r="D236" s="3" t="str">
        <f t="shared" si="84"/>
        <v/>
      </c>
      <c r="E236" s="3" t="str">
        <f t="shared" si="85"/>
        <v/>
      </c>
      <c r="F236" s="3" t="str">
        <f t="shared" si="86"/>
        <v/>
      </c>
      <c r="G236" s="74" t="str">
        <f t="shared" si="87"/>
        <v/>
      </c>
      <c r="H236" s="78" t="str">
        <f>IFERROR(C236/SUM(M$2:M235),"")</f>
        <v/>
      </c>
      <c r="I236" s="61" t="str">
        <f>IFERROR(D236/SUM(N$2:N236),"")</f>
        <v/>
      </c>
      <c r="J236" s="61" t="str">
        <f>IFERROR(E236/SUM(O$2:O236),"")</f>
        <v/>
      </c>
      <c r="K236" s="61" t="str">
        <f>IFERROR(F236/SUM(P$2:P236),"")</f>
        <v/>
      </c>
      <c r="L236" s="79" t="str">
        <f>IFERROR(G236/SUM(Q$2:Q236),"")</f>
        <v/>
      </c>
      <c r="M236" s="64" t="str">
        <f t="shared" si="88"/>
        <v/>
      </c>
      <c r="N236" s="55" t="str">
        <f t="shared" si="89"/>
        <v/>
      </c>
      <c r="O236" s="55" t="str">
        <f t="shared" si="90"/>
        <v/>
      </c>
      <c r="P236" s="55" t="str">
        <f t="shared" si="91"/>
        <v/>
      </c>
      <c r="Q236" s="65" t="str">
        <f t="shared" si="92"/>
        <v/>
      </c>
      <c r="R236" s="67" t="str">
        <f t="shared" si="94"/>
        <v/>
      </c>
      <c r="S236" s="56" t="str">
        <f t="shared" si="95"/>
        <v/>
      </c>
      <c r="T236" s="56" t="str">
        <f t="shared" si="96"/>
        <v/>
      </c>
      <c r="U236" s="56" t="str">
        <f t="shared" si="97"/>
        <v/>
      </c>
      <c r="V236" s="68" t="str">
        <f t="shared" si="98"/>
        <v/>
      </c>
      <c r="W236" s="80" t="str">
        <f t="shared" si="99"/>
        <v/>
      </c>
      <c r="X236" s="81" t="str">
        <f t="shared" si="100"/>
        <v/>
      </c>
      <c r="Y236" s="81" t="str">
        <f t="shared" si="101"/>
        <v/>
      </c>
      <c r="Z236" s="81" t="str">
        <f t="shared" si="102"/>
        <v/>
      </c>
      <c r="AA236" s="82" t="str">
        <f t="shared" si="103"/>
        <v/>
      </c>
      <c r="AB236" s="83" t="str">
        <f>IF(R236&lt;&gt;"",(W236-SUMPRODUCT(R$3:R236,$B$3:$B236)/SUM($B$3:$B236))/STDEVA(W226:W236),"")</f>
        <v/>
      </c>
      <c r="AC236" s="84" t="str">
        <f>IF(S236&lt;&gt;"",(X236-SUMPRODUCT(S$3:S236,$B$3:$B236)/SUM($B$3:$B236))/STDEVA(X226:X236),"")</f>
        <v/>
      </c>
      <c r="AD236" s="84" t="str">
        <f>IF(T236&lt;&gt;"",(Y236-SUMPRODUCT(T$3:T236,$B$3:$B236)/SUM($B$3:$B236))/STDEVA(Y226:Y236),"")</f>
        <v/>
      </c>
      <c r="AE236" s="84" t="str">
        <f>IF(U236&lt;&gt;"",(Z236-SUMPRODUCT(U$3:U236,$B$3:$B236)/SUM($B$3:$B236))/STDEVA(Z226:Z236),"")</f>
        <v/>
      </c>
      <c r="AF236" s="85" t="str">
        <f>IF(V236&lt;&gt;"",(AA236-SUMPRODUCT(V$3:V236,$B$3:$B236)/SUM($B$3:$B236))/STDEVA(AA226:AA236),"")</f>
        <v/>
      </c>
      <c r="AG236" s="90" t="str">
        <f t="shared" si="104"/>
        <v/>
      </c>
      <c r="AH236" s="90" t="str">
        <f t="shared" si="104"/>
        <v/>
      </c>
      <c r="AI236" s="90" t="str">
        <f t="shared" si="104"/>
        <v/>
      </c>
      <c r="AJ236" s="90" t="str">
        <f t="shared" si="104"/>
        <v/>
      </c>
      <c r="AK236" s="93" t="str">
        <f t="shared" si="105"/>
        <v/>
      </c>
      <c r="BQ236" s="100" t="str">
        <f>IF(A236&lt;&gt;"",(VLOOKUP(A236,MarketData!$D:$BP,MATCH($BQ$1,MarketData!$D$1:$EG$1,0),TRUE)/100/365+1)^(B236)*BQ235,"")</f>
        <v/>
      </c>
      <c r="BR236" s="98" t="str">
        <f t="shared" si="82"/>
        <v/>
      </c>
      <c r="BS236" s="106" t="str">
        <f>IF(A236&lt;&gt;"",VLOOKUP(A236,MarketData!$D:$BP,MATCH($BS$1,MarketData!$D$1:$EG$1,0),TRUE),"")</f>
        <v/>
      </c>
      <c r="BT236" s="98" t="str">
        <f t="shared" si="93"/>
        <v/>
      </c>
    </row>
    <row r="237" spans="2:72" x14ac:dyDescent="0.25">
      <c r="B237" s="60" t="str">
        <f t="shared" si="106"/>
        <v/>
      </c>
      <c r="C237" s="3" t="str">
        <f t="shared" si="83"/>
        <v/>
      </c>
      <c r="D237" s="3" t="str">
        <f t="shared" si="84"/>
        <v/>
      </c>
      <c r="E237" s="3" t="str">
        <f t="shared" si="85"/>
        <v/>
      </c>
      <c r="F237" s="3" t="str">
        <f t="shared" si="86"/>
        <v/>
      </c>
      <c r="G237" s="74" t="str">
        <f t="shared" si="87"/>
        <v/>
      </c>
      <c r="H237" s="78" t="str">
        <f>IFERROR(C237/SUM(M$2:M236),"")</f>
        <v/>
      </c>
      <c r="I237" s="61" t="str">
        <f>IFERROR(D237/SUM(N$2:N237),"")</f>
        <v/>
      </c>
      <c r="J237" s="61" t="str">
        <f>IFERROR(E237/SUM(O$2:O237),"")</f>
        <v/>
      </c>
      <c r="K237" s="61" t="str">
        <f>IFERROR(F237/SUM(P$2:P237),"")</f>
        <v/>
      </c>
      <c r="L237" s="79" t="str">
        <f>IFERROR(G237/SUM(Q$2:Q237),"")</f>
        <v/>
      </c>
      <c r="M237" s="64" t="str">
        <f t="shared" si="88"/>
        <v/>
      </c>
      <c r="N237" s="55" t="str">
        <f t="shared" si="89"/>
        <v/>
      </c>
      <c r="O237" s="55" t="str">
        <f t="shared" si="90"/>
        <v/>
      </c>
      <c r="P237" s="55" t="str">
        <f t="shared" si="91"/>
        <v/>
      </c>
      <c r="Q237" s="65" t="str">
        <f t="shared" si="92"/>
        <v/>
      </c>
      <c r="R237" s="67" t="str">
        <f t="shared" si="94"/>
        <v/>
      </c>
      <c r="S237" s="56" t="str">
        <f t="shared" si="95"/>
        <v/>
      </c>
      <c r="T237" s="56" t="str">
        <f t="shared" si="96"/>
        <v/>
      </c>
      <c r="U237" s="56" t="str">
        <f t="shared" si="97"/>
        <v/>
      </c>
      <c r="V237" s="68" t="str">
        <f t="shared" si="98"/>
        <v/>
      </c>
      <c r="W237" s="80" t="str">
        <f t="shared" si="99"/>
        <v/>
      </c>
      <c r="X237" s="81" t="str">
        <f t="shared" si="100"/>
        <v/>
      </c>
      <c r="Y237" s="81" t="str">
        <f t="shared" si="101"/>
        <v/>
      </c>
      <c r="Z237" s="81" t="str">
        <f t="shared" si="102"/>
        <v/>
      </c>
      <c r="AA237" s="82" t="str">
        <f t="shared" si="103"/>
        <v/>
      </c>
      <c r="AB237" s="83" t="str">
        <f>IF(R237&lt;&gt;"",(W237-SUMPRODUCT(R$3:R237,$B$3:$B237)/SUM($B$3:$B237))/STDEVA(W227:W237),"")</f>
        <v/>
      </c>
      <c r="AC237" s="84" t="str">
        <f>IF(S237&lt;&gt;"",(X237-SUMPRODUCT(S$3:S237,$B$3:$B237)/SUM($B$3:$B237))/STDEVA(X227:X237),"")</f>
        <v/>
      </c>
      <c r="AD237" s="84" t="str">
        <f>IF(T237&lt;&gt;"",(Y237-SUMPRODUCT(T$3:T237,$B$3:$B237)/SUM($B$3:$B237))/STDEVA(Y227:Y237),"")</f>
        <v/>
      </c>
      <c r="AE237" s="84" t="str">
        <f>IF(U237&lt;&gt;"",(Z237-SUMPRODUCT(U$3:U237,$B$3:$B237)/SUM($B$3:$B237))/STDEVA(Z227:Z237),"")</f>
        <v/>
      </c>
      <c r="AF237" s="85" t="str">
        <f>IF(V237&lt;&gt;"",(AA237-SUMPRODUCT(V$3:V237,$B$3:$B237)/SUM($B$3:$B237))/STDEVA(AA227:AA237),"")</f>
        <v/>
      </c>
      <c r="AG237" s="90" t="str">
        <f t="shared" si="104"/>
        <v/>
      </c>
      <c r="AH237" s="90" t="str">
        <f t="shared" si="104"/>
        <v/>
      </c>
      <c r="AI237" s="90" t="str">
        <f t="shared" si="104"/>
        <v/>
      </c>
      <c r="AJ237" s="90" t="str">
        <f t="shared" si="104"/>
        <v/>
      </c>
      <c r="AK237" s="93" t="str">
        <f t="shared" si="105"/>
        <v/>
      </c>
      <c r="BQ237" s="100" t="str">
        <f>IF(A237&lt;&gt;"",(VLOOKUP(A237,MarketData!$D:$BP,MATCH($BQ$1,MarketData!$D$1:$EG$1,0),TRUE)/100/365+1)^(B237)*BQ236,"")</f>
        <v/>
      </c>
      <c r="BR237" s="98" t="str">
        <f t="shared" si="82"/>
        <v/>
      </c>
      <c r="BS237" s="106" t="str">
        <f>IF(A237&lt;&gt;"",VLOOKUP(A237,MarketData!$D:$BP,MATCH($BS$1,MarketData!$D$1:$EG$1,0),TRUE),"")</f>
        <v/>
      </c>
      <c r="BT237" s="98" t="str">
        <f t="shared" si="93"/>
        <v/>
      </c>
    </row>
    <row r="238" spans="2:72" x14ac:dyDescent="0.25">
      <c r="B238" s="60" t="str">
        <f t="shared" si="106"/>
        <v/>
      </c>
      <c r="C238" s="3" t="str">
        <f t="shared" si="83"/>
        <v/>
      </c>
      <c r="D238" s="3" t="str">
        <f t="shared" si="84"/>
        <v/>
      </c>
      <c r="E238" s="3" t="str">
        <f t="shared" si="85"/>
        <v/>
      </c>
      <c r="F238" s="3" t="str">
        <f t="shared" si="86"/>
        <v/>
      </c>
      <c r="G238" s="74" t="str">
        <f t="shared" si="87"/>
        <v/>
      </c>
      <c r="H238" s="78" t="str">
        <f>IFERROR(C238/SUM(M$2:M237),"")</f>
        <v/>
      </c>
      <c r="I238" s="61" t="str">
        <f>IFERROR(D238/SUM(N$2:N238),"")</f>
        <v/>
      </c>
      <c r="J238" s="61" t="str">
        <f>IFERROR(E238/SUM(O$2:O238),"")</f>
        <v/>
      </c>
      <c r="K238" s="61" t="str">
        <f>IFERROR(F238/SUM(P$2:P238),"")</f>
        <v/>
      </c>
      <c r="L238" s="79" t="str">
        <f>IFERROR(G238/SUM(Q$2:Q238),"")</f>
        <v/>
      </c>
      <c r="M238" s="64" t="str">
        <f t="shared" si="88"/>
        <v/>
      </c>
      <c r="N238" s="55" t="str">
        <f t="shared" si="89"/>
        <v/>
      </c>
      <c r="O238" s="55" t="str">
        <f t="shared" si="90"/>
        <v/>
      </c>
      <c r="P238" s="55" t="str">
        <f t="shared" si="91"/>
        <v/>
      </c>
      <c r="Q238" s="65" t="str">
        <f t="shared" si="92"/>
        <v/>
      </c>
      <c r="R238" s="67" t="str">
        <f t="shared" si="94"/>
        <v/>
      </c>
      <c r="S238" s="56" t="str">
        <f t="shared" si="95"/>
        <v/>
      </c>
      <c r="T238" s="56" t="str">
        <f t="shared" si="96"/>
        <v/>
      </c>
      <c r="U238" s="56" t="str">
        <f t="shared" si="97"/>
        <v/>
      </c>
      <c r="V238" s="68" t="str">
        <f t="shared" si="98"/>
        <v/>
      </c>
      <c r="W238" s="80" t="str">
        <f t="shared" si="99"/>
        <v/>
      </c>
      <c r="X238" s="81" t="str">
        <f t="shared" si="100"/>
        <v/>
      </c>
      <c r="Y238" s="81" t="str">
        <f t="shared" si="101"/>
        <v/>
      </c>
      <c r="Z238" s="81" t="str">
        <f t="shared" si="102"/>
        <v/>
      </c>
      <c r="AA238" s="82" t="str">
        <f t="shared" si="103"/>
        <v/>
      </c>
      <c r="AB238" s="83" t="str">
        <f>IF(R238&lt;&gt;"",(W238-SUMPRODUCT(R$3:R238,$B$3:$B238)/SUM($B$3:$B238))/STDEVA(W228:W238),"")</f>
        <v/>
      </c>
      <c r="AC238" s="84" t="str">
        <f>IF(S238&lt;&gt;"",(X238-SUMPRODUCT(S$3:S238,$B$3:$B238)/SUM($B$3:$B238))/STDEVA(X228:X238),"")</f>
        <v/>
      </c>
      <c r="AD238" s="84" t="str">
        <f>IF(T238&lt;&gt;"",(Y238-SUMPRODUCT(T$3:T238,$B$3:$B238)/SUM($B$3:$B238))/STDEVA(Y228:Y238),"")</f>
        <v/>
      </c>
      <c r="AE238" s="84" t="str">
        <f>IF(U238&lt;&gt;"",(Z238-SUMPRODUCT(U$3:U238,$B$3:$B238)/SUM($B$3:$B238))/STDEVA(Z228:Z238),"")</f>
        <v/>
      </c>
      <c r="AF238" s="85" t="str">
        <f>IF(V238&lt;&gt;"",(AA238-SUMPRODUCT(V$3:V238,$B$3:$B238)/SUM($B$3:$B238))/STDEVA(AA228:AA238),"")</f>
        <v/>
      </c>
      <c r="AG238" s="90" t="str">
        <f t="shared" si="104"/>
        <v/>
      </c>
      <c r="AH238" s="90" t="str">
        <f t="shared" si="104"/>
        <v/>
      </c>
      <c r="AI238" s="90" t="str">
        <f t="shared" si="104"/>
        <v/>
      </c>
      <c r="AJ238" s="90" t="str">
        <f t="shared" si="104"/>
        <v/>
      </c>
      <c r="AK238" s="93" t="str">
        <f t="shared" si="105"/>
        <v/>
      </c>
      <c r="BQ238" s="100" t="str">
        <f>IF(A238&lt;&gt;"",(VLOOKUP(A238,MarketData!$D:$BP,MATCH($BQ$1,MarketData!$D$1:$EG$1,0),TRUE)/100/365+1)^(B238)*BQ237,"")</f>
        <v/>
      </c>
      <c r="BR238" s="98" t="str">
        <f t="shared" si="82"/>
        <v/>
      </c>
      <c r="BS238" s="106" t="str">
        <f>IF(A238&lt;&gt;"",VLOOKUP(A238,MarketData!$D:$BP,MATCH($BS$1,MarketData!$D$1:$EG$1,0),TRUE),"")</f>
        <v/>
      </c>
      <c r="BT238" s="98" t="str">
        <f t="shared" si="93"/>
        <v/>
      </c>
    </row>
    <row r="239" spans="2:72" x14ac:dyDescent="0.25">
      <c r="B239" s="60" t="str">
        <f t="shared" si="106"/>
        <v/>
      </c>
      <c r="C239" s="3" t="str">
        <f t="shared" si="83"/>
        <v/>
      </c>
      <c r="D239" s="3" t="str">
        <f t="shared" si="84"/>
        <v/>
      </c>
      <c r="E239" s="3" t="str">
        <f t="shared" si="85"/>
        <v/>
      </c>
      <c r="F239" s="3" t="str">
        <f t="shared" si="86"/>
        <v/>
      </c>
      <c r="G239" s="74" t="str">
        <f t="shared" si="87"/>
        <v/>
      </c>
      <c r="H239" s="78" t="str">
        <f>IFERROR(C239/SUM(M$2:M238),"")</f>
        <v/>
      </c>
      <c r="I239" s="61" t="str">
        <f>IFERROR(D239/SUM(N$2:N239),"")</f>
        <v/>
      </c>
      <c r="J239" s="61" t="str">
        <f>IFERROR(E239/SUM(O$2:O239),"")</f>
        <v/>
      </c>
      <c r="K239" s="61" t="str">
        <f>IFERROR(F239/SUM(P$2:P239),"")</f>
        <v/>
      </c>
      <c r="L239" s="79" t="str">
        <f>IFERROR(G239/SUM(Q$2:Q239),"")</f>
        <v/>
      </c>
      <c r="M239" s="64" t="str">
        <f t="shared" si="88"/>
        <v/>
      </c>
      <c r="N239" s="55" t="str">
        <f t="shared" si="89"/>
        <v/>
      </c>
      <c r="O239" s="55" t="str">
        <f t="shared" si="90"/>
        <v/>
      </c>
      <c r="P239" s="55" t="str">
        <f t="shared" si="91"/>
        <v/>
      </c>
      <c r="Q239" s="65" t="str">
        <f t="shared" si="92"/>
        <v/>
      </c>
      <c r="R239" s="67" t="str">
        <f t="shared" si="94"/>
        <v/>
      </c>
      <c r="S239" s="56" t="str">
        <f t="shared" si="95"/>
        <v/>
      </c>
      <c r="T239" s="56" t="str">
        <f t="shared" si="96"/>
        <v/>
      </c>
      <c r="U239" s="56" t="str">
        <f t="shared" si="97"/>
        <v/>
      </c>
      <c r="V239" s="68" t="str">
        <f t="shared" si="98"/>
        <v/>
      </c>
      <c r="W239" s="80" t="str">
        <f t="shared" si="99"/>
        <v/>
      </c>
      <c r="X239" s="81" t="str">
        <f t="shared" si="100"/>
        <v/>
      </c>
      <c r="Y239" s="81" t="str">
        <f t="shared" si="101"/>
        <v/>
      </c>
      <c r="Z239" s="81" t="str">
        <f t="shared" si="102"/>
        <v/>
      </c>
      <c r="AA239" s="82" t="str">
        <f t="shared" si="103"/>
        <v/>
      </c>
      <c r="AB239" s="83" t="str">
        <f>IF(R239&lt;&gt;"",(W239-SUMPRODUCT(R$3:R239,$B$3:$B239)/SUM($B$3:$B239))/STDEVA(W229:W239),"")</f>
        <v/>
      </c>
      <c r="AC239" s="84" t="str">
        <f>IF(S239&lt;&gt;"",(X239-SUMPRODUCT(S$3:S239,$B$3:$B239)/SUM($B$3:$B239))/STDEVA(X229:X239),"")</f>
        <v/>
      </c>
      <c r="AD239" s="84" t="str">
        <f>IF(T239&lt;&gt;"",(Y239-SUMPRODUCT(T$3:T239,$B$3:$B239)/SUM($B$3:$B239))/STDEVA(Y229:Y239),"")</f>
        <v/>
      </c>
      <c r="AE239" s="84" t="str">
        <f>IF(U239&lt;&gt;"",(Z239-SUMPRODUCT(U$3:U239,$B$3:$B239)/SUM($B$3:$B239))/STDEVA(Z229:Z239),"")</f>
        <v/>
      </c>
      <c r="AF239" s="85" t="str">
        <f>IF(V239&lt;&gt;"",(AA239-SUMPRODUCT(V$3:V239,$B$3:$B239)/SUM($B$3:$B239))/STDEVA(AA229:AA239),"")</f>
        <v/>
      </c>
      <c r="AG239" s="90" t="str">
        <f t="shared" si="104"/>
        <v/>
      </c>
      <c r="AH239" s="90" t="str">
        <f t="shared" si="104"/>
        <v/>
      </c>
      <c r="AI239" s="90" t="str">
        <f t="shared" si="104"/>
        <v/>
      </c>
      <c r="AJ239" s="90" t="str">
        <f t="shared" si="104"/>
        <v/>
      </c>
      <c r="AK239" s="93" t="str">
        <f t="shared" si="105"/>
        <v/>
      </c>
      <c r="BQ239" s="100" t="str">
        <f>IF(A239&lt;&gt;"",(VLOOKUP(A239,MarketData!$D:$BP,MATCH($BQ$1,MarketData!$D$1:$EG$1,0),TRUE)/100/365+1)^(B239)*BQ238,"")</f>
        <v/>
      </c>
      <c r="BR239" s="98" t="str">
        <f t="shared" si="82"/>
        <v/>
      </c>
      <c r="BS239" s="106" t="str">
        <f>IF(A239&lt;&gt;"",VLOOKUP(A239,MarketData!$D:$BP,MATCH($BS$1,MarketData!$D$1:$EG$1,0),TRUE),"")</f>
        <v/>
      </c>
      <c r="BT239" s="98" t="str">
        <f t="shared" si="93"/>
        <v/>
      </c>
    </row>
    <row r="240" spans="2:72" x14ac:dyDescent="0.25">
      <c r="B240" s="60" t="str">
        <f t="shared" si="106"/>
        <v/>
      </c>
      <c r="C240" s="3" t="str">
        <f t="shared" si="83"/>
        <v/>
      </c>
      <c r="D240" s="3" t="str">
        <f t="shared" si="84"/>
        <v/>
      </c>
      <c r="E240" s="3" t="str">
        <f t="shared" si="85"/>
        <v/>
      </c>
      <c r="F240" s="3" t="str">
        <f t="shared" si="86"/>
        <v/>
      </c>
      <c r="G240" s="74" t="str">
        <f t="shared" si="87"/>
        <v/>
      </c>
      <c r="H240" s="78" t="str">
        <f>IFERROR(C240/SUM(M$2:M239),"")</f>
        <v/>
      </c>
      <c r="I240" s="61" t="str">
        <f>IFERROR(D240/SUM(N$2:N240),"")</f>
        <v/>
      </c>
      <c r="J240" s="61" t="str">
        <f>IFERROR(E240/SUM(O$2:O240),"")</f>
        <v/>
      </c>
      <c r="K240" s="61" t="str">
        <f>IFERROR(F240/SUM(P$2:P240),"")</f>
        <v/>
      </c>
      <c r="L240" s="79" t="str">
        <f>IFERROR(G240/SUM(Q$2:Q240),"")</f>
        <v/>
      </c>
      <c r="M240" s="64" t="str">
        <f t="shared" si="88"/>
        <v/>
      </c>
      <c r="N240" s="55" t="str">
        <f t="shared" si="89"/>
        <v/>
      </c>
      <c r="O240" s="55" t="str">
        <f t="shared" si="90"/>
        <v/>
      </c>
      <c r="P240" s="55" t="str">
        <f t="shared" si="91"/>
        <v/>
      </c>
      <c r="Q240" s="65" t="str">
        <f t="shared" si="92"/>
        <v/>
      </c>
      <c r="R240" s="67" t="str">
        <f t="shared" si="94"/>
        <v/>
      </c>
      <c r="S240" s="56" t="str">
        <f t="shared" si="95"/>
        <v/>
      </c>
      <c r="T240" s="56" t="str">
        <f t="shared" si="96"/>
        <v/>
      </c>
      <c r="U240" s="56" t="str">
        <f t="shared" si="97"/>
        <v/>
      </c>
      <c r="V240" s="68" t="str">
        <f t="shared" si="98"/>
        <v/>
      </c>
      <c r="W240" s="80" t="str">
        <f t="shared" si="99"/>
        <v/>
      </c>
      <c r="X240" s="81" t="str">
        <f t="shared" si="100"/>
        <v/>
      </c>
      <c r="Y240" s="81" t="str">
        <f t="shared" si="101"/>
        <v/>
      </c>
      <c r="Z240" s="81" t="str">
        <f t="shared" si="102"/>
        <v/>
      </c>
      <c r="AA240" s="82" t="str">
        <f t="shared" si="103"/>
        <v/>
      </c>
      <c r="AB240" s="83" t="str">
        <f>IF(R240&lt;&gt;"",(W240-SUMPRODUCT(R$3:R240,$B$3:$B240)/SUM($B$3:$B240))/STDEVA(W230:W240),"")</f>
        <v/>
      </c>
      <c r="AC240" s="84" t="str">
        <f>IF(S240&lt;&gt;"",(X240-SUMPRODUCT(S$3:S240,$B$3:$B240)/SUM($B$3:$B240))/STDEVA(X230:X240),"")</f>
        <v/>
      </c>
      <c r="AD240" s="84" t="str">
        <f>IF(T240&lt;&gt;"",(Y240-SUMPRODUCT(T$3:T240,$B$3:$B240)/SUM($B$3:$B240))/STDEVA(Y230:Y240),"")</f>
        <v/>
      </c>
      <c r="AE240" s="84" t="str">
        <f>IF(U240&lt;&gt;"",(Z240-SUMPRODUCT(U$3:U240,$B$3:$B240)/SUM($B$3:$B240))/STDEVA(Z230:Z240),"")</f>
        <v/>
      </c>
      <c r="AF240" s="85" t="str">
        <f>IF(V240&lt;&gt;"",(AA240-SUMPRODUCT(V$3:V240,$B$3:$B240)/SUM($B$3:$B240))/STDEVA(AA230:AA240),"")</f>
        <v/>
      </c>
      <c r="AG240" s="90" t="str">
        <f t="shared" si="104"/>
        <v/>
      </c>
      <c r="AH240" s="90" t="str">
        <f t="shared" si="104"/>
        <v/>
      </c>
      <c r="AI240" s="90" t="str">
        <f t="shared" si="104"/>
        <v/>
      </c>
      <c r="AJ240" s="90" t="str">
        <f t="shared" si="104"/>
        <v/>
      </c>
      <c r="AK240" s="93" t="str">
        <f t="shared" si="105"/>
        <v/>
      </c>
      <c r="BQ240" s="100" t="str">
        <f>IF(A240&lt;&gt;"",(VLOOKUP(A240,MarketData!$D:$BP,MATCH($BQ$1,MarketData!$D$1:$EG$1,0),TRUE)/100/365+1)^(B240)*BQ239,"")</f>
        <v/>
      </c>
      <c r="BR240" s="98" t="str">
        <f t="shared" si="82"/>
        <v/>
      </c>
      <c r="BS240" s="106" t="str">
        <f>IF(A240&lt;&gt;"",VLOOKUP(A240,MarketData!$D:$BP,MATCH($BS$1,MarketData!$D$1:$EG$1,0),TRUE),"")</f>
        <v/>
      </c>
      <c r="BT240" s="98" t="str">
        <f t="shared" si="93"/>
        <v/>
      </c>
    </row>
    <row r="241" spans="2:72" x14ac:dyDescent="0.25">
      <c r="B241" s="60" t="str">
        <f t="shared" si="106"/>
        <v/>
      </c>
      <c r="C241" s="3" t="str">
        <f t="shared" si="83"/>
        <v/>
      </c>
      <c r="D241" s="3" t="str">
        <f t="shared" si="84"/>
        <v/>
      </c>
      <c r="E241" s="3" t="str">
        <f t="shared" si="85"/>
        <v/>
      </c>
      <c r="F241" s="3" t="str">
        <f t="shared" si="86"/>
        <v/>
      </c>
      <c r="G241" s="74" t="str">
        <f t="shared" si="87"/>
        <v/>
      </c>
      <c r="H241" s="78" t="str">
        <f>IFERROR(C241/SUM(M$2:M240),"")</f>
        <v/>
      </c>
      <c r="I241" s="61" t="str">
        <f>IFERROR(D241/SUM(N$2:N241),"")</f>
        <v/>
      </c>
      <c r="J241" s="61" t="str">
        <f>IFERROR(E241/SUM(O$2:O241),"")</f>
        <v/>
      </c>
      <c r="K241" s="61" t="str">
        <f>IFERROR(F241/SUM(P$2:P241),"")</f>
        <v/>
      </c>
      <c r="L241" s="79" t="str">
        <f>IFERROR(G241/SUM(Q$2:Q241),"")</f>
        <v/>
      </c>
      <c r="M241" s="64" t="str">
        <f t="shared" si="88"/>
        <v/>
      </c>
      <c r="N241" s="55" t="str">
        <f t="shared" si="89"/>
        <v/>
      </c>
      <c r="O241" s="55" t="str">
        <f t="shared" si="90"/>
        <v/>
      </c>
      <c r="P241" s="55" t="str">
        <f t="shared" si="91"/>
        <v/>
      </c>
      <c r="Q241" s="65" t="str">
        <f t="shared" si="92"/>
        <v/>
      </c>
      <c r="R241" s="67" t="str">
        <f t="shared" si="94"/>
        <v/>
      </c>
      <c r="S241" s="56" t="str">
        <f t="shared" si="95"/>
        <v/>
      </c>
      <c r="T241" s="56" t="str">
        <f t="shared" si="96"/>
        <v/>
      </c>
      <c r="U241" s="56" t="str">
        <f t="shared" si="97"/>
        <v/>
      </c>
      <c r="V241" s="68" t="str">
        <f t="shared" si="98"/>
        <v/>
      </c>
      <c r="W241" s="80" t="str">
        <f t="shared" si="99"/>
        <v/>
      </c>
      <c r="X241" s="81" t="str">
        <f t="shared" si="100"/>
        <v/>
      </c>
      <c r="Y241" s="81" t="str">
        <f t="shared" si="101"/>
        <v/>
      </c>
      <c r="Z241" s="81" t="str">
        <f t="shared" si="102"/>
        <v/>
      </c>
      <c r="AA241" s="82" t="str">
        <f t="shared" si="103"/>
        <v/>
      </c>
      <c r="AB241" s="83" t="str">
        <f>IF(R241&lt;&gt;"",(W241-SUMPRODUCT(R$3:R241,$B$3:$B241)/SUM($B$3:$B241))/STDEVA(W231:W241),"")</f>
        <v/>
      </c>
      <c r="AC241" s="84" t="str">
        <f>IF(S241&lt;&gt;"",(X241-SUMPRODUCT(S$3:S241,$B$3:$B241)/SUM($B$3:$B241))/STDEVA(X231:X241),"")</f>
        <v/>
      </c>
      <c r="AD241" s="84" t="str">
        <f>IF(T241&lt;&gt;"",(Y241-SUMPRODUCT(T$3:T241,$B$3:$B241)/SUM($B$3:$B241))/STDEVA(Y231:Y241),"")</f>
        <v/>
      </c>
      <c r="AE241" s="84" t="str">
        <f>IF(U241&lt;&gt;"",(Z241-SUMPRODUCT(U$3:U241,$B$3:$B241)/SUM($B$3:$B241))/STDEVA(Z231:Z241),"")</f>
        <v/>
      </c>
      <c r="AF241" s="85" t="str">
        <f>IF(V241&lt;&gt;"",(AA241-SUMPRODUCT(V$3:V241,$B$3:$B241)/SUM($B$3:$B241))/STDEVA(AA231:AA241),"")</f>
        <v/>
      </c>
      <c r="AG241" s="90" t="str">
        <f t="shared" si="104"/>
        <v/>
      </c>
      <c r="AH241" s="90" t="str">
        <f t="shared" si="104"/>
        <v/>
      </c>
      <c r="AI241" s="90" t="str">
        <f t="shared" si="104"/>
        <v/>
      </c>
      <c r="AJ241" s="90" t="str">
        <f t="shared" si="104"/>
        <v/>
      </c>
      <c r="AK241" s="93" t="str">
        <f t="shared" si="105"/>
        <v/>
      </c>
      <c r="BQ241" s="100" t="str">
        <f>IF(A241&lt;&gt;"",(VLOOKUP(A241,MarketData!$D:$BP,MATCH($BQ$1,MarketData!$D$1:$EG$1,0),TRUE)/100/365+1)^(B241)*BQ240,"")</f>
        <v/>
      </c>
      <c r="BR241" s="98" t="str">
        <f t="shared" si="82"/>
        <v/>
      </c>
      <c r="BS241" s="106" t="str">
        <f>IF(A241&lt;&gt;"",VLOOKUP(A241,MarketData!$D:$BP,MATCH($BS$1,MarketData!$D$1:$EG$1,0),TRUE),"")</f>
        <v/>
      </c>
      <c r="BT241" s="98" t="str">
        <f t="shared" si="93"/>
        <v/>
      </c>
    </row>
    <row r="242" spans="2:72" x14ac:dyDescent="0.25">
      <c r="B242" s="60" t="str">
        <f t="shared" si="106"/>
        <v/>
      </c>
      <c r="C242" s="3" t="str">
        <f t="shared" si="83"/>
        <v/>
      </c>
      <c r="D242" s="3" t="str">
        <f t="shared" si="84"/>
        <v/>
      </c>
      <c r="E242" s="3" t="str">
        <f t="shared" si="85"/>
        <v/>
      </c>
      <c r="F242" s="3" t="str">
        <f t="shared" si="86"/>
        <v/>
      </c>
      <c r="G242" s="74" t="str">
        <f t="shared" si="87"/>
        <v/>
      </c>
      <c r="H242" s="78" t="str">
        <f>IFERROR(C242/SUM(M$2:M241),"")</f>
        <v/>
      </c>
      <c r="I242" s="61" t="str">
        <f>IFERROR(D242/SUM(N$2:N242),"")</f>
        <v/>
      </c>
      <c r="J242" s="61" t="str">
        <f>IFERROR(E242/SUM(O$2:O242),"")</f>
        <v/>
      </c>
      <c r="K242" s="61" t="str">
        <f>IFERROR(F242/SUM(P$2:P242),"")</f>
        <v/>
      </c>
      <c r="L242" s="79" t="str">
        <f>IFERROR(G242/SUM(Q$2:Q242),"")</f>
        <v/>
      </c>
      <c r="M242" s="64" t="str">
        <f t="shared" si="88"/>
        <v/>
      </c>
      <c r="N242" s="55" t="str">
        <f t="shared" si="89"/>
        <v/>
      </c>
      <c r="O242" s="55" t="str">
        <f t="shared" si="90"/>
        <v/>
      </c>
      <c r="P242" s="55" t="str">
        <f t="shared" si="91"/>
        <v/>
      </c>
      <c r="Q242" s="65" t="str">
        <f t="shared" si="92"/>
        <v/>
      </c>
      <c r="R242" s="67" t="str">
        <f t="shared" si="94"/>
        <v/>
      </c>
      <c r="S242" s="56" t="str">
        <f t="shared" si="95"/>
        <v/>
      </c>
      <c r="T242" s="56" t="str">
        <f t="shared" si="96"/>
        <v/>
      </c>
      <c r="U242" s="56" t="str">
        <f t="shared" si="97"/>
        <v/>
      </c>
      <c r="V242" s="68" t="str">
        <f t="shared" si="98"/>
        <v/>
      </c>
      <c r="W242" s="80" t="str">
        <f t="shared" si="99"/>
        <v/>
      </c>
      <c r="X242" s="81" t="str">
        <f t="shared" si="100"/>
        <v/>
      </c>
      <c r="Y242" s="81" t="str">
        <f t="shared" si="101"/>
        <v/>
      </c>
      <c r="Z242" s="81" t="str">
        <f t="shared" si="102"/>
        <v/>
      </c>
      <c r="AA242" s="82" t="str">
        <f t="shared" si="103"/>
        <v/>
      </c>
      <c r="AB242" s="83" t="str">
        <f>IF(R242&lt;&gt;"",(W242-SUMPRODUCT(R$3:R242,$B$3:$B242)/SUM($B$3:$B242))/STDEVA(W232:W242),"")</f>
        <v/>
      </c>
      <c r="AC242" s="84" t="str">
        <f>IF(S242&lt;&gt;"",(X242-SUMPRODUCT(S$3:S242,$B$3:$B242)/SUM($B$3:$B242))/STDEVA(X232:X242),"")</f>
        <v/>
      </c>
      <c r="AD242" s="84" t="str">
        <f>IF(T242&lt;&gt;"",(Y242-SUMPRODUCT(T$3:T242,$B$3:$B242)/SUM($B$3:$B242))/STDEVA(Y232:Y242),"")</f>
        <v/>
      </c>
      <c r="AE242" s="84" t="str">
        <f>IF(U242&lt;&gt;"",(Z242-SUMPRODUCT(U$3:U242,$B$3:$B242)/SUM($B$3:$B242))/STDEVA(Z232:Z242),"")</f>
        <v/>
      </c>
      <c r="AF242" s="85" t="str">
        <f>IF(V242&lt;&gt;"",(AA242-SUMPRODUCT(V$3:V242,$B$3:$B242)/SUM($B$3:$B242))/STDEVA(AA232:AA242),"")</f>
        <v/>
      </c>
      <c r="AG242" s="90" t="str">
        <f t="shared" si="104"/>
        <v/>
      </c>
      <c r="AH242" s="90" t="str">
        <f t="shared" si="104"/>
        <v/>
      </c>
      <c r="AI242" s="90" t="str">
        <f t="shared" si="104"/>
        <v/>
      </c>
      <c r="AJ242" s="90" t="str">
        <f t="shared" si="104"/>
        <v/>
      </c>
      <c r="AK242" s="93" t="str">
        <f t="shared" si="105"/>
        <v/>
      </c>
      <c r="BQ242" s="100" t="str">
        <f>IF(A242&lt;&gt;"",(VLOOKUP(A242,MarketData!$D:$BP,MATCH($BQ$1,MarketData!$D$1:$EG$1,0),TRUE)/100/365+1)^(B242)*BQ241,"")</f>
        <v/>
      </c>
      <c r="BR242" s="98" t="str">
        <f t="shared" si="82"/>
        <v/>
      </c>
      <c r="BS242" s="106" t="str">
        <f>IF(A242&lt;&gt;"",VLOOKUP(A242,MarketData!$D:$BP,MATCH($BS$1,MarketData!$D$1:$EG$1,0),TRUE),"")</f>
        <v/>
      </c>
      <c r="BT242" s="98" t="str">
        <f t="shared" si="93"/>
        <v/>
      </c>
    </row>
    <row r="243" spans="2:72" x14ac:dyDescent="0.25">
      <c r="B243" s="60" t="str">
        <f t="shared" si="106"/>
        <v/>
      </c>
      <c r="C243" s="3" t="str">
        <f t="shared" si="83"/>
        <v/>
      </c>
      <c r="D243" s="3" t="str">
        <f t="shared" si="84"/>
        <v/>
      </c>
      <c r="E243" s="3" t="str">
        <f t="shared" si="85"/>
        <v/>
      </c>
      <c r="F243" s="3" t="str">
        <f t="shared" si="86"/>
        <v/>
      </c>
      <c r="G243" s="74" t="str">
        <f t="shared" si="87"/>
        <v/>
      </c>
      <c r="H243" s="78" t="str">
        <f>IFERROR(C243/SUM(M$2:M242),"")</f>
        <v/>
      </c>
      <c r="I243" s="61" t="str">
        <f>IFERROR(D243/SUM(N$2:N243),"")</f>
        <v/>
      </c>
      <c r="J243" s="61" t="str">
        <f>IFERROR(E243/SUM(O$2:O243),"")</f>
        <v/>
      </c>
      <c r="K243" s="61" t="str">
        <f>IFERROR(F243/SUM(P$2:P243),"")</f>
        <v/>
      </c>
      <c r="L243" s="79" t="str">
        <f>IFERROR(G243/SUM(Q$2:Q243),"")</f>
        <v/>
      </c>
      <c r="M243" s="64" t="str">
        <f t="shared" si="88"/>
        <v/>
      </c>
      <c r="N243" s="55" t="str">
        <f t="shared" si="89"/>
        <v/>
      </c>
      <c r="O243" s="55" t="str">
        <f t="shared" si="90"/>
        <v/>
      </c>
      <c r="P243" s="55" t="str">
        <f t="shared" si="91"/>
        <v/>
      </c>
      <c r="Q243" s="65" t="str">
        <f t="shared" si="92"/>
        <v/>
      </c>
      <c r="R243" s="67" t="str">
        <f t="shared" si="94"/>
        <v/>
      </c>
      <c r="S243" s="56" t="str">
        <f t="shared" si="95"/>
        <v/>
      </c>
      <c r="T243" s="56" t="str">
        <f t="shared" si="96"/>
        <v/>
      </c>
      <c r="U243" s="56" t="str">
        <f t="shared" si="97"/>
        <v/>
      </c>
      <c r="V243" s="68" t="str">
        <f t="shared" si="98"/>
        <v/>
      </c>
      <c r="W243" s="80" t="str">
        <f t="shared" si="99"/>
        <v/>
      </c>
      <c r="X243" s="81" t="str">
        <f t="shared" si="100"/>
        <v/>
      </c>
      <c r="Y243" s="81" t="str">
        <f t="shared" si="101"/>
        <v/>
      </c>
      <c r="Z243" s="81" t="str">
        <f t="shared" si="102"/>
        <v/>
      </c>
      <c r="AA243" s="82" t="str">
        <f t="shared" si="103"/>
        <v/>
      </c>
      <c r="AB243" s="83" t="str">
        <f>IF(R243&lt;&gt;"",(W243-SUMPRODUCT(R$3:R243,$B$3:$B243)/SUM($B$3:$B243))/STDEVA(W233:W243),"")</f>
        <v/>
      </c>
      <c r="AC243" s="84" t="str">
        <f>IF(S243&lt;&gt;"",(X243-SUMPRODUCT(S$3:S243,$B$3:$B243)/SUM($B$3:$B243))/STDEVA(X233:X243),"")</f>
        <v/>
      </c>
      <c r="AD243" s="84" t="str">
        <f>IF(T243&lt;&gt;"",(Y243-SUMPRODUCT(T$3:T243,$B$3:$B243)/SUM($B$3:$B243))/STDEVA(Y233:Y243),"")</f>
        <v/>
      </c>
      <c r="AE243" s="84" t="str">
        <f>IF(U243&lt;&gt;"",(Z243-SUMPRODUCT(U$3:U243,$B$3:$B243)/SUM($B$3:$B243))/STDEVA(Z233:Z243),"")</f>
        <v/>
      </c>
      <c r="AF243" s="85" t="str">
        <f>IF(V243&lt;&gt;"",(AA243-SUMPRODUCT(V$3:V243,$B$3:$B243)/SUM($B$3:$B243))/STDEVA(AA233:AA243),"")</f>
        <v/>
      </c>
      <c r="AG243" s="90" t="str">
        <f t="shared" si="104"/>
        <v/>
      </c>
      <c r="AH243" s="90" t="str">
        <f t="shared" si="104"/>
        <v/>
      </c>
      <c r="AI243" s="90" t="str">
        <f t="shared" si="104"/>
        <v/>
      </c>
      <c r="AJ243" s="90" t="str">
        <f t="shared" si="104"/>
        <v/>
      </c>
      <c r="AK243" s="93" t="str">
        <f t="shared" si="105"/>
        <v/>
      </c>
      <c r="BQ243" s="100" t="str">
        <f>IF(A243&lt;&gt;"",(VLOOKUP(A243,MarketData!$D:$BP,MATCH($BQ$1,MarketData!$D$1:$EG$1,0),TRUE)/100/365+1)^(B243)*BQ242,"")</f>
        <v/>
      </c>
      <c r="BR243" s="98" t="str">
        <f t="shared" si="82"/>
        <v/>
      </c>
      <c r="BS243" s="106" t="str">
        <f>IF(A243&lt;&gt;"",VLOOKUP(A243,MarketData!$D:$BP,MATCH($BS$1,MarketData!$D$1:$EG$1,0),TRUE),"")</f>
        <v/>
      </c>
      <c r="BT243" s="98" t="str">
        <f t="shared" si="93"/>
        <v/>
      </c>
    </row>
    <row r="244" spans="2:72" x14ac:dyDescent="0.25">
      <c r="B244" s="60" t="str">
        <f t="shared" si="106"/>
        <v/>
      </c>
      <c r="C244" s="3" t="str">
        <f t="shared" si="83"/>
        <v/>
      </c>
      <c r="D244" s="3" t="str">
        <f t="shared" si="84"/>
        <v/>
      </c>
      <c r="E244" s="3" t="str">
        <f t="shared" si="85"/>
        <v/>
      </c>
      <c r="F244" s="3" t="str">
        <f t="shared" si="86"/>
        <v/>
      </c>
      <c r="G244" s="74" t="str">
        <f t="shared" si="87"/>
        <v/>
      </c>
      <c r="H244" s="78" t="str">
        <f>IFERROR(C244/SUM(M$2:M243),"")</f>
        <v/>
      </c>
      <c r="I244" s="61" t="str">
        <f>IFERROR(D244/SUM(N$2:N244),"")</f>
        <v/>
      </c>
      <c r="J244" s="61" t="str">
        <f>IFERROR(E244/SUM(O$2:O244),"")</f>
        <v/>
      </c>
      <c r="K244" s="61" t="str">
        <f>IFERROR(F244/SUM(P$2:P244),"")</f>
        <v/>
      </c>
      <c r="L244" s="79" t="str">
        <f>IFERROR(G244/SUM(Q$2:Q244),"")</f>
        <v/>
      </c>
      <c r="M244" s="64" t="str">
        <f t="shared" si="88"/>
        <v/>
      </c>
      <c r="N244" s="55" t="str">
        <f t="shared" si="89"/>
        <v/>
      </c>
      <c r="O244" s="55" t="str">
        <f t="shared" si="90"/>
        <v/>
      </c>
      <c r="P244" s="55" t="str">
        <f t="shared" si="91"/>
        <v/>
      </c>
      <c r="Q244" s="65" t="str">
        <f t="shared" si="92"/>
        <v/>
      </c>
      <c r="R244" s="67" t="str">
        <f t="shared" si="94"/>
        <v/>
      </c>
      <c r="S244" s="56" t="str">
        <f t="shared" si="95"/>
        <v/>
      </c>
      <c r="T244" s="56" t="str">
        <f t="shared" si="96"/>
        <v/>
      </c>
      <c r="U244" s="56" t="str">
        <f t="shared" si="97"/>
        <v/>
      </c>
      <c r="V244" s="68" t="str">
        <f t="shared" si="98"/>
        <v/>
      </c>
      <c r="W244" s="80" t="str">
        <f t="shared" si="99"/>
        <v/>
      </c>
      <c r="X244" s="81" t="str">
        <f t="shared" si="100"/>
        <v/>
      </c>
      <c r="Y244" s="81" t="str">
        <f t="shared" si="101"/>
        <v/>
      </c>
      <c r="Z244" s="81" t="str">
        <f t="shared" si="102"/>
        <v/>
      </c>
      <c r="AA244" s="82" t="str">
        <f t="shared" si="103"/>
        <v/>
      </c>
      <c r="AB244" s="83" t="str">
        <f>IF(R244&lt;&gt;"",(W244-SUMPRODUCT(R$3:R244,$B$3:$B244)/SUM($B$3:$B244))/STDEVA(W234:W244),"")</f>
        <v/>
      </c>
      <c r="AC244" s="84" t="str">
        <f>IF(S244&lt;&gt;"",(X244-SUMPRODUCT(S$3:S244,$B$3:$B244)/SUM($B$3:$B244))/STDEVA(X234:X244),"")</f>
        <v/>
      </c>
      <c r="AD244" s="84" t="str">
        <f>IF(T244&lt;&gt;"",(Y244-SUMPRODUCT(T$3:T244,$B$3:$B244)/SUM($B$3:$B244))/STDEVA(Y234:Y244),"")</f>
        <v/>
      </c>
      <c r="AE244" s="84" t="str">
        <f>IF(U244&lt;&gt;"",(Z244-SUMPRODUCT(U$3:U244,$B$3:$B244)/SUM($B$3:$B244))/STDEVA(Z234:Z244),"")</f>
        <v/>
      </c>
      <c r="AF244" s="85" t="str">
        <f>IF(V244&lt;&gt;"",(AA244-SUMPRODUCT(V$3:V244,$B$3:$B244)/SUM($B$3:$B244))/STDEVA(AA234:AA244),"")</f>
        <v/>
      </c>
      <c r="AG244" s="90" t="str">
        <f t="shared" si="104"/>
        <v/>
      </c>
      <c r="AH244" s="90" t="str">
        <f t="shared" si="104"/>
        <v/>
      </c>
      <c r="AI244" s="90" t="str">
        <f t="shared" si="104"/>
        <v/>
      </c>
      <c r="AJ244" s="90" t="str">
        <f t="shared" si="104"/>
        <v/>
      </c>
      <c r="AK244" s="93" t="str">
        <f t="shared" si="105"/>
        <v/>
      </c>
      <c r="BQ244" s="100" t="str">
        <f>IF(A244&lt;&gt;"",(VLOOKUP(A244,MarketData!$D:$BP,MATCH($BQ$1,MarketData!$D$1:$EG$1,0),TRUE)/100/365+1)^(B244)*BQ243,"")</f>
        <v/>
      </c>
      <c r="BR244" s="98" t="str">
        <f t="shared" si="82"/>
        <v/>
      </c>
      <c r="BS244" s="106" t="str">
        <f>IF(A244&lt;&gt;"",VLOOKUP(A244,MarketData!$D:$BP,MATCH($BS$1,MarketData!$D$1:$EG$1,0),TRUE),"")</f>
        <v/>
      </c>
      <c r="BT244" s="98" t="str">
        <f t="shared" si="93"/>
        <v/>
      </c>
    </row>
    <row r="245" spans="2:72" x14ac:dyDescent="0.25">
      <c r="B245" s="60" t="str">
        <f t="shared" si="106"/>
        <v/>
      </c>
      <c r="C245" s="3" t="str">
        <f t="shared" si="83"/>
        <v/>
      </c>
      <c r="D245" s="3" t="str">
        <f t="shared" si="84"/>
        <v/>
      </c>
      <c r="E245" s="3" t="str">
        <f t="shared" si="85"/>
        <v/>
      </c>
      <c r="F245" s="3" t="str">
        <f t="shared" si="86"/>
        <v/>
      </c>
      <c r="G245" s="74" t="str">
        <f t="shared" si="87"/>
        <v/>
      </c>
      <c r="H245" s="78" t="str">
        <f>IFERROR(C245/SUM(M$2:M244),"")</f>
        <v/>
      </c>
      <c r="I245" s="61" t="str">
        <f>IFERROR(D245/SUM(N$2:N245),"")</f>
        <v/>
      </c>
      <c r="J245" s="61" t="str">
        <f>IFERROR(E245/SUM(O$2:O245),"")</f>
        <v/>
      </c>
      <c r="K245" s="61" t="str">
        <f>IFERROR(F245/SUM(P$2:P245),"")</f>
        <v/>
      </c>
      <c r="L245" s="79" t="str">
        <f>IFERROR(G245/SUM(Q$2:Q245),"")</f>
        <v/>
      </c>
      <c r="M245" s="64" t="str">
        <f t="shared" si="88"/>
        <v/>
      </c>
      <c r="N245" s="55" t="str">
        <f t="shared" si="89"/>
        <v/>
      </c>
      <c r="O245" s="55" t="str">
        <f t="shared" si="90"/>
        <v/>
      </c>
      <c r="P245" s="55" t="str">
        <f t="shared" si="91"/>
        <v/>
      </c>
      <c r="Q245" s="65" t="str">
        <f t="shared" si="92"/>
        <v/>
      </c>
      <c r="R245" s="67" t="str">
        <f t="shared" si="94"/>
        <v/>
      </c>
      <c r="S245" s="56" t="str">
        <f t="shared" si="95"/>
        <v/>
      </c>
      <c r="T245" s="56" t="str">
        <f t="shared" si="96"/>
        <v/>
      </c>
      <c r="U245" s="56" t="str">
        <f t="shared" si="97"/>
        <v/>
      </c>
      <c r="V245" s="68" t="str">
        <f t="shared" si="98"/>
        <v/>
      </c>
      <c r="W245" s="80" t="str">
        <f t="shared" si="99"/>
        <v/>
      </c>
      <c r="X245" s="81" t="str">
        <f t="shared" si="100"/>
        <v/>
      </c>
      <c r="Y245" s="81" t="str">
        <f t="shared" si="101"/>
        <v/>
      </c>
      <c r="Z245" s="81" t="str">
        <f t="shared" si="102"/>
        <v/>
      </c>
      <c r="AA245" s="82" t="str">
        <f t="shared" si="103"/>
        <v/>
      </c>
      <c r="AB245" s="83" t="str">
        <f>IF(R245&lt;&gt;"",(W245-SUMPRODUCT(R$3:R245,$B$3:$B245)/SUM($B$3:$B245))/STDEVA(W235:W245),"")</f>
        <v/>
      </c>
      <c r="AC245" s="84" t="str">
        <f>IF(S245&lt;&gt;"",(X245-SUMPRODUCT(S$3:S245,$B$3:$B245)/SUM($B$3:$B245))/STDEVA(X235:X245),"")</f>
        <v/>
      </c>
      <c r="AD245" s="84" t="str">
        <f>IF(T245&lt;&gt;"",(Y245-SUMPRODUCT(T$3:T245,$B$3:$B245)/SUM($B$3:$B245))/STDEVA(Y235:Y245),"")</f>
        <v/>
      </c>
      <c r="AE245" s="84" t="str">
        <f>IF(U245&lt;&gt;"",(Z245-SUMPRODUCT(U$3:U245,$B$3:$B245)/SUM($B$3:$B245))/STDEVA(Z235:Z245),"")</f>
        <v/>
      </c>
      <c r="AF245" s="85" t="str">
        <f>IF(V245&lt;&gt;"",(AA245-SUMPRODUCT(V$3:V245,$B$3:$B245)/SUM($B$3:$B245))/STDEVA(AA235:AA245),"")</f>
        <v/>
      </c>
      <c r="AG245" s="90" t="str">
        <f t="shared" si="104"/>
        <v/>
      </c>
      <c r="AH245" s="90" t="str">
        <f t="shared" si="104"/>
        <v/>
      </c>
      <c r="AI245" s="90" t="str">
        <f t="shared" si="104"/>
        <v/>
      </c>
      <c r="AJ245" s="90" t="str">
        <f t="shared" si="104"/>
        <v/>
      </c>
      <c r="AK245" s="93" t="str">
        <f t="shared" si="105"/>
        <v/>
      </c>
      <c r="BQ245" s="100" t="str">
        <f>IF(A245&lt;&gt;"",(VLOOKUP(A245,MarketData!$D:$BP,MATCH($BQ$1,MarketData!$D$1:$EG$1,0),TRUE)/100/365+1)^(B245)*BQ244,"")</f>
        <v/>
      </c>
      <c r="BR245" s="98" t="str">
        <f t="shared" si="82"/>
        <v/>
      </c>
      <c r="BS245" s="106" t="str">
        <f>IF(A245&lt;&gt;"",VLOOKUP(A245,MarketData!$D:$BP,MATCH($BS$1,MarketData!$D$1:$EG$1,0),TRUE),"")</f>
        <v/>
      </c>
      <c r="BT245" s="98" t="str">
        <f t="shared" si="93"/>
        <v/>
      </c>
    </row>
    <row r="246" spans="2:72" x14ac:dyDescent="0.25">
      <c r="B246" s="60" t="str">
        <f t="shared" si="106"/>
        <v/>
      </c>
      <c r="C246" s="3" t="str">
        <f t="shared" si="83"/>
        <v/>
      </c>
      <c r="D246" s="3" t="str">
        <f t="shared" si="84"/>
        <v/>
      </c>
      <c r="E246" s="3" t="str">
        <f t="shared" si="85"/>
        <v/>
      </c>
      <c r="F246" s="3" t="str">
        <f t="shared" si="86"/>
        <v/>
      </c>
      <c r="G246" s="74" t="str">
        <f t="shared" si="87"/>
        <v/>
      </c>
      <c r="H246" s="78" t="str">
        <f>IFERROR(C246/SUM(M$2:M245),"")</f>
        <v/>
      </c>
      <c r="I246" s="61" t="str">
        <f>IFERROR(D246/SUM(N$2:N246),"")</f>
        <v/>
      </c>
      <c r="J246" s="61" t="str">
        <f>IFERROR(E246/SUM(O$2:O246),"")</f>
        <v/>
      </c>
      <c r="K246" s="61" t="str">
        <f>IFERROR(F246/SUM(P$2:P246),"")</f>
        <v/>
      </c>
      <c r="L246" s="79" t="str">
        <f>IFERROR(G246/SUM(Q$2:Q246),"")</f>
        <v/>
      </c>
      <c r="M246" s="64" t="str">
        <f t="shared" si="88"/>
        <v/>
      </c>
      <c r="N246" s="55" t="str">
        <f t="shared" si="89"/>
        <v/>
      </c>
      <c r="O246" s="55" t="str">
        <f t="shared" si="90"/>
        <v/>
      </c>
      <c r="P246" s="55" t="str">
        <f t="shared" si="91"/>
        <v/>
      </c>
      <c r="Q246" s="65" t="str">
        <f t="shared" si="92"/>
        <v/>
      </c>
      <c r="R246" s="67" t="str">
        <f t="shared" si="94"/>
        <v/>
      </c>
      <c r="S246" s="56" t="str">
        <f t="shared" si="95"/>
        <v/>
      </c>
      <c r="T246" s="56" t="str">
        <f t="shared" si="96"/>
        <v/>
      </c>
      <c r="U246" s="56" t="str">
        <f t="shared" si="97"/>
        <v/>
      </c>
      <c r="V246" s="68" t="str">
        <f t="shared" si="98"/>
        <v/>
      </c>
      <c r="W246" s="80" t="str">
        <f t="shared" si="99"/>
        <v/>
      </c>
      <c r="X246" s="81" t="str">
        <f t="shared" si="100"/>
        <v/>
      </c>
      <c r="Y246" s="81" t="str">
        <f t="shared" si="101"/>
        <v/>
      </c>
      <c r="Z246" s="81" t="str">
        <f t="shared" si="102"/>
        <v/>
      </c>
      <c r="AA246" s="82" t="str">
        <f t="shared" si="103"/>
        <v/>
      </c>
      <c r="AB246" s="83" t="str">
        <f>IF(R246&lt;&gt;"",(W246-SUMPRODUCT(R$3:R246,$B$3:$B246)/SUM($B$3:$B246))/STDEVA(W236:W246),"")</f>
        <v/>
      </c>
      <c r="AC246" s="84" t="str">
        <f>IF(S246&lt;&gt;"",(X246-SUMPRODUCT(S$3:S246,$B$3:$B246)/SUM($B$3:$B246))/STDEVA(X236:X246),"")</f>
        <v/>
      </c>
      <c r="AD246" s="84" t="str">
        <f>IF(T246&lt;&gt;"",(Y246-SUMPRODUCT(T$3:T246,$B$3:$B246)/SUM($B$3:$B246))/STDEVA(Y236:Y246),"")</f>
        <v/>
      </c>
      <c r="AE246" s="84" t="str">
        <f>IF(U246&lt;&gt;"",(Z246-SUMPRODUCT(U$3:U246,$B$3:$B246)/SUM($B$3:$B246))/STDEVA(Z236:Z246),"")</f>
        <v/>
      </c>
      <c r="AF246" s="85" t="str">
        <f>IF(V246&lt;&gt;"",(AA246-SUMPRODUCT(V$3:V246,$B$3:$B246)/SUM($B$3:$B246))/STDEVA(AA236:AA246),"")</f>
        <v/>
      </c>
      <c r="AG246" s="90" t="str">
        <f t="shared" si="104"/>
        <v/>
      </c>
      <c r="AH246" s="90" t="str">
        <f t="shared" si="104"/>
        <v/>
      </c>
      <c r="AI246" s="90" t="str">
        <f t="shared" si="104"/>
        <v/>
      </c>
      <c r="AJ246" s="90" t="str">
        <f t="shared" si="104"/>
        <v/>
      </c>
      <c r="AK246" s="93" t="str">
        <f t="shared" si="105"/>
        <v/>
      </c>
      <c r="BQ246" s="100" t="str">
        <f>IF(A246&lt;&gt;"",(VLOOKUP(A246,MarketData!$D:$BP,MATCH($BQ$1,MarketData!$D$1:$EG$1,0),TRUE)/100/365+1)^(B246)*BQ245,"")</f>
        <v/>
      </c>
      <c r="BR246" s="98" t="str">
        <f t="shared" si="82"/>
        <v/>
      </c>
      <c r="BS246" s="106" t="str">
        <f>IF(A246&lt;&gt;"",VLOOKUP(A246,MarketData!$D:$BP,MATCH($BS$1,MarketData!$D$1:$EG$1,0),TRUE),"")</f>
        <v/>
      </c>
      <c r="BT246" s="98" t="str">
        <f t="shared" si="93"/>
        <v/>
      </c>
    </row>
    <row r="247" spans="2:72" x14ac:dyDescent="0.25">
      <c r="B247" s="60" t="str">
        <f t="shared" si="106"/>
        <v/>
      </c>
      <c r="C247" s="3" t="str">
        <f t="shared" si="83"/>
        <v/>
      </c>
      <c r="D247" s="3" t="str">
        <f t="shared" si="84"/>
        <v/>
      </c>
      <c r="E247" s="3" t="str">
        <f t="shared" si="85"/>
        <v/>
      </c>
      <c r="F247" s="3" t="str">
        <f t="shared" si="86"/>
        <v/>
      </c>
      <c r="G247" s="74" t="str">
        <f t="shared" si="87"/>
        <v/>
      </c>
      <c r="H247" s="78" t="str">
        <f>IFERROR(C247/SUM(M$2:M246),"")</f>
        <v/>
      </c>
      <c r="I247" s="61" t="str">
        <f>IFERROR(D247/SUM(N$2:N247),"")</f>
        <v/>
      </c>
      <c r="J247" s="61" t="str">
        <f>IFERROR(E247/SUM(O$2:O247),"")</f>
        <v/>
      </c>
      <c r="K247" s="61" t="str">
        <f>IFERROR(F247/SUM(P$2:P247),"")</f>
        <v/>
      </c>
      <c r="L247" s="79" t="str">
        <f>IFERROR(G247/SUM(Q$2:Q247),"")</f>
        <v/>
      </c>
      <c r="M247" s="64" t="str">
        <f t="shared" si="88"/>
        <v/>
      </c>
      <c r="N247" s="55" t="str">
        <f t="shared" si="89"/>
        <v/>
      </c>
      <c r="O247" s="55" t="str">
        <f t="shared" si="90"/>
        <v/>
      </c>
      <c r="P247" s="55" t="str">
        <f t="shared" si="91"/>
        <v/>
      </c>
      <c r="Q247" s="65" t="str">
        <f t="shared" si="92"/>
        <v/>
      </c>
      <c r="R247" s="67" t="str">
        <f t="shared" si="94"/>
        <v/>
      </c>
      <c r="S247" s="56" t="str">
        <f t="shared" si="95"/>
        <v/>
      </c>
      <c r="T247" s="56" t="str">
        <f t="shared" si="96"/>
        <v/>
      </c>
      <c r="U247" s="56" t="str">
        <f t="shared" si="97"/>
        <v/>
      </c>
      <c r="V247" s="68" t="str">
        <f t="shared" si="98"/>
        <v/>
      </c>
      <c r="W247" s="80" t="str">
        <f t="shared" si="99"/>
        <v/>
      </c>
      <c r="X247" s="81" t="str">
        <f t="shared" si="100"/>
        <v/>
      </c>
      <c r="Y247" s="81" t="str">
        <f t="shared" si="101"/>
        <v/>
      </c>
      <c r="Z247" s="81" t="str">
        <f t="shared" si="102"/>
        <v/>
      </c>
      <c r="AA247" s="82" t="str">
        <f t="shared" si="103"/>
        <v/>
      </c>
      <c r="AB247" s="83" t="str">
        <f>IF(R247&lt;&gt;"",(W247-SUMPRODUCT(R$3:R247,$B$3:$B247)/SUM($B$3:$B247))/STDEVA(W237:W247),"")</f>
        <v/>
      </c>
      <c r="AC247" s="84" t="str">
        <f>IF(S247&lt;&gt;"",(X247-SUMPRODUCT(S$3:S247,$B$3:$B247)/SUM($B$3:$B247))/STDEVA(X237:X247),"")</f>
        <v/>
      </c>
      <c r="AD247" s="84" t="str">
        <f>IF(T247&lt;&gt;"",(Y247-SUMPRODUCT(T$3:T247,$B$3:$B247)/SUM($B$3:$B247))/STDEVA(Y237:Y247),"")</f>
        <v/>
      </c>
      <c r="AE247" s="84" t="str">
        <f>IF(U247&lt;&gt;"",(Z247-SUMPRODUCT(U$3:U247,$B$3:$B247)/SUM($B$3:$B247))/STDEVA(Z237:Z247),"")</f>
        <v/>
      </c>
      <c r="AF247" s="85" t="str">
        <f>IF(V247&lt;&gt;"",(AA247-SUMPRODUCT(V$3:V247,$B$3:$B247)/SUM($B$3:$B247))/STDEVA(AA237:AA247),"")</f>
        <v/>
      </c>
      <c r="AG247" s="90" t="str">
        <f t="shared" si="104"/>
        <v/>
      </c>
      <c r="AH247" s="90" t="str">
        <f t="shared" si="104"/>
        <v/>
      </c>
      <c r="AI247" s="90" t="str">
        <f t="shared" si="104"/>
        <v/>
      </c>
      <c r="AJ247" s="90" t="str">
        <f t="shared" si="104"/>
        <v/>
      </c>
      <c r="AK247" s="93" t="str">
        <f t="shared" si="105"/>
        <v/>
      </c>
      <c r="BQ247" s="100" t="str">
        <f>IF(A247&lt;&gt;"",(VLOOKUP(A247,MarketData!$D:$BP,MATCH($BQ$1,MarketData!$D$1:$EG$1,0),TRUE)/100/365+1)^(B247)*BQ246,"")</f>
        <v/>
      </c>
      <c r="BR247" s="98" t="str">
        <f t="shared" si="82"/>
        <v/>
      </c>
      <c r="BS247" s="106" t="str">
        <f>IF(A247&lt;&gt;"",VLOOKUP(A247,MarketData!$D:$BP,MATCH($BS$1,MarketData!$D$1:$EG$1,0),TRUE),"")</f>
        <v/>
      </c>
      <c r="BT247" s="98" t="str">
        <f t="shared" si="93"/>
        <v/>
      </c>
    </row>
    <row r="248" spans="2:72" x14ac:dyDescent="0.25">
      <c r="B248" s="60" t="str">
        <f t="shared" si="106"/>
        <v/>
      </c>
      <c r="C248" s="3" t="str">
        <f t="shared" si="83"/>
        <v/>
      </c>
      <c r="D248" s="3" t="str">
        <f t="shared" si="84"/>
        <v/>
      </c>
      <c r="E248" s="3" t="str">
        <f t="shared" si="85"/>
        <v/>
      </c>
      <c r="F248" s="3" t="str">
        <f t="shared" si="86"/>
        <v/>
      </c>
      <c r="G248" s="74" t="str">
        <f t="shared" si="87"/>
        <v/>
      </c>
      <c r="H248" s="78" t="str">
        <f>IFERROR(C248/SUM(M$2:M247),"")</f>
        <v/>
      </c>
      <c r="I248" s="61" t="str">
        <f>IFERROR(D248/SUM(N$2:N248),"")</f>
        <v/>
      </c>
      <c r="J248" s="61" t="str">
        <f>IFERROR(E248/SUM(O$2:O248),"")</f>
        <v/>
      </c>
      <c r="K248" s="61" t="str">
        <f>IFERROR(F248/SUM(P$2:P248),"")</f>
        <v/>
      </c>
      <c r="L248" s="79" t="str">
        <f>IFERROR(G248/SUM(Q$2:Q248),"")</f>
        <v/>
      </c>
      <c r="M248" s="64" t="str">
        <f t="shared" si="88"/>
        <v/>
      </c>
      <c r="N248" s="55" t="str">
        <f t="shared" si="89"/>
        <v/>
      </c>
      <c r="O248" s="55" t="str">
        <f t="shared" si="90"/>
        <v/>
      </c>
      <c r="P248" s="55" t="str">
        <f t="shared" si="91"/>
        <v/>
      </c>
      <c r="Q248" s="65" t="str">
        <f t="shared" si="92"/>
        <v/>
      </c>
      <c r="R248" s="67" t="str">
        <f t="shared" si="94"/>
        <v/>
      </c>
      <c r="S248" s="56" t="str">
        <f t="shared" si="95"/>
        <v/>
      </c>
      <c r="T248" s="56" t="str">
        <f t="shared" si="96"/>
        <v/>
      </c>
      <c r="U248" s="56" t="str">
        <f t="shared" si="97"/>
        <v/>
      </c>
      <c r="V248" s="68" t="str">
        <f t="shared" si="98"/>
        <v/>
      </c>
      <c r="W248" s="80" t="str">
        <f t="shared" si="99"/>
        <v/>
      </c>
      <c r="X248" s="81" t="str">
        <f t="shared" si="100"/>
        <v/>
      </c>
      <c r="Y248" s="81" t="str">
        <f t="shared" si="101"/>
        <v/>
      </c>
      <c r="Z248" s="81" t="str">
        <f t="shared" si="102"/>
        <v/>
      </c>
      <c r="AA248" s="82" t="str">
        <f t="shared" si="103"/>
        <v/>
      </c>
      <c r="AB248" s="83" t="str">
        <f>IF(R248&lt;&gt;"",(W248-SUMPRODUCT(R$3:R248,$B$3:$B248)/SUM($B$3:$B248))/STDEVA(W238:W248),"")</f>
        <v/>
      </c>
      <c r="AC248" s="84" t="str">
        <f>IF(S248&lt;&gt;"",(X248-SUMPRODUCT(S$3:S248,$B$3:$B248)/SUM($B$3:$B248))/STDEVA(X238:X248),"")</f>
        <v/>
      </c>
      <c r="AD248" s="84" t="str">
        <f>IF(T248&lt;&gt;"",(Y248-SUMPRODUCT(T$3:T248,$B$3:$B248)/SUM($B$3:$B248))/STDEVA(Y238:Y248),"")</f>
        <v/>
      </c>
      <c r="AE248" s="84" t="str">
        <f>IF(U248&lt;&gt;"",(Z248-SUMPRODUCT(U$3:U248,$B$3:$B248)/SUM($B$3:$B248))/STDEVA(Z238:Z248),"")</f>
        <v/>
      </c>
      <c r="AF248" s="85" t="str">
        <f>IF(V248&lt;&gt;"",(AA248-SUMPRODUCT(V$3:V248,$B$3:$B248)/SUM($B$3:$B248))/STDEVA(AA238:AA248),"")</f>
        <v/>
      </c>
      <c r="AG248" s="90" t="str">
        <f t="shared" si="104"/>
        <v/>
      </c>
      <c r="AH248" s="90" t="str">
        <f t="shared" si="104"/>
        <v/>
      </c>
      <c r="AI248" s="90" t="str">
        <f t="shared" si="104"/>
        <v/>
      </c>
      <c r="AJ248" s="90" t="str">
        <f t="shared" si="104"/>
        <v/>
      </c>
      <c r="AK248" s="93" t="str">
        <f t="shared" si="105"/>
        <v/>
      </c>
      <c r="BQ248" s="100" t="str">
        <f>IF(A248&lt;&gt;"",(VLOOKUP(A248,MarketData!$D:$BP,MATCH($BQ$1,MarketData!$D$1:$EG$1,0),TRUE)/100/365+1)^(B248)*BQ247,"")</f>
        <v/>
      </c>
      <c r="BR248" s="98" t="str">
        <f t="shared" si="82"/>
        <v/>
      </c>
      <c r="BS248" s="106" t="str">
        <f>IF(A248&lt;&gt;"",VLOOKUP(A248,MarketData!$D:$BP,MATCH($BS$1,MarketData!$D$1:$EG$1,0),TRUE),"")</f>
        <v/>
      </c>
      <c r="BT248" s="98" t="str">
        <f t="shared" si="93"/>
        <v/>
      </c>
    </row>
    <row r="249" spans="2:72" x14ac:dyDescent="0.25">
      <c r="B249" s="60" t="str">
        <f t="shared" si="106"/>
        <v/>
      </c>
      <c r="C249" s="3" t="str">
        <f t="shared" si="83"/>
        <v/>
      </c>
      <c r="D249" s="3" t="str">
        <f t="shared" si="84"/>
        <v/>
      </c>
      <c r="E249" s="3" t="str">
        <f t="shared" si="85"/>
        <v/>
      </c>
      <c r="F249" s="3" t="str">
        <f t="shared" si="86"/>
        <v/>
      </c>
      <c r="G249" s="74" t="str">
        <f t="shared" si="87"/>
        <v/>
      </c>
      <c r="H249" s="78" t="str">
        <f>IFERROR(C249/SUM(M$2:M248),"")</f>
        <v/>
      </c>
      <c r="I249" s="61" t="str">
        <f>IFERROR(D249/SUM(N$2:N249),"")</f>
        <v/>
      </c>
      <c r="J249" s="61" t="str">
        <f>IFERROR(E249/SUM(O$2:O249),"")</f>
        <v/>
      </c>
      <c r="K249" s="61" t="str">
        <f>IFERROR(F249/SUM(P$2:P249),"")</f>
        <v/>
      </c>
      <c r="L249" s="79" t="str">
        <f>IFERROR(G249/SUM(Q$2:Q249),"")</f>
        <v/>
      </c>
      <c r="M249" s="64" t="str">
        <f t="shared" si="88"/>
        <v/>
      </c>
      <c r="N249" s="55" t="str">
        <f t="shared" si="89"/>
        <v/>
      </c>
      <c r="O249" s="55" t="str">
        <f t="shared" si="90"/>
        <v/>
      </c>
      <c r="P249" s="55" t="str">
        <f t="shared" si="91"/>
        <v/>
      </c>
      <c r="Q249" s="65" t="str">
        <f t="shared" si="92"/>
        <v/>
      </c>
      <c r="R249" s="67" t="str">
        <f t="shared" si="94"/>
        <v/>
      </c>
      <c r="S249" s="56" t="str">
        <f t="shared" si="95"/>
        <v/>
      </c>
      <c r="T249" s="56" t="str">
        <f t="shared" si="96"/>
        <v/>
      </c>
      <c r="U249" s="56" t="str">
        <f t="shared" si="97"/>
        <v/>
      </c>
      <c r="V249" s="68" t="str">
        <f t="shared" si="98"/>
        <v/>
      </c>
      <c r="W249" s="80" t="str">
        <f t="shared" si="99"/>
        <v/>
      </c>
      <c r="X249" s="81" t="str">
        <f t="shared" si="100"/>
        <v/>
      </c>
      <c r="Y249" s="81" t="str">
        <f t="shared" si="101"/>
        <v/>
      </c>
      <c r="Z249" s="81" t="str">
        <f t="shared" si="102"/>
        <v/>
      </c>
      <c r="AA249" s="82" t="str">
        <f t="shared" si="103"/>
        <v/>
      </c>
      <c r="AB249" s="83" t="str">
        <f>IF(R249&lt;&gt;"",(W249-SUMPRODUCT(R$3:R249,$B$3:$B249)/SUM($B$3:$B249))/STDEVA(W239:W249),"")</f>
        <v/>
      </c>
      <c r="AC249" s="84" t="str">
        <f>IF(S249&lt;&gt;"",(X249-SUMPRODUCT(S$3:S249,$B$3:$B249)/SUM($B$3:$B249))/STDEVA(X239:X249),"")</f>
        <v/>
      </c>
      <c r="AD249" s="84" t="str">
        <f>IF(T249&lt;&gt;"",(Y249-SUMPRODUCT(T$3:T249,$B$3:$B249)/SUM($B$3:$B249))/STDEVA(Y239:Y249),"")</f>
        <v/>
      </c>
      <c r="AE249" s="84" t="str">
        <f>IF(U249&lt;&gt;"",(Z249-SUMPRODUCT(U$3:U249,$B$3:$B249)/SUM($B$3:$B249))/STDEVA(Z239:Z249),"")</f>
        <v/>
      </c>
      <c r="AF249" s="85" t="str">
        <f>IF(V249&lt;&gt;"",(AA249-SUMPRODUCT(V$3:V249,$B$3:$B249)/SUM($B$3:$B249))/STDEVA(AA239:AA249),"")</f>
        <v/>
      </c>
      <c r="AG249" s="90" t="str">
        <f t="shared" si="104"/>
        <v/>
      </c>
      <c r="AH249" s="90" t="str">
        <f t="shared" si="104"/>
        <v/>
      </c>
      <c r="AI249" s="90" t="str">
        <f t="shared" si="104"/>
        <v/>
      </c>
      <c r="AJ249" s="90" t="str">
        <f t="shared" si="104"/>
        <v/>
      </c>
      <c r="AK249" s="93" t="str">
        <f t="shared" si="105"/>
        <v/>
      </c>
      <c r="BQ249" s="100" t="str">
        <f>IF(A249&lt;&gt;"",(VLOOKUP(A249,MarketData!$D:$BP,MATCH($BQ$1,MarketData!$D$1:$EG$1,0),TRUE)/100/365+1)^(B249)*BQ248,"")</f>
        <v/>
      </c>
      <c r="BR249" s="98" t="str">
        <f t="shared" si="82"/>
        <v/>
      </c>
      <c r="BS249" s="106" t="str">
        <f>IF(A249&lt;&gt;"",VLOOKUP(A249,MarketData!$D:$BP,MATCH($BS$1,MarketData!$D$1:$EG$1,0),TRUE),"")</f>
        <v/>
      </c>
      <c r="BT249" s="98" t="str">
        <f t="shared" si="93"/>
        <v/>
      </c>
    </row>
    <row r="250" spans="2:72" x14ac:dyDescent="0.25">
      <c r="B250" s="60" t="str">
        <f t="shared" si="106"/>
        <v/>
      </c>
      <c r="C250" s="3" t="str">
        <f t="shared" si="83"/>
        <v/>
      </c>
      <c r="D250" s="3" t="str">
        <f t="shared" si="84"/>
        <v/>
      </c>
      <c r="E250" s="3" t="str">
        <f t="shared" si="85"/>
        <v/>
      </c>
      <c r="F250" s="3" t="str">
        <f t="shared" si="86"/>
        <v/>
      </c>
      <c r="G250" s="74" t="str">
        <f t="shared" si="87"/>
        <v/>
      </c>
      <c r="H250" s="78" t="str">
        <f>IFERROR(C250/SUM(M$2:M249),"")</f>
        <v/>
      </c>
      <c r="I250" s="61" t="str">
        <f>IFERROR(D250/SUM(N$2:N250),"")</f>
        <v/>
      </c>
      <c r="J250" s="61" t="str">
        <f>IFERROR(E250/SUM(O$2:O250),"")</f>
        <v/>
      </c>
      <c r="K250" s="61" t="str">
        <f>IFERROR(F250/SUM(P$2:P250),"")</f>
        <v/>
      </c>
      <c r="L250" s="79" t="str">
        <f>IFERROR(G250/SUM(Q$2:Q250),"")</f>
        <v/>
      </c>
      <c r="M250" s="64" t="str">
        <f t="shared" si="88"/>
        <v/>
      </c>
      <c r="N250" s="55" t="str">
        <f t="shared" si="89"/>
        <v/>
      </c>
      <c r="O250" s="55" t="str">
        <f t="shared" si="90"/>
        <v/>
      </c>
      <c r="P250" s="55" t="str">
        <f t="shared" si="91"/>
        <v/>
      </c>
      <c r="Q250" s="65" t="str">
        <f t="shared" si="92"/>
        <v/>
      </c>
      <c r="R250" s="67" t="str">
        <f t="shared" si="94"/>
        <v/>
      </c>
      <c r="S250" s="56" t="str">
        <f t="shared" si="95"/>
        <v/>
      </c>
      <c r="T250" s="56" t="str">
        <f t="shared" si="96"/>
        <v/>
      </c>
      <c r="U250" s="56" t="str">
        <f t="shared" si="97"/>
        <v/>
      </c>
      <c r="V250" s="68" t="str">
        <f t="shared" si="98"/>
        <v/>
      </c>
      <c r="W250" s="80" t="str">
        <f t="shared" si="99"/>
        <v/>
      </c>
      <c r="X250" s="81" t="str">
        <f t="shared" si="100"/>
        <v/>
      </c>
      <c r="Y250" s="81" t="str">
        <f t="shared" si="101"/>
        <v/>
      </c>
      <c r="Z250" s="81" t="str">
        <f t="shared" si="102"/>
        <v/>
      </c>
      <c r="AA250" s="82" t="str">
        <f t="shared" si="103"/>
        <v/>
      </c>
      <c r="AB250" s="83" t="str">
        <f>IF(R250&lt;&gt;"",(W250-SUMPRODUCT(R$3:R250,$B$3:$B250)/SUM($B$3:$B250))/STDEVA(W240:W250),"")</f>
        <v/>
      </c>
      <c r="AC250" s="84" t="str">
        <f>IF(S250&lt;&gt;"",(X250-SUMPRODUCT(S$3:S250,$B$3:$B250)/SUM($B$3:$B250))/STDEVA(X240:X250),"")</f>
        <v/>
      </c>
      <c r="AD250" s="84" t="str">
        <f>IF(T250&lt;&gt;"",(Y250-SUMPRODUCT(T$3:T250,$B$3:$B250)/SUM($B$3:$B250))/STDEVA(Y240:Y250),"")</f>
        <v/>
      </c>
      <c r="AE250" s="84" t="str">
        <f>IF(U250&lt;&gt;"",(Z250-SUMPRODUCT(U$3:U250,$B$3:$B250)/SUM($B$3:$B250))/STDEVA(Z240:Z250),"")</f>
        <v/>
      </c>
      <c r="AF250" s="85" t="str">
        <f>IF(V250&lt;&gt;"",(AA250-SUMPRODUCT(V$3:V250,$B$3:$B250)/SUM($B$3:$B250))/STDEVA(AA240:AA250),"")</f>
        <v/>
      </c>
      <c r="AG250" s="90" t="str">
        <f t="shared" si="104"/>
        <v/>
      </c>
      <c r="AH250" s="90" t="str">
        <f t="shared" si="104"/>
        <v/>
      </c>
      <c r="AI250" s="90" t="str">
        <f t="shared" si="104"/>
        <v/>
      </c>
      <c r="AJ250" s="90" t="str">
        <f t="shared" si="104"/>
        <v/>
      </c>
      <c r="AK250" s="93" t="str">
        <f t="shared" si="105"/>
        <v/>
      </c>
      <c r="BQ250" s="100" t="str">
        <f>IF(A250&lt;&gt;"",(VLOOKUP(A250,MarketData!$D:$BP,MATCH($BQ$1,MarketData!$D$1:$EG$1,0),TRUE)/100/365+1)^(B250)*BQ249,"")</f>
        <v/>
      </c>
      <c r="BR250" s="98" t="str">
        <f t="shared" si="82"/>
        <v/>
      </c>
      <c r="BS250" s="106" t="str">
        <f>IF(A250&lt;&gt;"",VLOOKUP(A250,MarketData!$D:$BP,MATCH($BS$1,MarketData!$D$1:$EG$1,0),TRUE),"")</f>
        <v/>
      </c>
      <c r="BT250" s="98" t="str">
        <f t="shared" si="93"/>
        <v/>
      </c>
    </row>
    <row r="251" spans="2:72" x14ac:dyDescent="0.25">
      <c r="B251" s="60" t="str">
        <f t="shared" si="106"/>
        <v/>
      </c>
      <c r="C251" s="3" t="str">
        <f t="shared" si="83"/>
        <v/>
      </c>
      <c r="D251" s="3" t="str">
        <f t="shared" si="84"/>
        <v/>
      </c>
      <c r="E251" s="3" t="str">
        <f t="shared" si="85"/>
        <v/>
      </c>
      <c r="F251" s="3" t="str">
        <f t="shared" si="86"/>
        <v/>
      </c>
      <c r="G251" s="74" t="str">
        <f t="shared" si="87"/>
        <v/>
      </c>
      <c r="H251" s="78" t="str">
        <f>IFERROR(C251/SUM(M$2:M250),"")</f>
        <v/>
      </c>
      <c r="I251" s="61" t="str">
        <f>IFERROR(D251/SUM(N$2:N251),"")</f>
        <v/>
      </c>
      <c r="J251" s="61" t="str">
        <f>IFERROR(E251/SUM(O$2:O251),"")</f>
        <v/>
      </c>
      <c r="K251" s="61" t="str">
        <f>IFERROR(F251/SUM(P$2:P251),"")</f>
        <v/>
      </c>
      <c r="L251" s="79" t="str">
        <f>IFERROR(G251/SUM(Q$2:Q251),"")</f>
        <v/>
      </c>
      <c r="M251" s="64" t="str">
        <f t="shared" si="88"/>
        <v/>
      </c>
      <c r="N251" s="55" t="str">
        <f t="shared" si="89"/>
        <v/>
      </c>
      <c r="O251" s="55" t="str">
        <f t="shared" si="90"/>
        <v/>
      </c>
      <c r="P251" s="55" t="str">
        <f t="shared" si="91"/>
        <v/>
      </c>
      <c r="Q251" s="65" t="str">
        <f t="shared" si="92"/>
        <v/>
      </c>
      <c r="R251" s="67" t="str">
        <f t="shared" si="94"/>
        <v/>
      </c>
      <c r="S251" s="56" t="str">
        <f t="shared" si="95"/>
        <v/>
      </c>
      <c r="T251" s="56" t="str">
        <f t="shared" si="96"/>
        <v/>
      </c>
      <c r="U251" s="56" t="str">
        <f t="shared" si="97"/>
        <v/>
      </c>
      <c r="V251" s="68" t="str">
        <f t="shared" si="98"/>
        <v/>
      </c>
      <c r="W251" s="80" t="str">
        <f t="shared" si="99"/>
        <v/>
      </c>
      <c r="X251" s="81" t="str">
        <f t="shared" si="100"/>
        <v/>
      </c>
      <c r="Y251" s="81" t="str">
        <f t="shared" si="101"/>
        <v/>
      </c>
      <c r="Z251" s="81" t="str">
        <f t="shared" si="102"/>
        <v/>
      </c>
      <c r="AA251" s="82" t="str">
        <f t="shared" si="103"/>
        <v/>
      </c>
      <c r="AB251" s="83" t="str">
        <f>IF(R251&lt;&gt;"",(W251-SUMPRODUCT(R$3:R251,$B$3:$B251)/SUM($B$3:$B251))/STDEVA(W241:W251),"")</f>
        <v/>
      </c>
      <c r="AC251" s="84" t="str">
        <f>IF(S251&lt;&gt;"",(X251-SUMPRODUCT(S$3:S251,$B$3:$B251)/SUM($B$3:$B251))/STDEVA(X241:X251),"")</f>
        <v/>
      </c>
      <c r="AD251" s="84" t="str">
        <f>IF(T251&lt;&gt;"",(Y251-SUMPRODUCT(T$3:T251,$B$3:$B251)/SUM($B$3:$B251))/STDEVA(Y241:Y251),"")</f>
        <v/>
      </c>
      <c r="AE251" s="84" t="str">
        <f>IF(U251&lt;&gt;"",(Z251-SUMPRODUCT(U$3:U251,$B$3:$B251)/SUM($B$3:$B251))/STDEVA(Z241:Z251),"")</f>
        <v/>
      </c>
      <c r="AF251" s="85" t="str">
        <f>IF(V251&lt;&gt;"",(AA251-SUMPRODUCT(V$3:V251,$B$3:$B251)/SUM($B$3:$B251))/STDEVA(AA241:AA251),"")</f>
        <v/>
      </c>
      <c r="AG251" s="90" t="str">
        <f t="shared" si="104"/>
        <v/>
      </c>
      <c r="AH251" s="90" t="str">
        <f t="shared" si="104"/>
        <v/>
      </c>
      <c r="AI251" s="90" t="str">
        <f t="shared" si="104"/>
        <v/>
      </c>
      <c r="AJ251" s="90" t="str">
        <f t="shared" si="104"/>
        <v/>
      </c>
      <c r="AK251" s="93" t="str">
        <f t="shared" si="105"/>
        <v/>
      </c>
      <c r="BQ251" s="100" t="str">
        <f>IF(A251&lt;&gt;"",(VLOOKUP(A251,MarketData!$D:$BP,MATCH($BQ$1,MarketData!$D$1:$EG$1,0),TRUE)/100/365+1)^(B251)*BQ250,"")</f>
        <v/>
      </c>
      <c r="BR251" s="98" t="str">
        <f t="shared" si="82"/>
        <v/>
      </c>
      <c r="BS251" s="106" t="str">
        <f>IF(A251&lt;&gt;"",VLOOKUP(A251,MarketData!$D:$BP,MATCH($BS$1,MarketData!$D$1:$EG$1,0),TRUE),"")</f>
        <v/>
      </c>
      <c r="BT251" s="98" t="str">
        <f t="shared" si="93"/>
        <v/>
      </c>
    </row>
    <row r="252" spans="2:72" x14ac:dyDescent="0.25">
      <c r="B252" s="60" t="str">
        <f t="shared" si="106"/>
        <v/>
      </c>
      <c r="C252" s="3" t="str">
        <f t="shared" si="83"/>
        <v/>
      </c>
      <c r="D252" s="3" t="str">
        <f t="shared" si="84"/>
        <v/>
      </c>
      <c r="E252" s="3" t="str">
        <f t="shared" si="85"/>
        <v/>
      </c>
      <c r="F252" s="3" t="str">
        <f t="shared" si="86"/>
        <v/>
      </c>
      <c r="G252" s="74" t="str">
        <f t="shared" si="87"/>
        <v/>
      </c>
      <c r="H252" s="78" t="str">
        <f>IFERROR(C252/SUM(M$2:M251),"")</f>
        <v/>
      </c>
      <c r="I252" s="61" t="str">
        <f>IFERROR(D252/SUM(N$2:N252),"")</f>
        <v/>
      </c>
      <c r="J252" s="61" t="str">
        <f>IFERROR(E252/SUM(O$2:O252),"")</f>
        <v/>
      </c>
      <c r="K252" s="61" t="str">
        <f>IFERROR(F252/SUM(P$2:P252),"")</f>
        <v/>
      </c>
      <c r="L252" s="79" t="str">
        <f>IFERROR(G252/SUM(Q$2:Q252),"")</f>
        <v/>
      </c>
      <c r="M252" s="64" t="str">
        <f t="shared" si="88"/>
        <v/>
      </c>
      <c r="N252" s="55" t="str">
        <f t="shared" si="89"/>
        <v/>
      </c>
      <c r="O252" s="55" t="str">
        <f t="shared" si="90"/>
        <v/>
      </c>
      <c r="P252" s="55" t="str">
        <f t="shared" si="91"/>
        <v/>
      </c>
      <c r="Q252" s="65" t="str">
        <f t="shared" si="92"/>
        <v/>
      </c>
      <c r="R252" s="67" t="str">
        <f t="shared" si="94"/>
        <v/>
      </c>
      <c r="S252" s="56" t="str">
        <f t="shared" si="95"/>
        <v/>
      </c>
      <c r="T252" s="56" t="str">
        <f t="shared" si="96"/>
        <v/>
      </c>
      <c r="U252" s="56" t="str">
        <f t="shared" si="97"/>
        <v/>
      </c>
      <c r="V252" s="68" t="str">
        <f t="shared" si="98"/>
        <v/>
      </c>
      <c r="W252" s="80" t="str">
        <f t="shared" si="99"/>
        <v/>
      </c>
      <c r="X252" s="81" t="str">
        <f t="shared" si="100"/>
        <v/>
      </c>
      <c r="Y252" s="81" t="str">
        <f t="shared" si="101"/>
        <v/>
      </c>
      <c r="Z252" s="81" t="str">
        <f t="shared" si="102"/>
        <v/>
      </c>
      <c r="AA252" s="82" t="str">
        <f t="shared" si="103"/>
        <v/>
      </c>
      <c r="AB252" s="83" t="str">
        <f>IF(R252&lt;&gt;"",(W252-SUMPRODUCT(R$3:R252,$B$3:$B252)/SUM($B$3:$B252))/STDEVA(W242:W252),"")</f>
        <v/>
      </c>
      <c r="AC252" s="84" t="str">
        <f>IF(S252&lt;&gt;"",(X252-SUMPRODUCT(S$3:S252,$B$3:$B252)/SUM($B$3:$B252))/STDEVA(X242:X252),"")</f>
        <v/>
      </c>
      <c r="AD252" s="84" t="str">
        <f>IF(T252&lt;&gt;"",(Y252-SUMPRODUCT(T$3:T252,$B$3:$B252)/SUM($B$3:$B252))/STDEVA(Y242:Y252),"")</f>
        <v/>
      </c>
      <c r="AE252" s="84" t="str">
        <f>IF(U252&lt;&gt;"",(Z252-SUMPRODUCT(U$3:U252,$B$3:$B252)/SUM($B$3:$B252))/STDEVA(Z242:Z252),"")</f>
        <v/>
      </c>
      <c r="AF252" s="85" t="str">
        <f>IF(V252&lt;&gt;"",(AA252-SUMPRODUCT(V$3:V252,$B$3:$B252)/SUM($B$3:$B252))/STDEVA(AA242:AA252),"")</f>
        <v/>
      </c>
      <c r="AG252" s="90" t="str">
        <f t="shared" si="104"/>
        <v/>
      </c>
      <c r="AH252" s="90" t="str">
        <f t="shared" si="104"/>
        <v/>
      </c>
      <c r="AI252" s="90" t="str">
        <f t="shared" si="104"/>
        <v/>
      </c>
      <c r="AJ252" s="90" t="str">
        <f t="shared" si="104"/>
        <v/>
      </c>
      <c r="AK252" s="93" t="str">
        <f t="shared" si="105"/>
        <v/>
      </c>
      <c r="BQ252" s="100" t="str">
        <f>IF(A252&lt;&gt;"",(VLOOKUP(A252,MarketData!$D:$BP,MATCH($BQ$1,MarketData!$D$1:$EG$1,0),TRUE)/100/365+1)^(B252)*BQ251,"")</f>
        <v/>
      </c>
      <c r="BR252" s="98" t="str">
        <f t="shared" si="82"/>
        <v/>
      </c>
      <c r="BS252" s="106" t="str">
        <f>IF(A252&lt;&gt;"",VLOOKUP(A252,MarketData!$D:$BP,MATCH($BS$1,MarketData!$D$1:$EG$1,0),TRUE),"")</f>
        <v/>
      </c>
      <c r="BT252" s="98" t="str">
        <f t="shared" si="93"/>
        <v/>
      </c>
    </row>
    <row r="253" spans="2:72" x14ac:dyDescent="0.25">
      <c r="B253" s="60" t="str">
        <f t="shared" si="106"/>
        <v/>
      </c>
      <c r="C253" s="3" t="str">
        <f t="shared" si="83"/>
        <v/>
      </c>
      <c r="D253" s="3" t="str">
        <f t="shared" si="84"/>
        <v/>
      </c>
      <c r="E253" s="3" t="str">
        <f t="shared" si="85"/>
        <v/>
      </c>
      <c r="F253" s="3" t="str">
        <f t="shared" si="86"/>
        <v/>
      </c>
      <c r="G253" s="74" t="str">
        <f t="shared" si="87"/>
        <v/>
      </c>
      <c r="H253" s="78" t="str">
        <f>IFERROR(C253/SUM(M$2:M252),"")</f>
        <v/>
      </c>
      <c r="I253" s="61" t="str">
        <f>IFERROR(D253/SUM(N$2:N253),"")</f>
        <v/>
      </c>
      <c r="J253" s="61" t="str">
        <f>IFERROR(E253/SUM(O$2:O253),"")</f>
        <v/>
      </c>
      <c r="K253" s="61" t="str">
        <f>IFERROR(F253/SUM(P$2:P253),"")</f>
        <v/>
      </c>
      <c r="L253" s="79" t="str">
        <f>IFERROR(G253/SUM(Q$2:Q253),"")</f>
        <v/>
      </c>
      <c r="M253" s="64" t="str">
        <f t="shared" si="88"/>
        <v/>
      </c>
      <c r="N253" s="55" t="str">
        <f t="shared" si="89"/>
        <v/>
      </c>
      <c r="O253" s="55" t="str">
        <f t="shared" si="90"/>
        <v/>
      </c>
      <c r="P253" s="55" t="str">
        <f t="shared" si="91"/>
        <v/>
      </c>
      <c r="Q253" s="65" t="str">
        <f t="shared" si="92"/>
        <v/>
      </c>
      <c r="R253" s="67" t="str">
        <f t="shared" si="94"/>
        <v/>
      </c>
      <c r="S253" s="56" t="str">
        <f t="shared" si="95"/>
        <v/>
      </c>
      <c r="T253" s="56" t="str">
        <f t="shared" si="96"/>
        <v/>
      </c>
      <c r="U253" s="56" t="str">
        <f t="shared" si="97"/>
        <v/>
      </c>
      <c r="V253" s="68" t="str">
        <f t="shared" si="98"/>
        <v/>
      </c>
      <c r="W253" s="80" t="str">
        <f t="shared" si="99"/>
        <v/>
      </c>
      <c r="X253" s="81" t="str">
        <f t="shared" si="100"/>
        <v/>
      </c>
      <c r="Y253" s="81" t="str">
        <f t="shared" si="101"/>
        <v/>
      </c>
      <c r="Z253" s="81" t="str">
        <f t="shared" si="102"/>
        <v/>
      </c>
      <c r="AA253" s="82" t="str">
        <f t="shared" si="103"/>
        <v/>
      </c>
      <c r="AB253" s="83" t="str">
        <f>IF(R253&lt;&gt;"",(W253-SUMPRODUCT(R$3:R253,$B$3:$B253)/SUM($B$3:$B253))/STDEVA(W243:W253),"")</f>
        <v/>
      </c>
      <c r="AC253" s="84" t="str">
        <f>IF(S253&lt;&gt;"",(X253-SUMPRODUCT(S$3:S253,$B$3:$B253)/SUM($B$3:$B253))/STDEVA(X243:X253),"")</f>
        <v/>
      </c>
      <c r="AD253" s="84" t="str">
        <f>IF(T253&lt;&gt;"",(Y253-SUMPRODUCT(T$3:T253,$B$3:$B253)/SUM($B$3:$B253))/STDEVA(Y243:Y253),"")</f>
        <v/>
      </c>
      <c r="AE253" s="84" t="str">
        <f>IF(U253&lt;&gt;"",(Z253-SUMPRODUCT(U$3:U253,$B$3:$B253)/SUM($B$3:$B253))/STDEVA(Z243:Z253),"")</f>
        <v/>
      </c>
      <c r="AF253" s="85" t="str">
        <f>IF(V253&lt;&gt;"",(AA253-SUMPRODUCT(V$3:V253,$B$3:$B253)/SUM($B$3:$B253))/STDEVA(AA243:AA253),"")</f>
        <v/>
      </c>
      <c r="AG253" s="90" t="str">
        <f t="shared" si="104"/>
        <v/>
      </c>
      <c r="AH253" s="90" t="str">
        <f t="shared" si="104"/>
        <v/>
      </c>
      <c r="AI253" s="90" t="str">
        <f t="shared" si="104"/>
        <v/>
      </c>
      <c r="AJ253" s="90" t="str">
        <f t="shared" si="104"/>
        <v/>
      </c>
      <c r="AK253" s="93" t="str">
        <f t="shared" si="105"/>
        <v/>
      </c>
      <c r="BQ253" s="100" t="str">
        <f>IF(A253&lt;&gt;"",(VLOOKUP(A253,MarketData!$D:$BP,MATCH($BQ$1,MarketData!$D$1:$EG$1,0),TRUE)/100/365+1)^(B253)*BQ252,"")</f>
        <v/>
      </c>
      <c r="BR253" s="98" t="str">
        <f t="shared" si="82"/>
        <v/>
      </c>
      <c r="BS253" s="106" t="str">
        <f>IF(A253&lt;&gt;"",VLOOKUP(A253,MarketData!$D:$BP,MATCH($BS$1,MarketData!$D$1:$EG$1,0),TRUE),"")</f>
        <v/>
      </c>
      <c r="BT253" s="98" t="str">
        <f t="shared" si="93"/>
        <v/>
      </c>
    </row>
    <row r="254" spans="2:72" x14ac:dyDescent="0.25">
      <c r="B254" s="60" t="str">
        <f t="shared" si="106"/>
        <v/>
      </c>
      <c r="C254" s="3" t="str">
        <f t="shared" si="83"/>
        <v/>
      </c>
      <c r="D254" s="3" t="str">
        <f t="shared" si="84"/>
        <v/>
      </c>
      <c r="E254" s="3" t="str">
        <f t="shared" si="85"/>
        <v/>
      </c>
      <c r="F254" s="3" t="str">
        <f t="shared" si="86"/>
        <v/>
      </c>
      <c r="G254" s="74" t="str">
        <f t="shared" si="87"/>
        <v/>
      </c>
      <c r="H254" s="78" t="str">
        <f>IFERROR(C254/SUM(M$2:M253),"")</f>
        <v/>
      </c>
      <c r="I254" s="61" t="str">
        <f>IFERROR(D254/SUM(N$2:N254),"")</f>
        <v/>
      </c>
      <c r="J254" s="61" t="str">
        <f>IFERROR(E254/SUM(O$2:O254),"")</f>
        <v/>
      </c>
      <c r="K254" s="61" t="str">
        <f>IFERROR(F254/SUM(P$2:P254),"")</f>
        <v/>
      </c>
      <c r="L254" s="79" t="str">
        <f>IFERROR(G254/SUM(Q$2:Q254),"")</f>
        <v/>
      </c>
      <c r="M254" s="64" t="str">
        <f t="shared" si="88"/>
        <v/>
      </c>
      <c r="N254" s="55" t="str">
        <f t="shared" si="89"/>
        <v/>
      </c>
      <c r="O254" s="55" t="str">
        <f t="shared" si="90"/>
        <v/>
      </c>
      <c r="P254" s="55" t="str">
        <f t="shared" si="91"/>
        <v/>
      </c>
      <c r="Q254" s="65" t="str">
        <f t="shared" si="92"/>
        <v/>
      </c>
      <c r="R254" s="67" t="str">
        <f t="shared" si="94"/>
        <v/>
      </c>
      <c r="S254" s="56" t="str">
        <f t="shared" si="95"/>
        <v/>
      </c>
      <c r="T254" s="56" t="str">
        <f t="shared" si="96"/>
        <v/>
      </c>
      <c r="U254" s="56" t="str">
        <f t="shared" si="97"/>
        <v/>
      </c>
      <c r="V254" s="68" t="str">
        <f t="shared" si="98"/>
        <v/>
      </c>
      <c r="W254" s="80" t="str">
        <f t="shared" si="99"/>
        <v/>
      </c>
      <c r="X254" s="81" t="str">
        <f t="shared" si="100"/>
        <v/>
      </c>
      <c r="Y254" s="81" t="str">
        <f t="shared" si="101"/>
        <v/>
      </c>
      <c r="Z254" s="81" t="str">
        <f t="shared" si="102"/>
        <v/>
      </c>
      <c r="AA254" s="82" t="str">
        <f t="shared" si="103"/>
        <v/>
      </c>
      <c r="AB254" s="83" t="str">
        <f>IF(R254&lt;&gt;"",(W254-SUMPRODUCT(R$3:R254,$B$3:$B254)/SUM($B$3:$B254))/STDEVA(W244:W254),"")</f>
        <v/>
      </c>
      <c r="AC254" s="84" t="str">
        <f>IF(S254&lt;&gt;"",(X254-SUMPRODUCT(S$3:S254,$B$3:$B254)/SUM($B$3:$B254))/STDEVA(X244:X254),"")</f>
        <v/>
      </c>
      <c r="AD254" s="84" t="str">
        <f>IF(T254&lt;&gt;"",(Y254-SUMPRODUCT(T$3:T254,$B$3:$B254)/SUM($B$3:$B254))/STDEVA(Y244:Y254),"")</f>
        <v/>
      </c>
      <c r="AE254" s="84" t="str">
        <f>IF(U254&lt;&gt;"",(Z254-SUMPRODUCT(U$3:U254,$B$3:$B254)/SUM($B$3:$B254))/STDEVA(Z244:Z254),"")</f>
        <v/>
      </c>
      <c r="AF254" s="85" t="str">
        <f>IF(V254&lt;&gt;"",(AA254-SUMPRODUCT(V$3:V254,$B$3:$B254)/SUM($B$3:$B254))/STDEVA(AA244:AA254),"")</f>
        <v/>
      </c>
      <c r="AG254" s="90" t="str">
        <f t="shared" si="104"/>
        <v/>
      </c>
      <c r="AH254" s="90" t="str">
        <f t="shared" si="104"/>
        <v/>
      </c>
      <c r="AI254" s="90" t="str">
        <f t="shared" si="104"/>
        <v/>
      </c>
      <c r="AJ254" s="90" t="str">
        <f t="shared" si="104"/>
        <v/>
      </c>
      <c r="AK254" s="93" t="str">
        <f t="shared" si="105"/>
        <v/>
      </c>
      <c r="BQ254" s="100" t="str">
        <f>IF(A254&lt;&gt;"",(VLOOKUP(A254,MarketData!$D:$BP,MATCH($BQ$1,MarketData!$D$1:$EG$1,0),TRUE)/100/365+1)^(B254)*BQ253,"")</f>
        <v/>
      </c>
      <c r="BR254" s="98" t="str">
        <f t="shared" si="82"/>
        <v/>
      </c>
      <c r="BS254" s="106" t="str">
        <f>IF(A254&lt;&gt;"",VLOOKUP(A254,MarketData!$D:$BP,MATCH($BS$1,MarketData!$D$1:$EG$1,0),TRUE),"")</f>
        <v/>
      </c>
      <c r="BT254" s="98" t="str">
        <f t="shared" si="93"/>
        <v/>
      </c>
    </row>
    <row r="255" spans="2:72" x14ac:dyDescent="0.25">
      <c r="B255" s="60" t="str">
        <f t="shared" si="106"/>
        <v/>
      </c>
      <c r="C255" s="3" t="str">
        <f t="shared" si="83"/>
        <v/>
      </c>
      <c r="D255" s="3" t="str">
        <f t="shared" si="84"/>
        <v/>
      </c>
      <c r="E255" s="3" t="str">
        <f t="shared" si="85"/>
        <v/>
      </c>
      <c r="F255" s="3" t="str">
        <f t="shared" si="86"/>
        <v/>
      </c>
      <c r="G255" s="74" t="str">
        <f t="shared" si="87"/>
        <v/>
      </c>
      <c r="H255" s="78" t="str">
        <f>IFERROR(C255/SUM(M$2:M254),"")</f>
        <v/>
      </c>
      <c r="I255" s="61" t="str">
        <f>IFERROR(D255/SUM(N$2:N255),"")</f>
        <v/>
      </c>
      <c r="J255" s="61" t="str">
        <f>IFERROR(E255/SUM(O$2:O255),"")</f>
        <v/>
      </c>
      <c r="K255" s="61" t="str">
        <f>IFERROR(F255/SUM(P$2:P255),"")</f>
        <v/>
      </c>
      <c r="L255" s="79" t="str">
        <f>IFERROR(G255/SUM(Q$2:Q255),"")</f>
        <v/>
      </c>
      <c r="M255" s="64" t="str">
        <f t="shared" si="88"/>
        <v/>
      </c>
      <c r="N255" s="55" t="str">
        <f t="shared" si="89"/>
        <v/>
      </c>
      <c r="O255" s="55" t="str">
        <f t="shared" si="90"/>
        <v/>
      </c>
      <c r="P255" s="55" t="str">
        <f t="shared" si="91"/>
        <v/>
      </c>
      <c r="Q255" s="65" t="str">
        <f t="shared" si="92"/>
        <v/>
      </c>
      <c r="R255" s="67" t="str">
        <f t="shared" si="94"/>
        <v/>
      </c>
      <c r="S255" s="56" t="str">
        <f t="shared" si="95"/>
        <v/>
      </c>
      <c r="T255" s="56" t="str">
        <f t="shared" si="96"/>
        <v/>
      </c>
      <c r="U255" s="56" t="str">
        <f t="shared" si="97"/>
        <v/>
      </c>
      <c r="V255" s="68" t="str">
        <f t="shared" si="98"/>
        <v/>
      </c>
      <c r="W255" s="80" t="str">
        <f t="shared" si="99"/>
        <v/>
      </c>
      <c r="X255" s="81" t="str">
        <f t="shared" si="100"/>
        <v/>
      </c>
      <c r="Y255" s="81" t="str">
        <f t="shared" si="101"/>
        <v/>
      </c>
      <c r="Z255" s="81" t="str">
        <f t="shared" si="102"/>
        <v/>
      </c>
      <c r="AA255" s="82" t="str">
        <f t="shared" si="103"/>
        <v/>
      </c>
      <c r="AB255" s="83" t="str">
        <f>IF(R255&lt;&gt;"",(W255-SUMPRODUCT(R$3:R255,$B$3:$B255)/SUM($B$3:$B255))/STDEVA(W245:W255),"")</f>
        <v/>
      </c>
      <c r="AC255" s="84" t="str">
        <f>IF(S255&lt;&gt;"",(X255-SUMPRODUCT(S$3:S255,$B$3:$B255)/SUM($B$3:$B255))/STDEVA(X245:X255),"")</f>
        <v/>
      </c>
      <c r="AD255" s="84" t="str">
        <f>IF(T255&lt;&gt;"",(Y255-SUMPRODUCT(T$3:T255,$B$3:$B255)/SUM($B$3:$B255))/STDEVA(Y245:Y255),"")</f>
        <v/>
      </c>
      <c r="AE255" s="84" t="str">
        <f>IF(U255&lt;&gt;"",(Z255-SUMPRODUCT(U$3:U255,$B$3:$B255)/SUM($B$3:$B255))/STDEVA(Z245:Z255),"")</f>
        <v/>
      </c>
      <c r="AF255" s="85" t="str">
        <f>IF(V255&lt;&gt;"",(AA255-SUMPRODUCT(V$3:V255,$B$3:$B255)/SUM($B$3:$B255))/STDEVA(AA245:AA255),"")</f>
        <v/>
      </c>
      <c r="AG255" s="90" t="str">
        <f t="shared" si="104"/>
        <v/>
      </c>
      <c r="AH255" s="90" t="str">
        <f t="shared" si="104"/>
        <v/>
      </c>
      <c r="AI255" s="90" t="str">
        <f t="shared" si="104"/>
        <v/>
      </c>
      <c r="AJ255" s="90" t="str">
        <f t="shared" si="104"/>
        <v/>
      </c>
      <c r="AK255" s="93" t="str">
        <f t="shared" si="105"/>
        <v/>
      </c>
      <c r="BQ255" s="100" t="str">
        <f>IF(A255&lt;&gt;"",(VLOOKUP(A255,MarketData!$D:$BP,MATCH($BQ$1,MarketData!$D$1:$EG$1,0),TRUE)/100/365+1)^(B255)*BQ254,"")</f>
        <v/>
      </c>
      <c r="BR255" s="98" t="str">
        <f t="shared" si="82"/>
        <v/>
      </c>
      <c r="BS255" s="106" t="str">
        <f>IF(A255&lt;&gt;"",VLOOKUP(A255,MarketData!$D:$BP,MATCH($BS$1,MarketData!$D$1:$EG$1,0),TRUE),"")</f>
        <v/>
      </c>
      <c r="BT255" s="98" t="str">
        <f t="shared" si="93"/>
        <v/>
      </c>
    </row>
    <row r="256" spans="2:72" x14ac:dyDescent="0.25">
      <c r="B256" s="60" t="str">
        <f t="shared" si="106"/>
        <v/>
      </c>
      <c r="C256" s="3" t="str">
        <f t="shared" si="83"/>
        <v/>
      </c>
      <c r="D256" s="3" t="str">
        <f t="shared" si="84"/>
        <v/>
      </c>
      <c r="E256" s="3" t="str">
        <f t="shared" si="85"/>
        <v/>
      </c>
      <c r="F256" s="3" t="str">
        <f t="shared" si="86"/>
        <v/>
      </c>
      <c r="G256" s="74" t="str">
        <f t="shared" si="87"/>
        <v/>
      </c>
      <c r="H256" s="78" t="str">
        <f>IFERROR(C256/SUM(M$2:M255),"")</f>
        <v/>
      </c>
      <c r="I256" s="61" t="str">
        <f>IFERROR(D256/SUM(N$2:N256),"")</f>
        <v/>
      </c>
      <c r="J256" s="61" t="str">
        <f>IFERROR(E256/SUM(O$2:O256),"")</f>
        <v/>
      </c>
      <c r="K256" s="61" t="str">
        <f>IFERROR(F256/SUM(P$2:P256),"")</f>
        <v/>
      </c>
      <c r="L256" s="79" t="str">
        <f>IFERROR(G256/SUM(Q$2:Q256),"")</f>
        <v/>
      </c>
      <c r="M256" s="64" t="str">
        <f t="shared" si="88"/>
        <v/>
      </c>
      <c r="N256" s="55" t="str">
        <f t="shared" si="89"/>
        <v/>
      </c>
      <c r="O256" s="55" t="str">
        <f t="shared" si="90"/>
        <v/>
      </c>
      <c r="P256" s="55" t="str">
        <f t="shared" si="91"/>
        <v/>
      </c>
      <c r="Q256" s="65" t="str">
        <f t="shared" si="92"/>
        <v/>
      </c>
      <c r="R256" s="67" t="str">
        <f t="shared" si="94"/>
        <v/>
      </c>
      <c r="S256" s="56" t="str">
        <f t="shared" si="95"/>
        <v/>
      </c>
      <c r="T256" s="56" t="str">
        <f t="shared" si="96"/>
        <v/>
      </c>
      <c r="U256" s="56" t="str">
        <f t="shared" si="97"/>
        <v/>
      </c>
      <c r="V256" s="68" t="str">
        <f t="shared" si="98"/>
        <v/>
      </c>
      <c r="W256" s="80" t="str">
        <f t="shared" si="99"/>
        <v/>
      </c>
      <c r="X256" s="81" t="str">
        <f t="shared" si="100"/>
        <v/>
      </c>
      <c r="Y256" s="81" t="str">
        <f t="shared" si="101"/>
        <v/>
      </c>
      <c r="Z256" s="81" t="str">
        <f t="shared" si="102"/>
        <v/>
      </c>
      <c r="AA256" s="82" t="str">
        <f t="shared" si="103"/>
        <v/>
      </c>
      <c r="AB256" s="83" t="str">
        <f>IF(R256&lt;&gt;"",(W256-SUMPRODUCT(R$3:R256,$B$3:$B256)/SUM($B$3:$B256))/STDEVA(W246:W256),"")</f>
        <v/>
      </c>
      <c r="AC256" s="84" t="str">
        <f>IF(S256&lt;&gt;"",(X256-SUMPRODUCT(S$3:S256,$B$3:$B256)/SUM($B$3:$B256))/STDEVA(X246:X256),"")</f>
        <v/>
      </c>
      <c r="AD256" s="84" t="str">
        <f>IF(T256&lt;&gt;"",(Y256-SUMPRODUCT(T$3:T256,$B$3:$B256)/SUM($B$3:$B256))/STDEVA(Y246:Y256),"")</f>
        <v/>
      </c>
      <c r="AE256" s="84" t="str">
        <f>IF(U256&lt;&gt;"",(Z256-SUMPRODUCT(U$3:U256,$B$3:$B256)/SUM($B$3:$B256))/STDEVA(Z246:Z256),"")</f>
        <v/>
      </c>
      <c r="AF256" s="85" t="str">
        <f>IF(V256&lt;&gt;"",(AA256-SUMPRODUCT(V$3:V256,$B$3:$B256)/SUM($B$3:$B256))/STDEVA(AA246:AA256),"")</f>
        <v/>
      </c>
      <c r="AG256" s="90" t="str">
        <f t="shared" si="104"/>
        <v/>
      </c>
      <c r="AH256" s="90" t="str">
        <f t="shared" si="104"/>
        <v/>
      </c>
      <c r="AI256" s="90" t="str">
        <f t="shared" si="104"/>
        <v/>
      </c>
      <c r="AJ256" s="90" t="str">
        <f t="shared" si="104"/>
        <v/>
      </c>
      <c r="AK256" s="93" t="str">
        <f t="shared" si="105"/>
        <v/>
      </c>
      <c r="BQ256" s="100" t="str">
        <f>IF(A256&lt;&gt;"",(VLOOKUP(A256,MarketData!$D:$BP,MATCH($BQ$1,MarketData!$D$1:$EG$1,0),TRUE)/100/365+1)^(B256)*BQ255,"")</f>
        <v/>
      </c>
      <c r="BR256" s="98" t="str">
        <f t="shared" si="82"/>
        <v/>
      </c>
      <c r="BS256" s="106" t="str">
        <f>IF(A256&lt;&gt;"",VLOOKUP(A256,MarketData!$D:$BP,MATCH($BS$1,MarketData!$D$1:$EG$1,0),TRUE),"")</f>
        <v/>
      </c>
      <c r="BT256" s="98" t="str">
        <f t="shared" si="93"/>
        <v/>
      </c>
    </row>
    <row r="257" spans="2:72" x14ac:dyDescent="0.25">
      <c r="B257" s="60" t="str">
        <f t="shared" si="106"/>
        <v/>
      </c>
      <c r="C257" s="3" t="str">
        <f t="shared" si="83"/>
        <v/>
      </c>
      <c r="D257" s="3" t="str">
        <f t="shared" si="84"/>
        <v/>
      </c>
      <c r="E257" s="3" t="str">
        <f t="shared" si="85"/>
        <v/>
      </c>
      <c r="F257" s="3" t="str">
        <f t="shared" si="86"/>
        <v/>
      </c>
      <c r="G257" s="74" t="str">
        <f t="shared" si="87"/>
        <v/>
      </c>
      <c r="H257" s="78" t="str">
        <f>IFERROR(C257/SUM(M$2:M256),"")</f>
        <v/>
      </c>
      <c r="I257" s="61" t="str">
        <f>IFERROR(D257/SUM(N$2:N257),"")</f>
        <v/>
      </c>
      <c r="J257" s="61" t="str">
        <f>IFERROR(E257/SUM(O$2:O257),"")</f>
        <v/>
      </c>
      <c r="K257" s="61" t="str">
        <f>IFERROR(F257/SUM(P$2:P257),"")</f>
        <v/>
      </c>
      <c r="L257" s="79" t="str">
        <f>IFERROR(G257/SUM(Q$2:Q257),"")</f>
        <v/>
      </c>
      <c r="M257" s="64" t="str">
        <f t="shared" si="88"/>
        <v/>
      </c>
      <c r="N257" s="55" t="str">
        <f t="shared" si="89"/>
        <v/>
      </c>
      <c r="O257" s="55" t="str">
        <f t="shared" si="90"/>
        <v/>
      </c>
      <c r="P257" s="55" t="str">
        <f t="shared" si="91"/>
        <v/>
      </c>
      <c r="Q257" s="65" t="str">
        <f t="shared" si="92"/>
        <v/>
      </c>
      <c r="R257" s="67" t="str">
        <f t="shared" si="94"/>
        <v/>
      </c>
      <c r="S257" s="56" t="str">
        <f t="shared" si="95"/>
        <v/>
      </c>
      <c r="T257" s="56" t="str">
        <f t="shared" si="96"/>
        <v/>
      </c>
      <c r="U257" s="56" t="str">
        <f t="shared" si="97"/>
        <v/>
      </c>
      <c r="V257" s="68" t="str">
        <f t="shared" si="98"/>
        <v/>
      </c>
      <c r="W257" s="80" t="str">
        <f t="shared" si="99"/>
        <v/>
      </c>
      <c r="X257" s="81" t="str">
        <f t="shared" si="100"/>
        <v/>
      </c>
      <c r="Y257" s="81" t="str">
        <f t="shared" si="101"/>
        <v/>
      </c>
      <c r="Z257" s="81" t="str">
        <f t="shared" si="102"/>
        <v/>
      </c>
      <c r="AA257" s="82" t="str">
        <f t="shared" si="103"/>
        <v/>
      </c>
      <c r="AB257" s="83" t="str">
        <f>IF(R257&lt;&gt;"",(W257-SUMPRODUCT(R$3:R257,$B$3:$B257)/SUM($B$3:$B257))/STDEVA(W247:W257),"")</f>
        <v/>
      </c>
      <c r="AC257" s="84" t="str">
        <f>IF(S257&lt;&gt;"",(X257-SUMPRODUCT(S$3:S257,$B$3:$B257)/SUM($B$3:$B257))/STDEVA(X247:X257),"")</f>
        <v/>
      </c>
      <c r="AD257" s="84" t="str">
        <f>IF(T257&lt;&gt;"",(Y257-SUMPRODUCT(T$3:T257,$B$3:$B257)/SUM($B$3:$B257))/STDEVA(Y247:Y257),"")</f>
        <v/>
      </c>
      <c r="AE257" s="84" t="str">
        <f>IF(U257&lt;&gt;"",(Z257-SUMPRODUCT(U$3:U257,$B$3:$B257)/SUM($B$3:$B257))/STDEVA(Z247:Z257),"")</f>
        <v/>
      </c>
      <c r="AF257" s="85" t="str">
        <f>IF(V257&lt;&gt;"",(AA257-SUMPRODUCT(V$3:V257,$B$3:$B257)/SUM($B$3:$B257))/STDEVA(AA247:AA257),"")</f>
        <v/>
      </c>
      <c r="AG257" s="90" t="str">
        <f t="shared" si="104"/>
        <v/>
      </c>
      <c r="AH257" s="90" t="str">
        <f t="shared" si="104"/>
        <v/>
      </c>
      <c r="AI257" s="90" t="str">
        <f t="shared" si="104"/>
        <v/>
      </c>
      <c r="AJ257" s="90" t="str">
        <f t="shared" si="104"/>
        <v/>
      </c>
      <c r="AK257" s="93" t="str">
        <f t="shared" si="105"/>
        <v/>
      </c>
      <c r="BQ257" s="100" t="str">
        <f>IF(A257&lt;&gt;"",(VLOOKUP(A257,MarketData!$D:$BP,MATCH($BQ$1,MarketData!$D$1:$EG$1,0),TRUE)/100/365+1)^(B257)*BQ256,"")</f>
        <v/>
      </c>
      <c r="BR257" s="98" t="str">
        <f t="shared" si="82"/>
        <v/>
      </c>
      <c r="BS257" s="106" t="str">
        <f>IF(A257&lt;&gt;"",VLOOKUP(A257,MarketData!$D:$BP,MATCH($BS$1,MarketData!$D$1:$EG$1,0),TRUE),"")</f>
        <v/>
      </c>
      <c r="BT257" s="98" t="str">
        <f t="shared" si="93"/>
        <v/>
      </c>
    </row>
    <row r="258" spans="2:72" x14ac:dyDescent="0.25">
      <c r="B258" s="60" t="str">
        <f t="shared" si="106"/>
        <v/>
      </c>
      <c r="C258" s="3" t="str">
        <f t="shared" si="83"/>
        <v/>
      </c>
      <c r="D258" s="3" t="str">
        <f t="shared" si="84"/>
        <v/>
      </c>
      <c r="E258" s="3" t="str">
        <f t="shared" si="85"/>
        <v/>
      </c>
      <c r="F258" s="3" t="str">
        <f t="shared" si="86"/>
        <v/>
      </c>
      <c r="G258" s="74" t="str">
        <f t="shared" si="87"/>
        <v/>
      </c>
      <c r="H258" s="78" t="str">
        <f>IFERROR(C258/SUM(M$2:M257),"")</f>
        <v/>
      </c>
      <c r="I258" s="61" t="str">
        <f>IFERROR(D258/SUM(N$2:N258),"")</f>
        <v/>
      </c>
      <c r="J258" s="61" t="str">
        <f>IFERROR(E258/SUM(O$2:O258),"")</f>
        <v/>
      </c>
      <c r="K258" s="61" t="str">
        <f>IFERROR(F258/SUM(P$2:P258),"")</f>
        <v/>
      </c>
      <c r="L258" s="79" t="str">
        <f>IFERROR(G258/SUM(Q$2:Q258),"")</f>
        <v/>
      </c>
      <c r="M258" s="64" t="str">
        <f t="shared" si="88"/>
        <v/>
      </c>
      <c r="N258" s="55" t="str">
        <f t="shared" si="89"/>
        <v/>
      </c>
      <c r="O258" s="55" t="str">
        <f t="shared" si="90"/>
        <v/>
      </c>
      <c r="P258" s="55" t="str">
        <f t="shared" si="91"/>
        <v/>
      </c>
      <c r="Q258" s="65" t="str">
        <f t="shared" si="92"/>
        <v/>
      </c>
      <c r="R258" s="67" t="str">
        <f t="shared" si="94"/>
        <v/>
      </c>
      <c r="S258" s="56" t="str">
        <f t="shared" si="95"/>
        <v/>
      </c>
      <c r="T258" s="56" t="str">
        <f t="shared" si="96"/>
        <v/>
      </c>
      <c r="U258" s="56" t="str">
        <f t="shared" si="97"/>
        <v/>
      </c>
      <c r="V258" s="68" t="str">
        <f t="shared" si="98"/>
        <v/>
      </c>
      <c r="W258" s="80" t="str">
        <f t="shared" si="99"/>
        <v/>
      </c>
      <c r="X258" s="81" t="str">
        <f t="shared" si="100"/>
        <v/>
      </c>
      <c r="Y258" s="81" t="str">
        <f t="shared" si="101"/>
        <v/>
      </c>
      <c r="Z258" s="81" t="str">
        <f t="shared" si="102"/>
        <v/>
      </c>
      <c r="AA258" s="82" t="str">
        <f t="shared" si="103"/>
        <v/>
      </c>
      <c r="AB258" s="83" t="str">
        <f>IF(R258&lt;&gt;"",(W258-SUMPRODUCT(R$3:R258,$B$3:$B258)/SUM($B$3:$B258))/STDEVA(W248:W258),"")</f>
        <v/>
      </c>
      <c r="AC258" s="84" t="str">
        <f>IF(S258&lt;&gt;"",(X258-SUMPRODUCT(S$3:S258,$B$3:$B258)/SUM($B$3:$B258))/STDEVA(X248:X258),"")</f>
        <v/>
      </c>
      <c r="AD258" s="84" t="str">
        <f>IF(T258&lt;&gt;"",(Y258-SUMPRODUCT(T$3:T258,$B$3:$B258)/SUM($B$3:$B258))/STDEVA(Y248:Y258),"")</f>
        <v/>
      </c>
      <c r="AE258" s="84" t="str">
        <f>IF(U258&lt;&gt;"",(Z258-SUMPRODUCT(U$3:U258,$B$3:$B258)/SUM($B$3:$B258))/STDEVA(Z248:Z258),"")</f>
        <v/>
      </c>
      <c r="AF258" s="85" t="str">
        <f>IF(V258&lt;&gt;"",(AA258-SUMPRODUCT(V$3:V258,$B$3:$B258)/SUM($B$3:$B258))/STDEVA(AA248:AA258),"")</f>
        <v/>
      </c>
      <c r="AG258" s="90" t="str">
        <f t="shared" si="104"/>
        <v/>
      </c>
      <c r="AH258" s="90" t="str">
        <f t="shared" si="104"/>
        <v/>
      </c>
      <c r="AI258" s="90" t="str">
        <f t="shared" si="104"/>
        <v/>
      </c>
      <c r="AJ258" s="90" t="str">
        <f t="shared" si="104"/>
        <v/>
      </c>
      <c r="AK258" s="93" t="str">
        <f t="shared" si="105"/>
        <v/>
      </c>
      <c r="BQ258" s="100" t="str">
        <f>IF(A258&lt;&gt;"",(VLOOKUP(A258,MarketData!$D:$BP,MATCH($BQ$1,MarketData!$D$1:$EG$1,0),TRUE)/100/365+1)^(B258)*BQ257,"")</f>
        <v/>
      </c>
      <c r="BR258" s="98" t="str">
        <f t="shared" ref="BR258:BR321" si="107">IF(A258&lt;&gt;"",(BQ258-$BQ$2)/$BQ$2,"")</f>
        <v/>
      </c>
      <c r="BS258" s="106" t="str">
        <f>IF(A258&lt;&gt;"",VLOOKUP(A258,MarketData!$D:$BP,MATCH($BS$1,MarketData!$D$1:$EG$1,0),TRUE),"")</f>
        <v/>
      </c>
      <c r="BT258" s="98" t="str">
        <f t="shared" si="93"/>
        <v/>
      </c>
    </row>
    <row r="259" spans="2:72" x14ac:dyDescent="0.25">
      <c r="B259" s="60" t="str">
        <f t="shared" si="106"/>
        <v/>
      </c>
      <c r="C259" s="3" t="str">
        <f t="shared" ref="C259:C322" si="108">IF($A259&lt;&gt;0,SUMIFS(VM,Fecha,$A259,Linea,C$1)+SUMIFS(FX,Fecha,$A259,Linea,C$1)+C258,"")</f>
        <v/>
      </c>
      <c r="D259" s="3" t="str">
        <f t="shared" ref="D259:D322" si="109">IF($A259&lt;&gt;0,SUMIFS(VM,Fecha,$A259,Linea,D$1)+SUMIFS(FX,Fecha,$A259,Linea,D$1)+D258,"")</f>
        <v/>
      </c>
      <c r="E259" s="3" t="str">
        <f t="shared" ref="E259:E322" si="110">IF($A259&lt;&gt;0,SUMIFS(VM,Fecha,$A259,Linea,E$1)+SUMIFS(FX,Fecha,$A259,Linea,E$1)+E258,"")</f>
        <v/>
      </c>
      <c r="F259" s="3" t="str">
        <f t="shared" ref="F259:F322" si="111">IF($A259&lt;&gt;0,SUMIFS(VM,Fecha,$A259,Linea,F$1)+SUMIFS(FX,Fecha,$A259,Linea,F$1)+F258,"")</f>
        <v/>
      </c>
      <c r="G259" s="74" t="str">
        <f t="shared" ref="G259:G322" si="112">IF($A259&lt;&gt;0,SUMIFS(VM,Fecha,$A259,Linea,G$1)+SUMIFS(FX,Fecha,$A259,Linea,G$1)+G258,"")</f>
        <v/>
      </c>
      <c r="H259" s="78" t="str">
        <f>IFERROR(C259/SUM(M$2:M258),"")</f>
        <v/>
      </c>
      <c r="I259" s="61" t="str">
        <f>IFERROR(D259/SUM(N$2:N259),"")</f>
        <v/>
      </c>
      <c r="J259" s="61" t="str">
        <f>IFERROR(E259/SUM(O$2:O259),"")</f>
        <v/>
      </c>
      <c r="K259" s="61" t="str">
        <f>IFERROR(F259/SUM(P$2:P259),"")</f>
        <v/>
      </c>
      <c r="L259" s="79" t="str">
        <f>IFERROR(G259/SUM(Q$2:Q259),"")</f>
        <v/>
      </c>
      <c r="M259" s="64" t="str">
        <f t="shared" ref="M259:M322" si="113">IF($A259&lt;&gt;"",SUMIFS(Transferencias,Fecha,$A259,Linea,C$1),"")</f>
        <v/>
      </c>
      <c r="N259" s="55" t="str">
        <f t="shared" ref="N259:N322" si="114">IF($A259&lt;&gt;"",SUMIFS(Transferencias,Fecha,$A259,Linea,D$1),"")</f>
        <v/>
      </c>
      <c r="O259" s="55" t="str">
        <f t="shared" ref="O259:O322" si="115">IF($A259&lt;&gt;"",SUMIFS(Transferencias,Fecha,$A259,Linea,E$1),"")</f>
        <v/>
      </c>
      <c r="P259" s="55" t="str">
        <f t="shared" ref="P259:P322" si="116">IF($A259&lt;&gt;"",SUMIFS(Transferencias,Fecha,$A259,Linea,F$1),"")</f>
        <v/>
      </c>
      <c r="Q259" s="65" t="str">
        <f t="shared" ref="Q259:Q322" si="117">IF($A259&lt;&gt;"",SUMIFS(Transferencias,Fecha,$A259,Linea,G$1),"")</f>
        <v/>
      </c>
      <c r="R259" s="67" t="str">
        <f t="shared" si="94"/>
        <v/>
      </c>
      <c r="S259" s="56" t="str">
        <f t="shared" si="95"/>
        <v/>
      </c>
      <c r="T259" s="56" t="str">
        <f t="shared" si="96"/>
        <v/>
      </c>
      <c r="U259" s="56" t="str">
        <f t="shared" si="97"/>
        <v/>
      </c>
      <c r="V259" s="68" t="str">
        <f t="shared" si="98"/>
        <v/>
      </c>
      <c r="W259" s="80" t="str">
        <f t="shared" si="99"/>
        <v/>
      </c>
      <c r="X259" s="81" t="str">
        <f t="shared" si="100"/>
        <v/>
      </c>
      <c r="Y259" s="81" t="str">
        <f t="shared" si="101"/>
        <v/>
      </c>
      <c r="Z259" s="81" t="str">
        <f t="shared" si="102"/>
        <v/>
      </c>
      <c r="AA259" s="82" t="str">
        <f t="shared" si="103"/>
        <v/>
      </c>
      <c r="AB259" s="83" t="str">
        <f>IF(R259&lt;&gt;"",(W259-SUMPRODUCT(R$3:R259,$B$3:$B259)/SUM($B$3:$B259))/STDEVA(W249:W259),"")</f>
        <v/>
      </c>
      <c r="AC259" s="84" t="str">
        <f>IF(S259&lt;&gt;"",(X259-SUMPRODUCT(S$3:S259,$B$3:$B259)/SUM($B$3:$B259))/STDEVA(X249:X259),"")</f>
        <v/>
      </c>
      <c r="AD259" s="84" t="str">
        <f>IF(T259&lt;&gt;"",(Y259-SUMPRODUCT(T$3:T259,$B$3:$B259)/SUM($B$3:$B259))/STDEVA(Y249:Y259),"")</f>
        <v/>
      </c>
      <c r="AE259" s="84" t="str">
        <f>IF(U259&lt;&gt;"",(Z259-SUMPRODUCT(U$3:U259,$B$3:$B259)/SUM($B$3:$B259))/STDEVA(Z249:Z259),"")</f>
        <v/>
      </c>
      <c r="AF259" s="85" t="str">
        <f>IF(V259&lt;&gt;"",(AA259-SUMPRODUCT(V$3:V259,$B$3:$B259)/SUM($B$3:$B259))/STDEVA(AA249:AA259),"")</f>
        <v/>
      </c>
      <c r="AG259" s="90" t="str">
        <f t="shared" si="104"/>
        <v/>
      </c>
      <c r="AH259" s="90" t="str">
        <f t="shared" si="104"/>
        <v/>
      </c>
      <c r="AI259" s="90" t="str">
        <f t="shared" si="104"/>
        <v/>
      </c>
      <c r="AJ259" s="90" t="str">
        <f t="shared" si="104"/>
        <v/>
      </c>
      <c r="AK259" s="93" t="str">
        <f t="shared" si="105"/>
        <v/>
      </c>
      <c r="BQ259" s="100" t="str">
        <f>IF(A259&lt;&gt;"",(VLOOKUP(A259,MarketData!$D:$BP,MATCH($BQ$1,MarketData!$D$1:$EG$1,0),TRUE)/100/365+1)^(B259)*BQ258,"")</f>
        <v/>
      </c>
      <c r="BR259" s="98" t="str">
        <f t="shared" si="107"/>
        <v/>
      </c>
      <c r="BS259" s="106" t="str">
        <f>IF(A259&lt;&gt;"",VLOOKUP(A259,MarketData!$D:$BP,MATCH($BS$1,MarketData!$D$1:$EG$1,0),TRUE),"")</f>
        <v/>
      </c>
      <c r="BT259" s="98" t="str">
        <f t="shared" ref="BT259:BT322" si="118">IF(A259&lt;&gt;"",(BS259-$BS$2)/$BS$2,"")</f>
        <v/>
      </c>
    </row>
    <row r="260" spans="2:72" x14ac:dyDescent="0.25">
      <c r="B260" s="60" t="str">
        <f t="shared" si="106"/>
        <v/>
      </c>
      <c r="C260" s="3" t="str">
        <f t="shared" si="108"/>
        <v/>
      </c>
      <c r="D260" s="3" t="str">
        <f t="shared" si="109"/>
        <v/>
      </c>
      <c r="E260" s="3" t="str">
        <f t="shared" si="110"/>
        <v/>
      </c>
      <c r="F260" s="3" t="str">
        <f t="shared" si="111"/>
        <v/>
      </c>
      <c r="G260" s="74" t="str">
        <f t="shared" si="112"/>
        <v/>
      </c>
      <c r="H260" s="78" t="str">
        <f>IFERROR(C260/SUM(M$2:M259),"")</f>
        <v/>
      </c>
      <c r="I260" s="61" t="str">
        <f>IFERROR(D260/SUM(N$2:N260),"")</f>
        <v/>
      </c>
      <c r="J260" s="61" t="str">
        <f>IFERROR(E260/SUM(O$2:O260),"")</f>
        <v/>
      </c>
      <c r="K260" s="61" t="str">
        <f>IFERROR(F260/SUM(P$2:P260),"")</f>
        <v/>
      </c>
      <c r="L260" s="79" t="str">
        <f>IFERROR(G260/SUM(Q$2:Q260),"")</f>
        <v/>
      </c>
      <c r="M260" s="64" t="str">
        <f t="shared" si="113"/>
        <v/>
      </c>
      <c r="N260" s="55" t="str">
        <f t="shared" si="114"/>
        <v/>
      </c>
      <c r="O260" s="55" t="str">
        <f t="shared" si="115"/>
        <v/>
      </c>
      <c r="P260" s="55" t="str">
        <f t="shared" si="116"/>
        <v/>
      </c>
      <c r="Q260" s="65" t="str">
        <f t="shared" si="117"/>
        <v/>
      </c>
      <c r="R260" s="67" t="str">
        <f t="shared" ref="R260:R323" si="119">IF(C260&lt;&gt;"",LN((C260-C259)/(SUMIFS(Total,Fecha,$A259,Linea,C$1)+M259)+1)*365/($A260-$A259),"")</f>
        <v/>
      </c>
      <c r="S260" s="56" t="str">
        <f t="shared" ref="S260:S323" si="120">IF(D260&lt;&gt;"",LN((D260-D259)/(SUMIFS(Total,Fecha,$A259,Linea,D$1)+N259)+1)*365/($A260-$A259),"")</f>
        <v/>
      </c>
      <c r="T260" s="56" t="str">
        <f t="shared" ref="T260:T323" si="121">IF(E260&lt;&gt;"",LN((E260-E259)/(SUMIFS(Total,Fecha,$A259,Linea,E$1)+O259)+1)*365/($A260-$A259),"")</f>
        <v/>
      </c>
      <c r="U260" s="56" t="str">
        <f t="shared" ref="U260:U323" si="122">IF(F260&lt;&gt;"",LN((F260-F259)/(SUMIFS(Total,Fecha,$A259,Linea,F$1)+P259)+1)*365/($A260-$A259),"")</f>
        <v/>
      </c>
      <c r="V260" s="68" t="str">
        <f t="shared" ref="V260:V323" si="123">IF(G260&lt;&gt;"",LN((G260-G259)/(SUMIFS(Total,Fecha,$A259,Linea,G$1)+Q259)+1)*365/($A260-$A259),"")</f>
        <v/>
      </c>
      <c r="W260" s="80" t="str">
        <f t="shared" si="99"/>
        <v/>
      </c>
      <c r="X260" s="81" t="str">
        <f t="shared" si="100"/>
        <v/>
      </c>
      <c r="Y260" s="81" t="str">
        <f t="shared" si="101"/>
        <v/>
      </c>
      <c r="Z260" s="81" t="str">
        <f t="shared" si="102"/>
        <v/>
      </c>
      <c r="AA260" s="82" t="str">
        <f t="shared" si="103"/>
        <v/>
      </c>
      <c r="AB260" s="83" t="str">
        <f>IF(R260&lt;&gt;"",(W260-SUMPRODUCT(R$3:R260,$B$3:$B260)/SUM($B$3:$B260))/STDEVA(W250:W260),"")</f>
        <v/>
      </c>
      <c r="AC260" s="84" t="str">
        <f>IF(S260&lt;&gt;"",(X260-SUMPRODUCT(S$3:S260,$B$3:$B260)/SUM($B$3:$B260))/STDEVA(X250:X260),"")</f>
        <v/>
      </c>
      <c r="AD260" s="84" t="str">
        <f>IF(T260&lt;&gt;"",(Y260-SUMPRODUCT(T$3:T260,$B$3:$B260)/SUM($B$3:$B260))/STDEVA(Y250:Y260),"")</f>
        <v/>
      </c>
      <c r="AE260" s="84" t="str">
        <f>IF(U260&lt;&gt;"",(Z260-SUMPRODUCT(U$3:U260,$B$3:$B260)/SUM($B$3:$B260))/STDEVA(Z250:Z260),"")</f>
        <v/>
      </c>
      <c r="AF260" s="85" t="str">
        <f>IF(V260&lt;&gt;"",(AA260-SUMPRODUCT(V$3:V260,$B$3:$B260)/SUM($B$3:$B260))/STDEVA(AA250:AA260),"")</f>
        <v/>
      </c>
      <c r="AG260" s="90" t="str">
        <f t="shared" si="104"/>
        <v/>
      </c>
      <c r="AH260" s="90" t="str">
        <f t="shared" si="104"/>
        <v/>
      </c>
      <c r="AI260" s="90" t="str">
        <f t="shared" si="104"/>
        <v/>
      </c>
      <c r="AJ260" s="90" t="str">
        <f t="shared" si="104"/>
        <v/>
      </c>
      <c r="AK260" s="93" t="str">
        <f t="shared" si="105"/>
        <v/>
      </c>
      <c r="BQ260" s="100" t="str">
        <f>IF(A260&lt;&gt;"",(VLOOKUP(A260,MarketData!$D:$BP,MATCH($BQ$1,MarketData!$D$1:$EG$1,0),TRUE)/100/365+1)^(B260)*BQ259,"")</f>
        <v/>
      </c>
      <c r="BR260" s="98" t="str">
        <f t="shared" si="107"/>
        <v/>
      </c>
      <c r="BS260" s="106" t="str">
        <f>IF(A260&lt;&gt;"",VLOOKUP(A260,MarketData!$D:$BP,MATCH($BS$1,MarketData!$D$1:$EG$1,0),TRUE),"")</f>
        <v/>
      </c>
      <c r="BT260" s="98" t="str">
        <f t="shared" si="118"/>
        <v/>
      </c>
    </row>
    <row r="261" spans="2:72" x14ac:dyDescent="0.25">
      <c r="B261" s="60" t="str">
        <f t="shared" si="106"/>
        <v/>
      </c>
      <c r="C261" s="3" t="str">
        <f t="shared" si="108"/>
        <v/>
      </c>
      <c r="D261" s="3" t="str">
        <f t="shared" si="109"/>
        <v/>
      </c>
      <c r="E261" s="3" t="str">
        <f t="shared" si="110"/>
        <v/>
      </c>
      <c r="F261" s="3" t="str">
        <f t="shared" si="111"/>
        <v/>
      </c>
      <c r="G261" s="74" t="str">
        <f t="shared" si="112"/>
        <v/>
      </c>
      <c r="H261" s="78" t="str">
        <f>IFERROR(C261/SUM(M$2:M260),"")</f>
        <v/>
      </c>
      <c r="I261" s="61" t="str">
        <f>IFERROR(D261/SUM(N$2:N261),"")</f>
        <v/>
      </c>
      <c r="J261" s="61" t="str">
        <f>IFERROR(E261/SUM(O$2:O261),"")</f>
        <v/>
      </c>
      <c r="K261" s="61" t="str">
        <f>IFERROR(F261/SUM(P$2:P261),"")</f>
        <v/>
      </c>
      <c r="L261" s="79" t="str">
        <f>IFERROR(G261/SUM(Q$2:Q261),"")</f>
        <v/>
      </c>
      <c r="M261" s="64" t="str">
        <f t="shared" si="113"/>
        <v/>
      </c>
      <c r="N261" s="55" t="str">
        <f t="shared" si="114"/>
        <v/>
      </c>
      <c r="O261" s="55" t="str">
        <f t="shared" si="115"/>
        <v/>
      </c>
      <c r="P261" s="55" t="str">
        <f t="shared" si="116"/>
        <v/>
      </c>
      <c r="Q261" s="65" t="str">
        <f t="shared" si="117"/>
        <v/>
      </c>
      <c r="R261" s="67" t="str">
        <f t="shared" si="119"/>
        <v/>
      </c>
      <c r="S261" s="56" t="str">
        <f t="shared" si="120"/>
        <v/>
      </c>
      <c r="T261" s="56" t="str">
        <f t="shared" si="121"/>
        <v/>
      </c>
      <c r="U261" s="56" t="str">
        <f t="shared" si="122"/>
        <v/>
      </c>
      <c r="V261" s="68" t="str">
        <f t="shared" si="123"/>
        <v/>
      </c>
      <c r="W261" s="80" t="str">
        <f t="shared" si="99"/>
        <v/>
      </c>
      <c r="X261" s="81" t="str">
        <f t="shared" si="100"/>
        <v/>
      </c>
      <c r="Y261" s="81" t="str">
        <f t="shared" si="101"/>
        <v/>
      </c>
      <c r="Z261" s="81" t="str">
        <f t="shared" si="102"/>
        <v/>
      </c>
      <c r="AA261" s="82" t="str">
        <f t="shared" si="103"/>
        <v/>
      </c>
      <c r="AB261" s="83" t="str">
        <f>IF(R261&lt;&gt;"",(W261-SUMPRODUCT(R$3:R261,$B$3:$B261)/SUM($B$3:$B261))/STDEVA(W251:W261),"")</f>
        <v/>
      </c>
      <c r="AC261" s="84" t="str">
        <f>IF(S261&lt;&gt;"",(X261-SUMPRODUCT(S$3:S261,$B$3:$B261)/SUM($B$3:$B261))/STDEVA(X251:X261),"")</f>
        <v/>
      </c>
      <c r="AD261" s="84" t="str">
        <f>IF(T261&lt;&gt;"",(Y261-SUMPRODUCT(T$3:T261,$B$3:$B261)/SUM($B$3:$B261))/STDEVA(Y251:Y261),"")</f>
        <v/>
      </c>
      <c r="AE261" s="84" t="str">
        <f>IF(U261&lt;&gt;"",(Z261-SUMPRODUCT(U$3:U261,$B$3:$B261)/SUM($B$3:$B261))/STDEVA(Z251:Z261),"")</f>
        <v/>
      </c>
      <c r="AF261" s="85" t="str">
        <f>IF(V261&lt;&gt;"",(AA261-SUMPRODUCT(V$3:V261,$B$3:$B261)/SUM($B$3:$B261))/STDEVA(AA251:AA261),"")</f>
        <v/>
      </c>
      <c r="AG261" s="90" t="str">
        <f t="shared" si="104"/>
        <v/>
      </c>
      <c r="AH261" s="90" t="str">
        <f t="shared" si="104"/>
        <v/>
      </c>
      <c r="AI261" s="90" t="str">
        <f t="shared" si="104"/>
        <v/>
      </c>
      <c r="AJ261" s="90" t="str">
        <f t="shared" si="104"/>
        <v/>
      </c>
      <c r="AK261" s="93" t="str">
        <f t="shared" si="105"/>
        <v/>
      </c>
      <c r="BQ261" s="100" t="str">
        <f>IF(A261&lt;&gt;"",(VLOOKUP(A261,MarketData!$D:$BP,MATCH($BQ$1,MarketData!$D$1:$EG$1,0),TRUE)/100/365+1)^(B261)*BQ260,"")</f>
        <v/>
      </c>
      <c r="BR261" s="98" t="str">
        <f t="shared" si="107"/>
        <v/>
      </c>
      <c r="BS261" s="106" t="str">
        <f>IF(A261&lt;&gt;"",VLOOKUP(A261,MarketData!$D:$BP,MATCH($BS$1,MarketData!$D$1:$EG$1,0),TRUE),"")</f>
        <v/>
      </c>
      <c r="BT261" s="98" t="str">
        <f t="shared" si="118"/>
        <v/>
      </c>
    </row>
    <row r="262" spans="2:72" x14ac:dyDescent="0.25">
      <c r="B262" s="60" t="str">
        <f t="shared" si="106"/>
        <v/>
      </c>
      <c r="C262" s="3" t="str">
        <f t="shared" si="108"/>
        <v/>
      </c>
      <c r="D262" s="3" t="str">
        <f t="shared" si="109"/>
        <v/>
      </c>
      <c r="E262" s="3" t="str">
        <f t="shared" si="110"/>
        <v/>
      </c>
      <c r="F262" s="3" t="str">
        <f t="shared" si="111"/>
        <v/>
      </c>
      <c r="G262" s="74" t="str">
        <f t="shared" si="112"/>
        <v/>
      </c>
      <c r="H262" s="78" t="str">
        <f>IFERROR(C262/SUM(M$2:M261),"")</f>
        <v/>
      </c>
      <c r="I262" s="61" t="str">
        <f>IFERROR(D262/SUM(N$2:N262),"")</f>
        <v/>
      </c>
      <c r="J262" s="61" t="str">
        <f>IFERROR(E262/SUM(O$2:O262),"")</f>
        <v/>
      </c>
      <c r="K262" s="61" t="str">
        <f>IFERROR(F262/SUM(P$2:P262),"")</f>
        <v/>
      </c>
      <c r="L262" s="79" t="str">
        <f>IFERROR(G262/SUM(Q$2:Q262),"")</f>
        <v/>
      </c>
      <c r="M262" s="64" t="str">
        <f t="shared" si="113"/>
        <v/>
      </c>
      <c r="N262" s="55" t="str">
        <f t="shared" si="114"/>
        <v/>
      </c>
      <c r="O262" s="55" t="str">
        <f t="shared" si="115"/>
        <v/>
      </c>
      <c r="P262" s="55" t="str">
        <f t="shared" si="116"/>
        <v/>
      </c>
      <c r="Q262" s="65" t="str">
        <f t="shared" si="117"/>
        <v/>
      </c>
      <c r="R262" s="67" t="str">
        <f t="shared" si="119"/>
        <v/>
      </c>
      <c r="S262" s="56" t="str">
        <f t="shared" si="120"/>
        <v/>
      </c>
      <c r="T262" s="56" t="str">
        <f t="shared" si="121"/>
        <v/>
      </c>
      <c r="U262" s="56" t="str">
        <f t="shared" si="122"/>
        <v/>
      </c>
      <c r="V262" s="68" t="str">
        <f t="shared" si="123"/>
        <v/>
      </c>
      <c r="W262" s="80" t="str">
        <f t="shared" si="99"/>
        <v/>
      </c>
      <c r="X262" s="81" t="str">
        <f t="shared" si="100"/>
        <v/>
      </c>
      <c r="Y262" s="81" t="str">
        <f t="shared" si="101"/>
        <v/>
      </c>
      <c r="Z262" s="81" t="str">
        <f t="shared" si="102"/>
        <v/>
      </c>
      <c r="AA262" s="82" t="str">
        <f t="shared" si="103"/>
        <v/>
      </c>
      <c r="AB262" s="83" t="str">
        <f>IF(R262&lt;&gt;"",(W262-SUMPRODUCT(R$3:R262,$B$3:$B262)/SUM($B$3:$B262))/STDEVA(W252:W262),"")</f>
        <v/>
      </c>
      <c r="AC262" s="84" t="str">
        <f>IF(S262&lt;&gt;"",(X262-SUMPRODUCT(S$3:S262,$B$3:$B262)/SUM($B$3:$B262))/STDEVA(X252:X262),"")</f>
        <v/>
      </c>
      <c r="AD262" s="84" t="str">
        <f>IF(T262&lt;&gt;"",(Y262-SUMPRODUCT(T$3:T262,$B$3:$B262)/SUM($B$3:$B262))/STDEVA(Y252:Y262),"")</f>
        <v/>
      </c>
      <c r="AE262" s="84" t="str">
        <f>IF(U262&lt;&gt;"",(Z262-SUMPRODUCT(U$3:U262,$B$3:$B262)/SUM($B$3:$B262))/STDEVA(Z252:Z262),"")</f>
        <v/>
      </c>
      <c r="AF262" s="85" t="str">
        <f>IF(V262&lt;&gt;"",(AA262-SUMPRODUCT(V$3:V262,$B$3:$B262)/SUM($B$3:$B262))/STDEVA(AA252:AA262),"")</f>
        <v/>
      </c>
      <c r="AG262" s="90" t="str">
        <f t="shared" si="104"/>
        <v/>
      </c>
      <c r="AH262" s="90" t="str">
        <f t="shared" si="104"/>
        <v/>
      </c>
      <c r="AI262" s="90" t="str">
        <f t="shared" si="104"/>
        <v/>
      </c>
      <c r="AJ262" s="90" t="str">
        <f t="shared" si="104"/>
        <v/>
      </c>
      <c r="AK262" s="93" t="str">
        <f t="shared" si="105"/>
        <v/>
      </c>
      <c r="BQ262" s="100" t="str">
        <f>IF(A262&lt;&gt;"",(VLOOKUP(A262,MarketData!$D:$BP,MATCH($BQ$1,MarketData!$D$1:$EG$1,0),TRUE)/100/365+1)^(B262)*BQ261,"")</f>
        <v/>
      </c>
      <c r="BR262" s="98" t="str">
        <f t="shared" si="107"/>
        <v/>
      </c>
      <c r="BS262" s="106" t="str">
        <f>IF(A262&lt;&gt;"",VLOOKUP(A262,MarketData!$D:$BP,MATCH($BS$1,MarketData!$D$1:$EG$1,0),TRUE),"")</f>
        <v/>
      </c>
      <c r="BT262" s="98" t="str">
        <f t="shared" si="118"/>
        <v/>
      </c>
    </row>
    <row r="263" spans="2:72" x14ac:dyDescent="0.25">
      <c r="B263" s="60" t="str">
        <f t="shared" si="106"/>
        <v/>
      </c>
      <c r="C263" s="3" t="str">
        <f t="shared" si="108"/>
        <v/>
      </c>
      <c r="D263" s="3" t="str">
        <f t="shared" si="109"/>
        <v/>
      </c>
      <c r="E263" s="3" t="str">
        <f t="shared" si="110"/>
        <v/>
      </c>
      <c r="F263" s="3" t="str">
        <f t="shared" si="111"/>
        <v/>
      </c>
      <c r="G263" s="74" t="str">
        <f t="shared" si="112"/>
        <v/>
      </c>
      <c r="H263" s="78" t="str">
        <f>IFERROR(C263/SUM(M$2:M262),"")</f>
        <v/>
      </c>
      <c r="I263" s="61" t="str">
        <f>IFERROR(D263/SUM(N$2:N263),"")</f>
        <v/>
      </c>
      <c r="J263" s="61" t="str">
        <f>IFERROR(E263/SUM(O$2:O263),"")</f>
        <v/>
      </c>
      <c r="K263" s="61" t="str">
        <f>IFERROR(F263/SUM(P$2:P263),"")</f>
        <v/>
      </c>
      <c r="L263" s="79" t="str">
        <f>IFERROR(G263/SUM(Q$2:Q263),"")</f>
        <v/>
      </c>
      <c r="M263" s="64" t="str">
        <f t="shared" si="113"/>
        <v/>
      </c>
      <c r="N263" s="55" t="str">
        <f t="shared" si="114"/>
        <v/>
      </c>
      <c r="O263" s="55" t="str">
        <f t="shared" si="115"/>
        <v/>
      </c>
      <c r="P263" s="55" t="str">
        <f t="shared" si="116"/>
        <v/>
      </c>
      <c r="Q263" s="65" t="str">
        <f t="shared" si="117"/>
        <v/>
      </c>
      <c r="R263" s="67" t="str">
        <f t="shared" si="119"/>
        <v/>
      </c>
      <c r="S263" s="56" t="str">
        <f t="shared" si="120"/>
        <v/>
      </c>
      <c r="T263" s="56" t="str">
        <f t="shared" si="121"/>
        <v/>
      </c>
      <c r="U263" s="56" t="str">
        <f t="shared" si="122"/>
        <v/>
      </c>
      <c r="V263" s="68" t="str">
        <f t="shared" si="123"/>
        <v/>
      </c>
      <c r="W263" s="80" t="str">
        <f t="shared" si="99"/>
        <v/>
      </c>
      <c r="X263" s="81" t="str">
        <f t="shared" si="100"/>
        <v/>
      </c>
      <c r="Y263" s="81" t="str">
        <f t="shared" si="101"/>
        <v/>
      </c>
      <c r="Z263" s="81" t="str">
        <f t="shared" si="102"/>
        <v/>
      </c>
      <c r="AA263" s="82" t="str">
        <f t="shared" si="103"/>
        <v/>
      </c>
      <c r="AB263" s="83" t="str">
        <f>IF(R263&lt;&gt;"",(W263-SUMPRODUCT(R$3:R263,$B$3:$B263)/SUM($B$3:$B263))/STDEVA(W253:W263),"")</f>
        <v/>
      </c>
      <c r="AC263" s="84" t="str">
        <f>IF(S263&lt;&gt;"",(X263-SUMPRODUCT(S$3:S263,$B$3:$B263)/SUM($B$3:$B263))/STDEVA(X253:X263),"")</f>
        <v/>
      </c>
      <c r="AD263" s="84" t="str">
        <f>IF(T263&lt;&gt;"",(Y263-SUMPRODUCT(T$3:T263,$B$3:$B263)/SUM($B$3:$B263))/STDEVA(Y253:Y263),"")</f>
        <v/>
      </c>
      <c r="AE263" s="84" t="str">
        <f>IF(U263&lt;&gt;"",(Z263-SUMPRODUCT(U$3:U263,$B$3:$B263)/SUM($B$3:$B263))/STDEVA(Z253:Z263),"")</f>
        <v/>
      </c>
      <c r="AF263" s="85" t="str">
        <f>IF(V263&lt;&gt;"",(AA263-SUMPRODUCT(V$3:V263,$B$3:$B263)/SUM($B$3:$B263))/STDEVA(AA253:AA263),"")</f>
        <v/>
      </c>
      <c r="AG263" s="90" t="str">
        <f t="shared" si="104"/>
        <v/>
      </c>
      <c r="AH263" s="90" t="str">
        <f t="shared" si="104"/>
        <v/>
      </c>
      <c r="AI263" s="90" t="str">
        <f t="shared" si="104"/>
        <v/>
      </c>
      <c r="AJ263" s="90" t="str">
        <f t="shared" si="104"/>
        <v/>
      </c>
      <c r="AK263" s="93" t="str">
        <f t="shared" si="105"/>
        <v/>
      </c>
      <c r="BQ263" s="100" t="str">
        <f>IF(A263&lt;&gt;"",(VLOOKUP(A263,MarketData!$D:$BP,MATCH($BQ$1,MarketData!$D$1:$EG$1,0),TRUE)/100/365+1)^(B263)*BQ262,"")</f>
        <v/>
      </c>
      <c r="BR263" s="98" t="str">
        <f t="shared" si="107"/>
        <v/>
      </c>
      <c r="BS263" s="106" t="str">
        <f>IF(A263&lt;&gt;"",VLOOKUP(A263,MarketData!$D:$BP,MATCH($BS$1,MarketData!$D$1:$EG$1,0),TRUE),"")</f>
        <v/>
      </c>
      <c r="BT263" s="98" t="str">
        <f t="shared" si="118"/>
        <v/>
      </c>
    </row>
    <row r="264" spans="2:72" x14ac:dyDescent="0.25">
      <c r="B264" s="60" t="str">
        <f t="shared" si="106"/>
        <v/>
      </c>
      <c r="C264" s="3" t="str">
        <f t="shared" si="108"/>
        <v/>
      </c>
      <c r="D264" s="3" t="str">
        <f t="shared" si="109"/>
        <v/>
      </c>
      <c r="E264" s="3" t="str">
        <f t="shared" si="110"/>
        <v/>
      </c>
      <c r="F264" s="3" t="str">
        <f t="shared" si="111"/>
        <v/>
      </c>
      <c r="G264" s="74" t="str">
        <f t="shared" si="112"/>
        <v/>
      </c>
      <c r="H264" s="78" t="str">
        <f>IFERROR(C264/SUM(M$2:M263),"")</f>
        <v/>
      </c>
      <c r="I264" s="61" t="str">
        <f>IFERROR(D264/SUM(N$2:N264),"")</f>
        <v/>
      </c>
      <c r="J264" s="61" t="str">
        <f>IFERROR(E264/SUM(O$2:O264),"")</f>
        <v/>
      </c>
      <c r="K264" s="61" t="str">
        <f>IFERROR(F264/SUM(P$2:P264),"")</f>
        <v/>
      </c>
      <c r="L264" s="79" t="str">
        <f>IFERROR(G264/SUM(Q$2:Q264),"")</f>
        <v/>
      </c>
      <c r="M264" s="64" t="str">
        <f t="shared" si="113"/>
        <v/>
      </c>
      <c r="N264" s="55" t="str">
        <f t="shared" si="114"/>
        <v/>
      </c>
      <c r="O264" s="55" t="str">
        <f t="shared" si="115"/>
        <v/>
      </c>
      <c r="P264" s="55" t="str">
        <f t="shared" si="116"/>
        <v/>
      </c>
      <c r="Q264" s="65" t="str">
        <f t="shared" si="117"/>
        <v/>
      </c>
      <c r="R264" s="67" t="str">
        <f t="shared" si="119"/>
        <v/>
      </c>
      <c r="S264" s="56" t="str">
        <f t="shared" si="120"/>
        <v/>
      </c>
      <c r="T264" s="56" t="str">
        <f t="shared" si="121"/>
        <v/>
      </c>
      <c r="U264" s="56" t="str">
        <f t="shared" si="122"/>
        <v/>
      </c>
      <c r="V264" s="68" t="str">
        <f t="shared" si="123"/>
        <v/>
      </c>
      <c r="W264" s="80" t="str">
        <f t="shared" si="99"/>
        <v/>
      </c>
      <c r="X264" s="81" t="str">
        <f t="shared" si="100"/>
        <v/>
      </c>
      <c r="Y264" s="81" t="str">
        <f t="shared" si="101"/>
        <v/>
      </c>
      <c r="Z264" s="81" t="str">
        <f t="shared" si="102"/>
        <v/>
      </c>
      <c r="AA264" s="82" t="str">
        <f t="shared" si="103"/>
        <v/>
      </c>
      <c r="AB264" s="83" t="str">
        <f>IF(R264&lt;&gt;"",(W264-SUMPRODUCT(R$3:R264,$B$3:$B264)/SUM($B$3:$B264))/STDEVA(W254:W264),"")</f>
        <v/>
      </c>
      <c r="AC264" s="84" t="str">
        <f>IF(S264&lt;&gt;"",(X264-SUMPRODUCT(S$3:S264,$B$3:$B264)/SUM($B$3:$B264))/STDEVA(X254:X264),"")</f>
        <v/>
      </c>
      <c r="AD264" s="84" t="str">
        <f>IF(T264&lt;&gt;"",(Y264-SUMPRODUCT(T$3:T264,$B$3:$B264)/SUM($B$3:$B264))/STDEVA(Y254:Y264),"")</f>
        <v/>
      </c>
      <c r="AE264" s="84" t="str">
        <f>IF(U264&lt;&gt;"",(Z264-SUMPRODUCT(U$3:U264,$B$3:$B264)/SUM($B$3:$B264))/STDEVA(Z254:Z264),"")</f>
        <v/>
      </c>
      <c r="AF264" s="85" t="str">
        <f>IF(V264&lt;&gt;"",(AA264-SUMPRODUCT(V$3:V264,$B$3:$B264)/SUM($B$3:$B264))/STDEVA(AA254:AA264),"")</f>
        <v/>
      </c>
      <c r="AG264" s="90" t="str">
        <f t="shared" si="104"/>
        <v/>
      </c>
      <c r="AH264" s="90" t="str">
        <f t="shared" si="104"/>
        <v/>
      </c>
      <c r="AI264" s="90" t="str">
        <f t="shared" si="104"/>
        <v/>
      </c>
      <c r="AJ264" s="90" t="str">
        <f t="shared" si="104"/>
        <v/>
      </c>
      <c r="AK264" s="93" t="str">
        <f t="shared" si="105"/>
        <v/>
      </c>
      <c r="BQ264" s="100" t="str">
        <f>IF(A264&lt;&gt;"",(VLOOKUP(A264,MarketData!$D:$BP,MATCH($BQ$1,MarketData!$D$1:$EG$1,0),TRUE)/100/365+1)^(B264)*BQ263,"")</f>
        <v/>
      </c>
      <c r="BR264" s="98" t="str">
        <f t="shared" si="107"/>
        <v/>
      </c>
      <c r="BS264" s="106" t="str">
        <f>IF(A264&lt;&gt;"",VLOOKUP(A264,MarketData!$D:$BP,MATCH($BS$1,MarketData!$D$1:$EG$1,0),TRUE),"")</f>
        <v/>
      </c>
      <c r="BT264" s="98" t="str">
        <f t="shared" si="118"/>
        <v/>
      </c>
    </row>
    <row r="265" spans="2:72" x14ac:dyDescent="0.25">
      <c r="B265" s="60" t="str">
        <f t="shared" si="106"/>
        <v/>
      </c>
      <c r="C265" s="3" t="str">
        <f t="shared" si="108"/>
        <v/>
      </c>
      <c r="D265" s="3" t="str">
        <f t="shared" si="109"/>
        <v/>
      </c>
      <c r="E265" s="3" t="str">
        <f t="shared" si="110"/>
        <v/>
      </c>
      <c r="F265" s="3" t="str">
        <f t="shared" si="111"/>
        <v/>
      </c>
      <c r="G265" s="74" t="str">
        <f t="shared" si="112"/>
        <v/>
      </c>
      <c r="H265" s="78" t="str">
        <f>IFERROR(C265/SUM(M$2:M264),"")</f>
        <v/>
      </c>
      <c r="I265" s="61" t="str">
        <f>IFERROR(D265/SUM(N$2:N265),"")</f>
        <v/>
      </c>
      <c r="J265" s="61" t="str">
        <f>IFERROR(E265/SUM(O$2:O265),"")</f>
        <v/>
      </c>
      <c r="K265" s="61" t="str">
        <f>IFERROR(F265/SUM(P$2:P265),"")</f>
        <v/>
      </c>
      <c r="L265" s="79" t="str">
        <f>IFERROR(G265/SUM(Q$2:Q265),"")</f>
        <v/>
      </c>
      <c r="M265" s="64" t="str">
        <f t="shared" si="113"/>
        <v/>
      </c>
      <c r="N265" s="55" t="str">
        <f t="shared" si="114"/>
        <v/>
      </c>
      <c r="O265" s="55" t="str">
        <f t="shared" si="115"/>
        <v/>
      </c>
      <c r="P265" s="55" t="str">
        <f t="shared" si="116"/>
        <v/>
      </c>
      <c r="Q265" s="65" t="str">
        <f t="shared" si="117"/>
        <v/>
      </c>
      <c r="R265" s="67" t="str">
        <f t="shared" si="119"/>
        <v/>
      </c>
      <c r="S265" s="56" t="str">
        <f t="shared" si="120"/>
        <v/>
      </c>
      <c r="T265" s="56" t="str">
        <f t="shared" si="121"/>
        <v/>
      </c>
      <c r="U265" s="56" t="str">
        <f t="shared" si="122"/>
        <v/>
      </c>
      <c r="V265" s="68" t="str">
        <f t="shared" si="123"/>
        <v/>
      </c>
      <c r="W265" s="80" t="str">
        <f t="shared" si="99"/>
        <v/>
      </c>
      <c r="X265" s="81" t="str">
        <f t="shared" si="100"/>
        <v/>
      </c>
      <c r="Y265" s="81" t="str">
        <f t="shared" si="101"/>
        <v/>
      </c>
      <c r="Z265" s="81" t="str">
        <f t="shared" si="102"/>
        <v/>
      </c>
      <c r="AA265" s="82" t="str">
        <f t="shared" si="103"/>
        <v/>
      </c>
      <c r="AB265" s="83" t="str">
        <f>IF(R265&lt;&gt;"",(W265-SUMPRODUCT(R$3:R265,$B$3:$B265)/SUM($B$3:$B265))/STDEVA(W255:W265),"")</f>
        <v/>
      </c>
      <c r="AC265" s="84" t="str">
        <f>IF(S265&lt;&gt;"",(X265-SUMPRODUCT(S$3:S265,$B$3:$B265)/SUM($B$3:$B265))/STDEVA(X255:X265),"")</f>
        <v/>
      </c>
      <c r="AD265" s="84" t="str">
        <f>IF(T265&lt;&gt;"",(Y265-SUMPRODUCT(T$3:T265,$B$3:$B265)/SUM($B$3:$B265))/STDEVA(Y255:Y265),"")</f>
        <v/>
      </c>
      <c r="AE265" s="84" t="str">
        <f>IF(U265&lt;&gt;"",(Z265-SUMPRODUCT(U$3:U265,$B$3:$B265)/SUM($B$3:$B265))/STDEVA(Z255:Z265),"")</f>
        <v/>
      </c>
      <c r="AF265" s="85" t="str">
        <f>IF(V265&lt;&gt;"",(AA265-SUMPRODUCT(V$3:V265,$B$3:$B265)/SUM($B$3:$B265))/STDEVA(AA255:AA265),"")</f>
        <v/>
      </c>
      <c r="AG265" s="90" t="str">
        <f t="shared" si="104"/>
        <v/>
      </c>
      <c r="AH265" s="90" t="str">
        <f t="shared" si="104"/>
        <v/>
      </c>
      <c r="AI265" s="90" t="str">
        <f t="shared" si="104"/>
        <v/>
      </c>
      <c r="AJ265" s="90" t="str">
        <f t="shared" si="104"/>
        <v/>
      </c>
      <c r="AK265" s="93" t="str">
        <f t="shared" si="105"/>
        <v/>
      </c>
      <c r="BQ265" s="100" t="str">
        <f>IF(A265&lt;&gt;"",(VLOOKUP(A265,MarketData!$D:$BP,MATCH($BQ$1,MarketData!$D$1:$EG$1,0),TRUE)/100/365+1)^(B265)*BQ264,"")</f>
        <v/>
      </c>
      <c r="BR265" s="98" t="str">
        <f t="shared" si="107"/>
        <v/>
      </c>
      <c r="BS265" s="106" t="str">
        <f>IF(A265&lt;&gt;"",VLOOKUP(A265,MarketData!$D:$BP,MATCH($BS$1,MarketData!$D$1:$EG$1,0),TRUE),"")</f>
        <v/>
      </c>
      <c r="BT265" s="98" t="str">
        <f t="shared" si="118"/>
        <v/>
      </c>
    </row>
    <row r="266" spans="2:72" x14ac:dyDescent="0.25">
      <c r="B266" s="60" t="str">
        <f t="shared" si="106"/>
        <v/>
      </c>
      <c r="C266" s="3" t="str">
        <f t="shared" si="108"/>
        <v/>
      </c>
      <c r="D266" s="3" t="str">
        <f t="shared" si="109"/>
        <v/>
      </c>
      <c r="E266" s="3" t="str">
        <f t="shared" si="110"/>
        <v/>
      </c>
      <c r="F266" s="3" t="str">
        <f t="shared" si="111"/>
        <v/>
      </c>
      <c r="G266" s="74" t="str">
        <f t="shared" si="112"/>
        <v/>
      </c>
      <c r="H266" s="78" t="str">
        <f>IFERROR(C266/SUM(M$2:M265),"")</f>
        <v/>
      </c>
      <c r="I266" s="61" t="str">
        <f>IFERROR(D266/SUM(N$2:N266),"")</f>
        <v/>
      </c>
      <c r="J266" s="61" t="str">
        <f>IFERROR(E266/SUM(O$2:O266),"")</f>
        <v/>
      </c>
      <c r="K266" s="61" t="str">
        <f>IFERROR(F266/SUM(P$2:P266),"")</f>
        <v/>
      </c>
      <c r="L266" s="79" t="str">
        <f>IFERROR(G266/SUM(Q$2:Q266),"")</f>
        <v/>
      </c>
      <c r="M266" s="64" t="str">
        <f t="shared" si="113"/>
        <v/>
      </c>
      <c r="N266" s="55" t="str">
        <f t="shared" si="114"/>
        <v/>
      </c>
      <c r="O266" s="55" t="str">
        <f t="shared" si="115"/>
        <v/>
      </c>
      <c r="P266" s="55" t="str">
        <f t="shared" si="116"/>
        <v/>
      </c>
      <c r="Q266" s="65" t="str">
        <f t="shared" si="117"/>
        <v/>
      </c>
      <c r="R266" s="67" t="str">
        <f t="shared" si="119"/>
        <v/>
      </c>
      <c r="S266" s="56" t="str">
        <f t="shared" si="120"/>
        <v/>
      </c>
      <c r="T266" s="56" t="str">
        <f t="shared" si="121"/>
        <v/>
      </c>
      <c r="U266" s="56" t="str">
        <f t="shared" si="122"/>
        <v/>
      </c>
      <c r="V266" s="68" t="str">
        <f t="shared" si="123"/>
        <v/>
      </c>
      <c r="W266" s="80" t="str">
        <f t="shared" si="99"/>
        <v/>
      </c>
      <c r="X266" s="81" t="str">
        <f t="shared" si="100"/>
        <v/>
      </c>
      <c r="Y266" s="81" t="str">
        <f t="shared" si="101"/>
        <v/>
      </c>
      <c r="Z266" s="81" t="str">
        <f t="shared" si="102"/>
        <v/>
      </c>
      <c r="AA266" s="82" t="str">
        <f t="shared" si="103"/>
        <v/>
      </c>
      <c r="AB266" s="83" t="str">
        <f>IF(R266&lt;&gt;"",(W266-SUMPRODUCT(R$3:R266,$B$3:$B266)/SUM($B$3:$B266))/STDEVA(W256:W266),"")</f>
        <v/>
      </c>
      <c r="AC266" s="84" t="str">
        <f>IF(S266&lt;&gt;"",(X266-SUMPRODUCT(S$3:S266,$B$3:$B266)/SUM($B$3:$B266))/STDEVA(X256:X266),"")</f>
        <v/>
      </c>
      <c r="AD266" s="84" t="str">
        <f>IF(T266&lt;&gt;"",(Y266-SUMPRODUCT(T$3:T266,$B$3:$B266)/SUM($B$3:$B266))/STDEVA(Y256:Y266),"")</f>
        <v/>
      </c>
      <c r="AE266" s="84" t="str">
        <f>IF(U266&lt;&gt;"",(Z266-SUMPRODUCT(U$3:U266,$B$3:$B266)/SUM($B$3:$B266))/STDEVA(Z256:Z266),"")</f>
        <v/>
      </c>
      <c r="AF266" s="85" t="str">
        <f>IF(V266&lt;&gt;"",(AA266-SUMPRODUCT(V$3:V266,$B$3:$B266)/SUM($B$3:$B266))/STDEVA(AA256:AA266),"")</f>
        <v/>
      </c>
      <c r="AG266" s="90" t="str">
        <f t="shared" si="104"/>
        <v/>
      </c>
      <c r="AH266" s="90" t="str">
        <f t="shared" si="104"/>
        <v/>
      </c>
      <c r="AI266" s="90" t="str">
        <f t="shared" si="104"/>
        <v/>
      </c>
      <c r="AJ266" s="90" t="str">
        <f t="shared" si="104"/>
        <v/>
      </c>
      <c r="AK266" s="93" t="str">
        <f t="shared" si="105"/>
        <v/>
      </c>
      <c r="BQ266" s="100" t="str">
        <f>IF(A266&lt;&gt;"",(VLOOKUP(A266,MarketData!$D:$BP,MATCH($BQ$1,MarketData!$D$1:$EG$1,0),TRUE)/100/365+1)^(B266)*BQ265,"")</f>
        <v/>
      </c>
      <c r="BR266" s="98" t="str">
        <f t="shared" si="107"/>
        <v/>
      </c>
      <c r="BS266" s="106" t="str">
        <f>IF(A266&lt;&gt;"",VLOOKUP(A266,MarketData!$D:$BP,MATCH($BS$1,MarketData!$D$1:$EG$1,0),TRUE),"")</f>
        <v/>
      </c>
      <c r="BT266" s="98" t="str">
        <f t="shared" si="118"/>
        <v/>
      </c>
    </row>
    <row r="267" spans="2:72" x14ac:dyDescent="0.25">
      <c r="B267" s="60" t="str">
        <f t="shared" si="106"/>
        <v/>
      </c>
      <c r="C267" s="3" t="str">
        <f t="shared" si="108"/>
        <v/>
      </c>
      <c r="D267" s="3" t="str">
        <f t="shared" si="109"/>
        <v/>
      </c>
      <c r="E267" s="3" t="str">
        <f t="shared" si="110"/>
        <v/>
      </c>
      <c r="F267" s="3" t="str">
        <f t="shared" si="111"/>
        <v/>
      </c>
      <c r="G267" s="74" t="str">
        <f t="shared" si="112"/>
        <v/>
      </c>
      <c r="H267" s="78" t="str">
        <f>IFERROR(C267/SUM(M$2:M266),"")</f>
        <v/>
      </c>
      <c r="I267" s="61" t="str">
        <f>IFERROR(D267/SUM(N$2:N267),"")</f>
        <v/>
      </c>
      <c r="J267" s="61" t="str">
        <f>IFERROR(E267/SUM(O$2:O267),"")</f>
        <v/>
      </c>
      <c r="K267" s="61" t="str">
        <f>IFERROR(F267/SUM(P$2:P267),"")</f>
        <v/>
      </c>
      <c r="L267" s="79" t="str">
        <f>IFERROR(G267/SUM(Q$2:Q267),"")</f>
        <v/>
      </c>
      <c r="M267" s="64" t="str">
        <f t="shared" si="113"/>
        <v/>
      </c>
      <c r="N267" s="55" t="str">
        <f t="shared" si="114"/>
        <v/>
      </c>
      <c r="O267" s="55" t="str">
        <f t="shared" si="115"/>
        <v/>
      </c>
      <c r="P267" s="55" t="str">
        <f t="shared" si="116"/>
        <v/>
      </c>
      <c r="Q267" s="65" t="str">
        <f t="shared" si="117"/>
        <v/>
      </c>
      <c r="R267" s="67" t="str">
        <f t="shared" si="119"/>
        <v/>
      </c>
      <c r="S267" s="56" t="str">
        <f t="shared" si="120"/>
        <v/>
      </c>
      <c r="T267" s="56" t="str">
        <f t="shared" si="121"/>
        <v/>
      </c>
      <c r="U267" s="56" t="str">
        <f t="shared" si="122"/>
        <v/>
      </c>
      <c r="V267" s="68" t="str">
        <f t="shared" si="123"/>
        <v/>
      </c>
      <c r="W267" s="80" t="str">
        <f t="shared" si="99"/>
        <v/>
      </c>
      <c r="X267" s="81" t="str">
        <f t="shared" si="100"/>
        <v/>
      </c>
      <c r="Y267" s="81" t="str">
        <f t="shared" si="101"/>
        <v/>
      </c>
      <c r="Z267" s="81" t="str">
        <f t="shared" si="102"/>
        <v/>
      </c>
      <c r="AA267" s="82" t="str">
        <f t="shared" si="103"/>
        <v/>
      </c>
      <c r="AB267" s="83" t="str">
        <f>IF(R267&lt;&gt;"",(W267-SUMPRODUCT(R$3:R267,$B$3:$B267)/SUM($B$3:$B267))/STDEVA(W257:W267),"")</f>
        <v/>
      </c>
      <c r="AC267" s="84" t="str">
        <f>IF(S267&lt;&gt;"",(X267-SUMPRODUCT(S$3:S267,$B$3:$B267)/SUM($B$3:$B267))/STDEVA(X257:X267),"")</f>
        <v/>
      </c>
      <c r="AD267" s="84" t="str">
        <f>IF(T267&lt;&gt;"",(Y267-SUMPRODUCT(T$3:T267,$B$3:$B267)/SUM($B$3:$B267))/STDEVA(Y257:Y267),"")</f>
        <v/>
      </c>
      <c r="AE267" s="84" t="str">
        <f>IF(U267&lt;&gt;"",(Z267-SUMPRODUCT(U$3:U267,$B$3:$B267)/SUM($B$3:$B267))/STDEVA(Z257:Z267),"")</f>
        <v/>
      </c>
      <c r="AF267" s="85" t="str">
        <f>IF(V267&lt;&gt;"",(AA267-SUMPRODUCT(V$3:V267,$B$3:$B267)/SUM($B$3:$B267))/STDEVA(AA257:AA267),"")</f>
        <v/>
      </c>
      <c r="AG267" s="90" t="str">
        <f t="shared" si="104"/>
        <v/>
      </c>
      <c r="AH267" s="90" t="str">
        <f t="shared" si="104"/>
        <v/>
      </c>
      <c r="AI267" s="90" t="str">
        <f t="shared" si="104"/>
        <v/>
      </c>
      <c r="AJ267" s="90" t="str">
        <f t="shared" si="104"/>
        <v/>
      </c>
      <c r="AK267" s="93" t="str">
        <f t="shared" si="105"/>
        <v/>
      </c>
      <c r="BQ267" s="100" t="str">
        <f>IF(A267&lt;&gt;"",(VLOOKUP(A267,MarketData!$D:$BP,MATCH($BQ$1,MarketData!$D$1:$EG$1,0),TRUE)/100/365+1)^(B267)*BQ266,"")</f>
        <v/>
      </c>
      <c r="BR267" s="98" t="str">
        <f t="shared" si="107"/>
        <v/>
      </c>
      <c r="BS267" s="106" t="str">
        <f>IF(A267&lt;&gt;"",VLOOKUP(A267,MarketData!$D:$BP,MATCH($BS$1,MarketData!$D$1:$EG$1,0),TRUE),"")</f>
        <v/>
      </c>
      <c r="BT267" s="98" t="str">
        <f t="shared" si="118"/>
        <v/>
      </c>
    </row>
    <row r="268" spans="2:72" x14ac:dyDescent="0.25">
      <c r="B268" s="60" t="str">
        <f t="shared" si="106"/>
        <v/>
      </c>
      <c r="C268" s="3" t="str">
        <f t="shared" si="108"/>
        <v/>
      </c>
      <c r="D268" s="3" t="str">
        <f t="shared" si="109"/>
        <v/>
      </c>
      <c r="E268" s="3" t="str">
        <f t="shared" si="110"/>
        <v/>
      </c>
      <c r="F268" s="3" t="str">
        <f t="shared" si="111"/>
        <v/>
      </c>
      <c r="G268" s="74" t="str">
        <f t="shared" si="112"/>
        <v/>
      </c>
      <c r="H268" s="78" t="str">
        <f>IFERROR(C268/SUM(M$2:M267),"")</f>
        <v/>
      </c>
      <c r="I268" s="61" t="str">
        <f>IFERROR(D268/SUM(N$2:N268),"")</f>
        <v/>
      </c>
      <c r="J268" s="61" t="str">
        <f>IFERROR(E268/SUM(O$2:O268),"")</f>
        <v/>
      </c>
      <c r="K268" s="61" t="str">
        <f>IFERROR(F268/SUM(P$2:P268),"")</f>
        <v/>
      </c>
      <c r="L268" s="79" t="str">
        <f>IFERROR(G268/SUM(Q$2:Q268),"")</f>
        <v/>
      </c>
      <c r="M268" s="64" t="str">
        <f t="shared" si="113"/>
        <v/>
      </c>
      <c r="N268" s="55" t="str">
        <f t="shared" si="114"/>
        <v/>
      </c>
      <c r="O268" s="55" t="str">
        <f t="shared" si="115"/>
        <v/>
      </c>
      <c r="P268" s="55" t="str">
        <f t="shared" si="116"/>
        <v/>
      </c>
      <c r="Q268" s="65" t="str">
        <f t="shared" si="117"/>
        <v/>
      </c>
      <c r="R268" s="67" t="str">
        <f t="shared" si="119"/>
        <v/>
      </c>
      <c r="S268" s="56" t="str">
        <f t="shared" si="120"/>
        <v/>
      </c>
      <c r="T268" s="56" t="str">
        <f t="shared" si="121"/>
        <v/>
      </c>
      <c r="U268" s="56" t="str">
        <f t="shared" si="122"/>
        <v/>
      </c>
      <c r="V268" s="68" t="str">
        <f t="shared" si="123"/>
        <v/>
      </c>
      <c r="W268" s="80" t="str">
        <f t="shared" ref="W268:W331" si="124">IF(R268&lt;&gt;"",SUMPRODUCT(R259:R268,$B259:$B268)/SUM($B259:$B268),"")</f>
        <v/>
      </c>
      <c r="X268" s="81" t="str">
        <f t="shared" ref="X268:X331" si="125">IF(S268&lt;&gt;"",SUMPRODUCT(S259:S268,$B259:$B268)/SUM($B259:$B268),"")</f>
        <v/>
      </c>
      <c r="Y268" s="81" t="str">
        <f t="shared" ref="Y268:Y331" si="126">IF(T268&lt;&gt;"",SUMPRODUCT(T259:T268,$B259:$B268)/SUM($B259:$B268),"")</f>
        <v/>
      </c>
      <c r="Z268" s="81" t="str">
        <f t="shared" ref="Z268:Z331" si="127">IF(U268&lt;&gt;"",SUMPRODUCT(U259:U268,$B259:$B268)/SUM($B259:$B268),"")</f>
        <v/>
      </c>
      <c r="AA268" s="82" t="str">
        <f t="shared" ref="AA268:AA331" si="128">IF(V268&lt;&gt;"",SUMPRODUCT(V259:V268,$B259:$B268)/SUM($B259:$B268),"")</f>
        <v/>
      </c>
      <c r="AB268" s="83" t="str">
        <f>IF(R268&lt;&gt;"",(W268-SUMPRODUCT(R$3:R268,$B$3:$B268)/SUM($B$3:$B268))/STDEVA(W258:W268),"")</f>
        <v/>
      </c>
      <c r="AC268" s="84" t="str">
        <f>IF(S268&lt;&gt;"",(X268-SUMPRODUCT(S$3:S268,$B$3:$B268)/SUM($B$3:$B268))/STDEVA(X258:X268),"")</f>
        <v/>
      </c>
      <c r="AD268" s="84" t="str">
        <f>IF(T268&lt;&gt;"",(Y268-SUMPRODUCT(T$3:T268,$B$3:$B268)/SUM($B$3:$B268))/STDEVA(Y258:Y268),"")</f>
        <v/>
      </c>
      <c r="AE268" s="84" t="str">
        <f>IF(U268&lt;&gt;"",(Z268-SUMPRODUCT(U$3:U268,$B$3:$B268)/SUM($B$3:$B268))/STDEVA(Z258:Z268),"")</f>
        <v/>
      </c>
      <c r="AF268" s="85" t="str">
        <f>IF(V268&lt;&gt;"",(AA268-SUMPRODUCT(V$3:V268,$B$3:$B268)/SUM($B$3:$B268))/STDEVA(AA258:AA268),"")</f>
        <v/>
      </c>
      <c r="AG268" s="90" t="str">
        <f t="shared" si="104"/>
        <v/>
      </c>
      <c r="AH268" s="90" t="str">
        <f t="shared" si="104"/>
        <v/>
      </c>
      <c r="AI268" s="90" t="str">
        <f t="shared" si="104"/>
        <v/>
      </c>
      <c r="AJ268" s="90" t="str">
        <f t="shared" si="104"/>
        <v/>
      </c>
      <c r="AK268" s="93" t="str">
        <f t="shared" si="105"/>
        <v/>
      </c>
      <c r="BQ268" s="100" t="str">
        <f>IF(A268&lt;&gt;"",(VLOOKUP(A268,MarketData!$D:$BP,MATCH($BQ$1,MarketData!$D$1:$EG$1,0),TRUE)/100/365+1)^(B268)*BQ267,"")</f>
        <v/>
      </c>
      <c r="BR268" s="98" t="str">
        <f t="shared" si="107"/>
        <v/>
      </c>
      <c r="BS268" s="106" t="str">
        <f>IF(A268&lt;&gt;"",VLOOKUP(A268,MarketData!$D:$BP,MATCH($BS$1,MarketData!$D$1:$EG$1,0),TRUE),"")</f>
        <v/>
      </c>
      <c r="BT268" s="98" t="str">
        <f t="shared" si="118"/>
        <v/>
      </c>
    </row>
    <row r="269" spans="2:72" x14ac:dyDescent="0.25">
      <c r="B269" s="60" t="str">
        <f t="shared" si="106"/>
        <v/>
      </c>
      <c r="C269" s="3" t="str">
        <f t="shared" si="108"/>
        <v/>
      </c>
      <c r="D269" s="3" t="str">
        <f t="shared" si="109"/>
        <v/>
      </c>
      <c r="E269" s="3" t="str">
        <f t="shared" si="110"/>
        <v/>
      </c>
      <c r="F269" s="3" t="str">
        <f t="shared" si="111"/>
        <v/>
      </c>
      <c r="G269" s="74" t="str">
        <f t="shared" si="112"/>
        <v/>
      </c>
      <c r="H269" s="78" t="str">
        <f>IFERROR(C269/SUM(M$2:M268),"")</f>
        <v/>
      </c>
      <c r="I269" s="61" t="str">
        <f>IFERROR(D269/SUM(N$2:N269),"")</f>
        <v/>
      </c>
      <c r="J269" s="61" t="str">
        <f>IFERROR(E269/SUM(O$2:O269),"")</f>
        <v/>
      </c>
      <c r="K269" s="61" t="str">
        <f>IFERROR(F269/SUM(P$2:P269),"")</f>
        <v/>
      </c>
      <c r="L269" s="79" t="str">
        <f>IFERROR(G269/SUM(Q$2:Q269),"")</f>
        <v/>
      </c>
      <c r="M269" s="64" t="str">
        <f t="shared" si="113"/>
        <v/>
      </c>
      <c r="N269" s="55" t="str">
        <f t="shared" si="114"/>
        <v/>
      </c>
      <c r="O269" s="55" t="str">
        <f t="shared" si="115"/>
        <v/>
      </c>
      <c r="P269" s="55" t="str">
        <f t="shared" si="116"/>
        <v/>
      </c>
      <c r="Q269" s="65" t="str">
        <f t="shared" si="117"/>
        <v/>
      </c>
      <c r="R269" s="67" t="str">
        <f t="shared" si="119"/>
        <v/>
      </c>
      <c r="S269" s="56" t="str">
        <f t="shared" si="120"/>
        <v/>
      </c>
      <c r="T269" s="56" t="str">
        <f t="shared" si="121"/>
        <v/>
      </c>
      <c r="U269" s="56" t="str">
        <f t="shared" si="122"/>
        <v/>
      </c>
      <c r="V269" s="68" t="str">
        <f t="shared" si="123"/>
        <v/>
      </c>
      <c r="W269" s="80" t="str">
        <f t="shared" si="124"/>
        <v/>
      </c>
      <c r="X269" s="81" t="str">
        <f t="shared" si="125"/>
        <v/>
      </c>
      <c r="Y269" s="81" t="str">
        <f t="shared" si="126"/>
        <v/>
      </c>
      <c r="Z269" s="81" t="str">
        <f t="shared" si="127"/>
        <v/>
      </c>
      <c r="AA269" s="82" t="str">
        <f t="shared" si="128"/>
        <v/>
      </c>
      <c r="AB269" s="83" t="str">
        <f>IF(R269&lt;&gt;"",(W269-SUMPRODUCT(R$3:R269,$B$3:$B269)/SUM($B$3:$B269))/STDEVA(W259:W269),"")</f>
        <v/>
      </c>
      <c r="AC269" s="84" t="str">
        <f>IF(S269&lt;&gt;"",(X269-SUMPRODUCT(S$3:S269,$B$3:$B269)/SUM($B$3:$B269))/STDEVA(X259:X269),"")</f>
        <v/>
      </c>
      <c r="AD269" s="84" t="str">
        <f>IF(T269&lt;&gt;"",(Y269-SUMPRODUCT(T$3:T269,$B$3:$B269)/SUM($B$3:$B269))/STDEVA(Y259:Y269),"")</f>
        <v/>
      </c>
      <c r="AE269" s="84" t="str">
        <f>IF(U269&lt;&gt;"",(Z269-SUMPRODUCT(U$3:U269,$B$3:$B269)/SUM($B$3:$B269))/STDEVA(Z259:Z269),"")</f>
        <v/>
      </c>
      <c r="AF269" s="85" t="str">
        <f>IF(V269&lt;&gt;"",(AA269-SUMPRODUCT(V$3:V269,$B$3:$B269)/SUM($B$3:$B269))/STDEVA(AA259:AA269),"")</f>
        <v/>
      </c>
      <c r="AG269" s="90" t="str">
        <f t="shared" si="104"/>
        <v/>
      </c>
      <c r="AH269" s="90" t="str">
        <f t="shared" si="104"/>
        <v/>
      </c>
      <c r="AI269" s="90" t="str">
        <f t="shared" si="104"/>
        <v/>
      </c>
      <c r="AJ269" s="90" t="str">
        <f t="shared" ref="AJ269:AK332" si="129">IF(AE269&lt;&gt;"",SUMPRODUCT(AE264:AE269,$B264:$B269)/SUM($B264:$B269),"")</f>
        <v/>
      </c>
      <c r="AK269" s="93" t="str">
        <f t="shared" si="105"/>
        <v/>
      </c>
      <c r="BQ269" s="100" t="str">
        <f>IF(A269&lt;&gt;"",(VLOOKUP(A269,MarketData!$D:$BP,MATCH($BQ$1,MarketData!$D$1:$EG$1,0),TRUE)/100/365+1)^(B269)*BQ268,"")</f>
        <v/>
      </c>
      <c r="BR269" s="98" t="str">
        <f t="shared" si="107"/>
        <v/>
      </c>
      <c r="BS269" s="106" t="str">
        <f>IF(A269&lt;&gt;"",VLOOKUP(A269,MarketData!$D:$BP,MATCH($BS$1,MarketData!$D$1:$EG$1,0),TRUE),"")</f>
        <v/>
      </c>
      <c r="BT269" s="98" t="str">
        <f t="shared" si="118"/>
        <v/>
      </c>
    </row>
    <row r="270" spans="2:72" x14ac:dyDescent="0.25">
      <c r="B270" s="60" t="str">
        <f t="shared" si="106"/>
        <v/>
      </c>
      <c r="C270" s="3" t="str">
        <f t="shared" si="108"/>
        <v/>
      </c>
      <c r="D270" s="3" t="str">
        <f t="shared" si="109"/>
        <v/>
      </c>
      <c r="E270" s="3" t="str">
        <f t="shared" si="110"/>
        <v/>
      </c>
      <c r="F270" s="3" t="str">
        <f t="shared" si="111"/>
        <v/>
      </c>
      <c r="G270" s="74" t="str">
        <f t="shared" si="112"/>
        <v/>
      </c>
      <c r="H270" s="78" t="str">
        <f>IFERROR(C270/SUM(M$2:M269),"")</f>
        <v/>
      </c>
      <c r="I270" s="61" t="str">
        <f>IFERROR(D270/SUM(N$2:N270),"")</f>
        <v/>
      </c>
      <c r="J270" s="61" t="str">
        <f>IFERROR(E270/SUM(O$2:O270),"")</f>
        <v/>
      </c>
      <c r="K270" s="61" t="str">
        <f>IFERROR(F270/SUM(P$2:P270),"")</f>
        <v/>
      </c>
      <c r="L270" s="79" t="str">
        <f>IFERROR(G270/SUM(Q$2:Q270),"")</f>
        <v/>
      </c>
      <c r="M270" s="64" t="str">
        <f t="shared" si="113"/>
        <v/>
      </c>
      <c r="N270" s="55" t="str">
        <f t="shared" si="114"/>
        <v/>
      </c>
      <c r="O270" s="55" t="str">
        <f t="shared" si="115"/>
        <v/>
      </c>
      <c r="P270" s="55" t="str">
        <f t="shared" si="116"/>
        <v/>
      </c>
      <c r="Q270" s="65" t="str">
        <f t="shared" si="117"/>
        <v/>
      </c>
      <c r="R270" s="67" t="str">
        <f t="shared" si="119"/>
        <v/>
      </c>
      <c r="S270" s="56" t="str">
        <f t="shared" si="120"/>
        <v/>
      </c>
      <c r="T270" s="56" t="str">
        <f t="shared" si="121"/>
        <v/>
      </c>
      <c r="U270" s="56" t="str">
        <f t="shared" si="122"/>
        <v/>
      </c>
      <c r="V270" s="68" t="str">
        <f t="shared" si="123"/>
        <v/>
      </c>
      <c r="W270" s="80" t="str">
        <f t="shared" si="124"/>
        <v/>
      </c>
      <c r="X270" s="81" t="str">
        <f t="shared" si="125"/>
        <v/>
      </c>
      <c r="Y270" s="81" t="str">
        <f t="shared" si="126"/>
        <v/>
      </c>
      <c r="Z270" s="81" t="str">
        <f t="shared" si="127"/>
        <v/>
      </c>
      <c r="AA270" s="82" t="str">
        <f t="shared" si="128"/>
        <v/>
      </c>
      <c r="AB270" s="83" t="str">
        <f>IF(R270&lt;&gt;"",(W270-SUMPRODUCT(R$3:R270,$B$3:$B270)/SUM($B$3:$B270))/STDEVA(W260:W270),"")</f>
        <v/>
      </c>
      <c r="AC270" s="84" t="str">
        <f>IF(S270&lt;&gt;"",(X270-SUMPRODUCT(S$3:S270,$B$3:$B270)/SUM($B$3:$B270))/STDEVA(X260:X270),"")</f>
        <v/>
      </c>
      <c r="AD270" s="84" t="str">
        <f>IF(T270&lt;&gt;"",(Y270-SUMPRODUCT(T$3:T270,$B$3:$B270)/SUM($B$3:$B270))/STDEVA(Y260:Y270),"")</f>
        <v/>
      </c>
      <c r="AE270" s="84" t="str">
        <f>IF(U270&lt;&gt;"",(Z270-SUMPRODUCT(U$3:U270,$B$3:$B270)/SUM($B$3:$B270))/STDEVA(Z260:Z270),"")</f>
        <v/>
      </c>
      <c r="AF270" s="85" t="str">
        <f>IF(V270&lt;&gt;"",(AA270-SUMPRODUCT(V$3:V270,$B$3:$B270)/SUM($B$3:$B270))/STDEVA(AA260:AA270),"")</f>
        <v/>
      </c>
      <c r="AG270" s="90" t="str">
        <f t="shared" ref="AG270:AK333" si="130">IF(AB270&lt;&gt;"",SUMPRODUCT(AB265:AB270,$B265:$B270)/SUM($B265:$B270),"")</f>
        <v/>
      </c>
      <c r="AH270" s="90" t="str">
        <f t="shared" si="130"/>
        <v/>
      </c>
      <c r="AI270" s="90" t="str">
        <f t="shared" si="130"/>
        <v/>
      </c>
      <c r="AJ270" s="90" t="str">
        <f t="shared" si="129"/>
        <v/>
      </c>
      <c r="AK270" s="93" t="str">
        <f t="shared" si="129"/>
        <v/>
      </c>
      <c r="BQ270" s="100" t="str">
        <f>IF(A270&lt;&gt;"",(VLOOKUP(A270,MarketData!$D:$BP,MATCH($BQ$1,MarketData!$D$1:$EG$1,0),TRUE)/100/365+1)^(B270)*BQ269,"")</f>
        <v/>
      </c>
      <c r="BR270" s="98" t="str">
        <f t="shared" si="107"/>
        <v/>
      </c>
      <c r="BS270" s="106" t="str">
        <f>IF(A270&lt;&gt;"",VLOOKUP(A270,MarketData!$D:$BP,MATCH($BS$1,MarketData!$D$1:$EG$1,0),TRUE),"")</f>
        <v/>
      </c>
      <c r="BT270" s="98" t="str">
        <f t="shared" si="118"/>
        <v/>
      </c>
    </row>
    <row r="271" spans="2:72" x14ac:dyDescent="0.25">
      <c r="B271" s="60" t="str">
        <f t="shared" si="106"/>
        <v/>
      </c>
      <c r="C271" s="3" t="str">
        <f t="shared" si="108"/>
        <v/>
      </c>
      <c r="D271" s="3" t="str">
        <f t="shared" si="109"/>
        <v/>
      </c>
      <c r="E271" s="3" t="str">
        <f t="shared" si="110"/>
        <v/>
      </c>
      <c r="F271" s="3" t="str">
        <f t="shared" si="111"/>
        <v/>
      </c>
      <c r="G271" s="74" t="str">
        <f t="shared" si="112"/>
        <v/>
      </c>
      <c r="H271" s="78" t="str">
        <f>IFERROR(C271/SUM(M$2:M270),"")</f>
        <v/>
      </c>
      <c r="I271" s="61" t="str">
        <f>IFERROR(D271/SUM(N$2:N271),"")</f>
        <v/>
      </c>
      <c r="J271" s="61" t="str">
        <f>IFERROR(E271/SUM(O$2:O271),"")</f>
        <v/>
      </c>
      <c r="K271" s="61" t="str">
        <f>IFERROR(F271/SUM(P$2:P271),"")</f>
        <v/>
      </c>
      <c r="L271" s="79" t="str">
        <f>IFERROR(G271/SUM(Q$2:Q271),"")</f>
        <v/>
      </c>
      <c r="M271" s="64" t="str">
        <f t="shared" si="113"/>
        <v/>
      </c>
      <c r="N271" s="55" t="str">
        <f t="shared" si="114"/>
        <v/>
      </c>
      <c r="O271" s="55" t="str">
        <f t="shared" si="115"/>
        <v/>
      </c>
      <c r="P271" s="55" t="str">
        <f t="shared" si="116"/>
        <v/>
      </c>
      <c r="Q271" s="65" t="str">
        <f t="shared" si="117"/>
        <v/>
      </c>
      <c r="R271" s="67" t="str">
        <f t="shared" si="119"/>
        <v/>
      </c>
      <c r="S271" s="56" t="str">
        <f t="shared" si="120"/>
        <v/>
      </c>
      <c r="T271" s="56" t="str">
        <f t="shared" si="121"/>
        <v/>
      </c>
      <c r="U271" s="56" t="str">
        <f t="shared" si="122"/>
        <v/>
      </c>
      <c r="V271" s="68" t="str">
        <f t="shared" si="123"/>
        <v/>
      </c>
      <c r="W271" s="80" t="str">
        <f t="shared" si="124"/>
        <v/>
      </c>
      <c r="X271" s="81" t="str">
        <f t="shared" si="125"/>
        <v/>
      </c>
      <c r="Y271" s="81" t="str">
        <f t="shared" si="126"/>
        <v/>
      </c>
      <c r="Z271" s="81" t="str">
        <f t="shared" si="127"/>
        <v/>
      </c>
      <c r="AA271" s="82" t="str">
        <f t="shared" si="128"/>
        <v/>
      </c>
      <c r="AB271" s="83" t="str">
        <f>IF(R271&lt;&gt;"",(W271-SUMPRODUCT(R$3:R271,$B$3:$B271)/SUM($B$3:$B271))/STDEVA(W261:W271),"")</f>
        <v/>
      </c>
      <c r="AC271" s="84" t="str">
        <f>IF(S271&lt;&gt;"",(X271-SUMPRODUCT(S$3:S271,$B$3:$B271)/SUM($B$3:$B271))/STDEVA(X261:X271),"")</f>
        <v/>
      </c>
      <c r="AD271" s="84" t="str">
        <f>IF(T271&lt;&gt;"",(Y271-SUMPRODUCT(T$3:T271,$B$3:$B271)/SUM($B$3:$B271))/STDEVA(Y261:Y271),"")</f>
        <v/>
      </c>
      <c r="AE271" s="84" t="str">
        <f>IF(U271&lt;&gt;"",(Z271-SUMPRODUCT(U$3:U271,$B$3:$B271)/SUM($B$3:$B271))/STDEVA(Z261:Z271),"")</f>
        <v/>
      </c>
      <c r="AF271" s="85" t="str">
        <f>IF(V271&lt;&gt;"",(AA271-SUMPRODUCT(V$3:V271,$B$3:$B271)/SUM($B$3:$B271))/STDEVA(AA261:AA271),"")</f>
        <v/>
      </c>
      <c r="AG271" s="90" t="str">
        <f t="shared" si="130"/>
        <v/>
      </c>
      <c r="AH271" s="90" t="str">
        <f t="shared" si="130"/>
        <v/>
      </c>
      <c r="AI271" s="90" t="str">
        <f t="shared" si="130"/>
        <v/>
      </c>
      <c r="AJ271" s="90" t="str">
        <f t="shared" si="129"/>
        <v/>
      </c>
      <c r="AK271" s="93" t="str">
        <f t="shared" si="129"/>
        <v/>
      </c>
      <c r="BQ271" s="100" t="str">
        <f>IF(A271&lt;&gt;"",(VLOOKUP(A271,MarketData!$D:$BP,MATCH($BQ$1,MarketData!$D$1:$EG$1,0),TRUE)/100/365+1)^(B271)*BQ270,"")</f>
        <v/>
      </c>
      <c r="BR271" s="98" t="str">
        <f t="shared" si="107"/>
        <v/>
      </c>
      <c r="BS271" s="106" t="str">
        <f>IF(A271&lt;&gt;"",VLOOKUP(A271,MarketData!$D:$BP,MATCH($BS$1,MarketData!$D$1:$EG$1,0),TRUE),"")</f>
        <v/>
      </c>
      <c r="BT271" s="98" t="str">
        <f t="shared" si="118"/>
        <v/>
      </c>
    </row>
    <row r="272" spans="2:72" x14ac:dyDescent="0.25">
      <c r="B272" s="60" t="str">
        <f t="shared" si="106"/>
        <v/>
      </c>
      <c r="C272" s="3" t="str">
        <f t="shared" si="108"/>
        <v/>
      </c>
      <c r="D272" s="3" t="str">
        <f t="shared" si="109"/>
        <v/>
      </c>
      <c r="E272" s="3" t="str">
        <f t="shared" si="110"/>
        <v/>
      </c>
      <c r="F272" s="3" t="str">
        <f t="shared" si="111"/>
        <v/>
      </c>
      <c r="G272" s="74" t="str">
        <f t="shared" si="112"/>
        <v/>
      </c>
      <c r="H272" s="78" t="str">
        <f>IFERROR(C272/SUM(M$2:M271),"")</f>
        <v/>
      </c>
      <c r="I272" s="61" t="str">
        <f>IFERROR(D272/SUM(N$2:N272),"")</f>
        <v/>
      </c>
      <c r="J272" s="61" t="str">
        <f>IFERROR(E272/SUM(O$2:O272),"")</f>
        <v/>
      </c>
      <c r="K272" s="61" t="str">
        <f>IFERROR(F272/SUM(P$2:P272),"")</f>
        <v/>
      </c>
      <c r="L272" s="79" t="str">
        <f>IFERROR(G272/SUM(Q$2:Q272),"")</f>
        <v/>
      </c>
      <c r="M272" s="64" t="str">
        <f t="shared" si="113"/>
        <v/>
      </c>
      <c r="N272" s="55" t="str">
        <f t="shared" si="114"/>
        <v/>
      </c>
      <c r="O272" s="55" t="str">
        <f t="shared" si="115"/>
        <v/>
      </c>
      <c r="P272" s="55" t="str">
        <f t="shared" si="116"/>
        <v/>
      </c>
      <c r="Q272" s="65" t="str">
        <f t="shared" si="117"/>
        <v/>
      </c>
      <c r="R272" s="67" t="str">
        <f t="shared" si="119"/>
        <v/>
      </c>
      <c r="S272" s="56" t="str">
        <f t="shared" si="120"/>
        <v/>
      </c>
      <c r="T272" s="56" t="str">
        <f t="shared" si="121"/>
        <v/>
      </c>
      <c r="U272" s="56" t="str">
        <f t="shared" si="122"/>
        <v/>
      </c>
      <c r="V272" s="68" t="str">
        <f t="shared" si="123"/>
        <v/>
      </c>
      <c r="W272" s="80" t="str">
        <f t="shared" si="124"/>
        <v/>
      </c>
      <c r="X272" s="81" t="str">
        <f t="shared" si="125"/>
        <v/>
      </c>
      <c r="Y272" s="81" t="str">
        <f t="shared" si="126"/>
        <v/>
      </c>
      <c r="Z272" s="81" t="str">
        <f t="shared" si="127"/>
        <v/>
      </c>
      <c r="AA272" s="82" t="str">
        <f t="shared" si="128"/>
        <v/>
      </c>
      <c r="AB272" s="83" t="str">
        <f>IF(R272&lt;&gt;"",(W272-SUMPRODUCT(R$3:R272,$B$3:$B272)/SUM($B$3:$B272))/STDEVA(W262:W272),"")</f>
        <v/>
      </c>
      <c r="AC272" s="84" t="str">
        <f>IF(S272&lt;&gt;"",(X272-SUMPRODUCT(S$3:S272,$B$3:$B272)/SUM($B$3:$B272))/STDEVA(X262:X272),"")</f>
        <v/>
      </c>
      <c r="AD272" s="84" t="str">
        <f>IF(T272&lt;&gt;"",(Y272-SUMPRODUCT(T$3:T272,$B$3:$B272)/SUM($B$3:$B272))/STDEVA(Y262:Y272),"")</f>
        <v/>
      </c>
      <c r="AE272" s="84" t="str">
        <f>IF(U272&lt;&gt;"",(Z272-SUMPRODUCT(U$3:U272,$B$3:$B272)/SUM($B$3:$B272))/STDEVA(Z262:Z272),"")</f>
        <v/>
      </c>
      <c r="AF272" s="85" t="str">
        <f>IF(V272&lt;&gt;"",(AA272-SUMPRODUCT(V$3:V272,$B$3:$B272)/SUM($B$3:$B272))/STDEVA(AA262:AA272),"")</f>
        <v/>
      </c>
      <c r="AG272" s="90" t="str">
        <f t="shared" si="130"/>
        <v/>
      </c>
      <c r="AH272" s="90" t="str">
        <f t="shared" si="130"/>
        <v/>
      </c>
      <c r="AI272" s="90" t="str">
        <f t="shared" si="130"/>
        <v/>
      </c>
      <c r="AJ272" s="90" t="str">
        <f t="shared" si="129"/>
        <v/>
      </c>
      <c r="AK272" s="93" t="str">
        <f t="shared" si="129"/>
        <v/>
      </c>
      <c r="BQ272" s="100" t="str">
        <f>IF(A272&lt;&gt;"",(VLOOKUP(A272,MarketData!$D:$BP,MATCH($BQ$1,MarketData!$D$1:$EG$1,0),TRUE)/100/365+1)^(B272)*BQ271,"")</f>
        <v/>
      </c>
      <c r="BR272" s="98" t="str">
        <f t="shared" si="107"/>
        <v/>
      </c>
      <c r="BS272" s="106" t="str">
        <f>IF(A272&lt;&gt;"",VLOOKUP(A272,MarketData!$D:$BP,MATCH($BS$1,MarketData!$D$1:$EG$1,0),TRUE),"")</f>
        <v/>
      </c>
      <c r="BT272" s="98" t="str">
        <f t="shared" si="118"/>
        <v/>
      </c>
    </row>
    <row r="273" spans="2:72" x14ac:dyDescent="0.25">
      <c r="B273" s="60" t="str">
        <f t="shared" si="106"/>
        <v/>
      </c>
      <c r="C273" s="3" t="str">
        <f t="shared" si="108"/>
        <v/>
      </c>
      <c r="D273" s="3" t="str">
        <f t="shared" si="109"/>
        <v/>
      </c>
      <c r="E273" s="3" t="str">
        <f t="shared" si="110"/>
        <v/>
      </c>
      <c r="F273" s="3" t="str">
        <f t="shared" si="111"/>
        <v/>
      </c>
      <c r="G273" s="74" t="str">
        <f t="shared" si="112"/>
        <v/>
      </c>
      <c r="H273" s="78" t="str">
        <f>IFERROR(C273/SUM(M$2:M272),"")</f>
        <v/>
      </c>
      <c r="I273" s="61" t="str">
        <f>IFERROR(D273/SUM(N$2:N273),"")</f>
        <v/>
      </c>
      <c r="J273" s="61" t="str">
        <f>IFERROR(E273/SUM(O$2:O273),"")</f>
        <v/>
      </c>
      <c r="K273" s="61" t="str">
        <f>IFERROR(F273/SUM(P$2:P273),"")</f>
        <v/>
      </c>
      <c r="L273" s="79" t="str">
        <f>IFERROR(G273/SUM(Q$2:Q273),"")</f>
        <v/>
      </c>
      <c r="M273" s="64" t="str">
        <f t="shared" si="113"/>
        <v/>
      </c>
      <c r="N273" s="55" t="str">
        <f t="shared" si="114"/>
        <v/>
      </c>
      <c r="O273" s="55" t="str">
        <f t="shared" si="115"/>
        <v/>
      </c>
      <c r="P273" s="55" t="str">
        <f t="shared" si="116"/>
        <v/>
      </c>
      <c r="Q273" s="65" t="str">
        <f t="shared" si="117"/>
        <v/>
      </c>
      <c r="R273" s="67" t="str">
        <f t="shared" si="119"/>
        <v/>
      </c>
      <c r="S273" s="56" t="str">
        <f t="shared" si="120"/>
        <v/>
      </c>
      <c r="T273" s="56" t="str">
        <f t="shared" si="121"/>
        <v/>
      </c>
      <c r="U273" s="56" t="str">
        <f t="shared" si="122"/>
        <v/>
      </c>
      <c r="V273" s="68" t="str">
        <f t="shared" si="123"/>
        <v/>
      </c>
      <c r="W273" s="80" t="str">
        <f t="shared" si="124"/>
        <v/>
      </c>
      <c r="X273" s="81" t="str">
        <f t="shared" si="125"/>
        <v/>
      </c>
      <c r="Y273" s="81" t="str">
        <f t="shared" si="126"/>
        <v/>
      </c>
      <c r="Z273" s="81" t="str">
        <f t="shared" si="127"/>
        <v/>
      </c>
      <c r="AA273" s="82" t="str">
        <f t="shared" si="128"/>
        <v/>
      </c>
      <c r="AB273" s="83" t="str">
        <f>IF(R273&lt;&gt;"",(W273-SUMPRODUCT(R$3:R273,$B$3:$B273)/SUM($B$3:$B273))/STDEVA(W263:W273),"")</f>
        <v/>
      </c>
      <c r="AC273" s="84" t="str">
        <f>IF(S273&lt;&gt;"",(X273-SUMPRODUCT(S$3:S273,$B$3:$B273)/SUM($B$3:$B273))/STDEVA(X263:X273),"")</f>
        <v/>
      </c>
      <c r="AD273" s="84" t="str">
        <f>IF(T273&lt;&gt;"",(Y273-SUMPRODUCT(T$3:T273,$B$3:$B273)/SUM($B$3:$B273))/STDEVA(Y263:Y273),"")</f>
        <v/>
      </c>
      <c r="AE273" s="84" t="str">
        <f>IF(U273&lt;&gt;"",(Z273-SUMPRODUCT(U$3:U273,$B$3:$B273)/SUM($B$3:$B273))/STDEVA(Z263:Z273),"")</f>
        <v/>
      </c>
      <c r="AF273" s="85" t="str">
        <f>IF(V273&lt;&gt;"",(AA273-SUMPRODUCT(V$3:V273,$B$3:$B273)/SUM($B$3:$B273))/STDEVA(AA263:AA273),"")</f>
        <v/>
      </c>
      <c r="AG273" s="90" t="str">
        <f t="shared" si="130"/>
        <v/>
      </c>
      <c r="AH273" s="90" t="str">
        <f t="shared" si="130"/>
        <v/>
      </c>
      <c r="AI273" s="90" t="str">
        <f t="shared" si="130"/>
        <v/>
      </c>
      <c r="AJ273" s="90" t="str">
        <f t="shared" si="129"/>
        <v/>
      </c>
      <c r="AK273" s="93" t="str">
        <f t="shared" si="129"/>
        <v/>
      </c>
      <c r="BQ273" s="100" t="str">
        <f>IF(A273&lt;&gt;"",(VLOOKUP(A273,MarketData!$D:$BP,MATCH($BQ$1,MarketData!$D$1:$EG$1,0),TRUE)/100/365+1)^(B273)*BQ272,"")</f>
        <v/>
      </c>
      <c r="BR273" s="98" t="str">
        <f t="shared" si="107"/>
        <v/>
      </c>
      <c r="BS273" s="106" t="str">
        <f>IF(A273&lt;&gt;"",VLOOKUP(A273,MarketData!$D:$BP,MATCH($BS$1,MarketData!$D$1:$EG$1,0),TRUE),"")</f>
        <v/>
      </c>
      <c r="BT273" s="98" t="str">
        <f t="shared" si="118"/>
        <v/>
      </c>
    </row>
    <row r="274" spans="2:72" x14ac:dyDescent="0.25">
      <c r="B274" s="60" t="str">
        <f t="shared" si="106"/>
        <v/>
      </c>
      <c r="C274" s="3" t="str">
        <f t="shared" si="108"/>
        <v/>
      </c>
      <c r="D274" s="3" t="str">
        <f t="shared" si="109"/>
        <v/>
      </c>
      <c r="E274" s="3" t="str">
        <f t="shared" si="110"/>
        <v/>
      </c>
      <c r="F274" s="3" t="str">
        <f t="shared" si="111"/>
        <v/>
      </c>
      <c r="G274" s="74" t="str">
        <f t="shared" si="112"/>
        <v/>
      </c>
      <c r="H274" s="78" t="str">
        <f>IFERROR(C274/SUM(M$2:M273),"")</f>
        <v/>
      </c>
      <c r="I274" s="61" t="str">
        <f>IFERROR(D274/SUM(N$2:N274),"")</f>
        <v/>
      </c>
      <c r="J274" s="61" t="str">
        <f>IFERROR(E274/SUM(O$2:O274),"")</f>
        <v/>
      </c>
      <c r="K274" s="61" t="str">
        <f>IFERROR(F274/SUM(P$2:P274),"")</f>
        <v/>
      </c>
      <c r="L274" s="79" t="str">
        <f>IFERROR(G274/SUM(Q$2:Q274),"")</f>
        <v/>
      </c>
      <c r="M274" s="64" t="str">
        <f t="shared" si="113"/>
        <v/>
      </c>
      <c r="N274" s="55" t="str">
        <f t="shared" si="114"/>
        <v/>
      </c>
      <c r="O274" s="55" t="str">
        <f t="shared" si="115"/>
        <v/>
      </c>
      <c r="P274" s="55" t="str">
        <f t="shared" si="116"/>
        <v/>
      </c>
      <c r="Q274" s="65" t="str">
        <f t="shared" si="117"/>
        <v/>
      </c>
      <c r="R274" s="67" t="str">
        <f t="shared" si="119"/>
        <v/>
      </c>
      <c r="S274" s="56" t="str">
        <f t="shared" si="120"/>
        <v/>
      </c>
      <c r="T274" s="56" t="str">
        <f t="shared" si="121"/>
        <v/>
      </c>
      <c r="U274" s="56" t="str">
        <f t="shared" si="122"/>
        <v/>
      </c>
      <c r="V274" s="68" t="str">
        <f t="shared" si="123"/>
        <v/>
      </c>
      <c r="W274" s="80" t="str">
        <f t="shared" si="124"/>
        <v/>
      </c>
      <c r="X274" s="81" t="str">
        <f t="shared" si="125"/>
        <v/>
      </c>
      <c r="Y274" s="81" t="str">
        <f t="shared" si="126"/>
        <v/>
      </c>
      <c r="Z274" s="81" t="str">
        <f t="shared" si="127"/>
        <v/>
      </c>
      <c r="AA274" s="82" t="str">
        <f t="shared" si="128"/>
        <v/>
      </c>
      <c r="AB274" s="83" t="str">
        <f>IF(R274&lt;&gt;"",(W274-SUMPRODUCT(R$3:R274,$B$3:$B274)/SUM($B$3:$B274))/STDEVA(W264:W274),"")</f>
        <v/>
      </c>
      <c r="AC274" s="84" t="str">
        <f>IF(S274&lt;&gt;"",(X274-SUMPRODUCT(S$3:S274,$B$3:$B274)/SUM($B$3:$B274))/STDEVA(X264:X274),"")</f>
        <v/>
      </c>
      <c r="AD274" s="84" t="str">
        <f>IF(T274&lt;&gt;"",(Y274-SUMPRODUCT(T$3:T274,$B$3:$B274)/SUM($B$3:$B274))/STDEVA(Y264:Y274),"")</f>
        <v/>
      </c>
      <c r="AE274" s="84" t="str">
        <f>IF(U274&lt;&gt;"",(Z274-SUMPRODUCT(U$3:U274,$B$3:$B274)/SUM($B$3:$B274))/STDEVA(Z264:Z274),"")</f>
        <v/>
      </c>
      <c r="AF274" s="85" t="str">
        <f>IF(V274&lt;&gt;"",(AA274-SUMPRODUCT(V$3:V274,$B$3:$B274)/SUM($B$3:$B274))/STDEVA(AA264:AA274),"")</f>
        <v/>
      </c>
      <c r="AG274" s="90" t="str">
        <f t="shared" si="130"/>
        <v/>
      </c>
      <c r="AH274" s="90" t="str">
        <f t="shared" si="130"/>
        <v/>
      </c>
      <c r="AI274" s="90" t="str">
        <f t="shared" si="130"/>
        <v/>
      </c>
      <c r="AJ274" s="90" t="str">
        <f t="shared" si="129"/>
        <v/>
      </c>
      <c r="AK274" s="93" t="str">
        <f t="shared" si="129"/>
        <v/>
      </c>
      <c r="BQ274" s="100" t="str">
        <f>IF(A274&lt;&gt;"",(VLOOKUP(A274,MarketData!$D:$BP,MATCH($BQ$1,MarketData!$D$1:$EG$1,0),TRUE)/100/365+1)^(B274)*BQ273,"")</f>
        <v/>
      </c>
      <c r="BR274" s="98" t="str">
        <f t="shared" si="107"/>
        <v/>
      </c>
      <c r="BS274" s="106" t="str">
        <f>IF(A274&lt;&gt;"",VLOOKUP(A274,MarketData!$D:$BP,MATCH($BS$1,MarketData!$D$1:$EG$1,0),TRUE),"")</f>
        <v/>
      </c>
      <c r="BT274" s="98" t="str">
        <f t="shared" si="118"/>
        <v/>
      </c>
    </row>
    <row r="275" spans="2:72" x14ac:dyDescent="0.25">
      <c r="B275" s="60" t="str">
        <f t="shared" si="106"/>
        <v/>
      </c>
      <c r="C275" s="3" t="str">
        <f t="shared" si="108"/>
        <v/>
      </c>
      <c r="D275" s="3" t="str">
        <f t="shared" si="109"/>
        <v/>
      </c>
      <c r="E275" s="3" t="str">
        <f t="shared" si="110"/>
        <v/>
      </c>
      <c r="F275" s="3" t="str">
        <f t="shared" si="111"/>
        <v/>
      </c>
      <c r="G275" s="74" t="str">
        <f t="shared" si="112"/>
        <v/>
      </c>
      <c r="H275" s="78" t="str">
        <f>IFERROR(C275/SUM(M$2:M274),"")</f>
        <v/>
      </c>
      <c r="I275" s="61" t="str">
        <f>IFERROR(D275/SUM(N$2:N275),"")</f>
        <v/>
      </c>
      <c r="J275" s="61" t="str">
        <f>IFERROR(E275/SUM(O$2:O275),"")</f>
        <v/>
      </c>
      <c r="K275" s="61" t="str">
        <f>IFERROR(F275/SUM(P$2:P275),"")</f>
        <v/>
      </c>
      <c r="L275" s="79" t="str">
        <f>IFERROR(G275/SUM(Q$2:Q275),"")</f>
        <v/>
      </c>
      <c r="M275" s="64" t="str">
        <f t="shared" si="113"/>
        <v/>
      </c>
      <c r="N275" s="55" t="str">
        <f t="shared" si="114"/>
        <v/>
      </c>
      <c r="O275" s="55" t="str">
        <f t="shared" si="115"/>
        <v/>
      </c>
      <c r="P275" s="55" t="str">
        <f t="shared" si="116"/>
        <v/>
      </c>
      <c r="Q275" s="65" t="str">
        <f t="shared" si="117"/>
        <v/>
      </c>
      <c r="R275" s="67" t="str">
        <f t="shared" si="119"/>
        <v/>
      </c>
      <c r="S275" s="56" t="str">
        <f t="shared" si="120"/>
        <v/>
      </c>
      <c r="T275" s="56" t="str">
        <f t="shared" si="121"/>
        <v/>
      </c>
      <c r="U275" s="56" t="str">
        <f t="shared" si="122"/>
        <v/>
      </c>
      <c r="V275" s="68" t="str">
        <f t="shared" si="123"/>
        <v/>
      </c>
      <c r="W275" s="80" t="str">
        <f t="shared" si="124"/>
        <v/>
      </c>
      <c r="X275" s="81" t="str">
        <f t="shared" si="125"/>
        <v/>
      </c>
      <c r="Y275" s="81" t="str">
        <f t="shared" si="126"/>
        <v/>
      </c>
      <c r="Z275" s="81" t="str">
        <f t="shared" si="127"/>
        <v/>
      </c>
      <c r="AA275" s="82" t="str">
        <f t="shared" si="128"/>
        <v/>
      </c>
      <c r="AB275" s="83" t="str">
        <f>IF(R275&lt;&gt;"",(W275-SUMPRODUCT(R$3:R275,$B$3:$B275)/SUM($B$3:$B275))/STDEVA(W265:W275),"")</f>
        <v/>
      </c>
      <c r="AC275" s="84" t="str">
        <f>IF(S275&lt;&gt;"",(X275-SUMPRODUCT(S$3:S275,$B$3:$B275)/SUM($B$3:$B275))/STDEVA(X265:X275),"")</f>
        <v/>
      </c>
      <c r="AD275" s="84" t="str">
        <f>IF(T275&lt;&gt;"",(Y275-SUMPRODUCT(T$3:T275,$B$3:$B275)/SUM($B$3:$B275))/STDEVA(Y265:Y275),"")</f>
        <v/>
      </c>
      <c r="AE275" s="84" t="str">
        <f>IF(U275&lt;&gt;"",(Z275-SUMPRODUCT(U$3:U275,$B$3:$B275)/SUM($B$3:$B275))/STDEVA(Z265:Z275),"")</f>
        <v/>
      </c>
      <c r="AF275" s="85" t="str">
        <f>IF(V275&lt;&gt;"",(AA275-SUMPRODUCT(V$3:V275,$B$3:$B275)/SUM($B$3:$B275))/STDEVA(AA265:AA275),"")</f>
        <v/>
      </c>
      <c r="AG275" s="90" t="str">
        <f t="shared" si="130"/>
        <v/>
      </c>
      <c r="AH275" s="90" t="str">
        <f t="shared" si="130"/>
        <v/>
      </c>
      <c r="AI275" s="90" t="str">
        <f t="shared" si="130"/>
        <v/>
      </c>
      <c r="AJ275" s="90" t="str">
        <f t="shared" si="129"/>
        <v/>
      </c>
      <c r="AK275" s="93" t="str">
        <f t="shared" si="129"/>
        <v/>
      </c>
      <c r="BQ275" s="100" t="str">
        <f>IF(A275&lt;&gt;"",(VLOOKUP(A275,MarketData!$D:$BP,MATCH($BQ$1,MarketData!$D$1:$EG$1,0),TRUE)/100/365+1)^(B275)*BQ274,"")</f>
        <v/>
      </c>
      <c r="BR275" s="98" t="str">
        <f t="shared" si="107"/>
        <v/>
      </c>
      <c r="BS275" s="106" t="str">
        <f>IF(A275&lt;&gt;"",VLOOKUP(A275,MarketData!$D:$BP,MATCH($BS$1,MarketData!$D$1:$EG$1,0),TRUE),"")</f>
        <v/>
      </c>
      <c r="BT275" s="98" t="str">
        <f t="shared" si="118"/>
        <v/>
      </c>
    </row>
    <row r="276" spans="2:72" x14ac:dyDescent="0.25">
      <c r="B276" s="60" t="str">
        <f t="shared" si="106"/>
        <v/>
      </c>
      <c r="C276" s="3" t="str">
        <f t="shared" si="108"/>
        <v/>
      </c>
      <c r="D276" s="3" t="str">
        <f t="shared" si="109"/>
        <v/>
      </c>
      <c r="E276" s="3" t="str">
        <f t="shared" si="110"/>
        <v/>
      </c>
      <c r="F276" s="3" t="str">
        <f t="shared" si="111"/>
        <v/>
      </c>
      <c r="G276" s="74" t="str">
        <f t="shared" si="112"/>
        <v/>
      </c>
      <c r="H276" s="78" t="str">
        <f>IFERROR(C276/SUM(M$2:M275),"")</f>
        <v/>
      </c>
      <c r="I276" s="61" t="str">
        <f>IFERROR(D276/SUM(N$2:N276),"")</f>
        <v/>
      </c>
      <c r="J276" s="61" t="str">
        <f>IFERROR(E276/SUM(O$2:O276),"")</f>
        <v/>
      </c>
      <c r="K276" s="61" t="str">
        <f>IFERROR(F276/SUM(P$2:P276),"")</f>
        <v/>
      </c>
      <c r="L276" s="79" t="str">
        <f>IFERROR(G276/SUM(Q$2:Q276),"")</f>
        <v/>
      </c>
      <c r="M276" s="64" t="str">
        <f t="shared" si="113"/>
        <v/>
      </c>
      <c r="N276" s="55" t="str">
        <f t="shared" si="114"/>
        <v/>
      </c>
      <c r="O276" s="55" t="str">
        <f t="shared" si="115"/>
        <v/>
      </c>
      <c r="P276" s="55" t="str">
        <f t="shared" si="116"/>
        <v/>
      </c>
      <c r="Q276" s="65" t="str">
        <f t="shared" si="117"/>
        <v/>
      </c>
      <c r="R276" s="67" t="str">
        <f t="shared" si="119"/>
        <v/>
      </c>
      <c r="S276" s="56" t="str">
        <f t="shared" si="120"/>
        <v/>
      </c>
      <c r="T276" s="56" t="str">
        <f t="shared" si="121"/>
        <v/>
      </c>
      <c r="U276" s="56" t="str">
        <f t="shared" si="122"/>
        <v/>
      </c>
      <c r="V276" s="68" t="str">
        <f t="shared" si="123"/>
        <v/>
      </c>
      <c r="W276" s="80" t="str">
        <f t="shared" si="124"/>
        <v/>
      </c>
      <c r="X276" s="81" t="str">
        <f t="shared" si="125"/>
        <v/>
      </c>
      <c r="Y276" s="81" t="str">
        <f t="shared" si="126"/>
        <v/>
      </c>
      <c r="Z276" s="81" t="str">
        <f t="shared" si="127"/>
        <v/>
      </c>
      <c r="AA276" s="82" t="str">
        <f t="shared" si="128"/>
        <v/>
      </c>
      <c r="AB276" s="83" t="str">
        <f>IF(R276&lt;&gt;"",(W276-SUMPRODUCT(R$3:R276,$B$3:$B276)/SUM($B$3:$B276))/STDEVA(W266:W276),"")</f>
        <v/>
      </c>
      <c r="AC276" s="84" t="str">
        <f>IF(S276&lt;&gt;"",(X276-SUMPRODUCT(S$3:S276,$B$3:$B276)/SUM($B$3:$B276))/STDEVA(X266:X276),"")</f>
        <v/>
      </c>
      <c r="AD276" s="84" t="str">
        <f>IF(T276&lt;&gt;"",(Y276-SUMPRODUCT(T$3:T276,$B$3:$B276)/SUM($B$3:$B276))/STDEVA(Y266:Y276),"")</f>
        <v/>
      </c>
      <c r="AE276" s="84" t="str">
        <f>IF(U276&lt;&gt;"",(Z276-SUMPRODUCT(U$3:U276,$B$3:$B276)/SUM($B$3:$B276))/STDEVA(Z266:Z276),"")</f>
        <v/>
      </c>
      <c r="AF276" s="85" t="str">
        <f>IF(V276&lt;&gt;"",(AA276-SUMPRODUCT(V$3:V276,$B$3:$B276)/SUM($B$3:$B276))/STDEVA(AA266:AA276),"")</f>
        <v/>
      </c>
      <c r="AG276" s="90" t="str">
        <f t="shared" si="130"/>
        <v/>
      </c>
      <c r="AH276" s="90" t="str">
        <f t="shared" si="130"/>
        <v/>
      </c>
      <c r="AI276" s="90" t="str">
        <f t="shared" si="130"/>
        <v/>
      </c>
      <c r="AJ276" s="90" t="str">
        <f t="shared" si="129"/>
        <v/>
      </c>
      <c r="AK276" s="93" t="str">
        <f t="shared" si="129"/>
        <v/>
      </c>
      <c r="BQ276" s="100" t="str">
        <f>IF(A276&lt;&gt;"",(VLOOKUP(A276,MarketData!$D:$BP,MATCH($BQ$1,MarketData!$D$1:$EG$1,0),TRUE)/100/365+1)^(B276)*BQ275,"")</f>
        <v/>
      </c>
      <c r="BR276" s="98" t="str">
        <f t="shared" si="107"/>
        <v/>
      </c>
      <c r="BS276" s="106" t="str">
        <f>IF(A276&lt;&gt;"",VLOOKUP(A276,MarketData!$D:$BP,MATCH($BS$1,MarketData!$D$1:$EG$1,0),TRUE),"")</f>
        <v/>
      </c>
      <c r="BT276" s="98" t="str">
        <f t="shared" si="118"/>
        <v/>
      </c>
    </row>
    <row r="277" spans="2:72" x14ac:dyDescent="0.25">
      <c r="B277" s="60" t="str">
        <f t="shared" si="106"/>
        <v/>
      </c>
      <c r="C277" s="3" t="str">
        <f t="shared" si="108"/>
        <v/>
      </c>
      <c r="D277" s="3" t="str">
        <f t="shared" si="109"/>
        <v/>
      </c>
      <c r="E277" s="3" t="str">
        <f t="shared" si="110"/>
        <v/>
      </c>
      <c r="F277" s="3" t="str">
        <f t="shared" si="111"/>
        <v/>
      </c>
      <c r="G277" s="74" t="str">
        <f t="shared" si="112"/>
        <v/>
      </c>
      <c r="H277" s="78" t="str">
        <f>IFERROR(C277/SUM(M$2:M276),"")</f>
        <v/>
      </c>
      <c r="I277" s="61" t="str">
        <f>IFERROR(D277/SUM(N$2:N277),"")</f>
        <v/>
      </c>
      <c r="J277" s="61" t="str">
        <f>IFERROR(E277/SUM(O$2:O277),"")</f>
        <v/>
      </c>
      <c r="K277" s="61" t="str">
        <f>IFERROR(F277/SUM(P$2:P277),"")</f>
        <v/>
      </c>
      <c r="L277" s="79" t="str">
        <f>IFERROR(G277/SUM(Q$2:Q277),"")</f>
        <v/>
      </c>
      <c r="M277" s="64" t="str">
        <f t="shared" si="113"/>
        <v/>
      </c>
      <c r="N277" s="55" t="str">
        <f t="shared" si="114"/>
        <v/>
      </c>
      <c r="O277" s="55" t="str">
        <f t="shared" si="115"/>
        <v/>
      </c>
      <c r="P277" s="55" t="str">
        <f t="shared" si="116"/>
        <v/>
      </c>
      <c r="Q277" s="65" t="str">
        <f t="shared" si="117"/>
        <v/>
      </c>
      <c r="R277" s="67" t="str">
        <f t="shared" si="119"/>
        <v/>
      </c>
      <c r="S277" s="56" t="str">
        <f t="shared" si="120"/>
        <v/>
      </c>
      <c r="T277" s="56" t="str">
        <f t="shared" si="121"/>
        <v/>
      </c>
      <c r="U277" s="56" t="str">
        <f t="shared" si="122"/>
        <v/>
      </c>
      <c r="V277" s="68" t="str">
        <f t="shared" si="123"/>
        <v/>
      </c>
      <c r="W277" s="80" t="str">
        <f t="shared" si="124"/>
        <v/>
      </c>
      <c r="X277" s="81" t="str">
        <f t="shared" si="125"/>
        <v/>
      </c>
      <c r="Y277" s="81" t="str">
        <f t="shared" si="126"/>
        <v/>
      </c>
      <c r="Z277" s="81" t="str">
        <f t="shared" si="127"/>
        <v/>
      </c>
      <c r="AA277" s="82" t="str">
        <f t="shared" si="128"/>
        <v/>
      </c>
      <c r="AB277" s="83" t="str">
        <f>IF(R277&lt;&gt;"",(W277-SUMPRODUCT(R$3:R277,$B$3:$B277)/SUM($B$3:$B277))/STDEVA(W267:W277),"")</f>
        <v/>
      </c>
      <c r="AC277" s="84" t="str">
        <f>IF(S277&lt;&gt;"",(X277-SUMPRODUCT(S$3:S277,$B$3:$B277)/SUM($B$3:$B277))/STDEVA(X267:X277),"")</f>
        <v/>
      </c>
      <c r="AD277" s="84" t="str">
        <f>IF(T277&lt;&gt;"",(Y277-SUMPRODUCT(T$3:T277,$B$3:$B277)/SUM($B$3:$B277))/STDEVA(Y267:Y277),"")</f>
        <v/>
      </c>
      <c r="AE277" s="84" t="str">
        <f>IF(U277&lt;&gt;"",(Z277-SUMPRODUCT(U$3:U277,$B$3:$B277)/SUM($B$3:$B277))/STDEVA(Z267:Z277),"")</f>
        <v/>
      </c>
      <c r="AF277" s="85" t="str">
        <f>IF(V277&lt;&gt;"",(AA277-SUMPRODUCT(V$3:V277,$B$3:$B277)/SUM($B$3:$B277))/STDEVA(AA267:AA277),"")</f>
        <v/>
      </c>
      <c r="AG277" s="90" t="str">
        <f t="shared" si="130"/>
        <v/>
      </c>
      <c r="AH277" s="90" t="str">
        <f t="shared" si="130"/>
        <v/>
      </c>
      <c r="AI277" s="90" t="str">
        <f t="shared" si="130"/>
        <v/>
      </c>
      <c r="AJ277" s="90" t="str">
        <f t="shared" si="129"/>
        <v/>
      </c>
      <c r="AK277" s="93" t="str">
        <f t="shared" si="129"/>
        <v/>
      </c>
      <c r="BQ277" s="100" t="str">
        <f>IF(A277&lt;&gt;"",(VLOOKUP(A277,MarketData!$D:$BP,MATCH($BQ$1,MarketData!$D$1:$EG$1,0),TRUE)/100/365+1)^(B277)*BQ276,"")</f>
        <v/>
      </c>
      <c r="BR277" s="98" t="str">
        <f t="shared" si="107"/>
        <v/>
      </c>
      <c r="BS277" s="106" t="str">
        <f>IF(A277&lt;&gt;"",VLOOKUP(A277,MarketData!$D:$BP,MATCH($BS$1,MarketData!$D$1:$EG$1,0),TRUE),"")</f>
        <v/>
      </c>
      <c r="BT277" s="98" t="str">
        <f t="shared" si="118"/>
        <v/>
      </c>
    </row>
    <row r="278" spans="2:72" x14ac:dyDescent="0.25">
      <c r="B278" s="60" t="str">
        <f t="shared" si="106"/>
        <v/>
      </c>
      <c r="C278" s="3" t="str">
        <f t="shared" si="108"/>
        <v/>
      </c>
      <c r="D278" s="3" t="str">
        <f t="shared" si="109"/>
        <v/>
      </c>
      <c r="E278" s="3" t="str">
        <f t="shared" si="110"/>
        <v/>
      </c>
      <c r="F278" s="3" t="str">
        <f t="shared" si="111"/>
        <v/>
      </c>
      <c r="G278" s="74" t="str">
        <f t="shared" si="112"/>
        <v/>
      </c>
      <c r="H278" s="78" t="str">
        <f>IFERROR(C278/SUM(M$2:M277),"")</f>
        <v/>
      </c>
      <c r="I278" s="61" t="str">
        <f>IFERROR(D278/SUM(N$2:N278),"")</f>
        <v/>
      </c>
      <c r="J278" s="61" t="str">
        <f>IFERROR(E278/SUM(O$2:O278),"")</f>
        <v/>
      </c>
      <c r="K278" s="61" t="str">
        <f>IFERROR(F278/SUM(P$2:P278),"")</f>
        <v/>
      </c>
      <c r="L278" s="79" t="str">
        <f>IFERROR(G278/SUM(Q$2:Q278),"")</f>
        <v/>
      </c>
      <c r="M278" s="64" t="str">
        <f t="shared" si="113"/>
        <v/>
      </c>
      <c r="N278" s="55" t="str">
        <f t="shared" si="114"/>
        <v/>
      </c>
      <c r="O278" s="55" t="str">
        <f t="shared" si="115"/>
        <v/>
      </c>
      <c r="P278" s="55" t="str">
        <f t="shared" si="116"/>
        <v/>
      </c>
      <c r="Q278" s="65" t="str">
        <f t="shared" si="117"/>
        <v/>
      </c>
      <c r="R278" s="67" t="str">
        <f t="shared" si="119"/>
        <v/>
      </c>
      <c r="S278" s="56" t="str">
        <f t="shared" si="120"/>
        <v/>
      </c>
      <c r="T278" s="56" t="str">
        <f t="shared" si="121"/>
        <v/>
      </c>
      <c r="U278" s="56" t="str">
        <f t="shared" si="122"/>
        <v/>
      </c>
      <c r="V278" s="68" t="str">
        <f t="shared" si="123"/>
        <v/>
      </c>
      <c r="W278" s="80" t="str">
        <f t="shared" si="124"/>
        <v/>
      </c>
      <c r="X278" s="81" t="str">
        <f t="shared" si="125"/>
        <v/>
      </c>
      <c r="Y278" s="81" t="str">
        <f t="shared" si="126"/>
        <v/>
      </c>
      <c r="Z278" s="81" t="str">
        <f t="shared" si="127"/>
        <v/>
      </c>
      <c r="AA278" s="82" t="str">
        <f t="shared" si="128"/>
        <v/>
      </c>
      <c r="AB278" s="83" t="str">
        <f>IF(R278&lt;&gt;"",(W278-SUMPRODUCT(R$3:R278,$B$3:$B278)/SUM($B$3:$B278))/STDEVA(W268:W278),"")</f>
        <v/>
      </c>
      <c r="AC278" s="84" t="str">
        <f>IF(S278&lt;&gt;"",(X278-SUMPRODUCT(S$3:S278,$B$3:$B278)/SUM($B$3:$B278))/STDEVA(X268:X278),"")</f>
        <v/>
      </c>
      <c r="AD278" s="84" t="str">
        <f>IF(T278&lt;&gt;"",(Y278-SUMPRODUCT(T$3:T278,$B$3:$B278)/SUM($B$3:$B278))/STDEVA(Y268:Y278),"")</f>
        <v/>
      </c>
      <c r="AE278" s="84" t="str">
        <f>IF(U278&lt;&gt;"",(Z278-SUMPRODUCT(U$3:U278,$B$3:$B278)/SUM($B$3:$B278))/STDEVA(Z268:Z278),"")</f>
        <v/>
      </c>
      <c r="AF278" s="85" t="str">
        <f>IF(V278&lt;&gt;"",(AA278-SUMPRODUCT(V$3:V278,$B$3:$B278)/SUM($B$3:$B278))/STDEVA(AA268:AA278),"")</f>
        <v/>
      </c>
      <c r="AG278" s="90" t="str">
        <f t="shared" si="130"/>
        <v/>
      </c>
      <c r="AH278" s="90" t="str">
        <f t="shared" si="130"/>
        <v/>
      </c>
      <c r="AI278" s="90" t="str">
        <f t="shared" si="130"/>
        <v/>
      </c>
      <c r="AJ278" s="90" t="str">
        <f t="shared" si="129"/>
        <v/>
      </c>
      <c r="AK278" s="93" t="str">
        <f t="shared" si="129"/>
        <v/>
      </c>
      <c r="BQ278" s="100" t="str">
        <f>IF(A278&lt;&gt;"",(VLOOKUP(A278,MarketData!$D:$BP,MATCH($BQ$1,MarketData!$D$1:$EG$1,0),TRUE)/100/365+1)^(B278)*BQ277,"")</f>
        <v/>
      </c>
      <c r="BR278" s="98" t="str">
        <f t="shared" si="107"/>
        <v/>
      </c>
      <c r="BS278" s="106" t="str">
        <f>IF(A278&lt;&gt;"",VLOOKUP(A278,MarketData!$D:$BP,MATCH($BS$1,MarketData!$D$1:$EG$1,0),TRUE),"")</f>
        <v/>
      </c>
      <c r="BT278" s="98" t="str">
        <f t="shared" si="118"/>
        <v/>
      </c>
    </row>
    <row r="279" spans="2:72" x14ac:dyDescent="0.25">
      <c r="B279" s="60" t="str">
        <f t="shared" si="106"/>
        <v/>
      </c>
      <c r="C279" s="3" t="str">
        <f t="shared" si="108"/>
        <v/>
      </c>
      <c r="D279" s="3" t="str">
        <f t="shared" si="109"/>
        <v/>
      </c>
      <c r="E279" s="3" t="str">
        <f t="shared" si="110"/>
        <v/>
      </c>
      <c r="F279" s="3" t="str">
        <f t="shared" si="111"/>
        <v/>
      </c>
      <c r="G279" s="74" t="str">
        <f t="shared" si="112"/>
        <v/>
      </c>
      <c r="H279" s="78" t="str">
        <f>IFERROR(C279/SUM(M$2:M278),"")</f>
        <v/>
      </c>
      <c r="I279" s="61" t="str">
        <f>IFERROR(D279/SUM(N$2:N279),"")</f>
        <v/>
      </c>
      <c r="J279" s="61" t="str">
        <f>IFERROR(E279/SUM(O$2:O279),"")</f>
        <v/>
      </c>
      <c r="K279" s="61" t="str">
        <f>IFERROR(F279/SUM(P$2:P279),"")</f>
        <v/>
      </c>
      <c r="L279" s="79" t="str">
        <f>IFERROR(G279/SUM(Q$2:Q279),"")</f>
        <v/>
      </c>
      <c r="M279" s="64" t="str">
        <f t="shared" si="113"/>
        <v/>
      </c>
      <c r="N279" s="55" t="str">
        <f t="shared" si="114"/>
        <v/>
      </c>
      <c r="O279" s="55" t="str">
        <f t="shared" si="115"/>
        <v/>
      </c>
      <c r="P279" s="55" t="str">
        <f t="shared" si="116"/>
        <v/>
      </c>
      <c r="Q279" s="65" t="str">
        <f t="shared" si="117"/>
        <v/>
      </c>
      <c r="R279" s="67" t="str">
        <f t="shared" si="119"/>
        <v/>
      </c>
      <c r="S279" s="56" t="str">
        <f t="shared" si="120"/>
        <v/>
      </c>
      <c r="T279" s="56" t="str">
        <f t="shared" si="121"/>
        <v/>
      </c>
      <c r="U279" s="56" t="str">
        <f t="shared" si="122"/>
        <v/>
      </c>
      <c r="V279" s="68" t="str">
        <f t="shared" si="123"/>
        <v/>
      </c>
      <c r="W279" s="80" t="str">
        <f t="shared" si="124"/>
        <v/>
      </c>
      <c r="X279" s="81" t="str">
        <f t="shared" si="125"/>
        <v/>
      </c>
      <c r="Y279" s="81" t="str">
        <f t="shared" si="126"/>
        <v/>
      </c>
      <c r="Z279" s="81" t="str">
        <f t="shared" si="127"/>
        <v/>
      </c>
      <c r="AA279" s="82" t="str">
        <f t="shared" si="128"/>
        <v/>
      </c>
      <c r="AB279" s="83" t="str">
        <f>IF(R279&lt;&gt;"",(W279-SUMPRODUCT(R$3:R279,$B$3:$B279)/SUM($B$3:$B279))/STDEVA(W269:W279),"")</f>
        <v/>
      </c>
      <c r="AC279" s="84" t="str">
        <f>IF(S279&lt;&gt;"",(X279-SUMPRODUCT(S$3:S279,$B$3:$B279)/SUM($B$3:$B279))/STDEVA(X269:X279),"")</f>
        <v/>
      </c>
      <c r="AD279" s="84" t="str">
        <f>IF(T279&lt;&gt;"",(Y279-SUMPRODUCT(T$3:T279,$B$3:$B279)/SUM($B$3:$B279))/STDEVA(Y269:Y279),"")</f>
        <v/>
      </c>
      <c r="AE279" s="84" t="str">
        <f>IF(U279&lt;&gt;"",(Z279-SUMPRODUCT(U$3:U279,$B$3:$B279)/SUM($B$3:$B279))/STDEVA(Z269:Z279),"")</f>
        <v/>
      </c>
      <c r="AF279" s="85" t="str">
        <f>IF(V279&lt;&gt;"",(AA279-SUMPRODUCT(V$3:V279,$B$3:$B279)/SUM($B$3:$B279))/STDEVA(AA269:AA279),"")</f>
        <v/>
      </c>
      <c r="AG279" s="90" t="str">
        <f t="shared" si="130"/>
        <v/>
      </c>
      <c r="AH279" s="90" t="str">
        <f t="shared" si="130"/>
        <v/>
      </c>
      <c r="AI279" s="90" t="str">
        <f t="shared" si="130"/>
        <v/>
      </c>
      <c r="AJ279" s="90" t="str">
        <f t="shared" si="129"/>
        <v/>
      </c>
      <c r="AK279" s="93" t="str">
        <f t="shared" si="129"/>
        <v/>
      </c>
      <c r="BQ279" s="100" t="str">
        <f>IF(A279&lt;&gt;"",(VLOOKUP(A279,MarketData!$D:$BP,MATCH($BQ$1,MarketData!$D$1:$EG$1,0),TRUE)/100/365+1)^(B279)*BQ278,"")</f>
        <v/>
      </c>
      <c r="BR279" s="98" t="str">
        <f t="shared" si="107"/>
        <v/>
      </c>
      <c r="BS279" s="106" t="str">
        <f>IF(A279&lt;&gt;"",VLOOKUP(A279,MarketData!$D:$BP,MATCH($BS$1,MarketData!$D$1:$EG$1,0),TRUE),"")</f>
        <v/>
      </c>
      <c r="BT279" s="98" t="str">
        <f t="shared" si="118"/>
        <v/>
      </c>
    </row>
    <row r="280" spans="2:72" x14ac:dyDescent="0.25">
      <c r="B280" s="60" t="str">
        <f t="shared" si="106"/>
        <v/>
      </c>
      <c r="C280" s="3" t="str">
        <f t="shared" si="108"/>
        <v/>
      </c>
      <c r="D280" s="3" t="str">
        <f t="shared" si="109"/>
        <v/>
      </c>
      <c r="E280" s="3" t="str">
        <f t="shared" si="110"/>
        <v/>
      </c>
      <c r="F280" s="3" t="str">
        <f t="shared" si="111"/>
        <v/>
      </c>
      <c r="G280" s="74" t="str">
        <f t="shared" si="112"/>
        <v/>
      </c>
      <c r="H280" s="78" t="str">
        <f>IFERROR(C280/SUM(M$2:M279),"")</f>
        <v/>
      </c>
      <c r="I280" s="61" t="str">
        <f>IFERROR(D280/SUM(N$2:N280),"")</f>
        <v/>
      </c>
      <c r="J280" s="61" t="str">
        <f>IFERROR(E280/SUM(O$2:O280),"")</f>
        <v/>
      </c>
      <c r="K280" s="61" t="str">
        <f>IFERROR(F280/SUM(P$2:P280),"")</f>
        <v/>
      </c>
      <c r="L280" s="79" t="str">
        <f>IFERROR(G280/SUM(Q$2:Q280),"")</f>
        <v/>
      </c>
      <c r="M280" s="64" t="str">
        <f t="shared" si="113"/>
        <v/>
      </c>
      <c r="N280" s="55" t="str">
        <f t="shared" si="114"/>
        <v/>
      </c>
      <c r="O280" s="55" t="str">
        <f t="shared" si="115"/>
        <v/>
      </c>
      <c r="P280" s="55" t="str">
        <f t="shared" si="116"/>
        <v/>
      </c>
      <c r="Q280" s="65" t="str">
        <f t="shared" si="117"/>
        <v/>
      </c>
      <c r="R280" s="67" t="str">
        <f t="shared" si="119"/>
        <v/>
      </c>
      <c r="S280" s="56" t="str">
        <f t="shared" si="120"/>
        <v/>
      </c>
      <c r="T280" s="56" t="str">
        <f t="shared" si="121"/>
        <v/>
      </c>
      <c r="U280" s="56" t="str">
        <f t="shared" si="122"/>
        <v/>
      </c>
      <c r="V280" s="68" t="str">
        <f t="shared" si="123"/>
        <v/>
      </c>
      <c r="W280" s="80" t="str">
        <f t="shared" si="124"/>
        <v/>
      </c>
      <c r="X280" s="81" t="str">
        <f t="shared" si="125"/>
        <v/>
      </c>
      <c r="Y280" s="81" t="str">
        <f t="shared" si="126"/>
        <v/>
      </c>
      <c r="Z280" s="81" t="str">
        <f t="shared" si="127"/>
        <v/>
      </c>
      <c r="AA280" s="82" t="str">
        <f t="shared" si="128"/>
        <v/>
      </c>
      <c r="AB280" s="83" t="str">
        <f>IF(R280&lt;&gt;"",(W280-SUMPRODUCT(R$3:R280,$B$3:$B280)/SUM($B$3:$B280))/STDEVA(W270:W280),"")</f>
        <v/>
      </c>
      <c r="AC280" s="84" t="str">
        <f>IF(S280&lt;&gt;"",(X280-SUMPRODUCT(S$3:S280,$B$3:$B280)/SUM($B$3:$B280))/STDEVA(X270:X280),"")</f>
        <v/>
      </c>
      <c r="AD280" s="84" t="str">
        <f>IF(T280&lt;&gt;"",(Y280-SUMPRODUCT(T$3:T280,$B$3:$B280)/SUM($B$3:$B280))/STDEVA(Y270:Y280),"")</f>
        <v/>
      </c>
      <c r="AE280" s="84" t="str">
        <f>IF(U280&lt;&gt;"",(Z280-SUMPRODUCT(U$3:U280,$B$3:$B280)/SUM($B$3:$B280))/STDEVA(Z270:Z280),"")</f>
        <v/>
      </c>
      <c r="AF280" s="85" t="str">
        <f>IF(V280&lt;&gt;"",(AA280-SUMPRODUCT(V$3:V280,$B$3:$B280)/SUM($B$3:$B280))/STDEVA(AA270:AA280),"")</f>
        <v/>
      </c>
      <c r="AG280" s="90" t="str">
        <f t="shared" si="130"/>
        <v/>
      </c>
      <c r="AH280" s="90" t="str">
        <f t="shared" si="130"/>
        <v/>
      </c>
      <c r="AI280" s="90" t="str">
        <f t="shared" si="130"/>
        <v/>
      </c>
      <c r="AJ280" s="90" t="str">
        <f t="shared" si="129"/>
        <v/>
      </c>
      <c r="AK280" s="93" t="str">
        <f t="shared" si="129"/>
        <v/>
      </c>
      <c r="BQ280" s="100" t="str">
        <f>IF(A280&lt;&gt;"",(VLOOKUP(A280,MarketData!$D:$BP,MATCH($BQ$1,MarketData!$D$1:$EG$1,0),TRUE)/100/365+1)^(B280)*BQ279,"")</f>
        <v/>
      </c>
      <c r="BR280" s="98" t="str">
        <f t="shared" si="107"/>
        <v/>
      </c>
      <c r="BS280" s="106" t="str">
        <f>IF(A280&lt;&gt;"",VLOOKUP(A280,MarketData!$D:$BP,MATCH($BS$1,MarketData!$D$1:$EG$1,0),TRUE),"")</f>
        <v/>
      </c>
      <c r="BT280" s="98" t="str">
        <f t="shared" si="118"/>
        <v/>
      </c>
    </row>
    <row r="281" spans="2:72" x14ac:dyDescent="0.25">
      <c r="B281" s="60" t="str">
        <f t="shared" si="106"/>
        <v/>
      </c>
      <c r="C281" s="3" t="str">
        <f t="shared" si="108"/>
        <v/>
      </c>
      <c r="D281" s="3" t="str">
        <f t="shared" si="109"/>
        <v/>
      </c>
      <c r="E281" s="3" t="str">
        <f t="shared" si="110"/>
        <v/>
      </c>
      <c r="F281" s="3" t="str">
        <f t="shared" si="111"/>
        <v/>
      </c>
      <c r="G281" s="74" t="str">
        <f t="shared" si="112"/>
        <v/>
      </c>
      <c r="H281" s="78" t="str">
        <f>IFERROR(C281/SUM(M$2:M280),"")</f>
        <v/>
      </c>
      <c r="I281" s="61" t="str">
        <f>IFERROR(D281/SUM(N$2:N281),"")</f>
        <v/>
      </c>
      <c r="J281" s="61" t="str">
        <f>IFERROR(E281/SUM(O$2:O281),"")</f>
        <v/>
      </c>
      <c r="K281" s="61" t="str">
        <f>IFERROR(F281/SUM(P$2:P281),"")</f>
        <v/>
      </c>
      <c r="L281" s="79" t="str">
        <f>IFERROR(G281/SUM(Q$2:Q281),"")</f>
        <v/>
      </c>
      <c r="M281" s="64" t="str">
        <f t="shared" si="113"/>
        <v/>
      </c>
      <c r="N281" s="55" t="str">
        <f t="shared" si="114"/>
        <v/>
      </c>
      <c r="O281" s="55" t="str">
        <f t="shared" si="115"/>
        <v/>
      </c>
      <c r="P281" s="55" t="str">
        <f t="shared" si="116"/>
        <v/>
      </c>
      <c r="Q281" s="65" t="str">
        <f t="shared" si="117"/>
        <v/>
      </c>
      <c r="R281" s="67" t="str">
        <f t="shared" si="119"/>
        <v/>
      </c>
      <c r="S281" s="56" t="str">
        <f t="shared" si="120"/>
        <v/>
      </c>
      <c r="T281" s="56" t="str">
        <f t="shared" si="121"/>
        <v/>
      </c>
      <c r="U281" s="56" t="str">
        <f t="shared" si="122"/>
        <v/>
      </c>
      <c r="V281" s="68" t="str">
        <f t="shared" si="123"/>
        <v/>
      </c>
      <c r="W281" s="80" t="str">
        <f t="shared" si="124"/>
        <v/>
      </c>
      <c r="X281" s="81" t="str">
        <f t="shared" si="125"/>
        <v/>
      </c>
      <c r="Y281" s="81" t="str">
        <f t="shared" si="126"/>
        <v/>
      </c>
      <c r="Z281" s="81" t="str">
        <f t="shared" si="127"/>
        <v/>
      </c>
      <c r="AA281" s="82" t="str">
        <f t="shared" si="128"/>
        <v/>
      </c>
      <c r="AB281" s="83" t="str">
        <f>IF(R281&lt;&gt;"",(W281-SUMPRODUCT(R$3:R281,$B$3:$B281)/SUM($B$3:$B281))/STDEVA(W271:W281),"")</f>
        <v/>
      </c>
      <c r="AC281" s="84" t="str">
        <f>IF(S281&lt;&gt;"",(X281-SUMPRODUCT(S$3:S281,$B$3:$B281)/SUM($B$3:$B281))/STDEVA(X271:X281),"")</f>
        <v/>
      </c>
      <c r="AD281" s="84" t="str">
        <f>IF(T281&lt;&gt;"",(Y281-SUMPRODUCT(T$3:T281,$B$3:$B281)/SUM($B$3:$B281))/STDEVA(Y271:Y281),"")</f>
        <v/>
      </c>
      <c r="AE281" s="84" t="str">
        <f>IF(U281&lt;&gt;"",(Z281-SUMPRODUCT(U$3:U281,$B$3:$B281)/SUM($B$3:$B281))/STDEVA(Z271:Z281),"")</f>
        <v/>
      </c>
      <c r="AF281" s="85" t="str">
        <f>IF(V281&lt;&gt;"",(AA281-SUMPRODUCT(V$3:V281,$B$3:$B281)/SUM($B$3:$B281))/STDEVA(AA271:AA281),"")</f>
        <v/>
      </c>
      <c r="AG281" s="90" t="str">
        <f t="shared" si="130"/>
        <v/>
      </c>
      <c r="AH281" s="90" t="str">
        <f t="shared" si="130"/>
        <v/>
      </c>
      <c r="AI281" s="90" t="str">
        <f t="shared" si="130"/>
        <v/>
      </c>
      <c r="AJ281" s="90" t="str">
        <f t="shared" si="129"/>
        <v/>
      </c>
      <c r="AK281" s="93" t="str">
        <f t="shared" si="129"/>
        <v/>
      </c>
      <c r="BQ281" s="100" t="str">
        <f>IF(A281&lt;&gt;"",(VLOOKUP(A281,MarketData!$D:$BP,MATCH($BQ$1,MarketData!$D$1:$EG$1,0),TRUE)/100/365+1)^(B281)*BQ280,"")</f>
        <v/>
      </c>
      <c r="BR281" s="98" t="str">
        <f t="shared" si="107"/>
        <v/>
      </c>
      <c r="BS281" s="106" t="str">
        <f>IF(A281&lt;&gt;"",VLOOKUP(A281,MarketData!$D:$BP,MATCH($BS$1,MarketData!$D$1:$EG$1,0),TRUE),"")</f>
        <v/>
      </c>
      <c r="BT281" s="98" t="str">
        <f t="shared" si="118"/>
        <v/>
      </c>
    </row>
    <row r="282" spans="2:72" x14ac:dyDescent="0.25">
      <c r="B282" s="60" t="str">
        <f t="shared" si="106"/>
        <v/>
      </c>
      <c r="C282" s="3" t="str">
        <f t="shared" si="108"/>
        <v/>
      </c>
      <c r="D282" s="3" t="str">
        <f t="shared" si="109"/>
        <v/>
      </c>
      <c r="E282" s="3" t="str">
        <f t="shared" si="110"/>
        <v/>
      </c>
      <c r="F282" s="3" t="str">
        <f t="shared" si="111"/>
        <v/>
      </c>
      <c r="G282" s="74" t="str">
        <f t="shared" si="112"/>
        <v/>
      </c>
      <c r="H282" s="78" t="str">
        <f>IFERROR(C282/SUM(M$2:M281),"")</f>
        <v/>
      </c>
      <c r="I282" s="61" t="str">
        <f>IFERROR(D282/SUM(N$2:N282),"")</f>
        <v/>
      </c>
      <c r="J282" s="61" t="str">
        <f>IFERROR(E282/SUM(O$2:O282),"")</f>
        <v/>
      </c>
      <c r="K282" s="61" t="str">
        <f>IFERROR(F282/SUM(P$2:P282),"")</f>
        <v/>
      </c>
      <c r="L282" s="79" t="str">
        <f>IFERROR(G282/SUM(Q$2:Q282),"")</f>
        <v/>
      </c>
      <c r="M282" s="64" t="str">
        <f t="shared" si="113"/>
        <v/>
      </c>
      <c r="N282" s="55" t="str">
        <f t="shared" si="114"/>
        <v/>
      </c>
      <c r="O282" s="55" t="str">
        <f t="shared" si="115"/>
        <v/>
      </c>
      <c r="P282" s="55" t="str">
        <f t="shared" si="116"/>
        <v/>
      </c>
      <c r="Q282" s="65" t="str">
        <f t="shared" si="117"/>
        <v/>
      </c>
      <c r="R282" s="67" t="str">
        <f t="shared" si="119"/>
        <v/>
      </c>
      <c r="S282" s="56" t="str">
        <f t="shared" si="120"/>
        <v/>
      </c>
      <c r="T282" s="56" t="str">
        <f t="shared" si="121"/>
        <v/>
      </c>
      <c r="U282" s="56" t="str">
        <f t="shared" si="122"/>
        <v/>
      </c>
      <c r="V282" s="68" t="str">
        <f t="shared" si="123"/>
        <v/>
      </c>
      <c r="W282" s="80" t="str">
        <f t="shared" si="124"/>
        <v/>
      </c>
      <c r="X282" s="81" t="str">
        <f t="shared" si="125"/>
        <v/>
      </c>
      <c r="Y282" s="81" t="str">
        <f t="shared" si="126"/>
        <v/>
      </c>
      <c r="Z282" s="81" t="str">
        <f t="shared" si="127"/>
        <v/>
      </c>
      <c r="AA282" s="82" t="str">
        <f t="shared" si="128"/>
        <v/>
      </c>
      <c r="AB282" s="83" t="str">
        <f>IF(R282&lt;&gt;"",(W282-SUMPRODUCT(R$3:R282,$B$3:$B282)/SUM($B$3:$B282))/STDEVA(W272:W282),"")</f>
        <v/>
      </c>
      <c r="AC282" s="84" t="str">
        <f>IF(S282&lt;&gt;"",(X282-SUMPRODUCT(S$3:S282,$B$3:$B282)/SUM($B$3:$B282))/STDEVA(X272:X282),"")</f>
        <v/>
      </c>
      <c r="AD282" s="84" t="str">
        <f>IF(T282&lt;&gt;"",(Y282-SUMPRODUCT(T$3:T282,$B$3:$B282)/SUM($B$3:$B282))/STDEVA(Y272:Y282),"")</f>
        <v/>
      </c>
      <c r="AE282" s="84" t="str">
        <f>IF(U282&lt;&gt;"",(Z282-SUMPRODUCT(U$3:U282,$B$3:$B282)/SUM($B$3:$B282))/STDEVA(Z272:Z282),"")</f>
        <v/>
      </c>
      <c r="AF282" s="85" t="str">
        <f>IF(V282&lt;&gt;"",(AA282-SUMPRODUCT(V$3:V282,$B$3:$B282)/SUM($B$3:$B282))/STDEVA(AA272:AA282),"")</f>
        <v/>
      </c>
      <c r="AG282" s="90" t="str">
        <f t="shared" si="130"/>
        <v/>
      </c>
      <c r="AH282" s="90" t="str">
        <f t="shared" si="130"/>
        <v/>
      </c>
      <c r="AI282" s="90" t="str">
        <f t="shared" si="130"/>
        <v/>
      </c>
      <c r="AJ282" s="90" t="str">
        <f t="shared" si="129"/>
        <v/>
      </c>
      <c r="AK282" s="93" t="str">
        <f t="shared" si="129"/>
        <v/>
      </c>
      <c r="BQ282" s="100" t="str">
        <f>IF(A282&lt;&gt;"",(VLOOKUP(A282,MarketData!$D:$BP,MATCH($BQ$1,MarketData!$D$1:$EG$1,0),TRUE)/100/365+1)^(B282)*BQ281,"")</f>
        <v/>
      </c>
      <c r="BR282" s="98" t="str">
        <f t="shared" si="107"/>
        <v/>
      </c>
      <c r="BS282" s="106" t="str">
        <f>IF(A282&lt;&gt;"",VLOOKUP(A282,MarketData!$D:$BP,MATCH($BS$1,MarketData!$D$1:$EG$1,0),TRUE),"")</f>
        <v/>
      </c>
      <c r="BT282" s="98" t="str">
        <f t="shared" si="118"/>
        <v/>
      </c>
    </row>
    <row r="283" spans="2:72" x14ac:dyDescent="0.25">
      <c r="B283" s="60" t="str">
        <f t="shared" ref="B283:B346" si="131">IF(A283&lt;&gt;0,A283-A282,"")</f>
        <v/>
      </c>
      <c r="C283" s="3" t="str">
        <f t="shared" si="108"/>
        <v/>
      </c>
      <c r="D283" s="3" t="str">
        <f t="shared" si="109"/>
        <v/>
      </c>
      <c r="E283" s="3" t="str">
        <f t="shared" si="110"/>
        <v/>
      </c>
      <c r="F283" s="3" t="str">
        <f t="shared" si="111"/>
        <v/>
      </c>
      <c r="G283" s="74" t="str">
        <f t="shared" si="112"/>
        <v/>
      </c>
      <c r="H283" s="78" t="str">
        <f>IFERROR(C283/SUM(M$2:M282),"")</f>
        <v/>
      </c>
      <c r="I283" s="61" t="str">
        <f>IFERROR(D283/SUM(N$2:N283),"")</f>
        <v/>
      </c>
      <c r="J283" s="61" t="str">
        <f>IFERROR(E283/SUM(O$2:O283),"")</f>
        <v/>
      </c>
      <c r="K283" s="61" t="str">
        <f>IFERROR(F283/SUM(P$2:P283),"")</f>
        <v/>
      </c>
      <c r="L283" s="79" t="str">
        <f>IFERROR(G283/SUM(Q$2:Q283),"")</f>
        <v/>
      </c>
      <c r="M283" s="64" t="str">
        <f t="shared" si="113"/>
        <v/>
      </c>
      <c r="N283" s="55" t="str">
        <f t="shared" si="114"/>
        <v/>
      </c>
      <c r="O283" s="55" t="str">
        <f t="shared" si="115"/>
        <v/>
      </c>
      <c r="P283" s="55" t="str">
        <f t="shared" si="116"/>
        <v/>
      </c>
      <c r="Q283" s="65" t="str">
        <f t="shared" si="117"/>
        <v/>
      </c>
      <c r="R283" s="67" t="str">
        <f t="shared" si="119"/>
        <v/>
      </c>
      <c r="S283" s="56" t="str">
        <f t="shared" si="120"/>
        <v/>
      </c>
      <c r="T283" s="56" t="str">
        <f t="shared" si="121"/>
        <v/>
      </c>
      <c r="U283" s="56" t="str">
        <f t="shared" si="122"/>
        <v/>
      </c>
      <c r="V283" s="68" t="str">
        <f t="shared" si="123"/>
        <v/>
      </c>
      <c r="W283" s="80" t="str">
        <f t="shared" si="124"/>
        <v/>
      </c>
      <c r="X283" s="81" t="str">
        <f t="shared" si="125"/>
        <v/>
      </c>
      <c r="Y283" s="81" t="str">
        <f t="shared" si="126"/>
        <v/>
      </c>
      <c r="Z283" s="81" t="str">
        <f t="shared" si="127"/>
        <v/>
      </c>
      <c r="AA283" s="82" t="str">
        <f t="shared" si="128"/>
        <v/>
      </c>
      <c r="AB283" s="83" t="str">
        <f>IF(R283&lt;&gt;"",(W283-SUMPRODUCT(R$3:R283,$B$3:$B283)/SUM($B$3:$B283))/STDEVA(W273:W283),"")</f>
        <v/>
      </c>
      <c r="AC283" s="84" t="str">
        <f>IF(S283&lt;&gt;"",(X283-SUMPRODUCT(S$3:S283,$B$3:$B283)/SUM($B$3:$B283))/STDEVA(X273:X283),"")</f>
        <v/>
      </c>
      <c r="AD283" s="84" t="str">
        <f>IF(T283&lt;&gt;"",(Y283-SUMPRODUCT(T$3:T283,$B$3:$B283)/SUM($B$3:$B283))/STDEVA(Y273:Y283),"")</f>
        <v/>
      </c>
      <c r="AE283" s="84" t="str">
        <f>IF(U283&lt;&gt;"",(Z283-SUMPRODUCT(U$3:U283,$B$3:$B283)/SUM($B$3:$B283))/STDEVA(Z273:Z283),"")</f>
        <v/>
      </c>
      <c r="AF283" s="85" t="str">
        <f>IF(V283&lt;&gt;"",(AA283-SUMPRODUCT(V$3:V283,$B$3:$B283)/SUM($B$3:$B283))/STDEVA(AA273:AA283),"")</f>
        <v/>
      </c>
      <c r="AG283" s="90" t="str">
        <f t="shared" si="130"/>
        <v/>
      </c>
      <c r="AH283" s="90" t="str">
        <f t="shared" si="130"/>
        <v/>
      </c>
      <c r="AI283" s="90" t="str">
        <f t="shared" si="130"/>
        <v/>
      </c>
      <c r="AJ283" s="90" t="str">
        <f t="shared" si="129"/>
        <v/>
      </c>
      <c r="AK283" s="93" t="str">
        <f t="shared" si="129"/>
        <v/>
      </c>
      <c r="BQ283" s="100" t="str">
        <f>IF(A283&lt;&gt;"",(VLOOKUP(A283,MarketData!$D:$BP,MATCH($BQ$1,MarketData!$D$1:$EG$1,0),TRUE)/100/365+1)^(B283)*BQ282,"")</f>
        <v/>
      </c>
      <c r="BR283" s="98" t="str">
        <f t="shared" si="107"/>
        <v/>
      </c>
      <c r="BS283" s="106" t="str">
        <f>IF(A283&lt;&gt;"",VLOOKUP(A283,MarketData!$D:$BP,MATCH($BS$1,MarketData!$D$1:$EG$1,0),TRUE),"")</f>
        <v/>
      </c>
      <c r="BT283" s="98" t="str">
        <f t="shared" si="118"/>
        <v/>
      </c>
    </row>
    <row r="284" spans="2:72" x14ac:dyDescent="0.25">
      <c r="B284" s="60" t="str">
        <f t="shared" si="131"/>
        <v/>
      </c>
      <c r="C284" s="3" t="str">
        <f t="shared" si="108"/>
        <v/>
      </c>
      <c r="D284" s="3" t="str">
        <f t="shared" si="109"/>
        <v/>
      </c>
      <c r="E284" s="3" t="str">
        <f t="shared" si="110"/>
        <v/>
      </c>
      <c r="F284" s="3" t="str">
        <f t="shared" si="111"/>
        <v/>
      </c>
      <c r="G284" s="74" t="str">
        <f t="shared" si="112"/>
        <v/>
      </c>
      <c r="H284" s="78" t="str">
        <f>IFERROR(C284/SUM(M$2:M283),"")</f>
        <v/>
      </c>
      <c r="I284" s="61" t="str">
        <f>IFERROR(D284/SUM(N$2:N284),"")</f>
        <v/>
      </c>
      <c r="J284" s="61" t="str">
        <f>IFERROR(E284/SUM(O$2:O284),"")</f>
        <v/>
      </c>
      <c r="K284" s="61" t="str">
        <f>IFERROR(F284/SUM(P$2:P284),"")</f>
        <v/>
      </c>
      <c r="L284" s="79" t="str">
        <f>IFERROR(G284/SUM(Q$2:Q284),"")</f>
        <v/>
      </c>
      <c r="M284" s="64" t="str">
        <f t="shared" si="113"/>
        <v/>
      </c>
      <c r="N284" s="55" t="str">
        <f t="shared" si="114"/>
        <v/>
      </c>
      <c r="O284" s="55" t="str">
        <f t="shared" si="115"/>
        <v/>
      </c>
      <c r="P284" s="55" t="str">
        <f t="shared" si="116"/>
        <v/>
      </c>
      <c r="Q284" s="65" t="str">
        <f t="shared" si="117"/>
        <v/>
      </c>
      <c r="R284" s="67" t="str">
        <f t="shared" si="119"/>
        <v/>
      </c>
      <c r="S284" s="56" t="str">
        <f t="shared" si="120"/>
        <v/>
      </c>
      <c r="T284" s="56" t="str">
        <f t="shared" si="121"/>
        <v/>
      </c>
      <c r="U284" s="56" t="str">
        <f t="shared" si="122"/>
        <v/>
      </c>
      <c r="V284" s="68" t="str">
        <f t="shared" si="123"/>
        <v/>
      </c>
      <c r="W284" s="80" t="str">
        <f t="shared" si="124"/>
        <v/>
      </c>
      <c r="X284" s="81" t="str">
        <f t="shared" si="125"/>
        <v/>
      </c>
      <c r="Y284" s="81" t="str">
        <f t="shared" si="126"/>
        <v/>
      </c>
      <c r="Z284" s="81" t="str">
        <f t="shared" si="127"/>
        <v/>
      </c>
      <c r="AA284" s="82" t="str">
        <f t="shared" si="128"/>
        <v/>
      </c>
      <c r="AB284" s="83" t="str">
        <f>IF(R284&lt;&gt;"",(W284-SUMPRODUCT(R$3:R284,$B$3:$B284)/SUM($B$3:$B284))/STDEVA(W274:W284),"")</f>
        <v/>
      </c>
      <c r="AC284" s="84" t="str">
        <f>IF(S284&lt;&gt;"",(X284-SUMPRODUCT(S$3:S284,$B$3:$B284)/SUM($B$3:$B284))/STDEVA(X274:X284),"")</f>
        <v/>
      </c>
      <c r="AD284" s="84" t="str">
        <f>IF(T284&lt;&gt;"",(Y284-SUMPRODUCT(T$3:T284,$B$3:$B284)/SUM($B$3:$B284))/STDEVA(Y274:Y284),"")</f>
        <v/>
      </c>
      <c r="AE284" s="84" t="str">
        <f>IF(U284&lt;&gt;"",(Z284-SUMPRODUCT(U$3:U284,$B$3:$B284)/SUM($B$3:$B284))/STDEVA(Z274:Z284),"")</f>
        <v/>
      </c>
      <c r="AF284" s="85" t="str">
        <f>IF(V284&lt;&gt;"",(AA284-SUMPRODUCT(V$3:V284,$B$3:$B284)/SUM($B$3:$B284))/STDEVA(AA274:AA284),"")</f>
        <v/>
      </c>
      <c r="AG284" s="90" t="str">
        <f t="shared" si="130"/>
        <v/>
      </c>
      <c r="AH284" s="90" t="str">
        <f t="shared" si="130"/>
        <v/>
      </c>
      <c r="AI284" s="90" t="str">
        <f t="shared" si="130"/>
        <v/>
      </c>
      <c r="AJ284" s="90" t="str">
        <f t="shared" si="129"/>
        <v/>
      </c>
      <c r="AK284" s="93" t="str">
        <f t="shared" si="129"/>
        <v/>
      </c>
      <c r="BQ284" s="100" t="str">
        <f>IF(A284&lt;&gt;"",(VLOOKUP(A284,MarketData!$D:$BP,MATCH($BQ$1,MarketData!$D$1:$EG$1,0),TRUE)/100/365+1)^(B284)*BQ283,"")</f>
        <v/>
      </c>
      <c r="BR284" s="98" t="str">
        <f t="shared" si="107"/>
        <v/>
      </c>
      <c r="BS284" s="106" t="str">
        <f>IF(A284&lt;&gt;"",VLOOKUP(A284,MarketData!$D:$BP,MATCH($BS$1,MarketData!$D$1:$EG$1,0),TRUE),"")</f>
        <v/>
      </c>
      <c r="BT284" s="98" t="str">
        <f t="shared" si="118"/>
        <v/>
      </c>
    </row>
    <row r="285" spans="2:72" x14ac:dyDescent="0.25">
      <c r="B285" s="60" t="str">
        <f t="shared" si="131"/>
        <v/>
      </c>
      <c r="C285" s="3" t="str">
        <f t="shared" si="108"/>
        <v/>
      </c>
      <c r="D285" s="3" t="str">
        <f t="shared" si="109"/>
        <v/>
      </c>
      <c r="E285" s="3" t="str">
        <f t="shared" si="110"/>
        <v/>
      </c>
      <c r="F285" s="3" t="str">
        <f t="shared" si="111"/>
        <v/>
      </c>
      <c r="G285" s="74" t="str">
        <f t="shared" si="112"/>
        <v/>
      </c>
      <c r="H285" s="78" t="str">
        <f>IFERROR(C285/SUM(M$2:M284),"")</f>
        <v/>
      </c>
      <c r="I285" s="61" t="str">
        <f>IFERROR(D285/SUM(N$2:N285),"")</f>
        <v/>
      </c>
      <c r="J285" s="61" t="str">
        <f>IFERROR(E285/SUM(O$2:O285),"")</f>
        <v/>
      </c>
      <c r="K285" s="61" t="str">
        <f>IFERROR(F285/SUM(P$2:P285),"")</f>
        <v/>
      </c>
      <c r="L285" s="79" t="str">
        <f>IFERROR(G285/SUM(Q$2:Q285),"")</f>
        <v/>
      </c>
      <c r="M285" s="64" t="str">
        <f t="shared" si="113"/>
        <v/>
      </c>
      <c r="N285" s="55" t="str">
        <f t="shared" si="114"/>
        <v/>
      </c>
      <c r="O285" s="55" t="str">
        <f t="shared" si="115"/>
        <v/>
      </c>
      <c r="P285" s="55" t="str">
        <f t="shared" si="116"/>
        <v/>
      </c>
      <c r="Q285" s="65" t="str">
        <f t="shared" si="117"/>
        <v/>
      </c>
      <c r="R285" s="67" t="str">
        <f t="shared" si="119"/>
        <v/>
      </c>
      <c r="S285" s="56" t="str">
        <f t="shared" si="120"/>
        <v/>
      </c>
      <c r="T285" s="56" t="str">
        <f t="shared" si="121"/>
        <v/>
      </c>
      <c r="U285" s="56" t="str">
        <f t="shared" si="122"/>
        <v/>
      </c>
      <c r="V285" s="68" t="str">
        <f t="shared" si="123"/>
        <v/>
      </c>
      <c r="W285" s="80" t="str">
        <f t="shared" si="124"/>
        <v/>
      </c>
      <c r="X285" s="81" t="str">
        <f t="shared" si="125"/>
        <v/>
      </c>
      <c r="Y285" s="81" t="str">
        <f t="shared" si="126"/>
        <v/>
      </c>
      <c r="Z285" s="81" t="str">
        <f t="shared" si="127"/>
        <v/>
      </c>
      <c r="AA285" s="82" t="str">
        <f t="shared" si="128"/>
        <v/>
      </c>
      <c r="AB285" s="83" t="str">
        <f>IF(R285&lt;&gt;"",(W285-SUMPRODUCT(R$3:R285,$B$3:$B285)/SUM($B$3:$B285))/STDEVA(W275:W285),"")</f>
        <v/>
      </c>
      <c r="AC285" s="84" t="str">
        <f>IF(S285&lt;&gt;"",(X285-SUMPRODUCT(S$3:S285,$B$3:$B285)/SUM($B$3:$B285))/STDEVA(X275:X285),"")</f>
        <v/>
      </c>
      <c r="AD285" s="84" t="str">
        <f>IF(T285&lt;&gt;"",(Y285-SUMPRODUCT(T$3:T285,$B$3:$B285)/SUM($B$3:$B285))/STDEVA(Y275:Y285),"")</f>
        <v/>
      </c>
      <c r="AE285" s="84" t="str">
        <f>IF(U285&lt;&gt;"",(Z285-SUMPRODUCT(U$3:U285,$B$3:$B285)/SUM($B$3:$B285))/STDEVA(Z275:Z285),"")</f>
        <v/>
      </c>
      <c r="AF285" s="85" t="str">
        <f>IF(V285&lt;&gt;"",(AA285-SUMPRODUCT(V$3:V285,$B$3:$B285)/SUM($B$3:$B285))/STDEVA(AA275:AA285),"")</f>
        <v/>
      </c>
      <c r="AG285" s="90" t="str">
        <f t="shared" si="130"/>
        <v/>
      </c>
      <c r="AH285" s="90" t="str">
        <f t="shared" si="130"/>
        <v/>
      </c>
      <c r="AI285" s="90" t="str">
        <f t="shared" si="130"/>
        <v/>
      </c>
      <c r="AJ285" s="90" t="str">
        <f t="shared" si="129"/>
        <v/>
      </c>
      <c r="AK285" s="93" t="str">
        <f t="shared" si="129"/>
        <v/>
      </c>
      <c r="BQ285" s="100" t="str">
        <f>IF(A285&lt;&gt;"",(VLOOKUP(A285,MarketData!$D:$BP,MATCH($BQ$1,MarketData!$D$1:$EG$1,0),TRUE)/100/365+1)^(B285)*BQ284,"")</f>
        <v/>
      </c>
      <c r="BR285" s="98" t="str">
        <f t="shared" si="107"/>
        <v/>
      </c>
      <c r="BS285" s="106" t="str">
        <f>IF(A285&lt;&gt;"",VLOOKUP(A285,MarketData!$D:$BP,MATCH($BS$1,MarketData!$D$1:$EG$1,0),TRUE),"")</f>
        <v/>
      </c>
      <c r="BT285" s="98" t="str">
        <f t="shared" si="118"/>
        <v/>
      </c>
    </row>
    <row r="286" spans="2:72" x14ac:dyDescent="0.25">
      <c r="B286" s="60" t="str">
        <f t="shared" si="131"/>
        <v/>
      </c>
      <c r="C286" s="3" t="str">
        <f t="shared" si="108"/>
        <v/>
      </c>
      <c r="D286" s="3" t="str">
        <f t="shared" si="109"/>
        <v/>
      </c>
      <c r="E286" s="3" t="str">
        <f t="shared" si="110"/>
        <v/>
      </c>
      <c r="F286" s="3" t="str">
        <f t="shared" si="111"/>
        <v/>
      </c>
      <c r="G286" s="74" t="str">
        <f t="shared" si="112"/>
        <v/>
      </c>
      <c r="H286" s="78" t="str">
        <f>IFERROR(C286/SUM(M$2:M285),"")</f>
        <v/>
      </c>
      <c r="I286" s="61" t="str">
        <f>IFERROR(D286/SUM(N$2:N286),"")</f>
        <v/>
      </c>
      <c r="J286" s="61" t="str">
        <f>IFERROR(E286/SUM(O$2:O286),"")</f>
        <v/>
      </c>
      <c r="K286" s="61" t="str">
        <f>IFERROR(F286/SUM(P$2:P286),"")</f>
        <v/>
      </c>
      <c r="L286" s="79" t="str">
        <f>IFERROR(G286/SUM(Q$2:Q286),"")</f>
        <v/>
      </c>
      <c r="M286" s="64" t="str">
        <f t="shared" si="113"/>
        <v/>
      </c>
      <c r="N286" s="55" t="str">
        <f t="shared" si="114"/>
        <v/>
      </c>
      <c r="O286" s="55" t="str">
        <f t="shared" si="115"/>
        <v/>
      </c>
      <c r="P286" s="55" t="str">
        <f t="shared" si="116"/>
        <v/>
      </c>
      <c r="Q286" s="65" t="str">
        <f t="shared" si="117"/>
        <v/>
      </c>
      <c r="R286" s="67" t="str">
        <f t="shared" si="119"/>
        <v/>
      </c>
      <c r="S286" s="56" t="str">
        <f t="shared" si="120"/>
        <v/>
      </c>
      <c r="T286" s="56" t="str">
        <f t="shared" si="121"/>
        <v/>
      </c>
      <c r="U286" s="56" t="str">
        <f t="shared" si="122"/>
        <v/>
      </c>
      <c r="V286" s="68" t="str">
        <f t="shared" si="123"/>
        <v/>
      </c>
      <c r="W286" s="80" t="str">
        <f t="shared" si="124"/>
        <v/>
      </c>
      <c r="X286" s="81" t="str">
        <f t="shared" si="125"/>
        <v/>
      </c>
      <c r="Y286" s="81" t="str">
        <f t="shared" si="126"/>
        <v/>
      </c>
      <c r="Z286" s="81" t="str">
        <f t="shared" si="127"/>
        <v/>
      </c>
      <c r="AA286" s="82" t="str">
        <f t="shared" si="128"/>
        <v/>
      </c>
      <c r="AB286" s="83" t="str">
        <f>IF(R286&lt;&gt;"",(W286-SUMPRODUCT(R$3:R286,$B$3:$B286)/SUM($B$3:$B286))/STDEVA(W276:W286),"")</f>
        <v/>
      </c>
      <c r="AC286" s="84" t="str">
        <f>IF(S286&lt;&gt;"",(X286-SUMPRODUCT(S$3:S286,$B$3:$B286)/SUM($B$3:$B286))/STDEVA(X276:X286),"")</f>
        <v/>
      </c>
      <c r="AD286" s="84" t="str">
        <f>IF(T286&lt;&gt;"",(Y286-SUMPRODUCT(T$3:T286,$B$3:$B286)/SUM($B$3:$B286))/STDEVA(Y276:Y286),"")</f>
        <v/>
      </c>
      <c r="AE286" s="84" t="str">
        <f>IF(U286&lt;&gt;"",(Z286-SUMPRODUCT(U$3:U286,$B$3:$B286)/SUM($B$3:$B286))/STDEVA(Z276:Z286),"")</f>
        <v/>
      </c>
      <c r="AF286" s="85" t="str">
        <f>IF(V286&lt;&gt;"",(AA286-SUMPRODUCT(V$3:V286,$B$3:$B286)/SUM($B$3:$B286))/STDEVA(AA276:AA286),"")</f>
        <v/>
      </c>
      <c r="AG286" s="90" t="str">
        <f t="shared" si="130"/>
        <v/>
      </c>
      <c r="AH286" s="90" t="str">
        <f t="shared" si="130"/>
        <v/>
      </c>
      <c r="AI286" s="90" t="str">
        <f t="shared" si="130"/>
        <v/>
      </c>
      <c r="AJ286" s="90" t="str">
        <f t="shared" si="129"/>
        <v/>
      </c>
      <c r="AK286" s="93" t="str">
        <f t="shared" si="129"/>
        <v/>
      </c>
      <c r="BQ286" s="100" t="str">
        <f>IF(A286&lt;&gt;"",(VLOOKUP(A286,MarketData!$D:$BP,MATCH($BQ$1,MarketData!$D$1:$EG$1,0),TRUE)/100/365+1)^(B286)*BQ285,"")</f>
        <v/>
      </c>
      <c r="BR286" s="98" t="str">
        <f t="shared" si="107"/>
        <v/>
      </c>
      <c r="BS286" s="106" t="str">
        <f>IF(A286&lt;&gt;"",VLOOKUP(A286,MarketData!$D:$BP,MATCH($BS$1,MarketData!$D$1:$EG$1,0),TRUE),"")</f>
        <v/>
      </c>
      <c r="BT286" s="98" t="str">
        <f t="shared" si="118"/>
        <v/>
      </c>
    </row>
    <row r="287" spans="2:72" x14ac:dyDescent="0.25">
      <c r="B287" s="60" t="str">
        <f t="shared" si="131"/>
        <v/>
      </c>
      <c r="C287" s="3" t="str">
        <f t="shared" si="108"/>
        <v/>
      </c>
      <c r="D287" s="3" t="str">
        <f t="shared" si="109"/>
        <v/>
      </c>
      <c r="E287" s="3" t="str">
        <f t="shared" si="110"/>
        <v/>
      </c>
      <c r="F287" s="3" t="str">
        <f t="shared" si="111"/>
        <v/>
      </c>
      <c r="G287" s="74" t="str">
        <f t="shared" si="112"/>
        <v/>
      </c>
      <c r="H287" s="78" t="str">
        <f>IFERROR(C287/SUM(M$2:M286),"")</f>
        <v/>
      </c>
      <c r="I287" s="61" t="str">
        <f>IFERROR(D287/SUM(N$2:N287),"")</f>
        <v/>
      </c>
      <c r="J287" s="61" t="str">
        <f>IFERROR(E287/SUM(O$2:O287),"")</f>
        <v/>
      </c>
      <c r="K287" s="61" t="str">
        <f>IFERROR(F287/SUM(P$2:P287),"")</f>
        <v/>
      </c>
      <c r="L287" s="79" t="str">
        <f>IFERROR(G287/SUM(Q$2:Q287),"")</f>
        <v/>
      </c>
      <c r="M287" s="64" t="str">
        <f t="shared" si="113"/>
        <v/>
      </c>
      <c r="N287" s="55" t="str">
        <f t="shared" si="114"/>
        <v/>
      </c>
      <c r="O287" s="55" t="str">
        <f t="shared" si="115"/>
        <v/>
      </c>
      <c r="P287" s="55" t="str">
        <f t="shared" si="116"/>
        <v/>
      </c>
      <c r="Q287" s="65" t="str">
        <f t="shared" si="117"/>
        <v/>
      </c>
      <c r="R287" s="67" t="str">
        <f t="shared" si="119"/>
        <v/>
      </c>
      <c r="S287" s="56" t="str">
        <f t="shared" si="120"/>
        <v/>
      </c>
      <c r="T287" s="56" t="str">
        <f t="shared" si="121"/>
        <v/>
      </c>
      <c r="U287" s="56" t="str">
        <f t="shared" si="122"/>
        <v/>
      </c>
      <c r="V287" s="68" t="str">
        <f t="shared" si="123"/>
        <v/>
      </c>
      <c r="W287" s="80" t="str">
        <f t="shared" si="124"/>
        <v/>
      </c>
      <c r="X287" s="81" t="str">
        <f t="shared" si="125"/>
        <v/>
      </c>
      <c r="Y287" s="81" t="str">
        <f t="shared" si="126"/>
        <v/>
      </c>
      <c r="Z287" s="81" t="str">
        <f t="shared" si="127"/>
        <v/>
      </c>
      <c r="AA287" s="82" t="str">
        <f t="shared" si="128"/>
        <v/>
      </c>
      <c r="AB287" s="83" t="str">
        <f>IF(R287&lt;&gt;"",(W287-SUMPRODUCT(R$3:R287,$B$3:$B287)/SUM($B$3:$B287))/STDEVA(W277:W287),"")</f>
        <v/>
      </c>
      <c r="AC287" s="84" t="str">
        <f>IF(S287&lt;&gt;"",(X287-SUMPRODUCT(S$3:S287,$B$3:$B287)/SUM($B$3:$B287))/STDEVA(X277:X287),"")</f>
        <v/>
      </c>
      <c r="AD287" s="84" t="str">
        <f>IF(T287&lt;&gt;"",(Y287-SUMPRODUCT(T$3:T287,$B$3:$B287)/SUM($B$3:$B287))/STDEVA(Y277:Y287),"")</f>
        <v/>
      </c>
      <c r="AE287" s="84" t="str">
        <f>IF(U287&lt;&gt;"",(Z287-SUMPRODUCT(U$3:U287,$B$3:$B287)/SUM($B$3:$B287))/STDEVA(Z277:Z287),"")</f>
        <v/>
      </c>
      <c r="AF287" s="85" t="str">
        <f>IF(V287&lt;&gt;"",(AA287-SUMPRODUCT(V$3:V287,$B$3:$B287)/SUM($B$3:$B287))/STDEVA(AA277:AA287),"")</f>
        <v/>
      </c>
      <c r="AG287" s="90" t="str">
        <f t="shared" si="130"/>
        <v/>
      </c>
      <c r="AH287" s="90" t="str">
        <f t="shared" si="130"/>
        <v/>
      </c>
      <c r="AI287" s="90" t="str">
        <f t="shared" si="130"/>
        <v/>
      </c>
      <c r="AJ287" s="90" t="str">
        <f t="shared" si="129"/>
        <v/>
      </c>
      <c r="AK287" s="93" t="str">
        <f t="shared" si="129"/>
        <v/>
      </c>
      <c r="BQ287" s="100" t="str">
        <f>IF(A287&lt;&gt;"",(VLOOKUP(A287,MarketData!$D:$BP,MATCH($BQ$1,MarketData!$D$1:$EG$1,0),TRUE)/100/365+1)^(B287)*BQ286,"")</f>
        <v/>
      </c>
      <c r="BR287" s="98" t="str">
        <f t="shared" si="107"/>
        <v/>
      </c>
      <c r="BS287" s="106" t="str">
        <f>IF(A287&lt;&gt;"",VLOOKUP(A287,MarketData!$D:$BP,MATCH($BS$1,MarketData!$D$1:$EG$1,0),TRUE),"")</f>
        <v/>
      </c>
      <c r="BT287" s="98" t="str">
        <f t="shared" si="118"/>
        <v/>
      </c>
    </row>
    <row r="288" spans="2:72" x14ac:dyDescent="0.25">
      <c r="B288" s="60" t="str">
        <f t="shared" si="131"/>
        <v/>
      </c>
      <c r="C288" s="3" t="str">
        <f t="shared" si="108"/>
        <v/>
      </c>
      <c r="D288" s="3" t="str">
        <f t="shared" si="109"/>
        <v/>
      </c>
      <c r="E288" s="3" t="str">
        <f t="shared" si="110"/>
        <v/>
      </c>
      <c r="F288" s="3" t="str">
        <f t="shared" si="111"/>
        <v/>
      </c>
      <c r="G288" s="74" t="str">
        <f t="shared" si="112"/>
        <v/>
      </c>
      <c r="H288" s="78" t="str">
        <f>IFERROR(C288/SUM(M$2:M287),"")</f>
        <v/>
      </c>
      <c r="I288" s="61" t="str">
        <f>IFERROR(D288/SUM(N$2:N288),"")</f>
        <v/>
      </c>
      <c r="J288" s="61" t="str">
        <f>IFERROR(E288/SUM(O$2:O288),"")</f>
        <v/>
      </c>
      <c r="K288" s="61" t="str">
        <f>IFERROR(F288/SUM(P$2:P288),"")</f>
        <v/>
      </c>
      <c r="L288" s="79" t="str">
        <f>IFERROR(G288/SUM(Q$2:Q288),"")</f>
        <v/>
      </c>
      <c r="M288" s="64" t="str">
        <f t="shared" si="113"/>
        <v/>
      </c>
      <c r="N288" s="55" t="str">
        <f t="shared" si="114"/>
        <v/>
      </c>
      <c r="O288" s="55" t="str">
        <f t="shared" si="115"/>
        <v/>
      </c>
      <c r="P288" s="55" t="str">
        <f t="shared" si="116"/>
        <v/>
      </c>
      <c r="Q288" s="65" t="str">
        <f t="shared" si="117"/>
        <v/>
      </c>
      <c r="R288" s="67" t="str">
        <f t="shared" si="119"/>
        <v/>
      </c>
      <c r="S288" s="56" t="str">
        <f t="shared" si="120"/>
        <v/>
      </c>
      <c r="T288" s="56" t="str">
        <f t="shared" si="121"/>
        <v/>
      </c>
      <c r="U288" s="56" t="str">
        <f t="shared" si="122"/>
        <v/>
      </c>
      <c r="V288" s="68" t="str">
        <f t="shared" si="123"/>
        <v/>
      </c>
      <c r="W288" s="80" t="str">
        <f t="shared" si="124"/>
        <v/>
      </c>
      <c r="X288" s="81" t="str">
        <f t="shared" si="125"/>
        <v/>
      </c>
      <c r="Y288" s="81" t="str">
        <f t="shared" si="126"/>
        <v/>
      </c>
      <c r="Z288" s="81" t="str">
        <f t="shared" si="127"/>
        <v/>
      </c>
      <c r="AA288" s="82" t="str">
        <f t="shared" si="128"/>
        <v/>
      </c>
      <c r="AB288" s="83" t="str">
        <f>IF(R288&lt;&gt;"",(W288-SUMPRODUCT(R$3:R288,$B$3:$B288)/SUM($B$3:$B288))/STDEVA(W278:W288),"")</f>
        <v/>
      </c>
      <c r="AC288" s="84" t="str">
        <f>IF(S288&lt;&gt;"",(X288-SUMPRODUCT(S$3:S288,$B$3:$B288)/SUM($B$3:$B288))/STDEVA(X278:X288),"")</f>
        <v/>
      </c>
      <c r="AD288" s="84" t="str">
        <f>IF(T288&lt;&gt;"",(Y288-SUMPRODUCT(T$3:T288,$B$3:$B288)/SUM($B$3:$B288))/STDEVA(Y278:Y288),"")</f>
        <v/>
      </c>
      <c r="AE288" s="84" t="str">
        <f>IF(U288&lt;&gt;"",(Z288-SUMPRODUCT(U$3:U288,$B$3:$B288)/SUM($B$3:$B288))/STDEVA(Z278:Z288),"")</f>
        <v/>
      </c>
      <c r="AF288" s="85" t="str">
        <f>IF(V288&lt;&gt;"",(AA288-SUMPRODUCT(V$3:V288,$B$3:$B288)/SUM($B$3:$B288))/STDEVA(AA278:AA288),"")</f>
        <v/>
      </c>
      <c r="AG288" s="90" t="str">
        <f t="shared" si="130"/>
        <v/>
      </c>
      <c r="AH288" s="90" t="str">
        <f t="shared" si="130"/>
        <v/>
      </c>
      <c r="AI288" s="90" t="str">
        <f t="shared" si="130"/>
        <v/>
      </c>
      <c r="AJ288" s="90" t="str">
        <f t="shared" si="129"/>
        <v/>
      </c>
      <c r="AK288" s="93" t="str">
        <f t="shared" si="129"/>
        <v/>
      </c>
      <c r="BQ288" s="100" t="str">
        <f>IF(A288&lt;&gt;"",(VLOOKUP(A288,MarketData!$D:$BP,MATCH($BQ$1,MarketData!$D$1:$EG$1,0),TRUE)/100/365+1)^(B288)*BQ287,"")</f>
        <v/>
      </c>
      <c r="BR288" s="98" t="str">
        <f t="shared" si="107"/>
        <v/>
      </c>
      <c r="BS288" s="106" t="str">
        <f>IF(A288&lt;&gt;"",VLOOKUP(A288,MarketData!$D:$BP,MATCH($BS$1,MarketData!$D$1:$EG$1,0),TRUE),"")</f>
        <v/>
      </c>
      <c r="BT288" s="98" t="str">
        <f t="shared" si="118"/>
        <v/>
      </c>
    </row>
    <row r="289" spans="2:72" x14ac:dyDescent="0.25">
      <c r="B289" s="60" t="str">
        <f t="shared" si="131"/>
        <v/>
      </c>
      <c r="C289" s="3" t="str">
        <f t="shared" si="108"/>
        <v/>
      </c>
      <c r="D289" s="3" t="str">
        <f t="shared" si="109"/>
        <v/>
      </c>
      <c r="E289" s="3" t="str">
        <f t="shared" si="110"/>
        <v/>
      </c>
      <c r="F289" s="3" t="str">
        <f t="shared" si="111"/>
        <v/>
      </c>
      <c r="G289" s="74" t="str">
        <f t="shared" si="112"/>
        <v/>
      </c>
      <c r="H289" s="78" t="str">
        <f>IFERROR(C289/SUM(M$2:M288),"")</f>
        <v/>
      </c>
      <c r="I289" s="61" t="str">
        <f>IFERROR(D289/SUM(N$2:N289),"")</f>
        <v/>
      </c>
      <c r="J289" s="61" t="str">
        <f>IFERROR(E289/SUM(O$2:O289),"")</f>
        <v/>
      </c>
      <c r="K289" s="61" t="str">
        <f>IFERROR(F289/SUM(P$2:P289),"")</f>
        <v/>
      </c>
      <c r="L289" s="79" t="str">
        <f>IFERROR(G289/SUM(Q$2:Q289),"")</f>
        <v/>
      </c>
      <c r="M289" s="64" t="str">
        <f t="shared" si="113"/>
        <v/>
      </c>
      <c r="N289" s="55" t="str">
        <f t="shared" si="114"/>
        <v/>
      </c>
      <c r="O289" s="55" t="str">
        <f t="shared" si="115"/>
        <v/>
      </c>
      <c r="P289" s="55" t="str">
        <f t="shared" si="116"/>
        <v/>
      </c>
      <c r="Q289" s="65" t="str">
        <f t="shared" si="117"/>
        <v/>
      </c>
      <c r="R289" s="67" t="str">
        <f t="shared" si="119"/>
        <v/>
      </c>
      <c r="S289" s="56" t="str">
        <f t="shared" si="120"/>
        <v/>
      </c>
      <c r="T289" s="56" t="str">
        <f t="shared" si="121"/>
        <v/>
      </c>
      <c r="U289" s="56" t="str">
        <f t="shared" si="122"/>
        <v/>
      </c>
      <c r="V289" s="68" t="str">
        <f t="shared" si="123"/>
        <v/>
      </c>
      <c r="W289" s="80" t="str">
        <f t="shared" si="124"/>
        <v/>
      </c>
      <c r="X289" s="81" t="str">
        <f t="shared" si="125"/>
        <v/>
      </c>
      <c r="Y289" s="81" t="str">
        <f t="shared" si="126"/>
        <v/>
      </c>
      <c r="Z289" s="81" t="str">
        <f t="shared" si="127"/>
        <v/>
      </c>
      <c r="AA289" s="82" t="str">
        <f t="shared" si="128"/>
        <v/>
      </c>
      <c r="AB289" s="83" t="str">
        <f>IF(R289&lt;&gt;"",(W289-SUMPRODUCT(R$3:R289,$B$3:$B289)/SUM($B$3:$B289))/STDEVA(W279:W289),"")</f>
        <v/>
      </c>
      <c r="AC289" s="84" t="str">
        <f>IF(S289&lt;&gt;"",(X289-SUMPRODUCT(S$3:S289,$B$3:$B289)/SUM($B$3:$B289))/STDEVA(X279:X289),"")</f>
        <v/>
      </c>
      <c r="AD289" s="84" t="str">
        <f>IF(T289&lt;&gt;"",(Y289-SUMPRODUCT(T$3:T289,$B$3:$B289)/SUM($B$3:$B289))/STDEVA(Y279:Y289),"")</f>
        <v/>
      </c>
      <c r="AE289" s="84" t="str">
        <f>IF(U289&lt;&gt;"",(Z289-SUMPRODUCT(U$3:U289,$B$3:$B289)/SUM($B$3:$B289))/STDEVA(Z279:Z289),"")</f>
        <v/>
      </c>
      <c r="AF289" s="85" t="str">
        <f>IF(V289&lt;&gt;"",(AA289-SUMPRODUCT(V$3:V289,$B$3:$B289)/SUM($B$3:$B289))/STDEVA(AA279:AA289),"")</f>
        <v/>
      </c>
      <c r="AG289" s="90" t="str">
        <f t="shared" si="130"/>
        <v/>
      </c>
      <c r="AH289" s="90" t="str">
        <f t="shared" si="130"/>
        <v/>
      </c>
      <c r="AI289" s="90" t="str">
        <f t="shared" si="130"/>
        <v/>
      </c>
      <c r="AJ289" s="90" t="str">
        <f t="shared" si="129"/>
        <v/>
      </c>
      <c r="AK289" s="93" t="str">
        <f t="shared" si="129"/>
        <v/>
      </c>
      <c r="BQ289" s="100" t="str">
        <f>IF(A289&lt;&gt;"",(VLOOKUP(A289,MarketData!$D:$BP,MATCH($BQ$1,MarketData!$D$1:$EG$1,0),TRUE)/100/365+1)^(B289)*BQ288,"")</f>
        <v/>
      </c>
      <c r="BR289" s="98" t="str">
        <f t="shared" si="107"/>
        <v/>
      </c>
      <c r="BS289" s="106" t="str">
        <f>IF(A289&lt;&gt;"",VLOOKUP(A289,MarketData!$D:$BP,MATCH($BS$1,MarketData!$D$1:$EG$1,0),TRUE),"")</f>
        <v/>
      </c>
      <c r="BT289" s="98" t="str">
        <f t="shared" si="118"/>
        <v/>
      </c>
    </row>
    <row r="290" spans="2:72" x14ac:dyDescent="0.25">
      <c r="B290" s="60" t="str">
        <f t="shared" si="131"/>
        <v/>
      </c>
      <c r="C290" s="3" t="str">
        <f t="shared" si="108"/>
        <v/>
      </c>
      <c r="D290" s="3" t="str">
        <f t="shared" si="109"/>
        <v/>
      </c>
      <c r="E290" s="3" t="str">
        <f t="shared" si="110"/>
        <v/>
      </c>
      <c r="F290" s="3" t="str">
        <f t="shared" si="111"/>
        <v/>
      </c>
      <c r="G290" s="74" t="str">
        <f t="shared" si="112"/>
        <v/>
      </c>
      <c r="H290" s="78" t="str">
        <f>IFERROR(C290/SUM(M$2:M289),"")</f>
        <v/>
      </c>
      <c r="I290" s="61" t="str">
        <f>IFERROR(D290/SUM(N$2:N290),"")</f>
        <v/>
      </c>
      <c r="J290" s="61" t="str">
        <f>IFERROR(E290/SUM(O$2:O290),"")</f>
        <v/>
      </c>
      <c r="K290" s="61" t="str">
        <f>IFERROR(F290/SUM(P$2:P290),"")</f>
        <v/>
      </c>
      <c r="L290" s="79" t="str">
        <f>IFERROR(G290/SUM(Q$2:Q290),"")</f>
        <v/>
      </c>
      <c r="M290" s="64" t="str">
        <f t="shared" si="113"/>
        <v/>
      </c>
      <c r="N290" s="55" t="str">
        <f t="shared" si="114"/>
        <v/>
      </c>
      <c r="O290" s="55" t="str">
        <f t="shared" si="115"/>
        <v/>
      </c>
      <c r="P290" s="55" t="str">
        <f t="shared" si="116"/>
        <v/>
      </c>
      <c r="Q290" s="65" t="str">
        <f t="shared" si="117"/>
        <v/>
      </c>
      <c r="R290" s="67" t="str">
        <f t="shared" si="119"/>
        <v/>
      </c>
      <c r="S290" s="56" t="str">
        <f t="shared" si="120"/>
        <v/>
      </c>
      <c r="T290" s="56" t="str">
        <f t="shared" si="121"/>
        <v/>
      </c>
      <c r="U290" s="56" t="str">
        <f t="shared" si="122"/>
        <v/>
      </c>
      <c r="V290" s="68" t="str">
        <f t="shared" si="123"/>
        <v/>
      </c>
      <c r="W290" s="80" t="str">
        <f t="shared" si="124"/>
        <v/>
      </c>
      <c r="X290" s="81" t="str">
        <f t="shared" si="125"/>
        <v/>
      </c>
      <c r="Y290" s="81" t="str">
        <f t="shared" si="126"/>
        <v/>
      </c>
      <c r="Z290" s="81" t="str">
        <f t="shared" si="127"/>
        <v/>
      </c>
      <c r="AA290" s="82" t="str">
        <f t="shared" si="128"/>
        <v/>
      </c>
      <c r="AB290" s="83" t="str">
        <f>IF(R290&lt;&gt;"",(W290-SUMPRODUCT(R$3:R290,$B$3:$B290)/SUM($B$3:$B290))/STDEVA(W280:W290),"")</f>
        <v/>
      </c>
      <c r="AC290" s="84" t="str">
        <f>IF(S290&lt;&gt;"",(X290-SUMPRODUCT(S$3:S290,$B$3:$B290)/SUM($B$3:$B290))/STDEVA(X280:X290),"")</f>
        <v/>
      </c>
      <c r="AD290" s="84" t="str">
        <f>IF(T290&lt;&gt;"",(Y290-SUMPRODUCT(T$3:T290,$B$3:$B290)/SUM($B$3:$B290))/STDEVA(Y280:Y290),"")</f>
        <v/>
      </c>
      <c r="AE290" s="84" t="str">
        <f>IF(U290&lt;&gt;"",(Z290-SUMPRODUCT(U$3:U290,$B$3:$B290)/SUM($B$3:$B290))/STDEVA(Z280:Z290),"")</f>
        <v/>
      </c>
      <c r="AF290" s="85" t="str">
        <f>IF(V290&lt;&gt;"",(AA290-SUMPRODUCT(V$3:V290,$B$3:$B290)/SUM($B$3:$B290))/STDEVA(AA280:AA290),"")</f>
        <v/>
      </c>
      <c r="AG290" s="90" t="str">
        <f t="shared" si="130"/>
        <v/>
      </c>
      <c r="AH290" s="90" t="str">
        <f t="shared" si="130"/>
        <v/>
      </c>
      <c r="AI290" s="90" t="str">
        <f t="shared" si="130"/>
        <v/>
      </c>
      <c r="AJ290" s="90" t="str">
        <f t="shared" si="129"/>
        <v/>
      </c>
      <c r="AK290" s="93" t="str">
        <f t="shared" si="129"/>
        <v/>
      </c>
      <c r="BQ290" s="100" t="str">
        <f>IF(A290&lt;&gt;"",(VLOOKUP(A290,MarketData!$D:$BP,MATCH($BQ$1,MarketData!$D$1:$EG$1,0),TRUE)/100/365+1)^(B290)*BQ289,"")</f>
        <v/>
      </c>
      <c r="BR290" s="98" t="str">
        <f t="shared" si="107"/>
        <v/>
      </c>
      <c r="BS290" s="106" t="str">
        <f>IF(A290&lt;&gt;"",VLOOKUP(A290,MarketData!$D:$BP,MATCH($BS$1,MarketData!$D$1:$EG$1,0),TRUE),"")</f>
        <v/>
      </c>
      <c r="BT290" s="98" t="str">
        <f t="shared" si="118"/>
        <v/>
      </c>
    </row>
    <row r="291" spans="2:72" x14ac:dyDescent="0.25">
      <c r="B291" s="60" t="str">
        <f t="shared" si="131"/>
        <v/>
      </c>
      <c r="C291" s="3" t="str">
        <f t="shared" si="108"/>
        <v/>
      </c>
      <c r="D291" s="3" t="str">
        <f t="shared" si="109"/>
        <v/>
      </c>
      <c r="E291" s="3" t="str">
        <f t="shared" si="110"/>
        <v/>
      </c>
      <c r="F291" s="3" t="str">
        <f t="shared" si="111"/>
        <v/>
      </c>
      <c r="G291" s="74" t="str">
        <f t="shared" si="112"/>
        <v/>
      </c>
      <c r="H291" s="78" t="str">
        <f>IFERROR(C291/SUM(M$2:M290),"")</f>
        <v/>
      </c>
      <c r="I291" s="61" t="str">
        <f>IFERROR(D291/SUM(N$2:N291),"")</f>
        <v/>
      </c>
      <c r="J291" s="61" t="str">
        <f>IFERROR(E291/SUM(O$2:O291),"")</f>
        <v/>
      </c>
      <c r="K291" s="61" t="str">
        <f>IFERROR(F291/SUM(P$2:P291),"")</f>
        <v/>
      </c>
      <c r="L291" s="79" t="str">
        <f>IFERROR(G291/SUM(Q$2:Q291),"")</f>
        <v/>
      </c>
      <c r="M291" s="64" t="str">
        <f t="shared" si="113"/>
        <v/>
      </c>
      <c r="N291" s="55" t="str">
        <f t="shared" si="114"/>
        <v/>
      </c>
      <c r="O291" s="55" t="str">
        <f t="shared" si="115"/>
        <v/>
      </c>
      <c r="P291" s="55" t="str">
        <f t="shared" si="116"/>
        <v/>
      </c>
      <c r="Q291" s="65" t="str">
        <f t="shared" si="117"/>
        <v/>
      </c>
      <c r="R291" s="67" t="str">
        <f t="shared" si="119"/>
        <v/>
      </c>
      <c r="S291" s="56" t="str">
        <f t="shared" si="120"/>
        <v/>
      </c>
      <c r="T291" s="56" t="str">
        <f t="shared" si="121"/>
        <v/>
      </c>
      <c r="U291" s="56" t="str">
        <f t="shared" si="122"/>
        <v/>
      </c>
      <c r="V291" s="68" t="str">
        <f t="shared" si="123"/>
        <v/>
      </c>
      <c r="W291" s="80" t="str">
        <f t="shared" si="124"/>
        <v/>
      </c>
      <c r="X291" s="81" t="str">
        <f t="shared" si="125"/>
        <v/>
      </c>
      <c r="Y291" s="81" t="str">
        <f t="shared" si="126"/>
        <v/>
      </c>
      <c r="Z291" s="81" t="str">
        <f t="shared" si="127"/>
        <v/>
      </c>
      <c r="AA291" s="82" t="str">
        <f t="shared" si="128"/>
        <v/>
      </c>
      <c r="AB291" s="83" t="str">
        <f>IF(R291&lt;&gt;"",(W291-SUMPRODUCT(R$3:R291,$B$3:$B291)/SUM($B$3:$B291))/STDEVA(W281:W291),"")</f>
        <v/>
      </c>
      <c r="AC291" s="84" t="str">
        <f>IF(S291&lt;&gt;"",(X291-SUMPRODUCT(S$3:S291,$B$3:$B291)/SUM($B$3:$B291))/STDEVA(X281:X291),"")</f>
        <v/>
      </c>
      <c r="AD291" s="84" t="str">
        <f>IF(T291&lt;&gt;"",(Y291-SUMPRODUCT(T$3:T291,$B$3:$B291)/SUM($B$3:$B291))/STDEVA(Y281:Y291),"")</f>
        <v/>
      </c>
      <c r="AE291" s="84" t="str">
        <f>IF(U291&lt;&gt;"",(Z291-SUMPRODUCT(U$3:U291,$B$3:$B291)/SUM($B$3:$B291))/STDEVA(Z281:Z291),"")</f>
        <v/>
      </c>
      <c r="AF291" s="85" t="str">
        <f>IF(V291&lt;&gt;"",(AA291-SUMPRODUCT(V$3:V291,$B$3:$B291)/SUM($B$3:$B291))/STDEVA(AA281:AA291),"")</f>
        <v/>
      </c>
      <c r="AG291" s="90" t="str">
        <f t="shared" si="130"/>
        <v/>
      </c>
      <c r="AH291" s="90" t="str">
        <f t="shared" si="130"/>
        <v/>
      </c>
      <c r="AI291" s="90" t="str">
        <f t="shared" si="130"/>
        <v/>
      </c>
      <c r="AJ291" s="90" t="str">
        <f t="shared" si="129"/>
        <v/>
      </c>
      <c r="AK291" s="93" t="str">
        <f t="shared" si="129"/>
        <v/>
      </c>
      <c r="BQ291" s="100" t="str">
        <f>IF(A291&lt;&gt;"",(VLOOKUP(A291,MarketData!$D:$BP,MATCH($BQ$1,MarketData!$D$1:$EG$1,0),TRUE)/100/365+1)^(B291)*BQ290,"")</f>
        <v/>
      </c>
      <c r="BR291" s="98" t="str">
        <f t="shared" si="107"/>
        <v/>
      </c>
      <c r="BS291" s="106" t="str">
        <f>IF(A291&lt;&gt;"",VLOOKUP(A291,MarketData!$D:$BP,MATCH($BS$1,MarketData!$D$1:$EG$1,0),TRUE),"")</f>
        <v/>
      </c>
      <c r="BT291" s="98" t="str">
        <f t="shared" si="118"/>
        <v/>
      </c>
    </row>
    <row r="292" spans="2:72" x14ac:dyDescent="0.25">
      <c r="B292" s="60" t="str">
        <f t="shared" si="131"/>
        <v/>
      </c>
      <c r="C292" s="3" t="str">
        <f t="shared" si="108"/>
        <v/>
      </c>
      <c r="D292" s="3" t="str">
        <f t="shared" si="109"/>
        <v/>
      </c>
      <c r="E292" s="3" t="str">
        <f t="shared" si="110"/>
        <v/>
      </c>
      <c r="F292" s="3" t="str">
        <f t="shared" si="111"/>
        <v/>
      </c>
      <c r="G292" s="74" t="str">
        <f t="shared" si="112"/>
        <v/>
      </c>
      <c r="H292" s="78" t="str">
        <f>IFERROR(C292/SUM(M$2:M291),"")</f>
        <v/>
      </c>
      <c r="I292" s="61" t="str">
        <f>IFERROR(D292/SUM(N$2:N292),"")</f>
        <v/>
      </c>
      <c r="J292" s="61" t="str">
        <f>IFERROR(E292/SUM(O$2:O292),"")</f>
        <v/>
      </c>
      <c r="K292" s="61" t="str">
        <f>IFERROR(F292/SUM(P$2:P292),"")</f>
        <v/>
      </c>
      <c r="L292" s="79" t="str">
        <f>IFERROR(G292/SUM(Q$2:Q292),"")</f>
        <v/>
      </c>
      <c r="M292" s="64" t="str">
        <f t="shared" si="113"/>
        <v/>
      </c>
      <c r="N292" s="55" t="str">
        <f t="shared" si="114"/>
        <v/>
      </c>
      <c r="O292" s="55" t="str">
        <f t="shared" si="115"/>
        <v/>
      </c>
      <c r="P292" s="55" t="str">
        <f t="shared" si="116"/>
        <v/>
      </c>
      <c r="Q292" s="65" t="str">
        <f t="shared" si="117"/>
        <v/>
      </c>
      <c r="R292" s="67" t="str">
        <f t="shared" si="119"/>
        <v/>
      </c>
      <c r="S292" s="56" t="str">
        <f t="shared" si="120"/>
        <v/>
      </c>
      <c r="T292" s="56" t="str">
        <f t="shared" si="121"/>
        <v/>
      </c>
      <c r="U292" s="56" t="str">
        <f t="shared" si="122"/>
        <v/>
      </c>
      <c r="V292" s="68" t="str">
        <f t="shared" si="123"/>
        <v/>
      </c>
      <c r="W292" s="80" t="str">
        <f t="shared" si="124"/>
        <v/>
      </c>
      <c r="X292" s="81" t="str">
        <f t="shared" si="125"/>
        <v/>
      </c>
      <c r="Y292" s="81" t="str">
        <f t="shared" si="126"/>
        <v/>
      </c>
      <c r="Z292" s="81" t="str">
        <f t="shared" si="127"/>
        <v/>
      </c>
      <c r="AA292" s="82" t="str">
        <f t="shared" si="128"/>
        <v/>
      </c>
      <c r="AB292" s="83" t="str">
        <f>IF(R292&lt;&gt;"",(W292-SUMPRODUCT(R$3:R292,$B$3:$B292)/SUM($B$3:$B292))/STDEVA(W282:W292),"")</f>
        <v/>
      </c>
      <c r="AC292" s="84" t="str">
        <f>IF(S292&lt;&gt;"",(X292-SUMPRODUCT(S$3:S292,$B$3:$B292)/SUM($B$3:$B292))/STDEVA(X282:X292),"")</f>
        <v/>
      </c>
      <c r="AD292" s="84" t="str">
        <f>IF(T292&lt;&gt;"",(Y292-SUMPRODUCT(T$3:T292,$B$3:$B292)/SUM($B$3:$B292))/STDEVA(Y282:Y292),"")</f>
        <v/>
      </c>
      <c r="AE292" s="84" t="str">
        <f>IF(U292&lt;&gt;"",(Z292-SUMPRODUCT(U$3:U292,$B$3:$B292)/SUM($B$3:$B292))/STDEVA(Z282:Z292),"")</f>
        <v/>
      </c>
      <c r="AF292" s="85" t="str">
        <f>IF(V292&lt;&gt;"",(AA292-SUMPRODUCT(V$3:V292,$B$3:$B292)/SUM($B$3:$B292))/STDEVA(AA282:AA292),"")</f>
        <v/>
      </c>
      <c r="AG292" s="90" t="str">
        <f t="shared" si="130"/>
        <v/>
      </c>
      <c r="AH292" s="90" t="str">
        <f t="shared" si="130"/>
        <v/>
      </c>
      <c r="AI292" s="90" t="str">
        <f t="shared" si="130"/>
        <v/>
      </c>
      <c r="AJ292" s="90" t="str">
        <f t="shared" si="129"/>
        <v/>
      </c>
      <c r="AK292" s="93" t="str">
        <f t="shared" si="129"/>
        <v/>
      </c>
      <c r="BQ292" s="100" t="str">
        <f>IF(A292&lt;&gt;"",(VLOOKUP(A292,MarketData!$D:$BP,MATCH($BQ$1,MarketData!$D$1:$EG$1,0),TRUE)/100/365+1)^(B292)*BQ291,"")</f>
        <v/>
      </c>
      <c r="BR292" s="98" t="str">
        <f t="shared" si="107"/>
        <v/>
      </c>
      <c r="BS292" s="106" t="str">
        <f>IF(A292&lt;&gt;"",VLOOKUP(A292,MarketData!$D:$BP,MATCH($BS$1,MarketData!$D$1:$EG$1,0),TRUE),"")</f>
        <v/>
      </c>
      <c r="BT292" s="98" t="str">
        <f t="shared" si="118"/>
        <v/>
      </c>
    </row>
    <row r="293" spans="2:72" x14ac:dyDescent="0.25">
      <c r="B293" s="60" t="str">
        <f t="shared" si="131"/>
        <v/>
      </c>
      <c r="C293" s="3" t="str">
        <f t="shared" si="108"/>
        <v/>
      </c>
      <c r="D293" s="3" t="str">
        <f t="shared" si="109"/>
        <v/>
      </c>
      <c r="E293" s="3" t="str">
        <f t="shared" si="110"/>
        <v/>
      </c>
      <c r="F293" s="3" t="str">
        <f t="shared" si="111"/>
        <v/>
      </c>
      <c r="G293" s="74" t="str">
        <f t="shared" si="112"/>
        <v/>
      </c>
      <c r="H293" s="78" t="str">
        <f>IFERROR(C293/SUM(M$2:M292),"")</f>
        <v/>
      </c>
      <c r="I293" s="61" t="str">
        <f>IFERROR(D293/SUM(N$2:N293),"")</f>
        <v/>
      </c>
      <c r="J293" s="61" t="str">
        <f>IFERROR(E293/SUM(O$2:O293),"")</f>
        <v/>
      </c>
      <c r="K293" s="61" t="str">
        <f>IFERROR(F293/SUM(P$2:P293),"")</f>
        <v/>
      </c>
      <c r="L293" s="79" t="str">
        <f>IFERROR(G293/SUM(Q$2:Q293),"")</f>
        <v/>
      </c>
      <c r="M293" s="64" t="str">
        <f t="shared" si="113"/>
        <v/>
      </c>
      <c r="N293" s="55" t="str">
        <f t="shared" si="114"/>
        <v/>
      </c>
      <c r="O293" s="55" t="str">
        <f t="shared" si="115"/>
        <v/>
      </c>
      <c r="P293" s="55" t="str">
        <f t="shared" si="116"/>
        <v/>
      </c>
      <c r="Q293" s="65" t="str">
        <f t="shared" si="117"/>
        <v/>
      </c>
      <c r="R293" s="67" t="str">
        <f t="shared" si="119"/>
        <v/>
      </c>
      <c r="S293" s="56" t="str">
        <f t="shared" si="120"/>
        <v/>
      </c>
      <c r="T293" s="56" t="str">
        <f t="shared" si="121"/>
        <v/>
      </c>
      <c r="U293" s="56" t="str">
        <f t="shared" si="122"/>
        <v/>
      </c>
      <c r="V293" s="68" t="str">
        <f t="shared" si="123"/>
        <v/>
      </c>
      <c r="W293" s="80" t="str">
        <f t="shared" si="124"/>
        <v/>
      </c>
      <c r="X293" s="81" t="str">
        <f t="shared" si="125"/>
        <v/>
      </c>
      <c r="Y293" s="81" t="str">
        <f t="shared" si="126"/>
        <v/>
      </c>
      <c r="Z293" s="81" t="str">
        <f t="shared" si="127"/>
        <v/>
      </c>
      <c r="AA293" s="82" t="str">
        <f t="shared" si="128"/>
        <v/>
      </c>
      <c r="AB293" s="83" t="str">
        <f>IF(R293&lt;&gt;"",(W293-SUMPRODUCT(R$3:R293,$B$3:$B293)/SUM($B$3:$B293))/STDEVA(W283:W293),"")</f>
        <v/>
      </c>
      <c r="AC293" s="84" t="str">
        <f>IF(S293&lt;&gt;"",(X293-SUMPRODUCT(S$3:S293,$B$3:$B293)/SUM($B$3:$B293))/STDEVA(X283:X293),"")</f>
        <v/>
      </c>
      <c r="AD293" s="84" t="str">
        <f>IF(T293&lt;&gt;"",(Y293-SUMPRODUCT(T$3:T293,$B$3:$B293)/SUM($B$3:$B293))/STDEVA(Y283:Y293),"")</f>
        <v/>
      </c>
      <c r="AE293" s="84" t="str">
        <f>IF(U293&lt;&gt;"",(Z293-SUMPRODUCT(U$3:U293,$B$3:$B293)/SUM($B$3:$B293))/STDEVA(Z283:Z293),"")</f>
        <v/>
      </c>
      <c r="AF293" s="85" t="str">
        <f>IF(V293&lt;&gt;"",(AA293-SUMPRODUCT(V$3:V293,$B$3:$B293)/SUM($B$3:$B293))/STDEVA(AA283:AA293),"")</f>
        <v/>
      </c>
      <c r="AG293" s="90" t="str">
        <f t="shared" si="130"/>
        <v/>
      </c>
      <c r="AH293" s="90" t="str">
        <f t="shared" si="130"/>
        <v/>
      </c>
      <c r="AI293" s="90" t="str">
        <f t="shared" si="130"/>
        <v/>
      </c>
      <c r="AJ293" s="90" t="str">
        <f t="shared" si="129"/>
        <v/>
      </c>
      <c r="AK293" s="93" t="str">
        <f t="shared" si="129"/>
        <v/>
      </c>
      <c r="BQ293" s="100" t="str">
        <f>IF(A293&lt;&gt;"",(VLOOKUP(A293,MarketData!$D:$BP,MATCH($BQ$1,MarketData!$D$1:$EG$1,0),TRUE)/100/365+1)^(B293)*BQ292,"")</f>
        <v/>
      </c>
      <c r="BR293" s="98" t="str">
        <f t="shared" si="107"/>
        <v/>
      </c>
      <c r="BS293" s="106" t="str">
        <f>IF(A293&lt;&gt;"",VLOOKUP(A293,MarketData!$D:$BP,MATCH($BS$1,MarketData!$D$1:$EG$1,0),TRUE),"")</f>
        <v/>
      </c>
      <c r="BT293" s="98" t="str">
        <f t="shared" si="118"/>
        <v/>
      </c>
    </row>
    <row r="294" spans="2:72" x14ac:dyDescent="0.25">
      <c r="B294" s="60" t="str">
        <f t="shared" si="131"/>
        <v/>
      </c>
      <c r="C294" s="3" t="str">
        <f t="shared" si="108"/>
        <v/>
      </c>
      <c r="D294" s="3" t="str">
        <f t="shared" si="109"/>
        <v/>
      </c>
      <c r="E294" s="3" t="str">
        <f t="shared" si="110"/>
        <v/>
      </c>
      <c r="F294" s="3" t="str">
        <f t="shared" si="111"/>
        <v/>
      </c>
      <c r="G294" s="74" t="str">
        <f t="shared" si="112"/>
        <v/>
      </c>
      <c r="H294" s="78" t="str">
        <f>IFERROR(C294/SUM(M$2:M293),"")</f>
        <v/>
      </c>
      <c r="I294" s="61" t="str">
        <f>IFERROR(D294/SUM(N$2:N294),"")</f>
        <v/>
      </c>
      <c r="J294" s="61" t="str">
        <f>IFERROR(E294/SUM(O$2:O294),"")</f>
        <v/>
      </c>
      <c r="K294" s="61" t="str">
        <f>IFERROR(F294/SUM(P$2:P294),"")</f>
        <v/>
      </c>
      <c r="L294" s="79" t="str">
        <f>IFERROR(G294/SUM(Q$2:Q294),"")</f>
        <v/>
      </c>
      <c r="M294" s="64" t="str">
        <f t="shared" si="113"/>
        <v/>
      </c>
      <c r="N294" s="55" t="str">
        <f t="shared" si="114"/>
        <v/>
      </c>
      <c r="O294" s="55" t="str">
        <f t="shared" si="115"/>
        <v/>
      </c>
      <c r="P294" s="55" t="str">
        <f t="shared" si="116"/>
        <v/>
      </c>
      <c r="Q294" s="65" t="str">
        <f t="shared" si="117"/>
        <v/>
      </c>
      <c r="R294" s="67" t="str">
        <f t="shared" si="119"/>
        <v/>
      </c>
      <c r="S294" s="56" t="str">
        <f t="shared" si="120"/>
        <v/>
      </c>
      <c r="T294" s="56" t="str">
        <f t="shared" si="121"/>
        <v/>
      </c>
      <c r="U294" s="56" t="str">
        <f t="shared" si="122"/>
        <v/>
      </c>
      <c r="V294" s="68" t="str">
        <f t="shared" si="123"/>
        <v/>
      </c>
      <c r="W294" s="80" t="str">
        <f t="shared" si="124"/>
        <v/>
      </c>
      <c r="X294" s="81" t="str">
        <f t="shared" si="125"/>
        <v/>
      </c>
      <c r="Y294" s="81" t="str">
        <f t="shared" si="126"/>
        <v/>
      </c>
      <c r="Z294" s="81" t="str">
        <f t="shared" si="127"/>
        <v/>
      </c>
      <c r="AA294" s="82" t="str">
        <f t="shared" si="128"/>
        <v/>
      </c>
      <c r="AB294" s="83" t="str">
        <f>IF(R294&lt;&gt;"",(W294-SUMPRODUCT(R$3:R294,$B$3:$B294)/SUM($B$3:$B294))/STDEVA(W284:W294),"")</f>
        <v/>
      </c>
      <c r="AC294" s="84" t="str">
        <f>IF(S294&lt;&gt;"",(X294-SUMPRODUCT(S$3:S294,$B$3:$B294)/SUM($B$3:$B294))/STDEVA(X284:X294),"")</f>
        <v/>
      </c>
      <c r="AD294" s="84" t="str">
        <f>IF(T294&lt;&gt;"",(Y294-SUMPRODUCT(T$3:T294,$B$3:$B294)/SUM($B$3:$B294))/STDEVA(Y284:Y294),"")</f>
        <v/>
      </c>
      <c r="AE294" s="84" t="str">
        <f>IF(U294&lt;&gt;"",(Z294-SUMPRODUCT(U$3:U294,$B$3:$B294)/SUM($B$3:$B294))/STDEVA(Z284:Z294),"")</f>
        <v/>
      </c>
      <c r="AF294" s="85" t="str">
        <f>IF(V294&lt;&gt;"",(AA294-SUMPRODUCT(V$3:V294,$B$3:$B294)/SUM($B$3:$B294))/STDEVA(AA284:AA294),"")</f>
        <v/>
      </c>
      <c r="AG294" s="90" t="str">
        <f t="shared" si="130"/>
        <v/>
      </c>
      <c r="AH294" s="90" t="str">
        <f t="shared" si="130"/>
        <v/>
      </c>
      <c r="AI294" s="90" t="str">
        <f t="shared" si="130"/>
        <v/>
      </c>
      <c r="AJ294" s="90" t="str">
        <f t="shared" si="129"/>
        <v/>
      </c>
      <c r="AK294" s="93" t="str">
        <f t="shared" si="129"/>
        <v/>
      </c>
      <c r="BQ294" s="100" t="str">
        <f>IF(A294&lt;&gt;"",(VLOOKUP(A294,MarketData!$D:$BP,MATCH($BQ$1,MarketData!$D$1:$EG$1,0),TRUE)/100/365+1)^(B294)*BQ293,"")</f>
        <v/>
      </c>
      <c r="BR294" s="98" t="str">
        <f t="shared" si="107"/>
        <v/>
      </c>
      <c r="BS294" s="106" t="str">
        <f>IF(A294&lt;&gt;"",VLOOKUP(A294,MarketData!$D:$BP,MATCH($BS$1,MarketData!$D$1:$EG$1,0),TRUE),"")</f>
        <v/>
      </c>
      <c r="BT294" s="98" t="str">
        <f t="shared" si="118"/>
        <v/>
      </c>
    </row>
    <row r="295" spans="2:72" x14ac:dyDescent="0.25">
      <c r="B295" s="60" t="str">
        <f t="shared" si="131"/>
        <v/>
      </c>
      <c r="C295" s="3" t="str">
        <f t="shared" si="108"/>
        <v/>
      </c>
      <c r="D295" s="3" t="str">
        <f t="shared" si="109"/>
        <v/>
      </c>
      <c r="E295" s="3" t="str">
        <f t="shared" si="110"/>
        <v/>
      </c>
      <c r="F295" s="3" t="str">
        <f t="shared" si="111"/>
        <v/>
      </c>
      <c r="G295" s="74" t="str">
        <f t="shared" si="112"/>
        <v/>
      </c>
      <c r="H295" s="78" t="str">
        <f>IFERROR(C295/SUM(M$2:M294),"")</f>
        <v/>
      </c>
      <c r="I295" s="61" t="str">
        <f>IFERROR(D295/SUM(N$2:N295),"")</f>
        <v/>
      </c>
      <c r="J295" s="61" t="str">
        <f>IFERROR(E295/SUM(O$2:O295),"")</f>
        <v/>
      </c>
      <c r="K295" s="61" t="str">
        <f>IFERROR(F295/SUM(P$2:P295),"")</f>
        <v/>
      </c>
      <c r="L295" s="79" t="str">
        <f>IFERROR(G295/SUM(Q$2:Q295),"")</f>
        <v/>
      </c>
      <c r="M295" s="64" t="str">
        <f t="shared" si="113"/>
        <v/>
      </c>
      <c r="N295" s="55" t="str">
        <f t="shared" si="114"/>
        <v/>
      </c>
      <c r="O295" s="55" t="str">
        <f t="shared" si="115"/>
        <v/>
      </c>
      <c r="P295" s="55" t="str">
        <f t="shared" si="116"/>
        <v/>
      </c>
      <c r="Q295" s="65" t="str">
        <f t="shared" si="117"/>
        <v/>
      </c>
      <c r="R295" s="67" t="str">
        <f t="shared" si="119"/>
        <v/>
      </c>
      <c r="S295" s="56" t="str">
        <f t="shared" si="120"/>
        <v/>
      </c>
      <c r="T295" s="56" t="str">
        <f t="shared" si="121"/>
        <v/>
      </c>
      <c r="U295" s="56" t="str">
        <f t="shared" si="122"/>
        <v/>
      </c>
      <c r="V295" s="68" t="str">
        <f t="shared" si="123"/>
        <v/>
      </c>
      <c r="W295" s="80" t="str">
        <f t="shared" si="124"/>
        <v/>
      </c>
      <c r="X295" s="81" t="str">
        <f t="shared" si="125"/>
        <v/>
      </c>
      <c r="Y295" s="81" t="str">
        <f t="shared" si="126"/>
        <v/>
      </c>
      <c r="Z295" s="81" t="str">
        <f t="shared" si="127"/>
        <v/>
      </c>
      <c r="AA295" s="82" t="str">
        <f t="shared" si="128"/>
        <v/>
      </c>
      <c r="AB295" s="83" t="str">
        <f>IF(R295&lt;&gt;"",(W295-SUMPRODUCT(R$3:R295,$B$3:$B295)/SUM($B$3:$B295))/STDEVA(W285:W295),"")</f>
        <v/>
      </c>
      <c r="AC295" s="84" t="str">
        <f>IF(S295&lt;&gt;"",(X295-SUMPRODUCT(S$3:S295,$B$3:$B295)/SUM($B$3:$B295))/STDEVA(X285:X295),"")</f>
        <v/>
      </c>
      <c r="AD295" s="84" t="str">
        <f>IF(T295&lt;&gt;"",(Y295-SUMPRODUCT(T$3:T295,$B$3:$B295)/SUM($B$3:$B295))/STDEVA(Y285:Y295),"")</f>
        <v/>
      </c>
      <c r="AE295" s="84" t="str">
        <f>IF(U295&lt;&gt;"",(Z295-SUMPRODUCT(U$3:U295,$B$3:$B295)/SUM($B$3:$B295))/STDEVA(Z285:Z295),"")</f>
        <v/>
      </c>
      <c r="AF295" s="85" t="str">
        <f>IF(V295&lt;&gt;"",(AA295-SUMPRODUCT(V$3:V295,$B$3:$B295)/SUM($B$3:$B295))/STDEVA(AA285:AA295),"")</f>
        <v/>
      </c>
      <c r="AG295" s="90" t="str">
        <f t="shared" si="130"/>
        <v/>
      </c>
      <c r="AH295" s="90" t="str">
        <f t="shared" si="130"/>
        <v/>
      </c>
      <c r="AI295" s="90" t="str">
        <f t="shared" si="130"/>
        <v/>
      </c>
      <c r="AJ295" s="90" t="str">
        <f t="shared" si="129"/>
        <v/>
      </c>
      <c r="AK295" s="93" t="str">
        <f t="shared" si="129"/>
        <v/>
      </c>
      <c r="BQ295" s="100" t="str">
        <f>IF(A295&lt;&gt;"",(VLOOKUP(A295,MarketData!$D:$BP,MATCH($BQ$1,MarketData!$D$1:$EG$1,0),TRUE)/100/365+1)^(B295)*BQ294,"")</f>
        <v/>
      </c>
      <c r="BR295" s="98" t="str">
        <f t="shared" si="107"/>
        <v/>
      </c>
      <c r="BS295" s="106" t="str">
        <f>IF(A295&lt;&gt;"",VLOOKUP(A295,MarketData!$D:$BP,MATCH($BS$1,MarketData!$D$1:$EG$1,0),TRUE),"")</f>
        <v/>
      </c>
      <c r="BT295" s="98" t="str">
        <f t="shared" si="118"/>
        <v/>
      </c>
    </row>
    <row r="296" spans="2:72" x14ac:dyDescent="0.25">
      <c r="B296" s="60" t="str">
        <f t="shared" si="131"/>
        <v/>
      </c>
      <c r="C296" s="3" t="str">
        <f t="shared" si="108"/>
        <v/>
      </c>
      <c r="D296" s="3" t="str">
        <f t="shared" si="109"/>
        <v/>
      </c>
      <c r="E296" s="3" t="str">
        <f t="shared" si="110"/>
        <v/>
      </c>
      <c r="F296" s="3" t="str">
        <f t="shared" si="111"/>
        <v/>
      </c>
      <c r="G296" s="74" t="str">
        <f t="shared" si="112"/>
        <v/>
      </c>
      <c r="H296" s="78" t="str">
        <f>IFERROR(C296/SUM(M$2:M295),"")</f>
        <v/>
      </c>
      <c r="I296" s="61" t="str">
        <f>IFERROR(D296/SUM(N$2:N296),"")</f>
        <v/>
      </c>
      <c r="J296" s="61" t="str">
        <f>IFERROR(E296/SUM(O$2:O296),"")</f>
        <v/>
      </c>
      <c r="K296" s="61" t="str">
        <f>IFERROR(F296/SUM(P$2:P296),"")</f>
        <v/>
      </c>
      <c r="L296" s="79" t="str">
        <f>IFERROR(G296/SUM(Q$2:Q296),"")</f>
        <v/>
      </c>
      <c r="M296" s="64" t="str">
        <f t="shared" si="113"/>
        <v/>
      </c>
      <c r="N296" s="55" t="str">
        <f t="shared" si="114"/>
        <v/>
      </c>
      <c r="O296" s="55" t="str">
        <f t="shared" si="115"/>
        <v/>
      </c>
      <c r="P296" s="55" t="str">
        <f t="shared" si="116"/>
        <v/>
      </c>
      <c r="Q296" s="65" t="str">
        <f t="shared" si="117"/>
        <v/>
      </c>
      <c r="R296" s="67" t="str">
        <f t="shared" si="119"/>
        <v/>
      </c>
      <c r="S296" s="56" t="str">
        <f t="shared" si="120"/>
        <v/>
      </c>
      <c r="T296" s="56" t="str">
        <f t="shared" si="121"/>
        <v/>
      </c>
      <c r="U296" s="56" t="str">
        <f t="shared" si="122"/>
        <v/>
      </c>
      <c r="V296" s="68" t="str">
        <f t="shared" si="123"/>
        <v/>
      </c>
      <c r="W296" s="80" t="str">
        <f t="shared" si="124"/>
        <v/>
      </c>
      <c r="X296" s="81" t="str">
        <f t="shared" si="125"/>
        <v/>
      </c>
      <c r="Y296" s="81" t="str">
        <f t="shared" si="126"/>
        <v/>
      </c>
      <c r="Z296" s="81" t="str">
        <f t="shared" si="127"/>
        <v/>
      </c>
      <c r="AA296" s="82" t="str">
        <f t="shared" si="128"/>
        <v/>
      </c>
      <c r="AB296" s="83" t="str">
        <f>IF(R296&lt;&gt;"",(W296-SUMPRODUCT(R$3:R296,$B$3:$B296)/SUM($B$3:$B296))/STDEVA(W286:W296),"")</f>
        <v/>
      </c>
      <c r="AC296" s="84" t="str">
        <f>IF(S296&lt;&gt;"",(X296-SUMPRODUCT(S$3:S296,$B$3:$B296)/SUM($B$3:$B296))/STDEVA(X286:X296),"")</f>
        <v/>
      </c>
      <c r="AD296" s="84" t="str">
        <f>IF(T296&lt;&gt;"",(Y296-SUMPRODUCT(T$3:T296,$B$3:$B296)/SUM($B$3:$B296))/STDEVA(Y286:Y296),"")</f>
        <v/>
      </c>
      <c r="AE296" s="84" t="str">
        <f>IF(U296&lt;&gt;"",(Z296-SUMPRODUCT(U$3:U296,$B$3:$B296)/SUM($B$3:$B296))/STDEVA(Z286:Z296),"")</f>
        <v/>
      </c>
      <c r="AF296" s="85" t="str">
        <f>IF(V296&lt;&gt;"",(AA296-SUMPRODUCT(V$3:V296,$B$3:$B296)/SUM($B$3:$B296))/STDEVA(AA286:AA296),"")</f>
        <v/>
      </c>
      <c r="AG296" s="90" t="str">
        <f t="shared" si="130"/>
        <v/>
      </c>
      <c r="AH296" s="90" t="str">
        <f t="shared" si="130"/>
        <v/>
      </c>
      <c r="AI296" s="90" t="str">
        <f t="shared" si="130"/>
        <v/>
      </c>
      <c r="AJ296" s="90" t="str">
        <f t="shared" si="129"/>
        <v/>
      </c>
      <c r="AK296" s="93" t="str">
        <f t="shared" si="129"/>
        <v/>
      </c>
      <c r="BQ296" s="100" t="str">
        <f>IF(A296&lt;&gt;"",(VLOOKUP(A296,MarketData!$D:$BP,MATCH($BQ$1,MarketData!$D$1:$EG$1,0),TRUE)/100/365+1)^(B296)*BQ295,"")</f>
        <v/>
      </c>
      <c r="BR296" s="98" t="str">
        <f t="shared" si="107"/>
        <v/>
      </c>
      <c r="BS296" s="106" t="str">
        <f>IF(A296&lt;&gt;"",VLOOKUP(A296,MarketData!$D:$BP,MATCH($BS$1,MarketData!$D$1:$EG$1,0),TRUE),"")</f>
        <v/>
      </c>
      <c r="BT296" s="98" t="str">
        <f t="shared" si="118"/>
        <v/>
      </c>
    </row>
    <row r="297" spans="2:72" x14ac:dyDescent="0.25">
      <c r="B297" s="60" t="str">
        <f t="shared" si="131"/>
        <v/>
      </c>
      <c r="C297" s="3" t="str">
        <f t="shared" si="108"/>
        <v/>
      </c>
      <c r="D297" s="3" t="str">
        <f t="shared" si="109"/>
        <v/>
      </c>
      <c r="E297" s="3" t="str">
        <f t="shared" si="110"/>
        <v/>
      </c>
      <c r="F297" s="3" t="str">
        <f t="shared" si="111"/>
        <v/>
      </c>
      <c r="G297" s="74" t="str">
        <f t="shared" si="112"/>
        <v/>
      </c>
      <c r="H297" s="78" t="str">
        <f>IFERROR(C297/SUM(M$2:M296),"")</f>
        <v/>
      </c>
      <c r="I297" s="61" t="str">
        <f>IFERROR(D297/SUM(N$2:N297),"")</f>
        <v/>
      </c>
      <c r="J297" s="61" t="str">
        <f>IFERROR(E297/SUM(O$2:O297),"")</f>
        <v/>
      </c>
      <c r="K297" s="61" t="str">
        <f>IFERROR(F297/SUM(P$2:P297),"")</f>
        <v/>
      </c>
      <c r="L297" s="79" t="str">
        <f>IFERROR(G297/SUM(Q$2:Q297),"")</f>
        <v/>
      </c>
      <c r="M297" s="64" t="str">
        <f t="shared" si="113"/>
        <v/>
      </c>
      <c r="N297" s="55" t="str">
        <f t="shared" si="114"/>
        <v/>
      </c>
      <c r="O297" s="55" t="str">
        <f t="shared" si="115"/>
        <v/>
      </c>
      <c r="P297" s="55" t="str">
        <f t="shared" si="116"/>
        <v/>
      </c>
      <c r="Q297" s="65" t="str">
        <f t="shared" si="117"/>
        <v/>
      </c>
      <c r="R297" s="67" t="str">
        <f t="shared" si="119"/>
        <v/>
      </c>
      <c r="S297" s="56" t="str">
        <f t="shared" si="120"/>
        <v/>
      </c>
      <c r="T297" s="56" t="str">
        <f t="shared" si="121"/>
        <v/>
      </c>
      <c r="U297" s="56" t="str">
        <f t="shared" si="122"/>
        <v/>
      </c>
      <c r="V297" s="68" t="str">
        <f t="shared" si="123"/>
        <v/>
      </c>
      <c r="W297" s="80" t="str">
        <f t="shared" si="124"/>
        <v/>
      </c>
      <c r="X297" s="81" t="str">
        <f t="shared" si="125"/>
        <v/>
      </c>
      <c r="Y297" s="81" t="str">
        <f t="shared" si="126"/>
        <v/>
      </c>
      <c r="Z297" s="81" t="str">
        <f t="shared" si="127"/>
        <v/>
      </c>
      <c r="AA297" s="82" t="str">
        <f t="shared" si="128"/>
        <v/>
      </c>
      <c r="AB297" s="83" t="str">
        <f>IF(R297&lt;&gt;"",(W297-SUMPRODUCT(R$3:R297,$B$3:$B297)/SUM($B$3:$B297))/STDEVA(W287:W297),"")</f>
        <v/>
      </c>
      <c r="AC297" s="84" t="str">
        <f>IF(S297&lt;&gt;"",(X297-SUMPRODUCT(S$3:S297,$B$3:$B297)/SUM($B$3:$B297))/STDEVA(X287:X297),"")</f>
        <v/>
      </c>
      <c r="AD297" s="84" t="str">
        <f>IF(T297&lt;&gt;"",(Y297-SUMPRODUCT(T$3:T297,$B$3:$B297)/SUM($B$3:$B297))/STDEVA(Y287:Y297),"")</f>
        <v/>
      </c>
      <c r="AE297" s="84" t="str">
        <f>IF(U297&lt;&gt;"",(Z297-SUMPRODUCT(U$3:U297,$B$3:$B297)/SUM($B$3:$B297))/STDEVA(Z287:Z297),"")</f>
        <v/>
      </c>
      <c r="AF297" s="85" t="str">
        <f>IF(V297&lt;&gt;"",(AA297-SUMPRODUCT(V$3:V297,$B$3:$B297)/SUM($B$3:$B297))/STDEVA(AA287:AA297),"")</f>
        <v/>
      </c>
      <c r="AG297" s="90" t="str">
        <f t="shared" si="130"/>
        <v/>
      </c>
      <c r="AH297" s="90" t="str">
        <f t="shared" si="130"/>
        <v/>
      </c>
      <c r="AI297" s="90" t="str">
        <f t="shared" si="130"/>
        <v/>
      </c>
      <c r="AJ297" s="90" t="str">
        <f t="shared" si="129"/>
        <v/>
      </c>
      <c r="AK297" s="93" t="str">
        <f t="shared" si="129"/>
        <v/>
      </c>
      <c r="BQ297" s="100" t="str">
        <f>IF(A297&lt;&gt;"",(VLOOKUP(A297,MarketData!$D:$BP,MATCH($BQ$1,MarketData!$D$1:$EG$1,0),TRUE)/100/365+1)^(B297)*BQ296,"")</f>
        <v/>
      </c>
      <c r="BR297" s="98" t="str">
        <f t="shared" si="107"/>
        <v/>
      </c>
      <c r="BS297" s="106" t="str">
        <f>IF(A297&lt;&gt;"",VLOOKUP(A297,MarketData!$D:$BP,MATCH($BS$1,MarketData!$D$1:$EG$1,0),TRUE),"")</f>
        <v/>
      </c>
      <c r="BT297" s="98" t="str">
        <f t="shared" si="118"/>
        <v/>
      </c>
    </row>
    <row r="298" spans="2:72" x14ac:dyDescent="0.25">
      <c r="B298" s="60" t="str">
        <f t="shared" si="131"/>
        <v/>
      </c>
      <c r="C298" s="3" t="str">
        <f t="shared" si="108"/>
        <v/>
      </c>
      <c r="D298" s="3" t="str">
        <f t="shared" si="109"/>
        <v/>
      </c>
      <c r="E298" s="3" t="str">
        <f t="shared" si="110"/>
        <v/>
      </c>
      <c r="F298" s="3" t="str">
        <f t="shared" si="111"/>
        <v/>
      </c>
      <c r="G298" s="74" t="str">
        <f t="shared" si="112"/>
        <v/>
      </c>
      <c r="H298" s="78" t="str">
        <f>IFERROR(C298/SUM(M$2:M297),"")</f>
        <v/>
      </c>
      <c r="I298" s="61" t="str">
        <f>IFERROR(D298/SUM(N$2:N298),"")</f>
        <v/>
      </c>
      <c r="J298" s="61" t="str">
        <f>IFERROR(E298/SUM(O$2:O298),"")</f>
        <v/>
      </c>
      <c r="K298" s="61" t="str">
        <f>IFERROR(F298/SUM(P$2:P298),"")</f>
        <v/>
      </c>
      <c r="L298" s="79" t="str">
        <f>IFERROR(G298/SUM(Q$2:Q298),"")</f>
        <v/>
      </c>
      <c r="M298" s="64" t="str">
        <f t="shared" si="113"/>
        <v/>
      </c>
      <c r="N298" s="55" t="str">
        <f t="shared" si="114"/>
        <v/>
      </c>
      <c r="O298" s="55" t="str">
        <f t="shared" si="115"/>
        <v/>
      </c>
      <c r="P298" s="55" t="str">
        <f t="shared" si="116"/>
        <v/>
      </c>
      <c r="Q298" s="65" t="str">
        <f t="shared" si="117"/>
        <v/>
      </c>
      <c r="R298" s="67" t="str">
        <f t="shared" si="119"/>
        <v/>
      </c>
      <c r="S298" s="56" t="str">
        <f t="shared" si="120"/>
        <v/>
      </c>
      <c r="T298" s="56" t="str">
        <f t="shared" si="121"/>
        <v/>
      </c>
      <c r="U298" s="56" t="str">
        <f t="shared" si="122"/>
        <v/>
      </c>
      <c r="V298" s="68" t="str">
        <f t="shared" si="123"/>
        <v/>
      </c>
      <c r="W298" s="80" t="str">
        <f t="shared" si="124"/>
        <v/>
      </c>
      <c r="X298" s="81" t="str">
        <f t="shared" si="125"/>
        <v/>
      </c>
      <c r="Y298" s="81" t="str">
        <f t="shared" si="126"/>
        <v/>
      </c>
      <c r="Z298" s="81" t="str">
        <f t="shared" si="127"/>
        <v/>
      </c>
      <c r="AA298" s="82" t="str">
        <f t="shared" si="128"/>
        <v/>
      </c>
      <c r="AB298" s="83" t="str">
        <f>IF(R298&lt;&gt;"",(W298-SUMPRODUCT(R$3:R298,$B$3:$B298)/SUM($B$3:$B298))/STDEVA(W288:W298),"")</f>
        <v/>
      </c>
      <c r="AC298" s="84" t="str">
        <f>IF(S298&lt;&gt;"",(X298-SUMPRODUCT(S$3:S298,$B$3:$B298)/SUM($B$3:$B298))/STDEVA(X288:X298),"")</f>
        <v/>
      </c>
      <c r="AD298" s="84" t="str">
        <f>IF(T298&lt;&gt;"",(Y298-SUMPRODUCT(T$3:T298,$B$3:$B298)/SUM($B$3:$B298))/STDEVA(Y288:Y298),"")</f>
        <v/>
      </c>
      <c r="AE298" s="84" t="str">
        <f>IF(U298&lt;&gt;"",(Z298-SUMPRODUCT(U$3:U298,$B$3:$B298)/SUM($B$3:$B298))/STDEVA(Z288:Z298),"")</f>
        <v/>
      </c>
      <c r="AF298" s="85" t="str">
        <f>IF(V298&lt;&gt;"",(AA298-SUMPRODUCT(V$3:V298,$B$3:$B298)/SUM($B$3:$B298))/STDEVA(AA288:AA298),"")</f>
        <v/>
      </c>
      <c r="AG298" s="90" t="str">
        <f t="shared" si="130"/>
        <v/>
      </c>
      <c r="AH298" s="90" t="str">
        <f t="shared" si="130"/>
        <v/>
      </c>
      <c r="AI298" s="90" t="str">
        <f t="shared" si="130"/>
        <v/>
      </c>
      <c r="AJ298" s="90" t="str">
        <f t="shared" si="129"/>
        <v/>
      </c>
      <c r="AK298" s="93" t="str">
        <f t="shared" si="129"/>
        <v/>
      </c>
      <c r="BQ298" s="100" t="str">
        <f>IF(A298&lt;&gt;"",(VLOOKUP(A298,MarketData!$D:$BP,MATCH($BQ$1,MarketData!$D$1:$EG$1,0),TRUE)/100/365+1)^(B298)*BQ297,"")</f>
        <v/>
      </c>
      <c r="BR298" s="98" t="str">
        <f t="shared" si="107"/>
        <v/>
      </c>
      <c r="BS298" s="106" t="str">
        <f>IF(A298&lt;&gt;"",VLOOKUP(A298,MarketData!$D:$BP,MATCH($BS$1,MarketData!$D$1:$EG$1,0),TRUE),"")</f>
        <v/>
      </c>
      <c r="BT298" s="98" t="str">
        <f t="shared" si="118"/>
        <v/>
      </c>
    </row>
    <row r="299" spans="2:72" x14ac:dyDescent="0.25">
      <c r="B299" s="60" t="str">
        <f t="shared" si="131"/>
        <v/>
      </c>
      <c r="C299" s="3" t="str">
        <f t="shared" si="108"/>
        <v/>
      </c>
      <c r="D299" s="3" t="str">
        <f t="shared" si="109"/>
        <v/>
      </c>
      <c r="E299" s="3" t="str">
        <f t="shared" si="110"/>
        <v/>
      </c>
      <c r="F299" s="3" t="str">
        <f t="shared" si="111"/>
        <v/>
      </c>
      <c r="G299" s="74" t="str">
        <f t="shared" si="112"/>
        <v/>
      </c>
      <c r="H299" s="78" t="str">
        <f>IFERROR(C299/SUM(M$2:M298),"")</f>
        <v/>
      </c>
      <c r="I299" s="61" t="str">
        <f>IFERROR(D299/SUM(N$2:N299),"")</f>
        <v/>
      </c>
      <c r="J299" s="61" t="str">
        <f>IFERROR(E299/SUM(O$2:O299),"")</f>
        <v/>
      </c>
      <c r="K299" s="61" t="str">
        <f>IFERROR(F299/SUM(P$2:P299),"")</f>
        <v/>
      </c>
      <c r="L299" s="79" t="str">
        <f>IFERROR(G299/SUM(Q$2:Q299),"")</f>
        <v/>
      </c>
      <c r="M299" s="64" t="str">
        <f t="shared" si="113"/>
        <v/>
      </c>
      <c r="N299" s="55" t="str">
        <f t="shared" si="114"/>
        <v/>
      </c>
      <c r="O299" s="55" t="str">
        <f t="shared" si="115"/>
        <v/>
      </c>
      <c r="P299" s="55" t="str">
        <f t="shared" si="116"/>
        <v/>
      </c>
      <c r="Q299" s="65" t="str">
        <f t="shared" si="117"/>
        <v/>
      </c>
      <c r="R299" s="67" t="str">
        <f t="shared" si="119"/>
        <v/>
      </c>
      <c r="S299" s="56" t="str">
        <f t="shared" si="120"/>
        <v/>
      </c>
      <c r="T299" s="56" t="str">
        <f t="shared" si="121"/>
        <v/>
      </c>
      <c r="U299" s="56" t="str">
        <f t="shared" si="122"/>
        <v/>
      </c>
      <c r="V299" s="68" t="str">
        <f t="shared" si="123"/>
        <v/>
      </c>
      <c r="W299" s="80" t="str">
        <f t="shared" si="124"/>
        <v/>
      </c>
      <c r="X299" s="81" t="str">
        <f t="shared" si="125"/>
        <v/>
      </c>
      <c r="Y299" s="81" t="str">
        <f t="shared" si="126"/>
        <v/>
      </c>
      <c r="Z299" s="81" t="str">
        <f t="shared" si="127"/>
        <v/>
      </c>
      <c r="AA299" s="82" t="str">
        <f t="shared" si="128"/>
        <v/>
      </c>
      <c r="AB299" s="83" t="str">
        <f>IF(R299&lt;&gt;"",(W299-SUMPRODUCT(R$3:R299,$B$3:$B299)/SUM($B$3:$B299))/STDEVA(W289:W299),"")</f>
        <v/>
      </c>
      <c r="AC299" s="84" t="str">
        <f>IF(S299&lt;&gt;"",(X299-SUMPRODUCT(S$3:S299,$B$3:$B299)/SUM($B$3:$B299))/STDEVA(X289:X299),"")</f>
        <v/>
      </c>
      <c r="AD299" s="84" t="str">
        <f>IF(T299&lt;&gt;"",(Y299-SUMPRODUCT(T$3:T299,$B$3:$B299)/SUM($B$3:$B299))/STDEVA(Y289:Y299),"")</f>
        <v/>
      </c>
      <c r="AE299" s="84" t="str">
        <f>IF(U299&lt;&gt;"",(Z299-SUMPRODUCT(U$3:U299,$B$3:$B299)/SUM($B$3:$B299))/STDEVA(Z289:Z299),"")</f>
        <v/>
      </c>
      <c r="AF299" s="85" t="str">
        <f>IF(V299&lt;&gt;"",(AA299-SUMPRODUCT(V$3:V299,$B$3:$B299)/SUM($B$3:$B299))/STDEVA(AA289:AA299),"")</f>
        <v/>
      </c>
      <c r="AG299" s="90" t="str">
        <f t="shared" si="130"/>
        <v/>
      </c>
      <c r="AH299" s="90" t="str">
        <f t="shared" si="130"/>
        <v/>
      </c>
      <c r="AI299" s="90" t="str">
        <f t="shared" si="130"/>
        <v/>
      </c>
      <c r="AJ299" s="90" t="str">
        <f t="shared" si="129"/>
        <v/>
      </c>
      <c r="AK299" s="93" t="str">
        <f t="shared" si="129"/>
        <v/>
      </c>
      <c r="BQ299" s="100" t="str">
        <f>IF(A299&lt;&gt;"",(VLOOKUP(A299,MarketData!$D:$BP,MATCH($BQ$1,MarketData!$D$1:$EG$1,0),TRUE)/100/365+1)^(B299)*BQ298,"")</f>
        <v/>
      </c>
      <c r="BR299" s="98" t="str">
        <f t="shared" si="107"/>
        <v/>
      </c>
      <c r="BS299" s="106" t="str">
        <f>IF(A299&lt;&gt;"",VLOOKUP(A299,MarketData!$D:$BP,MATCH($BS$1,MarketData!$D$1:$EG$1,0),TRUE),"")</f>
        <v/>
      </c>
      <c r="BT299" s="98" t="str">
        <f t="shared" si="118"/>
        <v/>
      </c>
    </row>
    <row r="300" spans="2:72" x14ac:dyDescent="0.25">
      <c r="B300" s="60" t="str">
        <f t="shared" si="131"/>
        <v/>
      </c>
      <c r="C300" s="3" t="str">
        <f t="shared" si="108"/>
        <v/>
      </c>
      <c r="D300" s="3" t="str">
        <f t="shared" si="109"/>
        <v/>
      </c>
      <c r="E300" s="3" t="str">
        <f t="shared" si="110"/>
        <v/>
      </c>
      <c r="F300" s="3" t="str">
        <f t="shared" si="111"/>
        <v/>
      </c>
      <c r="G300" s="74" t="str">
        <f t="shared" si="112"/>
        <v/>
      </c>
      <c r="H300" s="78" t="str">
        <f>IFERROR(C300/SUM(M$2:M299),"")</f>
        <v/>
      </c>
      <c r="I300" s="61" t="str">
        <f>IFERROR(D300/SUM(N$2:N300),"")</f>
        <v/>
      </c>
      <c r="J300" s="61" t="str">
        <f>IFERROR(E300/SUM(O$2:O300),"")</f>
        <v/>
      </c>
      <c r="K300" s="61" t="str">
        <f>IFERROR(F300/SUM(P$2:P300),"")</f>
        <v/>
      </c>
      <c r="L300" s="79" t="str">
        <f>IFERROR(G300/SUM(Q$2:Q300),"")</f>
        <v/>
      </c>
      <c r="M300" s="64" t="str">
        <f t="shared" si="113"/>
        <v/>
      </c>
      <c r="N300" s="55" t="str">
        <f t="shared" si="114"/>
        <v/>
      </c>
      <c r="O300" s="55" t="str">
        <f t="shared" si="115"/>
        <v/>
      </c>
      <c r="P300" s="55" t="str">
        <f t="shared" si="116"/>
        <v/>
      </c>
      <c r="Q300" s="65" t="str">
        <f t="shared" si="117"/>
        <v/>
      </c>
      <c r="R300" s="67" t="str">
        <f t="shared" si="119"/>
        <v/>
      </c>
      <c r="S300" s="56" t="str">
        <f t="shared" si="120"/>
        <v/>
      </c>
      <c r="T300" s="56" t="str">
        <f t="shared" si="121"/>
        <v/>
      </c>
      <c r="U300" s="56" t="str">
        <f t="shared" si="122"/>
        <v/>
      </c>
      <c r="V300" s="68" t="str">
        <f t="shared" si="123"/>
        <v/>
      </c>
      <c r="W300" s="80" t="str">
        <f t="shared" si="124"/>
        <v/>
      </c>
      <c r="X300" s="81" t="str">
        <f t="shared" si="125"/>
        <v/>
      </c>
      <c r="Y300" s="81" t="str">
        <f t="shared" si="126"/>
        <v/>
      </c>
      <c r="Z300" s="81" t="str">
        <f t="shared" si="127"/>
        <v/>
      </c>
      <c r="AA300" s="82" t="str">
        <f t="shared" si="128"/>
        <v/>
      </c>
      <c r="AB300" s="83" t="str">
        <f>IF(R300&lt;&gt;"",(W300-SUMPRODUCT(R$3:R300,$B$3:$B300)/SUM($B$3:$B300))/STDEVA(W290:W300),"")</f>
        <v/>
      </c>
      <c r="AC300" s="84" t="str">
        <f>IF(S300&lt;&gt;"",(X300-SUMPRODUCT(S$3:S300,$B$3:$B300)/SUM($B$3:$B300))/STDEVA(X290:X300),"")</f>
        <v/>
      </c>
      <c r="AD300" s="84" t="str">
        <f>IF(T300&lt;&gt;"",(Y300-SUMPRODUCT(T$3:T300,$B$3:$B300)/SUM($B$3:$B300))/STDEVA(Y290:Y300),"")</f>
        <v/>
      </c>
      <c r="AE300" s="84" t="str">
        <f>IF(U300&lt;&gt;"",(Z300-SUMPRODUCT(U$3:U300,$B$3:$B300)/SUM($B$3:$B300))/STDEVA(Z290:Z300),"")</f>
        <v/>
      </c>
      <c r="AF300" s="85" t="str">
        <f>IF(V300&lt;&gt;"",(AA300-SUMPRODUCT(V$3:V300,$B$3:$B300)/SUM($B$3:$B300))/STDEVA(AA290:AA300),"")</f>
        <v/>
      </c>
      <c r="AG300" s="90" t="str">
        <f t="shared" si="130"/>
        <v/>
      </c>
      <c r="AH300" s="90" t="str">
        <f t="shared" si="130"/>
        <v/>
      </c>
      <c r="AI300" s="90" t="str">
        <f t="shared" si="130"/>
        <v/>
      </c>
      <c r="AJ300" s="90" t="str">
        <f t="shared" si="129"/>
        <v/>
      </c>
      <c r="AK300" s="93" t="str">
        <f t="shared" si="129"/>
        <v/>
      </c>
      <c r="BQ300" s="100" t="str">
        <f>IF(A300&lt;&gt;"",(VLOOKUP(A300,MarketData!$D:$BP,MATCH($BQ$1,MarketData!$D$1:$EG$1,0),TRUE)/100/365+1)^(B300)*BQ299,"")</f>
        <v/>
      </c>
      <c r="BR300" s="98" t="str">
        <f t="shared" si="107"/>
        <v/>
      </c>
      <c r="BS300" s="106" t="str">
        <f>IF(A300&lt;&gt;"",VLOOKUP(A300,MarketData!$D:$BP,MATCH($BS$1,MarketData!$D$1:$EG$1,0),TRUE),"")</f>
        <v/>
      </c>
      <c r="BT300" s="98" t="str">
        <f t="shared" si="118"/>
        <v/>
      </c>
    </row>
    <row r="301" spans="2:72" x14ac:dyDescent="0.25">
      <c r="B301" s="60" t="str">
        <f t="shared" si="131"/>
        <v/>
      </c>
      <c r="C301" s="3" t="str">
        <f t="shared" si="108"/>
        <v/>
      </c>
      <c r="D301" s="3" t="str">
        <f t="shared" si="109"/>
        <v/>
      </c>
      <c r="E301" s="3" t="str">
        <f t="shared" si="110"/>
        <v/>
      </c>
      <c r="F301" s="3" t="str">
        <f t="shared" si="111"/>
        <v/>
      </c>
      <c r="G301" s="74" t="str">
        <f t="shared" si="112"/>
        <v/>
      </c>
      <c r="H301" s="78" t="str">
        <f>IFERROR(C301/SUM(M$2:M300),"")</f>
        <v/>
      </c>
      <c r="I301" s="61" t="str">
        <f>IFERROR(D301/SUM(N$2:N301),"")</f>
        <v/>
      </c>
      <c r="J301" s="61" t="str">
        <f>IFERROR(E301/SUM(O$2:O301),"")</f>
        <v/>
      </c>
      <c r="K301" s="61" t="str">
        <f>IFERROR(F301/SUM(P$2:P301),"")</f>
        <v/>
      </c>
      <c r="L301" s="79" t="str">
        <f>IFERROR(G301/SUM(Q$2:Q301),"")</f>
        <v/>
      </c>
      <c r="M301" s="64" t="str">
        <f t="shared" si="113"/>
        <v/>
      </c>
      <c r="N301" s="55" t="str">
        <f t="shared" si="114"/>
        <v/>
      </c>
      <c r="O301" s="55" t="str">
        <f t="shared" si="115"/>
        <v/>
      </c>
      <c r="P301" s="55" t="str">
        <f t="shared" si="116"/>
        <v/>
      </c>
      <c r="Q301" s="65" t="str">
        <f t="shared" si="117"/>
        <v/>
      </c>
      <c r="R301" s="67" t="str">
        <f t="shared" si="119"/>
        <v/>
      </c>
      <c r="S301" s="56" t="str">
        <f t="shared" si="120"/>
        <v/>
      </c>
      <c r="T301" s="56" t="str">
        <f t="shared" si="121"/>
        <v/>
      </c>
      <c r="U301" s="56" t="str">
        <f t="shared" si="122"/>
        <v/>
      </c>
      <c r="V301" s="68" t="str">
        <f t="shared" si="123"/>
        <v/>
      </c>
      <c r="W301" s="80" t="str">
        <f t="shared" si="124"/>
        <v/>
      </c>
      <c r="X301" s="81" t="str">
        <f t="shared" si="125"/>
        <v/>
      </c>
      <c r="Y301" s="81" t="str">
        <f t="shared" si="126"/>
        <v/>
      </c>
      <c r="Z301" s="81" t="str">
        <f t="shared" si="127"/>
        <v/>
      </c>
      <c r="AA301" s="82" t="str">
        <f t="shared" si="128"/>
        <v/>
      </c>
      <c r="AB301" s="83" t="str">
        <f>IF(R301&lt;&gt;"",(W301-SUMPRODUCT(R$3:R301,$B$3:$B301)/SUM($B$3:$B301))/STDEVA(W291:W301),"")</f>
        <v/>
      </c>
      <c r="AC301" s="84" t="str">
        <f>IF(S301&lt;&gt;"",(X301-SUMPRODUCT(S$3:S301,$B$3:$B301)/SUM($B$3:$B301))/STDEVA(X291:X301),"")</f>
        <v/>
      </c>
      <c r="AD301" s="84" t="str">
        <f>IF(T301&lt;&gt;"",(Y301-SUMPRODUCT(T$3:T301,$B$3:$B301)/SUM($B$3:$B301))/STDEVA(Y291:Y301),"")</f>
        <v/>
      </c>
      <c r="AE301" s="84" t="str">
        <f>IF(U301&lt;&gt;"",(Z301-SUMPRODUCT(U$3:U301,$B$3:$B301)/SUM($B$3:$B301))/STDEVA(Z291:Z301),"")</f>
        <v/>
      </c>
      <c r="AF301" s="85" t="str">
        <f>IF(V301&lt;&gt;"",(AA301-SUMPRODUCT(V$3:V301,$B$3:$B301)/SUM($B$3:$B301))/STDEVA(AA291:AA301),"")</f>
        <v/>
      </c>
      <c r="AG301" s="90" t="str">
        <f t="shared" si="130"/>
        <v/>
      </c>
      <c r="AH301" s="90" t="str">
        <f t="shared" si="130"/>
        <v/>
      </c>
      <c r="AI301" s="90" t="str">
        <f t="shared" si="130"/>
        <v/>
      </c>
      <c r="AJ301" s="90" t="str">
        <f t="shared" si="129"/>
        <v/>
      </c>
      <c r="AK301" s="93" t="str">
        <f t="shared" si="129"/>
        <v/>
      </c>
      <c r="BQ301" s="100" t="str">
        <f>IF(A301&lt;&gt;"",(VLOOKUP(A301,MarketData!$D:$BP,MATCH($BQ$1,MarketData!$D$1:$EG$1,0),TRUE)/100/365+1)^(B301)*BQ300,"")</f>
        <v/>
      </c>
      <c r="BR301" s="98" t="str">
        <f t="shared" si="107"/>
        <v/>
      </c>
      <c r="BS301" s="106" t="str">
        <f>IF(A301&lt;&gt;"",VLOOKUP(A301,MarketData!$D:$BP,MATCH($BS$1,MarketData!$D$1:$EG$1,0),TRUE),"")</f>
        <v/>
      </c>
      <c r="BT301" s="98" t="str">
        <f t="shared" si="118"/>
        <v/>
      </c>
    </row>
    <row r="302" spans="2:72" x14ac:dyDescent="0.25">
      <c r="B302" s="60" t="str">
        <f t="shared" si="131"/>
        <v/>
      </c>
      <c r="C302" s="3" t="str">
        <f t="shared" si="108"/>
        <v/>
      </c>
      <c r="D302" s="3" t="str">
        <f t="shared" si="109"/>
        <v/>
      </c>
      <c r="E302" s="3" t="str">
        <f t="shared" si="110"/>
        <v/>
      </c>
      <c r="F302" s="3" t="str">
        <f t="shared" si="111"/>
        <v/>
      </c>
      <c r="G302" s="74" t="str">
        <f t="shared" si="112"/>
        <v/>
      </c>
      <c r="H302" s="78" t="str">
        <f>IFERROR(C302/SUM(M$2:M301),"")</f>
        <v/>
      </c>
      <c r="I302" s="61" t="str">
        <f>IFERROR(D302/SUM(N$2:N302),"")</f>
        <v/>
      </c>
      <c r="J302" s="61" t="str">
        <f>IFERROR(E302/SUM(O$2:O302),"")</f>
        <v/>
      </c>
      <c r="K302" s="61" t="str">
        <f>IFERROR(F302/SUM(P$2:P302),"")</f>
        <v/>
      </c>
      <c r="L302" s="79" t="str">
        <f>IFERROR(G302/SUM(Q$2:Q302),"")</f>
        <v/>
      </c>
      <c r="M302" s="64" t="str">
        <f t="shared" si="113"/>
        <v/>
      </c>
      <c r="N302" s="55" t="str">
        <f t="shared" si="114"/>
        <v/>
      </c>
      <c r="O302" s="55" t="str">
        <f t="shared" si="115"/>
        <v/>
      </c>
      <c r="P302" s="55" t="str">
        <f t="shared" si="116"/>
        <v/>
      </c>
      <c r="Q302" s="65" t="str">
        <f t="shared" si="117"/>
        <v/>
      </c>
      <c r="R302" s="67" t="str">
        <f t="shared" si="119"/>
        <v/>
      </c>
      <c r="S302" s="56" t="str">
        <f t="shared" si="120"/>
        <v/>
      </c>
      <c r="T302" s="56" t="str">
        <f t="shared" si="121"/>
        <v/>
      </c>
      <c r="U302" s="56" t="str">
        <f t="shared" si="122"/>
        <v/>
      </c>
      <c r="V302" s="68" t="str">
        <f t="shared" si="123"/>
        <v/>
      </c>
      <c r="W302" s="80" t="str">
        <f t="shared" si="124"/>
        <v/>
      </c>
      <c r="X302" s="81" t="str">
        <f t="shared" si="125"/>
        <v/>
      </c>
      <c r="Y302" s="81" t="str">
        <f t="shared" si="126"/>
        <v/>
      </c>
      <c r="Z302" s="81" t="str">
        <f t="shared" si="127"/>
        <v/>
      </c>
      <c r="AA302" s="82" t="str">
        <f t="shared" si="128"/>
        <v/>
      </c>
      <c r="AB302" s="83" t="str">
        <f>IF(R302&lt;&gt;"",(W302-SUMPRODUCT(R$3:R302,$B$3:$B302)/SUM($B$3:$B302))/STDEVA(W292:W302),"")</f>
        <v/>
      </c>
      <c r="AC302" s="84" t="str">
        <f>IF(S302&lt;&gt;"",(X302-SUMPRODUCT(S$3:S302,$B$3:$B302)/SUM($B$3:$B302))/STDEVA(X292:X302),"")</f>
        <v/>
      </c>
      <c r="AD302" s="84" t="str">
        <f>IF(T302&lt;&gt;"",(Y302-SUMPRODUCT(T$3:T302,$B$3:$B302)/SUM($B$3:$B302))/STDEVA(Y292:Y302),"")</f>
        <v/>
      </c>
      <c r="AE302" s="84" t="str">
        <f>IF(U302&lt;&gt;"",(Z302-SUMPRODUCT(U$3:U302,$B$3:$B302)/SUM($B$3:$B302))/STDEVA(Z292:Z302),"")</f>
        <v/>
      </c>
      <c r="AF302" s="85" t="str">
        <f>IF(V302&lt;&gt;"",(AA302-SUMPRODUCT(V$3:V302,$B$3:$B302)/SUM($B$3:$B302))/STDEVA(AA292:AA302),"")</f>
        <v/>
      </c>
      <c r="AG302" s="90" t="str">
        <f t="shared" si="130"/>
        <v/>
      </c>
      <c r="AH302" s="90" t="str">
        <f t="shared" si="130"/>
        <v/>
      </c>
      <c r="AI302" s="90" t="str">
        <f t="shared" si="130"/>
        <v/>
      </c>
      <c r="AJ302" s="90" t="str">
        <f t="shared" si="129"/>
        <v/>
      </c>
      <c r="AK302" s="93" t="str">
        <f t="shared" si="129"/>
        <v/>
      </c>
      <c r="BQ302" s="100" t="str">
        <f>IF(A302&lt;&gt;"",(VLOOKUP(A302,MarketData!$D:$BP,MATCH($BQ$1,MarketData!$D$1:$EG$1,0),TRUE)/100/365+1)^(B302)*BQ301,"")</f>
        <v/>
      </c>
      <c r="BR302" s="98" t="str">
        <f t="shared" si="107"/>
        <v/>
      </c>
      <c r="BS302" s="106" t="str">
        <f>IF(A302&lt;&gt;"",VLOOKUP(A302,MarketData!$D:$BP,MATCH($BS$1,MarketData!$D$1:$EG$1,0),TRUE),"")</f>
        <v/>
      </c>
      <c r="BT302" s="98" t="str">
        <f t="shared" si="118"/>
        <v/>
      </c>
    </row>
    <row r="303" spans="2:72" x14ac:dyDescent="0.25">
      <c r="B303" s="60" t="str">
        <f t="shared" si="131"/>
        <v/>
      </c>
      <c r="C303" s="3" t="str">
        <f t="shared" si="108"/>
        <v/>
      </c>
      <c r="D303" s="3" t="str">
        <f t="shared" si="109"/>
        <v/>
      </c>
      <c r="E303" s="3" t="str">
        <f t="shared" si="110"/>
        <v/>
      </c>
      <c r="F303" s="3" t="str">
        <f t="shared" si="111"/>
        <v/>
      </c>
      <c r="G303" s="74" t="str">
        <f t="shared" si="112"/>
        <v/>
      </c>
      <c r="H303" s="78" t="str">
        <f>IFERROR(C303/SUM(M$2:M302),"")</f>
        <v/>
      </c>
      <c r="I303" s="61" t="str">
        <f>IFERROR(D303/SUM(N$2:N303),"")</f>
        <v/>
      </c>
      <c r="J303" s="61" t="str">
        <f>IFERROR(E303/SUM(O$2:O303),"")</f>
        <v/>
      </c>
      <c r="K303" s="61" t="str">
        <f>IFERROR(F303/SUM(P$2:P303),"")</f>
        <v/>
      </c>
      <c r="L303" s="79" t="str">
        <f>IFERROR(G303/SUM(Q$2:Q303),"")</f>
        <v/>
      </c>
      <c r="M303" s="64" t="str">
        <f t="shared" si="113"/>
        <v/>
      </c>
      <c r="N303" s="55" t="str">
        <f t="shared" si="114"/>
        <v/>
      </c>
      <c r="O303" s="55" t="str">
        <f t="shared" si="115"/>
        <v/>
      </c>
      <c r="P303" s="55" t="str">
        <f t="shared" si="116"/>
        <v/>
      </c>
      <c r="Q303" s="65" t="str">
        <f t="shared" si="117"/>
        <v/>
      </c>
      <c r="R303" s="67" t="str">
        <f t="shared" si="119"/>
        <v/>
      </c>
      <c r="S303" s="56" t="str">
        <f t="shared" si="120"/>
        <v/>
      </c>
      <c r="T303" s="56" t="str">
        <f t="shared" si="121"/>
        <v/>
      </c>
      <c r="U303" s="56" t="str">
        <f t="shared" si="122"/>
        <v/>
      </c>
      <c r="V303" s="68" t="str">
        <f t="shared" si="123"/>
        <v/>
      </c>
      <c r="W303" s="80" t="str">
        <f t="shared" si="124"/>
        <v/>
      </c>
      <c r="X303" s="81" t="str">
        <f t="shared" si="125"/>
        <v/>
      </c>
      <c r="Y303" s="81" t="str">
        <f t="shared" si="126"/>
        <v/>
      </c>
      <c r="Z303" s="81" t="str">
        <f t="shared" si="127"/>
        <v/>
      </c>
      <c r="AA303" s="82" t="str">
        <f t="shared" si="128"/>
        <v/>
      </c>
      <c r="AB303" s="83" t="str">
        <f>IF(R303&lt;&gt;"",(W303-SUMPRODUCT(R$3:R303,$B$3:$B303)/SUM($B$3:$B303))/STDEVA(W293:W303),"")</f>
        <v/>
      </c>
      <c r="AC303" s="84" t="str">
        <f>IF(S303&lt;&gt;"",(X303-SUMPRODUCT(S$3:S303,$B$3:$B303)/SUM($B$3:$B303))/STDEVA(X293:X303),"")</f>
        <v/>
      </c>
      <c r="AD303" s="84" t="str">
        <f>IF(T303&lt;&gt;"",(Y303-SUMPRODUCT(T$3:T303,$B$3:$B303)/SUM($B$3:$B303))/STDEVA(Y293:Y303),"")</f>
        <v/>
      </c>
      <c r="AE303" s="84" t="str">
        <f>IF(U303&lt;&gt;"",(Z303-SUMPRODUCT(U$3:U303,$B$3:$B303)/SUM($B$3:$B303))/STDEVA(Z293:Z303),"")</f>
        <v/>
      </c>
      <c r="AF303" s="85" t="str">
        <f>IF(V303&lt;&gt;"",(AA303-SUMPRODUCT(V$3:V303,$B$3:$B303)/SUM($B$3:$B303))/STDEVA(AA293:AA303),"")</f>
        <v/>
      </c>
      <c r="AG303" s="90" t="str">
        <f t="shared" si="130"/>
        <v/>
      </c>
      <c r="AH303" s="90" t="str">
        <f t="shared" si="130"/>
        <v/>
      </c>
      <c r="AI303" s="90" t="str">
        <f t="shared" si="130"/>
        <v/>
      </c>
      <c r="AJ303" s="90" t="str">
        <f t="shared" si="129"/>
        <v/>
      </c>
      <c r="AK303" s="93" t="str">
        <f t="shared" si="129"/>
        <v/>
      </c>
      <c r="BQ303" s="100" t="str">
        <f>IF(A303&lt;&gt;"",(VLOOKUP(A303,MarketData!$D:$BP,MATCH($BQ$1,MarketData!$D$1:$EG$1,0),TRUE)/100/365+1)^(B303)*BQ302,"")</f>
        <v/>
      </c>
      <c r="BR303" s="98" t="str">
        <f t="shared" si="107"/>
        <v/>
      </c>
      <c r="BS303" s="106" t="str">
        <f>IF(A303&lt;&gt;"",VLOOKUP(A303,MarketData!$D:$BP,MATCH($BS$1,MarketData!$D$1:$EG$1,0),TRUE),"")</f>
        <v/>
      </c>
      <c r="BT303" s="98" t="str">
        <f t="shared" si="118"/>
        <v/>
      </c>
    </row>
    <row r="304" spans="2:72" x14ac:dyDescent="0.25">
      <c r="B304" s="60" t="str">
        <f t="shared" si="131"/>
        <v/>
      </c>
      <c r="C304" s="3" t="str">
        <f t="shared" si="108"/>
        <v/>
      </c>
      <c r="D304" s="3" t="str">
        <f t="shared" si="109"/>
        <v/>
      </c>
      <c r="E304" s="3" t="str">
        <f t="shared" si="110"/>
        <v/>
      </c>
      <c r="F304" s="3" t="str">
        <f t="shared" si="111"/>
        <v/>
      </c>
      <c r="G304" s="74" t="str">
        <f t="shared" si="112"/>
        <v/>
      </c>
      <c r="H304" s="78" t="str">
        <f>IFERROR(C304/SUM(M$2:M303),"")</f>
        <v/>
      </c>
      <c r="I304" s="61" t="str">
        <f>IFERROR(D304/SUM(N$2:N304),"")</f>
        <v/>
      </c>
      <c r="J304" s="61" t="str">
        <f>IFERROR(E304/SUM(O$2:O304),"")</f>
        <v/>
      </c>
      <c r="K304" s="61" t="str">
        <f>IFERROR(F304/SUM(P$2:P304),"")</f>
        <v/>
      </c>
      <c r="L304" s="79" t="str">
        <f>IFERROR(G304/SUM(Q$2:Q304),"")</f>
        <v/>
      </c>
      <c r="M304" s="64" t="str">
        <f t="shared" si="113"/>
        <v/>
      </c>
      <c r="N304" s="55" t="str">
        <f t="shared" si="114"/>
        <v/>
      </c>
      <c r="O304" s="55" t="str">
        <f t="shared" si="115"/>
        <v/>
      </c>
      <c r="P304" s="55" t="str">
        <f t="shared" si="116"/>
        <v/>
      </c>
      <c r="Q304" s="65" t="str">
        <f t="shared" si="117"/>
        <v/>
      </c>
      <c r="R304" s="67" t="str">
        <f t="shared" si="119"/>
        <v/>
      </c>
      <c r="S304" s="56" t="str">
        <f t="shared" si="120"/>
        <v/>
      </c>
      <c r="T304" s="56" t="str">
        <f t="shared" si="121"/>
        <v/>
      </c>
      <c r="U304" s="56" t="str">
        <f t="shared" si="122"/>
        <v/>
      </c>
      <c r="V304" s="68" t="str">
        <f t="shared" si="123"/>
        <v/>
      </c>
      <c r="W304" s="80" t="str">
        <f t="shared" si="124"/>
        <v/>
      </c>
      <c r="X304" s="81" t="str">
        <f t="shared" si="125"/>
        <v/>
      </c>
      <c r="Y304" s="81" t="str">
        <f t="shared" si="126"/>
        <v/>
      </c>
      <c r="Z304" s="81" t="str">
        <f t="shared" si="127"/>
        <v/>
      </c>
      <c r="AA304" s="82" t="str">
        <f t="shared" si="128"/>
        <v/>
      </c>
      <c r="AB304" s="83" t="str">
        <f>IF(R304&lt;&gt;"",(W304-SUMPRODUCT(R$3:R304,$B$3:$B304)/SUM($B$3:$B304))/STDEVA(W294:W304),"")</f>
        <v/>
      </c>
      <c r="AC304" s="84" t="str">
        <f>IF(S304&lt;&gt;"",(X304-SUMPRODUCT(S$3:S304,$B$3:$B304)/SUM($B$3:$B304))/STDEVA(X294:X304),"")</f>
        <v/>
      </c>
      <c r="AD304" s="84" t="str">
        <f>IF(T304&lt;&gt;"",(Y304-SUMPRODUCT(T$3:T304,$B$3:$B304)/SUM($B$3:$B304))/STDEVA(Y294:Y304),"")</f>
        <v/>
      </c>
      <c r="AE304" s="84" t="str">
        <f>IF(U304&lt;&gt;"",(Z304-SUMPRODUCT(U$3:U304,$B$3:$B304)/SUM($B$3:$B304))/STDEVA(Z294:Z304),"")</f>
        <v/>
      </c>
      <c r="AF304" s="85" t="str">
        <f>IF(V304&lt;&gt;"",(AA304-SUMPRODUCT(V$3:V304,$B$3:$B304)/SUM($B$3:$B304))/STDEVA(AA294:AA304),"")</f>
        <v/>
      </c>
      <c r="AG304" s="90" t="str">
        <f t="shared" si="130"/>
        <v/>
      </c>
      <c r="AH304" s="90" t="str">
        <f t="shared" si="130"/>
        <v/>
      </c>
      <c r="AI304" s="90" t="str">
        <f t="shared" si="130"/>
        <v/>
      </c>
      <c r="AJ304" s="90" t="str">
        <f t="shared" si="129"/>
        <v/>
      </c>
      <c r="AK304" s="93" t="str">
        <f t="shared" si="129"/>
        <v/>
      </c>
      <c r="BQ304" s="100" t="str">
        <f>IF(A304&lt;&gt;"",(VLOOKUP(A304,MarketData!$D:$BP,MATCH($BQ$1,MarketData!$D$1:$EG$1,0),TRUE)/100/365+1)^(B304)*BQ303,"")</f>
        <v/>
      </c>
      <c r="BR304" s="98" t="str">
        <f t="shared" si="107"/>
        <v/>
      </c>
      <c r="BS304" s="106" t="str">
        <f>IF(A304&lt;&gt;"",VLOOKUP(A304,MarketData!$D:$BP,MATCH($BS$1,MarketData!$D$1:$EG$1,0),TRUE),"")</f>
        <v/>
      </c>
      <c r="BT304" s="98" t="str">
        <f t="shared" si="118"/>
        <v/>
      </c>
    </row>
    <row r="305" spans="2:72" x14ac:dyDescent="0.25">
      <c r="B305" s="60" t="str">
        <f t="shared" si="131"/>
        <v/>
      </c>
      <c r="C305" s="3" t="str">
        <f t="shared" si="108"/>
        <v/>
      </c>
      <c r="D305" s="3" t="str">
        <f t="shared" si="109"/>
        <v/>
      </c>
      <c r="E305" s="3" t="str">
        <f t="shared" si="110"/>
        <v/>
      </c>
      <c r="F305" s="3" t="str">
        <f t="shared" si="111"/>
        <v/>
      </c>
      <c r="G305" s="74" t="str">
        <f t="shared" si="112"/>
        <v/>
      </c>
      <c r="H305" s="78" t="str">
        <f>IFERROR(C305/SUM(M$2:M304),"")</f>
        <v/>
      </c>
      <c r="I305" s="61" t="str">
        <f>IFERROR(D305/SUM(N$2:N305),"")</f>
        <v/>
      </c>
      <c r="J305" s="61" t="str">
        <f>IFERROR(E305/SUM(O$2:O305),"")</f>
        <v/>
      </c>
      <c r="K305" s="61" t="str">
        <f>IFERROR(F305/SUM(P$2:P305),"")</f>
        <v/>
      </c>
      <c r="L305" s="79" t="str">
        <f>IFERROR(G305/SUM(Q$2:Q305),"")</f>
        <v/>
      </c>
      <c r="M305" s="64" t="str">
        <f t="shared" si="113"/>
        <v/>
      </c>
      <c r="N305" s="55" t="str">
        <f t="shared" si="114"/>
        <v/>
      </c>
      <c r="O305" s="55" t="str">
        <f t="shared" si="115"/>
        <v/>
      </c>
      <c r="P305" s="55" t="str">
        <f t="shared" si="116"/>
        <v/>
      </c>
      <c r="Q305" s="65" t="str">
        <f t="shared" si="117"/>
        <v/>
      </c>
      <c r="R305" s="67" t="str">
        <f t="shared" si="119"/>
        <v/>
      </c>
      <c r="S305" s="56" t="str">
        <f t="shared" si="120"/>
        <v/>
      </c>
      <c r="T305" s="56" t="str">
        <f t="shared" si="121"/>
        <v/>
      </c>
      <c r="U305" s="56" t="str">
        <f t="shared" si="122"/>
        <v/>
      </c>
      <c r="V305" s="68" t="str">
        <f t="shared" si="123"/>
        <v/>
      </c>
      <c r="W305" s="80" t="str">
        <f t="shared" si="124"/>
        <v/>
      </c>
      <c r="X305" s="81" t="str">
        <f t="shared" si="125"/>
        <v/>
      </c>
      <c r="Y305" s="81" t="str">
        <f t="shared" si="126"/>
        <v/>
      </c>
      <c r="Z305" s="81" t="str">
        <f t="shared" si="127"/>
        <v/>
      </c>
      <c r="AA305" s="82" t="str">
        <f t="shared" si="128"/>
        <v/>
      </c>
      <c r="AB305" s="83" t="str">
        <f>IF(R305&lt;&gt;"",(W305-SUMPRODUCT(R$3:R305,$B$3:$B305)/SUM($B$3:$B305))/STDEVA(W295:W305),"")</f>
        <v/>
      </c>
      <c r="AC305" s="84" t="str">
        <f>IF(S305&lt;&gt;"",(X305-SUMPRODUCT(S$3:S305,$B$3:$B305)/SUM($B$3:$B305))/STDEVA(X295:X305),"")</f>
        <v/>
      </c>
      <c r="AD305" s="84" t="str">
        <f>IF(T305&lt;&gt;"",(Y305-SUMPRODUCT(T$3:T305,$B$3:$B305)/SUM($B$3:$B305))/STDEVA(Y295:Y305),"")</f>
        <v/>
      </c>
      <c r="AE305" s="84" t="str">
        <f>IF(U305&lt;&gt;"",(Z305-SUMPRODUCT(U$3:U305,$B$3:$B305)/SUM($B$3:$B305))/STDEVA(Z295:Z305),"")</f>
        <v/>
      </c>
      <c r="AF305" s="85" t="str">
        <f>IF(V305&lt;&gt;"",(AA305-SUMPRODUCT(V$3:V305,$B$3:$B305)/SUM($B$3:$B305))/STDEVA(AA295:AA305),"")</f>
        <v/>
      </c>
      <c r="AG305" s="90" t="str">
        <f t="shared" si="130"/>
        <v/>
      </c>
      <c r="AH305" s="90" t="str">
        <f t="shared" si="130"/>
        <v/>
      </c>
      <c r="AI305" s="90" t="str">
        <f t="shared" si="130"/>
        <v/>
      </c>
      <c r="AJ305" s="90" t="str">
        <f t="shared" si="129"/>
        <v/>
      </c>
      <c r="AK305" s="93" t="str">
        <f t="shared" si="129"/>
        <v/>
      </c>
      <c r="BQ305" s="100" t="str">
        <f>IF(A305&lt;&gt;"",(VLOOKUP(A305,MarketData!$D:$BP,MATCH($BQ$1,MarketData!$D$1:$EG$1,0),TRUE)/100/365+1)^(B305)*BQ304,"")</f>
        <v/>
      </c>
      <c r="BR305" s="98" t="str">
        <f t="shared" si="107"/>
        <v/>
      </c>
      <c r="BS305" s="106" t="str">
        <f>IF(A305&lt;&gt;"",VLOOKUP(A305,MarketData!$D:$BP,MATCH($BS$1,MarketData!$D$1:$EG$1,0),TRUE),"")</f>
        <v/>
      </c>
      <c r="BT305" s="98" t="str">
        <f t="shared" si="118"/>
        <v/>
      </c>
    </row>
    <row r="306" spans="2:72" x14ac:dyDescent="0.25">
      <c r="B306" s="60" t="str">
        <f t="shared" si="131"/>
        <v/>
      </c>
      <c r="C306" s="3" t="str">
        <f t="shared" si="108"/>
        <v/>
      </c>
      <c r="D306" s="3" t="str">
        <f t="shared" si="109"/>
        <v/>
      </c>
      <c r="E306" s="3" t="str">
        <f t="shared" si="110"/>
        <v/>
      </c>
      <c r="F306" s="3" t="str">
        <f t="shared" si="111"/>
        <v/>
      </c>
      <c r="G306" s="74" t="str">
        <f t="shared" si="112"/>
        <v/>
      </c>
      <c r="H306" s="78" t="str">
        <f>IFERROR(C306/SUM(M$2:M305),"")</f>
        <v/>
      </c>
      <c r="I306" s="61" t="str">
        <f>IFERROR(D306/SUM(N$2:N306),"")</f>
        <v/>
      </c>
      <c r="J306" s="61" t="str">
        <f>IFERROR(E306/SUM(O$2:O306),"")</f>
        <v/>
      </c>
      <c r="K306" s="61" t="str">
        <f>IFERROR(F306/SUM(P$2:P306),"")</f>
        <v/>
      </c>
      <c r="L306" s="79" t="str">
        <f>IFERROR(G306/SUM(Q$2:Q306),"")</f>
        <v/>
      </c>
      <c r="M306" s="64" t="str">
        <f t="shared" si="113"/>
        <v/>
      </c>
      <c r="N306" s="55" t="str">
        <f t="shared" si="114"/>
        <v/>
      </c>
      <c r="O306" s="55" t="str">
        <f t="shared" si="115"/>
        <v/>
      </c>
      <c r="P306" s="55" t="str">
        <f t="shared" si="116"/>
        <v/>
      </c>
      <c r="Q306" s="65" t="str">
        <f t="shared" si="117"/>
        <v/>
      </c>
      <c r="R306" s="67" t="str">
        <f t="shared" si="119"/>
        <v/>
      </c>
      <c r="S306" s="56" t="str">
        <f t="shared" si="120"/>
        <v/>
      </c>
      <c r="T306" s="56" t="str">
        <f t="shared" si="121"/>
        <v/>
      </c>
      <c r="U306" s="56" t="str">
        <f t="shared" si="122"/>
        <v/>
      </c>
      <c r="V306" s="68" t="str">
        <f t="shared" si="123"/>
        <v/>
      </c>
      <c r="W306" s="80" t="str">
        <f t="shared" si="124"/>
        <v/>
      </c>
      <c r="X306" s="81" t="str">
        <f t="shared" si="125"/>
        <v/>
      </c>
      <c r="Y306" s="81" t="str">
        <f t="shared" si="126"/>
        <v/>
      </c>
      <c r="Z306" s="81" t="str">
        <f t="shared" si="127"/>
        <v/>
      </c>
      <c r="AA306" s="82" t="str">
        <f t="shared" si="128"/>
        <v/>
      </c>
      <c r="AB306" s="83" t="str">
        <f>IF(R306&lt;&gt;"",(W306-SUMPRODUCT(R$3:R306,$B$3:$B306)/SUM($B$3:$B306))/STDEVA(W296:W306),"")</f>
        <v/>
      </c>
      <c r="AC306" s="84" t="str">
        <f>IF(S306&lt;&gt;"",(X306-SUMPRODUCT(S$3:S306,$B$3:$B306)/SUM($B$3:$B306))/STDEVA(X296:X306),"")</f>
        <v/>
      </c>
      <c r="AD306" s="84" t="str">
        <f>IF(T306&lt;&gt;"",(Y306-SUMPRODUCT(T$3:T306,$B$3:$B306)/SUM($B$3:$B306))/STDEVA(Y296:Y306),"")</f>
        <v/>
      </c>
      <c r="AE306" s="84" t="str">
        <f>IF(U306&lt;&gt;"",(Z306-SUMPRODUCT(U$3:U306,$B$3:$B306)/SUM($B$3:$B306))/STDEVA(Z296:Z306),"")</f>
        <v/>
      </c>
      <c r="AF306" s="85" t="str">
        <f>IF(V306&lt;&gt;"",(AA306-SUMPRODUCT(V$3:V306,$B$3:$B306)/SUM($B$3:$B306))/STDEVA(AA296:AA306),"")</f>
        <v/>
      </c>
      <c r="AG306" s="90" t="str">
        <f t="shared" si="130"/>
        <v/>
      </c>
      <c r="AH306" s="90" t="str">
        <f t="shared" si="130"/>
        <v/>
      </c>
      <c r="AI306" s="90" t="str">
        <f t="shared" si="130"/>
        <v/>
      </c>
      <c r="AJ306" s="90" t="str">
        <f t="shared" si="129"/>
        <v/>
      </c>
      <c r="AK306" s="93" t="str">
        <f t="shared" si="129"/>
        <v/>
      </c>
      <c r="BQ306" s="100" t="str">
        <f>IF(A306&lt;&gt;"",(VLOOKUP(A306,MarketData!$D:$BP,MATCH($BQ$1,MarketData!$D$1:$EG$1,0),TRUE)/100/365+1)^(B306)*BQ305,"")</f>
        <v/>
      </c>
      <c r="BR306" s="98" t="str">
        <f t="shared" si="107"/>
        <v/>
      </c>
      <c r="BS306" s="106" t="str">
        <f>IF(A306&lt;&gt;"",VLOOKUP(A306,MarketData!$D:$BP,MATCH($BS$1,MarketData!$D$1:$EG$1,0),TRUE),"")</f>
        <v/>
      </c>
      <c r="BT306" s="98" t="str">
        <f t="shared" si="118"/>
        <v/>
      </c>
    </row>
    <row r="307" spans="2:72" x14ac:dyDescent="0.25">
      <c r="B307" s="60" t="str">
        <f t="shared" si="131"/>
        <v/>
      </c>
      <c r="C307" s="3" t="str">
        <f t="shared" si="108"/>
        <v/>
      </c>
      <c r="D307" s="3" t="str">
        <f t="shared" si="109"/>
        <v/>
      </c>
      <c r="E307" s="3" t="str">
        <f t="shared" si="110"/>
        <v/>
      </c>
      <c r="F307" s="3" t="str">
        <f t="shared" si="111"/>
        <v/>
      </c>
      <c r="G307" s="74" t="str">
        <f t="shared" si="112"/>
        <v/>
      </c>
      <c r="H307" s="78" t="str">
        <f>IFERROR(C307/SUM(M$2:M306),"")</f>
        <v/>
      </c>
      <c r="I307" s="61" t="str">
        <f>IFERROR(D307/SUM(N$2:N307),"")</f>
        <v/>
      </c>
      <c r="J307" s="61" t="str">
        <f>IFERROR(E307/SUM(O$2:O307),"")</f>
        <v/>
      </c>
      <c r="K307" s="61" t="str">
        <f>IFERROR(F307/SUM(P$2:P307),"")</f>
        <v/>
      </c>
      <c r="L307" s="79" t="str">
        <f>IFERROR(G307/SUM(Q$2:Q307),"")</f>
        <v/>
      </c>
      <c r="M307" s="64" t="str">
        <f t="shared" si="113"/>
        <v/>
      </c>
      <c r="N307" s="55" t="str">
        <f t="shared" si="114"/>
        <v/>
      </c>
      <c r="O307" s="55" t="str">
        <f t="shared" si="115"/>
        <v/>
      </c>
      <c r="P307" s="55" t="str">
        <f t="shared" si="116"/>
        <v/>
      </c>
      <c r="Q307" s="65" t="str">
        <f t="shared" si="117"/>
        <v/>
      </c>
      <c r="R307" s="67" t="str">
        <f t="shared" si="119"/>
        <v/>
      </c>
      <c r="S307" s="56" t="str">
        <f t="shared" si="120"/>
        <v/>
      </c>
      <c r="T307" s="56" t="str">
        <f t="shared" si="121"/>
        <v/>
      </c>
      <c r="U307" s="56" t="str">
        <f t="shared" si="122"/>
        <v/>
      </c>
      <c r="V307" s="68" t="str">
        <f t="shared" si="123"/>
        <v/>
      </c>
      <c r="W307" s="80" t="str">
        <f t="shared" si="124"/>
        <v/>
      </c>
      <c r="X307" s="81" t="str">
        <f t="shared" si="125"/>
        <v/>
      </c>
      <c r="Y307" s="81" t="str">
        <f t="shared" si="126"/>
        <v/>
      </c>
      <c r="Z307" s="81" t="str">
        <f t="shared" si="127"/>
        <v/>
      </c>
      <c r="AA307" s="82" t="str">
        <f t="shared" si="128"/>
        <v/>
      </c>
      <c r="AB307" s="83" t="str">
        <f>IF(R307&lt;&gt;"",(W307-SUMPRODUCT(R$3:R307,$B$3:$B307)/SUM($B$3:$B307))/STDEVA(W297:W307),"")</f>
        <v/>
      </c>
      <c r="AC307" s="84" t="str">
        <f>IF(S307&lt;&gt;"",(X307-SUMPRODUCT(S$3:S307,$B$3:$B307)/SUM($B$3:$B307))/STDEVA(X297:X307),"")</f>
        <v/>
      </c>
      <c r="AD307" s="84" t="str">
        <f>IF(T307&lt;&gt;"",(Y307-SUMPRODUCT(T$3:T307,$B$3:$B307)/SUM($B$3:$B307))/STDEVA(Y297:Y307),"")</f>
        <v/>
      </c>
      <c r="AE307" s="84" t="str">
        <f>IF(U307&lt;&gt;"",(Z307-SUMPRODUCT(U$3:U307,$B$3:$B307)/SUM($B$3:$B307))/STDEVA(Z297:Z307),"")</f>
        <v/>
      </c>
      <c r="AF307" s="85" t="str">
        <f>IF(V307&lt;&gt;"",(AA307-SUMPRODUCT(V$3:V307,$B$3:$B307)/SUM($B$3:$B307))/STDEVA(AA297:AA307),"")</f>
        <v/>
      </c>
      <c r="AG307" s="90" t="str">
        <f t="shared" si="130"/>
        <v/>
      </c>
      <c r="AH307" s="90" t="str">
        <f t="shared" si="130"/>
        <v/>
      </c>
      <c r="AI307" s="90" t="str">
        <f t="shared" si="130"/>
        <v/>
      </c>
      <c r="AJ307" s="90" t="str">
        <f t="shared" si="129"/>
        <v/>
      </c>
      <c r="AK307" s="93" t="str">
        <f t="shared" si="129"/>
        <v/>
      </c>
      <c r="BQ307" s="100" t="str">
        <f>IF(A307&lt;&gt;"",(VLOOKUP(A307,MarketData!$D:$BP,MATCH($BQ$1,MarketData!$D$1:$EG$1,0),TRUE)/100/365+1)^(B307)*BQ306,"")</f>
        <v/>
      </c>
      <c r="BR307" s="98" t="str">
        <f t="shared" si="107"/>
        <v/>
      </c>
      <c r="BS307" s="106" t="str">
        <f>IF(A307&lt;&gt;"",VLOOKUP(A307,MarketData!$D:$BP,MATCH($BS$1,MarketData!$D$1:$EG$1,0),TRUE),"")</f>
        <v/>
      </c>
      <c r="BT307" s="98" t="str">
        <f t="shared" si="118"/>
        <v/>
      </c>
    </row>
    <row r="308" spans="2:72" x14ac:dyDescent="0.25">
      <c r="B308" s="60" t="str">
        <f t="shared" si="131"/>
        <v/>
      </c>
      <c r="C308" s="3" t="str">
        <f t="shared" si="108"/>
        <v/>
      </c>
      <c r="D308" s="3" t="str">
        <f t="shared" si="109"/>
        <v/>
      </c>
      <c r="E308" s="3" t="str">
        <f t="shared" si="110"/>
        <v/>
      </c>
      <c r="F308" s="3" t="str">
        <f t="shared" si="111"/>
        <v/>
      </c>
      <c r="G308" s="74" t="str">
        <f t="shared" si="112"/>
        <v/>
      </c>
      <c r="H308" s="78" t="str">
        <f>IFERROR(C308/SUM(M$2:M307),"")</f>
        <v/>
      </c>
      <c r="I308" s="61" t="str">
        <f>IFERROR(D308/SUM(N$2:N308),"")</f>
        <v/>
      </c>
      <c r="J308" s="61" t="str">
        <f>IFERROR(E308/SUM(O$2:O308),"")</f>
        <v/>
      </c>
      <c r="K308" s="61" t="str">
        <f>IFERROR(F308/SUM(P$2:P308),"")</f>
        <v/>
      </c>
      <c r="L308" s="79" t="str">
        <f>IFERROR(G308/SUM(Q$2:Q308),"")</f>
        <v/>
      </c>
      <c r="M308" s="64" t="str">
        <f t="shared" si="113"/>
        <v/>
      </c>
      <c r="N308" s="55" t="str">
        <f t="shared" si="114"/>
        <v/>
      </c>
      <c r="O308" s="55" t="str">
        <f t="shared" si="115"/>
        <v/>
      </c>
      <c r="P308" s="55" t="str">
        <f t="shared" si="116"/>
        <v/>
      </c>
      <c r="Q308" s="65" t="str">
        <f t="shared" si="117"/>
        <v/>
      </c>
      <c r="R308" s="67" t="str">
        <f t="shared" si="119"/>
        <v/>
      </c>
      <c r="S308" s="56" t="str">
        <f t="shared" si="120"/>
        <v/>
      </c>
      <c r="T308" s="56" t="str">
        <f t="shared" si="121"/>
        <v/>
      </c>
      <c r="U308" s="56" t="str">
        <f t="shared" si="122"/>
        <v/>
      </c>
      <c r="V308" s="68" t="str">
        <f t="shared" si="123"/>
        <v/>
      </c>
      <c r="W308" s="80" t="str">
        <f t="shared" si="124"/>
        <v/>
      </c>
      <c r="X308" s="81" t="str">
        <f t="shared" si="125"/>
        <v/>
      </c>
      <c r="Y308" s="81" t="str">
        <f t="shared" si="126"/>
        <v/>
      </c>
      <c r="Z308" s="81" t="str">
        <f t="shared" si="127"/>
        <v/>
      </c>
      <c r="AA308" s="82" t="str">
        <f t="shared" si="128"/>
        <v/>
      </c>
      <c r="AB308" s="83" t="str">
        <f>IF(R308&lt;&gt;"",(W308-SUMPRODUCT(R$3:R308,$B$3:$B308)/SUM($B$3:$B308))/STDEVA(W298:W308),"")</f>
        <v/>
      </c>
      <c r="AC308" s="84" t="str">
        <f>IF(S308&lt;&gt;"",(X308-SUMPRODUCT(S$3:S308,$B$3:$B308)/SUM($B$3:$B308))/STDEVA(X298:X308),"")</f>
        <v/>
      </c>
      <c r="AD308" s="84" t="str">
        <f>IF(T308&lt;&gt;"",(Y308-SUMPRODUCT(T$3:T308,$B$3:$B308)/SUM($B$3:$B308))/STDEVA(Y298:Y308),"")</f>
        <v/>
      </c>
      <c r="AE308" s="84" t="str">
        <f>IF(U308&lt;&gt;"",(Z308-SUMPRODUCT(U$3:U308,$B$3:$B308)/SUM($B$3:$B308))/STDEVA(Z298:Z308),"")</f>
        <v/>
      </c>
      <c r="AF308" s="85" t="str">
        <f>IF(V308&lt;&gt;"",(AA308-SUMPRODUCT(V$3:V308,$B$3:$B308)/SUM($B$3:$B308))/STDEVA(AA298:AA308),"")</f>
        <v/>
      </c>
      <c r="AG308" s="90" t="str">
        <f t="shared" si="130"/>
        <v/>
      </c>
      <c r="AH308" s="90" t="str">
        <f t="shared" si="130"/>
        <v/>
      </c>
      <c r="AI308" s="90" t="str">
        <f t="shared" si="130"/>
        <v/>
      </c>
      <c r="AJ308" s="90" t="str">
        <f t="shared" si="129"/>
        <v/>
      </c>
      <c r="AK308" s="93" t="str">
        <f t="shared" si="129"/>
        <v/>
      </c>
      <c r="BQ308" s="100" t="str">
        <f>IF(A308&lt;&gt;"",(VLOOKUP(A308,MarketData!$D:$BP,MATCH($BQ$1,MarketData!$D$1:$EG$1,0),TRUE)/100/365+1)^(B308)*BQ307,"")</f>
        <v/>
      </c>
      <c r="BR308" s="98" t="str">
        <f t="shared" si="107"/>
        <v/>
      </c>
      <c r="BS308" s="106" t="str">
        <f>IF(A308&lt;&gt;"",VLOOKUP(A308,MarketData!$D:$BP,MATCH($BS$1,MarketData!$D$1:$EG$1,0),TRUE),"")</f>
        <v/>
      </c>
      <c r="BT308" s="98" t="str">
        <f t="shared" si="118"/>
        <v/>
      </c>
    </row>
    <row r="309" spans="2:72" x14ac:dyDescent="0.25">
      <c r="B309" s="60" t="str">
        <f t="shared" si="131"/>
        <v/>
      </c>
      <c r="C309" s="3" t="str">
        <f t="shared" si="108"/>
        <v/>
      </c>
      <c r="D309" s="3" t="str">
        <f t="shared" si="109"/>
        <v/>
      </c>
      <c r="E309" s="3" t="str">
        <f t="shared" si="110"/>
        <v/>
      </c>
      <c r="F309" s="3" t="str">
        <f t="shared" si="111"/>
        <v/>
      </c>
      <c r="G309" s="74" t="str">
        <f t="shared" si="112"/>
        <v/>
      </c>
      <c r="H309" s="78" t="str">
        <f>IFERROR(C309/SUM(M$2:M308),"")</f>
        <v/>
      </c>
      <c r="I309" s="61" t="str">
        <f>IFERROR(D309/SUM(N$2:N309),"")</f>
        <v/>
      </c>
      <c r="J309" s="61" t="str">
        <f>IFERROR(E309/SUM(O$2:O309),"")</f>
        <v/>
      </c>
      <c r="K309" s="61" t="str">
        <f>IFERROR(F309/SUM(P$2:P309),"")</f>
        <v/>
      </c>
      <c r="L309" s="79" t="str">
        <f>IFERROR(G309/SUM(Q$2:Q309),"")</f>
        <v/>
      </c>
      <c r="M309" s="64" t="str">
        <f t="shared" si="113"/>
        <v/>
      </c>
      <c r="N309" s="55" t="str">
        <f t="shared" si="114"/>
        <v/>
      </c>
      <c r="O309" s="55" t="str">
        <f t="shared" si="115"/>
        <v/>
      </c>
      <c r="P309" s="55" t="str">
        <f t="shared" si="116"/>
        <v/>
      </c>
      <c r="Q309" s="65" t="str">
        <f t="shared" si="117"/>
        <v/>
      </c>
      <c r="R309" s="67" t="str">
        <f t="shared" si="119"/>
        <v/>
      </c>
      <c r="S309" s="56" t="str">
        <f t="shared" si="120"/>
        <v/>
      </c>
      <c r="T309" s="56" t="str">
        <f t="shared" si="121"/>
        <v/>
      </c>
      <c r="U309" s="56" t="str">
        <f t="shared" si="122"/>
        <v/>
      </c>
      <c r="V309" s="68" t="str">
        <f t="shared" si="123"/>
        <v/>
      </c>
      <c r="W309" s="80" t="str">
        <f t="shared" si="124"/>
        <v/>
      </c>
      <c r="X309" s="81" t="str">
        <f t="shared" si="125"/>
        <v/>
      </c>
      <c r="Y309" s="81" t="str">
        <f t="shared" si="126"/>
        <v/>
      </c>
      <c r="Z309" s="81" t="str">
        <f t="shared" si="127"/>
        <v/>
      </c>
      <c r="AA309" s="82" t="str">
        <f t="shared" si="128"/>
        <v/>
      </c>
      <c r="AB309" s="83" t="str">
        <f>IF(R309&lt;&gt;"",(W309-SUMPRODUCT(R$3:R309,$B$3:$B309)/SUM($B$3:$B309))/STDEVA(W299:W309),"")</f>
        <v/>
      </c>
      <c r="AC309" s="84" t="str">
        <f>IF(S309&lt;&gt;"",(X309-SUMPRODUCT(S$3:S309,$B$3:$B309)/SUM($B$3:$B309))/STDEVA(X299:X309),"")</f>
        <v/>
      </c>
      <c r="AD309" s="84" t="str">
        <f>IF(T309&lt;&gt;"",(Y309-SUMPRODUCT(T$3:T309,$B$3:$B309)/SUM($B$3:$B309))/STDEVA(Y299:Y309),"")</f>
        <v/>
      </c>
      <c r="AE309" s="84" t="str">
        <f>IF(U309&lt;&gt;"",(Z309-SUMPRODUCT(U$3:U309,$B$3:$B309)/SUM($B$3:$B309))/STDEVA(Z299:Z309),"")</f>
        <v/>
      </c>
      <c r="AF309" s="85" t="str">
        <f>IF(V309&lt;&gt;"",(AA309-SUMPRODUCT(V$3:V309,$B$3:$B309)/SUM($B$3:$B309))/STDEVA(AA299:AA309),"")</f>
        <v/>
      </c>
      <c r="AG309" s="90" t="str">
        <f t="shared" si="130"/>
        <v/>
      </c>
      <c r="AH309" s="90" t="str">
        <f t="shared" si="130"/>
        <v/>
      </c>
      <c r="AI309" s="90" t="str">
        <f t="shared" si="130"/>
        <v/>
      </c>
      <c r="AJ309" s="90" t="str">
        <f t="shared" si="129"/>
        <v/>
      </c>
      <c r="AK309" s="93" t="str">
        <f t="shared" si="129"/>
        <v/>
      </c>
      <c r="BQ309" s="100" t="str">
        <f>IF(A309&lt;&gt;"",(VLOOKUP(A309,MarketData!$D:$BP,MATCH($BQ$1,MarketData!$D$1:$EG$1,0),TRUE)/100/365+1)^(B309)*BQ308,"")</f>
        <v/>
      </c>
      <c r="BR309" s="98" t="str">
        <f t="shared" si="107"/>
        <v/>
      </c>
      <c r="BS309" s="106" t="str">
        <f>IF(A309&lt;&gt;"",VLOOKUP(A309,MarketData!$D:$BP,MATCH($BS$1,MarketData!$D$1:$EG$1,0),TRUE),"")</f>
        <v/>
      </c>
      <c r="BT309" s="98" t="str">
        <f t="shared" si="118"/>
        <v/>
      </c>
    </row>
    <row r="310" spans="2:72" x14ac:dyDescent="0.25">
      <c r="B310" s="60" t="str">
        <f t="shared" si="131"/>
        <v/>
      </c>
      <c r="C310" s="3" t="str">
        <f t="shared" si="108"/>
        <v/>
      </c>
      <c r="D310" s="3" t="str">
        <f t="shared" si="109"/>
        <v/>
      </c>
      <c r="E310" s="3" t="str">
        <f t="shared" si="110"/>
        <v/>
      </c>
      <c r="F310" s="3" t="str">
        <f t="shared" si="111"/>
        <v/>
      </c>
      <c r="G310" s="74" t="str">
        <f t="shared" si="112"/>
        <v/>
      </c>
      <c r="H310" s="78" t="str">
        <f>IFERROR(C310/SUM(M$2:M309),"")</f>
        <v/>
      </c>
      <c r="I310" s="61" t="str">
        <f>IFERROR(D310/SUM(N$2:N310),"")</f>
        <v/>
      </c>
      <c r="J310" s="61" t="str">
        <f>IFERROR(E310/SUM(O$2:O310),"")</f>
        <v/>
      </c>
      <c r="K310" s="61" t="str">
        <f>IFERROR(F310/SUM(P$2:P310),"")</f>
        <v/>
      </c>
      <c r="L310" s="79" t="str">
        <f>IFERROR(G310/SUM(Q$2:Q310),"")</f>
        <v/>
      </c>
      <c r="M310" s="64" t="str">
        <f t="shared" si="113"/>
        <v/>
      </c>
      <c r="N310" s="55" t="str">
        <f t="shared" si="114"/>
        <v/>
      </c>
      <c r="O310" s="55" t="str">
        <f t="shared" si="115"/>
        <v/>
      </c>
      <c r="P310" s="55" t="str">
        <f t="shared" si="116"/>
        <v/>
      </c>
      <c r="Q310" s="65" t="str">
        <f t="shared" si="117"/>
        <v/>
      </c>
      <c r="R310" s="67" t="str">
        <f t="shared" si="119"/>
        <v/>
      </c>
      <c r="S310" s="56" t="str">
        <f t="shared" si="120"/>
        <v/>
      </c>
      <c r="T310" s="56" t="str">
        <f t="shared" si="121"/>
        <v/>
      </c>
      <c r="U310" s="56" t="str">
        <f t="shared" si="122"/>
        <v/>
      </c>
      <c r="V310" s="68" t="str">
        <f t="shared" si="123"/>
        <v/>
      </c>
      <c r="W310" s="80" t="str">
        <f t="shared" si="124"/>
        <v/>
      </c>
      <c r="X310" s="81" t="str">
        <f t="shared" si="125"/>
        <v/>
      </c>
      <c r="Y310" s="81" t="str">
        <f t="shared" si="126"/>
        <v/>
      </c>
      <c r="Z310" s="81" t="str">
        <f t="shared" si="127"/>
        <v/>
      </c>
      <c r="AA310" s="82" t="str">
        <f t="shared" si="128"/>
        <v/>
      </c>
      <c r="AB310" s="83" t="str">
        <f>IF(R310&lt;&gt;"",(W310-SUMPRODUCT(R$3:R310,$B$3:$B310)/SUM($B$3:$B310))/STDEVA(W300:W310),"")</f>
        <v/>
      </c>
      <c r="AC310" s="84" t="str">
        <f>IF(S310&lt;&gt;"",(X310-SUMPRODUCT(S$3:S310,$B$3:$B310)/SUM($B$3:$B310))/STDEVA(X300:X310),"")</f>
        <v/>
      </c>
      <c r="AD310" s="84" t="str">
        <f>IF(T310&lt;&gt;"",(Y310-SUMPRODUCT(T$3:T310,$B$3:$B310)/SUM($B$3:$B310))/STDEVA(Y300:Y310),"")</f>
        <v/>
      </c>
      <c r="AE310" s="84" t="str">
        <f>IF(U310&lt;&gt;"",(Z310-SUMPRODUCT(U$3:U310,$B$3:$B310)/SUM($B$3:$B310))/STDEVA(Z300:Z310),"")</f>
        <v/>
      </c>
      <c r="AF310" s="85" t="str">
        <f>IF(V310&lt;&gt;"",(AA310-SUMPRODUCT(V$3:V310,$B$3:$B310)/SUM($B$3:$B310))/STDEVA(AA300:AA310),"")</f>
        <v/>
      </c>
      <c r="AG310" s="90" t="str">
        <f t="shared" si="130"/>
        <v/>
      </c>
      <c r="AH310" s="90" t="str">
        <f t="shared" si="130"/>
        <v/>
      </c>
      <c r="AI310" s="90" t="str">
        <f t="shared" si="130"/>
        <v/>
      </c>
      <c r="AJ310" s="90" t="str">
        <f t="shared" si="129"/>
        <v/>
      </c>
      <c r="AK310" s="93" t="str">
        <f t="shared" si="129"/>
        <v/>
      </c>
      <c r="BQ310" s="100" t="str">
        <f>IF(A310&lt;&gt;"",(VLOOKUP(A310,MarketData!$D:$BP,MATCH($BQ$1,MarketData!$D$1:$EG$1,0),TRUE)/100/365+1)^(B310)*BQ309,"")</f>
        <v/>
      </c>
      <c r="BR310" s="98" t="str">
        <f t="shared" si="107"/>
        <v/>
      </c>
      <c r="BS310" s="106" t="str">
        <f>IF(A310&lt;&gt;"",VLOOKUP(A310,MarketData!$D:$BP,MATCH($BS$1,MarketData!$D$1:$EG$1,0),TRUE),"")</f>
        <v/>
      </c>
      <c r="BT310" s="98" t="str">
        <f t="shared" si="118"/>
        <v/>
      </c>
    </row>
    <row r="311" spans="2:72" x14ac:dyDescent="0.25">
      <c r="B311" s="60" t="str">
        <f t="shared" si="131"/>
        <v/>
      </c>
      <c r="C311" s="3" t="str">
        <f t="shared" si="108"/>
        <v/>
      </c>
      <c r="D311" s="3" t="str">
        <f t="shared" si="109"/>
        <v/>
      </c>
      <c r="E311" s="3" t="str">
        <f t="shared" si="110"/>
        <v/>
      </c>
      <c r="F311" s="3" t="str">
        <f t="shared" si="111"/>
        <v/>
      </c>
      <c r="G311" s="74" t="str">
        <f t="shared" si="112"/>
        <v/>
      </c>
      <c r="H311" s="78" t="str">
        <f>IFERROR(C311/SUM(M$2:M310),"")</f>
        <v/>
      </c>
      <c r="I311" s="61" t="str">
        <f>IFERROR(D311/SUM(N$2:N311),"")</f>
        <v/>
      </c>
      <c r="J311" s="61" t="str">
        <f>IFERROR(E311/SUM(O$2:O311),"")</f>
        <v/>
      </c>
      <c r="K311" s="61" t="str">
        <f>IFERROR(F311/SUM(P$2:P311),"")</f>
        <v/>
      </c>
      <c r="L311" s="79" t="str">
        <f>IFERROR(G311/SUM(Q$2:Q311),"")</f>
        <v/>
      </c>
      <c r="M311" s="64" t="str">
        <f t="shared" si="113"/>
        <v/>
      </c>
      <c r="N311" s="55" t="str">
        <f t="shared" si="114"/>
        <v/>
      </c>
      <c r="O311" s="55" t="str">
        <f t="shared" si="115"/>
        <v/>
      </c>
      <c r="P311" s="55" t="str">
        <f t="shared" si="116"/>
        <v/>
      </c>
      <c r="Q311" s="65" t="str">
        <f t="shared" si="117"/>
        <v/>
      </c>
      <c r="R311" s="67" t="str">
        <f t="shared" si="119"/>
        <v/>
      </c>
      <c r="S311" s="56" t="str">
        <f t="shared" si="120"/>
        <v/>
      </c>
      <c r="T311" s="56" t="str">
        <f t="shared" si="121"/>
        <v/>
      </c>
      <c r="U311" s="56" t="str">
        <f t="shared" si="122"/>
        <v/>
      </c>
      <c r="V311" s="68" t="str">
        <f t="shared" si="123"/>
        <v/>
      </c>
      <c r="W311" s="80" t="str">
        <f t="shared" si="124"/>
        <v/>
      </c>
      <c r="X311" s="81" t="str">
        <f t="shared" si="125"/>
        <v/>
      </c>
      <c r="Y311" s="81" t="str">
        <f t="shared" si="126"/>
        <v/>
      </c>
      <c r="Z311" s="81" t="str">
        <f t="shared" si="127"/>
        <v/>
      </c>
      <c r="AA311" s="82" t="str">
        <f t="shared" si="128"/>
        <v/>
      </c>
      <c r="AB311" s="83" t="str">
        <f>IF(R311&lt;&gt;"",(W311-SUMPRODUCT(R$3:R311,$B$3:$B311)/SUM($B$3:$B311))/STDEVA(W301:W311),"")</f>
        <v/>
      </c>
      <c r="AC311" s="84" t="str">
        <f>IF(S311&lt;&gt;"",(X311-SUMPRODUCT(S$3:S311,$B$3:$B311)/SUM($B$3:$B311))/STDEVA(X301:X311),"")</f>
        <v/>
      </c>
      <c r="AD311" s="84" t="str">
        <f>IF(T311&lt;&gt;"",(Y311-SUMPRODUCT(T$3:T311,$B$3:$B311)/SUM($B$3:$B311))/STDEVA(Y301:Y311),"")</f>
        <v/>
      </c>
      <c r="AE311" s="84" t="str">
        <f>IF(U311&lt;&gt;"",(Z311-SUMPRODUCT(U$3:U311,$B$3:$B311)/SUM($B$3:$B311))/STDEVA(Z301:Z311),"")</f>
        <v/>
      </c>
      <c r="AF311" s="85" t="str">
        <f>IF(V311&lt;&gt;"",(AA311-SUMPRODUCT(V$3:V311,$B$3:$B311)/SUM($B$3:$B311))/STDEVA(AA301:AA311),"")</f>
        <v/>
      </c>
      <c r="AG311" s="90" t="str">
        <f t="shared" si="130"/>
        <v/>
      </c>
      <c r="AH311" s="90" t="str">
        <f t="shared" si="130"/>
        <v/>
      </c>
      <c r="AI311" s="90" t="str">
        <f t="shared" si="130"/>
        <v/>
      </c>
      <c r="AJ311" s="90" t="str">
        <f t="shared" si="129"/>
        <v/>
      </c>
      <c r="AK311" s="93" t="str">
        <f t="shared" si="129"/>
        <v/>
      </c>
      <c r="BQ311" s="100" t="str">
        <f>IF(A311&lt;&gt;"",(VLOOKUP(A311,MarketData!$D:$BP,MATCH($BQ$1,MarketData!$D$1:$EG$1,0),TRUE)/100/365+1)^(B311)*BQ310,"")</f>
        <v/>
      </c>
      <c r="BR311" s="98" t="str">
        <f t="shared" si="107"/>
        <v/>
      </c>
      <c r="BS311" s="106" t="str">
        <f>IF(A311&lt;&gt;"",VLOOKUP(A311,MarketData!$D:$BP,MATCH($BS$1,MarketData!$D$1:$EG$1,0),TRUE),"")</f>
        <v/>
      </c>
      <c r="BT311" s="98" t="str">
        <f t="shared" si="118"/>
        <v/>
      </c>
    </row>
    <row r="312" spans="2:72" x14ac:dyDescent="0.25">
      <c r="B312" s="60" t="str">
        <f t="shared" si="131"/>
        <v/>
      </c>
      <c r="C312" s="3" t="str">
        <f t="shared" si="108"/>
        <v/>
      </c>
      <c r="D312" s="3" t="str">
        <f t="shared" si="109"/>
        <v/>
      </c>
      <c r="E312" s="3" t="str">
        <f t="shared" si="110"/>
        <v/>
      </c>
      <c r="F312" s="3" t="str">
        <f t="shared" si="111"/>
        <v/>
      </c>
      <c r="G312" s="74" t="str">
        <f t="shared" si="112"/>
        <v/>
      </c>
      <c r="H312" s="78" t="str">
        <f>IFERROR(C312/SUM(M$2:M311),"")</f>
        <v/>
      </c>
      <c r="I312" s="61" t="str">
        <f>IFERROR(D312/SUM(N$2:N312),"")</f>
        <v/>
      </c>
      <c r="J312" s="61" t="str">
        <f>IFERROR(E312/SUM(O$2:O312),"")</f>
        <v/>
      </c>
      <c r="K312" s="61" t="str">
        <f>IFERROR(F312/SUM(P$2:P312),"")</f>
        <v/>
      </c>
      <c r="L312" s="79" t="str">
        <f>IFERROR(G312/SUM(Q$2:Q312),"")</f>
        <v/>
      </c>
      <c r="M312" s="64" t="str">
        <f t="shared" si="113"/>
        <v/>
      </c>
      <c r="N312" s="55" t="str">
        <f t="shared" si="114"/>
        <v/>
      </c>
      <c r="O312" s="55" t="str">
        <f t="shared" si="115"/>
        <v/>
      </c>
      <c r="P312" s="55" t="str">
        <f t="shared" si="116"/>
        <v/>
      </c>
      <c r="Q312" s="65" t="str">
        <f t="shared" si="117"/>
        <v/>
      </c>
      <c r="R312" s="67" t="str">
        <f t="shared" si="119"/>
        <v/>
      </c>
      <c r="S312" s="56" t="str">
        <f t="shared" si="120"/>
        <v/>
      </c>
      <c r="T312" s="56" t="str">
        <f t="shared" si="121"/>
        <v/>
      </c>
      <c r="U312" s="56" t="str">
        <f t="shared" si="122"/>
        <v/>
      </c>
      <c r="V312" s="68" t="str">
        <f t="shared" si="123"/>
        <v/>
      </c>
      <c r="W312" s="80" t="str">
        <f t="shared" si="124"/>
        <v/>
      </c>
      <c r="X312" s="81" t="str">
        <f t="shared" si="125"/>
        <v/>
      </c>
      <c r="Y312" s="81" t="str">
        <f t="shared" si="126"/>
        <v/>
      </c>
      <c r="Z312" s="81" t="str">
        <f t="shared" si="127"/>
        <v/>
      </c>
      <c r="AA312" s="82" t="str">
        <f t="shared" si="128"/>
        <v/>
      </c>
      <c r="AB312" s="83" t="str">
        <f>IF(R312&lt;&gt;"",(W312-SUMPRODUCT(R$3:R312,$B$3:$B312)/SUM($B$3:$B312))/STDEVA(W302:W312),"")</f>
        <v/>
      </c>
      <c r="AC312" s="84" t="str">
        <f>IF(S312&lt;&gt;"",(X312-SUMPRODUCT(S$3:S312,$B$3:$B312)/SUM($B$3:$B312))/STDEVA(X302:X312),"")</f>
        <v/>
      </c>
      <c r="AD312" s="84" t="str">
        <f>IF(T312&lt;&gt;"",(Y312-SUMPRODUCT(T$3:T312,$B$3:$B312)/SUM($B$3:$B312))/STDEVA(Y302:Y312),"")</f>
        <v/>
      </c>
      <c r="AE312" s="84" t="str">
        <f>IF(U312&lt;&gt;"",(Z312-SUMPRODUCT(U$3:U312,$B$3:$B312)/SUM($B$3:$B312))/STDEVA(Z302:Z312),"")</f>
        <v/>
      </c>
      <c r="AF312" s="85" t="str">
        <f>IF(V312&lt;&gt;"",(AA312-SUMPRODUCT(V$3:V312,$B$3:$B312)/SUM($B$3:$B312))/STDEVA(AA302:AA312),"")</f>
        <v/>
      </c>
      <c r="AG312" s="90" t="str">
        <f t="shared" si="130"/>
        <v/>
      </c>
      <c r="AH312" s="90" t="str">
        <f t="shared" si="130"/>
        <v/>
      </c>
      <c r="AI312" s="90" t="str">
        <f t="shared" si="130"/>
        <v/>
      </c>
      <c r="AJ312" s="90" t="str">
        <f t="shared" si="129"/>
        <v/>
      </c>
      <c r="AK312" s="93" t="str">
        <f t="shared" si="129"/>
        <v/>
      </c>
      <c r="BQ312" s="100" t="str">
        <f>IF(A312&lt;&gt;"",(VLOOKUP(A312,MarketData!$D:$BP,MATCH($BQ$1,MarketData!$D$1:$EG$1,0),TRUE)/100/365+1)^(B312)*BQ311,"")</f>
        <v/>
      </c>
      <c r="BR312" s="98" t="str">
        <f t="shared" si="107"/>
        <v/>
      </c>
      <c r="BS312" s="106" t="str">
        <f>IF(A312&lt;&gt;"",VLOOKUP(A312,MarketData!$D:$BP,MATCH($BS$1,MarketData!$D$1:$EG$1,0),TRUE),"")</f>
        <v/>
      </c>
      <c r="BT312" s="98" t="str">
        <f t="shared" si="118"/>
        <v/>
      </c>
    </row>
    <row r="313" spans="2:72" x14ac:dyDescent="0.25">
      <c r="B313" s="60" t="str">
        <f t="shared" si="131"/>
        <v/>
      </c>
      <c r="C313" s="3" t="str">
        <f t="shared" si="108"/>
        <v/>
      </c>
      <c r="D313" s="3" t="str">
        <f t="shared" si="109"/>
        <v/>
      </c>
      <c r="E313" s="3" t="str">
        <f t="shared" si="110"/>
        <v/>
      </c>
      <c r="F313" s="3" t="str">
        <f t="shared" si="111"/>
        <v/>
      </c>
      <c r="G313" s="74" t="str">
        <f t="shared" si="112"/>
        <v/>
      </c>
      <c r="H313" s="78" t="str">
        <f>IFERROR(C313/SUM(M$2:M312),"")</f>
        <v/>
      </c>
      <c r="I313" s="61" t="str">
        <f>IFERROR(D313/SUM(N$2:N313),"")</f>
        <v/>
      </c>
      <c r="J313" s="61" t="str">
        <f>IFERROR(E313/SUM(O$2:O313),"")</f>
        <v/>
      </c>
      <c r="K313" s="61" t="str">
        <f>IFERROR(F313/SUM(P$2:P313),"")</f>
        <v/>
      </c>
      <c r="L313" s="79" t="str">
        <f>IFERROR(G313/SUM(Q$2:Q313),"")</f>
        <v/>
      </c>
      <c r="M313" s="64" t="str">
        <f t="shared" si="113"/>
        <v/>
      </c>
      <c r="N313" s="55" t="str">
        <f t="shared" si="114"/>
        <v/>
      </c>
      <c r="O313" s="55" t="str">
        <f t="shared" si="115"/>
        <v/>
      </c>
      <c r="P313" s="55" t="str">
        <f t="shared" si="116"/>
        <v/>
      </c>
      <c r="Q313" s="65" t="str">
        <f t="shared" si="117"/>
        <v/>
      </c>
      <c r="R313" s="67" t="str">
        <f t="shared" si="119"/>
        <v/>
      </c>
      <c r="S313" s="56" t="str">
        <f t="shared" si="120"/>
        <v/>
      </c>
      <c r="T313" s="56" t="str">
        <f t="shared" si="121"/>
        <v/>
      </c>
      <c r="U313" s="56" t="str">
        <f t="shared" si="122"/>
        <v/>
      </c>
      <c r="V313" s="68" t="str">
        <f t="shared" si="123"/>
        <v/>
      </c>
      <c r="W313" s="80" t="str">
        <f t="shared" si="124"/>
        <v/>
      </c>
      <c r="X313" s="81" t="str">
        <f t="shared" si="125"/>
        <v/>
      </c>
      <c r="Y313" s="81" t="str">
        <f t="shared" si="126"/>
        <v/>
      </c>
      <c r="Z313" s="81" t="str">
        <f t="shared" si="127"/>
        <v/>
      </c>
      <c r="AA313" s="82" t="str">
        <f t="shared" si="128"/>
        <v/>
      </c>
      <c r="AB313" s="83" t="str">
        <f>IF(R313&lt;&gt;"",(W313-SUMPRODUCT(R$3:R313,$B$3:$B313)/SUM($B$3:$B313))/STDEVA(W303:W313),"")</f>
        <v/>
      </c>
      <c r="AC313" s="84" t="str">
        <f>IF(S313&lt;&gt;"",(X313-SUMPRODUCT(S$3:S313,$B$3:$B313)/SUM($B$3:$B313))/STDEVA(X303:X313),"")</f>
        <v/>
      </c>
      <c r="AD313" s="84" t="str">
        <f>IF(T313&lt;&gt;"",(Y313-SUMPRODUCT(T$3:T313,$B$3:$B313)/SUM($B$3:$B313))/STDEVA(Y303:Y313),"")</f>
        <v/>
      </c>
      <c r="AE313" s="84" t="str">
        <f>IF(U313&lt;&gt;"",(Z313-SUMPRODUCT(U$3:U313,$B$3:$B313)/SUM($B$3:$B313))/STDEVA(Z303:Z313),"")</f>
        <v/>
      </c>
      <c r="AF313" s="85" t="str">
        <f>IF(V313&lt;&gt;"",(AA313-SUMPRODUCT(V$3:V313,$B$3:$B313)/SUM($B$3:$B313))/STDEVA(AA303:AA313),"")</f>
        <v/>
      </c>
      <c r="AG313" s="90" t="str">
        <f t="shared" si="130"/>
        <v/>
      </c>
      <c r="AH313" s="90" t="str">
        <f t="shared" si="130"/>
        <v/>
      </c>
      <c r="AI313" s="90" t="str">
        <f t="shared" si="130"/>
        <v/>
      </c>
      <c r="AJ313" s="90" t="str">
        <f t="shared" si="129"/>
        <v/>
      </c>
      <c r="AK313" s="93" t="str">
        <f t="shared" si="129"/>
        <v/>
      </c>
      <c r="BQ313" s="100" t="str">
        <f>IF(A313&lt;&gt;"",(VLOOKUP(A313,MarketData!$D:$BP,MATCH($BQ$1,MarketData!$D$1:$EG$1,0),TRUE)/100/365+1)^(B313)*BQ312,"")</f>
        <v/>
      </c>
      <c r="BR313" s="98" t="str">
        <f t="shared" si="107"/>
        <v/>
      </c>
      <c r="BS313" s="106" t="str">
        <f>IF(A313&lt;&gt;"",VLOOKUP(A313,MarketData!$D:$BP,MATCH($BS$1,MarketData!$D$1:$EG$1,0),TRUE),"")</f>
        <v/>
      </c>
      <c r="BT313" s="98" t="str">
        <f t="shared" si="118"/>
        <v/>
      </c>
    </row>
    <row r="314" spans="2:72" x14ac:dyDescent="0.25">
      <c r="B314" s="60" t="str">
        <f t="shared" si="131"/>
        <v/>
      </c>
      <c r="C314" s="3" t="str">
        <f t="shared" si="108"/>
        <v/>
      </c>
      <c r="D314" s="3" t="str">
        <f t="shared" si="109"/>
        <v/>
      </c>
      <c r="E314" s="3" t="str">
        <f t="shared" si="110"/>
        <v/>
      </c>
      <c r="F314" s="3" t="str">
        <f t="shared" si="111"/>
        <v/>
      </c>
      <c r="G314" s="74" t="str">
        <f t="shared" si="112"/>
        <v/>
      </c>
      <c r="H314" s="78" t="str">
        <f>IFERROR(C314/SUM(M$2:M313),"")</f>
        <v/>
      </c>
      <c r="I314" s="61" t="str">
        <f>IFERROR(D314/SUM(N$2:N314),"")</f>
        <v/>
      </c>
      <c r="J314" s="61" t="str">
        <f>IFERROR(E314/SUM(O$2:O314),"")</f>
        <v/>
      </c>
      <c r="K314" s="61" t="str">
        <f>IFERROR(F314/SUM(P$2:P314),"")</f>
        <v/>
      </c>
      <c r="L314" s="79" t="str">
        <f>IFERROR(G314/SUM(Q$2:Q314),"")</f>
        <v/>
      </c>
      <c r="M314" s="64" t="str">
        <f t="shared" si="113"/>
        <v/>
      </c>
      <c r="N314" s="55" t="str">
        <f t="shared" si="114"/>
        <v/>
      </c>
      <c r="O314" s="55" t="str">
        <f t="shared" si="115"/>
        <v/>
      </c>
      <c r="P314" s="55" t="str">
        <f t="shared" si="116"/>
        <v/>
      </c>
      <c r="Q314" s="65" t="str">
        <f t="shared" si="117"/>
        <v/>
      </c>
      <c r="R314" s="67" t="str">
        <f t="shared" si="119"/>
        <v/>
      </c>
      <c r="S314" s="56" t="str">
        <f t="shared" si="120"/>
        <v/>
      </c>
      <c r="T314" s="56" t="str">
        <f t="shared" si="121"/>
        <v/>
      </c>
      <c r="U314" s="56" t="str">
        <f t="shared" si="122"/>
        <v/>
      </c>
      <c r="V314" s="68" t="str">
        <f t="shared" si="123"/>
        <v/>
      </c>
      <c r="W314" s="80" t="str">
        <f t="shared" si="124"/>
        <v/>
      </c>
      <c r="X314" s="81" t="str">
        <f t="shared" si="125"/>
        <v/>
      </c>
      <c r="Y314" s="81" t="str">
        <f t="shared" si="126"/>
        <v/>
      </c>
      <c r="Z314" s="81" t="str">
        <f t="shared" si="127"/>
        <v/>
      </c>
      <c r="AA314" s="82" t="str">
        <f t="shared" si="128"/>
        <v/>
      </c>
      <c r="AB314" s="83" t="str">
        <f>IF(R314&lt;&gt;"",(W314-SUMPRODUCT(R$3:R314,$B$3:$B314)/SUM($B$3:$B314))/STDEVA(W304:W314),"")</f>
        <v/>
      </c>
      <c r="AC314" s="84" t="str">
        <f>IF(S314&lt;&gt;"",(X314-SUMPRODUCT(S$3:S314,$B$3:$B314)/SUM($B$3:$B314))/STDEVA(X304:X314),"")</f>
        <v/>
      </c>
      <c r="AD314" s="84" t="str">
        <f>IF(T314&lt;&gt;"",(Y314-SUMPRODUCT(T$3:T314,$B$3:$B314)/SUM($B$3:$B314))/STDEVA(Y304:Y314),"")</f>
        <v/>
      </c>
      <c r="AE314" s="84" t="str">
        <f>IF(U314&lt;&gt;"",(Z314-SUMPRODUCT(U$3:U314,$B$3:$B314)/SUM($B$3:$B314))/STDEVA(Z304:Z314),"")</f>
        <v/>
      </c>
      <c r="AF314" s="85" t="str">
        <f>IF(V314&lt;&gt;"",(AA314-SUMPRODUCT(V$3:V314,$B$3:$B314)/SUM($B$3:$B314))/STDEVA(AA304:AA314),"")</f>
        <v/>
      </c>
      <c r="AG314" s="90" t="str">
        <f t="shared" si="130"/>
        <v/>
      </c>
      <c r="AH314" s="90" t="str">
        <f t="shared" si="130"/>
        <v/>
      </c>
      <c r="AI314" s="90" t="str">
        <f t="shared" si="130"/>
        <v/>
      </c>
      <c r="AJ314" s="90" t="str">
        <f t="shared" si="129"/>
        <v/>
      </c>
      <c r="AK314" s="93" t="str">
        <f t="shared" si="129"/>
        <v/>
      </c>
      <c r="BQ314" s="100" t="str">
        <f>IF(A314&lt;&gt;"",(VLOOKUP(A314,MarketData!$D:$BP,MATCH($BQ$1,MarketData!$D$1:$EG$1,0),TRUE)/100/365+1)^(B314)*BQ313,"")</f>
        <v/>
      </c>
      <c r="BR314" s="98" t="str">
        <f t="shared" si="107"/>
        <v/>
      </c>
      <c r="BS314" s="106" t="str">
        <f>IF(A314&lt;&gt;"",VLOOKUP(A314,MarketData!$D:$BP,MATCH($BS$1,MarketData!$D$1:$EG$1,0),TRUE),"")</f>
        <v/>
      </c>
      <c r="BT314" s="98" t="str">
        <f t="shared" si="118"/>
        <v/>
      </c>
    </row>
    <row r="315" spans="2:72" x14ac:dyDescent="0.25">
      <c r="B315" s="60" t="str">
        <f t="shared" si="131"/>
        <v/>
      </c>
      <c r="C315" s="3" t="str">
        <f t="shared" si="108"/>
        <v/>
      </c>
      <c r="D315" s="3" t="str">
        <f t="shared" si="109"/>
        <v/>
      </c>
      <c r="E315" s="3" t="str">
        <f t="shared" si="110"/>
        <v/>
      </c>
      <c r="F315" s="3" t="str">
        <f t="shared" si="111"/>
        <v/>
      </c>
      <c r="G315" s="74" t="str">
        <f t="shared" si="112"/>
        <v/>
      </c>
      <c r="H315" s="78" t="str">
        <f>IFERROR(C315/SUM(M$2:M314),"")</f>
        <v/>
      </c>
      <c r="I315" s="61" t="str">
        <f>IFERROR(D315/SUM(N$2:N315),"")</f>
        <v/>
      </c>
      <c r="J315" s="61" t="str">
        <f>IFERROR(E315/SUM(O$2:O315),"")</f>
        <v/>
      </c>
      <c r="K315" s="61" t="str">
        <f>IFERROR(F315/SUM(P$2:P315),"")</f>
        <v/>
      </c>
      <c r="L315" s="79" t="str">
        <f>IFERROR(G315/SUM(Q$2:Q315),"")</f>
        <v/>
      </c>
      <c r="M315" s="64" t="str">
        <f t="shared" si="113"/>
        <v/>
      </c>
      <c r="N315" s="55" t="str">
        <f t="shared" si="114"/>
        <v/>
      </c>
      <c r="O315" s="55" t="str">
        <f t="shared" si="115"/>
        <v/>
      </c>
      <c r="P315" s="55" t="str">
        <f t="shared" si="116"/>
        <v/>
      </c>
      <c r="Q315" s="65" t="str">
        <f t="shared" si="117"/>
        <v/>
      </c>
      <c r="R315" s="67" t="str">
        <f t="shared" si="119"/>
        <v/>
      </c>
      <c r="S315" s="56" t="str">
        <f t="shared" si="120"/>
        <v/>
      </c>
      <c r="T315" s="56" t="str">
        <f t="shared" si="121"/>
        <v/>
      </c>
      <c r="U315" s="56" t="str">
        <f t="shared" si="122"/>
        <v/>
      </c>
      <c r="V315" s="68" t="str">
        <f t="shared" si="123"/>
        <v/>
      </c>
      <c r="W315" s="80" t="str">
        <f t="shared" si="124"/>
        <v/>
      </c>
      <c r="X315" s="81" t="str">
        <f t="shared" si="125"/>
        <v/>
      </c>
      <c r="Y315" s="81" t="str">
        <f t="shared" si="126"/>
        <v/>
      </c>
      <c r="Z315" s="81" t="str">
        <f t="shared" si="127"/>
        <v/>
      </c>
      <c r="AA315" s="82" t="str">
        <f t="shared" si="128"/>
        <v/>
      </c>
      <c r="AB315" s="83" t="str">
        <f>IF(R315&lt;&gt;"",(W315-SUMPRODUCT(R$3:R315,$B$3:$B315)/SUM($B$3:$B315))/STDEVA(W305:W315),"")</f>
        <v/>
      </c>
      <c r="AC315" s="84" t="str">
        <f>IF(S315&lt;&gt;"",(X315-SUMPRODUCT(S$3:S315,$B$3:$B315)/SUM($B$3:$B315))/STDEVA(X305:X315),"")</f>
        <v/>
      </c>
      <c r="AD315" s="84" t="str">
        <f>IF(T315&lt;&gt;"",(Y315-SUMPRODUCT(T$3:T315,$B$3:$B315)/SUM($B$3:$B315))/STDEVA(Y305:Y315),"")</f>
        <v/>
      </c>
      <c r="AE315" s="84" t="str">
        <f>IF(U315&lt;&gt;"",(Z315-SUMPRODUCT(U$3:U315,$B$3:$B315)/SUM($B$3:$B315))/STDEVA(Z305:Z315),"")</f>
        <v/>
      </c>
      <c r="AF315" s="85" t="str">
        <f>IF(V315&lt;&gt;"",(AA315-SUMPRODUCT(V$3:V315,$B$3:$B315)/SUM($B$3:$B315))/STDEVA(AA305:AA315),"")</f>
        <v/>
      </c>
      <c r="AG315" s="90" t="str">
        <f t="shared" si="130"/>
        <v/>
      </c>
      <c r="AH315" s="90" t="str">
        <f t="shared" si="130"/>
        <v/>
      </c>
      <c r="AI315" s="90" t="str">
        <f t="shared" si="130"/>
        <v/>
      </c>
      <c r="AJ315" s="90" t="str">
        <f t="shared" si="129"/>
        <v/>
      </c>
      <c r="AK315" s="93" t="str">
        <f t="shared" si="129"/>
        <v/>
      </c>
      <c r="BQ315" s="100" t="str">
        <f>IF(A315&lt;&gt;"",(VLOOKUP(A315,MarketData!$D:$BP,MATCH($BQ$1,MarketData!$D$1:$EG$1,0),TRUE)/100/365+1)^(B315)*BQ314,"")</f>
        <v/>
      </c>
      <c r="BR315" s="98" t="str">
        <f t="shared" si="107"/>
        <v/>
      </c>
      <c r="BS315" s="106" t="str">
        <f>IF(A315&lt;&gt;"",VLOOKUP(A315,MarketData!$D:$BP,MATCH($BS$1,MarketData!$D$1:$EG$1,0),TRUE),"")</f>
        <v/>
      </c>
      <c r="BT315" s="98" t="str">
        <f t="shared" si="118"/>
        <v/>
      </c>
    </row>
    <row r="316" spans="2:72" x14ac:dyDescent="0.25">
      <c r="B316" s="60" t="str">
        <f t="shared" si="131"/>
        <v/>
      </c>
      <c r="C316" s="3" t="str">
        <f t="shared" si="108"/>
        <v/>
      </c>
      <c r="D316" s="3" t="str">
        <f t="shared" si="109"/>
        <v/>
      </c>
      <c r="E316" s="3" t="str">
        <f t="shared" si="110"/>
        <v/>
      </c>
      <c r="F316" s="3" t="str">
        <f t="shared" si="111"/>
        <v/>
      </c>
      <c r="G316" s="74" t="str">
        <f t="shared" si="112"/>
        <v/>
      </c>
      <c r="H316" s="78" t="str">
        <f>IFERROR(C316/SUM(M$2:M315),"")</f>
        <v/>
      </c>
      <c r="I316" s="61" t="str">
        <f>IFERROR(D316/SUM(N$2:N316),"")</f>
        <v/>
      </c>
      <c r="J316" s="61" t="str">
        <f>IFERROR(E316/SUM(O$2:O316),"")</f>
        <v/>
      </c>
      <c r="K316" s="61" t="str">
        <f>IFERROR(F316/SUM(P$2:P316),"")</f>
        <v/>
      </c>
      <c r="L316" s="79" t="str">
        <f>IFERROR(G316/SUM(Q$2:Q316),"")</f>
        <v/>
      </c>
      <c r="M316" s="64" t="str">
        <f t="shared" si="113"/>
        <v/>
      </c>
      <c r="N316" s="55" t="str">
        <f t="shared" si="114"/>
        <v/>
      </c>
      <c r="O316" s="55" t="str">
        <f t="shared" si="115"/>
        <v/>
      </c>
      <c r="P316" s="55" t="str">
        <f t="shared" si="116"/>
        <v/>
      </c>
      <c r="Q316" s="65" t="str">
        <f t="shared" si="117"/>
        <v/>
      </c>
      <c r="R316" s="67" t="str">
        <f t="shared" si="119"/>
        <v/>
      </c>
      <c r="S316" s="56" t="str">
        <f t="shared" si="120"/>
        <v/>
      </c>
      <c r="T316" s="56" t="str">
        <f t="shared" si="121"/>
        <v/>
      </c>
      <c r="U316" s="56" t="str">
        <f t="shared" si="122"/>
        <v/>
      </c>
      <c r="V316" s="68" t="str">
        <f t="shared" si="123"/>
        <v/>
      </c>
      <c r="W316" s="80" t="str">
        <f t="shared" si="124"/>
        <v/>
      </c>
      <c r="X316" s="81" t="str">
        <f t="shared" si="125"/>
        <v/>
      </c>
      <c r="Y316" s="81" t="str">
        <f t="shared" si="126"/>
        <v/>
      </c>
      <c r="Z316" s="81" t="str">
        <f t="shared" si="127"/>
        <v/>
      </c>
      <c r="AA316" s="82" t="str">
        <f t="shared" si="128"/>
        <v/>
      </c>
      <c r="AB316" s="83" t="str">
        <f>IF(R316&lt;&gt;"",(W316-SUMPRODUCT(R$3:R316,$B$3:$B316)/SUM($B$3:$B316))/STDEVA(W306:W316),"")</f>
        <v/>
      </c>
      <c r="AC316" s="84" t="str">
        <f>IF(S316&lt;&gt;"",(X316-SUMPRODUCT(S$3:S316,$B$3:$B316)/SUM($B$3:$B316))/STDEVA(X306:X316),"")</f>
        <v/>
      </c>
      <c r="AD316" s="84" t="str">
        <f>IF(T316&lt;&gt;"",(Y316-SUMPRODUCT(T$3:T316,$B$3:$B316)/SUM($B$3:$B316))/STDEVA(Y306:Y316),"")</f>
        <v/>
      </c>
      <c r="AE316" s="84" t="str">
        <f>IF(U316&lt;&gt;"",(Z316-SUMPRODUCT(U$3:U316,$B$3:$B316)/SUM($B$3:$B316))/STDEVA(Z306:Z316),"")</f>
        <v/>
      </c>
      <c r="AF316" s="85" t="str">
        <f>IF(V316&lt;&gt;"",(AA316-SUMPRODUCT(V$3:V316,$B$3:$B316)/SUM($B$3:$B316))/STDEVA(AA306:AA316),"")</f>
        <v/>
      </c>
      <c r="AG316" s="90" t="str">
        <f t="shared" si="130"/>
        <v/>
      </c>
      <c r="AH316" s="90" t="str">
        <f t="shared" si="130"/>
        <v/>
      </c>
      <c r="AI316" s="90" t="str">
        <f t="shared" si="130"/>
        <v/>
      </c>
      <c r="AJ316" s="90" t="str">
        <f t="shared" si="129"/>
        <v/>
      </c>
      <c r="AK316" s="93" t="str">
        <f t="shared" si="129"/>
        <v/>
      </c>
      <c r="BQ316" s="100" t="str">
        <f>IF(A316&lt;&gt;"",(VLOOKUP(A316,MarketData!$D:$BP,MATCH($BQ$1,MarketData!$D$1:$EG$1,0),TRUE)/100/365+1)^(B316)*BQ315,"")</f>
        <v/>
      </c>
      <c r="BR316" s="98" t="str">
        <f t="shared" si="107"/>
        <v/>
      </c>
      <c r="BS316" s="106" t="str">
        <f>IF(A316&lt;&gt;"",VLOOKUP(A316,MarketData!$D:$BP,MATCH($BS$1,MarketData!$D$1:$EG$1,0),TRUE),"")</f>
        <v/>
      </c>
      <c r="BT316" s="98" t="str">
        <f t="shared" si="118"/>
        <v/>
      </c>
    </row>
    <row r="317" spans="2:72" x14ac:dyDescent="0.25">
      <c r="B317" s="60" t="str">
        <f t="shared" si="131"/>
        <v/>
      </c>
      <c r="C317" s="3" t="str">
        <f t="shared" si="108"/>
        <v/>
      </c>
      <c r="D317" s="3" t="str">
        <f t="shared" si="109"/>
        <v/>
      </c>
      <c r="E317" s="3" t="str">
        <f t="shared" si="110"/>
        <v/>
      </c>
      <c r="F317" s="3" t="str">
        <f t="shared" si="111"/>
        <v/>
      </c>
      <c r="G317" s="74" t="str">
        <f t="shared" si="112"/>
        <v/>
      </c>
      <c r="H317" s="78" t="str">
        <f>IFERROR(C317/SUM(M$2:M316),"")</f>
        <v/>
      </c>
      <c r="I317" s="61" t="str">
        <f>IFERROR(D317/SUM(N$2:N317),"")</f>
        <v/>
      </c>
      <c r="J317" s="61" t="str">
        <f>IFERROR(E317/SUM(O$2:O317),"")</f>
        <v/>
      </c>
      <c r="K317" s="61" t="str">
        <f>IFERROR(F317/SUM(P$2:P317),"")</f>
        <v/>
      </c>
      <c r="L317" s="79" t="str">
        <f>IFERROR(G317/SUM(Q$2:Q317),"")</f>
        <v/>
      </c>
      <c r="M317" s="64" t="str">
        <f t="shared" si="113"/>
        <v/>
      </c>
      <c r="N317" s="55" t="str">
        <f t="shared" si="114"/>
        <v/>
      </c>
      <c r="O317" s="55" t="str">
        <f t="shared" si="115"/>
        <v/>
      </c>
      <c r="P317" s="55" t="str">
        <f t="shared" si="116"/>
        <v/>
      </c>
      <c r="Q317" s="65" t="str">
        <f t="shared" si="117"/>
        <v/>
      </c>
      <c r="R317" s="67" t="str">
        <f t="shared" si="119"/>
        <v/>
      </c>
      <c r="S317" s="56" t="str">
        <f t="shared" si="120"/>
        <v/>
      </c>
      <c r="T317" s="56" t="str">
        <f t="shared" si="121"/>
        <v/>
      </c>
      <c r="U317" s="56" t="str">
        <f t="shared" si="122"/>
        <v/>
      </c>
      <c r="V317" s="68" t="str">
        <f t="shared" si="123"/>
        <v/>
      </c>
      <c r="W317" s="80" t="str">
        <f t="shared" si="124"/>
        <v/>
      </c>
      <c r="X317" s="81" t="str">
        <f t="shared" si="125"/>
        <v/>
      </c>
      <c r="Y317" s="81" t="str">
        <f t="shared" si="126"/>
        <v/>
      </c>
      <c r="Z317" s="81" t="str">
        <f t="shared" si="127"/>
        <v/>
      </c>
      <c r="AA317" s="82" t="str">
        <f t="shared" si="128"/>
        <v/>
      </c>
      <c r="AB317" s="83" t="str">
        <f>IF(R317&lt;&gt;"",(W317-SUMPRODUCT(R$3:R317,$B$3:$B317)/SUM($B$3:$B317))/STDEVA(W307:W317),"")</f>
        <v/>
      </c>
      <c r="AC317" s="84" t="str">
        <f>IF(S317&lt;&gt;"",(X317-SUMPRODUCT(S$3:S317,$B$3:$B317)/SUM($B$3:$B317))/STDEVA(X307:X317),"")</f>
        <v/>
      </c>
      <c r="AD317" s="84" t="str">
        <f>IF(T317&lt;&gt;"",(Y317-SUMPRODUCT(T$3:T317,$B$3:$B317)/SUM($B$3:$B317))/STDEVA(Y307:Y317),"")</f>
        <v/>
      </c>
      <c r="AE317" s="84" t="str">
        <f>IF(U317&lt;&gt;"",(Z317-SUMPRODUCT(U$3:U317,$B$3:$B317)/SUM($B$3:$B317))/STDEVA(Z307:Z317),"")</f>
        <v/>
      </c>
      <c r="AF317" s="85" t="str">
        <f>IF(V317&lt;&gt;"",(AA317-SUMPRODUCT(V$3:V317,$B$3:$B317)/SUM($B$3:$B317))/STDEVA(AA307:AA317),"")</f>
        <v/>
      </c>
      <c r="AG317" s="90" t="str">
        <f t="shared" si="130"/>
        <v/>
      </c>
      <c r="AH317" s="90" t="str">
        <f t="shared" si="130"/>
        <v/>
      </c>
      <c r="AI317" s="90" t="str">
        <f t="shared" si="130"/>
        <v/>
      </c>
      <c r="AJ317" s="90" t="str">
        <f t="shared" si="129"/>
        <v/>
      </c>
      <c r="AK317" s="93" t="str">
        <f t="shared" si="129"/>
        <v/>
      </c>
      <c r="BQ317" s="100" t="str">
        <f>IF(A317&lt;&gt;"",(VLOOKUP(A317,MarketData!$D:$BP,MATCH($BQ$1,MarketData!$D$1:$EG$1,0),TRUE)/100/365+1)^(B317)*BQ316,"")</f>
        <v/>
      </c>
      <c r="BR317" s="98" t="str">
        <f t="shared" si="107"/>
        <v/>
      </c>
      <c r="BS317" s="106" t="str">
        <f>IF(A317&lt;&gt;"",VLOOKUP(A317,MarketData!$D:$BP,MATCH($BS$1,MarketData!$D$1:$EG$1,0),TRUE),"")</f>
        <v/>
      </c>
      <c r="BT317" s="98" t="str">
        <f t="shared" si="118"/>
        <v/>
      </c>
    </row>
    <row r="318" spans="2:72" x14ac:dyDescent="0.25">
      <c r="B318" s="60" t="str">
        <f t="shared" si="131"/>
        <v/>
      </c>
      <c r="C318" s="3" t="str">
        <f t="shared" si="108"/>
        <v/>
      </c>
      <c r="D318" s="3" t="str">
        <f t="shared" si="109"/>
        <v/>
      </c>
      <c r="E318" s="3" t="str">
        <f t="shared" si="110"/>
        <v/>
      </c>
      <c r="F318" s="3" t="str">
        <f t="shared" si="111"/>
        <v/>
      </c>
      <c r="G318" s="74" t="str">
        <f t="shared" si="112"/>
        <v/>
      </c>
      <c r="H318" s="78" t="str">
        <f>IFERROR(C318/SUM(M$2:M317),"")</f>
        <v/>
      </c>
      <c r="I318" s="61" t="str">
        <f>IFERROR(D318/SUM(N$2:N318),"")</f>
        <v/>
      </c>
      <c r="J318" s="61" t="str">
        <f>IFERROR(E318/SUM(O$2:O318),"")</f>
        <v/>
      </c>
      <c r="K318" s="61" t="str">
        <f>IFERROR(F318/SUM(P$2:P318),"")</f>
        <v/>
      </c>
      <c r="L318" s="79" t="str">
        <f>IFERROR(G318/SUM(Q$2:Q318),"")</f>
        <v/>
      </c>
      <c r="M318" s="64" t="str">
        <f t="shared" si="113"/>
        <v/>
      </c>
      <c r="N318" s="55" t="str">
        <f t="shared" si="114"/>
        <v/>
      </c>
      <c r="O318" s="55" t="str">
        <f t="shared" si="115"/>
        <v/>
      </c>
      <c r="P318" s="55" t="str">
        <f t="shared" si="116"/>
        <v/>
      </c>
      <c r="Q318" s="65" t="str">
        <f t="shared" si="117"/>
        <v/>
      </c>
      <c r="R318" s="67" t="str">
        <f t="shared" si="119"/>
        <v/>
      </c>
      <c r="S318" s="56" t="str">
        <f t="shared" si="120"/>
        <v/>
      </c>
      <c r="T318" s="56" t="str">
        <f t="shared" si="121"/>
        <v/>
      </c>
      <c r="U318" s="56" t="str">
        <f t="shared" si="122"/>
        <v/>
      </c>
      <c r="V318" s="68" t="str">
        <f t="shared" si="123"/>
        <v/>
      </c>
      <c r="W318" s="80" t="str">
        <f t="shared" si="124"/>
        <v/>
      </c>
      <c r="X318" s="81" t="str">
        <f t="shared" si="125"/>
        <v/>
      </c>
      <c r="Y318" s="81" t="str">
        <f t="shared" si="126"/>
        <v/>
      </c>
      <c r="Z318" s="81" t="str">
        <f t="shared" si="127"/>
        <v/>
      </c>
      <c r="AA318" s="82" t="str">
        <f t="shared" si="128"/>
        <v/>
      </c>
      <c r="AB318" s="83" t="str">
        <f>IF(R318&lt;&gt;"",(W318-SUMPRODUCT(R$3:R318,$B$3:$B318)/SUM($B$3:$B318))/STDEVA(W308:W318),"")</f>
        <v/>
      </c>
      <c r="AC318" s="84" t="str">
        <f>IF(S318&lt;&gt;"",(X318-SUMPRODUCT(S$3:S318,$B$3:$B318)/SUM($B$3:$B318))/STDEVA(X308:X318),"")</f>
        <v/>
      </c>
      <c r="AD318" s="84" t="str">
        <f>IF(T318&lt;&gt;"",(Y318-SUMPRODUCT(T$3:T318,$B$3:$B318)/SUM($B$3:$B318))/STDEVA(Y308:Y318),"")</f>
        <v/>
      </c>
      <c r="AE318" s="84" t="str">
        <f>IF(U318&lt;&gt;"",(Z318-SUMPRODUCT(U$3:U318,$B$3:$B318)/SUM($B$3:$B318))/STDEVA(Z308:Z318),"")</f>
        <v/>
      </c>
      <c r="AF318" s="85" t="str">
        <f>IF(V318&lt;&gt;"",(AA318-SUMPRODUCT(V$3:V318,$B$3:$B318)/SUM($B$3:$B318))/STDEVA(AA308:AA318),"")</f>
        <v/>
      </c>
      <c r="AG318" s="90" t="str">
        <f t="shared" si="130"/>
        <v/>
      </c>
      <c r="AH318" s="90" t="str">
        <f t="shared" si="130"/>
        <v/>
      </c>
      <c r="AI318" s="90" t="str">
        <f t="shared" si="130"/>
        <v/>
      </c>
      <c r="AJ318" s="90" t="str">
        <f t="shared" si="129"/>
        <v/>
      </c>
      <c r="AK318" s="93" t="str">
        <f t="shared" si="129"/>
        <v/>
      </c>
      <c r="BQ318" s="100" t="str">
        <f>IF(A318&lt;&gt;"",(VLOOKUP(A318,MarketData!$D:$BP,MATCH($BQ$1,MarketData!$D$1:$EG$1,0),TRUE)/100/365+1)^(B318)*BQ317,"")</f>
        <v/>
      </c>
      <c r="BR318" s="98" t="str">
        <f t="shared" si="107"/>
        <v/>
      </c>
      <c r="BS318" s="106" t="str">
        <f>IF(A318&lt;&gt;"",VLOOKUP(A318,MarketData!$D:$BP,MATCH($BS$1,MarketData!$D$1:$EG$1,0),TRUE),"")</f>
        <v/>
      </c>
      <c r="BT318" s="98" t="str">
        <f t="shared" si="118"/>
        <v/>
      </c>
    </row>
    <row r="319" spans="2:72" x14ac:dyDescent="0.25">
      <c r="B319" s="60" t="str">
        <f t="shared" si="131"/>
        <v/>
      </c>
      <c r="C319" s="3" t="str">
        <f t="shared" si="108"/>
        <v/>
      </c>
      <c r="D319" s="3" t="str">
        <f t="shared" si="109"/>
        <v/>
      </c>
      <c r="E319" s="3" t="str">
        <f t="shared" si="110"/>
        <v/>
      </c>
      <c r="F319" s="3" t="str">
        <f t="shared" si="111"/>
        <v/>
      </c>
      <c r="G319" s="74" t="str">
        <f t="shared" si="112"/>
        <v/>
      </c>
      <c r="H319" s="78" t="str">
        <f>IFERROR(C319/SUM(M$2:M318),"")</f>
        <v/>
      </c>
      <c r="I319" s="61" t="str">
        <f>IFERROR(D319/SUM(N$2:N319),"")</f>
        <v/>
      </c>
      <c r="J319" s="61" t="str">
        <f>IFERROR(E319/SUM(O$2:O319),"")</f>
        <v/>
      </c>
      <c r="K319" s="61" t="str">
        <f>IFERROR(F319/SUM(P$2:P319),"")</f>
        <v/>
      </c>
      <c r="L319" s="79" t="str">
        <f>IFERROR(G319/SUM(Q$2:Q319),"")</f>
        <v/>
      </c>
      <c r="M319" s="64" t="str">
        <f t="shared" si="113"/>
        <v/>
      </c>
      <c r="N319" s="55" t="str">
        <f t="shared" si="114"/>
        <v/>
      </c>
      <c r="O319" s="55" t="str">
        <f t="shared" si="115"/>
        <v/>
      </c>
      <c r="P319" s="55" t="str">
        <f t="shared" si="116"/>
        <v/>
      </c>
      <c r="Q319" s="65" t="str">
        <f t="shared" si="117"/>
        <v/>
      </c>
      <c r="R319" s="67" t="str">
        <f t="shared" si="119"/>
        <v/>
      </c>
      <c r="S319" s="56" t="str">
        <f t="shared" si="120"/>
        <v/>
      </c>
      <c r="T319" s="56" t="str">
        <f t="shared" si="121"/>
        <v/>
      </c>
      <c r="U319" s="56" t="str">
        <f t="shared" si="122"/>
        <v/>
      </c>
      <c r="V319" s="68" t="str">
        <f t="shared" si="123"/>
        <v/>
      </c>
      <c r="W319" s="80" t="str">
        <f t="shared" si="124"/>
        <v/>
      </c>
      <c r="X319" s="81" t="str">
        <f t="shared" si="125"/>
        <v/>
      </c>
      <c r="Y319" s="81" t="str">
        <f t="shared" si="126"/>
        <v/>
      </c>
      <c r="Z319" s="81" t="str">
        <f t="shared" si="127"/>
        <v/>
      </c>
      <c r="AA319" s="82" t="str">
        <f t="shared" si="128"/>
        <v/>
      </c>
      <c r="AB319" s="83" t="str">
        <f>IF(R319&lt;&gt;"",(W319-SUMPRODUCT(R$3:R319,$B$3:$B319)/SUM($B$3:$B319))/STDEVA(W309:W319),"")</f>
        <v/>
      </c>
      <c r="AC319" s="84" t="str">
        <f>IF(S319&lt;&gt;"",(X319-SUMPRODUCT(S$3:S319,$B$3:$B319)/SUM($B$3:$B319))/STDEVA(X309:X319),"")</f>
        <v/>
      </c>
      <c r="AD319" s="84" t="str">
        <f>IF(T319&lt;&gt;"",(Y319-SUMPRODUCT(T$3:T319,$B$3:$B319)/SUM($B$3:$B319))/STDEVA(Y309:Y319),"")</f>
        <v/>
      </c>
      <c r="AE319" s="84" t="str">
        <f>IF(U319&lt;&gt;"",(Z319-SUMPRODUCT(U$3:U319,$B$3:$B319)/SUM($B$3:$B319))/STDEVA(Z309:Z319),"")</f>
        <v/>
      </c>
      <c r="AF319" s="85" t="str">
        <f>IF(V319&lt;&gt;"",(AA319-SUMPRODUCT(V$3:V319,$B$3:$B319)/SUM($B$3:$B319))/STDEVA(AA309:AA319),"")</f>
        <v/>
      </c>
      <c r="AG319" s="90" t="str">
        <f t="shared" si="130"/>
        <v/>
      </c>
      <c r="AH319" s="90" t="str">
        <f t="shared" si="130"/>
        <v/>
      </c>
      <c r="AI319" s="90" t="str">
        <f t="shared" si="130"/>
        <v/>
      </c>
      <c r="AJ319" s="90" t="str">
        <f t="shared" si="129"/>
        <v/>
      </c>
      <c r="AK319" s="93" t="str">
        <f t="shared" si="129"/>
        <v/>
      </c>
      <c r="BQ319" s="100" t="str">
        <f>IF(A319&lt;&gt;"",(VLOOKUP(A319,MarketData!$D:$BP,MATCH($BQ$1,MarketData!$D$1:$EG$1,0),TRUE)/100/365+1)^(B319)*BQ318,"")</f>
        <v/>
      </c>
      <c r="BR319" s="98" t="str">
        <f t="shared" si="107"/>
        <v/>
      </c>
      <c r="BS319" s="106" t="str">
        <f>IF(A319&lt;&gt;"",VLOOKUP(A319,MarketData!$D:$BP,MATCH($BS$1,MarketData!$D$1:$EG$1,0),TRUE),"")</f>
        <v/>
      </c>
      <c r="BT319" s="98" t="str">
        <f t="shared" si="118"/>
        <v/>
      </c>
    </row>
    <row r="320" spans="2:72" x14ac:dyDescent="0.25">
      <c r="B320" s="60" t="str">
        <f t="shared" si="131"/>
        <v/>
      </c>
      <c r="C320" s="3" t="str">
        <f t="shared" si="108"/>
        <v/>
      </c>
      <c r="D320" s="3" t="str">
        <f t="shared" si="109"/>
        <v/>
      </c>
      <c r="E320" s="3" t="str">
        <f t="shared" si="110"/>
        <v/>
      </c>
      <c r="F320" s="3" t="str">
        <f t="shared" si="111"/>
        <v/>
      </c>
      <c r="G320" s="74" t="str">
        <f t="shared" si="112"/>
        <v/>
      </c>
      <c r="H320" s="78" t="str">
        <f>IFERROR(C320/SUM(M$2:M319),"")</f>
        <v/>
      </c>
      <c r="I320" s="61" t="str">
        <f>IFERROR(D320/SUM(N$2:N320),"")</f>
        <v/>
      </c>
      <c r="J320" s="61" t="str">
        <f>IFERROR(E320/SUM(O$2:O320),"")</f>
        <v/>
      </c>
      <c r="K320" s="61" t="str">
        <f>IFERROR(F320/SUM(P$2:P320),"")</f>
        <v/>
      </c>
      <c r="L320" s="79" t="str">
        <f>IFERROR(G320/SUM(Q$2:Q320),"")</f>
        <v/>
      </c>
      <c r="M320" s="64" t="str">
        <f t="shared" si="113"/>
        <v/>
      </c>
      <c r="N320" s="55" t="str">
        <f t="shared" si="114"/>
        <v/>
      </c>
      <c r="O320" s="55" t="str">
        <f t="shared" si="115"/>
        <v/>
      </c>
      <c r="P320" s="55" t="str">
        <f t="shared" si="116"/>
        <v/>
      </c>
      <c r="Q320" s="65" t="str">
        <f t="shared" si="117"/>
        <v/>
      </c>
      <c r="R320" s="67" t="str">
        <f t="shared" si="119"/>
        <v/>
      </c>
      <c r="S320" s="56" t="str">
        <f t="shared" si="120"/>
        <v/>
      </c>
      <c r="T320" s="56" t="str">
        <f t="shared" si="121"/>
        <v/>
      </c>
      <c r="U320" s="56" t="str">
        <f t="shared" si="122"/>
        <v/>
      </c>
      <c r="V320" s="68" t="str">
        <f t="shared" si="123"/>
        <v/>
      </c>
      <c r="W320" s="80" t="str">
        <f t="shared" si="124"/>
        <v/>
      </c>
      <c r="X320" s="81" t="str">
        <f t="shared" si="125"/>
        <v/>
      </c>
      <c r="Y320" s="81" t="str">
        <f t="shared" si="126"/>
        <v/>
      </c>
      <c r="Z320" s="81" t="str">
        <f t="shared" si="127"/>
        <v/>
      </c>
      <c r="AA320" s="82" t="str">
        <f t="shared" si="128"/>
        <v/>
      </c>
      <c r="AB320" s="83" t="str">
        <f>IF(R320&lt;&gt;"",(W320-SUMPRODUCT(R$3:R320,$B$3:$B320)/SUM($B$3:$B320))/STDEVA(W310:W320),"")</f>
        <v/>
      </c>
      <c r="AC320" s="84" t="str">
        <f>IF(S320&lt;&gt;"",(X320-SUMPRODUCT(S$3:S320,$B$3:$B320)/SUM($B$3:$B320))/STDEVA(X310:X320),"")</f>
        <v/>
      </c>
      <c r="AD320" s="84" t="str">
        <f>IF(T320&lt;&gt;"",(Y320-SUMPRODUCT(T$3:T320,$B$3:$B320)/SUM($B$3:$B320))/STDEVA(Y310:Y320),"")</f>
        <v/>
      </c>
      <c r="AE320" s="84" t="str">
        <f>IF(U320&lt;&gt;"",(Z320-SUMPRODUCT(U$3:U320,$B$3:$B320)/SUM($B$3:$B320))/STDEVA(Z310:Z320),"")</f>
        <v/>
      </c>
      <c r="AF320" s="85" t="str">
        <f>IF(V320&lt;&gt;"",(AA320-SUMPRODUCT(V$3:V320,$B$3:$B320)/SUM($B$3:$B320))/STDEVA(AA310:AA320),"")</f>
        <v/>
      </c>
      <c r="AG320" s="90" t="str">
        <f t="shared" si="130"/>
        <v/>
      </c>
      <c r="AH320" s="90" t="str">
        <f t="shared" si="130"/>
        <v/>
      </c>
      <c r="AI320" s="90" t="str">
        <f t="shared" si="130"/>
        <v/>
      </c>
      <c r="AJ320" s="90" t="str">
        <f t="shared" si="129"/>
        <v/>
      </c>
      <c r="AK320" s="93" t="str">
        <f t="shared" si="129"/>
        <v/>
      </c>
      <c r="BQ320" s="100" t="str">
        <f>IF(A320&lt;&gt;"",(VLOOKUP(A320,MarketData!$D:$BP,MATCH($BQ$1,MarketData!$D$1:$EG$1,0),TRUE)/100/365+1)^(B320)*BQ319,"")</f>
        <v/>
      </c>
      <c r="BR320" s="98" t="str">
        <f t="shared" si="107"/>
        <v/>
      </c>
      <c r="BS320" s="106" t="str">
        <f>IF(A320&lt;&gt;"",VLOOKUP(A320,MarketData!$D:$BP,MATCH($BS$1,MarketData!$D$1:$EG$1,0),TRUE),"")</f>
        <v/>
      </c>
      <c r="BT320" s="98" t="str">
        <f t="shared" si="118"/>
        <v/>
      </c>
    </row>
    <row r="321" spans="2:72" x14ac:dyDescent="0.25">
      <c r="B321" s="60" t="str">
        <f t="shared" si="131"/>
        <v/>
      </c>
      <c r="C321" s="3" t="str">
        <f t="shared" si="108"/>
        <v/>
      </c>
      <c r="D321" s="3" t="str">
        <f t="shared" si="109"/>
        <v/>
      </c>
      <c r="E321" s="3" t="str">
        <f t="shared" si="110"/>
        <v/>
      </c>
      <c r="F321" s="3" t="str">
        <f t="shared" si="111"/>
        <v/>
      </c>
      <c r="G321" s="74" t="str">
        <f t="shared" si="112"/>
        <v/>
      </c>
      <c r="H321" s="78" t="str">
        <f>IFERROR(C321/SUM(M$2:M320),"")</f>
        <v/>
      </c>
      <c r="I321" s="61" t="str">
        <f>IFERROR(D321/SUM(N$2:N321),"")</f>
        <v/>
      </c>
      <c r="J321" s="61" t="str">
        <f>IFERROR(E321/SUM(O$2:O321),"")</f>
        <v/>
      </c>
      <c r="K321" s="61" t="str">
        <f>IFERROR(F321/SUM(P$2:P321),"")</f>
        <v/>
      </c>
      <c r="L321" s="79" t="str">
        <f>IFERROR(G321/SUM(Q$2:Q321),"")</f>
        <v/>
      </c>
      <c r="M321" s="64" t="str">
        <f t="shared" si="113"/>
        <v/>
      </c>
      <c r="N321" s="55" t="str">
        <f t="shared" si="114"/>
        <v/>
      </c>
      <c r="O321" s="55" t="str">
        <f t="shared" si="115"/>
        <v/>
      </c>
      <c r="P321" s="55" t="str">
        <f t="shared" si="116"/>
        <v/>
      </c>
      <c r="Q321" s="65" t="str">
        <f t="shared" si="117"/>
        <v/>
      </c>
      <c r="R321" s="67" t="str">
        <f t="shared" si="119"/>
        <v/>
      </c>
      <c r="S321" s="56" t="str">
        <f t="shared" si="120"/>
        <v/>
      </c>
      <c r="T321" s="56" t="str">
        <f t="shared" si="121"/>
        <v/>
      </c>
      <c r="U321" s="56" t="str">
        <f t="shared" si="122"/>
        <v/>
      </c>
      <c r="V321" s="68" t="str">
        <f t="shared" si="123"/>
        <v/>
      </c>
      <c r="W321" s="80" t="str">
        <f t="shared" si="124"/>
        <v/>
      </c>
      <c r="X321" s="81" t="str">
        <f t="shared" si="125"/>
        <v/>
      </c>
      <c r="Y321" s="81" t="str">
        <f t="shared" si="126"/>
        <v/>
      </c>
      <c r="Z321" s="81" t="str">
        <f t="shared" si="127"/>
        <v/>
      </c>
      <c r="AA321" s="82" t="str">
        <f t="shared" si="128"/>
        <v/>
      </c>
      <c r="AB321" s="83" t="str">
        <f>IF(R321&lt;&gt;"",(W321-SUMPRODUCT(R$3:R321,$B$3:$B321)/SUM($B$3:$B321))/STDEVA(W311:W321),"")</f>
        <v/>
      </c>
      <c r="AC321" s="84" t="str">
        <f>IF(S321&lt;&gt;"",(X321-SUMPRODUCT(S$3:S321,$B$3:$B321)/SUM($B$3:$B321))/STDEVA(X311:X321),"")</f>
        <v/>
      </c>
      <c r="AD321" s="84" t="str">
        <f>IF(T321&lt;&gt;"",(Y321-SUMPRODUCT(T$3:T321,$B$3:$B321)/SUM($B$3:$B321))/STDEVA(Y311:Y321),"")</f>
        <v/>
      </c>
      <c r="AE321" s="84" t="str">
        <f>IF(U321&lt;&gt;"",(Z321-SUMPRODUCT(U$3:U321,$B$3:$B321)/SUM($B$3:$B321))/STDEVA(Z311:Z321),"")</f>
        <v/>
      </c>
      <c r="AF321" s="85" t="str">
        <f>IF(V321&lt;&gt;"",(AA321-SUMPRODUCT(V$3:V321,$B$3:$B321)/SUM($B$3:$B321))/STDEVA(AA311:AA321),"")</f>
        <v/>
      </c>
      <c r="AG321" s="90" t="str">
        <f t="shared" si="130"/>
        <v/>
      </c>
      <c r="AH321" s="90" t="str">
        <f t="shared" si="130"/>
        <v/>
      </c>
      <c r="AI321" s="90" t="str">
        <f t="shared" si="130"/>
        <v/>
      </c>
      <c r="AJ321" s="90" t="str">
        <f t="shared" si="129"/>
        <v/>
      </c>
      <c r="AK321" s="93" t="str">
        <f t="shared" si="129"/>
        <v/>
      </c>
      <c r="BQ321" s="100" t="str">
        <f>IF(A321&lt;&gt;"",(VLOOKUP(A321,MarketData!$D:$BP,MATCH($BQ$1,MarketData!$D$1:$EG$1,0),TRUE)/100/365+1)^(B321)*BQ320,"")</f>
        <v/>
      </c>
      <c r="BR321" s="98" t="str">
        <f t="shared" si="107"/>
        <v/>
      </c>
      <c r="BS321" s="106" t="str">
        <f>IF(A321&lt;&gt;"",VLOOKUP(A321,MarketData!$D:$BP,MATCH($BS$1,MarketData!$D$1:$EG$1,0),TRUE),"")</f>
        <v/>
      </c>
      <c r="BT321" s="98" t="str">
        <f t="shared" si="118"/>
        <v/>
      </c>
    </row>
    <row r="322" spans="2:72" x14ac:dyDescent="0.25">
      <c r="B322" s="60" t="str">
        <f t="shared" si="131"/>
        <v/>
      </c>
      <c r="C322" s="3" t="str">
        <f t="shared" si="108"/>
        <v/>
      </c>
      <c r="D322" s="3" t="str">
        <f t="shared" si="109"/>
        <v/>
      </c>
      <c r="E322" s="3" t="str">
        <f t="shared" si="110"/>
        <v/>
      </c>
      <c r="F322" s="3" t="str">
        <f t="shared" si="111"/>
        <v/>
      </c>
      <c r="G322" s="74" t="str">
        <f t="shared" si="112"/>
        <v/>
      </c>
      <c r="H322" s="78" t="str">
        <f>IFERROR(C322/SUM(M$2:M321),"")</f>
        <v/>
      </c>
      <c r="I322" s="61" t="str">
        <f>IFERROR(D322/SUM(N$2:N322),"")</f>
        <v/>
      </c>
      <c r="J322" s="61" t="str">
        <f>IFERROR(E322/SUM(O$2:O322),"")</f>
        <v/>
      </c>
      <c r="K322" s="61" t="str">
        <f>IFERROR(F322/SUM(P$2:P322),"")</f>
        <v/>
      </c>
      <c r="L322" s="79" t="str">
        <f>IFERROR(G322/SUM(Q$2:Q322),"")</f>
        <v/>
      </c>
      <c r="M322" s="64" t="str">
        <f t="shared" si="113"/>
        <v/>
      </c>
      <c r="N322" s="55" t="str">
        <f t="shared" si="114"/>
        <v/>
      </c>
      <c r="O322" s="55" t="str">
        <f t="shared" si="115"/>
        <v/>
      </c>
      <c r="P322" s="55" t="str">
        <f t="shared" si="116"/>
        <v/>
      </c>
      <c r="Q322" s="65" t="str">
        <f t="shared" si="117"/>
        <v/>
      </c>
      <c r="R322" s="67" t="str">
        <f t="shared" si="119"/>
        <v/>
      </c>
      <c r="S322" s="56" t="str">
        <f t="shared" si="120"/>
        <v/>
      </c>
      <c r="T322" s="56" t="str">
        <f t="shared" si="121"/>
        <v/>
      </c>
      <c r="U322" s="56" t="str">
        <f t="shared" si="122"/>
        <v/>
      </c>
      <c r="V322" s="68" t="str">
        <f t="shared" si="123"/>
        <v/>
      </c>
      <c r="W322" s="80" t="str">
        <f t="shared" si="124"/>
        <v/>
      </c>
      <c r="X322" s="81" t="str">
        <f t="shared" si="125"/>
        <v/>
      </c>
      <c r="Y322" s="81" t="str">
        <f t="shared" si="126"/>
        <v/>
      </c>
      <c r="Z322" s="81" t="str">
        <f t="shared" si="127"/>
        <v/>
      </c>
      <c r="AA322" s="82" t="str">
        <f t="shared" si="128"/>
        <v/>
      </c>
      <c r="AB322" s="83" t="str">
        <f>IF(R322&lt;&gt;"",(W322-SUMPRODUCT(R$3:R322,$B$3:$B322)/SUM($B$3:$B322))/STDEVA(W312:W322),"")</f>
        <v/>
      </c>
      <c r="AC322" s="84" t="str">
        <f>IF(S322&lt;&gt;"",(X322-SUMPRODUCT(S$3:S322,$B$3:$B322)/SUM($B$3:$B322))/STDEVA(X312:X322),"")</f>
        <v/>
      </c>
      <c r="AD322" s="84" t="str">
        <f>IF(T322&lt;&gt;"",(Y322-SUMPRODUCT(T$3:T322,$B$3:$B322)/SUM($B$3:$B322))/STDEVA(Y312:Y322),"")</f>
        <v/>
      </c>
      <c r="AE322" s="84" t="str">
        <f>IF(U322&lt;&gt;"",(Z322-SUMPRODUCT(U$3:U322,$B$3:$B322)/SUM($B$3:$B322))/STDEVA(Z312:Z322),"")</f>
        <v/>
      </c>
      <c r="AF322" s="85" t="str">
        <f>IF(V322&lt;&gt;"",(AA322-SUMPRODUCT(V$3:V322,$B$3:$B322)/SUM($B$3:$B322))/STDEVA(AA312:AA322),"")</f>
        <v/>
      </c>
      <c r="AG322" s="90" t="str">
        <f t="shared" si="130"/>
        <v/>
      </c>
      <c r="AH322" s="90" t="str">
        <f t="shared" si="130"/>
        <v/>
      </c>
      <c r="AI322" s="90" t="str">
        <f t="shared" si="130"/>
        <v/>
      </c>
      <c r="AJ322" s="90" t="str">
        <f t="shared" si="129"/>
        <v/>
      </c>
      <c r="AK322" s="93" t="str">
        <f t="shared" si="129"/>
        <v/>
      </c>
      <c r="BQ322" s="100" t="str">
        <f>IF(A322&lt;&gt;"",(VLOOKUP(A322,MarketData!$D:$BP,MATCH($BQ$1,MarketData!$D$1:$EG$1,0),TRUE)/100/365+1)^(B322)*BQ321,"")</f>
        <v/>
      </c>
      <c r="BR322" s="98" t="str">
        <f t="shared" ref="BR322:BR385" si="132">IF(A322&lt;&gt;"",(BQ322-$BQ$2)/$BQ$2,"")</f>
        <v/>
      </c>
      <c r="BS322" s="106" t="str">
        <f>IF(A322&lt;&gt;"",VLOOKUP(A322,MarketData!$D:$BP,MATCH($BS$1,MarketData!$D$1:$EG$1,0),TRUE),"")</f>
        <v/>
      </c>
      <c r="BT322" s="98" t="str">
        <f t="shared" si="118"/>
        <v/>
      </c>
    </row>
    <row r="323" spans="2:72" x14ac:dyDescent="0.25">
      <c r="B323" s="60" t="str">
        <f t="shared" si="131"/>
        <v/>
      </c>
      <c r="C323" s="3" t="str">
        <f t="shared" ref="C323:C386" si="133">IF($A323&lt;&gt;0,SUMIFS(VM,Fecha,$A323,Linea,C$1)+SUMIFS(FX,Fecha,$A323,Linea,C$1)+C322,"")</f>
        <v/>
      </c>
      <c r="D323" s="3" t="str">
        <f t="shared" ref="D323:D386" si="134">IF($A323&lt;&gt;0,SUMIFS(VM,Fecha,$A323,Linea,D$1)+SUMIFS(FX,Fecha,$A323,Linea,D$1)+D322,"")</f>
        <v/>
      </c>
      <c r="E323" s="3" t="str">
        <f t="shared" ref="E323:E386" si="135">IF($A323&lt;&gt;0,SUMIFS(VM,Fecha,$A323,Linea,E$1)+SUMIFS(FX,Fecha,$A323,Linea,E$1)+E322,"")</f>
        <v/>
      </c>
      <c r="F323" s="3" t="str">
        <f t="shared" ref="F323:F386" si="136">IF($A323&lt;&gt;0,SUMIFS(VM,Fecha,$A323,Linea,F$1)+SUMIFS(FX,Fecha,$A323,Linea,F$1)+F322,"")</f>
        <v/>
      </c>
      <c r="G323" s="74" t="str">
        <f t="shared" ref="G323:G386" si="137">IF($A323&lt;&gt;0,SUMIFS(VM,Fecha,$A323,Linea,G$1)+SUMIFS(FX,Fecha,$A323,Linea,G$1)+G322,"")</f>
        <v/>
      </c>
      <c r="H323" s="78" t="str">
        <f>IFERROR(C323/SUM(M$2:M322),"")</f>
        <v/>
      </c>
      <c r="I323" s="61" t="str">
        <f>IFERROR(D323/SUM(N$2:N323),"")</f>
        <v/>
      </c>
      <c r="J323" s="61" t="str">
        <f>IFERROR(E323/SUM(O$2:O323),"")</f>
        <v/>
      </c>
      <c r="K323" s="61" t="str">
        <f>IFERROR(F323/SUM(P$2:P323),"")</f>
        <v/>
      </c>
      <c r="L323" s="79" t="str">
        <f>IFERROR(G323/SUM(Q$2:Q323),"")</f>
        <v/>
      </c>
      <c r="M323" s="64" t="str">
        <f t="shared" ref="M323:M386" si="138">IF($A323&lt;&gt;"",SUMIFS(Transferencias,Fecha,$A323,Linea,C$1),"")</f>
        <v/>
      </c>
      <c r="N323" s="55" t="str">
        <f t="shared" ref="N323:N386" si="139">IF($A323&lt;&gt;"",SUMIFS(Transferencias,Fecha,$A323,Linea,D$1),"")</f>
        <v/>
      </c>
      <c r="O323" s="55" t="str">
        <f t="shared" ref="O323:O386" si="140">IF($A323&lt;&gt;"",SUMIFS(Transferencias,Fecha,$A323,Linea,E$1),"")</f>
        <v/>
      </c>
      <c r="P323" s="55" t="str">
        <f t="shared" ref="P323:P386" si="141">IF($A323&lt;&gt;"",SUMIFS(Transferencias,Fecha,$A323,Linea,F$1),"")</f>
        <v/>
      </c>
      <c r="Q323" s="65" t="str">
        <f t="shared" ref="Q323:Q386" si="142">IF($A323&lt;&gt;"",SUMIFS(Transferencias,Fecha,$A323,Linea,G$1),"")</f>
        <v/>
      </c>
      <c r="R323" s="67" t="str">
        <f t="shared" si="119"/>
        <v/>
      </c>
      <c r="S323" s="56" t="str">
        <f t="shared" si="120"/>
        <v/>
      </c>
      <c r="T323" s="56" t="str">
        <f t="shared" si="121"/>
        <v/>
      </c>
      <c r="U323" s="56" t="str">
        <f t="shared" si="122"/>
        <v/>
      </c>
      <c r="V323" s="68" t="str">
        <f t="shared" si="123"/>
        <v/>
      </c>
      <c r="W323" s="80" t="str">
        <f t="shared" si="124"/>
        <v/>
      </c>
      <c r="X323" s="81" t="str">
        <f t="shared" si="125"/>
        <v/>
      </c>
      <c r="Y323" s="81" t="str">
        <f t="shared" si="126"/>
        <v/>
      </c>
      <c r="Z323" s="81" t="str">
        <f t="shared" si="127"/>
        <v/>
      </c>
      <c r="AA323" s="82" t="str">
        <f t="shared" si="128"/>
        <v/>
      </c>
      <c r="AB323" s="83" t="str">
        <f>IF(R323&lt;&gt;"",(W323-SUMPRODUCT(R$3:R323,$B$3:$B323)/SUM($B$3:$B323))/STDEVA(W313:W323),"")</f>
        <v/>
      </c>
      <c r="AC323" s="84" t="str">
        <f>IF(S323&lt;&gt;"",(X323-SUMPRODUCT(S$3:S323,$B$3:$B323)/SUM($B$3:$B323))/STDEVA(X313:X323),"")</f>
        <v/>
      </c>
      <c r="AD323" s="84" t="str">
        <f>IF(T323&lt;&gt;"",(Y323-SUMPRODUCT(T$3:T323,$B$3:$B323)/SUM($B$3:$B323))/STDEVA(Y313:Y323),"")</f>
        <v/>
      </c>
      <c r="AE323" s="84" t="str">
        <f>IF(U323&lt;&gt;"",(Z323-SUMPRODUCT(U$3:U323,$B$3:$B323)/SUM($B$3:$B323))/STDEVA(Z313:Z323),"")</f>
        <v/>
      </c>
      <c r="AF323" s="85" t="str">
        <f>IF(V323&lt;&gt;"",(AA323-SUMPRODUCT(V$3:V323,$B$3:$B323)/SUM($B$3:$B323))/STDEVA(AA313:AA323),"")</f>
        <v/>
      </c>
      <c r="AG323" s="90" t="str">
        <f t="shared" si="130"/>
        <v/>
      </c>
      <c r="AH323" s="90" t="str">
        <f t="shared" si="130"/>
        <v/>
      </c>
      <c r="AI323" s="90" t="str">
        <f t="shared" si="130"/>
        <v/>
      </c>
      <c r="AJ323" s="90" t="str">
        <f t="shared" si="129"/>
        <v/>
      </c>
      <c r="AK323" s="93" t="str">
        <f t="shared" si="129"/>
        <v/>
      </c>
      <c r="BQ323" s="100" t="str">
        <f>IF(A323&lt;&gt;"",(VLOOKUP(A323,MarketData!$D:$BP,MATCH($BQ$1,MarketData!$D$1:$EG$1,0),TRUE)/100/365+1)^(B323)*BQ322,"")</f>
        <v/>
      </c>
      <c r="BR323" s="98" t="str">
        <f t="shared" si="132"/>
        <v/>
      </c>
      <c r="BS323" s="106" t="str">
        <f>IF(A323&lt;&gt;"",VLOOKUP(A323,MarketData!$D:$BP,MATCH($BS$1,MarketData!$D$1:$EG$1,0),TRUE),"")</f>
        <v/>
      </c>
      <c r="BT323" s="98" t="str">
        <f t="shared" ref="BT323:BT386" si="143">IF(A323&lt;&gt;"",(BS323-$BS$2)/$BS$2,"")</f>
        <v/>
      </c>
    </row>
    <row r="324" spans="2:72" x14ac:dyDescent="0.25">
      <c r="B324" s="60" t="str">
        <f t="shared" si="131"/>
        <v/>
      </c>
      <c r="C324" s="3" t="str">
        <f t="shared" si="133"/>
        <v/>
      </c>
      <c r="D324" s="3" t="str">
        <f t="shared" si="134"/>
        <v/>
      </c>
      <c r="E324" s="3" t="str">
        <f t="shared" si="135"/>
        <v/>
      </c>
      <c r="F324" s="3" t="str">
        <f t="shared" si="136"/>
        <v/>
      </c>
      <c r="G324" s="74" t="str">
        <f t="shared" si="137"/>
        <v/>
      </c>
      <c r="H324" s="78" t="str">
        <f>IFERROR(C324/SUM(M$2:M323),"")</f>
        <v/>
      </c>
      <c r="I324" s="61" t="str">
        <f>IFERROR(D324/SUM(N$2:N324),"")</f>
        <v/>
      </c>
      <c r="J324" s="61" t="str">
        <f>IFERROR(E324/SUM(O$2:O324),"")</f>
        <v/>
      </c>
      <c r="K324" s="61" t="str">
        <f>IFERROR(F324/SUM(P$2:P324),"")</f>
        <v/>
      </c>
      <c r="L324" s="79" t="str">
        <f>IFERROR(G324/SUM(Q$2:Q324),"")</f>
        <v/>
      </c>
      <c r="M324" s="64" t="str">
        <f t="shared" si="138"/>
        <v/>
      </c>
      <c r="N324" s="55" t="str">
        <f t="shared" si="139"/>
        <v/>
      </c>
      <c r="O324" s="55" t="str">
        <f t="shared" si="140"/>
        <v/>
      </c>
      <c r="P324" s="55" t="str">
        <f t="shared" si="141"/>
        <v/>
      </c>
      <c r="Q324" s="65" t="str">
        <f t="shared" si="142"/>
        <v/>
      </c>
      <c r="R324" s="67" t="str">
        <f t="shared" ref="R324:R387" si="144">IF(C324&lt;&gt;"",LN((C324-C323)/(SUMIFS(Total,Fecha,$A323,Linea,C$1)+M323)+1)*365/($A324-$A323),"")</f>
        <v/>
      </c>
      <c r="S324" s="56" t="str">
        <f t="shared" ref="S324:S387" si="145">IF(D324&lt;&gt;"",LN((D324-D323)/(SUMIFS(Total,Fecha,$A323,Linea,D$1)+N323)+1)*365/($A324-$A323),"")</f>
        <v/>
      </c>
      <c r="T324" s="56" t="str">
        <f t="shared" ref="T324:T387" si="146">IF(E324&lt;&gt;"",LN((E324-E323)/(SUMIFS(Total,Fecha,$A323,Linea,E$1)+O323)+1)*365/($A324-$A323),"")</f>
        <v/>
      </c>
      <c r="U324" s="56" t="str">
        <f t="shared" ref="U324:U387" si="147">IF(F324&lt;&gt;"",LN((F324-F323)/(SUMIFS(Total,Fecha,$A323,Linea,F$1)+P323)+1)*365/($A324-$A323),"")</f>
        <v/>
      </c>
      <c r="V324" s="68" t="str">
        <f t="shared" ref="V324:V387" si="148">IF(G324&lt;&gt;"",LN((G324-G323)/(SUMIFS(Total,Fecha,$A323,Linea,G$1)+Q323)+1)*365/($A324-$A323),"")</f>
        <v/>
      </c>
      <c r="W324" s="80" t="str">
        <f t="shared" si="124"/>
        <v/>
      </c>
      <c r="X324" s="81" t="str">
        <f t="shared" si="125"/>
        <v/>
      </c>
      <c r="Y324" s="81" t="str">
        <f t="shared" si="126"/>
        <v/>
      </c>
      <c r="Z324" s="81" t="str">
        <f t="shared" si="127"/>
        <v/>
      </c>
      <c r="AA324" s="82" t="str">
        <f t="shared" si="128"/>
        <v/>
      </c>
      <c r="AB324" s="83" t="str">
        <f>IF(R324&lt;&gt;"",(W324-SUMPRODUCT(R$3:R324,$B$3:$B324)/SUM($B$3:$B324))/STDEVA(W314:W324),"")</f>
        <v/>
      </c>
      <c r="AC324" s="84" t="str">
        <f>IF(S324&lt;&gt;"",(X324-SUMPRODUCT(S$3:S324,$B$3:$B324)/SUM($B$3:$B324))/STDEVA(X314:X324),"")</f>
        <v/>
      </c>
      <c r="AD324" s="84" t="str">
        <f>IF(T324&lt;&gt;"",(Y324-SUMPRODUCT(T$3:T324,$B$3:$B324)/SUM($B$3:$B324))/STDEVA(Y314:Y324),"")</f>
        <v/>
      </c>
      <c r="AE324" s="84" t="str">
        <f>IF(U324&lt;&gt;"",(Z324-SUMPRODUCT(U$3:U324,$B$3:$B324)/SUM($B$3:$B324))/STDEVA(Z314:Z324),"")</f>
        <v/>
      </c>
      <c r="AF324" s="85" t="str">
        <f>IF(V324&lt;&gt;"",(AA324-SUMPRODUCT(V$3:V324,$B$3:$B324)/SUM($B$3:$B324))/STDEVA(AA314:AA324),"")</f>
        <v/>
      </c>
      <c r="AG324" s="90" t="str">
        <f t="shared" si="130"/>
        <v/>
      </c>
      <c r="AH324" s="90" t="str">
        <f t="shared" si="130"/>
        <v/>
      </c>
      <c r="AI324" s="90" t="str">
        <f t="shared" si="130"/>
        <v/>
      </c>
      <c r="AJ324" s="90" t="str">
        <f t="shared" si="129"/>
        <v/>
      </c>
      <c r="AK324" s="93" t="str">
        <f t="shared" si="129"/>
        <v/>
      </c>
      <c r="BQ324" s="100" t="str">
        <f>IF(A324&lt;&gt;"",(VLOOKUP(A324,MarketData!$D:$BP,MATCH($BQ$1,MarketData!$D$1:$EG$1,0),TRUE)/100/365+1)^(B324)*BQ323,"")</f>
        <v/>
      </c>
      <c r="BR324" s="98" t="str">
        <f t="shared" si="132"/>
        <v/>
      </c>
      <c r="BS324" s="106" t="str">
        <f>IF(A324&lt;&gt;"",VLOOKUP(A324,MarketData!$D:$BP,MATCH($BS$1,MarketData!$D$1:$EG$1,0),TRUE),"")</f>
        <v/>
      </c>
      <c r="BT324" s="98" t="str">
        <f t="shared" si="143"/>
        <v/>
      </c>
    </row>
    <row r="325" spans="2:72" x14ac:dyDescent="0.25">
      <c r="B325" s="60" t="str">
        <f t="shared" si="131"/>
        <v/>
      </c>
      <c r="C325" s="3" t="str">
        <f t="shared" si="133"/>
        <v/>
      </c>
      <c r="D325" s="3" t="str">
        <f t="shared" si="134"/>
        <v/>
      </c>
      <c r="E325" s="3" t="str">
        <f t="shared" si="135"/>
        <v/>
      </c>
      <c r="F325" s="3" t="str">
        <f t="shared" si="136"/>
        <v/>
      </c>
      <c r="G325" s="74" t="str">
        <f t="shared" si="137"/>
        <v/>
      </c>
      <c r="H325" s="78" t="str">
        <f>IFERROR(C325/SUM(M$2:M324),"")</f>
        <v/>
      </c>
      <c r="I325" s="61" t="str">
        <f>IFERROR(D325/SUM(N$2:N325),"")</f>
        <v/>
      </c>
      <c r="J325" s="61" t="str">
        <f>IFERROR(E325/SUM(O$2:O325),"")</f>
        <v/>
      </c>
      <c r="K325" s="61" t="str">
        <f>IFERROR(F325/SUM(P$2:P325),"")</f>
        <v/>
      </c>
      <c r="L325" s="79" t="str">
        <f>IFERROR(G325/SUM(Q$2:Q325),"")</f>
        <v/>
      </c>
      <c r="M325" s="64" t="str">
        <f t="shared" si="138"/>
        <v/>
      </c>
      <c r="N325" s="55" t="str">
        <f t="shared" si="139"/>
        <v/>
      </c>
      <c r="O325" s="55" t="str">
        <f t="shared" si="140"/>
        <v/>
      </c>
      <c r="P325" s="55" t="str">
        <f t="shared" si="141"/>
        <v/>
      </c>
      <c r="Q325" s="65" t="str">
        <f t="shared" si="142"/>
        <v/>
      </c>
      <c r="R325" s="67" t="str">
        <f t="shared" si="144"/>
        <v/>
      </c>
      <c r="S325" s="56" t="str">
        <f t="shared" si="145"/>
        <v/>
      </c>
      <c r="T325" s="56" t="str">
        <f t="shared" si="146"/>
        <v/>
      </c>
      <c r="U325" s="56" t="str">
        <f t="shared" si="147"/>
        <v/>
      </c>
      <c r="V325" s="68" t="str">
        <f t="shared" si="148"/>
        <v/>
      </c>
      <c r="W325" s="80" t="str">
        <f t="shared" si="124"/>
        <v/>
      </c>
      <c r="X325" s="81" t="str">
        <f t="shared" si="125"/>
        <v/>
      </c>
      <c r="Y325" s="81" t="str">
        <f t="shared" si="126"/>
        <v/>
      </c>
      <c r="Z325" s="81" t="str">
        <f t="shared" si="127"/>
        <v/>
      </c>
      <c r="AA325" s="82" t="str">
        <f t="shared" si="128"/>
        <v/>
      </c>
      <c r="AB325" s="83" t="str">
        <f>IF(R325&lt;&gt;"",(W325-SUMPRODUCT(R$3:R325,$B$3:$B325)/SUM($B$3:$B325))/STDEVA(W315:W325),"")</f>
        <v/>
      </c>
      <c r="AC325" s="84" t="str">
        <f>IF(S325&lt;&gt;"",(X325-SUMPRODUCT(S$3:S325,$B$3:$B325)/SUM($B$3:$B325))/STDEVA(X315:X325),"")</f>
        <v/>
      </c>
      <c r="AD325" s="84" t="str">
        <f>IF(T325&lt;&gt;"",(Y325-SUMPRODUCT(T$3:T325,$B$3:$B325)/SUM($B$3:$B325))/STDEVA(Y315:Y325),"")</f>
        <v/>
      </c>
      <c r="AE325" s="84" t="str">
        <f>IF(U325&lt;&gt;"",(Z325-SUMPRODUCT(U$3:U325,$B$3:$B325)/SUM($B$3:$B325))/STDEVA(Z315:Z325),"")</f>
        <v/>
      </c>
      <c r="AF325" s="85" t="str">
        <f>IF(V325&lt;&gt;"",(AA325-SUMPRODUCT(V$3:V325,$B$3:$B325)/SUM($B$3:$B325))/STDEVA(AA315:AA325),"")</f>
        <v/>
      </c>
      <c r="AG325" s="90" t="str">
        <f t="shared" si="130"/>
        <v/>
      </c>
      <c r="AH325" s="90" t="str">
        <f t="shared" si="130"/>
        <v/>
      </c>
      <c r="AI325" s="90" t="str">
        <f t="shared" si="130"/>
        <v/>
      </c>
      <c r="AJ325" s="90" t="str">
        <f t="shared" si="129"/>
        <v/>
      </c>
      <c r="AK325" s="93" t="str">
        <f t="shared" si="129"/>
        <v/>
      </c>
      <c r="BQ325" s="100" t="str">
        <f>IF(A325&lt;&gt;"",(VLOOKUP(A325,MarketData!$D:$BP,MATCH($BQ$1,MarketData!$D$1:$EG$1,0),TRUE)/100/365+1)^(B325)*BQ324,"")</f>
        <v/>
      </c>
      <c r="BR325" s="98" t="str">
        <f t="shared" si="132"/>
        <v/>
      </c>
      <c r="BS325" s="106" t="str">
        <f>IF(A325&lt;&gt;"",VLOOKUP(A325,MarketData!$D:$BP,MATCH($BS$1,MarketData!$D$1:$EG$1,0),TRUE),"")</f>
        <v/>
      </c>
      <c r="BT325" s="98" t="str">
        <f t="shared" si="143"/>
        <v/>
      </c>
    </row>
    <row r="326" spans="2:72" x14ac:dyDescent="0.25">
      <c r="B326" s="60" t="str">
        <f t="shared" si="131"/>
        <v/>
      </c>
      <c r="C326" s="3" t="str">
        <f t="shared" si="133"/>
        <v/>
      </c>
      <c r="D326" s="3" t="str">
        <f t="shared" si="134"/>
        <v/>
      </c>
      <c r="E326" s="3" t="str">
        <f t="shared" si="135"/>
        <v/>
      </c>
      <c r="F326" s="3" t="str">
        <f t="shared" si="136"/>
        <v/>
      </c>
      <c r="G326" s="74" t="str">
        <f t="shared" si="137"/>
        <v/>
      </c>
      <c r="H326" s="78" t="str">
        <f>IFERROR(C326/SUM(M$2:M325),"")</f>
        <v/>
      </c>
      <c r="I326" s="61" t="str">
        <f>IFERROR(D326/SUM(N$2:N326),"")</f>
        <v/>
      </c>
      <c r="J326" s="61" t="str">
        <f>IFERROR(E326/SUM(O$2:O326),"")</f>
        <v/>
      </c>
      <c r="K326" s="61" t="str">
        <f>IFERROR(F326/SUM(P$2:P326),"")</f>
        <v/>
      </c>
      <c r="L326" s="79" t="str">
        <f>IFERROR(G326/SUM(Q$2:Q326),"")</f>
        <v/>
      </c>
      <c r="M326" s="64" t="str">
        <f t="shared" si="138"/>
        <v/>
      </c>
      <c r="N326" s="55" t="str">
        <f t="shared" si="139"/>
        <v/>
      </c>
      <c r="O326" s="55" t="str">
        <f t="shared" si="140"/>
        <v/>
      </c>
      <c r="P326" s="55" t="str">
        <f t="shared" si="141"/>
        <v/>
      </c>
      <c r="Q326" s="65" t="str">
        <f t="shared" si="142"/>
        <v/>
      </c>
      <c r="R326" s="67" t="str">
        <f t="shared" si="144"/>
        <v/>
      </c>
      <c r="S326" s="56" t="str">
        <f t="shared" si="145"/>
        <v/>
      </c>
      <c r="T326" s="56" t="str">
        <f t="shared" si="146"/>
        <v/>
      </c>
      <c r="U326" s="56" t="str">
        <f t="shared" si="147"/>
        <v/>
      </c>
      <c r="V326" s="68" t="str">
        <f t="shared" si="148"/>
        <v/>
      </c>
      <c r="W326" s="80" t="str">
        <f t="shared" si="124"/>
        <v/>
      </c>
      <c r="X326" s="81" t="str">
        <f t="shared" si="125"/>
        <v/>
      </c>
      <c r="Y326" s="81" t="str">
        <f t="shared" si="126"/>
        <v/>
      </c>
      <c r="Z326" s="81" t="str">
        <f t="shared" si="127"/>
        <v/>
      </c>
      <c r="AA326" s="82" t="str">
        <f t="shared" si="128"/>
        <v/>
      </c>
      <c r="AB326" s="83" t="str">
        <f>IF(R326&lt;&gt;"",(W326-SUMPRODUCT(R$3:R326,$B$3:$B326)/SUM($B$3:$B326))/STDEVA(W316:W326),"")</f>
        <v/>
      </c>
      <c r="AC326" s="84" t="str">
        <f>IF(S326&lt;&gt;"",(X326-SUMPRODUCT(S$3:S326,$B$3:$B326)/SUM($B$3:$B326))/STDEVA(X316:X326),"")</f>
        <v/>
      </c>
      <c r="AD326" s="84" t="str">
        <f>IF(T326&lt;&gt;"",(Y326-SUMPRODUCT(T$3:T326,$B$3:$B326)/SUM($B$3:$B326))/STDEVA(Y316:Y326),"")</f>
        <v/>
      </c>
      <c r="AE326" s="84" t="str">
        <f>IF(U326&lt;&gt;"",(Z326-SUMPRODUCT(U$3:U326,$B$3:$B326)/SUM($B$3:$B326))/STDEVA(Z316:Z326),"")</f>
        <v/>
      </c>
      <c r="AF326" s="85" t="str">
        <f>IF(V326&lt;&gt;"",(AA326-SUMPRODUCT(V$3:V326,$B$3:$B326)/SUM($B$3:$B326))/STDEVA(AA316:AA326),"")</f>
        <v/>
      </c>
      <c r="AG326" s="90" t="str">
        <f t="shared" si="130"/>
        <v/>
      </c>
      <c r="AH326" s="90" t="str">
        <f t="shared" si="130"/>
        <v/>
      </c>
      <c r="AI326" s="90" t="str">
        <f t="shared" si="130"/>
        <v/>
      </c>
      <c r="AJ326" s="90" t="str">
        <f t="shared" si="129"/>
        <v/>
      </c>
      <c r="AK326" s="93" t="str">
        <f t="shared" si="129"/>
        <v/>
      </c>
      <c r="BQ326" s="100" t="str">
        <f>IF(A326&lt;&gt;"",(VLOOKUP(A326,MarketData!$D:$BP,MATCH($BQ$1,MarketData!$D$1:$EG$1,0),TRUE)/100/365+1)^(B326)*BQ325,"")</f>
        <v/>
      </c>
      <c r="BR326" s="98" t="str">
        <f t="shared" si="132"/>
        <v/>
      </c>
      <c r="BS326" s="106" t="str">
        <f>IF(A326&lt;&gt;"",VLOOKUP(A326,MarketData!$D:$BP,MATCH($BS$1,MarketData!$D$1:$EG$1,0),TRUE),"")</f>
        <v/>
      </c>
      <c r="BT326" s="98" t="str">
        <f t="shared" si="143"/>
        <v/>
      </c>
    </row>
    <row r="327" spans="2:72" x14ac:dyDescent="0.25">
      <c r="B327" s="60" t="str">
        <f t="shared" si="131"/>
        <v/>
      </c>
      <c r="C327" s="3" t="str">
        <f t="shared" si="133"/>
        <v/>
      </c>
      <c r="D327" s="3" t="str">
        <f t="shared" si="134"/>
        <v/>
      </c>
      <c r="E327" s="3" t="str">
        <f t="shared" si="135"/>
        <v/>
      </c>
      <c r="F327" s="3" t="str">
        <f t="shared" si="136"/>
        <v/>
      </c>
      <c r="G327" s="74" t="str">
        <f t="shared" si="137"/>
        <v/>
      </c>
      <c r="H327" s="78" t="str">
        <f>IFERROR(C327/SUM(M$2:M326),"")</f>
        <v/>
      </c>
      <c r="I327" s="61" t="str">
        <f>IFERROR(D327/SUM(N$2:N327),"")</f>
        <v/>
      </c>
      <c r="J327" s="61" t="str">
        <f>IFERROR(E327/SUM(O$2:O327),"")</f>
        <v/>
      </c>
      <c r="K327" s="61" t="str">
        <f>IFERROR(F327/SUM(P$2:P327),"")</f>
        <v/>
      </c>
      <c r="L327" s="79" t="str">
        <f>IFERROR(G327/SUM(Q$2:Q327),"")</f>
        <v/>
      </c>
      <c r="M327" s="64" t="str">
        <f t="shared" si="138"/>
        <v/>
      </c>
      <c r="N327" s="55" t="str">
        <f t="shared" si="139"/>
        <v/>
      </c>
      <c r="O327" s="55" t="str">
        <f t="shared" si="140"/>
        <v/>
      </c>
      <c r="P327" s="55" t="str">
        <f t="shared" si="141"/>
        <v/>
      </c>
      <c r="Q327" s="65" t="str">
        <f t="shared" si="142"/>
        <v/>
      </c>
      <c r="R327" s="67" t="str">
        <f t="shared" si="144"/>
        <v/>
      </c>
      <c r="S327" s="56" t="str">
        <f t="shared" si="145"/>
        <v/>
      </c>
      <c r="T327" s="56" t="str">
        <f t="shared" si="146"/>
        <v/>
      </c>
      <c r="U327" s="56" t="str">
        <f t="shared" si="147"/>
        <v/>
      </c>
      <c r="V327" s="68" t="str">
        <f t="shared" si="148"/>
        <v/>
      </c>
      <c r="W327" s="80" t="str">
        <f t="shared" si="124"/>
        <v/>
      </c>
      <c r="X327" s="81" t="str">
        <f t="shared" si="125"/>
        <v/>
      </c>
      <c r="Y327" s="81" t="str">
        <f t="shared" si="126"/>
        <v/>
      </c>
      <c r="Z327" s="81" t="str">
        <f t="shared" si="127"/>
        <v/>
      </c>
      <c r="AA327" s="82" t="str">
        <f t="shared" si="128"/>
        <v/>
      </c>
      <c r="AB327" s="83" t="str">
        <f>IF(R327&lt;&gt;"",(W327-SUMPRODUCT(R$3:R327,$B$3:$B327)/SUM($B$3:$B327))/STDEVA(W317:W327),"")</f>
        <v/>
      </c>
      <c r="AC327" s="84" t="str">
        <f>IF(S327&lt;&gt;"",(X327-SUMPRODUCT(S$3:S327,$B$3:$B327)/SUM($B$3:$B327))/STDEVA(X317:X327),"")</f>
        <v/>
      </c>
      <c r="AD327" s="84" t="str">
        <f>IF(T327&lt;&gt;"",(Y327-SUMPRODUCT(T$3:T327,$B$3:$B327)/SUM($B$3:$B327))/STDEVA(Y317:Y327),"")</f>
        <v/>
      </c>
      <c r="AE327" s="84" t="str">
        <f>IF(U327&lt;&gt;"",(Z327-SUMPRODUCT(U$3:U327,$B$3:$B327)/SUM($B$3:$B327))/STDEVA(Z317:Z327),"")</f>
        <v/>
      </c>
      <c r="AF327" s="85" t="str">
        <f>IF(V327&lt;&gt;"",(AA327-SUMPRODUCT(V$3:V327,$B$3:$B327)/SUM($B$3:$B327))/STDEVA(AA317:AA327),"")</f>
        <v/>
      </c>
      <c r="AG327" s="90" t="str">
        <f t="shared" si="130"/>
        <v/>
      </c>
      <c r="AH327" s="90" t="str">
        <f t="shared" si="130"/>
        <v/>
      </c>
      <c r="AI327" s="90" t="str">
        <f t="shared" si="130"/>
        <v/>
      </c>
      <c r="AJ327" s="90" t="str">
        <f t="shared" si="129"/>
        <v/>
      </c>
      <c r="AK327" s="93" t="str">
        <f t="shared" si="129"/>
        <v/>
      </c>
      <c r="BQ327" s="100" t="str">
        <f>IF(A327&lt;&gt;"",(VLOOKUP(A327,MarketData!$D:$BP,MATCH($BQ$1,MarketData!$D$1:$EG$1,0),TRUE)/100/365+1)^(B327)*BQ326,"")</f>
        <v/>
      </c>
      <c r="BR327" s="98" t="str">
        <f t="shared" si="132"/>
        <v/>
      </c>
      <c r="BS327" s="106" t="str">
        <f>IF(A327&lt;&gt;"",VLOOKUP(A327,MarketData!$D:$BP,MATCH($BS$1,MarketData!$D$1:$EG$1,0),TRUE),"")</f>
        <v/>
      </c>
      <c r="BT327" s="98" t="str">
        <f t="shared" si="143"/>
        <v/>
      </c>
    </row>
    <row r="328" spans="2:72" x14ac:dyDescent="0.25">
      <c r="B328" s="60" t="str">
        <f t="shared" si="131"/>
        <v/>
      </c>
      <c r="C328" s="3" t="str">
        <f t="shared" si="133"/>
        <v/>
      </c>
      <c r="D328" s="3" t="str">
        <f t="shared" si="134"/>
        <v/>
      </c>
      <c r="E328" s="3" t="str">
        <f t="shared" si="135"/>
        <v/>
      </c>
      <c r="F328" s="3" t="str">
        <f t="shared" si="136"/>
        <v/>
      </c>
      <c r="G328" s="74" t="str">
        <f t="shared" si="137"/>
        <v/>
      </c>
      <c r="H328" s="78" t="str">
        <f>IFERROR(C328/SUM(M$2:M327),"")</f>
        <v/>
      </c>
      <c r="I328" s="61" t="str">
        <f>IFERROR(D328/SUM(N$2:N328),"")</f>
        <v/>
      </c>
      <c r="J328" s="61" t="str">
        <f>IFERROR(E328/SUM(O$2:O328),"")</f>
        <v/>
      </c>
      <c r="K328" s="61" t="str">
        <f>IFERROR(F328/SUM(P$2:P328),"")</f>
        <v/>
      </c>
      <c r="L328" s="79" t="str">
        <f>IFERROR(G328/SUM(Q$2:Q328),"")</f>
        <v/>
      </c>
      <c r="M328" s="64" t="str">
        <f t="shared" si="138"/>
        <v/>
      </c>
      <c r="N328" s="55" t="str">
        <f t="shared" si="139"/>
        <v/>
      </c>
      <c r="O328" s="55" t="str">
        <f t="shared" si="140"/>
        <v/>
      </c>
      <c r="P328" s="55" t="str">
        <f t="shared" si="141"/>
        <v/>
      </c>
      <c r="Q328" s="65" t="str">
        <f t="shared" si="142"/>
        <v/>
      </c>
      <c r="R328" s="67" t="str">
        <f t="shared" si="144"/>
        <v/>
      </c>
      <c r="S328" s="56" t="str">
        <f t="shared" si="145"/>
        <v/>
      </c>
      <c r="T328" s="56" t="str">
        <f t="shared" si="146"/>
        <v/>
      </c>
      <c r="U328" s="56" t="str">
        <f t="shared" si="147"/>
        <v/>
      </c>
      <c r="V328" s="68" t="str">
        <f t="shared" si="148"/>
        <v/>
      </c>
      <c r="W328" s="80" t="str">
        <f t="shared" si="124"/>
        <v/>
      </c>
      <c r="X328" s="81" t="str">
        <f t="shared" si="125"/>
        <v/>
      </c>
      <c r="Y328" s="81" t="str">
        <f t="shared" si="126"/>
        <v/>
      </c>
      <c r="Z328" s="81" t="str">
        <f t="shared" si="127"/>
        <v/>
      </c>
      <c r="AA328" s="82" t="str">
        <f t="shared" si="128"/>
        <v/>
      </c>
      <c r="AB328" s="83" t="str">
        <f>IF(R328&lt;&gt;"",(W328-SUMPRODUCT(R$3:R328,$B$3:$B328)/SUM($B$3:$B328))/STDEVA(W318:W328),"")</f>
        <v/>
      </c>
      <c r="AC328" s="84" t="str">
        <f>IF(S328&lt;&gt;"",(X328-SUMPRODUCT(S$3:S328,$B$3:$B328)/SUM($B$3:$B328))/STDEVA(X318:X328),"")</f>
        <v/>
      </c>
      <c r="AD328" s="84" t="str">
        <f>IF(T328&lt;&gt;"",(Y328-SUMPRODUCT(T$3:T328,$B$3:$B328)/SUM($B$3:$B328))/STDEVA(Y318:Y328),"")</f>
        <v/>
      </c>
      <c r="AE328" s="84" t="str">
        <f>IF(U328&lt;&gt;"",(Z328-SUMPRODUCT(U$3:U328,$B$3:$B328)/SUM($B$3:$B328))/STDEVA(Z318:Z328),"")</f>
        <v/>
      </c>
      <c r="AF328" s="85" t="str">
        <f>IF(V328&lt;&gt;"",(AA328-SUMPRODUCT(V$3:V328,$B$3:$B328)/SUM($B$3:$B328))/STDEVA(AA318:AA328),"")</f>
        <v/>
      </c>
      <c r="AG328" s="90" t="str">
        <f t="shared" si="130"/>
        <v/>
      </c>
      <c r="AH328" s="90" t="str">
        <f t="shared" si="130"/>
        <v/>
      </c>
      <c r="AI328" s="90" t="str">
        <f t="shared" si="130"/>
        <v/>
      </c>
      <c r="AJ328" s="90" t="str">
        <f t="shared" si="129"/>
        <v/>
      </c>
      <c r="AK328" s="93" t="str">
        <f t="shared" si="129"/>
        <v/>
      </c>
      <c r="BQ328" s="100" t="str">
        <f>IF(A328&lt;&gt;"",(VLOOKUP(A328,MarketData!$D:$BP,MATCH($BQ$1,MarketData!$D$1:$EG$1,0),TRUE)/100/365+1)^(B328)*BQ327,"")</f>
        <v/>
      </c>
      <c r="BR328" s="98" t="str">
        <f t="shared" si="132"/>
        <v/>
      </c>
      <c r="BS328" s="106" t="str">
        <f>IF(A328&lt;&gt;"",VLOOKUP(A328,MarketData!$D:$BP,MATCH($BS$1,MarketData!$D$1:$EG$1,0),TRUE),"")</f>
        <v/>
      </c>
      <c r="BT328" s="98" t="str">
        <f t="shared" si="143"/>
        <v/>
      </c>
    </row>
    <row r="329" spans="2:72" x14ac:dyDescent="0.25">
      <c r="B329" s="60" t="str">
        <f t="shared" si="131"/>
        <v/>
      </c>
      <c r="C329" s="3" t="str">
        <f t="shared" si="133"/>
        <v/>
      </c>
      <c r="D329" s="3" t="str">
        <f t="shared" si="134"/>
        <v/>
      </c>
      <c r="E329" s="3" t="str">
        <f t="shared" si="135"/>
        <v/>
      </c>
      <c r="F329" s="3" t="str">
        <f t="shared" si="136"/>
        <v/>
      </c>
      <c r="G329" s="74" t="str">
        <f t="shared" si="137"/>
        <v/>
      </c>
      <c r="H329" s="78" t="str">
        <f>IFERROR(C329/SUM(M$2:M328),"")</f>
        <v/>
      </c>
      <c r="I329" s="61" t="str">
        <f>IFERROR(D329/SUM(N$2:N329),"")</f>
        <v/>
      </c>
      <c r="J329" s="61" t="str">
        <f>IFERROR(E329/SUM(O$2:O329),"")</f>
        <v/>
      </c>
      <c r="K329" s="61" t="str">
        <f>IFERROR(F329/SUM(P$2:P329),"")</f>
        <v/>
      </c>
      <c r="L329" s="79" t="str">
        <f>IFERROR(G329/SUM(Q$2:Q329),"")</f>
        <v/>
      </c>
      <c r="M329" s="64" t="str">
        <f t="shared" si="138"/>
        <v/>
      </c>
      <c r="N329" s="55" t="str">
        <f t="shared" si="139"/>
        <v/>
      </c>
      <c r="O329" s="55" t="str">
        <f t="shared" si="140"/>
        <v/>
      </c>
      <c r="P329" s="55" t="str">
        <f t="shared" si="141"/>
        <v/>
      </c>
      <c r="Q329" s="65" t="str">
        <f t="shared" si="142"/>
        <v/>
      </c>
      <c r="R329" s="67" t="str">
        <f t="shared" si="144"/>
        <v/>
      </c>
      <c r="S329" s="56" t="str">
        <f t="shared" si="145"/>
        <v/>
      </c>
      <c r="T329" s="56" t="str">
        <f t="shared" si="146"/>
        <v/>
      </c>
      <c r="U329" s="56" t="str">
        <f t="shared" si="147"/>
        <v/>
      </c>
      <c r="V329" s="68" t="str">
        <f t="shared" si="148"/>
        <v/>
      </c>
      <c r="W329" s="80" t="str">
        <f t="shared" si="124"/>
        <v/>
      </c>
      <c r="X329" s="81" t="str">
        <f t="shared" si="125"/>
        <v/>
      </c>
      <c r="Y329" s="81" t="str">
        <f t="shared" si="126"/>
        <v/>
      </c>
      <c r="Z329" s="81" t="str">
        <f t="shared" si="127"/>
        <v/>
      </c>
      <c r="AA329" s="82" t="str">
        <f t="shared" si="128"/>
        <v/>
      </c>
      <c r="AB329" s="83" t="str">
        <f>IF(R329&lt;&gt;"",(W329-SUMPRODUCT(R$3:R329,$B$3:$B329)/SUM($B$3:$B329))/STDEVA(W319:W329),"")</f>
        <v/>
      </c>
      <c r="AC329" s="84" t="str">
        <f>IF(S329&lt;&gt;"",(X329-SUMPRODUCT(S$3:S329,$B$3:$B329)/SUM($B$3:$B329))/STDEVA(X319:X329),"")</f>
        <v/>
      </c>
      <c r="AD329" s="84" t="str">
        <f>IF(T329&lt;&gt;"",(Y329-SUMPRODUCT(T$3:T329,$B$3:$B329)/SUM($B$3:$B329))/STDEVA(Y319:Y329),"")</f>
        <v/>
      </c>
      <c r="AE329" s="84" t="str">
        <f>IF(U329&lt;&gt;"",(Z329-SUMPRODUCT(U$3:U329,$B$3:$B329)/SUM($B$3:$B329))/STDEVA(Z319:Z329),"")</f>
        <v/>
      </c>
      <c r="AF329" s="85" t="str">
        <f>IF(V329&lt;&gt;"",(AA329-SUMPRODUCT(V$3:V329,$B$3:$B329)/SUM($B$3:$B329))/STDEVA(AA319:AA329),"")</f>
        <v/>
      </c>
      <c r="AG329" s="90" t="str">
        <f t="shared" si="130"/>
        <v/>
      </c>
      <c r="AH329" s="90" t="str">
        <f t="shared" si="130"/>
        <v/>
      </c>
      <c r="AI329" s="90" t="str">
        <f t="shared" si="130"/>
        <v/>
      </c>
      <c r="AJ329" s="90" t="str">
        <f t="shared" si="129"/>
        <v/>
      </c>
      <c r="AK329" s="93" t="str">
        <f t="shared" si="129"/>
        <v/>
      </c>
      <c r="BQ329" s="100" t="str">
        <f>IF(A329&lt;&gt;"",(VLOOKUP(A329,MarketData!$D:$BP,MATCH($BQ$1,MarketData!$D$1:$EG$1,0),TRUE)/100/365+1)^(B329)*BQ328,"")</f>
        <v/>
      </c>
      <c r="BR329" s="98" t="str">
        <f t="shared" si="132"/>
        <v/>
      </c>
      <c r="BS329" s="106" t="str">
        <f>IF(A329&lt;&gt;"",VLOOKUP(A329,MarketData!$D:$BP,MATCH($BS$1,MarketData!$D$1:$EG$1,0),TRUE),"")</f>
        <v/>
      </c>
      <c r="BT329" s="98" t="str">
        <f t="shared" si="143"/>
        <v/>
      </c>
    </row>
    <row r="330" spans="2:72" x14ac:dyDescent="0.25">
      <c r="B330" s="60" t="str">
        <f t="shared" si="131"/>
        <v/>
      </c>
      <c r="C330" s="3" t="str">
        <f t="shared" si="133"/>
        <v/>
      </c>
      <c r="D330" s="3" t="str">
        <f t="shared" si="134"/>
        <v/>
      </c>
      <c r="E330" s="3" t="str">
        <f t="shared" si="135"/>
        <v/>
      </c>
      <c r="F330" s="3" t="str">
        <f t="shared" si="136"/>
        <v/>
      </c>
      <c r="G330" s="74" t="str">
        <f t="shared" si="137"/>
        <v/>
      </c>
      <c r="H330" s="78" t="str">
        <f>IFERROR(C330/SUM(M$2:M329),"")</f>
        <v/>
      </c>
      <c r="I330" s="61" t="str">
        <f>IFERROR(D330/SUM(N$2:N330),"")</f>
        <v/>
      </c>
      <c r="J330" s="61" t="str">
        <f>IFERROR(E330/SUM(O$2:O330),"")</f>
        <v/>
      </c>
      <c r="K330" s="61" t="str">
        <f>IFERROR(F330/SUM(P$2:P330),"")</f>
        <v/>
      </c>
      <c r="L330" s="79" t="str">
        <f>IFERROR(G330/SUM(Q$2:Q330),"")</f>
        <v/>
      </c>
      <c r="M330" s="64" t="str">
        <f t="shared" si="138"/>
        <v/>
      </c>
      <c r="N330" s="55" t="str">
        <f t="shared" si="139"/>
        <v/>
      </c>
      <c r="O330" s="55" t="str">
        <f t="shared" si="140"/>
        <v/>
      </c>
      <c r="P330" s="55" t="str">
        <f t="shared" si="141"/>
        <v/>
      </c>
      <c r="Q330" s="65" t="str">
        <f t="shared" si="142"/>
        <v/>
      </c>
      <c r="R330" s="67" t="str">
        <f t="shared" si="144"/>
        <v/>
      </c>
      <c r="S330" s="56" t="str">
        <f t="shared" si="145"/>
        <v/>
      </c>
      <c r="T330" s="56" t="str">
        <f t="shared" si="146"/>
        <v/>
      </c>
      <c r="U330" s="56" t="str">
        <f t="shared" si="147"/>
        <v/>
      </c>
      <c r="V330" s="68" t="str">
        <f t="shared" si="148"/>
        <v/>
      </c>
      <c r="W330" s="80" t="str">
        <f t="shared" si="124"/>
        <v/>
      </c>
      <c r="X330" s="81" t="str">
        <f t="shared" si="125"/>
        <v/>
      </c>
      <c r="Y330" s="81" t="str">
        <f t="shared" si="126"/>
        <v/>
      </c>
      <c r="Z330" s="81" t="str">
        <f t="shared" si="127"/>
        <v/>
      </c>
      <c r="AA330" s="82" t="str">
        <f t="shared" si="128"/>
        <v/>
      </c>
      <c r="AB330" s="83" t="str">
        <f>IF(R330&lt;&gt;"",(W330-SUMPRODUCT(R$3:R330,$B$3:$B330)/SUM($B$3:$B330))/STDEVA(W320:W330),"")</f>
        <v/>
      </c>
      <c r="AC330" s="84" t="str">
        <f>IF(S330&lt;&gt;"",(X330-SUMPRODUCT(S$3:S330,$B$3:$B330)/SUM($B$3:$B330))/STDEVA(X320:X330),"")</f>
        <v/>
      </c>
      <c r="AD330" s="84" t="str">
        <f>IF(T330&lt;&gt;"",(Y330-SUMPRODUCT(T$3:T330,$B$3:$B330)/SUM($B$3:$B330))/STDEVA(Y320:Y330),"")</f>
        <v/>
      </c>
      <c r="AE330" s="84" t="str">
        <f>IF(U330&lt;&gt;"",(Z330-SUMPRODUCT(U$3:U330,$B$3:$B330)/SUM($B$3:$B330))/STDEVA(Z320:Z330),"")</f>
        <v/>
      </c>
      <c r="AF330" s="85" t="str">
        <f>IF(V330&lt;&gt;"",(AA330-SUMPRODUCT(V$3:V330,$B$3:$B330)/SUM($B$3:$B330))/STDEVA(AA320:AA330),"")</f>
        <v/>
      </c>
      <c r="AG330" s="90" t="str">
        <f t="shared" si="130"/>
        <v/>
      </c>
      <c r="AH330" s="90" t="str">
        <f t="shared" si="130"/>
        <v/>
      </c>
      <c r="AI330" s="90" t="str">
        <f t="shared" si="130"/>
        <v/>
      </c>
      <c r="AJ330" s="90" t="str">
        <f t="shared" si="129"/>
        <v/>
      </c>
      <c r="AK330" s="93" t="str">
        <f t="shared" si="129"/>
        <v/>
      </c>
      <c r="BQ330" s="100" t="str">
        <f>IF(A330&lt;&gt;"",(VLOOKUP(A330,MarketData!$D:$BP,MATCH($BQ$1,MarketData!$D$1:$EG$1,0),TRUE)/100/365+1)^(B330)*BQ329,"")</f>
        <v/>
      </c>
      <c r="BR330" s="98" t="str">
        <f t="shared" si="132"/>
        <v/>
      </c>
      <c r="BS330" s="106" t="str">
        <f>IF(A330&lt;&gt;"",VLOOKUP(A330,MarketData!$D:$BP,MATCH($BS$1,MarketData!$D$1:$EG$1,0),TRUE),"")</f>
        <v/>
      </c>
      <c r="BT330" s="98" t="str">
        <f t="shared" si="143"/>
        <v/>
      </c>
    </row>
    <row r="331" spans="2:72" x14ac:dyDescent="0.25">
      <c r="B331" s="60" t="str">
        <f t="shared" si="131"/>
        <v/>
      </c>
      <c r="C331" s="3" t="str">
        <f t="shared" si="133"/>
        <v/>
      </c>
      <c r="D331" s="3" t="str">
        <f t="shared" si="134"/>
        <v/>
      </c>
      <c r="E331" s="3" t="str">
        <f t="shared" si="135"/>
        <v/>
      </c>
      <c r="F331" s="3" t="str">
        <f t="shared" si="136"/>
        <v/>
      </c>
      <c r="G331" s="74" t="str">
        <f t="shared" si="137"/>
        <v/>
      </c>
      <c r="H331" s="78" t="str">
        <f>IFERROR(C331/SUM(M$2:M330),"")</f>
        <v/>
      </c>
      <c r="I331" s="61" t="str">
        <f>IFERROR(D331/SUM(N$2:N331),"")</f>
        <v/>
      </c>
      <c r="J331" s="61" t="str">
        <f>IFERROR(E331/SUM(O$2:O331),"")</f>
        <v/>
      </c>
      <c r="K331" s="61" t="str">
        <f>IFERROR(F331/SUM(P$2:P331),"")</f>
        <v/>
      </c>
      <c r="L331" s="79" t="str">
        <f>IFERROR(G331/SUM(Q$2:Q331),"")</f>
        <v/>
      </c>
      <c r="M331" s="64" t="str">
        <f t="shared" si="138"/>
        <v/>
      </c>
      <c r="N331" s="55" t="str">
        <f t="shared" si="139"/>
        <v/>
      </c>
      <c r="O331" s="55" t="str">
        <f t="shared" si="140"/>
        <v/>
      </c>
      <c r="P331" s="55" t="str">
        <f t="shared" si="141"/>
        <v/>
      </c>
      <c r="Q331" s="65" t="str">
        <f t="shared" si="142"/>
        <v/>
      </c>
      <c r="R331" s="67" t="str">
        <f t="shared" si="144"/>
        <v/>
      </c>
      <c r="S331" s="56" t="str">
        <f t="shared" si="145"/>
        <v/>
      </c>
      <c r="T331" s="56" t="str">
        <f t="shared" si="146"/>
        <v/>
      </c>
      <c r="U331" s="56" t="str">
        <f t="shared" si="147"/>
        <v/>
      </c>
      <c r="V331" s="68" t="str">
        <f t="shared" si="148"/>
        <v/>
      </c>
      <c r="W331" s="80" t="str">
        <f t="shared" si="124"/>
        <v/>
      </c>
      <c r="X331" s="81" t="str">
        <f t="shared" si="125"/>
        <v/>
      </c>
      <c r="Y331" s="81" t="str">
        <f t="shared" si="126"/>
        <v/>
      </c>
      <c r="Z331" s="81" t="str">
        <f t="shared" si="127"/>
        <v/>
      </c>
      <c r="AA331" s="82" t="str">
        <f t="shared" si="128"/>
        <v/>
      </c>
      <c r="AB331" s="83" t="str">
        <f>IF(R331&lt;&gt;"",(W331-SUMPRODUCT(R$3:R331,$B$3:$B331)/SUM($B$3:$B331))/STDEVA(W321:W331),"")</f>
        <v/>
      </c>
      <c r="AC331" s="84" t="str">
        <f>IF(S331&lt;&gt;"",(X331-SUMPRODUCT(S$3:S331,$B$3:$B331)/SUM($B$3:$B331))/STDEVA(X321:X331),"")</f>
        <v/>
      </c>
      <c r="AD331" s="84" t="str">
        <f>IF(T331&lt;&gt;"",(Y331-SUMPRODUCT(T$3:T331,$B$3:$B331)/SUM($B$3:$B331))/STDEVA(Y321:Y331),"")</f>
        <v/>
      </c>
      <c r="AE331" s="84" t="str">
        <f>IF(U331&lt;&gt;"",(Z331-SUMPRODUCT(U$3:U331,$B$3:$B331)/SUM($B$3:$B331))/STDEVA(Z321:Z331),"")</f>
        <v/>
      </c>
      <c r="AF331" s="85" t="str">
        <f>IF(V331&lt;&gt;"",(AA331-SUMPRODUCT(V$3:V331,$B$3:$B331)/SUM($B$3:$B331))/STDEVA(AA321:AA331),"")</f>
        <v/>
      </c>
      <c r="AG331" s="90" t="str">
        <f t="shared" si="130"/>
        <v/>
      </c>
      <c r="AH331" s="90" t="str">
        <f t="shared" si="130"/>
        <v/>
      </c>
      <c r="AI331" s="90" t="str">
        <f t="shared" si="130"/>
        <v/>
      </c>
      <c r="AJ331" s="90" t="str">
        <f t="shared" si="129"/>
        <v/>
      </c>
      <c r="AK331" s="93" t="str">
        <f t="shared" si="129"/>
        <v/>
      </c>
      <c r="BQ331" s="100" t="str">
        <f>IF(A331&lt;&gt;"",(VLOOKUP(A331,MarketData!$D:$BP,MATCH($BQ$1,MarketData!$D$1:$EG$1,0),TRUE)/100/365+1)^(B331)*BQ330,"")</f>
        <v/>
      </c>
      <c r="BR331" s="98" t="str">
        <f t="shared" si="132"/>
        <v/>
      </c>
      <c r="BS331" s="106" t="str">
        <f>IF(A331&lt;&gt;"",VLOOKUP(A331,MarketData!$D:$BP,MATCH($BS$1,MarketData!$D$1:$EG$1,0),TRUE),"")</f>
        <v/>
      </c>
      <c r="BT331" s="98" t="str">
        <f t="shared" si="143"/>
        <v/>
      </c>
    </row>
    <row r="332" spans="2:72" x14ac:dyDescent="0.25">
      <c r="B332" s="60" t="str">
        <f t="shared" si="131"/>
        <v/>
      </c>
      <c r="C332" s="3" t="str">
        <f t="shared" si="133"/>
        <v/>
      </c>
      <c r="D332" s="3" t="str">
        <f t="shared" si="134"/>
        <v/>
      </c>
      <c r="E332" s="3" t="str">
        <f t="shared" si="135"/>
        <v/>
      </c>
      <c r="F332" s="3" t="str">
        <f t="shared" si="136"/>
        <v/>
      </c>
      <c r="G332" s="74" t="str">
        <f t="shared" si="137"/>
        <v/>
      </c>
      <c r="H332" s="78" t="str">
        <f>IFERROR(C332/SUM(M$2:M331),"")</f>
        <v/>
      </c>
      <c r="I332" s="61" t="str">
        <f>IFERROR(D332/SUM(N$2:N332),"")</f>
        <v/>
      </c>
      <c r="J332" s="61" t="str">
        <f>IFERROR(E332/SUM(O$2:O332),"")</f>
        <v/>
      </c>
      <c r="K332" s="61" t="str">
        <f>IFERROR(F332/SUM(P$2:P332),"")</f>
        <v/>
      </c>
      <c r="L332" s="79" t="str">
        <f>IFERROR(G332/SUM(Q$2:Q332),"")</f>
        <v/>
      </c>
      <c r="M332" s="64" t="str">
        <f t="shared" si="138"/>
        <v/>
      </c>
      <c r="N332" s="55" t="str">
        <f t="shared" si="139"/>
        <v/>
      </c>
      <c r="O332" s="55" t="str">
        <f t="shared" si="140"/>
        <v/>
      </c>
      <c r="P332" s="55" t="str">
        <f t="shared" si="141"/>
        <v/>
      </c>
      <c r="Q332" s="65" t="str">
        <f t="shared" si="142"/>
        <v/>
      </c>
      <c r="R332" s="67" t="str">
        <f t="shared" si="144"/>
        <v/>
      </c>
      <c r="S332" s="56" t="str">
        <f t="shared" si="145"/>
        <v/>
      </c>
      <c r="T332" s="56" t="str">
        <f t="shared" si="146"/>
        <v/>
      </c>
      <c r="U332" s="56" t="str">
        <f t="shared" si="147"/>
        <v/>
      </c>
      <c r="V332" s="68" t="str">
        <f t="shared" si="148"/>
        <v/>
      </c>
      <c r="W332" s="80" t="str">
        <f t="shared" ref="W332:W395" si="149">IF(R332&lt;&gt;"",SUMPRODUCT(R323:R332,$B323:$B332)/SUM($B323:$B332),"")</f>
        <v/>
      </c>
      <c r="X332" s="81" t="str">
        <f t="shared" ref="X332:X395" si="150">IF(S332&lt;&gt;"",SUMPRODUCT(S323:S332,$B323:$B332)/SUM($B323:$B332),"")</f>
        <v/>
      </c>
      <c r="Y332" s="81" t="str">
        <f t="shared" ref="Y332:Y395" si="151">IF(T332&lt;&gt;"",SUMPRODUCT(T323:T332,$B323:$B332)/SUM($B323:$B332),"")</f>
        <v/>
      </c>
      <c r="Z332" s="81" t="str">
        <f t="shared" ref="Z332:Z395" si="152">IF(U332&lt;&gt;"",SUMPRODUCT(U323:U332,$B323:$B332)/SUM($B323:$B332),"")</f>
        <v/>
      </c>
      <c r="AA332" s="82" t="str">
        <f t="shared" ref="AA332:AA395" si="153">IF(V332&lt;&gt;"",SUMPRODUCT(V323:V332,$B323:$B332)/SUM($B323:$B332),"")</f>
        <v/>
      </c>
      <c r="AB332" s="83" t="str">
        <f>IF(R332&lt;&gt;"",(W332-SUMPRODUCT(R$3:R332,$B$3:$B332)/SUM($B$3:$B332))/STDEVA(W322:W332),"")</f>
        <v/>
      </c>
      <c r="AC332" s="84" t="str">
        <f>IF(S332&lt;&gt;"",(X332-SUMPRODUCT(S$3:S332,$B$3:$B332)/SUM($B$3:$B332))/STDEVA(X322:X332),"")</f>
        <v/>
      </c>
      <c r="AD332" s="84" t="str">
        <f>IF(T332&lt;&gt;"",(Y332-SUMPRODUCT(T$3:T332,$B$3:$B332)/SUM($B$3:$B332))/STDEVA(Y322:Y332),"")</f>
        <v/>
      </c>
      <c r="AE332" s="84" t="str">
        <f>IF(U332&lt;&gt;"",(Z332-SUMPRODUCT(U$3:U332,$B$3:$B332)/SUM($B$3:$B332))/STDEVA(Z322:Z332),"")</f>
        <v/>
      </c>
      <c r="AF332" s="85" t="str">
        <f>IF(V332&lt;&gt;"",(AA332-SUMPRODUCT(V$3:V332,$B$3:$B332)/SUM($B$3:$B332))/STDEVA(AA322:AA332),"")</f>
        <v/>
      </c>
      <c r="AG332" s="90" t="str">
        <f t="shared" si="130"/>
        <v/>
      </c>
      <c r="AH332" s="90" t="str">
        <f t="shared" si="130"/>
        <v/>
      </c>
      <c r="AI332" s="90" t="str">
        <f t="shared" si="130"/>
        <v/>
      </c>
      <c r="AJ332" s="90" t="str">
        <f t="shared" si="129"/>
        <v/>
      </c>
      <c r="AK332" s="93" t="str">
        <f t="shared" si="129"/>
        <v/>
      </c>
      <c r="BQ332" s="100" t="str">
        <f>IF(A332&lt;&gt;"",(VLOOKUP(A332,MarketData!$D:$BP,MATCH($BQ$1,MarketData!$D$1:$EG$1,0),TRUE)/100/365+1)^(B332)*BQ331,"")</f>
        <v/>
      </c>
      <c r="BR332" s="98" t="str">
        <f t="shared" si="132"/>
        <v/>
      </c>
      <c r="BS332" s="106" t="str">
        <f>IF(A332&lt;&gt;"",VLOOKUP(A332,MarketData!$D:$BP,MATCH($BS$1,MarketData!$D$1:$EG$1,0),TRUE),"")</f>
        <v/>
      </c>
      <c r="BT332" s="98" t="str">
        <f t="shared" si="143"/>
        <v/>
      </c>
    </row>
    <row r="333" spans="2:72" x14ac:dyDescent="0.25">
      <c r="B333" s="60" t="str">
        <f t="shared" si="131"/>
        <v/>
      </c>
      <c r="C333" s="3" t="str">
        <f t="shared" si="133"/>
        <v/>
      </c>
      <c r="D333" s="3" t="str">
        <f t="shared" si="134"/>
        <v/>
      </c>
      <c r="E333" s="3" t="str">
        <f t="shared" si="135"/>
        <v/>
      </c>
      <c r="F333" s="3" t="str">
        <f t="shared" si="136"/>
        <v/>
      </c>
      <c r="G333" s="74" t="str">
        <f t="shared" si="137"/>
        <v/>
      </c>
      <c r="H333" s="78" t="str">
        <f>IFERROR(C333/SUM(M$2:M332),"")</f>
        <v/>
      </c>
      <c r="I333" s="61" t="str">
        <f>IFERROR(D333/SUM(N$2:N333),"")</f>
        <v/>
      </c>
      <c r="J333" s="61" t="str">
        <f>IFERROR(E333/SUM(O$2:O333),"")</f>
        <v/>
      </c>
      <c r="K333" s="61" t="str">
        <f>IFERROR(F333/SUM(P$2:P333),"")</f>
        <v/>
      </c>
      <c r="L333" s="79" t="str">
        <f>IFERROR(G333/SUM(Q$2:Q333),"")</f>
        <v/>
      </c>
      <c r="M333" s="64" t="str">
        <f t="shared" si="138"/>
        <v/>
      </c>
      <c r="N333" s="55" t="str">
        <f t="shared" si="139"/>
        <v/>
      </c>
      <c r="O333" s="55" t="str">
        <f t="shared" si="140"/>
        <v/>
      </c>
      <c r="P333" s="55" t="str">
        <f t="shared" si="141"/>
        <v/>
      </c>
      <c r="Q333" s="65" t="str">
        <f t="shared" si="142"/>
        <v/>
      </c>
      <c r="R333" s="67" t="str">
        <f t="shared" si="144"/>
        <v/>
      </c>
      <c r="S333" s="56" t="str">
        <f t="shared" si="145"/>
        <v/>
      </c>
      <c r="T333" s="56" t="str">
        <f t="shared" si="146"/>
        <v/>
      </c>
      <c r="U333" s="56" t="str">
        <f t="shared" si="147"/>
        <v/>
      </c>
      <c r="V333" s="68" t="str">
        <f t="shared" si="148"/>
        <v/>
      </c>
      <c r="W333" s="80" t="str">
        <f t="shared" si="149"/>
        <v/>
      </c>
      <c r="X333" s="81" t="str">
        <f t="shared" si="150"/>
        <v/>
      </c>
      <c r="Y333" s="81" t="str">
        <f t="shared" si="151"/>
        <v/>
      </c>
      <c r="Z333" s="81" t="str">
        <f t="shared" si="152"/>
        <v/>
      </c>
      <c r="AA333" s="82" t="str">
        <f t="shared" si="153"/>
        <v/>
      </c>
      <c r="AB333" s="83" t="str">
        <f>IF(R333&lt;&gt;"",(W333-SUMPRODUCT(R$3:R333,$B$3:$B333)/SUM($B$3:$B333))/STDEVA(W323:W333),"")</f>
        <v/>
      </c>
      <c r="AC333" s="84" t="str">
        <f>IF(S333&lt;&gt;"",(X333-SUMPRODUCT(S$3:S333,$B$3:$B333)/SUM($B$3:$B333))/STDEVA(X323:X333),"")</f>
        <v/>
      </c>
      <c r="AD333" s="84" t="str">
        <f>IF(T333&lt;&gt;"",(Y333-SUMPRODUCT(T$3:T333,$B$3:$B333)/SUM($B$3:$B333))/STDEVA(Y323:Y333),"")</f>
        <v/>
      </c>
      <c r="AE333" s="84" t="str">
        <f>IF(U333&lt;&gt;"",(Z333-SUMPRODUCT(U$3:U333,$B$3:$B333)/SUM($B$3:$B333))/STDEVA(Z323:Z333),"")</f>
        <v/>
      </c>
      <c r="AF333" s="85" t="str">
        <f>IF(V333&lt;&gt;"",(AA333-SUMPRODUCT(V$3:V333,$B$3:$B333)/SUM($B$3:$B333))/STDEVA(AA323:AA333),"")</f>
        <v/>
      </c>
      <c r="AG333" s="90" t="str">
        <f t="shared" si="130"/>
        <v/>
      </c>
      <c r="AH333" s="90" t="str">
        <f t="shared" si="130"/>
        <v/>
      </c>
      <c r="AI333" s="90" t="str">
        <f t="shared" si="130"/>
        <v/>
      </c>
      <c r="AJ333" s="90" t="str">
        <f t="shared" si="130"/>
        <v/>
      </c>
      <c r="AK333" s="93" t="str">
        <f t="shared" si="130"/>
        <v/>
      </c>
      <c r="BQ333" s="100" t="str">
        <f>IF(A333&lt;&gt;"",(VLOOKUP(A333,MarketData!$D:$BP,MATCH($BQ$1,MarketData!$D$1:$EG$1,0),TRUE)/100/365+1)^(B333)*BQ332,"")</f>
        <v/>
      </c>
      <c r="BR333" s="98" t="str">
        <f t="shared" si="132"/>
        <v/>
      </c>
      <c r="BS333" s="106" t="str">
        <f>IF(A333&lt;&gt;"",VLOOKUP(A333,MarketData!$D:$BP,MATCH($BS$1,MarketData!$D$1:$EG$1,0),TRUE),"")</f>
        <v/>
      </c>
      <c r="BT333" s="98" t="str">
        <f t="shared" si="143"/>
        <v/>
      </c>
    </row>
    <row r="334" spans="2:72" x14ac:dyDescent="0.25">
      <c r="B334" s="60" t="str">
        <f t="shared" si="131"/>
        <v/>
      </c>
      <c r="C334" s="3" t="str">
        <f t="shared" si="133"/>
        <v/>
      </c>
      <c r="D334" s="3" t="str">
        <f t="shared" si="134"/>
        <v/>
      </c>
      <c r="E334" s="3" t="str">
        <f t="shared" si="135"/>
        <v/>
      </c>
      <c r="F334" s="3" t="str">
        <f t="shared" si="136"/>
        <v/>
      </c>
      <c r="G334" s="74" t="str">
        <f t="shared" si="137"/>
        <v/>
      </c>
      <c r="H334" s="78" t="str">
        <f>IFERROR(C334/SUM(M$2:M333),"")</f>
        <v/>
      </c>
      <c r="I334" s="61" t="str">
        <f>IFERROR(D334/SUM(N$2:N334),"")</f>
        <v/>
      </c>
      <c r="J334" s="61" t="str">
        <f>IFERROR(E334/SUM(O$2:O334),"")</f>
        <v/>
      </c>
      <c r="K334" s="61" t="str">
        <f>IFERROR(F334/SUM(P$2:P334),"")</f>
        <v/>
      </c>
      <c r="L334" s="79" t="str">
        <f>IFERROR(G334/SUM(Q$2:Q334),"")</f>
        <v/>
      </c>
      <c r="M334" s="64" t="str">
        <f t="shared" si="138"/>
        <v/>
      </c>
      <c r="N334" s="55" t="str">
        <f t="shared" si="139"/>
        <v/>
      </c>
      <c r="O334" s="55" t="str">
        <f t="shared" si="140"/>
        <v/>
      </c>
      <c r="P334" s="55" t="str">
        <f t="shared" si="141"/>
        <v/>
      </c>
      <c r="Q334" s="65" t="str">
        <f t="shared" si="142"/>
        <v/>
      </c>
      <c r="R334" s="67" t="str">
        <f t="shared" si="144"/>
        <v/>
      </c>
      <c r="S334" s="56" t="str">
        <f t="shared" si="145"/>
        <v/>
      </c>
      <c r="T334" s="56" t="str">
        <f t="shared" si="146"/>
        <v/>
      </c>
      <c r="U334" s="56" t="str">
        <f t="shared" si="147"/>
        <v/>
      </c>
      <c r="V334" s="68" t="str">
        <f t="shared" si="148"/>
        <v/>
      </c>
      <c r="W334" s="80" t="str">
        <f t="shared" si="149"/>
        <v/>
      </c>
      <c r="X334" s="81" t="str">
        <f t="shared" si="150"/>
        <v/>
      </c>
      <c r="Y334" s="81" t="str">
        <f t="shared" si="151"/>
        <v/>
      </c>
      <c r="Z334" s="81" t="str">
        <f t="shared" si="152"/>
        <v/>
      </c>
      <c r="AA334" s="82" t="str">
        <f t="shared" si="153"/>
        <v/>
      </c>
      <c r="AB334" s="83" t="str">
        <f>IF(R334&lt;&gt;"",(W334-SUMPRODUCT(R$3:R334,$B$3:$B334)/SUM($B$3:$B334))/STDEVA(W324:W334),"")</f>
        <v/>
      </c>
      <c r="AC334" s="84" t="str">
        <f>IF(S334&lt;&gt;"",(X334-SUMPRODUCT(S$3:S334,$B$3:$B334)/SUM($B$3:$B334))/STDEVA(X324:X334),"")</f>
        <v/>
      </c>
      <c r="AD334" s="84" t="str">
        <f>IF(T334&lt;&gt;"",(Y334-SUMPRODUCT(T$3:T334,$B$3:$B334)/SUM($B$3:$B334))/STDEVA(Y324:Y334),"")</f>
        <v/>
      </c>
      <c r="AE334" s="84" t="str">
        <f>IF(U334&lt;&gt;"",(Z334-SUMPRODUCT(U$3:U334,$B$3:$B334)/SUM($B$3:$B334))/STDEVA(Z324:Z334),"")</f>
        <v/>
      </c>
      <c r="AF334" s="85" t="str">
        <f>IF(V334&lt;&gt;"",(AA334-SUMPRODUCT(V$3:V334,$B$3:$B334)/SUM($B$3:$B334))/STDEVA(AA324:AA334),"")</f>
        <v/>
      </c>
      <c r="AG334" s="90" t="str">
        <f t="shared" ref="AG334:AJ397" si="154">IF(AB334&lt;&gt;"",SUMPRODUCT(AB329:AB334,$B329:$B334)/SUM($B329:$B334),"")</f>
        <v/>
      </c>
      <c r="AH334" s="90" t="str">
        <f t="shared" si="154"/>
        <v/>
      </c>
      <c r="AI334" s="90" t="str">
        <f t="shared" si="154"/>
        <v/>
      </c>
      <c r="AJ334" s="90" t="str">
        <f t="shared" si="154"/>
        <v/>
      </c>
      <c r="AK334" s="93" t="str">
        <f t="shared" ref="AK334:AK397" si="155">IF(AF334&lt;&gt;"",SUMPRODUCT(AF329:AF334,$B329:$B334)/SUM($B329:$B334),"")</f>
        <v/>
      </c>
      <c r="BQ334" s="100" t="str">
        <f>IF(A334&lt;&gt;"",(VLOOKUP(A334,MarketData!$D:$BP,MATCH($BQ$1,MarketData!$D$1:$EG$1,0),TRUE)/100/365+1)^(B334)*BQ333,"")</f>
        <v/>
      </c>
      <c r="BR334" s="98" t="str">
        <f t="shared" si="132"/>
        <v/>
      </c>
      <c r="BS334" s="106" t="str">
        <f>IF(A334&lt;&gt;"",VLOOKUP(A334,MarketData!$D:$BP,MATCH($BS$1,MarketData!$D$1:$EG$1,0),TRUE),"")</f>
        <v/>
      </c>
      <c r="BT334" s="98" t="str">
        <f t="shared" si="143"/>
        <v/>
      </c>
    </row>
    <row r="335" spans="2:72" x14ac:dyDescent="0.25">
      <c r="B335" s="60" t="str">
        <f t="shared" si="131"/>
        <v/>
      </c>
      <c r="C335" s="3" t="str">
        <f t="shared" si="133"/>
        <v/>
      </c>
      <c r="D335" s="3" t="str">
        <f t="shared" si="134"/>
        <v/>
      </c>
      <c r="E335" s="3" t="str">
        <f t="shared" si="135"/>
        <v/>
      </c>
      <c r="F335" s="3" t="str">
        <f t="shared" si="136"/>
        <v/>
      </c>
      <c r="G335" s="74" t="str">
        <f t="shared" si="137"/>
        <v/>
      </c>
      <c r="H335" s="78" t="str">
        <f>IFERROR(C335/SUM(M$2:M334),"")</f>
        <v/>
      </c>
      <c r="I335" s="61" t="str">
        <f>IFERROR(D335/SUM(N$2:N335),"")</f>
        <v/>
      </c>
      <c r="J335" s="61" t="str">
        <f>IFERROR(E335/SUM(O$2:O335),"")</f>
        <v/>
      </c>
      <c r="K335" s="61" t="str">
        <f>IFERROR(F335/SUM(P$2:P335),"")</f>
        <v/>
      </c>
      <c r="L335" s="79" t="str">
        <f>IFERROR(G335/SUM(Q$2:Q335),"")</f>
        <v/>
      </c>
      <c r="M335" s="64" t="str">
        <f t="shared" si="138"/>
        <v/>
      </c>
      <c r="N335" s="55" t="str">
        <f t="shared" si="139"/>
        <v/>
      </c>
      <c r="O335" s="55" t="str">
        <f t="shared" si="140"/>
        <v/>
      </c>
      <c r="P335" s="55" t="str">
        <f t="shared" si="141"/>
        <v/>
      </c>
      <c r="Q335" s="65" t="str">
        <f t="shared" si="142"/>
        <v/>
      </c>
      <c r="R335" s="67" t="str">
        <f t="shared" si="144"/>
        <v/>
      </c>
      <c r="S335" s="56" t="str">
        <f t="shared" si="145"/>
        <v/>
      </c>
      <c r="T335" s="56" t="str">
        <f t="shared" si="146"/>
        <v/>
      </c>
      <c r="U335" s="56" t="str">
        <f t="shared" si="147"/>
        <v/>
      </c>
      <c r="V335" s="68" t="str">
        <f t="shared" si="148"/>
        <v/>
      </c>
      <c r="W335" s="80" t="str">
        <f t="shared" si="149"/>
        <v/>
      </c>
      <c r="X335" s="81" t="str">
        <f t="shared" si="150"/>
        <v/>
      </c>
      <c r="Y335" s="81" t="str">
        <f t="shared" si="151"/>
        <v/>
      </c>
      <c r="Z335" s="81" t="str">
        <f t="shared" si="152"/>
        <v/>
      </c>
      <c r="AA335" s="82" t="str">
        <f t="shared" si="153"/>
        <v/>
      </c>
      <c r="AB335" s="83" t="str">
        <f>IF(R335&lt;&gt;"",(W335-SUMPRODUCT(R$3:R335,$B$3:$B335)/SUM($B$3:$B335))/STDEVA(W325:W335),"")</f>
        <v/>
      </c>
      <c r="AC335" s="84" t="str">
        <f>IF(S335&lt;&gt;"",(X335-SUMPRODUCT(S$3:S335,$B$3:$B335)/SUM($B$3:$B335))/STDEVA(X325:X335),"")</f>
        <v/>
      </c>
      <c r="AD335" s="84" t="str">
        <f>IF(T335&lt;&gt;"",(Y335-SUMPRODUCT(T$3:T335,$B$3:$B335)/SUM($B$3:$B335))/STDEVA(Y325:Y335),"")</f>
        <v/>
      </c>
      <c r="AE335" s="84" t="str">
        <f>IF(U335&lt;&gt;"",(Z335-SUMPRODUCT(U$3:U335,$B$3:$B335)/SUM($B$3:$B335))/STDEVA(Z325:Z335),"")</f>
        <v/>
      </c>
      <c r="AF335" s="85" t="str">
        <f>IF(V335&lt;&gt;"",(AA335-SUMPRODUCT(V$3:V335,$B$3:$B335)/SUM($B$3:$B335))/STDEVA(AA325:AA335),"")</f>
        <v/>
      </c>
      <c r="AG335" s="90" t="str">
        <f t="shared" si="154"/>
        <v/>
      </c>
      <c r="AH335" s="90" t="str">
        <f t="shared" si="154"/>
        <v/>
      </c>
      <c r="AI335" s="90" t="str">
        <f t="shared" si="154"/>
        <v/>
      </c>
      <c r="AJ335" s="90" t="str">
        <f t="shared" si="154"/>
        <v/>
      </c>
      <c r="AK335" s="93" t="str">
        <f t="shared" si="155"/>
        <v/>
      </c>
      <c r="BQ335" s="100" t="str">
        <f>IF(A335&lt;&gt;"",(VLOOKUP(A335,MarketData!$D:$BP,MATCH($BQ$1,MarketData!$D$1:$EG$1,0),TRUE)/100/365+1)^(B335)*BQ334,"")</f>
        <v/>
      </c>
      <c r="BR335" s="98" t="str">
        <f t="shared" si="132"/>
        <v/>
      </c>
      <c r="BS335" s="106" t="str">
        <f>IF(A335&lt;&gt;"",VLOOKUP(A335,MarketData!$D:$BP,MATCH($BS$1,MarketData!$D$1:$EG$1,0),TRUE),"")</f>
        <v/>
      </c>
      <c r="BT335" s="98" t="str">
        <f t="shared" si="143"/>
        <v/>
      </c>
    </row>
    <row r="336" spans="2:72" x14ac:dyDescent="0.25">
      <c r="B336" s="60" t="str">
        <f t="shared" si="131"/>
        <v/>
      </c>
      <c r="C336" s="3" t="str">
        <f t="shared" si="133"/>
        <v/>
      </c>
      <c r="D336" s="3" t="str">
        <f t="shared" si="134"/>
        <v/>
      </c>
      <c r="E336" s="3" t="str">
        <f t="shared" si="135"/>
        <v/>
      </c>
      <c r="F336" s="3" t="str">
        <f t="shared" si="136"/>
        <v/>
      </c>
      <c r="G336" s="74" t="str">
        <f t="shared" si="137"/>
        <v/>
      </c>
      <c r="H336" s="78" t="str">
        <f>IFERROR(C336/SUM(M$2:M335),"")</f>
        <v/>
      </c>
      <c r="I336" s="61" t="str">
        <f>IFERROR(D336/SUM(N$2:N336),"")</f>
        <v/>
      </c>
      <c r="J336" s="61" t="str">
        <f>IFERROR(E336/SUM(O$2:O336),"")</f>
        <v/>
      </c>
      <c r="K336" s="61" t="str">
        <f>IFERROR(F336/SUM(P$2:P336),"")</f>
        <v/>
      </c>
      <c r="L336" s="79" t="str">
        <f>IFERROR(G336/SUM(Q$2:Q336),"")</f>
        <v/>
      </c>
      <c r="M336" s="64" t="str">
        <f t="shared" si="138"/>
        <v/>
      </c>
      <c r="N336" s="55" t="str">
        <f t="shared" si="139"/>
        <v/>
      </c>
      <c r="O336" s="55" t="str">
        <f t="shared" si="140"/>
        <v/>
      </c>
      <c r="P336" s="55" t="str">
        <f t="shared" si="141"/>
        <v/>
      </c>
      <c r="Q336" s="65" t="str">
        <f t="shared" si="142"/>
        <v/>
      </c>
      <c r="R336" s="67" t="str">
        <f t="shared" si="144"/>
        <v/>
      </c>
      <c r="S336" s="56" t="str">
        <f t="shared" si="145"/>
        <v/>
      </c>
      <c r="T336" s="56" t="str">
        <f t="shared" si="146"/>
        <v/>
      </c>
      <c r="U336" s="56" t="str">
        <f t="shared" si="147"/>
        <v/>
      </c>
      <c r="V336" s="68" t="str">
        <f t="shared" si="148"/>
        <v/>
      </c>
      <c r="W336" s="80" t="str">
        <f t="shared" si="149"/>
        <v/>
      </c>
      <c r="X336" s="81" t="str">
        <f t="shared" si="150"/>
        <v/>
      </c>
      <c r="Y336" s="81" t="str">
        <f t="shared" si="151"/>
        <v/>
      </c>
      <c r="Z336" s="81" t="str">
        <f t="shared" si="152"/>
        <v/>
      </c>
      <c r="AA336" s="82" t="str">
        <f t="shared" si="153"/>
        <v/>
      </c>
      <c r="AB336" s="83" t="str">
        <f>IF(R336&lt;&gt;"",(W336-SUMPRODUCT(R$3:R336,$B$3:$B336)/SUM($B$3:$B336))/STDEVA(W326:W336),"")</f>
        <v/>
      </c>
      <c r="AC336" s="84" t="str">
        <f>IF(S336&lt;&gt;"",(X336-SUMPRODUCT(S$3:S336,$B$3:$B336)/SUM($B$3:$B336))/STDEVA(X326:X336),"")</f>
        <v/>
      </c>
      <c r="AD336" s="84" t="str">
        <f>IF(T336&lt;&gt;"",(Y336-SUMPRODUCT(T$3:T336,$B$3:$B336)/SUM($B$3:$B336))/STDEVA(Y326:Y336),"")</f>
        <v/>
      </c>
      <c r="AE336" s="84" t="str">
        <f>IF(U336&lt;&gt;"",(Z336-SUMPRODUCT(U$3:U336,$B$3:$B336)/SUM($B$3:$B336))/STDEVA(Z326:Z336),"")</f>
        <v/>
      </c>
      <c r="AF336" s="85" t="str">
        <f>IF(V336&lt;&gt;"",(AA336-SUMPRODUCT(V$3:V336,$B$3:$B336)/SUM($B$3:$B336))/STDEVA(AA326:AA336),"")</f>
        <v/>
      </c>
      <c r="AG336" s="90" t="str">
        <f t="shared" si="154"/>
        <v/>
      </c>
      <c r="AH336" s="90" t="str">
        <f t="shared" si="154"/>
        <v/>
      </c>
      <c r="AI336" s="90" t="str">
        <f t="shared" si="154"/>
        <v/>
      </c>
      <c r="AJ336" s="90" t="str">
        <f t="shared" si="154"/>
        <v/>
      </c>
      <c r="AK336" s="93" t="str">
        <f t="shared" si="155"/>
        <v/>
      </c>
      <c r="BQ336" s="100" t="str">
        <f>IF(A336&lt;&gt;"",(VLOOKUP(A336,MarketData!$D:$BP,MATCH($BQ$1,MarketData!$D$1:$EG$1,0),TRUE)/100/365+1)^(B336)*BQ335,"")</f>
        <v/>
      </c>
      <c r="BR336" s="98" t="str">
        <f t="shared" si="132"/>
        <v/>
      </c>
      <c r="BS336" s="106" t="str">
        <f>IF(A336&lt;&gt;"",VLOOKUP(A336,MarketData!$D:$BP,MATCH($BS$1,MarketData!$D$1:$EG$1,0),TRUE),"")</f>
        <v/>
      </c>
      <c r="BT336" s="98" t="str">
        <f t="shared" si="143"/>
        <v/>
      </c>
    </row>
    <row r="337" spans="2:72" x14ac:dyDescent="0.25">
      <c r="B337" s="60" t="str">
        <f t="shared" si="131"/>
        <v/>
      </c>
      <c r="C337" s="3" t="str">
        <f t="shared" si="133"/>
        <v/>
      </c>
      <c r="D337" s="3" t="str">
        <f t="shared" si="134"/>
        <v/>
      </c>
      <c r="E337" s="3" t="str">
        <f t="shared" si="135"/>
        <v/>
      </c>
      <c r="F337" s="3" t="str">
        <f t="shared" si="136"/>
        <v/>
      </c>
      <c r="G337" s="74" t="str">
        <f t="shared" si="137"/>
        <v/>
      </c>
      <c r="H337" s="78" t="str">
        <f>IFERROR(C337/SUM(M$2:M336),"")</f>
        <v/>
      </c>
      <c r="I337" s="61" t="str">
        <f>IFERROR(D337/SUM(N$2:N337),"")</f>
        <v/>
      </c>
      <c r="J337" s="61" t="str">
        <f>IFERROR(E337/SUM(O$2:O337),"")</f>
        <v/>
      </c>
      <c r="K337" s="61" t="str">
        <f>IFERROR(F337/SUM(P$2:P337),"")</f>
        <v/>
      </c>
      <c r="L337" s="79" t="str">
        <f>IFERROR(G337/SUM(Q$2:Q337),"")</f>
        <v/>
      </c>
      <c r="M337" s="64" t="str">
        <f t="shared" si="138"/>
        <v/>
      </c>
      <c r="N337" s="55" t="str">
        <f t="shared" si="139"/>
        <v/>
      </c>
      <c r="O337" s="55" t="str">
        <f t="shared" si="140"/>
        <v/>
      </c>
      <c r="P337" s="55" t="str">
        <f t="shared" si="141"/>
        <v/>
      </c>
      <c r="Q337" s="65" t="str">
        <f t="shared" si="142"/>
        <v/>
      </c>
      <c r="R337" s="67" t="str">
        <f t="shared" si="144"/>
        <v/>
      </c>
      <c r="S337" s="56" t="str">
        <f t="shared" si="145"/>
        <v/>
      </c>
      <c r="T337" s="56" t="str">
        <f t="shared" si="146"/>
        <v/>
      </c>
      <c r="U337" s="56" t="str">
        <f t="shared" si="147"/>
        <v/>
      </c>
      <c r="V337" s="68" t="str">
        <f t="shared" si="148"/>
        <v/>
      </c>
      <c r="W337" s="80" t="str">
        <f t="shared" si="149"/>
        <v/>
      </c>
      <c r="X337" s="81" t="str">
        <f t="shared" si="150"/>
        <v/>
      </c>
      <c r="Y337" s="81" t="str">
        <f t="shared" si="151"/>
        <v/>
      </c>
      <c r="Z337" s="81" t="str">
        <f t="shared" si="152"/>
        <v/>
      </c>
      <c r="AA337" s="82" t="str">
        <f t="shared" si="153"/>
        <v/>
      </c>
      <c r="AB337" s="83" t="str">
        <f>IF(R337&lt;&gt;"",(W337-SUMPRODUCT(R$3:R337,$B$3:$B337)/SUM($B$3:$B337))/STDEVA(W327:W337),"")</f>
        <v/>
      </c>
      <c r="AC337" s="84" t="str">
        <f>IF(S337&lt;&gt;"",(X337-SUMPRODUCT(S$3:S337,$B$3:$B337)/SUM($B$3:$B337))/STDEVA(X327:X337),"")</f>
        <v/>
      </c>
      <c r="AD337" s="84" t="str">
        <f>IF(T337&lt;&gt;"",(Y337-SUMPRODUCT(T$3:T337,$B$3:$B337)/SUM($B$3:$B337))/STDEVA(Y327:Y337),"")</f>
        <v/>
      </c>
      <c r="AE337" s="84" t="str">
        <f>IF(U337&lt;&gt;"",(Z337-SUMPRODUCT(U$3:U337,$B$3:$B337)/SUM($B$3:$B337))/STDEVA(Z327:Z337),"")</f>
        <v/>
      </c>
      <c r="AF337" s="85" t="str">
        <f>IF(V337&lt;&gt;"",(AA337-SUMPRODUCT(V$3:V337,$B$3:$B337)/SUM($B$3:$B337))/STDEVA(AA327:AA337),"")</f>
        <v/>
      </c>
      <c r="AG337" s="90" t="str">
        <f t="shared" si="154"/>
        <v/>
      </c>
      <c r="AH337" s="90" t="str">
        <f t="shared" si="154"/>
        <v/>
      </c>
      <c r="AI337" s="90" t="str">
        <f t="shared" si="154"/>
        <v/>
      </c>
      <c r="AJ337" s="90" t="str">
        <f t="shared" si="154"/>
        <v/>
      </c>
      <c r="AK337" s="93" t="str">
        <f t="shared" si="155"/>
        <v/>
      </c>
      <c r="BQ337" s="100" t="str">
        <f>IF(A337&lt;&gt;"",(VLOOKUP(A337,MarketData!$D:$BP,MATCH($BQ$1,MarketData!$D$1:$EG$1,0),TRUE)/100/365+1)^(B337)*BQ336,"")</f>
        <v/>
      </c>
      <c r="BR337" s="98" t="str">
        <f t="shared" si="132"/>
        <v/>
      </c>
      <c r="BS337" s="106" t="str">
        <f>IF(A337&lt;&gt;"",VLOOKUP(A337,MarketData!$D:$BP,MATCH($BS$1,MarketData!$D$1:$EG$1,0),TRUE),"")</f>
        <v/>
      </c>
      <c r="BT337" s="98" t="str">
        <f t="shared" si="143"/>
        <v/>
      </c>
    </row>
    <row r="338" spans="2:72" x14ac:dyDescent="0.25">
      <c r="B338" s="60" t="str">
        <f t="shared" si="131"/>
        <v/>
      </c>
      <c r="C338" s="3" t="str">
        <f t="shared" si="133"/>
        <v/>
      </c>
      <c r="D338" s="3" t="str">
        <f t="shared" si="134"/>
        <v/>
      </c>
      <c r="E338" s="3" t="str">
        <f t="shared" si="135"/>
        <v/>
      </c>
      <c r="F338" s="3" t="str">
        <f t="shared" si="136"/>
        <v/>
      </c>
      <c r="G338" s="74" t="str">
        <f t="shared" si="137"/>
        <v/>
      </c>
      <c r="H338" s="78" t="str">
        <f>IFERROR(C338/SUM(M$2:M337),"")</f>
        <v/>
      </c>
      <c r="I338" s="61" t="str">
        <f>IFERROR(D338/SUM(N$2:N338),"")</f>
        <v/>
      </c>
      <c r="J338" s="61" t="str">
        <f>IFERROR(E338/SUM(O$2:O338),"")</f>
        <v/>
      </c>
      <c r="K338" s="61" t="str">
        <f>IFERROR(F338/SUM(P$2:P338),"")</f>
        <v/>
      </c>
      <c r="L338" s="79" t="str">
        <f>IFERROR(G338/SUM(Q$2:Q338),"")</f>
        <v/>
      </c>
      <c r="M338" s="64" t="str">
        <f t="shared" si="138"/>
        <v/>
      </c>
      <c r="N338" s="55" t="str">
        <f t="shared" si="139"/>
        <v/>
      </c>
      <c r="O338" s="55" t="str">
        <f t="shared" si="140"/>
        <v/>
      </c>
      <c r="P338" s="55" t="str">
        <f t="shared" si="141"/>
        <v/>
      </c>
      <c r="Q338" s="65" t="str">
        <f t="shared" si="142"/>
        <v/>
      </c>
      <c r="R338" s="67" t="str">
        <f t="shared" si="144"/>
        <v/>
      </c>
      <c r="S338" s="56" t="str">
        <f t="shared" si="145"/>
        <v/>
      </c>
      <c r="T338" s="56" t="str">
        <f t="shared" si="146"/>
        <v/>
      </c>
      <c r="U338" s="56" t="str">
        <f t="shared" si="147"/>
        <v/>
      </c>
      <c r="V338" s="68" t="str">
        <f t="shared" si="148"/>
        <v/>
      </c>
      <c r="W338" s="80" t="str">
        <f t="shared" si="149"/>
        <v/>
      </c>
      <c r="X338" s="81" t="str">
        <f t="shared" si="150"/>
        <v/>
      </c>
      <c r="Y338" s="81" t="str">
        <f t="shared" si="151"/>
        <v/>
      </c>
      <c r="Z338" s="81" t="str">
        <f t="shared" si="152"/>
        <v/>
      </c>
      <c r="AA338" s="82" t="str">
        <f t="shared" si="153"/>
        <v/>
      </c>
      <c r="AB338" s="83" t="str">
        <f>IF(R338&lt;&gt;"",(W338-SUMPRODUCT(R$3:R338,$B$3:$B338)/SUM($B$3:$B338))/STDEVA(W328:W338),"")</f>
        <v/>
      </c>
      <c r="AC338" s="84" t="str">
        <f>IF(S338&lt;&gt;"",(X338-SUMPRODUCT(S$3:S338,$B$3:$B338)/SUM($B$3:$B338))/STDEVA(X328:X338),"")</f>
        <v/>
      </c>
      <c r="AD338" s="84" t="str">
        <f>IF(T338&lt;&gt;"",(Y338-SUMPRODUCT(T$3:T338,$B$3:$B338)/SUM($B$3:$B338))/STDEVA(Y328:Y338),"")</f>
        <v/>
      </c>
      <c r="AE338" s="84" t="str">
        <f>IF(U338&lt;&gt;"",(Z338-SUMPRODUCT(U$3:U338,$B$3:$B338)/SUM($B$3:$B338))/STDEVA(Z328:Z338),"")</f>
        <v/>
      </c>
      <c r="AF338" s="85" t="str">
        <f>IF(V338&lt;&gt;"",(AA338-SUMPRODUCT(V$3:V338,$B$3:$B338)/SUM($B$3:$B338))/STDEVA(AA328:AA338),"")</f>
        <v/>
      </c>
      <c r="AG338" s="90" t="str">
        <f t="shared" si="154"/>
        <v/>
      </c>
      <c r="AH338" s="90" t="str">
        <f t="shared" si="154"/>
        <v/>
      </c>
      <c r="AI338" s="90" t="str">
        <f t="shared" si="154"/>
        <v/>
      </c>
      <c r="AJ338" s="90" t="str">
        <f t="shared" si="154"/>
        <v/>
      </c>
      <c r="AK338" s="93" t="str">
        <f t="shared" si="155"/>
        <v/>
      </c>
      <c r="BQ338" s="100" t="str">
        <f>IF(A338&lt;&gt;"",(VLOOKUP(A338,MarketData!$D:$BP,MATCH($BQ$1,MarketData!$D$1:$EG$1,0),TRUE)/100/365+1)^(B338)*BQ337,"")</f>
        <v/>
      </c>
      <c r="BR338" s="98" t="str">
        <f t="shared" si="132"/>
        <v/>
      </c>
      <c r="BS338" s="106" t="str">
        <f>IF(A338&lt;&gt;"",VLOOKUP(A338,MarketData!$D:$BP,MATCH($BS$1,MarketData!$D$1:$EG$1,0),TRUE),"")</f>
        <v/>
      </c>
      <c r="BT338" s="98" t="str">
        <f t="shared" si="143"/>
        <v/>
      </c>
    </row>
    <row r="339" spans="2:72" x14ac:dyDescent="0.25">
      <c r="B339" s="60" t="str">
        <f t="shared" si="131"/>
        <v/>
      </c>
      <c r="C339" s="3" t="str">
        <f t="shared" si="133"/>
        <v/>
      </c>
      <c r="D339" s="3" t="str">
        <f t="shared" si="134"/>
        <v/>
      </c>
      <c r="E339" s="3" t="str">
        <f t="shared" si="135"/>
        <v/>
      </c>
      <c r="F339" s="3" t="str">
        <f t="shared" si="136"/>
        <v/>
      </c>
      <c r="G339" s="74" t="str">
        <f t="shared" si="137"/>
        <v/>
      </c>
      <c r="H339" s="78" t="str">
        <f>IFERROR(C339/SUM(M$2:M338),"")</f>
        <v/>
      </c>
      <c r="I339" s="61" t="str">
        <f>IFERROR(D339/SUM(N$2:N339),"")</f>
        <v/>
      </c>
      <c r="J339" s="61" t="str">
        <f>IFERROR(E339/SUM(O$2:O339),"")</f>
        <v/>
      </c>
      <c r="K339" s="61" t="str">
        <f>IFERROR(F339/SUM(P$2:P339),"")</f>
        <v/>
      </c>
      <c r="L339" s="79" t="str">
        <f>IFERROR(G339/SUM(Q$2:Q339),"")</f>
        <v/>
      </c>
      <c r="M339" s="64" t="str">
        <f t="shared" si="138"/>
        <v/>
      </c>
      <c r="N339" s="55" t="str">
        <f t="shared" si="139"/>
        <v/>
      </c>
      <c r="O339" s="55" t="str">
        <f t="shared" si="140"/>
        <v/>
      </c>
      <c r="P339" s="55" t="str">
        <f t="shared" si="141"/>
        <v/>
      </c>
      <c r="Q339" s="65" t="str">
        <f t="shared" si="142"/>
        <v/>
      </c>
      <c r="R339" s="67" t="str">
        <f t="shared" si="144"/>
        <v/>
      </c>
      <c r="S339" s="56" t="str">
        <f t="shared" si="145"/>
        <v/>
      </c>
      <c r="T339" s="56" t="str">
        <f t="shared" si="146"/>
        <v/>
      </c>
      <c r="U339" s="56" t="str">
        <f t="shared" si="147"/>
        <v/>
      </c>
      <c r="V339" s="68" t="str">
        <f t="shared" si="148"/>
        <v/>
      </c>
      <c r="W339" s="80" t="str">
        <f t="shared" si="149"/>
        <v/>
      </c>
      <c r="X339" s="81" t="str">
        <f t="shared" si="150"/>
        <v/>
      </c>
      <c r="Y339" s="81" t="str">
        <f t="shared" si="151"/>
        <v/>
      </c>
      <c r="Z339" s="81" t="str">
        <f t="shared" si="152"/>
        <v/>
      </c>
      <c r="AA339" s="82" t="str">
        <f t="shared" si="153"/>
        <v/>
      </c>
      <c r="AB339" s="83" t="str">
        <f>IF(R339&lt;&gt;"",(W339-SUMPRODUCT(R$3:R339,$B$3:$B339)/SUM($B$3:$B339))/STDEVA(W329:W339),"")</f>
        <v/>
      </c>
      <c r="AC339" s="84" t="str">
        <f>IF(S339&lt;&gt;"",(X339-SUMPRODUCT(S$3:S339,$B$3:$B339)/SUM($B$3:$B339))/STDEVA(X329:X339),"")</f>
        <v/>
      </c>
      <c r="AD339" s="84" t="str">
        <f>IF(T339&lt;&gt;"",(Y339-SUMPRODUCT(T$3:T339,$B$3:$B339)/SUM($B$3:$B339))/STDEVA(Y329:Y339),"")</f>
        <v/>
      </c>
      <c r="AE339" s="84" t="str">
        <f>IF(U339&lt;&gt;"",(Z339-SUMPRODUCT(U$3:U339,$B$3:$B339)/SUM($B$3:$B339))/STDEVA(Z329:Z339),"")</f>
        <v/>
      </c>
      <c r="AF339" s="85" t="str">
        <f>IF(V339&lt;&gt;"",(AA339-SUMPRODUCT(V$3:V339,$B$3:$B339)/SUM($B$3:$B339))/STDEVA(AA329:AA339),"")</f>
        <v/>
      </c>
      <c r="AG339" s="90" t="str">
        <f t="shared" si="154"/>
        <v/>
      </c>
      <c r="AH339" s="90" t="str">
        <f t="shared" si="154"/>
        <v/>
      </c>
      <c r="AI339" s="90" t="str">
        <f t="shared" si="154"/>
        <v/>
      </c>
      <c r="AJ339" s="90" t="str">
        <f t="shared" si="154"/>
        <v/>
      </c>
      <c r="AK339" s="93" t="str">
        <f t="shared" si="155"/>
        <v/>
      </c>
      <c r="BQ339" s="100" t="str">
        <f>IF(A339&lt;&gt;"",(VLOOKUP(A339,MarketData!$D:$BP,MATCH($BQ$1,MarketData!$D$1:$EG$1,0),TRUE)/100/365+1)^(B339)*BQ338,"")</f>
        <v/>
      </c>
      <c r="BR339" s="98" t="str">
        <f t="shared" si="132"/>
        <v/>
      </c>
      <c r="BS339" s="106" t="str">
        <f>IF(A339&lt;&gt;"",VLOOKUP(A339,MarketData!$D:$BP,MATCH($BS$1,MarketData!$D$1:$EG$1,0),TRUE),"")</f>
        <v/>
      </c>
      <c r="BT339" s="98" t="str">
        <f t="shared" si="143"/>
        <v/>
      </c>
    </row>
    <row r="340" spans="2:72" x14ac:dyDescent="0.25">
      <c r="B340" s="60" t="str">
        <f t="shared" si="131"/>
        <v/>
      </c>
      <c r="C340" s="3" t="str">
        <f t="shared" si="133"/>
        <v/>
      </c>
      <c r="D340" s="3" t="str">
        <f t="shared" si="134"/>
        <v/>
      </c>
      <c r="E340" s="3" t="str">
        <f t="shared" si="135"/>
        <v/>
      </c>
      <c r="F340" s="3" t="str">
        <f t="shared" si="136"/>
        <v/>
      </c>
      <c r="G340" s="74" t="str">
        <f t="shared" si="137"/>
        <v/>
      </c>
      <c r="H340" s="78" t="str">
        <f>IFERROR(C340/SUM(M$2:M339),"")</f>
        <v/>
      </c>
      <c r="I340" s="61" t="str">
        <f>IFERROR(D340/SUM(N$2:N340),"")</f>
        <v/>
      </c>
      <c r="J340" s="61" t="str">
        <f>IFERROR(E340/SUM(O$2:O340),"")</f>
        <v/>
      </c>
      <c r="K340" s="61" t="str">
        <f>IFERROR(F340/SUM(P$2:P340),"")</f>
        <v/>
      </c>
      <c r="L340" s="79" t="str">
        <f>IFERROR(G340/SUM(Q$2:Q340),"")</f>
        <v/>
      </c>
      <c r="M340" s="64" t="str">
        <f t="shared" si="138"/>
        <v/>
      </c>
      <c r="N340" s="55" t="str">
        <f t="shared" si="139"/>
        <v/>
      </c>
      <c r="O340" s="55" t="str">
        <f t="shared" si="140"/>
        <v/>
      </c>
      <c r="P340" s="55" t="str">
        <f t="shared" si="141"/>
        <v/>
      </c>
      <c r="Q340" s="65" t="str">
        <f t="shared" si="142"/>
        <v/>
      </c>
      <c r="R340" s="67" t="str">
        <f t="shared" si="144"/>
        <v/>
      </c>
      <c r="S340" s="56" t="str">
        <f t="shared" si="145"/>
        <v/>
      </c>
      <c r="T340" s="56" t="str">
        <f t="shared" si="146"/>
        <v/>
      </c>
      <c r="U340" s="56" t="str">
        <f t="shared" si="147"/>
        <v/>
      </c>
      <c r="V340" s="68" t="str">
        <f t="shared" si="148"/>
        <v/>
      </c>
      <c r="W340" s="80" t="str">
        <f t="shared" si="149"/>
        <v/>
      </c>
      <c r="X340" s="81" t="str">
        <f t="shared" si="150"/>
        <v/>
      </c>
      <c r="Y340" s="81" t="str">
        <f t="shared" si="151"/>
        <v/>
      </c>
      <c r="Z340" s="81" t="str">
        <f t="shared" si="152"/>
        <v/>
      </c>
      <c r="AA340" s="82" t="str">
        <f t="shared" si="153"/>
        <v/>
      </c>
      <c r="AB340" s="83" t="str">
        <f>IF(R340&lt;&gt;"",(W340-SUMPRODUCT(R$3:R340,$B$3:$B340)/SUM($B$3:$B340))/STDEVA(W330:W340),"")</f>
        <v/>
      </c>
      <c r="AC340" s="84" t="str">
        <f>IF(S340&lt;&gt;"",(X340-SUMPRODUCT(S$3:S340,$B$3:$B340)/SUM($B$3:$B340))/STDEVA(X330:X340),"")</f>
        <v/>
      </c>
      <c r="AD340" s="84" t="str">
        <f>IF(T340&lt;&gt;"",(Y340-SUMPRODUCT(T$3:T340,$B$3:$B340)/SUM($B$3:$B340))/STDEVA(Y330:Y340),"")</f>
        <v/>
      </c>
      <c r="AE340" s="84" t="str">
        <f>IF(U340&lt;&gt;"",(Z340-SUMPRODUCT(U$3:U340,$B$3:$B340)/SUM($B$3:$B340))/STDEVA(Z330:Z340),"")</f>
        <v/>
      </c>
      <c r="AF340" s="85" t="str">
        <f>IF(V340&lt;&gt;"",(AA340-SUMPRODUCT(V$3:V340,$B$3:$B340)/SUM($B$3:$B340))/STDEVA(AA330:AA340),"")</f>
        <v/>
      </c>
      <c r="AG340" s="90" t="str">
        <f t="shared" si="154"/>
        <v/>
      </c>
      <c r="AH340" s="90" t="str">
        <f t="shared" si="154"/>
        <v/>
      </c>
      <c r="AI340" s="90" t="str">
        <f t="shared" si="154"/>
        <v/>
      </c>
      <c r="AJ340" s="90" t="str">
        <f t="shared" si="154"/>
        <v/>
      </c>
      <c r="AK340" s="93" t="str">
        <f t="shared" si="155"/>
        <v/>
      </c>
      <c r="BQ340" s="100" t="str">
        <f>IF(A340&lt;&gt;"",(VLOOKUP(A340,MarketData!$D:$BP,MATCH($BQ$1,MarketData!$D$1:$EG$1,0),TRUE)/100/365+1)^(B340)*BQ339,"")</f>
        <v/>
      </c>
      <c r="BR340" s="98" t="str">
        <f t="shared" si="132"/>
        <v/>
      </c>
      <c r="BS340" s="106" t="str">
        <f>IF(A340&lt;&gt;"",VLOOKUP(A340,MarketData!$D:$BP,MATCH($BS$1,MarketData!$D$1:$EG$1,0),TRUE),"")</f>
        <v/>
      </c>
      <c r="BT340" s="98" t="str">
        <f t="shared" si="143"/>
        <v/>
      </c>
    </row>
    <row r="341" spans="2:72" x14ac:dyDescent="0.25">
      <c r="B341" s="60" t="str">
        <f t="shared" si="131"/>
        <v/>
      </c>
      <c r="C341" s="3" t="str">
        <f t="shared" si="133"/>
        <v/>
      </c>
      <c r="D341" s="3" t="str">
        <f t="shared" si="134"/>
        <v/>
      </c>
      <c r="E341" s="3" t="str">
        <f t="shared" si="135"/>
        <v/>
      </c>
      <c r="F341" s="3" t="str">
        <f t="shared" si="136"/>
        <v/>
      </c>
      <c r="G341" s="74" t="str">
        <f t="shared" si="137"/>
        <v/>
      </c>
      <c r="H341" s="78" t="str">
        <f>IFERROR(C341/SUM(M$2:M340),"")</f>
        <v/>
      </c>
      <c r="I341" s="61" t="str">
        <f>IFERROR(D341/SUM(N$2:N341),"")</f>
        <v/>
      </c>
      <c r="J341" s="61" t="str">
        <f>IFERROR(E341/SUM(O$2:O341),"")</f>
        <v/>
      </c>
      <c r="K341" s="61" t="str">
        <f>IFERROR(F341/SUM(P$2:P341),"")</f>
        <v/>
      </c>
      <c r="L341" s="79" t="str">
        <f>IFERROR(G341/SUM(Q$2:Q341),"")</f>
        <v/>
      </c>
      <c r="M341" s="64" t="str">
        <f t="shared" si="138"/>
        <v/>
      </c>
      <c r="N341" s="55" t="str">
        <f t="shared" si="139"/>
        <v/>
      </c>
      <c r="O341" s="55" t="str">
        <f t="shared" si="140"/>
        <v/>
      </c>
      <c r="P341" s="55" t="str">
        <f t="shared" si="141"/>
        <v/>
      </c>
      <c r="Q341" s="65" t="str">
        <f t="shared" si="142"/>
        <v/>
      </c>
      <c r="R341" s="67" t="str">
        <f t="shared" si="144"/>
        <v/>
      </c>
      <c r="S341" s="56" t="str">
        <f t="shared" si="145"/>
        <v/>
      </c>
      <c r="T341" s="56" t="str">
        <f t="shared" si="146"/>
        <v/>
      </c>
      <c r="U341" s="56" t="str">
        <f t="shared" si="147"/>
        <v/>
      </c>
      <c r="V341" s="68" t="str">
        <f t="shared" si="148"/>
        <v/>
      </c>
      <c r="W341" s="80" t="str">
        <f t="shared" si="149"/>
        <v/>
      </c>
      <c r="X341" s="81" t="str">
        <f t="shared" si="150"/>
        <v/>
      </c>
      <c r="Y341" s="81" t="str">
        <f t="shared" si="151"/>
        <v/>
      </c>
      <c r="Z341" s="81" t="str">
        <f t="shared" si="152"/>
        <v/>
      </c>
      <c r="AA341" s="82" t="str">
        <f t="shared" si="153"/>
        <v/>
      </c>
      <c r="AB341" s="83" t="str">
        <f>IF(R341&lt;&gt;"",(W341-SUMPRODUCT(R$3:R341,$B$3:$B341)/SUM($B$3:$B341))/STDEVA(W331:W341),"")</f>
        <v/>
      </c>
      <c r="AC341" s="84" t="str">
        <f>IF(S341&lt;&gt;"",(X341-SUMPRODUCT(S$3:S341,$B$3:$B341)/SUM($B$3:$B341))/STDEVA(X331:X341),"")</f>
        <v/>
      </c>
      <c r="AD341" s="84" t="str">
        <f>IF(T341&lt;&gt;"",(Y341-SUMPRODUCT(T$3:T341,$B$3:$B341)/SUM($B$3:$B341))/STDEVA(Y331:Y341),"")</f>
        <v/>
      </c>
      <c r="AE341" s="84" t="str">
        <f>IF(U341&lt;&gt;"",(Z341-SUMPRODUCT(U$3:U341,$B$3:$B341)/SUM($B$3:$B341))/STDEVA(Z331:Z341),"")</f>
        <v/>
      </c>
      <c r="AF341" s="85" t="str">
        <f>IF(V341&lt;&gt;"",(AA341-SUMPRODUCT(V$3:V341,$B$3:$B341)/SUM($B$3:$B341))/STDEVA(AA331:AA341),"")</f>
        <v/>
      </c>
      <c r="AG341" s="90" t="str">
        <f t="shared" si="154"/>
        <v/>
      </c>
      <c r="AH341" s="90" t="str">
        <f t="shared" si="154"/>
        <v/>
      </c>
      <c r="AI341" s="90" t="str">
        <f t="shared" si="154"/>
        <v/>
      </c>
      <c r="AJ341" s="90" t="str">
        <f t="shared" si="154"/>
        <v/>
      </c>
      <c r="AK341" s="93" t="str">
        <f t="shared" si="155"/>
        <v/>
      </c>
      <c r="BQ341" s="100" t="str">
        <f>IF(A341&lt;&gt;"",(VLOOKUP(A341,MarketData!$D:$BP,MATCH($BQ$1,MarketData!$D$1:$EG$1,0),TRUE)/100/365+1)^(B341)*BQ340,"")</f>
        <v/>
      </c>
      <c r="BR341" s="98" t="str">
        <f t="shared" si="132"/>
        <v/>
      </c>
      <c r="BS341" s="106" t="str">
        <f>IF(A341&lt;&gt;"",VLOOKUP(A341,MarketData!$D:$BP,MATCH($BS$1,MarketData!$D$1:$EG$1,0),TRUE),"")</f>
        <v/>
      </c>
      <c r="BT341" s="98" t="str">
        <f t="shared" si="143"/>
        <v/>
      </c>
    </row>
    <row r="342" spans="2:72" x14ac:dyDescent="0.25">
      <c r="B342" s="60" t="str">
        <f t="shared" si="131"/>
        <v/>
      </c>
      <c r="C342" s="3" t="str">
        <f t="shared" si="133"/>
        <v/>
      </c>
      <c r="D342" s="3" t="str">
        <f t="shared" si="134"/>
        <v/>
      </c>
      <c r="E342" s="3" t="str">
        <f t="shared" si="135"/>
        <v/>
      </c>
      <c r="F342" s="3" t="str">
        <f t="shared" si="136"/>
        <v/>
      </c>
      <c r="G342" s="74" t="str">
        <f t="shared" si="137"/>
        <v/>
      </c>
      <c r="H342" s="78" t="str">
        <f>IFERROR(C342/SUM(M$2:M341),"")</f>
        <v/>
      </c>
      <c r="I342" s="61" t="str">
        <f>IFERROR(D342/SUM(N$2:N342),"")</f>
        <v/>
      </c>
      <c r="J342" s="61" t="str">
        <f>IFERROR(E342/SUM(O$2:O342),"")</f>
        <v/>
      </c>
      <c r="K342" s="61" t="str">
        <f>IFERROR(F342/SUM(P$2:P342),"")</f>
        <v/>
      </c>
      <c r="L342" s="79" t="str">
        <f>IFERROR(G342/SUM(Q$2:Q342),"")</f>
        <v/>
      </c>
      <c r="M342" s="64" t="str">
        <f t="shared" si="138"/>
        <v/>
      </c>
      <c r="N342" s="55" t="str">
        <f t="shared" si="139"/>
        <v/>
      </c>
      <c r="O342" s="55" t="str">
        <f t="shared" si="140"/>
        <v/>
      </c>
      <c r="P342" s="55" t="str">
        <f t="shared" si="141"/>
        <v/>
      </c>
      <c r="Q342" s="65" t="str">
        <f t="shared" si="142"/>
        <v/>
      </c>
      <c r="R342" s="67" t="str">
        <f t="shared" si="144"/>
        <v/>
      </c>
      <c r="S342" s="56" t="str">
        <f t="shared" si="145"/>
        <v/>
      </c>
      <c r="T342" s="56" t="str">
        <f t="shared" si="146"/>
        <v/>
      </c>
      <c r="U342" s="56" t="str">
        <f t="shared" si="147"/>
        <v/>
      </c>
      <c r="V342" s="68" t="str">
        <f t="shared" si="148"/>
        <v/>
      </c>
      <c r="W342" s="80" t="str">
        <f t="shared" si="149"/>
        <v/>
      </c>
      <c r="X342" s="81" t="str">
        <f t="shared" si="150"/>
        <v/>
      </c>
      <c r="Y342" s="81" t="str">
        <f t="shared" si="151"/>
        <v/>
      </c>
      <c r="Z342" s="81" t="str">
        <f t="shared" si="152"/>
        <v/>
      </c>
      <c r="AA342" s="82" t="str">
        <f t="shared" si="153"/>
        <v/>
      </c>
      <c r="AB342" s="83" t="str">
        <f>IF(R342&lt;&gt;"",(W342-SUMPRODUCT(R$3:R342,$B$3:$B342)/SUM($B$3:$B342))/STDEVA(W332:W342),"")</f>
        <v/>
      </c>
      <c r="AC342" s="84" t="str">
        <f>IF(S342&lt;&gt;"",(X342-SUMPRODUCT(S$3:S342,$B$3:$B342)/SUM($B$3:$B342))/STDEVA(X332:X342),"")</f>
        <v/>
      </c>
      <c r="AD342" s="84" t="str">
        <f>IF(T342&lt;&gt;"",(Y342-SUMPRODUCT(T$3:T342,$B$3:$B342)/SUM($B$3:$B342))/STDEVA(Y332:Y342),"")</f>
        <v/>
      </c>
      <c r="AE342" s="84" t="str">
        <f>IF(U342&lt;&gt;"",(Z342-SUMPRODUCT(U$3:U342,$B$3:$B342)/SUM($B$3:$B342))/STDEVA(Z332:Z342),"")</f>
        <v/>
      </c>
      <c r="AF342" s="85" t="str">
        <f>IF(V342&lt;&gt;"",(AA342-SUMPRODUCT(V$3:V342,$B$3:$B342)/SUM($B$3:$B342))/STDEVA(AA332:AA342),"")</f>
        <v/>
      </c>
      <c r="AG342" s="90" t="str">
        <f t="shared" si="154"/>
        <v/>
      </c>
      <c r="AH342" s="90" t="str">
        <f t="shared" si="154"/>
        <v/>
      </c>
      <c r="AI342" s="90" t="str">
        <f t="shared" si="154"/>
        <v/>
      </c>
      <c r="AJ342" s="90" t="str">
        <f t="shared" si="154"/>
        <v/>
      </c>
      <c r="AK342" s="93" t="str">
        <f t="shared" si="155"/>
        <v/>
      </c>
      <c r="BQ342" s="100" t="str">
        <f>IF(A342&lt;&gt;"",(VLOOKUP(A342,MarketData!$D:$BP,MATCH($BQ$1,MarketData!$D$1:$EG$1,0),TRUE)/100/365+1)^(B342)*BQ341,"")</f>
        <v/>
      </c>
      <c r="BR342" s="98" t="str">
        <f t="shared" si="132"/>
        <v/>
      </c>
      <c r="BS342" s="106" t="str">
        <f>IF(A342&lt;&gt;"",VLOOKUP(A342,MarketData!$D:$BP,MATCH($BS$1,MarketData!$D$1:$EG$1,0),TRUE),"")</f>
        <v/>
      </c>
      <c r="BT342" s="98" t="str">
        <f t="shared" si="143"/>
        <v/>
      </c>
    </row>
    <row r="343" spans="2:72" x14ac:dyDescent="0.25">
      <c r="B343" s="60" t="str">
        <f t="shared" si="131"/>
        <v/>
      </c>
      <c r="C343" s="3" t="str">
        <f t="shared" si="133"/>
        <v/>
      </c>
      <c r="D343" s="3" t="str">
        <f t="shared" si="134"/>
        <v/>
      </c>
      <c r="E343" s="3" t="str">
        <f t="shared" si="135"/>
        <v/>
      </c>
      <c r="F343" s="3" t="str">
        <f t="shared" si="136"/>
        <v/>
      </c>
      <c r="G343" s="74" t="str">
        <f t="shared" si="137"/>
        <v/>
      </c>
      <c r="H343" s="78" t="str">
        <f>IFERROR(C343/SUM(M$2:M342),"")</f>
        <v/>
      </c>
      <c r="I343" s="61" t="str">
        <f>IFERROR(D343/SUM(N$2:N343),"")</f>
        <v/>
      </c>
      <c r="J343" s="61" t="str">
        <f>IFERROR(E343/SUM(O$2:O343),"")</f>
        <v/>
      </c>
      <c r="K343" s="61" t="str">
        <f>IFERROR(F343/SUM(P$2:P343),"")</f>
        <v/>
      </c>
      <c r="L343" s="79" t="str">
        <f>IFERROR(G343/SUM(Q$2:Q343),"")</f>
        <v/>
      </c>
      <c r="M343" s="64" t="str">
        <f t="shared" si="138"/>
        <v/>
      </c>
      <c r="N343" s="55" t="str">
        <f t="shared" si="139"/>
        <v/>
      </c>
      <c r="O343" s="55" t="str">
        <f t="shared" si="140"/>
        <v/>
      </c>
      <c r="P343" s="55" t="str">
        <f t="shared" si="141"/>
        <v/>
      </c>
      <c r="Q343" s="65" t="str">
        <f t="shared" si="142"/>
        <v/>
      </c>
      <c r="R343" s="67" t="str">
        <f t="shared" si="144"/>
        <v/>
      </c>
      <c r="S343" s="56" t="str">
        <f t="shared" si="145"/>
        <v/>
      </c>
      <c r="T343" s="56" t="str">
        <f t="shared" si="146"/>
        <v/>
      </c>
      <c r="U343" s="56" t="str">
        <f t="shared" si="147"/>
        <v/>
      </c>
      <c r="V343" s="68" t="str">
        <f t="shared" si="148"/>
        <v/>
      </c>
      <c r="W343" s="80" t="str">
        <f t="shared" si="149"/>
        <v/>
      </c>
      <c r="X343" s="81" t="str">
        <f t="shared" si="150"/>
        <v/>
      </c>
      <c r="Y343" s="81" t="str">
        <f t="shared" si="151"/>
        <v/>
      </c>
      <c r="Z343" s="81" t="str">
        <f t="shared" si="152"/>
        <v/>
      </c>
      <c r="AA343" s="82" t="str">
        <f t="shared" si="153"/>
        <v/>
      </c>
      <c r="AB343" s="83" t="str">
        <f>IF(R343&lt;&gt;"",(W343-SUMPRODUCT(R$3:R343,$B$3:$B343)/SUM($B$3:$B343))/STDEVA(W333:W343),"")</f>
        <v/>
      </c>
      <c r="AC343" s="84" t="str">
        <f>IF(S343&lt;&gt;"",(X343-SUMPRODUCT(S$3:S343,$B$3:$B343)/SUM($B$3:$B343))/STDEVA(X333:X343),"")</f>
        <v/>
      </c>
      <c r="AD343" s="84" t="str">
        <f>IF(T343&lt;&gt;"",(Y343-SUMPRODUCT(T$3:T343,$B$3:$B343)/SUM($B$3:$B343))/STDEVA(Y333:Y343),"")</f>
        <v/>
      </c>
      <c r="AE343" s="84" t="str">
        <f>IF(U343&lt;&gt;"",(Z343-SUMPRODUCT(U$3:U343,$B$3:$B343)/SUM($B$3:$B343))/STDEVA(Z333:Z343),"")</f>
        <v/>
      </c>
      <c r="AF343" s="85" t="str">
        <f>IF(V343&lt;&gt;"",(AA343-SUMPRODUCT(V$3:V343,$B$3:$B343)/SUM($B$3:$B343))/STDEVA(AA333:AA343),"")</f>
        <v/>
      </c>
      <c r="AG343" s="90" t="str">
        <f t="shared" si="154"/>
        <v/>
      </c>
      <c r="AH343" s="90" t="str">
        <f t="shared" si="154"/>
        <v/>
      </c>
      <c r="AI343" s="90" t="str">
        <f t="shared" si="154"/>
        <v/>
      </c>
      <c r="AJ343" s="90" t="str">
        <f t="shared" si="154"/>
        <v/>
      </c>
      <c r="AK343" s="93" t="str">
        <f t="shared" si="155"/>
        <v/>
      </c>
      <c r="BQ343" s="100" t="str">
        <f>IF(A343&lt;&gt;"",(VLOOKUP(A343,MarketData!$D:$BP,MATCH($BQ$1,MarketData!$D$1:$EG$1,0),TRUE)/100/365+1)^(B343)*BQ342,"")</f>
        <v/>
      </c>
      <c r="BR343" s="98" t="str">
        <f t="shared" si="132"/>
        <v/>
      </c>
      <c r="BS343" s="106" t="str">
        <f>IF(A343&lt;&gt;"",VLOOKUP(A343,MarketData!$D:$BP,MATCH($BS$1,MarketData!$D$1:$EG$1,0),TRUE),"")</f>
        <v/>
      </c>
      <c r="BT343" s="98" t="str">
        <f t="shared" si="143"/>
        <v/>
      </c>
    </row>
    <row r="344" spans="2:72" x14ac:dyDescent="0.25">
      <c r="B344" s="60" t="str">
        <f t="shared" si="131"/>
        <v/>
      </c>
      <c r="C344" s="3" t="str">
        <f t="shared" si="133"/>
        <v/>
      </c>
      <c r="D344" s="3" t="str">
        <f t="shared" si="134"/>
        <v/>
      </c>
      <c r="E344" s="3" t="str">
        <f t="shared" si="135"/>
        <v/>
      </c>
      <c r="F344" s="3" t="str">
        <f t="shared" si="136"/>
        <v/>
      </c>
      <c r="G344" s="74" t="str">
        <f t="shared" si="137"/>
        <v/>
      </c>
      <c r="H344" s="78" t="str">
        <f>IFERROR(C344/SUM(M$2:M343),"")</f>
        <v/>
      </c>
      <c r="I344" s="61" t="str">
        <f>IFERROR(D344/SUM(N$2:N344),"")</f>
        <v/>
      </c>
      <c r="J344" s="61" t="str">
        <f>IFERROR(E344/SUM(O$2:O344),"")</f>
        <v/>
      </c>
      <c r="K344" s="61" t="str">
        <f>IFERROR(F344/SUM(P$2:P344),"")</f>
        <v/>
      </c>
      <c r="L344" s="79" t="str">
        <f>IFERROR(G344/SUM(Q$2:Q344),"")</f>
        <v/>
      </c>
      <c r="M344" s="64" t="str">
        <f t="shared" si="138"/>
        <v/>
      </c>
      <c r="N344" s="55" t="str">
        <f t="shared" si="139"/>
        <v/>
      </c>
      <c r="O344" s="55" t="str">
        <f t="shared" si="140"/>
        <v/>
      </c>
      <c r="P344" s="55" t="str">
        <f t="shared" si="141"/>
        <v/>
      </c>
      <c r="Q344" s="65" t="str">
        <f t="shared" si="142"/>
        <v/>
      </c>
      <c r="R344" s="67" t="str">
        <f t="shared" si="144"/>
        <v/>
      </c>
      <c r="S344" s="56" t="str">
        <f t="shared" si="145"/>
        <v/>
      </c>
      <c r="T344" s="56" t="str">
        <f t="shared" si="146"/>
        <v/>
      </c>
      <c r="U344" s="56" t="str">
        <f t="shared" si="147"/>
        <v/>
      </c>
      <c r="V344" s="68" t="str">
        <f t="shared" si="148"/>
        <v/>
      </c>
      <c r="W344" s="80" t="str">
        <f t="shared" si="149"/>
        <v/>
      </c>
      <c r="X344" s="81" t="str">
        <f t="shared" si="150"/>
        <v/>
      </c>
      <c r="Y344" s="81" t="str">
        <f t="shared" si="151"/>
        <v/>
      </c>
      <c r="Z344" s="81" t="str">
        <f t="shared" si="152"/>
        <v/>
      </c>
      <c r="AA344" s="82" t="str">
        <f t="shared" si="153"/>
        <v/>
      </c>
      <c r="AB344" s="83" t="str">
        <f>IF(R344&lt;&gt;"",(W344-SUMPRODUCT(R$3:R344,$B$3:$B344)/SUM($B$3:$B344))/STDEVA(W334:W344),"")</f>
        <v/>
      </c>
      <c r="AC344" s="84" t="str">
        <f>IF(S344&lt;&gt;"",(X344-SUMPRODUCT(S$3:S344,$B$3:$B344)/SUM($B$3:$B344))/STDEVA(X334:X344),"")</f>
        <v/>
      </c>
      <c r="AD344" s="84" t="str">
        <f>IF(T344&lt;&gt;"",(Y344-SUMPRODUCT(T$3:T344,$B$3:$B344)/SUM($B$3:$B344))/STDEVA(Y334:Y344),"")</f>
        <v/>
      </c>
      <c r="AE344" s="84" t="str">
        <f>IF(U344&lt;&gt;"",(Z344-SUMPRODUCT(U$3:U344,$B$3:$B344)/SUM($B$3:$B344))/STDEVA(Z334:Z344),"")</f>
        <v/>
      </c>
      <c r="AF344" s="85" t="str">
        <f>IF(V344&lt;&gt;"",(AA344-SUMPRODUCT(V$3:V344,$B$3:$B344)/SUM($B$3:$B344))/STDEVA(AA334:AA344),"")</f>
        <v/>
      </c>
      <c r="AG344" s="90" t="str">
        <f t="shared" si="154"/>
        <v/>
      </c>
      <c r="AH344" s="90" t="str">
        <f t="shared" si="154"/>
        <v/>
      </c>
      <c r="AI344" s="90" t="str">
        <f t="shared" si="154"/>
        <v/>
      </c>
      <c r="AJ344" s="90" t="str">
        <f t="shared" si="154"/>
        <v/>
      </c>
      <c r="AK344" s="93" t="str">
        <f t="shared" si="155"/>
        <v/>
      </c>
      <c r="BQ344" s="100" t="str">
        <f>IF(A344&lt;&gt;"",(VLOOKUP(A344,MarketData!$D:$BP,MATCH($BQ$1,MarketData!$D$1:$EG$1,0),TRUE)/100/365+1)^(B344)*BQ343,"")</f>
        <v/>
      </c>
      <c r="BR344" s="98" t="str">
        <f t="shared" si="132"/>
        <v/>
      </c>
      <c r="BS344" s="106" t="str">
        <f>IF(A344&lt;&gt;"",VLOOKUP(A344,MarketData!$D:$BP,MATCH($BS$1,MarketData!$D$1:$EG$1,0),TRUE),"")</f>
        <v/>
      </c>
      <c r="BT344" s="98" t="str">
        <f t="shared" si="143"/>
        <v/>
      </c>
    </row>
    <row r="345" spans="2:72" x14ac:dyDescent="0.25">
      <c r="B345" s="60" t="str">
        <f t="shared" si="131"/>
        <v/>
      </c>
      <c r="C345" s="3" t="str">
        <f t="shared" si="133"/>
        <v/>
      </c>
      <c r="D345" s="3" t="str">
        <f t="shared" si="134"/>
        <v/>
      </c>
      <c r="E345" s="3" t="str">
        <f t="shared" si="135"/>
        <v/>
      </c>
      <c r="F345" s="3" t="str">
        <f t="shared" si="136"/>
        <v/>
      </c>
      <c r="G345" s="74" t="str">
        <f t="shared" si="137"/>
        <v/>
      </c>
      <c r="H345" s="78" t="str">
        <f>IFERROR(C345/SUM(M$2:M344),"")</f>
        <v/>
      </c>
      <c r="I345" s="61" t="str">
        <f>IFERROR(D345/SUM(N$2:N345),"")</f>
        <v/>
      </c>
      <c r="J345" s="61" t="str">
        <f>IFERROR(E345/SUM(O$2:O345),"")</f>
        <v/>
      </c>
      <c r="K345" s="61" t="str">
        <f>IFERROR(F345/SUM(P$2:P345),"")</f>
        <v/>
      </c>
      <c r="L345" s="79" t="str">
        <f>IFERROR(G345/SUM(Q$2:Q345),"")</f>
        <v/>
      </c>
      <c r="M345" s="64" t="str">
        <f t="shared" si="138"/>
        <v/>
      </c>
      <c r="N345" s="55" t="str">
        <f t="shared" si="139"/>
        <v/>
      </c>
      <c r="O345" s="55" t="str">
        <f t="shared" si="140"/>
        <v/>
      </c>
      <c r="P345" s="55" t="str">
        <f t="shared" si="141"/>
        <v/>
      </c>
      <c r="Q345" s="65" t="str">
        <f t="shared" si="142"/>
        <v/>
      </c>
      <c r="R345" s="67" t="str">
        <f t="shared" si="144"/>
        <v/>
      </c>
      <c r="S345" s="56" t="str">
        <f t="shared" si="145"/>
        <v/>
      </c>
      <c r="T345" s="56" t="str">
        <f t="shared" si="146"/>
        <v/>
      </c>
      <c r="U345" s="56" t="str">
        <f t="shared" si="147"/>
        <v/>
      </c>
      <c r="V345" s="68" t="str">
        <f t="shared" si="148"/>
        <v/>
      </c>
      <c r="W345" s="80" t="str">
        <f t="shared" si="149"/>
        <v/>
      </c>
      <c r="X345" s="81" t="str">
        <f t="shared" si="150"/>
        <v/>
      </c>
      <c r="Y345" s="81" t="str">
        <f t="shared" si="151"/>
        <v/>
      </c>
      <c r="Z345" s="81" t="str">
        <f t="shared" si="152"/>
        <v/>
      </c>
      <c r="AA345" s="82" t="str">
        <f t="shared" si="153"/>
        <v/>
      </c>
      <c r="AB345" s="83" t="str">
        <f>IF(R345&lt;&gt;"",(W345-SUMPRODUCT(R$3:R345,$B$3:$B345)/SUM($B$3:$B345))/STDEVA(W335:W345),"")</f>
        <v/>
      </c>
      <c r="AC345" s="84" t="str">
        <f>IF(S345&lt;&gt;"",(X345-SUMPRODUCT(S$3:S345,$B$3:$B345)/SUM($B$3:$B345))/STDEVA(X335:X345),"")</f>
        <v/>
      </c>
      <c r="AD345" s="84" t="str">
        <f>IF(T345&lt;&gt;"",(Y345-SUMPRODUCT(T$3:T345,$B$3:$B345)/SUM($B$3:$B345))/STDEVA(Y335:Y345),"")</f>
        <v/>
      </c>
      <c r="AE345" s="84" t="str">
        <f>IF(U345&lt;&gt;"",(Z345-SUMPRODUCT(U$3:U345,$B$3:$B345)/SUM($B$3:$B345))/STDEVA(Z335:Z345),"")</f>
        <v/>
      </c>
      <c r="AF345" s="85" t="str">
        <f>IF(V345&lt;&gt;"",(AA345-SUMPRODUCT(V$3:V345,$B$3:$B345)/SUM($B$3:$B345))/STDEVA(AA335:AA345),"")</f>
        <v/>
      </c>
      <c r="AG345" s="90" t="str">
        <f t="shared" si="154"/>
        <v/>
      </c>
      <c r="AH345" s="90" t="str">
        <f t="shared" si="154"/>
        <v/>
      </c>
      <c r="AI345" s="90" t="str">
        <f t="shared" si="154"/>
        <v/>
      </c>
      <c r="AJ345" s="90" t="str">
        <f t="shared" si="154"/>
        <v/>
      </c>
      <c r="AK345" s="93" t="str">
        <f t="shared" si="155"/>
        <v/>
      </c>
      <c r="BQ345" s="100" t="str">
        <f>IF(A345&lt;&gt;"",(VLOOKUP(A345,MarketData!$D:$BP,MATCH($BQ$1,MarketData!$D$1:$EG$1,0),TRUE)/100/365+1)^(B345)*BQ344,"")</f>
        <v/>
      </c>
      <c r="BR345" s="98" t="str">
        <f t="shared" si="132"/>
        <v/>
      </c>
      <c r="BS345" s="106" t="str">
        <f>IF(A345&lt;&gt;"",VLOOKUP(A345,MarketData!$D:$BP,MATCH($BS$1,MarketData!$D$1:$EG$1,0),TRUE),"")</f>
        <v/>
      </c>
      <c r="BT345" s="98" t="str">
        <f t="shared" si="143"/>
        <v/>
      </c>
    </row>
    <row r="346" spans="2:72" x14ac:dyDescent="0.25">
      <c r="B346" s="60" t="str">
        <f t="shared" si="131"/>
        <v/>
      </c>
      <c r="C346" s="3" t="str">
        <f t="shared" si="133"/>
        <v/>
      </c>
      <c r="D346" s="3" t="str">
        <f t="shared" si="134"/>
        <v/>
      </c>
      <c r="E346" s="3" t="str">
        <f t="shared" si="135"/>
        <v/>
      </c>
      <c r="F346" s="3" t="str">
        <f t="shared" si="136"/>
        <v/>
      </c>
      <c r="G346" s="74" t="str">
        <f t="shared" si="137"/>
        <v/>
      </c>
      <c r="H346" s="78" t="str">
        <f>IFERROR(C346/SUM(M$2:M345),"")</f>
        <v/>
      </c>
      <c r="I346" s="61" t="str">
        <f>IFERROR(D346/SUM(N$2:N346),"")</f>
        <v/>
      </c>
      <c r="J346" s="61" t="str">
        <f>IFERROR(E346/SUM(O$2:O346),"")</f>
        <v/>
      </c>
      <c r="K346" s="61" t="str">
        <f>IFERROR(F346/SUM(P$2:P346),"")</f>
        <v/>
      </c>
      <c r="L346" s="79" t="str">
        <f>IFERROR(G346/SUM(Q$2:Q346),"")</f>
        <v/>
      </c>
      <c r="M346" s="64" t="str">
        <f t="shared" si="138"/>
        <v/>
      </c>
      <c r="N346" s="55" t="str">
        <f t="shared" si="139"/>
        <v/>
      </c>
      <c r="O346" s="55" t="str">
        <f t="shared" si="140"/>
        <v/>
      </c>
      <c r="P346" s="55" t="str">
        <f t="shared" si="141"/>
        <v/>
      </c>
      <c r="Q346" s="65" t="str">
        <f t="shared" si="142"/>
        <v/>
      </c>
      <c r="R346" s="67" t="str">
        <f t="shared" si="144"/>
        <v/>
      </c>
      <c r="S346" s="56" t="str">
        <f t="shared" si="145"/>
        <v/>
      </c>
      <c r="T346" s="56" t="str">
        <f t="shared" si="146"/>
        <v/>
      </c>
      <c r="U346" s="56" t="str">
        <f t="shared" si="147"/>
        <v/>
      </c>
      <c r="V346" s="68" t="str">
        <f t="shared" si="148"/>
        <v/>
      </c>
      <c r="W346" s="80" t="str">
        <f t="shared" si="149"/>
        <v/>
      </c>
      <c r="X346" s="81" t="str">
        <f t="shared" si="150"/>
        <v/>
      </c>
      <c r="Y346" s="81" t="str">
        <f t="shared" si="151"/>
        <v/>
      </c>
      <c r="Z346" s="81" t="str">
        <f t="shared" si="152"/>
        <v/>
      </c>
      <c r="AA346" s="82" t="str">
        <f t="shared" si="153"/>
        <v/>
      </c>
      <c r="AB346" s="83" t="str">
        <f>IF(R346&lt;&gt;"",(W346-SUMPRODUCT(R$3:R346,$B$3:$B346)/SUM($B$3:$B346))/STDEVA(W336:W346),"")</f>
        <v/>
      </c>
      <c r="AC346" s="84" t="str">
        <f>IF(S346&lt;&gt;"",(X346-SUMPRODUCT(S$3:S346,$B$3:$B346)/SUM($B$3:$B346))/STDEVA(X336:X346),"")</f>
        <v/>
      </c>
      <c r="AD346" s="84" t="str">
        <f>IF(T346&lt;&gt;"",(Y346-SUMPRODUCT(T$3:T346,$B$3:$B346)/SUM($B$3:$B346))/STDEVA(Y336:Y346),"")</f>
        <v/>
      </c>
      <c r="AE346" s="84" t="str">
        <f>IF(U346&lt;&gt;"",(Z346-SUMPRODUCT(U$3:U346,$B$3:$B346)/SUM($B$3:$B346))/STDEVA(Z336:Z346),"")</f>
        <v/>
      </c>
      <c r="AF346" s="85" t="str">
        <f>IF(V346&lt;&gt;"",(AA346-SUMPRODUCT(V$3:V346,$B$3:$B346)/SUM($B$3:$B346))/STDEVA(AA336:AA346),"")</f>
        <v/>
      </c>
      <c r="AG346" s="90" t="str">
        <f t="shared" si="154"/>
        <v/>
      </c>
      <c r="AH346" s="90" t="str">
        <f t="shared" si="154"/>
        <v/>
      </c>
      <c r="AI346" s="90" t="str">
        <f t="shared" si="154"/>
        <v/>
      </c>
      <c r="AJ346" s="90" t="str">
        <f t="shared" si="154"/>
        <v/>
      </c>
      <c r="AK346" s="93" t="str">
        <f t="shared" si="155"/>
        <v/>
      </c>
      <c r="BQ346" s="100" t="str">
        <f>IF(A346&lt;&gt;"",(VLOOKUP(A346,MarketData!$D:$BP,MATCH($BQ$1,MarketData!$D$1:$EG$1,0),TRUE)/100/365+1)^(B346)*BQ345,"")</f>
        <v/>
      </c>
      <c r="BR346" s="98" t="str">
        <f t="shared" si="132"/>
        <v/>
      </c>
      <c r="BS346" s="106" t="str">
        <f>IF(A346&lt;&gt;"",VLOOKUP(A346,MarketData!$D:$BP,MATCH($BS$1,MarketData!$D$1:$EG$1,0),TRUE),"")</f>
        <v/>
      </c>
      <c r="BT346" s="98" t="str">
        <f t="shared" si="143"/>
        <v/>
      </c>
    </row>
    <row r="347" spans="2:72" x14ac:dyDescent="0.25">
      <c r="B347" s="60" t="str">
        <f t="shared" ref="B347:B410" si="156">IF(A347&lt;&gt;0,A347-A346,"")</f>
        <v/>
      </c>
      <c r="C347" s="3" t="str">
        <f t="shared" si="133"/>
        <v/>
      </c>
      <c r="D347" s="3" t="str">
        <f t="shared" si="134"/>
        <v/>
      </c>
      <c r="E347" s="3" t="str">
        <f t="shared" si="135"/>
        <v/>
      </c>
      <c r="F347" s="3" t="str">
        <f t="shared" si="136"/>
        <v/>
      </c>
      <c r="G347" s="74" t="str">
        <f t="shared" si="137"/>
        <v/>
      </c>
      <c r="H347" s="78" t="str">
        <f>IFERROR(C347/SUM(M$2:M346),"")</f>
        <v/>
      </c>
      <c r="I347" s="61" t="str">
        <f>IFERROR(D347/SUM(N$2:N347),"")</f>
        <v/>
      </c>
      <c r="J347" s="61" t="str">
        <f>IFERROR(E347/SUM(O$2:O347),"")</f>
        <v/>
      </c>
      <c r="K347" s="61" t="str">
        <f>IFERROR(F347/SUM(P$2:P347),"")</f>
        <v/>
      </c>
      <c r="L347" s="79" t="str">
        <f>IFERROR(G347/SUM(Q$2:Q347),"")</f>
        <v/>
      </c>
      <c r="M347" s="64" t="str">
        <f t="shared" si="138"/>
        <v/>
      </c>
      <c r="N347" s="55" t="str">
        <f t="shared" si="139"/>
        <v/>
      </c>
      <c r="O347" s="55" t="str">
        <f t="shared" si="140"/>
        <v/>
      </c>
      <c r="P347" s="55" t="str">
        <f t="shared" si="141"/>
        <v/>
      </c>
      <c r="Q347" s="65" t="str">
        <f t="shared" si="142"/>
        <v/>
      </c>
      <c r="R347" s="67" t="str">
        <f t="shared" si="144"/>
        <v/>
      </c>
      <c r="S347" s="56" t="str">
        <f t="shared" si="145"/>
        <v/>
      </c>
      <c r="T347" s="56" t="str">
        <f t="shared" si="146"/>
        <v/>
      </c>
      <c r="U347" s="56" t="str">
        <f t="shared" si="147"/>
        <v/>
      </c>
      <c r="V347" s="68" t="str">
        <f t="shared" si="148"/>
        <v/>
      </c>
      <c r="W347" s="80" t="str">
        <f t="shared" si="149"/>
        <v/>
      </c>
      <c r="X347" s="81" t="str">
        <f t="shared" si="150"/>
        <v/>
      </c>
      <c r="Y347" s="81" t="str">
        <f t="shared" si="151"/>
        <v/>
      </c>
      <c r="Z347" s="81" t="str">
        <f t="shared" si="152"/>
        <v/>
      </c>
      <c r="AA347" s="82" t="str">
        <f t="shared" si="153"/>
        <v/>
      </c>
      <c r="AB347" s="83" t="str">
        <f>IF(R347&lt;&gt;"",(W347-SUMPRODUCT(R$3:R347,$B$3:$B347)/SUM($B$3:$B347))/STDEVA(W337:W347),"")</f>
        <v/>
      </c>
      <c r="AC347" s="84" t="str">
        <f>IF(S347&lt;&gt;"",(X347-SUMPRODUCT(S$3:S347,$B$3:$B347)/SUM($B$3:$B347))/STDEVA(X337:X347),"")</f>
        <v/>
      </c>
      <c r="AD347" s="84" t="str">
        <f>IF(T347&lt;&gt;"",(Y347-SUMPRODUCT(T$3:T347,$B$3:$B347)/SUM($B$3:$B347))/STDEVA(Y337:Y347),"")</f>
        <v/>
      </c>
      <c r="AE347" s="84" t="str">
        <f>IF(U347&lt;&gt;"",(Z347-SUMPRODUCT(U$3:U347,$B$3:$B347)/SUM($B$3:$B347))/STDEVA(Z337:Z347),"")</f>
        <v/>
      </c>
      <c r="AF347" s="85" t="str">
        <f>IF(V347&lt;&gt;"",(AA347-SUMPRODUCT(V$3:V347,$B$3:$B347)/SUM($B$3:$B347))/STDEVA(AA337:AA347),"")</f>
        <v/>
      </c>
      <c r="AG347" s="90" t="str">
        <f t="shared" si="154"/>
        <v/>
      </c>
      <c r="AH347" s="90" t="str">
        <f t="shared" si="154"/>
        <v/>
      </c>
      <c r="AI347" s="90" t="str">
        <f t="shared" si="154"/>
        <v/>
      </c>
      <c r="AJ347" s="90" t="str">
        <f t="shared" si="154"/>
        <v/>
      </c>
      <c r="AK347" s="93" t="str">
        <f t="shared" si="155"/>
        <v/>
      </c>
      <c r="BQ347" s="100" t="str">
        <f>IF(A347&lt;&gt;"",(VLOOKUP(A347,MarketData!$D:$BP,MATCH($BQ$1,MarketData!$D$1:$EG$1,0),TRUE)/100/365+1)^(B347)*BQ346,"")</f>
        <v/>
      </c>
      <c r="BR347" s="98" t="str">
        <f t="shared" si="132"/>
        <v/>
      </c>
      <c r="BS347" s="106" t="str">
        <f>IF(A347&lt;&gt;"",VLOOKUP(A347,MarketData!$D:$BP,MATCH($BS$1,MarketData!$D$1:$EG$1,0),TRUE),"")</f>
        <v/>
      </c>
      <c r="BT347" s="98" t="str">
        <f t="shared" si="143"/>
        <v/>
      </c>
    </row>
    <row r="348" spans="2:72" x14ac:dyDescent="0.25">
      <c r="B348" s="60" t="str">
        <f t="shared" si="156"/>
        <v/>
      </c>
      <c r="C348" s="3" t="str">
        <f t="shared" si="133"/>
        <v/>
      </c>
      <c r="D348" s="3" t="str">
        <f t="shared" si="134"/>
        <v/>
      </c>
      <c r="E348" s="3" t="str">
        <f t="shared" si="135"/>
        <v/>
      </c>
      <c r="F348" s="3" t="str">
        <f t="shared" si="136"/>
        <v/>
      </c>
      <c r="G348" s="74" t="str">
        <f t="shared" si="137"/>
        <v/>
      </c>
      <c r="H348" s="78" t="str">
        <f>IFERROR(C348/SUM(M$2:M347),"")</f>
        <v/>
      </c>
      <c r="I348" s="61" t="str">
        <f>IFERROR(D348/SUM(N$2:N348),"")</f>
        <v/>
      </c>
      <c r="J348" s="61" t="str">
        <f>IFERROR(E348/SUM(O$2:O348),"")</f>
        <v/>
      </c>
      <c r="K348" s="61" t="str">
        <f>IFERROR(F348/SUM(P$2:P348),"")</f>
        <v/>
      </c>
      <c r="L348" s="79" t="str">
        <f>IFERROR(G348/SUM(Q$2:Q348),"")</f>
        <v/>
      </c>
      <c r="M348" s="64" t="str">
        <f t="shared" si="138"/>
        <v/>
      </c>
      <c r="N348" s="55" t="str">
        <f t="shared" si="139"/>
        <v/>
      </c>
      <c r="O348" s="55" t="str">
        <f t="shared" si="140"/>
        <v/>
      </c>
      <c r="P348" s="55" t="str">
        <f t="shared" si="141"/>
        <v/>
      </c>
      <c r="Q348" s="65" t="str">
        <f t="shared" si="142"/>
        <v/>
      </c>
      <c r="R348" s="67" t="str">
        <f t="shared" si="144"/>
        <v/>
      </c>
      <c r="S348" s="56" t="str">
        <f t="shared" si="145"/>
        <v/>
      </c>
      <c r="T348" s="56" t="str">
        <f t="shared" si="146"/>
        <v/>
      </c>
      <c r="U348" s="56" t="str">
        <f t="shared" si="147"/>
        <v/>
      </c>
      <c r="V348" s="68" t="str">
        <f t="shared" si="148"/>
        <v/>
      </c>
      <c r="W348" s="80" t="str">
        <f t="shared" si="149"/>
        <v/>
      </c>
      <c r="X348" s="81" t="str">
        <f t="shared" si="150"/>
        <v/>
      </c>
      <c r="Y348" s="81" t="str">
        <f t="shared" si="151"/>
        <v/>
      </c>
      <c r="Z348" s="81" t="str">
        <f t="shared" si="152"/>
        <v/>
      </c>
      <c r="AA348" s="82" t="str">
        <f t="shared" si="153"/>
        <v/>
      </c>
      <c r="AB348" s="83" t="str">
        <f>IF(R348&lt;&gt;"",(W348-SUMPRODUCT(R$3:R348,$B$3:$B348)/SUM($B$3:$B348))/STDEVA(W338:W348),"")</f>
        <v/>
      </c>
      <c r="AC348" s="84" t="str">
        <f>IF(S348&lt;&gt;"",(X348-SUMPRODUCT(S$3:S348,$B$3:$B348)/SUM($B$3:$B348))/STDEVA(X338:X348),"")</f>
        <v/>
      </c>
      <c r="AD348" s="84" t="str">
        <f>IF(T348&lt;&gt;"",(Y348-SUMPRODUCT(T$3:T348,$B$3:$B348)/SUM($B$3:$B348))/STDEVA(Y338:Y348),"")</f>
        <v/>
      </c>
      <c r="AE348" s="84" t="str">
        <f>IF(U348&lt;&gt;"",(Z348-SUMPRODUCT(U$3:U348,$B$3:$B348)/SUM($B$3:$B348))/STDEVA(Z338:Z348),"")</f>
        <v/>
      </c>
      <c r="AF348" s="85" t="str">
        <f>IF(V348&lt;&gt;"",(AA348-SUMPRODUCT(V$3:V348,$B$3:$B348)/SUM($B$3:$B348))/STDEVA(AA338:AA348),"")</f>
        <v/>
      </c>
      <c r="AG348" s="90" t="str">
        <f t="shared" si="154"/>
        <v/>
      </c>
      <c r="AH348" s="90" t="str">
        <f t="shared" si="154"/>
        <v/>
      </c>
      <c r="AI348" s="90" t="str">
        <f t="shared" si="154"/>
        <v/>
      </c>
      <c r="AJ348" s="90" t="str">
        <f t="shared" si="154"/>
        <v/>
      </c>
      <c r="AK348" s="93" t="str">
        <f t="shared" si="155"/>
        <v/>
      </c>
      <c r="BQ348" s="100" t="str">
        <f>IF(A348&lt;&gt;"",(VLOOKUP(A348,MarketData!$D:$BP,MATCH($BQ$1,MarketData!$D$1:$EG$1,0),TRUE)/100/365+1)^(B348)*BQ347,"")</f>
        <v/>
      </c>
      <c r="BR348" s="98" t="str">
        <f t="shared" si="132"/>
        <v/>
      </c>
      <c r="BS348" s="106" t="str">
        <f>IF(A348&lt;&gt;"",VLOOKUP(A348,MarketData!$D:$BP,MATCH($BS$1,MarketData!$D$1:$EG$1,0),TRUE),"")</f>
        <v/>
      </c>
      <c r="BT348" s="98" t="str">
        <f t="shared" si="143"/>
        <v/>
      </c>
    </row>
    <row r="349" spans="2:72" x14ac:dyDescent="0.25">
      <c r="B349" s="60" t="str">
        <f t="shared" si="156"/>
        <v/>
      </c>
      <c r="C349" s="3" t="str">
        <f t="shared" si="133"/>
        <v/>
      </c>
      <c r="D349" s="3" t="str">
        <f t="shared" si="134"/>
        <v/>
      </c>
      <c r="E349" s="3" t="str">
        <f t="shared" si="135"/>
        <v/>
      </c>
      <c r="F349" s="3" t="str">
        <f t="shared" si="136"/>
        <v/>
      </c>
      <c r="G349" s="74" t="str">
        <f t="shared" si="137"/>
        <v/>
      </c>
      <c r="H349" s="78" t="str">
        <f>IFERROR(C349/SUM(M$2:M348),"")</f>
        <v/>
      </c>
      <c r="I349" s="61" t="str">
        <f>IFERROR(D349/SUM(N$2:N349),"")</f>
        <v/>
      </c>
      <c r="J349" s="61" t="str">
        <f>IFERROR(E349/SUM(O$2:O349),"")</f>
        <v/>
      </c>
      <c r="K349" s="61" t="str">
        <f>IFERROR(F349/SUM(P$2:P349),"")</f>
        <v/>
      </c>
      <c r="L349" s="79" t="str">
        <f>IFERROR(G349/SUM(Q$2:Q349),"")</f>
        <v/>
      </c>
      <c r="M349" s="64" t="str">
        <f t="shared" si="138"/>
        <v/>
      </c>
      <c r="N349" s="55" t="str">
        <f t="shared" si="139"/>
        <v/>
      </c>
      <c r="O349" s="55" t="str">
        <f t="shared" si="140"/>
        <v/>
      </c>
      <c r="P349" s="55" t="str">
        <f t="shared" si="141"/>
        <v/>
      </c>
      <c r="Q349" s="65" t="str">
        <f t="shared" si="142"/>
        <v/>
      </c>
      <c r="R349" s="67" t="str">
        <f t="shared" si="144"/>
        <v/>
      </c>
      <c r="S349" s="56" t="str">
        <f t="shared" si="145"/>
        <v/>
      </c>
      <c r="T349" s="56" t="str">
        <f t="shared" si="146"/>
        <v/>
      </c>
      <c r="U349" s="56" t="str">
        <f t="shared" si="147"/>
        <v/>
      </c>
      <c r="V349" s="68" t="str">
        <f t="shared" si="148"/>
        <v/>
      </c>
      <c r="W349" s="80" t="str">
        <f t="shared" si="149"/>
        <v/>
      </c>
      <c r="X349" s="81" t="str">
        <f t="shared" si="150"/>
        <v/>
      </c>
      <c r="Y349" s="81" t="str">
        <f t="shared" si="151"/>
        <v/>
      </c>
      <c r="Z349" s="81" t="str">
        <f t="shared" si="152"/>
        <v/>
      </c>
      <c r="AA349" s="82" t="str">
        <f t="shared" si="153"/>
        <v/>
      </c>
      <c r="AB349" s="83" t="str">
        <f>IF(R349&lt;&gt;"",(W349-SUMPRODUCT(R$3:R349,$B$3:$B349)/SUM($B$3:$B349))/STDEVA(W339:W349),"")</f>
        <v/>
      </c>
      <c r="AC349" s="84" t="str">
        <f>IF(S349&lt;&gt;"",(X349-SUMPRODUCT(S$3:S349,$B$3:$B349)/SUM($B$3:$B349))/STDEVA(X339:X349),"")</f>
        <v/>
      </c>
      <c r="AD349" s="84" t="str">
        <f>IF(T349&lt;&gt;"",(Y349-SUMPRODUCT(T$3:T349,$B$3:$B349)/SUM($B$3:$B349))/STDEVA(Y339:Y349),"")</f>
        <v/>
      </c>
      <c r="AE349" s="84" t="str">
        <f>IF(U349&lt;&gt;"",(Z349-SUMPRODUCT(U$3:U349,$B$3:$B349)/SUM($B$3:$B349))/STDEVA(Z339:Z349),"")</f>
        <v/>
      </c>
      <c r="AF349" s="85" t="str">
        <f>IF(V349&lt;&gt;"",(AA349-SUMPRODUCT(V$3:V349,$B$3:$B349)/SUM($B$3:$B349))/STDEVA(AA339:AA349),"")</f>
        <v/>
      </c>
      <c r="AG349" s="90" t="str">
        <f t="shared" si="154"/>
        <v/>
      </c>
      <c r="AH349" s="90" t="str">
        <f t="shared" si="154"/>
        <v/>
      </c>
      <c r="AI349" s="90" t="str">
        <f t="shared" si="154"/>
        <v/>
      </c>
      <c r="AJ349" s="90" t="str">
        <f t="shared" si="154"/>
        <v/>
      </c>
      <c r="AK349" s="93" t="str">
        <f t="shared" si="155"/>
        <v/>
      </c>
      <c r="BQ349" s="100" t="str">
        <f>IF(A349&lt;&gt;"",(VLOOKUP(A349,MarketData!$D:$BP,MATCH($BQ$1,MarketData!$D$1:$EG$1,0),TRUE)/100/365+1)^(B349)*BQ348,"")</f>
        <v/>
      </c>
      <c r="BR349" s="98" t="str">
        <f t="shared" si="132"/>
        <v/>
      </c>
      <c r="BS349" s="106" t="str">
        <f>IF(A349&lt;&gt;"",VLOOKUP(A349,MarketData!$D:$BP,MATCH($BS$1,MarketData!$D$1:$EG$1,0),TRUE),"")</f>
        <v/>
      </c>
      <c r="BT349" s="98" t="str">
        <f t="shared" si="143"/>
        <v/>
      </c>
    </row>
    <row r="350" spans="2:72" x14ac:dyDescent="0.25">
      <c r="B350" s="60" t="str">
        <f t="shared" si="156"/>
        <v/>
      </c>
      <c r="C350" s="3" t="str">
        <f t="shared" si="133"/>
        <v/>
      </c>
      <c r="D350" s="3" t="str">
        <f t="shared" si="134"/>
        <v/>
      </c>
      <c r="E350" s="3" t="str">
        <f t="shared" si="135"/>
        <v/>
      </c>
      <c r="F350" s="3" t="str">
        <f t="shared" si="136"/>
        <v/>
      </c>
      <c r="G350" s="74" t="str">
        <f t="shared" si="137"/>
        <v/>
      </c>
      <c r="H350" s="78" t="str">
        <f>IFERROR(C350/SUM(M$2:M349),"")</f>
        <v/>
      </c>
      <c r="I350" s="61" t="str">
        <f>IFERROR(D350/SUM(N$2:N350),"")</f>
        <v/>
      </c>
      <c r="J350" s="61" t="str">
        <f>IFERROR(E350/SUM(O$2:O350),"")</f>
        <v/>
      </c>
      <c r="K350" s="61" t="str">
        <f>IFERROR(F350/SUM(P$2:P350),"")</f>
        <v/>
      </c>
      <c r="L350" s="79" t="str">
        <f>IFERROR(G350/SUM(Q$2:Q350),"")</f>
        <v/>
      </c>
      <c r="M350" s="64" t="str">
        <f t="shared" si="138"/>
        <v/>
      </c>
      <c r="N350" s="55" t="str">
        <f t="shared" si="139"/>
        <v/>
      </c>
      <c r="O350" s="55" t="str">
        <f t="shared" si="140"/>
        <v/>
      </c>
      <c r="P350" s="55" t="str">
        <f t="shared" si="141"/>
        <v/>
      </c>
      <c r="Q350" s="65" t="str">
        <f t="shared" si="142"/>
        <v/>
      </c>
      <c r="R350" s="67" t="str">
        <f t="shared" si="144"/>
        <v/>
      </c>
      <c r="S350" s="56" t="str">
        <f t="shared" si="145"/>
        <v/>
      </c>
      <c r="T350" s="56" t="str">
        <f t="shared" si="146"/>
        <v/>
      </c>
      <c r="U350" s="56" t="str">
        <f t="shared" si="147"/>
        <v/>
      </c>
      <c r="V350" s="68" t="str">
        <f t="shared" si="148"/>
        <v/>
      </c>
      <c r="W350" s="80" t="str">
        <f t="shared" si="149"/>
        <v/>
      </c>
      <c r="X350" s="81" t="str">
        <f t="shared" si="150"/>
        <v/>
      </c>
      <c r="Y350" s="81" t="str">
        <f t="shared" si="151"/>
        <v/>
      </c>
      <c r="Z350" s="81" t="str">
        <f t="shared" si="152"/>
        <v/>
      </c>
      <c r="AA350" s="82" t="str">
        <f t="shared" si="153"/>
        <v/>
      </c>
      <c r="AB350" s="83" t="str">
        <f>IF(R350&lt;&gt;"",(W350-SUMPRODUCT(R$3:R350,$B$3:$B350)/SUM($B$3:$B350))/STDEVA(W340:W350),"")</f>
        <v/>
      </c>
      <c r="AC350" s="84" t="str">
        <f>IF(S350&lt;&gt;"",(X350-SUMPRODUCT(S$3:S350,$B$3:$B350)/SUM($B$3:$B350))/STDEVA(X340:X350),"")</f>
        <v/>
      </c>
      <c r="AD350" s="84" t="str">
        <f>IF(T350&lt;&gt;"",(Y350-SUMPRODUCT(T$3:T350,$B$3:$B350)/SUM($B$3:$B350))/STDEVA(Y340:Y350),"")</f>
        <v/>
      </c>
      <c r="AE350" s="84" t="str">
        <f>IF(U350&lt;&gt;"",(Z350-SUMPRODUCT(U$3:U350,$B$3:$B350)/SUM($B$3:$B350))/STDEVA(Z340:Z350),"")</f>
        <v/>
      </c>
      <c r="AF350" s="85" t="str">
        <f>IF(V350&lt;&gt;"",(AA350-SUMPRODUCT(V$3:V350,$B$3:$B350)/SUM($B$3:$B350))/STDEVA(AA340:AA350),"")</f>
        <v/>
      </c>
      <c r="AG350" s="90" t="str">
        <f t="shared" si="154"/>
        <v/>
      </c>
      <c r="AH350" s="90" t="str">
        <f t="shared" si="154"/>
        <v/>
      </c>
      <c r="AI350" s="90" t="str">
        <f t="shared" si="154"/>
        <v/>
      </c>
      <c r="AJ350" s="90" t="str">
        <f t="shared" si="154"/>
        <v/>
      </c>
      <c r="AK350" s="93" t="str">
        <f t="shared" si="155"/>
        <v/>
      </c>
      <c r="BQ350" s="100" t="str">
        <f>IF(A350&lt;&gt;"",(VLOOKUP(A350,MarketData!$D:$BP,MATCH($BQ$1,MarketData!$D$1:$EG$1,0),TRUE)/100/365+1)^(B350)*BQ349,"")</f>
        <v/>
      </c>
      <c r="BR350" s="98" t="str">
        <f t="shared" si="132"/>
        <v/>
      </c>
      <c r="BS350" s="106" t="str">
        <f>IF(A350&lt;&gt;"",VLOOKUP(A350,MarketData!$D:$BP,MATCH($BS$1,MarketData!$D$1:$EG$1,0),TRUE),"")</f>
        <v/>
      </c>
      <c r="BT350" s="98" t="str">
        <f t="shared" si="143"/>
        <v/>
      </c>
    </row>
    <row r="351" spans="2:72" x14ac:dyDescent="0.25">
      <c r="B351" s="60" t="str">
        <f t="shared" si="156"/>
        <v/>
      </c>
      <c r="C351" s="3" t="str">
        <f t="shared" si="133"/>
        <v/>
      </c>
      <c r="D351" s="3" t="str">
        <f t="shared" si="134"/>
        <v/>
      </c>
      <c r="E351" s="3" t="str">
        <f t="shared" si="135"/>
        <v/>
      </c>
      <c r="F351" s="3" t="str">
        <f t="shared" si="136"/>
        <v/>
      </c>
      <c r="G351" s="74" t="str">
        <f t="shared" si="137"/>
        <v/>
      </c>
      <c r="H351" s="78" t="str">
        <f>IFERROR(C351/SUM(M$2:M350),"")</f>
        <v/>
      </c>
      <c r="I351" s="61" t="str">
        <f>IFERROR(D351/SUM(N$2:N351),"")</f>
        <v/>
      </c>
      <c r="J351" s="61" t="str">
        <f>IFERROR(E351/SUM(O$2:O351),"")</f>
        <v/>
      </c>
      <c r="K351" s="61" t="str">
        <f>IFERROR(F351/SUM(P$2:P351),"")</f>
        <v/>
      </c>
      <c r="L351" s="79" t="str">
        <f>IFERROR(G351/SUM(Q$2:Q351),"")</f>
        <v/>
      </c>
      <c r="M351" s="64" t="str">
        <f t="shared" si="138"/>
        <v/>
      </c>
      <c r="N351" s="55" t="str">
        <f t="shared" si="139"/>
        <v/>
      </c>
      <c r="O351" s="55" t="str">
        <f t="shared" si="140"/>
        <v/>
      </c>
      <c r="P351" s="55" t="str">
        <f t="shared" si="141"/>
        <v/>
      </c>
      <c r="Q351" s="65" t="str">
        <f t="shared" si="142"/>
        <v/>
      </c>
      <c r="R351" s="67" t="str">
        <f t="shared" si="144"/>
        <v/>
      </c>
      <c r="S351" s="56" t="str">
        <f t="shared" si="145"/>
        <v/>
      </c>
      <c r="T351" s="56" t="str">
        <f t="shared" si="146"/>
        <v/>
      </c>
      <c r="U351" s="56" t="str">
        <f t="shared" si="147"/>
        <v/>
      </c>
      <c r="V351" s="68" t="str">
        <f t="shared" si="148"/>
        <v/>
      </c>
      <c r="W351" s="80" t="str">
        <f t="shared" si="149"/>
        <v/>
      </c>
      <c r="X351" s="81" t="str">
        <f t="shared" si="150"/>
        <v/>
      </c>
      <c r="Y351" s="81" t="str">
        <f t="shared" si="151"/>
        <v/>
      </c>
      <c r="Z351" s="81" t="str">
        <f t="shared" si="152"/>
        <v/>
      </c>
      <c r="AA351" s="82" t="str">
        <f t="shared" si="153"/>
        <v/>
      </c>
      <c r="AB351" s="83" t="str">
        <f>IF(R351&lt;&gt;"",(W351-SUMPRODUCT(R$3:R351,$B$3:$B351)/SUM($B$3:$B351))/STDEVA(W341:W351),"")</f>
        <v/>
      </c>
      <c r="AC351" s="84" t="str">
        <f>IF(S351&lt;&gt;"",(X351-SUMPRODUCT(S$3:S351,$B$3:$B351)/SUM($B$3:$B351))/STDEVA(X341:X351),"")</f>
        <v/>
      </c>
      <c r="AD351" s="84" t="str">
        <f>IF(T351&lt;&gt;"",(Y351-SUMPRODUCT(T$3:T351,$B$3:$B351)/SUM($B$3:$B351))/STDEVA(Y341:Y351),"")</f>
        <v/>
      </c>
      <c r="AE351" s="84" t="str">
        <f>IF(U351&lt;&gt;"",(Z351-SUMPRODUCT(U$3:U351,$B$3:$B351)/SUM($B$3:$B351))/STDEVA(Z341:Z351),"")</f>
        <v/>
      </c>
      <c r="AF351" s="85" t="str">
        <f>IF(V351&lt;&gt;"",(AA351-SUMPRODUCT(V$3:V351,$B$3:$B351)/SUM($B$3:$B351))/STDEVA(AA341:AA351),"")</f>
        <v/>
      </c>
      <c r="AG351" s="90" t="str">
        <f t="shared" si="154"/>
        <v/>
      </c>
      <c r="AH351" s="90" t="str">
        <f t="shared" si="154"/>
        <v/>
      </c>
      <c r="AI351" s="90" t="str">
        <f t="shared" si="154"/>
        <v/>
      </c>
      <c r="AJ351" s="90" t="str">
        <f t="shared" si="154"/>
        <v/>
      </c>
      <c r="AK351" s="93" t="str">
        <f t="shared" si="155"/>
        <v/>
      </c>
      <c r="BQ351" s="100" t="str">
        <f>IF(A351&lt;&gt;"",(VLOOKUP(A351,MarketData!$D:$BP,MATCH($BQ$1,MarketData!$D$1:$EG$1,0),TRUE)/100/365+1)^(B351)*BQ350,"")</f>
        <v/>
      </c>
      <c r="BR351" s="98" t="str">
        <f t="shared" si="132"/>
        <v/>
      </c>
      <c r="BS351" s="106" t="str">
        <f>IF(A351&lt;&gt;"",VLOOKUP(A351,MarketData!$D:$BP,MATCH($BS$1,MarketData!$D$1:$EG$1,0),TRUE),"")</f>
        <v/>
      </c>
      <c r="BT351" s="98" t="str">
        <f t="shared" si="143"/>
        <v/>
      </c>
    </row>
    <row r="352" spans="2:72" x14ac:dyDescent="0.25">
      <c r="B352" s="60" t="str">
        <f t="shared" si="156"/>
        <v/>
      </c>
      <c r="C352" s="3" t="str">
        <f t="shared" si="133"/>
        <v/>
      </c>
      <c r="D352" s="3" t="str">
        <f t="shared" si="134"/>
        <v/>
      </c>
      <c r="E352" s="3" t="str">
        <f t="shared" si="135"/>
        <v/>
      </c>
      <c r="F352" s="3" t="str">
        <f t="shared" si="136"/>
        <v/>
      </c>
      <c r="G352" s="74" t="str">
        <f t="shared" si="137"/>
        <v/>
      </c>
      <c r="H352" s="78" t="str">
        <f>IFERROR(C352/SUM(M$2:M351),"")</f>
        <v/>
      </c>
      <c r="I352" s="61" t="str">
        <f>IFERROR(D352/SUM(N$2:N352),"")</f>
        <v/>
      </c>
      <c r="J352" s="61" t="str">
        <f>IFERROR(E352/SUM(O$2:O352),"")</f>
        <v/>
      </c>
      <c r="K352" s="61" t="str">
        <f>IFERROR(F352/SUM(P$2:P352),"")</f>
        <v/>
      </c>
      <c r="L352" s="79" t="str">
        <f>IFERROR(G352/SUM(Q$2:Q352),"")</f>
        <v/>
      </c>
      <c r="M352" s="64" t="str">
        <f t="shared" si="138"/>
        <v/>
      </c>
      <c r="N352" s="55" t="str">
        <f t="shared" si="139"/>
        <v/>
      </c>
      <c r="O352" s="55" t="str">
        <f t="shared" si="140"/>
        <v/>
      </c>
      <c r="P352" s="55" t="str">
        <f t="shared" si="141"/>
        <v/>
      </c>
      <c r="Q352" s="65" t="str">
        <f t="shared" si="142"/>
        <v/>
      </c>
      <c r="R352" s="67" t="str">
        <f t="shared" si="144"/>
        <v/>
      </c>
      <c r="S352" s="56" t="str">
        <f t="shared" si="145"/>
        <v/>
      </c>
      <c r="T352" s="56" t="str">
        <f t="shared" si="146"/>
        <v/>
      </c>
      <c r="U352" s="56" t="str">
        <f t="shared" si="147"/>
        <v/>
      </c>
      <c r="V352" s="68" t="str">
        <f t="shared" si="148"/>
        <v/>
      </c>
      <c r="W352" s="80" t="str">
        <f t="shared" si="149"/>
        <v/>
      </c>
      <c r="X352" s="81" t="str">
        <f t="shared" si="150"/>
        <v/>
      </c>
      <c r="Y352" s="81" t="str">
        <f t="shared" si="151"/>
        <v/>
      </c>
      <c r="Z352" s="81" t="str">
        <f t="shared" si="152"/>
        <v/>
      </c>
      <c r="AA352" s="82" t="str">
        <f t="shared" si="153"/>
        <v/>
      </c>
      <c r="AB352" s="83" t="str">
        <f>IF(R352&lt;&gt;"",(W352-SUMPRODUCT(R$3:R352,$B$3:$B352)/SUM($B$3:$B352))/STDEVA(W342:W352),"")</f>
        <v/>
      </c>
      <c r="AC352" s="84" t="str">
        <f>IF(S352&lt;&gt;"",(X352-SUMPRODUCT(S$3:S352,$B$3:$B352)/SUM($B$3:$B352))/STDEVA(X342:X352),"")</f>
        <v/>
      </c>
      <c r="AD352" s="84" t="str">
        <f>IF(T352&lt;&gt;"",(Y352-SUMPRODUCT(T$3:T352,$B$3:$B352)/SUM($B$3:$B352))/STDEVA(Y342:Y352),"")</f>
        <v/>
      </c>
      <c r="AE352" s="84" t="str">
        <f>IF(U352&lt;&gt;"",(Z352-SUMPRODUCT(U$3:U352,$B$3:$B352)/SUM($B$3:$B352))/STDEVA(Z342:Z352),"")</f>
        <v/>
      </c>
      <c r="AF352" s="85" t="str">
        <f>IF(V352&lt;&gt;"",(AA352-SUMPRODUCT(V$3:V352,$B$3:$B352)/SUM($B$3:$B352))/STDEVA(AA342:AA352),"")</f>
        <v/>
      </c>
      <c r="AG352" s="90" t="str">
        <f t="shared" si="154"/>
        <v/>
      </c>
      <c r="AH352" s="90" t="str">
        <f t="shared" si="154"/>
        <v/>
      </c>
      <c r="AI352" s="90" t="str">
        <f t="shared" si="154"/>
        <v/>
      </c>
      <c r="AJ352" s="90" t="str">
        <f t="shared" si="154"/>
        <v/>
      </c>
      <c r="AK352" s="93" t="str">
        <f t="shared" si="155"/>
        <v/>
      </c>
      <c r="BQ352" s="100" t="str">
        <f>IF(A352&lt;&gt;"",(VLOOKUP(A352,MarketData!$D:$BP,MATCH($BQ$1,MarketData!$D$1:$EG$1,0),TRUE)/100/365+1)^(B352)*BQ351,"")</f>
        <v/>
      </c>
      <c r="BR352" s="98" t="str">
        <f t="shared" si="132"/>
        <v/>
      </c>
      <c r="BS352" s="106" t="str">
        <f>IF(A352&lt;&gt;"",VLOOKUP(A352,MarketData!$D:$BP,MATCH($BS$1,MarketData!$D$1:$EG$1,0),TRUE),"")</f>
        <v/>
      </c>
      <c r="BT352" s="98" t="str">
        <f t="shared" si="143"/>
        <v/>
      </c>
    </row>
    <row r="353" spans="2:72" x14ac:dyDescent="0.25">
      <c r="B353" s="60" t="str">
        <f t="shared" si="156"/>
        <v/>
      </c>
      <c r="C353" s="3" t="str">
        <f t="shared" si="133"/>
        <v/>
      </c>
      <c r="D353" s="3" t="str">
        <f t="shared" si="134"/>
        <v/>
      </c>
      <c r="E353" s="3" t="str">
        <f t="shared" si="135"/>
        <v/>
      </c>
      <c r="F353" s="3" t="str">
        <f t="shared" si="136"/>
        <v/>
      </c>
      <c r="G353" s="74" t="str">
        <f t="shared" si="137"/>
        <v/>
      </c>
      <c r="H353" s="78" t="str">
        <f>IFERROR(C353/SUM(M$2:M352),"")</f>
        <v/>
      </c>
      <c r="I353" s="61" t="str">
        <f>IFERROR(D353/SUM(N$2:N353),"")</f>
        <v/>
      </c>
      <c r="J353" s="61" t="str">
        <f>IFERROR(E353/SUM(O$2:O353),"")</f>
        <v/>
      </c>
      <c r="K353" s="61" t="str">
        <f>IFERROR(F353/SUM(P$2:P353),"")</f>
        <v/>
      </c>
      <c r="L353" s="79" t="str">
        <f>IFERROR(G353/SUM(Q$2:Q353),"")</f>
        <v/>
      </c>
      <c r="M353" s="64" t="str">
        <f t="shared" si="138"/>
        <v/>
      </c>
      <c r="N353" s="55" t="str">
        <f t="shared" si="139"/>
        <v/>
      </c>
      <c r="O353" s="55" t="str">
        <f t="shared" si="140"/>
        <v/>
      </c>
      <c r="P353" s="55" t="str">
        <f t="shared" si="141"/>
        <v/>
      </c>
      <c r="Q353" s="65" t="str">
        <f t="shared" si="142"/>
        <v/>
      </c>
      <c r="R353" s="67" t="str">
        <f t="shared" si="144"/>
        <v/>
      </c>
      <c r="S353" s="56" t="str">
        <f t="shared" si="145"/>
        <v/>
      </c>
      <c r="T353" s="56" t="str">
        <f t="shared" si="146"/>
        <v/>
      </c>
      <c r="U353" s="56" t="str">
        <f t="shared" si="147"/>
        <v/>
      </c>
      <c r="V353" s="68" t="str">
        <f t="shared" si="148"/>
        <v/>
      </c>
      <c r="W353" s="80" t="str">
        <f t="shared" si="149"/>
        <v/>
      </c>
      <c r="X353" s="81" t="str">
        <f t="shared" si="150"/>
        <v/>
      </c>
      <c r="Y353" s="81" t="str">
        <f t="shared" si="151"/>
        <v/>
      </c>
      <c r="Z353" s="81" t="str">
        <f t="shared" si="152"/>
        <v/>
      </c>
      <c r="AA353" s="82" t="str">
        <f t="shared" si="153"/>
        <v/>
      </c>
      <c r="AB353" s="83" t="str">
        <f>IF(R353&lt;&gt;"",(W353-SUMPRODUCT(R$3:R353,$B$3:$B353)/SUM($B$3:$B353))/STDEVA(W343:W353),"")</f>
        <v/>
      </c>
      <c r="AC353" s="84" t="str">
        <f>IF(S353&lt;&gt;"",(X353-SUMPRODUCT(S$3:S353,$B$3:$B353)/SUM($B$3:$B353))/STDEVA(X343:X353),"")</f>
        <v/>
      </c>
      <c r="AD353" s="84" t="str">
        <f>IF(T353&lt;&gt;"",(Y353-SUMPRODUCT(T$3:T353,$B$3:$B353)/SUM($B$3:$B353))/STDEVA(Y343:Y353),"")</f>
        <v/>
      </c>
      <c r="AE353" s="84" t="str">
        <f>IF(U353&lt;&gt;"",(Z353-SUMPRODUCT(U$3:U353,$B$3:$B353)/SUM($B$3:$B353))/STDEVA(Z343:Z353),"")</f>
        <v/>
      </c>
      <c r="AF353" s="85" t="str">
        <f>IF(V353&lt;&gt;"",(AA353-SUMPRODUCT(V$3:V353,$B$3:$B353)/SUM($B$3:$B353))/STDEVA(AA343:AA353),"")</f>
        <v/>
      </c>
      <c r="AG353" s="90" t="str">
        <f t="shared" si="154"/>
        <v/>
      </c>
      <c r="AH353" s="90" t="str">
        <f t="shared" si="154"/>
        <v/>
      </c>
      <c r="AI353" s="90" t="str">
        <f t="shared" si="154"/>
        <v/>
      </c>
      <c r="AJ353" s="90" t="str">
        <f t="shared" si="154"/>
        <v/>
      </c>
      <c r="AK353" s="93" t="str">
        <f t="shared" si="155"/>
        <v/>
      </c>
      <c r="BQ353" s="100" t="str">
        <f>IF(A353&lt;&gt;"",(VLOOKUP(A353,MarketData!$D:$BP,MATCH($BQ$1,MarketData!$D$1:$EG$1,0),TRUE)/100/365+1)^(B353)*BQ352,"")</f>
        <v/>
      </c>
      <c r="BR353" s="98" t="str">
        <f t="shared" si="132"/>
        <v/>
      </c>
      <c r="BS353" s="106" t="str">
        <f>IF(A353&lt;&gt;"",VLOOKUP(A353,MarketData!$D:$BP,MATCH($BS$1,MarketData!$D$1:$EG$1,0),TRUE),"")</f>
        <v/>
      </c>
      <c r="BT353" s="98" t="str">
        <f t="shared" si="143"/>
        <v/>
      </c>
    </row>
    <row r="354" spans="2:72" x14ac:dyDescent="0.25">
      <c r="B354" s="60" t="str">
        <f t="shared" si="156"/>
        <v/>
      </c>
      <c r="C354" s="3" t="str">
        <f t="shared" si="133"/>
        <v/>
      </c>
      <c r="D354" s="3" t="str">
        <f t="shared" si="134"/>
        <v/>
      </c>
      <c r="E354" s="3" t="str">
        <f t="shared" si="135"/>
        <v/>
      </c>
      <c r="F354" s="3" t="str">
        <f t="shared" si="136"/>
        <v/>
      </c>
      <c r="G354" s="74" t="str">
        <f t="shared" si="137"/>
        <v/>
      </c>
      <c r="H354" s="78" t="str">
        <f>IFERROR(C354/SUM(M$2:M353),"")</f>
        <v/>
      </c>
      <c r="I354" s="61" t="str">
        <f>IFERROR(D354/SUM(N$2:N354),"")</f>
        <v/>
      </c>
      <c r="J354" s="61" t="str">
        <f>IFERROR(E354/SUM(O$2:O354),"")</f>
        <v/>
      </c>
      <c r="K354" s="61" t="str">
        <f>IFERROR(F354/SUM(P$2:P354),"")</f>
        <v/>
      </c>
      <c r="L354" s="79" t="str">
        <f>IFERROR(G354/SUM(Q$2:Q354),"")</f>
        <v/>
      </c>
      <c r="M354" s="64" t="str">
        <f t="shared" si="138"/>
        <v/>
      </c>
      <c r="N354" s="55" t="str">
        <f t="shared" si="139"/>
        <v/>
      </c>
      <c r="O354" s="55" t="str">
        <f t="shared" si="140"/>
        <v/>
      </c>
      <c r="P354" s="55" t="str">
        <f t="shared" si="141"/>
        <v/>
      </c>
      <c r="Q354" s="65" t="str">
        <f t="shared" si="142"/>
        <v/>
      </c>
      <c r="R354" s="67" t="str">
        <f t="shared" si="144"/>
        <v/>
      </c>
      <c r="S354" s="56" t="str">
        <f t="shared" si="145"/>
        <v/>
      </c>
      <c r="T354" s="56" t="str">
        <f t="shared" si="146"/>
        <v/>
      </c>
      <c r="U354" s="56" t="str">
        <f t="shared" si="147"/>
        <v/>
      </c>
      <c r="V354" s="68" t="str">
        <f t="shared" si="148"/>
        <v/>
      </c>
      <c r="W354" s="80" t="str">
        <f t="shared" si="149"/>
        <v/>
      </c>
      <c r="X354" s="81" t="str">
        <f t="shared" si="150"/>
        <v/>
      </c>
      <c r="Y354" s="81" t="str">
        <f t="shared" si="151"/>
        <v/>
      </c>
      <c r="Z354" s="81" t="str">
        <f t="shared" si="152"/>
        <v/>
      </c>
      <c r="AA354" s="82" t="str">
        <f t="shared" si="153"/>
        <v/>
      </c>
      <c r="AB354" s="83" t="str">
        <f>IF(R354&lt;&gt;"",(W354-SUMPRODUCT(R$3:R354,$B$3:$B354)/SUM($B$3:$B354))/STDEVA(W344:W354),"")</f>
        <v/>
      </c>
      <c r="AC354" s="84" t="str">
        <f>IF(S354&lt;&gt;"",(X354-SUMPRODUCT(S$3:S354,$B$3:$B354)/SUM($B$3:$B354))/STDEVA(X344:X354),"")</f>
        <v/>
      </c>
      <c r="AD354" s="84" t="str">
        <f>IF(T354&lt;&gt;"",(Y354-SUMPRODUCT(T$3:T354,$B$3:$B354)/SUM($B$3:$B354))/STDEVA(Y344:Y354),"")</f>
        <v/>
      </c>
      <c r="AE354" s="84" t="str">
        <f>IF(U354&lt;&gt;"",(Z354-SUMPRODUCT(U$3:U354,$B$3:$B354)/SUM($B$3:$B354))/STDEVA(Z344:Z354),"")</f>
        <v/>
      </c>
      <c r="AF354" s="85" t="str">
        <f>IF(V354&lt;&gt;"",(AA354-SUMPRODUCT(V$3:V354,$B$3:$B354)/SUM($B$3:$B354))/STDEVA(AA344:AA354),"")</f>
        <v/>
      </c>
      <c r="AG354" s="90" t="str">
        <f t="shared" si="154"/>
        <v/>
      </c>
      <c r="AH354" s="90" t="str">
        <f t="shared" si="154"/>
        <v/>
      </c>
      <c r="AI354" s="90" t="str">
        <f t="shared" si="154"/>
        <v/>
      </c>
      <c r="AJ354" s="90" t="str">
        <f t="shared" si="154"/>
        <v/>
      </c>
      <c r="AK354" s="93" t="str">
        <f t="shared" si="155"/>
        <v/>
      </c>
      <c r="BQ354" s="100" t="str">
        <f>IF(A354&lt;&gt;"",(VLOOKUP(A354,MarketData!$D:$BP,MATCH($BQ$1,MarketData!$D$1:$EG$1,0),TRUE)/100/365+1)^(B354)*BQ353,"")</f>
        <v/>
      </c>
      <c r="BR354" s="98" t="str">
        <f t="shared" si="132"/>
        <v/>
      </c>
      <c r="BS354" s="106" t="str">
        <f>IF(A354&lt;&gt;"",VLOOKUP(A354,MarketData!$D:$BP,MATCH($BS$1,MarketData!$D$1:$EG$1,0),TRUE),"")</f>
        <v/>
      </c>
      <c r="BT354" s="98" t="str">
        <f t="shared" si="143"/>
        <v/>
      </c>
    </row>
    <row r="355" spans="2:72" x14ac:dyDescent="0.25">
      <c r="B355" s="60" t="str">
        <f t="shared" si="156"/>
        <v/>
      </c>
      <c r="C355" s="3" t="str">
        <f t="shared" si="133"/>
        <v/>
      </c>
      <c r="D355" s="3" t="str">
        <f t="shared" si="134"/>
        <v/>
      </c>
      <c r="E355" s="3" t="str">
        <f t="shared" si="135"/>
        <v/>
      </c>
      <c r="F355" s="3" t="str">
        <f t="shared" si="136"/>
        <v/>
      </c>
      <c r="G355" s="74" t="str">
        <f t="shared" si="137"/>
        <v/>
      </c>
      <c r="H355" s="78" t="str">
        <f>IFERROR(C355/SUM(M$2:M354),"")</f>
        <v/>
      </c>
      <c r="I355" s="61" t="str">
        <f>IFERROR(D355/SUM(N$2:N355),"")</f>
        <v/>
      </c>
      <c r="J355" s="61" t="str">
        <f>IFERROR(E355/SUM(O$2:O355),"")</f>
        <v/>
      </c>
      <c r="K355" s="61" t="str">
        <f>IFERROR(F355/SUM(P$2:P355),"")</f>
        <v/>
      </c>
      <c r="L355" s="79" t="str">
        <f>IFERROR(G355/SUM(Q$2:Q355),"")</f>
        <v/>
      </c>
      <c r="M355" s="64" t="str">
        <f t="shared" si="138"/>
        <v/>
      </c>
      <c r="N355" s="55" t="str">
        <f t="shared" si="139"/>
        <v/>
      </c>
      <c r="O355" s="55" t="str">
        <f t="shared" si="140"/>
        <v/>
      </c>
      <c r="P355" s="55" t="str">
        <f t="shared" si="141"/>
        <v/>
      </c>
      <c r="Q355" s="65" t="str">
        <f t="shared" si="142"/>
        <v/>
      </c>
      <c r="R355" s="67" t="str">
        <f t="shared" si="144"/>
        <v/>
      </c>
      <c r="S355" s="56" t="str">
        <f t="shared" si="145"/>
        <v/>
      </c>
      <c r="T355" s="56" t="str">
        <f t="shared" si="146"/>
        <v/>
      </c>
      <c r="U355" s="56" t="str">
        <f t="shared" si="147"/>
        <v/>
      </c>
      <c r="V355" s="68" t="str">
        <f t="shared" si="148"/>
        <v/>
      </c>
      <c r="W355" s="80" t="str">
        <f t="shared" si="149"/>
        <v/>
      </c>
      <c r="X355" s="81" t="str">
        <f t="shared" si="150"/>
        <v/>
      </c>
      <c r="Y355" s="81" t="str">
        <f t="shared" si="151"/>
        <v/>
      </c>
      <c r="Z355" s="81" t="str">
        <f t="shared" si="152"/>
        <v/>
      </c>
      <c r="AA355" s="82" t="str">
        <f t="shared" si="153"/>
        <v/>
      </c>
      <c r="AB355" s="83" t="str">
        <f>IF(R355&lt;&gt;"",(W355-SUMPRODUCT(R$3:R355,$B$3:$B355)/SUM($B$3:$B355))/STDEVA(W345:W355),"")</f>
        <v/>
      </c>
      <c r="AC355" s="84" t="str">
        <f>IF(S355&lt;&gt;"",(X355-SUMPRODUCT(S$3:S355,$B$3:$B355)/SUM($B$3:$B355))/STDEVA(X345:X355),"")</f>
        <v/>
      </c>
      <c r="AD355" s="84" t="str">
        <f>IF(T355&lt;&gt;"",(Y355-SUMPRODUCT(T$3:T355,$B$3:$B355)/SUM($B$3:$B355))/STDEVA(Y345:Y355),"")</f>
        <v/>
      </c>
      <c r="AE355" s="84" t="str">
        <f>IF(U355&lt;&gt;"",(Z355-SUMPRODUCT(U$3:U355,$B$3:$B355)/SUM($B$3:$B355))/STDEVA(Z345:Z355),"")</f>
        <v/>
      </c>
      <c r="AF355" s="85" t="str">
        <f>IF(V355&lt;&gt;"",(AA355-SUMPRODUCT(V$3:V355,$B$3:$B355)/SUM($B$3:$B355))/STDEVA(AA345:AA355),"")</f>
        <v/>
      </c>
      <c r="AG355" s="90" t="str">
        <f t="shared" si="154"/>
        <v/>
      </c>
      <c r="AH355" s="90" t="str">
        <f t="shared" si="154"/>
        <v/>
      </c>
      <c r="AI355" s="90" t="str">
        <f t="shared" si="154"/>
        <v/>
      </c>
      <c r="AJ355" s="90" t="str">
        <f t="shared" si="154"/>
        <v/>
      </c>
      <c r="AK355" s="93" t="str">
        <f t="shared" si="155"/>
        <v/>
      </c>
      <c r="BQ355" s="100" t="str">
        <f>IF(A355&lt;&gt;"",(VLOOKUP(A355,MarketData!$D:$BP,MATCH($BQ$1,MarketData!$D$1:$EG$1,0),TRUE)/100/365+1)^(B355)*BQ354,"")</f>
        <v/>
      </c>
      <c r="BR355" s="98" t="str">
        <f t="shared" si="132"/>
        <v/>
      </c>
      <c r="BS355" s="106" t="str">
        <f>IF(A355&lt;&gt;"",VLOOKUP(A355,MarketData!$D:$BP,MATCH($BS$1,MarketData!$D$1:$EG$1,0),TRUE),"")</f>
        <v/>
      </c>
      <c r="BT355" s="98" t="str">
        <f t="shared" si="143"/>
        <v/>
      </c>
    </row>
    <row r="356" spans="2:72" x14ac:dyDescent="0.25">
      <c r="B356" s="60" t="str">
        <f t="shared" si="156"/>
        <v/>
      </c>
      <c r="C356" s="3" t="str">
        <f t="shared" si="133"/>
        <v/>
      </c>
      <c r="D356" s="3" t="str">
        <f t="shared" si="134"/>
        <v/>
      </c>
      <c r="E356" s="3" t="str">
        <f t="shared" si="135"/>
        <v/>
      </c>
      <c r="F356" s="3" t="str">
        <f t="shared" si="136"/>
        <v/>
      </c>
      <c r="G356" s="74" t="str">
        <f t="shared" si="137"/>
        <v/>
      </c>
      <c r="H356" s="78" t="str">
        <f>IFERROR(C356/SUM(M$2:M355),"")</f>
        <v/>
      </c>
      <c r="I356" s="61" t="str">
        <f>IFERROR(D356/SUM(N$2:N356),"")</f>
        <v/>
      </c>
      <c r="J356" s="61" t="str">
        <f>IFERROR(E356/SUM(O$2:O356),"")</f>
        <v/>
      </c>
      <c r="K356" s="61" t="str">
        <f>IFERROR(F356/SUM(P$2:P356),"")</f>
        <v/>
      </c>
      <c r="L356" s="79" t="str">
        <f>IFERROR(G356/SUM(Q$2:Q356),"")</f>
        <v/>
      </c>
      <c r="M356" s="64" t="str">
        <f t="shared" si="138"/>
        <v/>
      </c>
      <c r="N356" s="55" t="str">
        <f t="shared" si="139"/>
        <v/>
      </c>
      <c r="O356" s="55" t="str">
        <f t="shared" si="140"/>
        <v/>
      </c>
      <c r="P356" s="55" t="str">
        <f t="shared" si="141"/>
        <v/>
      </c>
      <c r="Q356" s="65" t="str">
        <f t="shared" si="142"/>
        <v/>
      </c>
      <c r="R356" s="67" t="str">
        <f t="shared" si="144"/>
        <v/>
      </c>
      <c r="S356" s="56" t="str">
        <f t="shared" si="145"/>
        <v/>
      </c>
      <c r="T356" s="56" t="str">
        <f t="shared" si="146"/>
        <v/>
      </c>
      <c r="U356" s="56" t="str">
        <f t="shared" si="147"/>
        <v/>
      </c>
      <c r="V356" s="68" t="str">
        <f t="shared" si="148"/>
        <v/>
      </c>
      <c r="W356" s="80" t="str">
        <f t="shared" si="149"/>
        <v/>
      </c>
      <c r="X356" s="81" t="str">
        <f t="shared" si="150"/>
        <v/>
      </c>
      <c r="Y356" s="81" t="str">
        <f t="shared" si="151"/>
        <v/>
      </c>
      <c r="Z356" s="81" t="str">
        <f t="shared" si="152"/>
        <v/>
      </c>
      <c r="AA356" s="82" t="str">
        <f t="shared" si="153"/>
        <v/>
      </c>
      <c r="AB356" s="83" t="str">
        <f>IF(R356&lt;&gt;"",(W356-SUMPRODUCT(R$3:R356,$B$3:$B356)/SUM($B$3:$B356))/STDEVA(W346:W356),"")</f>
        <v/>
      </c>
      <c r="AC356" s="84" t="str">
        <f>IF(S356&lt;&gt;"",(X356-SUMPRODUCT(S$3:S356,$B$3:$B356)/SUM($B$3:$B356))/STDEVA(X346:X356),"")</f>
        <v/>
      </c>
      <c r="AD356" s="84" t="str">
        <f>IF(T356&lt;&gt;"",(Y356-SUMPRODUCT(T$3:T356,$B$3:$B356)/SUM($B$3:$B356))/STDEVA(Y346:Y356),"")</f>
        <v/>
      </c>
      <c r="AE356" s="84" t="str">
        <f>IF(U356&lt;&gt;"",(Z356-SUMPRODUCT(U$3:U356,$B$3:$B356)/SUM($B$3:$B356))/STDEVA(Z346:Z356),"")</f>
        <v/>
      </c>
      <c r="AF356" s="85" t="str">
        <f>IF(V356&lt;&gt;"",(AA356-SUMPRODUCT(V$3:V356,$B$3:$B356)/SUM($B$3:$B356))/STDEVA(AA346:AA356),"")</f>
        <v/>
      </c>
      <c r="AG356" s="90" t="str">
        <f t="shared" si="154"/>
        <v/>
      </c>
      <c r="AH356" s="90" t="str">
        <f t="shared" si="154"/>
        <v/>
      </c>
      <c r="AI356" s="90" t="str">
        <f t="shared" si="154"/>
        <v/>
      </c>
      <c r="AJ356" s="90" t="str">
        <f t="shared" si="154"/>
        <v/>
      </c>
      <c r="AK356" s="93" t="str">
        <f t="shared" si="155"/>
        <v/>
      </c>
      <c r="BQ356" s="100" t="str">
        <f>IF(A356&lt;&gt;"",(VLOOKUP(A356,MarketData!$D:$BP,MATCH($BQ$1,MarketData!$D$1:$EG$1,0),TRUE)/100/365+1)^(B356)*BQ355,"")</f>
        <v/>
      </c>
      <c r="BR356" s="98" t="str">
        <f t="shared" si="132"/>
        <v/>
      </c>
      <c r="BS356" s="106" t="str">
        <f>IF(A356&lt;&gt;"",VLOOKUP(A356,MarketData!$D:$BP,MATCH($BS$1,MarketData!$D$1:$EG$1,0),TRUE),"")</f>
        <v/>
      </c>
      <c r="BT356" s="98" t="str">
        <f t="shared" si="143"/>
        <v/>
      </c>
    </row>
    <row r="357" spans="2:72" x14ac:dyDescent="0.25">
      <c r="B357" s="60" t="str">
        <f t="shared" si="156"/>
        <v/>
      </c>
      <c r="C357" s="3" t="str">
        <f t="shared" si="133"/>
        <v/>
      </c>
      <c r="D357" s="3" t="str">
        <f t="shared" si="134"/>
        <v/>
      </c>
      <c r="E357" s="3" t="str">
        <f t="shared" si="135"/>
        <v/>
      </c>
      <c r="F357" s="3" t="str">
        <f t="shared" si="136"/>
        <v/>
      </c>
      <c r="G357" s="74" t="str">
        <f t="shared" si="137"/>
        <v/>
      </c>
      <c r="H357" s="78" t="str">
        <f>IFERROR(C357/SUM(M$2:M356),"")</f>
        <v/>
      </c>
      <c r="I357" s="61" t="str">
        <f>IFERROR(D357/SUM(N$2:N357),"")</f>
        <v/>
      </c>
      <c r="J357" s="61" t="str">
        <f>IFERROR(E357/SUM(O$2:O357),"")</f>
        <v/>
      </c>
      <c r="K357" s="61" t="str">
        <f>IFERROR(F357/SUM(P$2:P357),"")</f>
        <v/>
      </c>
      <c r="L357" s="79" t="str">
        <f>IFERROR(G357/SUM(Q$2:Q357),"")</f>
        <v/>
      </c>
      <c r="M357" s="64" t="str">
        <f t="shared" si="138"/>
        <v/>
      </c>
      <c r="N357" s="55" t="str">
        <f t="shared" si="139"/>
        <v/>
      </c>
      <c r="O357" s="55" t="str">
        <f t="shared" si="140"/>
        <v/>
      </c>
      <c r="P357" s="55" t="str">
        <f t="shared" si="141"/>
        <v/>
      </c>
      <c r="Q357" s="65" t="str">
        <f t="shared" si="142"/>
        <v/>
      </c>
      <c r="R357" s="67" t="str">
        <f t="shared" si="144"/>
        <v/>
      </c>
      <c r="S357" s="56" t="str">
        <f t="shared" si="145"/>
        <v/>
      </c>
      <c r="T357" s="56" t="str">
        <f t="shared" si="146"/>
        <v/>
      </c>
      <c r="U357" s="56" t="str">
        <f t="shared" si="147"/>
        <v/>
      </c>
      <c r="V357" s="68" t="str">
        <f t="shared" si="148"/>
        <v/>
      </c>
      <c r="W357" s="80" t="str">
        <f t="shared" si="149"/>
        <v/>
      </c>
      <c r="X357" s="81" t="str">
        <f t="shared" si="150"/>
        <v/>
      </c>
      <c r="Y357" s="81" t="str">
        <f t="shared" si="151"/>
        <v/>
      </c>
      <c r="Z357" s="81" t="str">
        <f t="shared" si="152"/>
        <v/>
      </c>
      <c r="AA357" s="82" t="str">
        <f t="shared" si="153"/>
        <v/>
      </c>
      <c r="AB357" s="83" t="str">
        <f>IF(R357&lt;&gt;"",(W357-SUMPRODUCT(R$3:R357,$B$3:$B357)/SUM($B$3:$B357))/STDEVA(W347:W357),"")</f>
        <v/>
      </c>
      <c r="AC357" s="84" t="str">
        <f>IF(S357&lt;&gt;"",(X357-SUMPRODUCT(S$3:S357,$B$3:$B357)/SUM($B$3:$B357))/STDEVA(X347:X357),"")</f>
        <v/>
      </c>
      <c r="AD357" s="84" t="str">
        <f>IF(T357&lt;&gt;"",(Y357-SUMPRODUCT(T$3:T357,$B$3:$B357)/SUM($B$3:$B357))/STDEVA(Y347:Y357),"")</f>
        <v/>
      </c>
      <c r="AE357" s="84" t="str">
        <f>IF(U357&lt;&gt;"",(Z357-SUMPRODUCT(U$3:U357,$B$3:$B357)/SUM($B$3:$B357))/STDEVA(Z347:Z357),"")</f>
        <v/>
      </c>
      <c r="AF357" s="85" t="str">
        <f>IF(V357&lt;&gt;"",(AA357-SUMPRODUCT(V$3:V357,$B$3:$B357)/SUM($B$3:$B357))/STDEVA(AA347:AA357),"")</f>
        <v/>
      </c>
      <c r="AG357" s="90" t="str">
        <f t="shared" si="154"/>
        <v/>
      </c>
      <c r="AH357" s="90" t="str">
        <f t="shared" si="154"/>
        <v/>
      </c>
      <c r="AI357" s="90" t="str">
        <f t="shared" si="154"/>
        <v/>
      </c>
      <c r="AJ357" s="90" t="str">
        <f t="shared" si="154"/>
        <v/>
      </c>
      <c r="AK357" s="93" t="str">
        <f t="shared" si="155"/>
        <v/>
      </c>
      <c r="BQ357" s="100" t="str">
        <f>IF(A357&lt;&gt;"",(VLOOKUP(A357,MarketData!$D:$BP,MATCH($BQ$1,MarketData!$D$1:$EG$1,0),TRUE)/100/365+1)^(B357)*BQ356,"")</f>
        <v/>
      </c>
      <c r="BR357" s="98" t="str">
        <f t="shared" si="132"/>
        <v/>
      </c>
      <c r="BS357" s="106" t="str">
        <f>IF(A357&lt;&gt;"",VLOOKUP(A357,MarketData!$D:$BP,MATCH($BS$1,MarketData!$D$1:$EG$1,0),TRUE),"")</f>
        <v/>
      </c>
      <c r="BT357" s="98" t="str">
        <f t="shared" si="143"/>
        <v/>
      </c>
    </row>
    <row r="358" spans="2:72" x14ac:dyDescent="0.25">
      <c r="B358" s="60" t="str">
        <f t="shared" si="156"/>
        <v/>
      </c>
      <c r="C358" s="3" t="str">
        <f t="shared" si="133"/>
        <v/>
      </c>
      <c r="D358" s="3" t="str">
        <f t="shared" si="134"/>
        <v/>
      </c>
      <c r="E358" s="3" t="str">
        <f t="shared" si="135"/>
        <v/>
      </c>
      <c r="F358" s="3" t="str">
        <f t="shared" si="136"/>
        <v/>
      </c>
      <c r="G358" s="74" t="str">
        <f t="shared" si="137"/>
        <v/>
      </c>
      <c r="H358" s="78" t="str">
        <f>IFERROR(C358/SUM(M$2:M357),"")</f>
        <v/>
      </c>
      <c r="I358" s="61" t="str">
        <f>IFERROR(D358/SUM(N$2:N358),"")</f>
        <v/>
      </c>
      <c r="J358" s="61" t="str">
        <f>IFERROR(E358/SUM(O$2:O358),"")</f>
        <v/>
      </c>
      <c r="K358" s="61" t="str">
        <f>IFERROR(F358/SUM(P$2:P358),"")</f>
        <v/>
      </c>
      <c r="L358" s="79" t="str">
        <f>IFERROR(G358/SUM(Q$2:Q358),"")</f>
        <v/>
      </c>
      <c r="M358" s="64" t="str">
        <f t="shared" si="138"/>
        <v/>
      </c>
      <c r="N358" s="55" t="str">
        <f t="shared" si="139"/>
        <v/>
      </c>
      <c r="O358" s="55" t="str">
        <f t="shared" si="140"/>
        <v/>
      </c>
      <c r="P358" s="55" t="str">
        <f t="shared" si="141"/>
        <v/>
      </c>
      <c r="Q358" s="65" t="str">
        <f t="shared" si="142"/>
        <v/>
      </c>
      <c r="R358" s="67" t="str">
        <f t="shared" si="144"/>
        <v/>
      </c>
      <c r="S358" s="56" t="str">
        <f t="shared" si="145"/>
        <v/>
      </c>
      <c r="T358" s="56" t="str">
        <f t="shared" si="146"/>
        <v/>
      </c>
      <c r="U358" s="56" t="str">
        <f t="shared" si="147"/>
        <v/>
      </c>
      <c r="V358" s="68" t="str">
        <f t="shared" si="148"/>
        <v/>
      </c>
      <c r="W358" s="80" t="str">
        <f t="shared" si="149"/>
        <v/>
      </c>
      <c r="X358" s="81" t="str">
        <f t="shared" si="150"/>
        <v/>
      </c>
      <c r="Y358" s="81" t="str">
        <f t="shared" si="151"/>
        <v/>
      </c>
      <c r="Z358" s="81" t="str">
        <f t="shared" si="152"/>
        <v/>
      </c>
      <c r="AA358" s="82" t="str">
        <f t="shared" si="153"/>
        <v/>
      </c>
      <c r="AB358" s="83" t="str">
        <f>IF(R358&lt;&gt;"",(W358-SUMPRODUCT(R$3:R358,$B$3:$B358)/SUM($B$3:$B358))/STDEVA(W348:W358),"")</f>
        <v/>
      </c>
      <c r="AC358" s="84" t="str">
        <f>IF(S358&lt;&gt;"",(X358-SUMPRODUCT(S$3:S358,$B$3:$B358)/SUM($B$3:$B358))/STDEVA(X348:X358),"")</f>
        <v/>
      </c>
      <c r="AD358" s="84" t="str">
        <f>IF(T358&lt;&gt;"",(Y358-SUMPRODUCT(T$3:T358,$B$3:$B358)/SUM($B$3:$B358))/STDEVA(Y348:Y358),"")</f>
        <v/>
      </c>
      <c r="AE358" s="84" t="str">
        <f>IF(U358&lt;&gt;"",(Z358-SUMPRODUCT(U$3:U358,$B$3:$B358)/SUM($B$3:$B358))/STDEVA(Z348:Z358),"")</f>
        <v/>
      </c>
      <c r="AF358" s="85" t="str">
        <f>IF(V358&lt;&gt;"",(AA358-SUMPRODUCT(V$3:V358,$B$3:$B358)/SUM($B$3:$B358))/STDEVA(AA348:AA358),"")</f>
        <v/>
      </c>
      <c r="AG358" s="90" t="str">
        <f t="shared" si="154"/>
        <v/>
      </c>
      <c r="AH358" s="90" t="str">
        <f t="shared" si="154"/>
        <v/>
      </c>
      <c r="AI358" s="90" t="str">
        <f t="shared" si="154"/>
        <v/>
      </c>
      <c r="AJ358" s="90" t="str">
        <f t="shared" si="154"/>
        <v/>
      </c>
      <c r="AK358" s="93" t="str">
        <f t="shared" si="155"/>
        <v/>
      </c>
      <c r="BQ358" s="100" t="str">
        <f>IF(A358&lt;&gt;"",(VLOOKUP(A358,MarketData!$D:$BP,MATCH($BQ$1,MarketData!$D$1:$EG$1,0),TRUE)/100/365+1)^(B358)*BQ357,"")</f>
        <v/>
      </c>
      <c r="BR358" s="98" t="str">
        <f t="shared" si="132"/>
        <v/>
      </c>
      <c r="BS358" s="106" t="str">
        <f>IF(A358&lt;&gt;"",VLOOKUP(A358,MarketData!$D:$BP,MATCH($BS$1,MarketData!$D$1:$EG$1,0),TRUE),"")</f>
        <v/>
      </c>
      <c r="BT358" s="98" t="str">
        <f t="shared" si="143"/>
        <v/>
      </c>
    </row>
    <row r="359" spans="2:72" x14ac:dyDescent="0.25">
      <c r="B359" s="60" t="str">
        <f t="shared" si="156"/>
        <v/>
      </c>
      <c r="C359" s="3" t="str">
        <f t="shared" si="133"/>
        <v/>
      </c>
      <c r="D359" s="3" t="str">
        <f t="shared" si="134"/>
        <v/>
      </c>
      <c r="E359" s="3" t="str">
        <f t="shared" si="135"/>
        <v/>
      </c>
      <c r="F359" s="3" t="str">
        <f t="shared" si="136"/>
        <v/>
      </c>
      <c r="G359" s="74" t="str">
        <f t="shared" si="137"/>
        <v/>
      </c>
      <c r="H359" s="78" t="str">
        <f>IFERROR(C359/SUM(M$2:M358),"")</f>
        <v/>
      </c>
      <c r="I359" s="61" t="str">
        <f>IFERROR(D359/SUM(N$2:N359),"")</f>
        <v/>
      </c>
      <c r="J359" s="61" t="str">
        <f>IFERROR(E359/SUM(O$2:O359),"")</f>
        <v/>
      </c>
      <c r="K359" s="61" t="str">
        <f>IFERROR(F359/SUM(P$2:P359),"")</f>
        <v/>
      </c>
      <c r="L359" s="79" t="str">
        <f>IFERROR(G359/SUM(Q$2:Q359),"")</f>
        <v/>
      </c>
      <c r="M359" s="64" t="str">
        <f t="shared" si="138"/>
        <v/>
      </c>
      <c r="N359" s="55" t="str">
        <f t="shared" si="139"/>
        <v/>
      </c>
      <c r="O359" s="55" t="str">
        <f t="shared" si="140"/>
        <v/>
      </c>
      <c r="P359" s="55" t="str">
        <f t="shared" si="141"/>
        <v/>
      </c>
      <c r="Q359" s="65" t="str">
        <f t="shared" si="142"/>
        <v/>
      </c>
      <c r="R359" s="67" t="str">
        <f t="shared" si="144"/>
        <v/>
      </c>
      <c r="S359" s="56" t="str">
        <f t="shared" si="145"/>
        <v/>
      </c>
      <c r="T359" s="56" t="str">
        <f t="shared" si="146"/>
        <v/>
      </c>
      <c r="U359" s="56" t="str">
        <f t="shared" si="147"/>
        <v/>
      </c>
      <c r="V359" s="68" t="str">
        <f t="shared" si="148"/>
        <v/>
      </c>
      <c r="W359" s="80" t="str">
        <f t="shared" si="149"/>
        <v/>
      </c>
      <c r="X359" s="81" t="str">
        <f t="shared" si="150"/>
        <v/>
      </c>
      <c r="Y359" s="81" t="str">
        <f t="shared" si="151"/>
        <v/>
      </c>
      <c r="Z359" s="81" t="str">
        <f t="shared" si="152"/>
        <v/>
      </c>
      <c r="AA359" s="82" t="str">
        <f t="shared" si="153"/>
        <v/>
      </c>
      <c r="AB359" s="83" t="str">
        <f>IF(R359&lt;&gt;"",(W359-SUMPRODUCT(R$3:R359,$B$3:$B359)/SUM($B$3:$B359))/STDEVA(W349:W359),"")</f>
        <v/>
      </c>
      <c r="AC359" s="84" t="str">
        <f>IF(S359&lt;&gt;"",(X359-SUMPRODUCT(S$3:S359,$B$3:$B359)/SUM($B$3:$B359))/STDEVA(X349:X359),"")</f>
        <v/>
      </c>
      <c r="AD359" s="84" t="str">
        <f>IF(T359&lt;&gt;"",(Y359-SUMPRODUCT(T$3:T359,$B$3:$B359)/SUM($B$3:$B359))/STDEVA(Y349:Y359),"")</f>
        <v/>
      </c>
      <c r="AE359" s="84" t="str">
        <f>IF(U359&lt;&gt;"",(Z359-SUMPRODUCT(U$3:U359,$B$3:$B359)/SUM($B$3:$B359))/STDEVA(Z349:Z359),"")</f>
        <v/>
      </c>
      <c r="AF359" s="85" t="str">
        <f>IF(V359&lt;&gt;"",(AA359-SUMPRODUCT(V$3:V359,$B$3:$B359)/SUM($B$3:$B359))/STDEVA(AA349:AA359),"")</f>
        <v/>
      </c>
      <c r="AG359" s="90" t="str">
        <f t="shared" si="154"/>
        <v/>
      </c>
      <c r="AH359" s="90" t="str">
        <f t="shared" si="154"/>
        <v/>
      </c>
      <c r="AI359" s="90" t="str">
        <f t="shared" si="154"/>
        <v/>
      </c>
      <c r="AJ359" s="90" t="str">
        <f t="shared" si="154"/>
        <v/>
      </c>
      <c r="AK359" s="93" t="str">
        <f t="shared" si="155"/>
        <v/>
      </c>
      <c r="BQ359" s="100" t="str">
        <f>IF(A359&lt;&gt;"",(VLOOKUP(A359,MarketData!$D:$BP,MATCH($BQ$1,MarketData!$D$1:$EG$1,0),TRUE)/100/365+1)^(B359)*BQ358,"")</f>
        <v/>
      </c>
      <c r="BR359" s="98" t="str">
        <f t="shared" si="132"/>
        <v/>
      </c>
      <c r="BS359" s="106" t="str">
        <f>IF(A359&lt;&gt;"",VLOOKUP(A359,MarketData!$D:$BP,MATCH($BS$1,MarketData!$D$1:$EG$1,0),TRUE),"")</f>
        <v/>
      </c>
      <c r="BT359" s="98" t="str">
        <f t="shared" si="143"/>
        <v/>
      </c>
    </row>
    <row r="360" spans="2:72" x14ac:dyDescent="0.25">
      <c r="B360" s="60" t="str">
        <f t="shared" si="156"/>
        <v/>
      </c>
      <c r="C360" s="3" t="str">
        <f t="shared" si="133"/>
        <v/>
      </c>
      <c r="D360" s="3" t="str">
        <f t="shared" si="134"/>
        <v/>
      </c>
      <c r="E360" s="3" t="str">
        <f t="shared" si="135"/>
        <v/>
      </c>
      <c r="F360" s="3" t="str">
        <f t="shared" si="136"/>
        <v/>
      </c>
      <c r="G360" s="74" t="str">
        <f t="shared" si="137"/>
        <v/>
      </c>
      <c r="H360" s="78" t="str">
        <f>IFERROR(C360/SUM(M$2:M359),"")</f>
        <v/>
      </c>
      <c r="I360" s="61" t="str">
        <f>IFERROR(D360/SUM(N$2:N360),"")</f>
        <v/>
      </c>
      <c r="J360" s="61" t="str">
        <f>IFERROR(E360/SUM(O$2:O360),"")</f>
        <v/>
      </c>
      <c r="K360" s="61" t="str">
        <f>IFERROR(F360/SUM(P$2:P360),"")</f>
        <v/>
      </c>
      <c r="L360" s="79" t="str">
        <f>IFERROR(G360/SUM(Q$2:Q360),"")</f>
        <v/>
      </c>
      <c r="M360" s="64" t="str">
        <f t="shared" si="138"/>
        <v/>
      </c>
      <c r="N360" s="55" t="str">
        <f t="shared" si="139"/>
        <v/>
      </c>
      <c r="O360" s="55" t="str">
        <f t="shared" si="140"/>
        <v/>
      </c>
      <c r="P360" s="55" t="str">
        <f t="shared" si="141"/>
        <v/>
      </c>
      <c r="Q360" s="65" t="str">
        <f t="shared" si="142"/>
        <v/>
      </c>
      <c r="R360" s="67" t="str">
        <f t="shared" si="144"/>
        <v/>
      </c>
      <c r="S360" s="56" t="str">
        <f t="shared" si="145"/>
        <v/>
      </c>
      <c r="T360" s="56" t="str">
        <f t="shared" si="146"/>
        <v/>
      </c>
      <c r="U360" s="56" t="str">
        <f t="shared" si="147"/>
        <v/>
      </c>
      <c r="V360" s="68" t="str">
        <f t="shared" si="148"/>
        <v/>
      </c>
      <c r="W360" s="80" t="str">
        <f t="shared" si="149"/>
        <v/>
      </c>
      <c r="X360" s="81" t="str">
        <f t="shared" si="150"/>
        <v/>
      </c>
      <c r="Y360" s="81" t="str">
        <f t="shared" si="151"/>
        <v/>
      </c>
      <c r="Z360" s="81" t="str">
        <f t="shared" si="152"/>
        <v/>
      </c>
      <c r="AA360" s="82" t="str">
        <f t="shared" si="153"/>
        <v/>
      </c>
      <c r="AB360" s="83" t="str">
        <f>IF(R360&lt;&gt;"",(W360-SUMPRODUCT(R$3:R360,$B$3:$B360)/SUM($B$3:$B360))/STDEVA(W350:W360),"")</f>
        <v/>
      </c>
      <c r="AC360" s="84" t="str">
        <f>IF(S360&lt;&gt;"",(X360-SUMPRODUCT(S$3:S360,$B$3:$B360)/SUM($B$3:$B360))/STDEVA(X350:X360),"")</f>
        <v/>
      </c>
      <c r="AD360" s="84" t="str">
        <f>IF(T360&lt;&gt;"",(Y360-SUMPRODUCT(T$3:T360,$B$3:$B360)/SUM($B$3:$B360))/STDEVA(Y350:Y360),"")</f>
        <v/>
      </c>
      <c r="AE360" s="84" t="str">
        <f>IF(U360&lt;&gt;"",(Z360-SUMPRODUCT(U$3:U360,$B$3:$B360)/SUM($B$3:$B360))/STDEVA(Z350:Z360),"")</f>
        <v/>
      </c>
      <c r="AF360" s="85" t="str">
        <f>IF(V360&lt;&gt;"",(AA360-SUMPRODUCT(V$3:V360,$B$3:$B360)/SUM($B$3:$B360))/STDEVA(AA350:AA360),"")</f>
        <v/>
      </c>
      <c r="AG360" s="90" t="str">
        <f t="shared" si="154"/>
        <v/>
      </c>
      <c r="AH360" s="90" t="str">
        <f t="shared" si="154"/>
        <v/>
      </c>
      <c r="AI360" s="90" t="str">
        <f t="shared" si="154"/>
        <v/>
      </c>
      <c r="AJ360" s="90" t="str">
        <f t="shared" si="154"/>
        <v/>
      </c>
      <c r="AK360" s="93" t="str">
        <f t="shared" si="155"/>
        <v/>
      </c>
      <c r="BQ360" s="100" t="str">
        <f>IF(A360&lt;&gt;"",(VLOOKUP(A360,MarketData!$D:$BP,MATCH($BQ$1,MarketData!$D$1:$EG$1,0),TRUE)/100/365+1)^(B360)*BQ359,"")</f>
        <v/>
      </c>
      <c r="BR360" s="98" t="str">
        <f t="shared" si="132"/>
        <v/>
      </c>
      <c r="BS360" s="106" t="str">
        <f>IF(A360&lt;&gt;"",VLOOKUP(A360,MarketData!$D:$BP,MATCH($BS$1,MarketData!$D$1:$EG$1,0),TRUE),"")</f>
        <v/>
      </c>
      <c r="BT360" s="98" t="str">
        <f t="shared" si="143"/>
        <v/>
      </c>
    </row>
    <row r="361" spans="2:72" x14ac:dyDescent="0.25">
      <c r="B361" s="60" t="str">
        <f t="shared" si="156"/>
        <v/>
      </c>
      <c r="C361" s="3" t="str">
        <f t="shared" si="133"/>
        <v/>
      </c>
      <c r="D361" s="3" t="str">
        <f t="shared" si="134"/>
        <v/>
      </c>
      <c r="E361" s="3" t="str">
        <f t="shared" si="135"/>
        <v/>
      </c>
      <c r="F361" s="3" t="str">
        <f t="shared" si="136"/>
        <v/>
      </c>
      <c r="G361" s="74" t="str">
        <f t="shared" si="137"/>
        <v/>
      </c>
      <c r="H361" s="78" t="str">
        <f>IFERROR(C361/SUM(M$2:M360),"")</f>
        <v/>
      </c>
      <c r="I361" s="61" t="str">
        <f>IFERROR(D361/SUM(N$2:N361),"")</f>
        <v/>
      </c>
      <c r="J361" s="61" t="str">
        <f>IFERROR(E361/SUM(O$2:O361),"")</f>
        <v/>
      </c>
      <c r="K361" s="61" t="str">
        <f>IFERROR(F361/SUM(P$2:P361),"")</f>
        <v/>
      </c>
      <c r="L361" s="79" t="str">
        <f>IFERROR(G361/SUM(Q$2:Q361),"")</f>
        <v/>
      </c>
      <c r="M361" s="64" t="str">
        <f t="shared" si="138"/>
        <v/>
      </c>
      <c r="N361" s="55" t="str">
        <f t="shared" si="139"/>
        <v/>
      </c>
      <c r="O361" s="55" t="str">
        <f t="shared" si="140"/>
        <v/>
      </c>
      <c r="P361" s="55" t="str">
        <f t="shared" si="141"/>
        <v/>
      </c>
      <c r="Q361" s="65" t="str">
        <f t="shared" si="142"/>
        <v/>
      </c>
      <c r="R361" s="67" t="str">
        <f t="shared" si="144"/>
        <v/>
      </c>
      <c r="S361" s="56" t="str">
        <f t="shared" si="145"/>
        <v/>
      </c>
      <c r="T361" s="56" t="str">
        <f t="shared" si="146"/>
        <v/>
      </c>
      <c r="U361" s="56" t="str">
        <f t="shared" si="147"/>
        <v/>
      </c>
      <c r="V361" s="68" t="str">
        <f t="shared" si="148"/>
        <v/>
      </c>
      <c r="W361" s="80" t="str">
        <f t="shared" si="149"/>
        <v/>
      </c>
      <c r="X361" s="81" t="str">
        <f t="shared" si="150"/>
        <v/>
      </c>
      <c r="Y361" s="81" t="str">
        <f t="shared" si="151"/>
        <v/>
      </c>
      <c r="Z361" s="81" t="str">
        <f t="shared" si="152"/>
        <v/>
      </c>
      <c r="AA361" s="82" t="str">
        <f t="shared" si="153"/>
        <v/>
      </c>
      <c r="AB361" s="83" t="str">
        <f>IF(R361&lt;&gt;"",(W361-SUMPRODUCT(R$3:R361,$B$3:$B361)/SUM($B$3:$B361))/STDEVA(W351:W361),"")</f>
        <v/>
      </c>
      <c r="AC361" s="84" t="str">
        <f>IF(S361&lt;&gt;"",(X361-SUMPRODUCT(S$3:S361,$B$3:$B361)/SUM($B$3:$B361))/STDEVA(X351:X361),"")</f>
        <v/>
      </c>
      <c r="AD361" s="84" t="str">
        <f>IF(T361&lt;&gt;"",(Y361-SUMPRODUCT(T$3:T361,$B$3:$B361)/SUM($B$3:$B361))/STDEVA(Y351:Y361),"")</f>
        <v/>
      </c>
      <c r="AE361" s="84" t="str">
        <f>IF(U361&lt;&gt;"",(Z361-SUMPRODUCT(U$3:U361,$B$3:$B361)/SUM($B$3:$B361))/STDEVA(Z351:Z361),"")</f>
        <v/>
      </c>
      <c r="AF361" s="85" t="str">
        <f>IF(V361&lt;&gt;"",(AA361-SUMPRODUCT(V$3:V361,$B$3:$B361)/SUM($B$3:$B361))/STDEVA(AA351:AA361),"")</f>
        <v/>
      </c>
      <c r="AG361" s="90" t="str">
        <f t="shared" si="154"/>
        <v/>
      </c>
      <c r="AH361" s="90" t="str">
        <f t="shared" si="154"/>
        <v/>
      </c>
      <c r="AI361" s="90" t="str">
        <f t="shared" si="154"/>
        <v/>
      </c>
      <c r="AJ361" s="90" t="str">
        <f t="shared" si="154"/>
        <v/>
      </c>
      <c r="AK361" s="93" t="str">
        <f t="shared" si="155"/>
        <v/>
      </c>
      <c r="BQ361" s="100" t="str">
        <f>IF(A361&lt;&gt;"",(VLOOKUP(A361,MarketData!$D:$BP,MATCH($BQ$1,MarketData!$D$1:$EG$1,0),TRUE)/100/365+1)^(B361)*BQ360,"")</f>
        <v/>
      </c>
      <c r="BR361" s="98" t="str">
        <f t="shared" si="132"/>
        <v/>
      </c>
      <c r="BS361" s="106" t="str">
        <f>IF(A361&lt;&gt;"",VLOOKUP(A361,MarketData!$D:$BP,MATCH($BS$1,MarketData!$D$1:$EG$1,0),TRUE),"")</f>
        <v/>
      </c>
      <c r="BT361" s="98" t="str">
        <f t="shared" si="143"/>
        <v/>
      </c>
    </row>
    <row r="362" spans="2:72" x14ac:dyDescent="0.25">
      <c r="B362" s="60" t="str">
        <f t="shared" si="156"/>
        <v/>
      </c>
      <c r="C362" s="3" t="str">
        <f t="shared" si="133"/>
        <v/>
      </c>
      <c r="D362" s="3" t="str">
        <f t="shared" si="134"/>
        <v/>
      </c>
      <c r="E362" s="3" t="str">
        <f t="shared" si="135"/>
        <v/>
      </c>
      <c r="F362" s="3" t="str">
        <f t="shared" si="136"/>
        <v/>
      </c>
      <c r="G362" s="74" t="str">
        <f t="shared" si="137"/>
        <v/>
      </c>
      <c r="H362" s="78" t="str">
        <f>IFERROR(C362/SUM(M$2:M361),"")</f>
        <v/>
      </c>
      <c r="I362" s="61" t="str">
        <f>IFERROR(D362/SUM(N$2:N362),"")</f>
        <v/>
      </c>
      <c r="J362" s="61" t="str">
        <f>IFERROR(E362/SUM(O$2:O362),"")</f>
        <v/>
      </c>
      <c r="K362" s="61" t="str">
        <f>IFERROR(F362/SUM(P$2:P362),"")</f>
        <v/>
      </c>
      <c r="L362" s="79" t="str">
        <f>IFERROR(G362/SUM(Q$2:Q362),"")</f>
        <v/>
      </c>
      <c r="M362" s="64" t="str">
        <f t="shared" si="138"/>
        <v/>
      </c>
      <c r="N362" s="55" t="str">
        <f t="shared" si="139"/>
        <v/>
      </c>
      <c r="O362" s="55" t="str">
        <f t="shared" si="140"/>
        <v/>
      </c>
      <c r="P362" s="55" t="str">
        <f t="shared" si="141"/>
        <v/>
      </c>
      <c r="Q362" s="65" t="str">
        <f t="shared" si="142"/>
        <v/>
      </c>
      <c r="R362" s="67" t="str">
        <f t="shared" si="144"/>
        <v/>
      </c>
      <c r="S362" s="56" t="str">
        <f t="shared" si="145"/>
        <v/>
      </c>
      <c r="T362" s="56" t="str">
        <f t="shared" si="146"/>
        <v/>
      </c>
      <c r="U362" s="56" t="str">
        <f t="shared" si="147"/>
        <v/>
      </c>
      <c r="V362" s="68" t="str">
        <f t="shared" si="148"/>
        <v/>
      </c>
      <c r="W362" s="80" t="str">
        <f t="shared" si="149"/>
        <v/>
      </c>
      <c r="X362" s="81" t="str">
        <f t="shared" si="150"/>
        <v/>
      </c>
      <c r="Y362" s="81" t="str">
        <f t="shared" si="151"/>
        <v/>
      </c>
      <c r="Z362" s="81" t="str">
        <f t="shared" si="152"/>
        <v/>
      </c>
      <c r="AA362" s="82" t="str">
        <f t="shared" si="153"/>
        <v/>
      </c>
      <c r="AB362" s="83" t="str">
        <f>IF(R362&lt;&gt;"",(W362-SUMPRODUCT(R$3:R362,$B$3:$B362)/SUM($B$3:$B362))/STDEVA(W352:W362),"")</f>
        <v/>
      </c>
      <c r="AC362" s="84" t="str">
        <f>IF(S362&lt;&gt;"",(X362-SUMPRODUCT(S$3:S362,$B$3:$B362)/SUM($B$3:$B362))/STDEVA(X352:X362),"")</f>
        <v/>
      </c>
      <c r="AD362" s="84" t="str">
        <f>IF(T362&lt;&gt;"",(Y362-SUMPRODUCT(T$3:T362,$B$3:$B362)/SUM($B$3:$B362))/STDEVA(Y352:Y362),"")</f>
        <v/>
      </c>
      <c r="AE362" s="84" t="str">
        <f>IF(U362&lt;&gt;"",(Z362-SUMPRODUCT(U$3:U362,$B$3:$B362)/SUM($B$3:$B362))/STDEVA(Z352:Z362),"")</f>
        <v/>
      </c>
      <c r="AF362" s="85" t="str">
        <f>IF(V362&lt;&gt;"",(AA362-SUMPRODUCT(V$3:V362,$B$3:$B362)/SUM($B$3:$B362))/STDEVA(AA352:AA362),"")</f>
        <v/>
      </c>
      <c r="AG362" s="90" t="str">
        <f t="shared" si="154"/>
        <v/>
      </c>
      <c r="AH362" s="90" t="str">
        <f t="shared" si="154"/>
        <v/>
      </c>
      <c r="AI362" s="90" t="str">
        <f t="shared" si="154"/>
        <v/>
      </c>
      <c r="AJ362" s="90" t="str">
        <f t="shared" si="154"/>
        <v/>
      </c>
      <c r="AK362" s="93" t="str">
        <f t="shared" si="155"/>
        <v/>
      </c>
      <c r="BQ362" s="100" t="str">
        <f>IF(A362&lt;&gt;"",(VLOOKUP(A362,MarketData!$D:$BP,MATCH($BQ$1,MarketData!$D$1:$EG$1,0),TRUE)/100/365+1)^(B362)*BQ361,"")</f>
        <v/>
      </c>
      <c r="BR362" s="98" t="str">
        <f t="shared" si="132"/>
        <v/>
      </c>
      <c r="BS362" s="106" t="str">
        <f>IF(A362&lt;&gt;"",VLOOKUP(A362,MarketData!$D:$BP,MATCH($BS$1,MarketData!$D$1:$EG$1,0),TRUE),"")</f>
        <v/>
      </c>
      <c r="BT362" s="98" t="str">
        <f t="shared" si="143"/>
        <v/>
      </c>
    </row>
    <row r="363" spans="2:72" x14ac:dyDescent="0.25">
      <c r="B363" s="60" t="str">
        <f t="shared" si="156"/>
        <v/>
      </c>
      <c r="C363" s="3" t="str">
        <f t="shared" si="133"/>
        <v/>
      </c>
      <c r="D363" s="3" t="str">
        <f t="shared" si="134"/>
        <v/>
      </c>
      <c r="E363" s="3" t="str">
        <f t="shared" si="135"/>
        <v/>
      </c>
      <c r="F363" s="3" t="str">
        <f t="shared" si="136"/>
        <v/>
      </c>
      <c r="G363" s="74" t="str">
        <f t="shared" si="137"/>
        <v/>
      </c>
      <c r="H363" s="78" t="str">
        <f>IFERROR(C363/SUM(M$2:M362),"")</f>
        <v/>
      </c>
      <c r="I363" s="61" t="str">
        <f>IFERROR(D363/SUM(N$2:N363),"")</f>
        <v/>
      </c>
      <c r="J363" s="61" t="str">
        <f>IFERROR(E363/SUM(O$2:O363),"")</f>
        <v/>
      </c>
      <c r="K363" s="61" t="str">
        <f>IFERROR(F363/SUM(P$2:P363),"")</f>
        <v/>
      </c>
      <c r="L363" s="79" t="str">
        <f>IFERROR(G363/SUM(Q$2:Q363),"")</f>
        <v/>
      </c>
      <c r="M363" s="64" t="str">
        <f t="shared" si="138"/>
        <v/>
      </c>
      <c r="N363" s="55" t="str">
        <f t="shared" si="139"/>
        <v/>
      </c>
      <c r="O363" s="55" t="str">
        <f t="shared" si="140"/>
        <v/>
      </c>
      <c r="P363" s="55" t="str">
        <f t="shared" si="141"/>
        <v/>
      </c>
      <c r="Q363" s="65" t="str">
        <f t="shared" si="142"/>
        <v/>
      </c>
      <c r="R363" s="67" t="str">
        <f t="shared" si="144"/>
        <v/>
      </c>
      <c r="S363" s="56" t="str">
        <f t="shared" si="145"/>
        <v/>
      </c>
      <c r="T363" s="56" t="str">
        <f t="shared" si="146"/>
        <v/>
      </c>
      <c r="U363" s="56" t="str">
        <f t="shared" si="147"/>
        <v/>
      </c>
      <c r="V363" s="68" t="str">
        <f t="shared" si="148"/>
        <v/>
      </c>
      <c r="W363" s="80" t="str">
        <f t="shared" si="149"/>
        <v/>
      </c>
      <c r="X363" s="81" t="str">
        <f t="shared" si="150"/>
        <v/>
      </c>
      <c r="Y363" s="81" t="str">
        <f t="shared" si="151"/>
        <v/>
      </c>
      <c r="Z363" s="81" t="str">
        <f t="shared" si="152"/>
        <v/>
      </c>
      <c r="AA363" s="82" t="str">
        <f t="shared" si="153"/>
        <v/>
      </c>
      <c r="AB363" s="83" t="str">
        <f>IF(R363&lt;&gt;"",(W363-SUMPRODUCT(R$3:R363,$B$3:$B363)/SUM($B$3:$B363))/STDEVA(W353:W363),"")</f>
        <v/>
      </c>
      <c r="AC363" s="84" t="str">
        <f>IF(S363&lt;&gt;"",(X363-SUMPRODUCT(S$3:S363,$B$3:$B363)/SUM($B$3:$B363))/STDEVA(X353:X363),"")</f>
        <v/>
      </c>
      <c r="AD363" s="84" t="str">
        <f>IF(T363&lt;&gt;"",(Y363-SUMPRODUCT(T$3:T363,$B$3:$B363)/SUM($B$3:$B363))/STDEVA(Y353:Y363),"")</f>
        <v/>
      </c>
      <c r="AE363" s="84" t="str">
        <f>IF(U363&lt;&gt;"",(Z363-SUMPRODUCT(U$3:U363,$B$3:$B363)/SUM($B$3:$B363))/STDEVA(Z353:Z363),"")</f>
        <v/>
      </c>
      <c r="AF363" s="85" t="str">
        <f>IF(V363&lt;&gt;"",(AA363-SUMPRODUCT(V$3:V363,$B$3:$B363)/SUM($B$3:$B363))/STDEVA(AA353:AA363),"")</f>
        <v/>
      </c>
      <c r="AG363" s="90" t="str">
        <f t="shared" si="154"/>
        <v/>
      </c>
      <c r="AH363" s="90" t="str">
        <f t="shared" si="154"/>
        <v/>
      </c>
      <c r="AI363" s="90" t="str">
        <f t="shared" si="154"/>
        <v/>
      </c>
      <c r="AJ363" s="90" t="str">
        <f t="shared" si="154"/>
        <v/>
      </c>
      <c r="AK363" s="93" t="str">
        <f t="shared" si="155"/>
        <v/>
      </c>
      <c r="BQ363" s="100" t="str">
        <f>IF(A363&lt;&gt;"",(VLOOKUP(A363,MarketData!$D:$BP,MATCH($BQ$1,MarketData!$D$1:$EG$1,0),TRUE)/100/365+1)^(B363)*BQ362,"")</f>
        <v/>
      </c>
      <c r="BR363" s="98" t="str">
        <f t="shared" si="132"/>
        <v/>
      </c>
      <c r="BS363" s="106" t="str">
        <f>IF(A363&lt;&gt;"",VLOOKUP(A363,MarketData!$D:$BP,MATCH($BS$1,MarketData!$D$1:$EG$1,0),TRUE),"")</f>
        <v/>
      </c>
      <c r="BT363" s="98" t="str">
        <f t="shared" si="143"/>
        <v/>
      </c>
    </row>
    <row r="364" spans="2:72" x14ac:dyDescent="0.25">
      <c r="B364" s="60" t="str">
        <f t="shared" si="156"/>
        <v/>
      </c>
      <c r="C364" s="3" t="str">
        <f t="shared" si="133"/>
        <v/>
      </c>
      <c r="D364" s="3" t="str">
        <f t="shared" si="134"/>
        <v/>
      </c>
      <c r="E364" s="3" t="str">
        <f t="shared" si="135"/>
        <v/>
      </c>
      <c r="F364" s="3" t="str">
        <f t="shared" si="136"/>
        <v/>
      </c>
      <c r="G364" s="74" t="str">
        <f t="shared" si="137"/>
        <v/>
      </c>
      <c r="H364" s="78" t="str">
        <f>IFERROR(C364/SUM(M$2:M363),"")</f>
        <v/>
      </c>
      <c r="I364" s="61" t="str">
        <f>IFERROR(D364/SUM(N$2:N364),"")</f>
        <v/>
      </c>
      <c r="J364" s="61" t="str">
        <f>IFERROR(E364/SUM(O$2:O364),"")</f>
        <v/>
      </c>
      <c r="K364" s="61" t="str">
        <f>IFERROR(F364/SUM(P$2:P364),"")</f>
        <v/>
      </c>
      <c r="L364" s="79" t="str">
        <f>IFERROR(G364/SUM(Q$2:Q364),"")</f>
        <v/>
      </c>
      <c r="M364" s="64" t="str">
        <f t="shared" si="138"/>
        <v/>
      </c>
      <c r="N364" s="55" t="str">
        <f t="shared" si="139"/>
        <v/>
      </c>
      <c r="O364" s="55" t="str">
        <f t="shared" si="140"/>
        <v/>
      </c>
      <c r="P364" s="55" t="str">
        <f t="shared" si="141"/>
        <v/>
      </c>
      <c r="Q364" s="65" t="str">
        <f t="shared" si="142"/>
        <v/>
      </c>
      <c r="R364" s="67" t="str">
        <f t="shared" si="144"/>
        <v/>
      </c>
      <c r="S364" s="56" t="str">
        <f t="shared" si="145"/>
        <v/>
      </c>
      <c r="T364" s="56" t="str">
        <f t="shared" si="146"/>
        <v/>
      </c>
      <c r="U364" s="56" t="str">
        <f t="shared" si="147"/>
        <v/>
      </c>
      <c r="V364" s="68" t="str">
        <f t="shared" si="148"/>
        <v/>
      </c>
      <c r="W364" s="80" t="str">
        <f t="shared" si="149"/>
        <v/>
      </c>
      <c r="X364" s="81" t="str">
        <f t="shared" si="150"/>
        <v/>
      </c>
      <c r="Y364" s="81" t="str">
        <f t="shared" si="151"/>
        <v/>
      </c>
      <c r="Z364" s="81" t="str">
        <f t="shared" si="152"/>
        <v/>
      </c>
      <c r="AA364" s="82" t="str">
        <f t="shared" si="153"/>
        <v/>
      </c>
      <c r="AB364" s="83" t="str">
        <f>IF(R364&lt;&gt;"",(W364-SUMPRODUCT(R$3:R364,$B$3:$B364)/SUM($B$3:$B364))/STDEVA(W354:W364),"")</f>
        <v/>
      </c>
      <c r="AC364" s="84" t="str">
        <f>IF(S364&lt;&gt;"",(X364-SUMPRODUCT(S$3:S364,$B$3:$B364)/SUM($B$3:$B364))/STDEVA(X354:X364),"")</f>
        <v/>
      </c>
      <c r="AD364" s="84" t="str">
        <f>IF(T364&lt;&gt;"",(Y364-SUMPRODUCT(T$3:T364,$B$3:$B364)/SUM($B$3:$B364))/STDEVA(Y354:Y364),"")</f>
        <v/>
      </c>
      <c r="AE364" s="84" t="str">
        <f>IF(U364&lt;&gt;"",(Z364-SUMPRODUCT(U$3:U364,$B$3:$B364)/SUM($B$3:$B364))/STDEVA(Z354:Z364),"")</f>
        <v/>
      </c>
      <c r="AF364" s="85" t="str">
        <f>IF(V364&lt;&gt;"",(AA364-SUMPRODUCT(V$3:V364,$B$3:$B364)/SUM($B$3:$B364))/STDEVA(AA354:AA364),"")</f>
        <v/>
      </c>
      <c r="AG364" s="90" t="str">
        <f t="shared" si="154"/>
        <v/>
      </c>
      <c r="AH364" s="90" t="str">
        <f t="shared" si="154"/>
        <v/>
      </c>
      <c r="AI364" s="90" t="str">
        <f t="shared" si="154"/>
        <v/>
      </c>
      <c r="AJ364" s="90" t="str">
        <f t="shared" si="154"/>
        <v/>
      </c>
      <c r="AK364" s="93" t="str">
        <f t="shared" si="155"/>
        <v/>
      </c>
      <c r="BQ364" s="100" t="str">
        <f>IF(A364&lt;&gt;"",(VLOOKUP(A364,MarketData!$D:$BP,MATCH($BQ$1,MarketData!$D$1:$EG$1,0),TRUE)/100/365+1)^(B364)*BQ363,"")</f>
        <v/>
      </c>
      <c r="BR364" s="98" t="str">
        <f t="shared" si="132"/>
        <v/>
      </c>
      <c r="BS364" s="106" t="str">
        <f>IF(A364&lt;&gt;"",VLOOKUP(A364,MarketData!$D:$BP,MATCH($BS$1,MarketData!$D$1:$EG$1,0),TRUE),"")</f>
        <v/>
      </c>
      <c r="BT364" s="98" t="str">
        <f t="shared" si="143"/>
        <v/>
      </c>
    </row>
    <row r="365" spans="2:72" x14ac:dyDescent="0.25">
      <c r="B365" s="60" t="str">
        <f t="shared" si="156"/>
        <v/>
      </c>
      <c r="C365" s="3" t="str">
        <f t="shared" si="133"/>
        <v/>
      </c>
      <c r="D365" s="3" t="str">
        <f t="shared" si="134"/>
        <v/>
      </c>
      <c r="E365" s="3" t="str">
        <f t="shared" si="135"/>
        <v/>
      </c>
      <c r="F365" s="3" t="str">
        <f t="shared" si="136"/>
        <v/>
      </c>
      <c r="G365" s="74" t="str">
        <f t="shared" si="137"/>
        <v/>
      </c>
      <c r="H365" s="78" t="str">
        <f>IFERROR(C365/SUM(M$2:M364),"")</f>
        <v/>
      </c>
      <c r="I365" s="61" t="str">
        <f>IFERROR(D365/SUM(N$2:N365),"")</f>
        <v/>
      </c>
      <c r="J365" s="61" t="str">
        <f>IFERROR(E365/SUM(O$2:O365),"")</f>
        <v/>
      </c>
      <c r="K365" s="61" t="str">
        <f>IFERROR(F365/SUM(P$2:P365),"")</f>
        <v/>
      </c>
      <c r="L365" s="79" t="str">
        <f>IFERROR(G365/SUM(Q$2:Q365),"")</f>
        <v/>
      </c>
      <c r="M365" s="64" t="str">
        <f t="shared" si="138"/>
        <v/>
      </c>
      <c r="N365" s="55" t="str">
        <f t="shared" si="139"/>
        <v/>
      </c>
      <c r="O365" s="55" t="str">
        <f t="shared" si="140"/>
        <v/>
      </c>
      <c r="P365" s="55" t="str">
        <f t="shared" si="141"/>
        <v/>
      </c>
      <c r="Q365" s="65" t="str">
        <f t="shared" si="142"/>
        <v/>
      </c>
      <c r="R365" s="67" t="str">
        <f t="shared" si="144"/>
        <v/>
      </c>
      <c r="S365" s="56" t="str">
        <f t="shared" si="145"/>
        <v/>
      </c>
      <c r="T365" s="56" t="str">
        <f t="shared" si="146"/>
        <v/>
      </c>
      <c r="U365" s="56" t="str">
        <f t="shared" si="147"/>
        <v/>
      </c>
      <c r="V365" s="68" t="str">
        <f t="shared" si="148"/>
        <v/>
      </c>
      <c r="W365" s="80" t="str">
        <f t="shared" si="149"/>
        <v/>
      </c>
      <c r="X365" s="81" t="str">
        <f t="shared" si="150"/>
        <v/>
      </c>
      <c r="Y365" s="81" t="str">
        <f t="shared" si="151"/>
        <v/>
      </c>
      <c r="Z365" s="81" t="str">
        <f t="shared" si="152"/>
        <v/>
      </c>
      <c r="AA365" s="82" t="str">
        <f t="shared" si="153"/>
        <v/>
      </c>
      <c r="AB365" s="83" t="str">
        <f>IF(R365&lt;&gt;"",(W365-SUMPRODUCT(R$3:R365,$B$3:$B365)/SUM($B$3:$B365))/STDEVA(W355:W365),"")</f>
        <v/>
      </c>
      <c r="AC365" s="84" t="str">
        <f>IF(S365&lt;&gt;"",(X365-SUMPRODUCT(S$3:S365,$B$3:$B365)/SUM($B$3:$B365))/STDEVA(X355:X365),"")</f>
        <v/>
      </c>
      <c r="AD365" s="84" t="str">
        <f>IF(T365&lt;&gt;"",(Y365-SUMPRODUCT(T$3:T365,$B$3:$B365)/SUM($B$3:$B365))/STDEVA(Y355:Y365),"")</f>
        <v/>
      </c>
      <c r="AE365" s="84" t="str">
        <f>IF(U365&lt;&gt;"",(Z365-SUMPRODUCT(U$3:U365,$B$3:$B365)/SUM($B$3:$B365))/STDEVA(Z355:Z365),"")</f>
        <v/>
      </c>
      <c r="AF365" s="85" t="str">
        <f>IF(V365&lt;&gt;"",(AA365-SUMPRODUCT(V$3:V365,$B$3:$B365)/SUM($B$3:$B365))/STDEVA(AA355:AA365),"")</f>
        <v/>
      </c>
      <c r="AG365" s="90" t="str">
        <f t="shared" si="154"/>
        <v/>
      </c>
      <c r="AH365" s="90" t="str">
        <f t="shared" si="154"/>
        <v/>
      </c>
      <c r="AI365" s="90" t="str">
        <f t="shared" si="154"/>
        <v/>
      </c>
      <c r="AJ365" s="90" t="str">
        <f t="shared" si="154"/>
        <v/>
      </c>
      <c r="AK365" s="93" t="str">
        <f t="shared" si="155"/>
        <v/>
      </c>
      <c r="BQ365" s="100" t="str">
        <f>IF(A365&lt;&gt;"",(VLOOKUP(A365,MarketData!$D:$BP,MATCH($BQ$1,MarketData!$D$1:$EG$1,0),TRUE)/100/365+1)^(B365)*BQ364,"")</f>
        <v/>
      </c>
      <c r="BR365" s="98" t="str">
        <f t="shared" si="132"/>
        <v/>
      </c>
      <c r="BS365" s="106" t="str">
        <f>IF(A365&lt;&gt;"",VLOOKUP(A365,MarketData!$D:$BP,MATCH($BS$1,MarketData!$D$1:$EG$1,0),TRUE),"")</f>
        <v/>
      </c>
      <c r="BT365" s="98" t="str">
        <f t="shared" si="143"/>
        <v/>
      </c>
    </row>
    <row r="366" spans="2:72" x14ac:dyDescent="0.25">
      <c r="B366" s="60" t="str">
        <f t="shared" si="156"/>
        <v/>
      </c>
      <c r="C366" s="3" t="str">
        <f t="shared" si="133"/>
        <v/>
      </c>
      <c r="D366" s="3" t="str">
        <f t="shared" si="134"/>
        <v/>
      </c>
      <c r="E366" s="3" t="str">
        <f t="shared" si="135"/>
        <v/>
      </c>
      <c r="F366" s="3" t="str">
        <f t="shared" si="136"/>
        <v/>
      </c>
      <c r="G366" s="74" t="str">
        <f t="shared" si="137"/>
        <v/>
      </c>
      <c r="H366" s="78" t="str">
        <f>IFERROR(C366/SUM(M$2:M365),"")</f>
        <v/>
      </c>
      <c r="I366" s="61" t="str">
        <f>IFERROR(D366/SUM(N$2:N366),"")</f>
        <v/>
      </c>
      <c r="J366" s="61" t="str">
        <f>IFERROR(E366/SUM(O$2:O366),"")</f>
        <v/>
      </c>
      <c r="K366" s="61" t="str">
        <f>IFERROR(F366/SUM(P$2:P366),"")</f>
        <v/>
      </c>
      <c r="L366" s="79" t="str">
        <f>IFERROR(G366/SUM(Q$2:Q366),"")</f>
        <v/>
      </c>
      <c r="M366" s="64" t="str">
        <f t="shared" si="138"/>
        <v/>
      </c>
      <c r="N366" s="55" t="str">
        <f t="shared" si="139"/>
        <v/>
      </c>
      <c r="O366" s="55" t="str">
        <f t="shared" si="140"/>
        <v/>
      </c>
      <c r="P366" s="55" t="str">
        <f t="shared" si="141"/>
        <v/>
      </c>
      <c r="Q366" s="65" t="str">
        <f t="shared" si="142"/>
        <v/>
      </c>
      <c r="R366" s="67" t="str">
        <f t="shared" si="144"/>
        <v/>
      </c>
      <c r="S366" s="56" t="str">
        <f t="shared" si="145"/>
        <v/>
      </c>
      <c r="T366" s="56" t="str">
        <f t="shared" si="146"/>
        <v/>
      </c>
      <c r="U366" s="56" t="str">
        <f t="shared" si="147"/>
        <v/>
      </c>
      <c r="V366" s="68" t="str">
        <f t="shared" si="148"/>
        <v/>
      </c>
      <c r="W366" s="80" t="str">
        <f t="shared" si="149"/>
        <v/>
      </c>
      <c r="X366" s="81" t="str">
        <f t="shared" si="150"/>
        <v/>
      </c>
      <c r="Y366" s="81" t="str">
        <f t="shared" si="151"/>
        <v/>
      </c>
      <c r="Z366" s="81" t="str">
        <f t="shared" si="152"/>
        <v/>
      </c>
      <c r="AA366" s="82" t="str">
        <f t="shared" si="153"/>
        <v/>
      </c>
      <c r="AB366" s="83" t="str">
        <f>IF(R366&lt;&gt;"",(W366-SUMPRODUCT(R$3:R366,$B$3:$B366)/SUM($B$3:$B366))/STDEVA(W356:W366),"")</f>
        <v/>
      </c>
      <c r="AC366" s="84" t="str">
        <f>IF(S366&lt;&gt;"",(X366-SUMPRODUCT(S$3:S366,$B$3:$B366)/SUM($B$3:$B366))/STDEVA(X356:X366),"")</f>
        <v/>
      </c>
      <c r="AD366" s="84" t="str">
        <f>IF(T366&lt;&gt;"",(Y366-SUMPRODUCT(T$3:T366,$B$3:$B366)/SUM($B$3:$B366))/STDEVA(Y356:Y366),"")</f>
        <v/>
      </c>
      <c r="AE366" s="84" t="str">
        <f>IF(U366&lt;&gt;"",(Z366-SUMPRODUCT(U$3:U366,$B$3:$B366)/SUM($B$3:$B366))/STDEVA(Z356:Z366),"")</f>
        <v/>
      </c>
      <c r="AF366" s="85" t="str">
        <f>IF(V366&lt;&gt;"",(AA366-SUMPRODUCT(V$3:V366,$B$3:$B366)/SUM($B$3:$B366))/STDEVA(AA356:AA366),"")</f>
        <v/>
      </c>
      <c r="AG366" s="90" t="str">
        <f t="shared" si="154"/>
        <v/>
      </c>
      <c r="AH366" s="90" t="str">
        <f t="shared" si="154"/>
        <v/>
      </c>
      <c r="AI366" s="90" t="str">
        <f t="shared" si="154"/>
        <v/>
      </c>
      <c r="AJ366" s="90" t="str">
        <f t="shared" si="154"/>
        <v/>
      </c>
      <c r="AK366" s="93" t="str">
        <f t="shared" si="155"/>
        <v/>
      </c>
      <c r="BQ366" s="100" t="str">
        <f>IF(A366&lt;&gt;"",(VLOOKUP(A366,MarketData!$D:$BP,MATCH($BQ$1,MarketData!$D$1:$EG$1,0),TRUE)/100/365+1)^(B366)*BQ365,"")</f>
        <v/>
      </c>
      <c r="BR366" s="98" t="str">
        <f t="shared" si="132"/>
        <v/>
      </c>
      <c r="BS366" s="106" t="str">
        <f>IF(A366&lt;&gt;"",VLOOKUP(A366,MarketData!$D:$BP,MATCH($BS$1,MarketData!$D$1:$EG$1,0),TRUE),"")</f>
        <v/>
      </c>
      <c r="BT366" s="98" t="str">
        <f t="shared" si="143"/>
        <v/>
      </c>
    </row>
    <row r="367" spans="2:72" x14ac:dyDescent="0.25">
      <c r="B367" s="60" t="str">
        <f t="shared" si="156"/>
        <v/>
      </c>
      <c r="C367" s="3" t="str">
        <f t="shared" si="133"/>
        <v/>
      </c>
      <c r="D367" s="3" t="str">
        <f t="shared" si="134"/>
        <v/>
      </c>
      <c r="E367" s="3" t="str">
        <f t="shared" si="135"/>
        <v/>
      </c>
      <c r="F367" s="3" t="str">
        <f t="shared" si="136"/>
        <v/>
      </c>
      <c r="G367" s="74" t="str">
        <f t="shared" si="137"/>
        <v/>
      </c>
      <c r="H367" s="78" t="str">
        <f>IFERROR(C367/SUM(M$2:M366),"")</f>
        <v/>
      </c>
      <c r="I367" s="61" t="str">
        <f>IFERROR(D367/SUM(N$2:N367),"")</f>
        <v/>
      </c>
      <c r="J367" s="61" t="str">
        <f>IFERROR(E367/SUM(O$2:O367),"")</f>
        <v/>
      </c>
      <c r="K367" s="61" t="str">
        <f>IFERROR(F367/SUM(P$2:P367),"")</f>
        <v/>
      </c>
      <c r="L367" s="79" t="str">
        <f>IFERROR(G367/SUM(Q$2:Q367),"")</f>
        <v/>
      </c>
      <c r="M367" s="64" t="str">
        <f t="shared" si="138"/>
        <v/>
      </c>
      <c r="N367" s="55" t="str">
        <f t="shared" si="139"/>
        <v/>
      </c>
      <c r="O367" s="55" t="str">
        <f t="shared" si="140"/>
        <v/>
      </c>
      <c r="P367" s="55" t="str">
        <f t="shared" si="141"/>
        <v/>
      </c>
      <c r="Q367" s="65" t="str">
        <f t="shared" si="142"/>
        <v/>
      </c>
      <c r="R367" s="67" t="str">
        <f t="shared" si="144"/>
        <v/>
      </c>
      <c r="S367" s="56" t="str">
        <f t="shared" si="145"/>
        <v/>
      </c>
      <c r="T367" s="56" t="str">
        <f t="shared" si="146"/>
        <v/>
      </c>
      <c r="U367" s="56" t="str">
        <f t="shared" si="147"/>
        <v/>
      </c>
      <c r="V367" s="68" t="str">
        <f t="shared" si="148"/>
        <v/>
      </c>
      <c r="W367" s="80" t="str">
        <f t="shared" si="149"/>
        <v/>
      </c>
      <c r="X367" s="81" t="str">
        <f t="shared" si="150"/>
        <v/>
      </c>
      <c r="Y367" s="81" t="str">
        <f t="shared" si="151"/>
        <v/>
      </c>
      <c r="Z367" s="81" t="str">
        <f t="shared" si="152"/>
        <v/>
      </c>
      <c r="AA367" s="82" t="str">
        <f t="shared" si="153"/>
        <v/>
      </c>
      <c r="AB367" s="83" t="str">
        <f>IF(R367&lt;&gt;"",(W367-SUMPRODUCT(R$3:R367,$B$3:$B367)/SUM($B$3:$B367))/STDEVA(W357:W367),"")</f>
        <v/>
      </c>
      <c r="AC367" s="84" t="str">
        <f>IF(S367&lt;&gt;"",(X367-SUMPRODUCT(S$3:S367,$B$3:$B367)/SUM($B$3:$B367))/STDEVA(X357:X367),"")</f>
        <v/>
      </c>
      <c r="AD367" s="84" t="str">
        <f>IF(T367&lt;&gt;"",(Y367-SUMPRODUCT(T$3:T367,$B$3:$B367)/SUM($B$3:$B367))/STDEVA(Y357:Y367),"")</f>
        <v/>
      </c>
      <c r="AE367" s="84" t="str">
        <f>IF(U367&lt;&gt;"",(Z367-SUMPRODUCT(U$3:U367,$B$3:$B367)/SUM($B$3:$B367))/STDEVA(Z357:Z367),"")</f>
        <v/>
      </c>
      <c r="AF367" s="85" t="str">
        <f>IF(V367&lt;&gt;"",(AA367-SUMPRODUCT(V$3:V367,$B$3:$B367)/SUM($B$3:$B367))/STDEVA(AA357:AA367),"")</f>
        <v/>
      </c>
      <c r="AG367" s="90" t="str">
        <f t="shared" si="154"/>
        <v/>
      </c>
      <c r="AH367" s="90" t="str">
        <f t="shared" si="154"/>
        <v/>
      </c>
      <c r="AI367" s="90" t="str">
        <f t="shared" si="154"/>
        <v/>
      </c>
      <c r="AJ367" s="90" t="str">
        <f t="shared" si="154"/>
        <v/>
      </c>
      <c r="AK367" s="93" t="str">
        <f t="shared" si="155"/>
        <v/>
      </c>
      <c r="BQ367" s="100" t="str">
        <f>IF(A367&lt;&gt;"",(VLOOKUP(A367,MarketData!$D:$BP,MATCH($BQ$1,MarketData!$D$1:$EG$1,0),TRUE)/100/365+1)^(B367)*BQ366,"")</f>
        <v/>
      </c>
      <c r="BR367" s="98" t="str">
        <f t="shared" si="132"/>
        <v/>
      </c>
      <c r="BS367" s="106" t="str">
        <f>IF(A367&lt;&gt;"",VLOOKUP(A367,MarketData!$D:$BP,MATCH($BS$1,MarketData!$D$1:$EG$1,0),TRUE),"")</f>
        <v/>
      </c>
      <c r="BT367" s="98" t="str">
        <f t="shared" si="143"/>
        <v/>
      </c>
    </row>
    <row r="368" spans="2:72" x14ac:dyDescent="0.25">
      <c r="B368" s="60" t="str">
        <f t="shared" si="156"/>
        <v/>
      </c>
      <c r="C368" s="3" t="str">
        <f t="shared" si="133"/>
        <v/>
      </c>
      <c r="D368" s="3" t="str">
        <f t="shared" si="134"/>
        <v/>
      </c>
      <c r="E368" s="3" t="str">
        <f t="shared" si="135"/>
        <v/>
      </c>
      <c r="F368" s="3" t="str">
        <f t="shared" si="136"/>
        <v/>
      </c>
      <c r="G368" s="74" t="str">
        <f t="shared" si="137"/>
        <v/>
      </c>
      <c r="H368" s="78" t="str">
        <f>IFERROR(C368/SUM(M$2:M367),"")</f>
        <v/>
      </c>
      <c r="I368" s="61" t="str">
        <f>IFERROR(D368/SUM(N$2:N368),"")</f>
        <v/>
      </c>
      <c r="J368" s="61" t="str">
        <f>IFERROR(E368/SUM(O$2:O368),"")</f>
        <v/>
      </c>
      <c r="K368" s="61" t="str">
        <f>IFERROR(F368/SUM(P$2:P368),"")</f>
        <v/>
      </c>
      <c r="L368" s="79" t="str">
        <f>IFERROR(G368/SUM(Q$2:Q368),"")</f>
        <v/>
      </c>
      <c r="M368" s="64" t="str">
        <f t="shared" si="138"/>
        <v/>
      </c>
      <c r="N368" s="55" t="str">
        <f t="shared" si="139"/>
        <v/>
      </c>
      <c r="O368" s="55" t="str">
        <f t="shared" si="140"/>
        <v/>
      </c>
      <c r="P368" s="55" t="str">
        <f t="shared" si="141"/>
        <v/>
      </c>
      <c r="Q368" s="65" t="str">
        <f t="shared" si="142"/>
        <v/>
      </c>
      <c r="R368" s="67" t="str">
        <f t="shared" si="144"/>
        <v/>
      </c>
      <c r="S368" s="56" t="str">
        <f t="shared" si="145"/>
        <v/>
      </c>
      <c r="T368" s="56" t="str">
        <f t="shared" si="146"/>
        <v/>
      </c>
      <c r="U368" s="56" t="str">
        <f t="shared" si="147"/>
        <v/>
      </c>
      <c r="V368" s="68" t="str">
        <f t="shared" si="148"/>
        <v/>
      </c>
      <c r="W368" s="80" t="str">
        <f t="shared" si="149"/>
        <v/>
      </c>
      <c r="X368" s="81" t="str">
        <f t="shared" si="150"/>
        <v/>
      </c>
      <c r="Y368" s="81" t="str">
        <f t="shared" si="151"/>
        <v/>
      </c>
      <c r="Z368" s="81" t="str">
        <f t="shared" si="152"/>
        <v/>
      </c>
      <c r="AA368" s="82" t="str">
        <f t="shared" si="153"/>
        <v/>
      </c>
      <c r="AB368" s="83" t="str">
        <f>IF(R368&lt;&gt;"",(W368-SUMPRODUCT(R$3:R368,$B$3:$B368)/SUM($B$3:$B368))/STDEVA(W358:W368),"")</f>
        <v/>
      </c>
      <c r="AC368" s="84" t="str">
        <f>IF(S368&lt;&gt;"",(X368-SUMPRODUCT(S$3:S368,$B$3:$B368)/SUM($B$3:$B368))/STDEVA(X358:X368),"")</f>
        <v/>
      </c>
      <c r="AD368" s="84" t="str">
        <f>IF(T368&lt;&gt;"",(Y368-SUMPRODUCT(T$3:T368,$B$3:$B368)/SUM($B$3:$B368))/STDEVA(Y358:Y368),"")</f>
        <v/>
      </c>
      <c r="AE368" s="84" t="str">
        <f>IF(U368&lt;&gt;"",(Z368-SUMPRODUCT(U$3:U368,$B$3:$B368)/SUM($B$3:$B368))/STDEVA(Z358:Z368),"")</f>
        <v/>
      </c>
      <c r="AF368" s="85" t="str">
        <f>IF(V368&lt;&gt;"",(AA368-SUMPRODUCT(V$3:V368,$B$3:$B368)/SUM($B$3:$B368))/STDEVA(AA358:AA368),"")</f>
        <v/>
      </c>
      <c r="AG368" s="90" t="str">
        <f t="shared" si="154"/>
        <v/>
      </c>
      <c r="AH368" s="90" t="str">
        <f t="shared" si="154"/>
        <v/>
      </c>
      <c r="AI368" s="90" t="str">
        <f t="shared" si="154"/>
        <v/>
      </c>
      <c r="AJ368" s="90" t="str">
        <f t="shared" si="154"/>
        <v/>
      </c>
      <c r="AK368" s="93" t="str">
        <f t="shared" si="155"/>
        <v/>
      </c>
      <c r="BQ368" s="100" t="str">
        <f>IF(A368&lt;&gt;"",(VLOOKUP(A368,MarketData!$D:$BP,MATCH($BQ$1,MarketData!$D$1:$EG$1,0),TRUE)/100/365+1)^(B368)*BQ367,"")</f>
        <v/>
      </c>
      <c r="BR368" s="98" t="str">
        <f t="shared" si="132"/>
        <v/>
      </c>
      <c r="BS368" s="106" t="str">
        <f>IF(A368&lt;&gt;"",VLOOKUP(A368,MarketData!$D:$BP,MATCH($BS$1,MarketData!$D$1:$EG$1,0),TRUE),"")</f>
        <v/>
      </c>
      <c r="BT368" s="98" t="str">
        <f t="shared" si="143"/>
        <v/>
      </c>
    </row>
    <row r="369" spans="2:72" x14ac:dyDescent="0.25">
      <c r="B369" s="60" t="str">
        <f t="shared" si="156"/>
        <v/>
      </c>
      <c r="C369" s="3" t="str">
        <f t="shared" si="133"/>
        <v/>
      </c>
      <c r="D369" s="3" t="str">
        <f t="shared" si="134"/>
        <v/>
      </c>
      <c r="E369" s="3" t="str">
        <f t="shared" si="135"/>
        <v/>
      </c>
      <c r="F369" s="3" t="str">
        <f t="shared" si="136"/>
        <v/>
      </c>
      <c r="G369" s="74" t="str">
        <f t="shared" si="137"/>
        <v/>
      </c>
      <c r="H369" s="78" t="str">
        <f>IFERROR(C369/SUM(M$2:M368),"")</f>
        <v/>
      </c>
      <c r="I369" s="61" t="str">
        <f>IFERROR(D369/SUM(N$2:N369),"")</f>
        <v/>
      </c>
      <c r="J369" s="61" t="str">
        <f>IFERROR(E369/SUM(O$2:O369),"")</f>
        <v/>
      </c>
      <c r="K369" s="61" t="str">
        <f>IFERROR(F369/SUM(P$2:P369),"")</f>
        <v/>
      </c>
      <c r="L369" s="79" t="str">
        <f>IFERROR(G369/SUM(Q$2:Q369),"")</f>
        <v/>
      </c>
      <c r="M369" s="64" t="str">
        <f t="shared" si="138"/>
        <v/>
      </c>
      <c r="N369" s="55" t="str">
        <f t="shared" si="139"/>
        <v/>
      </c>
      <c r="O369" s="55" t="str">
        <f t="shared" si="140"/>
        <v/>
      </c>
      <c r="P369" s="55" t="str">
        <f t="shared" si="141"/>
        <v/>
      </c>
      <c r="Q369" s="65" t="str">
        <f t="shared" si="142"/>
        <v/>
      </c>
      <c r="R369" s="67" t="str">
        <f t="shared" si="144"/>
        <v/>
      </c>
      <c r="S369" s="56" t="str">
        <f t="shared" si="145"/>
        <v/>
      </c>
      <c r="T369" s="56" t="str">
        <f t="shared" si="146"/>
        <v/>
      </c>
      <c r="U369" s="56" t="str">
        <f t="shared" si="147"/>
        <v/>
      </c>
      <c r="V369" s="68" t="str">
        <f t="shared" si="148"/>
        <v/>
      </c>
      <c r="W369" s="80" t="str">
        <f t="shared" si="149"/>
        <v/>
      </c>
      <c r="X369" s="81" t="str">
        <f t="shared" si="150"/>
        <v/>
      </c>
      <c r="Y369" s="81" t="str">
        <f t="shared" si="151"/>
        <v/>
      </c>
      <c r="Z369" s="81" t="str">
        <f t="shared" si="152"/>
        <v/>
      </c>
      <c r="AA369" s="82" t="str">
        <f t="shared" si="153"/>
        <v/>
      </c>
      <c r="AB369" s="83" t="str">
        <f>IF(R369&lt;&gt;"",(W369-SUMPRODUCT(R$3:R369,$B$3:$B369)/SUM($B$3:$B369))/STDEVA(W359:W369),"")</f>
        <v/>
      </c>
      <c r="AC369" s="84" t="str">
        <f>IF(S369&lt;&gt;"",(X369-SUMPRODUCT(S$3:S369,$B$3:$B369)/SUM($B$3:$B369))/STDEVA(X359:X369),"")</f>
        <v/>
      </c>
      <c r="AD369" s="84" t="str">
        <f>IF(T369&lt;&gt;"",(Y369-SUMPRODUCT(T$3:T369,$B$3:$B369)/SUM($B$3:$B369))/STDEVA(Y359:Y369),"")</f>
        <v/>
      </c>
      <c r="AE369" s="84" t="str">
        <f>IF(U369&lt;&gt;"",(Z369-SUMPRODUCT(U$3:U369,$B$3:$B369)/SUM($B$3:$B369))/STDEVA(Z359:Z369),"")</f>
        <v/>
      </c>
      <c r="AF369" s="85" t="str">
        <f>IF(V369&lt;&gt;"",(AA369-SUMPRODUCT(V$3:V369,$B$3:$B369)/SUM($B$3:$B369))/STDEVA(AA359:AA369),"")</f>
        <v/>
      </c>
      <c r="AG369" s="90" t="str">
        <f t="shared" si="154"/>
        <v/>
      </c>
      <c r="AH369" s="90" t="str">
        <f t="shared" si="154"/>
        <v/>
      </c>
      <c r="AI369" s="90" t="str">
        <f t="shared" si="154"/>
        <v/>
      </c>
      <c r="AJ369" s="90" t="str">
        <f t="shared" si="154"/>
        <v/>
      </c>
      <c r="AK369" s="93" t="str">
        <f t="shared" si="155"/>
        <v/>
      </c>
      <c r="BQ369" s="100" t="str">
        <f>IF(A369&lt;&gt;"",(VLOOKUP(A369,MarketData!$D:$BP,MATCH($BQ$1,MarketData!$D$1:$EG$1,0),TRUE)/100/365+1)^(B369)*BQ368,"")</f>
        <v/>
      </c>
      <c r="BR369" s="98" t="str">
        <f t="shared" si="132"/>
        <v/>
      </c>
      <c r="BS369" s="106" t="str">
        <f>IF(A369&lt;&gt;"",VLOOKUP(A369,MarketData!$D:$BP,MATCH($BS$1,MarketData!$D$1:$EG$1,0),TRUE),"")</f>
        <v/>
      </c>
      <c r="BT369" s="98" t="str">
        <f t="shared" si="143"/>
        <v/>
      </c>
    </row>
    <row r="370" spans="2:72" x14ac:dyDescent="0.25">
      <c r="B370" s="60" t="str">
        <f t="shared" si="156"/>
        <v/>
      </c>
      <c r="C370" s="3" t="str">
        <f t="shared" si="133"/>
        <v/>
      </c>
      <c r="D370" s="3" t="str">
        <f t="shared" si="134"/>
        <v/>
      </c>
      <c r="E370" s="3" t="str">
        <f t="shared" si="135"/>
        <v/>
      </c>
      <c r="F370" s="3" t="str">
        <f t="shared" si="136"/>
        <v/>
      </c>
      <c r="G370" s="74" t="str">
        <f t="shared" si="137"/>
        <v/>
      </c>
      <c r="H370" s="78" t="str">
        <f>IFERROR(C370/SUM(M$2:M369),"")</f>
        <v/>
      </c>
      <c r="I370" s="61" t="str">
        <f>IFERROR(D370/SUM(N$2:N370),"")</f>
        <v/>
      </c>
      <c r="J370" s="61" t="str">
        <f>IFERROR(E370/SUM(O$2:O370),"")</f>
        <v/>
      </c>
      <c r="K370" s="61" t="str">
        <f>IFERROR(F370/SUM(P$2:P370),"")</f>
        <v/>
      </c>
      <c r="L370" s="79" t="str">
        <f>IFERROR(G370/SUM(Q$2:Q370),"")</f>
        <v/>
      </c>
      <c r="M370" s="64" t="str">
        <f t="shared" si="138"/>
        <v/>
      </c>
      <c r="N370" s="55" t="str">
        <f t="shared" si="139"/>
        <v/>
      </c>
      <c r="O370" s="55" t="str">
        <f t="shared" si="140"/>
        <v/>
      </c>
      <c r="P370" s="55" t="str">
        <f t="shared" si="141"/>
        <v/>
      </c>
      <c r="Q370" s="65" t="str">
        <f t="shared" si="142"/>
        <v/>
      </c>
      <c r="R370" s="67" t="str">
        <f t="shared" si="144"/>
        <v/>
      </c>
      <c r="S370" s="56" t="str">
        <f t="shared" si="145"/>
        <v/>
      </c>
      <c r="T370" s="56" t="str">
        <f t="shared" si="146"/>
        <v/>
      </c>
      <c r="U370" s="56" t="str">
        <f t="shared" si="147"/>
        <v/>
      </c>
      <c r="V370" s="68" t="str">
        <f t="shared" si="148"/>
        <v/>
      </c>
      <c r="W370" s="80" t="str">
        <f t="shared" si="149"/>
        <v/>
      </c>
      <c r="X370" s="81" t="str">
        <f t="shared" si="150"/>
        <v/>
      </c>
      <c r="Y370" s="81" t="str">
        <f t="shared" si="151"/>
        <v/>
      </c>
      <c r="Z370" s="81" t="str">
        <f t="shared" si="152"/>
        <v/>
      </c>
      <c r="AA370" s="82" t="str">
        <f t="shared" si="153"/>
        <v/>
      </c>
      <c r="AB370" s="83" t="str">
        <f>IF(R370&lt;&gt;"",(W370-SUMPRODUCT(R$3:R370,$B$3:$B370)/SUM($B$3:$B370))/STDEVA(W360:W370),"")</f>
        <v/>
      </c>
      <c r="AC370" s="84" t="str">
        <f>IF(S370&lt;&gt;"",(X370-SUMPRODUCT(S$3:S370,$B$3:$B370)/SUM($B$3:$B370))/STDEVA(X360:X370),"")</f>
        <v/>
      </c>
      <c r="AD370" s="84" t="str">
        <f>IF(T370&lt;&gt;"",(Y370-SUMPRODUCT(T$3:T370,$B$3:$B370)/SUM($B$3:$B370))/STDEVA(Y360:Y370),"")</f>
        <v/>
      </c>
      <c r="AE370" s="84" t="str">
        <f>IF(U370&lt;&gt;"",(Z370-SUMPRODUCT(U$3:U370,$B$3:$B370)/SUM($B$3:$B370))/STDEVA(Z360:Z370),"")</f>
        <v/>
      </c>
      <c r="AF370" s="85" t="str">
        <f>IF(V370&lt;&gt;"",(AA370-SUMPRODUCT(V$3:V370,$B$3:$B370)/SUM($B$3:$B370))/STDEVA(AA360:AA370),"")</f>
        <v/>
      </c>
      <c r="AG370" s="90" t="str">
        <f t="shared" si="154"/>
        <v/>
      </c>
      <c r="AH370" s="90" t="str">
        <f t="shared" si="154"/>
        <v/>
      </c>
      <c r="AI370" s="90" t="str">
        <f t="shared" si="154"/>
        <v/>
      </c>
      <c r="AJ370" s="90" t="str">
        <f t="shared" si="154"/>
        <v/>
      </c>
      <c r="AK370" s="93" t="str">
        <f t="shared" si="155"/>
        <v/>
      </c>
      <c r="BQ370" s="100" t="str">
        <f>IF(A370&lt;&gt;"",(VLOOKUP(A370,MarketData!$D:$BP,MATCH($BQ$1,MarketData!$D$1:$EG$1,0),TRUE)/100/365+1)^(B370)*BQ369,"")</f>
        <v/>
      </c>
      <c r="BR370" s="98" t="str">
        <f t="shared" si="132"/>
        <v/>
      </c>
      <c r="BS370" s="106" t="str">
        <f>IF(A370&lt;&gt;"",VLOOKUP(A370,MarketData!$D:$BP,MATCH($BS$1,MarketData!$D$1:$EG$1,0),TRUE),"")</f>
        <v/>
      </c>
      <c r="BT370" s="98" t="str">
        <f t="shared" si="143"/>
        <v/>
      </c>
    </row>
    <row r="371" spans="2:72" x14ac:dyDescent="0.25">
      <c r="B371" s="60" t="str">
        <f t="shared" si="156"/>
        <v/>
      </c>
      <c r="C371" s="3" t="str">
        <f t="shared" si="133"/>
        <v/>
      </c>
      <c r="D371" s="3" t="str">
        <f t="shared" si="134"/>
        <v/>
      </c>
      <c r="E371" s="3" t="str">
        <f t="shared" si="135"/>
        <v/>
      </c>
      <c r="F371" s="3" t="str">
        <f t="shared" si="136"/>
        <v/>
      </c>
      <c r="G371" s="74" t="str">
        <f t="shared" si="137"/>
        <v/>
      </c>
      <c r="H371" s="78" t="str">
        <f>IFERROR(C371/SUM(M$2:M370),"")</f>
        <v/>
      </c>
      <c r="I371" s="61" t="str">
        <f>IFERROR(D371/SUM(N$2:N371),"")</f>
        <v/>
      </c>
      <c r="J371" s="61" t="str">
        <f>IFERROR(E371/SUM(O$2:O371),"")</f>
        <v/>
      </c>
      <c r="K371" s="61" t="str">
        <f>IFERROR(F371/SUM(P$2:P371),"")</f>
        <v/>
      </c>
      <c r="L371" s="79" t="str">
        <f>IFERROR(G371/SUM(Q$2:Q371),"")</f>
        <v/>
      </c>
      <c r="M371" s="64" t="str">
        <f t="shared" si="138"/>
        <v/>
      </c>
      <c r="N371" s="55" t="str">
        <f t="shared" si="139"/>
        <v/>
      </c>
      <c r="O371" s="55" t="str">
        <f t="shared" si="140"/>
        <v/>
      </c>
      <c r="P371" s="55" t="str">
        <f t="shared" si="141"/>
        <v/>
      </c>
      <c r="Q371" s="65" t="str">
        <f t="shared" si="142"/>
        <v/>
      </c>
      <c r="R371" s="67" t="str">
        <f t="shared" si="144"/>
        <v/>
      </c>
      <c r="S371" s="56" t="str">
        <f t="shared" si="145"/>
        <v/>
      </c>
      <c r="T371" s="56" t="str">
        <f t="shared" si="146"/>
        <v/>
      </c>
      <c r="U371" s="56" t="str">
        <f t="shared" si="147"/>
        <v/>
      </c>
      <c r="V371" s="68" t="str">
        <f t="shared" si="148"/>
        <v/>
      </c>
      <c r="W371" s="80" t="str">
        <f t="shared" si="149"/>
        <v/>
      </c>
      <c r="X371" s="81" t="str">
        <f t="shared" si="150"/>
        <v/>
      </c>
      <c r="Y371" s="81" t="str">
        <f t="shared" si="151"/>
        <v/>
      </c>
      <c r="Z371" s="81" t="str">
        <f t="shared" si="152"/>
        <v/>
      </c>
      <c r="AA371" s="82" t="str">
        <f t="shared" si="153"/>
        <v/>
      </c>
      <c r="AB371" s="83" t="str">
        <f>IF(R371&lt;&gt;"",(W371-SUMPRODUCT(R$3:R371,$B$3:$B371)/SUM($B$3:$B371))/STDEVA(W361:W371),"")</f>
        <v/>
      </c>
      <c r="AC371" s="84" t="str">
        <f>IF(S371&lt;&gt;"",(X371-SUMPRODUCT(S$3:S371,$B$3:$B371)/SUM($B$3:$B371))/STDEVA(X361:X371),"")</f>
        <v/>
      </c>
      <c r="AD371" s="84" t="str">
        <f>IF(T371&lt;&gt;"",(Y371-SUMPRODUCT(T$3:T371,$B$3:$B371)/SUM($B$3:$B371))/STDEVA(Y361:Y371),"")</f>
        <v/>
      </c>
      <c r="AE371" s="84" t="str">
        <f>IF(U371&lt;&gt;"",(Z371-SUMPRODUCT(U$3:U371,$B$3:$B371)/SUM($B$3:$B371))/STDEVA(Z361:Z371),"")</f>
        <v/>
      </c>
      <c r="AF371" s="85" t="str">
        <f>IF(V371&lt;&gt;"",(AA371-SUMPRODUCT(V$3:V371,$B$3:$B371)/SUM($B$3:$B371))/STDEVA(AA361:AA371),"")</f>
        <v/>
      </c>
      <c r="AG371" s="90" t="str">
        <f t="shared" si="154"/>
        <v/>
      </c>
      <c r="AH371" s="90" t="str">
        <f t="shared" si="154"/>
        <v/>
      </c>
      <c r="AI371" s="90" t="str">
        <f t="shared" si="154"/>
        <v/>
      </c>
      <c r="AJ371" s="90" t="str">
        <f t="shared" si="154"/>
        <v/>
      </c>
      <c r="AK371" s="93" t="str">
        <f t="shared" si="155"/>
        <v/>
      </c>
      <c r="BQ371" s="100" t="str">
        <f>IF(A371&lt;&gt;"",(VLOOKUP(A371,MarketData!$D:$BP,MATCH($BQ$1,MarketData!$D$1:$EG$1,0),TRUE)/100/365+1)^(B371)*BQ370,"")</f>
        <v/>
      </c>
      <c r="BR371" s="98" t="str">
        <f t="shared" si="132"/>
        <v/>
      </c>
      <c r="BS371" s="106" t="str">
        <f>IF(A371&lt;&gt;"",VLOOKUP(A371,MarketData!$D:$BP,MATCH($BS$1,MarketData!$D$1:$EG$1,0),TRUE),"")</f>
        <v/>
      </c>
      <c r="BT371" s="98" t="str">
        <f t="shared" si="143"/>
        <v/>
      </c>
    </row>
    <row r="372" spans="2:72" x14ac:dyDescent="0.25">
      <c r="B372" s="60" t="str">
        <f t="shared" si="156"/>
        <v/>
      </c>
      <c r="C372" s="3" t="str">
        <f t="shared" si="133"/>
        <v/>
      </c>
      <c r="D372" s="3" t="str">
        <f t="shared" si="134"/>
        <v/>
      </c>
      <c r="E372" s="3" t="str">
        <f t="shared" si="135"/>
        <v/>
      </c>
      <c r="F372" s="3" t="str">
        <f t="shared" si="136"/>
        <v/>
      </c>
      <c r="G372" s="74" t="str">
        <f t="shared" si="137"/>
        <v/>
      </c>
      <c r="H372" s="78" t="str">
        <f>IFERROR(C372/SUM(M$2:M371),"")</f>
        <v/>
      </c>
      <c r="I372" s="61" t="str">
        <f>IFERROR(D372/SUM(N$2:N372),"")</f>
        <v/>
      </c>
      <c r="J372" s="61" t="str">
        <f>IFERROR(E372/SUM(O$2:O372),"")</f>
        <v/>
      </c>
      <c r="K372" s="61" t="str">
        <f>IFERROR(F372/SUM(P$2:P372),"")</f>
        <v/>
      </c>
      <c r="L372" s="79" t="str">
        <f>IFERROR(G372/SUM(Q$2:Q372),"")</f>
        <v/>
      </c>
      <c r="M372" s="64" t="str">
        <f t="shared" si="138"/>
        <v/>
      </c>
      <c r="N372" s="55" t="str">
        <f t="shared" si="139"/>
        <v/>
      </c>
      <c r="O372" s="55" t="str">
        <f t="shared" si="140"/>
        <v/>
      </c>
      <c r="P372" s="55" t="str">
        <f t="shared" si="141"/>
        <v/>
      </c>
      <c r="Q372" s="65" t="str">
        <f t="shared" si="142"/>
        <v/>
      </c>
      <c r="R372" s="67" t="str">
        <f t="shared" si="144"/>
        <v/>
      </c>
      <c r="S372" s="56" t="str">
        <f t="shared" si="145"/>
        <v/>
      </c>
      <c r="T372" s="56" t="str">
        <f t="shared" si="146"/>
        <v/>
      </c>
      <c r="U372" s="56" t="str">
        <f t="shared" si="147"/>
        <v/>
      </c>
      <c r="V372" s="68" t="str">
        <f t="shared" si="148"/>
        <v/>
      </c>
      <c r="W372" s="80" t="str">
        <f t="shared" si="149"/>
        <v/>
      </c>
      <c r="X372" s="81" t="str">
        <f t="shared" si="150"/>
        <v/>
      </c>
      <c r="Y372" s="81" t="str">
        <f t="shared" si="151"/>
        <v/>
      </c>
      <c r="Z372" s="81" t="str">
        <f t="shared" si="152"/>
        <v/>
      </c>
      <c r="AA372" s="82" t="str">
        <f t="shared" si="153"/>
        <v/>
      </c>
      <c r="AB372" s="83" t="str">
        <f>IF(R372&lt;&gt;"",(W372-SUMPRODUCT(R$3:R372,$B$3:$B372)/SUM($B$3:$B372))/STDEVA(W362:W372),"")</f>
        <v/>
      </c>
      <c r="AC372" s="84" t="str">
        <f>IF(S372&lt;&gt;"",(X372-SUMPRODUCT(S$3:S372,$B$3:$B372)/SUM($B$3:$B372))/STDEVA(X362:X372),"")</f>
        <v/>
      </c>
      <c r="AD372" s="84" t="str">
        <f>IF(T372&lt;&gt;"",(Y372-SUMPRODUCT(T$3:T372,$B$3:$B372)/SUM($B$3:$B372))/STDEVA(Y362:Y372),"")</f>
        <v/>
      </c>
      <c r="AE372" s="84" t="str">
        <f>IF(U372&lt;&gt;"",(Z372-SUMPRODUCT(U$3:U372,$B$3:$B372)/SUM($B$3:$B372))/STDEVA(Z362:Z372),"")</f>
        <v/>
      </c>
      <c r="AF372" s="85" t="str">
        <f>IF(V372&lt;&gt;"",(AA372-SUMPRODUCT(V$3:V372,$B$3:$B372)/SUM($B$3:$B372))/STDEVA(AA362:AA372),"")</f>
        <v/>
      </c>
      <c r="AG372" s="90" t="str">
        <f t="shared" si="154"/>
        <v/>
      </c>
      <c r="AH372" s="90" t="str">
        <f t="shared" si="154"/>
        <v/>
      </c>
      <c r="AI372" s="90" t="str">
        <f t="shared" si="154"/>
        <v/>
      </c>
      <c r="AJ372" s="90" t="str">
        <f t="shared" si="154"/>
        <v/>
      </c>
      <c r="AK372" s="93" t="str">
        <f t="shared" si="155"/>
        <v/>
      </c>
      <c r="BQ372" s="100" t="str">
        <f>IF(A372&lt;&gt;"",(VLOOKUP(A372,MarketData!$D:$BP,MATCH($BQ$1,MarketData!$D$1:$EG$1,0),TRUE)/100/365+1)^(B372)*BQ371,"")</f>
        <v/>
      </c>
      <c r="BR372" s="98" t="str">
        <f t="shared" si="132"/>
        <v/>
      </c>
      <c r="BS372" s="106" t="str">
        <f>IF(A372&lt;&gt;"",VLOOKUP(A372,MarketData!$D:$BP,MATCH($BS$1,MarketData!$D$1:$EG$1,0),TRUE),"")</f>
        <v/>
      </c>
      <c r="BT372" s="98" t="str">
        <f t="shared" si="143"/>
        <v/>
      </c>
    </row>
    <row r="373" spans="2:72" x14ac:dyDescent="0.25">
      <c r="B373" s="60" t="str">
        <f t="shared" si="156"/>
        <v/>
      </c>
      <c r="C373" s="3" t="str">
        <f t="shared" si="133"/>
        <v/>
      </c>
      <c r="D373" s="3" t="str">
        <f t="shared" si="134"/>
        <v/>
      </c>
      <c r="E373" s="3" t="str">
        <f t="shared" si="135"/>
        <v/>
      </c>
      <c r="F373" s="3" t="str">
        <f t="shared" si="136"/>
        <v/>
      </c>
      <c r="G373" s="74" t="str">
        <f t="shared" si="137"/>
        <v/>
      </c>
      <c r="H373" s="78" t="str">
        <f>IFERROR(C373/SUM(M$2:M372),"")</f>
        <v/>
      </c>
      <c r="I373" s="61" t="str">
        <f>IFERROR(D373/SUM(N$2:N373),"")</f>
        <v/>
      </c>
      <c r="J373" s="61" t="str">
        <f>IFERROR(E373/SUM(O$2:O373),"")</f>
        <v/>
      </c>
      <c r="K373" s="61" t="str">
        <f>IFERROR(F373/SUM(P$2:P373),"")</f>
        <v/>
      </c>
      <c r="L373" s="79" t="str">
        <f>IFERROR(G373/SUM(Q$2:Q373),"")</f>
        <v/>
      </c>
      <c r="M373" s="64" t="str">
        <f t="shared" si="138"/>
        <v/>
      </c>
      <c r="N373" s="55" t="str">
        <f t="shared" si="139"/>
        <v/>
      </c>
      <c r="O373" s="55" t="str">
        <f t="shared" si="140"/>
        <v/>
      </c>
      <c r="P373" s="55" t="str">
        <f t="shared" si="141"/>
        <v/>
      </c>
      <c r="Q373" s="65" t="str">
        <f t="shared" si="142"/>
        <v/>
      </c>
      <c r="R373" s="67" t="str">
        <f t="shared" si="144"/>
        <v/>
      </c>
      <c r="S373" s="56" t="str">
        <f t="shared" si="145"/>
        <v/>
      </c>
      <c r="T373" s="56" t="str">
        <f t="shared" si="146"/>
        <v/>
      </c>
      <c r="U373" s="56" t="str">
        <f t="shared" si="147"/>
        <v/>
      </c>
      <c r="V373" s="68" t="str">
        <f t="shared" si="148"/>
        <v/>
      </c>
      <c r="W373" s="80" t="str">
        <f t="shared" si="149"/>
        <v/>
      </c>
      <c r="X373" s="81" t="str">
        <f t="shared" si="150"/>
        <v/>
      </c>
      <c r="Y373" s="81" t="str">
        <f t="shared" si="151"/>
        <v/>
      </c>
      <c r="Z373" s="81" t="str">
        <f t="shared" si="152"/>
        <v/>
      </c>
      <c r="AA373" s="82" t="str">
        <f t="shared" si="153"/>
        <v/>
      </c>
      <c r="AB373" s="83" t="str">
        <f>IF(R373&lt;&gt;"",(W373-SUMPRODUCT(R$3:R373,$B$3:$B373)/SUM($B$3:$B373))/STDEVA(W363:W373),"")</f>
        <v/>
      </c>
      <c r="AC373" s="84" t="str">
        <f>IF(S373&lt;&gt;"",(X373-SUMPRODUCT(S$3:S373,$B$3:$B373)/SUM($B$3:$B373))/STDEVA(X363:X373),"")</f>
        <v/>
      </c>
      <c r="AD373" s="84" t="str">
        <f>IF(T373&lt;&gt;"",(Y373-SUMPRODUCT(T$3:T373,$B$3:$B373)/SUM($B$3:$B373))/STDEVA(Y363:Y373),"")</f>
        <v/>
      </c>
      <c r="AE373" s="84" t="str">
        <f>IF(U373&lt;&gt;"",(Z373-SUMPRODUCT(U$3:U373,$B$3:$B373)/SUM($B$3:$B373))/STDEVA(Z363:Z373),"")</f>
        <v/>
      </c>
      <c r="AF373" s="85" t="str">
        <f>IF(V373&lt;&gt;"",(AA373-SUMPRODUCT(V$3:V373,$B$3:$B373)/SUM($B$3:$B373))/STDEVA(AA363:AA373),"")</f>
        <v/>
      </c>
      <c r="AG373" s="90" t="str">
        <f t="shared" si="154"/>
        <v/>
      </c>
      <c r="AH373" s="90" t="str">
        <f t="shared" si="154"/>
        <v/>
      </c>
      <c r="AI373" s="90" t="str">
        <f t="shared" si="154"/>
        <v/>
      </c>
      <c r="AJ373" s="90" t="str">
        <f t="shared" si="154"/>
        <v/>
      </c>
      <c r="AK373" s="93" t="str">
        <f t="shared" si="155"/>
        <v/>
      </c>
      <c r="BQ373" s="100" t="str">
        <f>IF(A373&lt;&gt;"",(VLOOKUP(A373,MarketData!$D:$BP,MATCH($BQ$1,MarketData!$D$1:$EG$1,0),TRUE)/100/365+1)^(B373)*BQ372,"")</f>
        <v/>
      </c>
      <c r="BR373" s="98" t="str">
        <f t="shared" si="132"/>
        <v/>
      </c>
      <c r="BS373" s="106" t="str">
        <f>IF(A373&lt;&gt;"",VLOOKUP(A373,MarketData!$D:$BP,MATCH($BS$1,MarketData!$D$1:$EG$1,0),TRUE),"")</f>
        <v/>
      </c>
      <c r="BT373" s="98" t="str">
        <f t="shared" si="143"/>
        <v/>
      </c>
    </row>
    <row r="374" spans="2:72" x14ac:dyDescent="0.25">
      <c r="B374" s="60" t="str">
        <f t="shared" si="156"/>
        <v/>
      </c>
      <c r="C374" s="3" t="str">
        <f t="shared" si="133"/>
        <v/>
      </c>
      <c r="D374" s="3" t="str">
        <f t="shared" si="134"/>
        <v/>
      </c>
      <c r="E374" s="3" t="str">
        <f t="shared" si="135"/>
        <v/>
      </c>
      <c r="F374" s="3" t="str">
        <f t="shared" si="136"/>
        <v/>
      </c>
      <c r="G374" s="74" t="str">
        <f t="shared" si="137"/>
        <v/>
      </c>
      <c r="H374" s="78" t="str">
        <f>IFERROR(C374/SUM(M$2:M373),"")</f>
        <v/>
      </c>
      <c r="I374" s="61" t="str">
        <f>IFERROR(D374/SUM(N$2:N374),"")</f>
        <v/>
      </c>
      <c r="J374" s="61" t="str">
        <f>IFERROR(E374/SUM(O$2:O374),"")</f>
        <v/>
      </c>
      <c r="K374" s="61" t="str">
        <f>IFERROR(F374/SUM(P$2:P374),"")</f>
        <v/>
      </c>
      <c r="L374" s="79" t="str">
        <f>IFERROR(G374/SUM(Q$2:Q374),"")</f>
        <v/>
      </c>
      <c r="M374" s="64" t="str">
        <f t="shared" si="138"/>
        <v/>
      </c>
      <c r="N374" s="55" t="str">
        <f t="shared" si="139"/>
        <v/>
      </c>
      <c r="O374" s="55" t="str">
        <f t="shared" si="140"/>
        <v/>
      </c>
      <c r="P374" s="55" t="str">
        <f t="shared" si="141"/>
        <v/>
      </c>
      <c r="Q374" s="65" t="str">
        <f t="shared" si="142"/>
        <v/>
      </c>
      <c r="R374" s="67" t="str">
        <f t="shared" si="144"/>
        <v/>
      </c>
      <c r="S374" s="56" t="str">
        <f t="shared" si="145"/>
        <v/>
      </c>
      <c r="T374" s="56" t="str">
        <f t="shared" si="146"/>
        <v/>
      </c>
      <c r="U374" s="56" t="str">
        <f t="shared" si="147"/>
        <v/>
      </c>
      <c r="V374" s="68" t="str">
        <f t="shared" si="148"/>
        <v/>
      </c>
      <c r="W374" s="80" t="str">
        <f t="shared" si="149"/>
        <v/>
      </c>
      <c r="X374" s="81" t="str">
        <f t="shared" si="150"/>
        <v/>
      </c>
      <c r="Y374" s="81" t="str">
        <f t="shared" si="151"/>
        <v/>
      </c>
      <c r="Z374" s="81" t="str">
        <f t="shared" si="152"/>
        <v/>
      </c>
      <c r="AA374" s="82" t="str">
        <f t="shared" si="153"/>
        <v/>
      </c>
      <c r="AB374" s="83" t="str">
        <f>IF(R374&lt;&gt;"",(W374-SUMPRODUCT(R$3:R374,$B$3:$B374)/SUM($B$3:$B374))/STDEVA(W364:W374),"")</f>
        <v/>
      </c>
      <c r="AC374" s="84" t="str">
        <f>IF(S374&lt;&gt;"",(X374-SUMPRODUCT(S$3:S374,$B$3:$B374)/SUM($B$3:$B374))/STDEVA(X364:X374),"")</f>
        <v/>
      </c>
      <c r="AD374" s="84" t="str">
        <f>IF(T374&lt;&gt;"",(Y374-SUMPRODUCT(T$3:T374,$B$3:$B374)/SUM($B$3:$B374))/STDEVA(Y364:Y374),"")</f>
        <v/>
      </c>
      <c r="AE374" s="84" t="str">
        <f>IF(U374&lt;&gt;"",(Z374-SUMPRODUCT(U$3:U374,$B$3:$B374)/SUM($B$3:$B374))/STDEVA(Z364:Z374),"")</f>
        <v/>
      </c>
      <c r="AF374" s="85" t="str">
        <f>IF(V374&lt;&gt;"",(AA374-SUMPRODUCT(V$3:V374,$B$3:$B374)/SUM($B$3:$B374))/STDEVA(AA364:AA374),"")</f>
        <v/>
      </c>
      <c r="AG374" s="90" t="str">
        <f t="shared" si="154"/>
        <v/>
      </c>
      <c r="AH374" s="90" t="str">
        <f t="shared" si="154"/>
        <v/>
      </c>
      <c r="AI374" s="90" t="str">
        <f t="shared" si="154"/>
        <v/>
      </c>
      <c r="AJ374" s="90" t="str">
        <f t="shared" si="154"/>
        <v/>
      </c>
      <c r="AK374" s="93" t="str">
        <f t="shared" si="155"/>
        <v/>
      </c>
      <c r="BQ374" s="100" t="str">
        <f>IF(A374&lt;&gt;"",(VLOOKUP(A374,MarketData!$D:$BP,MATCH($BQ$1,MarketData!$D$1:$EG$1,0),TRUE)/100/365+1)^(B374)*BQ373,"")</f>
        <v/>
      </c>
      <c r="BR374" s="98" t="str">
        <f t="shared" si="132"/>
        <v/>
      </c>
      <c r="BS374" s="106" t="str">
        <f>IF(A374&lt;&gt;"",VLOOKUP(A374,MarketData!$D:$BP,MATCH($BS$1,MarketData!$D$1:$EG$1,0),TRUE),"")</f>
        <v/>
      </c>
      <c r="BT374" s="98" t="str">
        <f t="shared" si="143"/>
        <v/>
      </c>
    </row>
    <row r="375" spans="2:72" x14ac:dyDescent="0.25">
      <c r="B375" s="60" t="str">
        <f t="shared" si="156"/>
        <v/>
      </c>
      <c r="C375" s="3" t="str">
        <f t="shared" si="133"/>
        <v/>
      </c>
      <c r="D375" s="3" t="str">
        <f t="shared" si="134"/>
        <v/>
      </c>
      <c r="E375" s="3" t="str">
        <f t="shared" si="135"/>
        <v/>
      </c>
      <c r="F375" s="3" t="str">
        <f t="shared" si="136"/>
        <v/>
      </c>
      <c r="G375" s="74" t="str">
        <f t="shared" si="137"/>
        <v/>
      </c>
      <c r="H375" s="78" t="str">
        <f>IFERROR(C375/SUM(M$2:M374),"")</f>
        <v/>
      </c>
      <c r="I375" s="61" t="str">
        <f>IFERROR(D375/SUM(N$2:N375),"")</f>
        <v/>
      </c>
      <c r="J375" s="61" t="str">
        <f>IFERROR(E375/SUM(O$2:O375),"")</f>
        <v/>
      </c>
      <c r="K375" s="61" t="str">
        <f>IFERROR(F375/SUM(P$2:P375),"")</f>
        <v/>
      </c>
      <c r="L375" s="79" t="str">
        <f>IFERROR(G375/SUM(Q$2:Q375),"")</f>
        <v/>
      </c>
      <c r="M375" s="64" t="str">
        <f t="shared" si="138"/>
        <v/>
      </c>
      <c r="N375" s="55" t="str">
        <f t="shared" si="139"/>
        <v/>
      </c>
      <c r="O375" s="55" t="str">
        <f t="shared" si="140"/>
        <v/>
      </c>
      <c r="P375" s="55" t="str">
        <f t="shared" si="141"/>
        <v/>
      </c>
      <c r="Q375" s="65" t="str">
        <f t="shared" si="142"/>
        <v/>
      </c>
      <c r="R375" s="67" t="str">
        <f t="shared" si="144"/>
        <v/>
      </c>
      <c r="S375" s="56" t="str">
        <f t="shared" si="145"/>
        <v/>
      </c>
      <c r="T375" s="56" t="str">
        <f t="shared" si="146"/>
        <v/>
      </c>
      <c r="U375" s="56" t="str">
        <f t="shared" si="147"/>
        <v/>
      </c>
      <c r="V375" s="68" t="str">
        <f t="shared" si="148"/>
        <v/>
      </c>
      <c r="W375" s="80" t="str">
        <f t="shared" si="149"/>
        <v/>
      </c>
      <c r="X375" s="81" t="str">
        <f t="shared" si="150"/>
        <v/>
      </c>
      <c r="Y375" s="81" t="str">
        <f t="shared" si="151"/>
        <v/>
      </c>
      <c r="Z375" s="81" t="str">
        <f t="shared" si="152"/>
        <v/>
      </c>
      <c r="AA375" s="82" t="str">
        <f t="shared" si="153"/>
        <v/>
      </c>
      <c r="AB375" s="83" t="str">
        <f>IF(R375&lt;&gt;"",(W375-SUMPRODUCT(R$3:R375,$B$3:$B375)/SUM($B$3:$B375))/STDEVA(W365:W375),"")</f>
        <v/>
      </c>
      <c r="AC375" s="84" t="str">
        <f>IF(S375&lt;&gt;"",(X375-SUMPRODUCT(S$3:S375,$B$3:$B375)/SUM($B$3:$B375))/STDEVA(X365:X375),"")</f>
        <v/>
      </c>
      <c r="AD375" s="84" t="str">
        <f>IF(T375&lt;&gt;"",(Y375-SUMPRODUCT(T$3:T375,$B$3:$B375)/SUM($B$3:$B375))/STDEVA(Y365:Y375),"")</f>
        <v/>
      </c>
      <c r="AE375" s="84" t="str">
        <f>IF(U375&lt;&gt;"",(Z375-SUMPRODUCT(U$3:U375,$B$3:$B375)/SUM($B$3:$B375))/STDEVA(Z365:Z375),"")</f>
        <v/>
      </c>
      <c r="AF375" s="85" t="str">
        <f>IF(V375&lt;&gt;"",(AA375-SUMPRODUCT(V$3:V375,$B$3:$B375)/SUM($B$3:$B375))/STDEVA(AA365:AA375),"")</f>
        <v/>
      </c>
      <c r="AG375" s="90" t="str">
        <f t="shared" si="154"/>
        <v/>
      </c>
      <c r="AH375" s="90" t="str">
        <f t="shared" si="154"/>
        <v/>
      </c>
      <c r="AI375" s="90" t="str">
        <f t="shared" si="154"/>
        <v/>
      </c>
      <c r="AJ375" s="90" t="str">
        <f t="shared" si="154"/>
        <v/>
      </c>
      <c r="AK375" s="93" t="str">
        <f t="shared" si="155"/>
        <v/>
      </c>
      <c r="BQ375" s="100" t="str">
        <f>IF(A375&lt;&gt;"",(VLOOKUP(A375,MarketData!$D:$BP,MATCH($BQ$1,MarketData!$D$1:$EG$1,0),TRUE)/100/365+1)^(B375)*BQ374,"")</f>
        <v/>
      </c>
      <c r="BR375" s="98" t="str">
        <f t="shared" si="132"/>
        <v/>
      </c>
      <c r="BS375" s="106" t="str">
        <f>IF(A375&lt;&gt;"",VLOOKUP(A375,MarketData!$D:$BP,MATCH($BS$1,MarketData!$D$1:$EG$1,0),TRUE),"")</f>
        <v/>
      </c>
      <c r="BT375" s="98" t="str">
        <f t="shared" si="143"/>
        <v/>
      </c>
    </row>
    <row r="376" spans="2:72" x14ac:dyDescent="0.25">
      <c r="B376" s="60" t="str">
        <f t="shared" si="156"/>
        <v/>
      </c>
      <c r="C376" s="3" t="str">
        <f t="shared" si="133"/>
        <v/>
      </c>
      <c r="D376" s="3" t="str">
        <f t="shared" si="134"/>
        <v/>
      </c>
      <c r="E376" s="3" t="str">
        <f t="shared" si="135"/>
        <v/>
      </c>
      <c r="F376" s="3" t="str">
        <f t="shared" si="136"/>
        <v/>
      </c>
      <c r="G376" s="74" t="str">
        <f t="shared" si="137"/>
        <v/>
      </c>
      <c r="H376" s="78" t="str">
        <f>IFERROR(C376/SUM(M$2:M375),"")</f>
        <v/>
      </c>
      <c r="I376" s="61" t="str">
        <f>IFERROR(D376/SUM(N$2:N376),"")</f>
        <v/>
      </c>
      <c r="J376" s="61" t="str">
        <f>IFERROR(E376/SUM(O$2:O376),"")</f>
        <v/>
      </c>
      <c r="K376" s="61" t="str">
        <f>IFERROR(F376/SUM(P$2:P376),"")</f>
        <v/>
      </c>
      <c r="L376" s="79" t="str">
        <f>IFERROR(G376/SUM(Q$2:Q376),"")</f>
        <v/>
      </c>
      <c r="M376" s="64" t="str">
        <f t="shared" si="138"/>
        <v/>
      </c>
      <c r="N376" s="55" t="str">
        <f t="shared" si="139"/>
        <v/>
      </c>
      <c r="O376" s="55" t="str">
        <f t="shared" si="140"/>
        <v/>
      </c>
      <c r="P376" s="55" t="str">
        <f t="shared" si="141"/>
        <v/>
      </c>
      <c r="Q376" s="65" t="str">
        <f t="shared" si="142"/>
        <v/>
      </c>
      <c r="R376" s="67" t="str">
        <f t="shared" si="144"/>
        <v/>
      </c>
      <c r="S376" s="56" t="str">
        <f t="shared" si="145"/>
        <v/>
      </c>
      <c r="T376" s="56" t="str">
        <f t="shared" si="146"/>
        <v/>
      </c>
      <c r="U376" s="56" t="str">
        <f t="shared" si="147"/>
        <v/>
      </c>
      <c r="V376" s="68" t="str">
        <f t="shared" si="148"/>
        <v/>
      </c>
      <c r="W376" s="80" t="str">
        <f t="shared" si="149"/>
        <v/>
      </c>
      <c r="X376" s="81" t="str">
        <f t="shared" si="150"/>
        <v/>
      </c>
      <c r="Y376" s="81" t="str">
        <f t="shared" si="151"/>
        <v/>
      </c>
      <c r="Z376" s="81" t="str">
        <f t="shared" si="152"/>
        <v/>
      </c>
      <c r="AA376" s="82" t="str">
        <f t="shared" si="153"/>
        <v/>
      </c>
      <c r="AB376" s="83" t="str">
        <f>IF(R376&lt;&gt;"",(W376-SUMPRODUCT(R$3:R376,$B$3:$B376)/SUM($B$3:$B376))/STDEVA(W366:W376),"")</f>
        <v/>
      </c>
      <c r="AC376" s="84" t="str">
        <f>IF(S376&lt;&gt;"",(X376-SUMPRODUCT(S$3:S376,$B$3:$B376)/SUM($B$3:$B376))/STDEVA(X366:X376),"")</f>
        <v/>
      </c>
      <c r="AD376" s="84" t="str">
        <f>IF(T376&lt;&gt;"",(Y376-SUMPRODUCT(T$3:T376,$B$3:$B376)/SUM($B$3:$B376))/STDEVA(Y366:Y376),"")</f>
        <v/>
      </c>
      <c r="AE376" s="84" t="str">
        <f>IF(U376&lt;&gt;"",(Z376-SUMPRODUCT(U$3:U376,$B$3:$B376)/SUM($B$3:$B376))/STDEVA(Z366:Z376),"")</f>
        <v/>
      </c>
      <c r="AF376" s="85" t="str">
        <f>IF(V376&lt;&gt;"",(AA376-SUMPRODUCT(V$3:V376,$B$3:$B376)/SUM($B$3:$B376))/STDEVA(AA366:AA376),"")</f>
        <v/>
      </c>
      <c r="AG376" s="90" t="str">
        <f t="shared" si="154"/>
        <v/>
      </c>
      <c r="AH376" s="90" t="str">
        <f t="shared" si="154"/>
        <v/>
      </c>
      <c r="AI376" s="90" t="str">
        <f t="shared" si="154"/>
        <v/>
      </c>
      <c r="AJ376" s="90" t="str">
        <f t="shared" si="154"/>
        <v/>
      </c>
      <c r="AK376" s="93" t="str">
        <f t="shared" si="155"/>
        <v/>
      </c>
      <c r="BQ376" s="100" t="str">
        <f>IF(A376&lt;&gt;"",(VLOOKUP(A376,MarketData!$D:$BP,MATCH($BQ$1,MarketData!$D$1:$EG$1,0),TRUE)/100/365+1)^(B376)*BQ375,"")</f>
        <v/>
      </c>
      <c r="BR376" s="98" t="str">
        <f t="shared" si="132"/>
        <v/>
      </c>
      <c r="BS376" s="106" t="str">
        <f>IF(A376&lt;&gt;"",VLOOKUP(A376,MarketData!$D:$BP,MATCH($BS$1,MarketData!$D$1:$EG$1,0),TRUE),"")</f>
        <v/>
      </c>
      <c r="BT376" s="98" t="str">
        <f t="shared" si="143"/>
        <v/>
      </c>
    </row>
    <row r="377" spans="2:72" x14ac:dyDescent="0.25">
      <c r="B377" s="60" t="str">
        <f t="shared" si="156"/>
        <v/>
      </c>
      <c r="C377" s="3" t="str">
        <f t="shared" si="133"/>
        <v/>
      </c>
      <c r="D377" s="3" t="str">
        <f t="shared" si="134"/>
        <v/>
      </c>
      <c r="E377" s="3" t="str">
        <f t="shared" si="135"/>
        <v/>
      </c>
      <c r="F377" s="3" t="str">
        <f t="shared" si="136"/>
        <v/>
      </c>
      <c r="G377" s="74" t="str">
        <f t="shared" si="137"/>
        <v/>
      </c>
      <c r="H377" s="78" t="str">
        <f>IFERROR(C377/SUM(M$2:M376),"")</f>
        <v/>
      </c>
      <c r="I377" s="61" t="str">
        <f>IFERROR(D377/SUM(N$2:N377),"")</f>
        <v/>
      </c>
      <c r="J377" s="61" t="str">
        <f>IFERROR(E377/SUM(O$2:O377),"")</f>
        <v/>
      </c>
      <c r="K377" s="61" t="str">
        <f>IFERROR(F377/SUM(P$2:P377),"")</f>
        <v/>
      </c>
      <c r="L377" s="79" t="str">
        <f>IFERROR(G377/SUM(Q$2:Q377),"")</f>
        <v/>
      </c>
      <c r="M377" s="64" t="str">
        <f t="shared" si="138"/>
        <v/>
      </c>
      <c r="N377" s="55" t="str">
        <f t="shared" si="139"/>
        <v/>
      </c>
      <c r="O377" s="55" t="str">
        <f t="shared" si="140"/>
        <v/>
      </c>
      <c r="P377" s="55" t="str">
        <f t="shared" si="141"/>
        <v/>
      </c>
      <c r="Q377" s="65" t="str">
        <f t="shared" si="142"/>
        <v/>
      </c>
      <c r="R377" s="67" t="str">
        <f t="shared" si="144"/>
        <v/>
      </c>
      <c r="S377" s="56" t="str">
        <f t="shared" si="145"/>
        <v/>
      </c>
      <c r="T377" s="56" t="str">
        <f t="shared" si="146"/>
        <v/>
      </c>
      <c r="U377" s="56" t="str">
        <f t="shared" si="147"/>
        <v/>
      </c>
      <c r="V377" s="68" t="str">
        <f t="shared" si="148"/>
        <v/>
      </c>
      <c r="W377" s="80" t="str">
        <f t="shared" si="149"/>
        <v/>
      </c>
      <c r="X377" s="81" t="str">
        <f t="shared" si="150"/>
        <v/>
      </c>
      <c r="Y377" s="81" t="str">
        <f t="shared" si="151"/>
        <v/>
      </c>
      <c r="Z377" s="81" t="str">
        <f t="shared" si="152"/>
        <v/>
      </c>
      <c r="AA377" s="82" t="str">
        <f t="shared" si="153"/>
        <v/>
      </c>
      <c r="AB377" s="83" t="str">
        <f>IF(R377&lt;&gt;"",(W377-SUMPRODUCT(R$3:R377,$B$3:$B377)/SUM($B$3:$B377))/STDEVA(W367:W377),"")</f>
        <v/>
      </c>
      <c r="AC377" s="84" t="str">
        <f>IF(S377&lt;&gt;"",(X377-SUMPRODUCT(S$3:S377,$B$3:$B377)/SUM($B$3:$B377))/STDEVA(X367:X377),"")</f>
        <v/>
      </c>
      <c r="AD377" s="84" t="str">
        <f>IF(T377&lt;&gt;"",(Y377-SUMPRODUCT(T$3:T377,$B$3:$B377)/SUM($B$3:$B377))/STDEVA(Y367:Y377),"")</f>
        <v/>
      </c>
      <c r="AE377" s="84" t="str">
        <f>IF(U377&lt;&gt;"",(Z377-SUMPRODUCT(U$3:U377,$B$3:$B377)/SUM($B$3:$B377))/STDEVA(Z367:Z377),"")</f>
        <v/>
      </c>
      <c r="AF377" s="85" t="str">
        <f>IF(V377&lt;&gt;"",(AA377-SUMPRODUCT(V$3:V377,$B$3:$B377)/SUM($B$3:$B377))/STDEVA(AA367:AA377),"")</f>
        <v/>
      </c>
      <c r="AG377" s="90" t="str">
        <f t="shared" si="154"/>
        <v/>
      </c>
      <c r="AH377" s="90" t="str">
        <f t="shared" si="154"/>
        <v/>
      </c>
      <c r="AI377" s="90" t="str">
        <f t="shared" si="154"/>
        <v/>
      </c>
      <c r="AJ377" s="90" t="str">
        <f t="shared" si="154"/>
        <v/>
      </c>
      <c r="AK377" s="93" t="str">
        <f t="shared" si="155"/>
        <v/>
      </c>
      <c r="BQ377" s="100" t="str">
        <f>IF(A377&lt;&gt;"",(VLOOKUP(A377,MarketData!$D:$BP,MATCH($BQ$1,MarketData!$D$1:$EG$1,0),TRUE)/100/365+1)^(B377)*BQ376,"")</f>
        <v/>
      </c>
      <c r="BR377" s="98" t="str">
        <f t="shared" si="132"/>
        <v/>
      </c>
      <c r="BS377" s="106" t="str">
        <f>IF(A377&lt;&gt;"",VLOOKUP(A377,MarketData!$D:$BP,MATCH($BS$1,MarketData!$D$1:$EG$1,0),TRUE),"")</f>
        <v/>
      </c>
      <c r="BT377" s="98" t="str">
        <f t="shared" si="143"/>
        <v/>
      </c>
    </row>
    <row r="378" spans="2:72" x14ac:dyDescent="0.25">
      <c r="B378" s="60" t="str">
        <f t="shared" si="156"/>
        <v/>
      </c>
      <c r="C378" s="3" t="str">
        <f t="shared" si="133"/>
        <v/>
      </c>
      <c r="D378" s="3" t="str">
        <f t="shared" si="134"/>
        <v/>
      </c>
      <c r="E378" s="3" t="str">
        <f t="shared" si="135"/>
        <v/>
      </c>
      <c r="F378" s="3" t="str">
        <f t="shared" si="136"/>
        <v/>
      </c>
      <c r="G378" s="74" t="str">
        <f t="shared" si="137"/>
        <v/>
      </c>
      <c r="H378" s="78" t="str">
        <f>IFERROR(C378/SUM(M$2:M377),"")</f>
        <v/>
      </c>
      <c r="I378" s="61" t="str">
        <f>IFERROR(D378/SUM(N$2:N378),"")</f>
        <v/>
      </c>
      <c r="J378" s="61" t="str">
        <f>IFERROR(E378/SUM(O$2:O378),"")</f>
        <v/>
      </c>
      <c r="K378" s="61" t="str">
        <f>IFERROR(F378/SUM(P$2:P378),"")</f>
        <v/>
      </c>
      <c r="L378" s="79" t="str">
        <f>IFERROR(G378/SUM(Q$2:Q378),"")</f>
        <v/>
      </c>
      <c r="M378" s="64" t="str">
        <f t="shared" si="138"/>
        <v/>
      </c>
      <c r="N378" s="55" t="str">
        <f t="shared" si="139"/>
        <v/>
      </c>
      <c r="O378" s="55" t="str">
        <f t="shared" si="140"/>
        <v/>
      </c>
      <c r="P378" s="55" t="str">
        <f t="shared" si="141"/>
        <v/>
      </c>
      <c r="Q378" s="65" t="str">
        <f t="shared" si="142"/>
        <v/>
      </c>
      <c r="R378" s="67" t="str">
        <f t="shared" si="144"/>
        <v/>
      </c>
      <c r="S378" s="56" t="str">
        <f t="shared" si="145"/>
        <v/>
      </c>
      <c r="T378" s="56" t="str">
        <f t="shared" si="146"/>
        <v/>
      </c>
      <c r="U378" s="56" t="str">
        <f t="shared" si="147"/>
        <v/>
      </c>
      <c r="V378" s="68" t="str">
        <f t="shared" si="148"/>
        <v/>
      </c>
      <c r="W378" s="80" t="str">
        <f t="shared" si="149"/>
        <v/>
      </c>
      <c r="X378" s="81" t="str">
        <f t="shared" si="150"/>
        <v/>
      </c>
      <c r="Y378" s="81" t="str">
        <f t="shared" si="151"/>
        <v/>
      </c>
      <c r="Z378" s="81" t="str">
        <f t="shared" si="152"/>
        <v/>
      </c>
      <c r="AA378" s="82" t="str">
        <f t="shared" si="153"/>
        <v/>
      </c>
      <c r="AB378" s="83" t="str">
        <f>IF(R378&lt;&gt;"",(W378-SUMPRODUCT(R$3:R378,$B$3:$B378)/SUM($B$3:$B378))/STDEVA(W368:W378),"")</f>
        <v/>
      </c>
      <c r="AC378" s="84" t="str">
        <f>IF(S378&lt;&gt;"",(X378-SUMPRODUCT(S$3:S378,$B$3:$B378)/SUM($B$3:$B378))/STDEVA(X368:X378),"")</f>
        <v/>
      </c>
      <c r="AD378" s="84" t="str">
        <f>IF(T378&lt;&gt;"",(Y378-SUMPRODUCT(T$3:T378,$B$3:$B378)/SUM($B$3:$B378))/STDEVA(Y368:Y378),"")</f>
        <v/>
      </c>
      <c r="AE378" s="84" t="str">
        <f>IF(U378&lt;&gt;"",(Z378-SUMPRODUCT(U$3:U378,$B$3:$B378)/SUM($B$3:$B378))/STDEVA(Z368:Z378),"")</f>
        <v/>
      </c>
      <c r="AF378" s="85" t="str">
        <f>IF(V378&lt;&gt;"",(AA378-SUMPRODUCT(V$3:V378,$B$3:$B378)/SUM($B$3:$B378))/STDEVA(AA368:AA378),"")</f>
        <v/>
      </c>
      <c r="AG378" s="90" t="str">
        <f t="shared" si="154"/>
        <v/>
      </c>
      <c r="AH378" s="90" t="str">
        <f t="shared" si="154"/>
        <v/>
      </c>
      <c r="AI378" s="90" t="str">
        <f t="shared" si="154"/>
        <v/>
      </c>
      <c r="AJ378" s="90" t="str">
        <f t="shared" si="154"/>
        <v/>
      </c>
      <c r="AK378" s="93" t="str">
        <f t="shared" si="155"/>
        <v/>
      </c>
      <c r="BQ378" s="100" t="str">
        <f>IF(A378&lt;&gt;"",(VLOOKUP(A378,MarketData!$D:$BP,MATCH($BQ$1,MarketData!$D$1:$EG$1,0),TRUE)/100/365+1)^(B378)*BQ377,"")</f>
        <v/>
      </c>
      <c r="BR378" s="98" t="str">
        <f t="shared" si="132"/>
        <v/>
      </c>
      <c r="BS378" s="106" t="str">
        <f>IF(A378&lt;&gt;"",VLOOKUP(A378,MarketData!$D:$BP,MATCH($BS$1,MarketData!$D$1:$EG$1,0),TRUE),"")</f>
        <v/>
      </c>
      <c r="BT378" s="98" t="str">
        <f t="shared" si="143"/>
        <v/>
      </c>
    </row>
    <row r="379" spans="2:72" x14ac:dyDescent="0.25">
      <c r="B379" s="60" t="str">
        <f t="shared" si="156"/>
        <v/>
      </c>
      <c r="C379" s="3" t="str">
        <f t="shared" si="133"/>
        <v/>
      </c>
      <c r="D379" s="3" t="str">
        <f t="shared" si="134"/>
        <v/>
      </c>
      <c r="E379" s="3" t="str">
        <f t="shared" si="135"/>
        <v/>
      </c>
      <c r="F379" s="3" t="str">
        <f t="shared" si="136"/>
        <v/>
      </c>
      <c r="G379" s="74" t="str">
        <f t="shared" si="137"/>
        <v/>
      </c>
      <c r="H379" s="78" t="str">
        <f>IFERROR(C379/SUM(M$2:M378),"")</f>
        <v/>
      </c>
      <c r="I379" s="61" t="str">
        <f>IFERROR(D379/SUM(N$2:N379),"")</f>
        <v/>
      </c>
      <c r="J379" s="61" t="str">
        <f>IFERROR(E379/SUM(O$2:O379),"")</f>
        <v/>
      </c>
      <c r="K379" s="61" t="str">
        <f>IFERROR(F379/SUM(P$2:P379),"")</f>
        <v/>
      </c>
      <c r="L379" s="79" t="str">
        <f>IFERROR(G379/SUM(Q$2:Q379),"")</f>
        <v/>
      </c>
      <c r="M379" s="64" t="str">
        <f t="shared" si="138"/>
        <v/>
      </c>
      <c r="N379" s="55" t="str">
        <f t="shared" si="139"/>
        <v/>
      </c>
      <c r="O379" s="55" t="str">
        <f t="shared" si="140"/>
        <v/>
      </c>
      <c r="P379" s="55" t="str">
        <f t="shared" si="141"/>
        <v/>
      </c>
      <c r="Q379" s="65" t="str">
        <f t="shared" si="142"/>
        <v/>
      </c>
      <c r="R379" s="67" t="str">
        <f t="shared" si="144"/>
        <v/>
      </c>
      <c r="S379" s="56" t="str">
        <f t="shared" si="145"/>
        <v/>
      </c>
      <c r="T379" s="56" t="str">
        <f t="shared" si="146"/>
        <v/>
      </c>
      <c r="U379" s="56" t="str">
        <f t="shared" si="147"/>
        <v/>
      </c>
      <c r="V379" s="68" t="str">
        <f t="shared" si="148"/>
        <v/>
      </c>
      <c r="W379" s="80" t="str">
        <f t="shared" si="149"/>
        <v/>
      </c>
      <c r="X379" s="81" t="str">
        <f t="shared" si="150"/>
        <v/>
      </c>
      <c r="Y379" s="81" t="str">
        <f t="shared" si="151"/>
        <v/>
      </c>
      <c r="Z379" s="81" t="str">
        <f t="shared" si="152"/>
        <v/>
      </c>
      <c r="AA379" s="82" t="str">
        <f t="shared" si="153"/>
        <v/>
      </c>
      <c r="AB379" s="83" t="str">
        <f>IF(R379&lt;&gt;"",(W379-SUMPRODUCT(R$3:R379,$B$3:$B379)/SUM($B$3:$B379))/STDEVA(W369:W379),"")</f>
        <v/>
      </c>
      <c r="AC379" s="84" t="str">
        <f>IF(S379&lt;&gt;"",(X379-SUMPRODUCT(S$3:S379,$B$3:$B379)/SUM($B$3:$B379))/STDEVA(X369:X379),"")</f>
        <v/>
      </c>
      <c r="AD379" s="84" t="str">
        <f>IF(T379&lt;&gt;"",(Y379-SUMPRODUCT(T$3:T379,$B$3:$B379)/SUM($B$3:$B379))/STDEVA(Y369:Y379),"")</f>
        <v/>
      </c>
      <c r="AE379" s="84" t="str">
        <f>IF(U379&lt;&gt;"",(Z379-SUMPRODUCT(U$3:U379,$B$3:$B379)/SUM($B$3:$B379))/STDEVA(Z369:Z379),"")</f>
        <v/>
      </c>
      <c r="AF379" s="85" t="str">
        <f>IF(V379&lt;&gt;"",(AA379-SUMPRODUCT(V$3:V379,$B$3:$B379)/SUM($B$3:$B379))/STDEVA(AA369:AA379),"")</f>
        <v/>
      </c>
      <c r="AG379" s="90" t="str">
        <f t="shared" si="154"/>
        <v/>
      </c>
      <c r="AH379" s="90" t="str">
        <f t="shared" si="154"/>
        <v/>
      </c>
      <c r="AI379" s="90" t="str">
        <f t="shared" si="154"/>
        <v/>
      </c>
      <c r="AJ379" s="90" t="str">
        <f t="shared" si="154"/>
        <v/>
      </c>
      <c r="AK379" s="93" t="str">
        <f t="shared" si="155"/>
        <v/>
      </c>
      <c r="BQ379" s="100" t="str">
        <f>IF(A379&lt;&gt;"",(VLOOKUP(A379,MarketData!$D:$BP,MATCH($BQ$1,MarketData!$D$1:$EG$1,0),TRUE)/100/365+1)^(B379)*BQ378,"")</f>
        <v/>
      </c>
      <c r="BR379" s="98" t="str">
        <f t="shared" si="132"/>
        <v/>
      </c>
      <c r="BS379" s="106" t="str">
        <f>IF(A379&lt;&gt;"",VLOOKUP(A379,MarketData!$D:$BP,MATCH($BS$1,MarketData!$D$1:$EG$1,0),TRUE),"")</f>
        <v/>
      </c>
      <c r="BT379" s="98" t="str">
        <f t="shared" si="143"/>
        <v/>
      </c>
    </row>
    <row r="380" spans="2:72" x14ac:dyDescent="0.25">
      <c r="B380" s="60" t="str">
        <f t="shared" si="156"/>
        <v/>
      </c>
      <c r="C380" s="3" t="str">
        <f t="shared" si="133"/>
        <v/>
      </c>
      <c r="D380" s="3" t="str">
        <f t="shared" si="134"/>
        <v/>
      </c>
      <c r="E380" s="3" t="str">
        <f t="shared" si="135"/>
        <v/>
      </c>
      <c r="F380" s="3" t="str">
        <f t="shared" si="136"/>
        <v/>
      </c>
      <c r="G380" s="74" t="str">
        <f t="shared" si="137"/>
        <v/>
      </c>
      <c r="H380" s="78" t="str">
        <f>IFERROR(C380/SUM(M$2:M379),"")</f>
        <v/>
      </c>
      <c r="I380" s="61" t="str">
        <f>IFERROR(D380/SUM(N$2:N380),"")</f>
        <v/>
      </c>
      <c r="J380" s="61" t="str">
        <f>IFERROR(E380/SUM(O$2:O380),"")</f>
        <v/>
      </c>
      <c r="K380" s="61" t="str">
        <f>IFERROR(F380/SUM(P$2:P380),"")</f>
        <v/>
      </c>
      <c r="L380" s="79" t="str">
        <f>IFERROR(G380/SUM(Q$2:Q380),"")</f>
        <v/>
      </c>
      <c r="M380" s="64" t="str">
        <f t="shared" si="138"/>
        <v/>
      </c>
      <c r="N380" s="55" t="str">
        <f t="shared" si="139"/>
        <v/>
      </c>
      <c r="O380" s="55" t="str">
        <f t="shared" si="140"/>
        <v/>
      </c>
      <c r="P380" s="55" t="str">
        <f t="shared" si="141"/>
        <v/>
      </c>
      <c r="Q380" s="65" t="str">
        <f t="shared" si="142"/>
        <v/>
      </c>
      <c r="R380" s="67" t="str">
        <f t="shared" si="144"/>
        <v/>
      </c>
      <c r="S380" s="56" t="str">
        <f t="shared" si="145"/>
        <v/>
      </c>
      <c r="T380" s="56" t="str">
        <f t="shared" si="146"/>
        <v/>
      </c>
      <c r="U380" s="56" t="str">
        <f t="shared" si="147"/>
        <v/>
      </c>
      <c r="V380" s="68" t="str">
        <f t="shared" si="148"/>
        <v/>
      </c>
      <c r="W380" s="80" t="str">
        <f t="shared" si="149"/>
        <v/>
      </c>
      <c r="X380" s="81" t="str">
        <f t="shared" si="150"/>
        <v/>
      </c>
      <c r="Y380" s="81" t="str">
        <f t="shared" si="151"/>
        <v/>
      </c>
      <c r="Z380" s="81" t="str">
        <f t="shared" si="152"/>
        <v/>
      </c>
      <c r="AA380" s="82" t="str">
        <f t="shared" si="153"/>
        <v/>
      </c>
      <c r="AB380" s="83" t="str">
        <f>IF(R380&lt;&gt;"",(W380-SUMPRODUCT(R$3:R380,$B$3:$B380)/SUM($B$3:$B380))/STDEVA(W370:W380),"")</f>
        <v/>
      </c>
      <c r="AC380" s="84" t="str">
        <f>IF(S380&lt;&gt;"",(X380-SUMPRODUCT(S$3:S380,$B$3:$B380)/SUM($B$3:$B380))/STDEVA(X370:X380),"")</f>
        <v/>
      </c>
      <c r="AD380" s="84" t="str">
        <f>IF(T380&lt;&gt;"",(Y380-SUMPRODUCT(T$3:T380,$B$3:$B380)/SUM($B$3:$B380))/STDEVA(Y370:Y380),"")</f>
        <v/>
      </c>
      <c r="AE380" s="84" t="str">
        <f>IF(U380&lt;&gt;"",(Z380-SUMPRODUCT(U$3:U380,$B$3:$B380)/SUM($B$3:$B380))/STDEVA(Z370:Z380),"")</f>
        <v/>
      </c>
      <c r="AF380" s="85" t="str">
        <f>IF(V380&lt;&gt;"",(AA380-SUMPRODUCT(V$3:V380,$B$3:$B380)/SUM($B$3:$B380))/STDEVA(AA370:AA380),"")</f>
        <v/>
      </c>
      <c r="AG380" s="90" t="str">
        <f t="shared" si="154"/>
        <v/>
      </c>
      <c r="AH380" s="90" t="str">
        <f t="shared" si="154"/>
        <v/>
      </c>
      <c r="AI380" s="90" t="str">
        <f t="shared" si="154"/>
        <v/>
      </c>
      <c r="AJ380" s="90" t="str">
        <f t="shared" si="154"/>
        <v/>
      </c>
      <c r="AK380" s="93" t="str">
        <f t="shared" si="155"/>
        <v/>
      </c>
      <c r="BQ380" s="100" t="str">
        <f>IF(A380&lt;&gt;"",(VLOOKUP(A380,MarketData!$D:$BP,MATCH($BQ$1,MarketData!$D$1:$EG$1,0),TRUE)/100/365+1)^(B380)*BQ379,"")</f>
        <v/>
      </c>
      <c r="BR380" s="98" t="str">
        <f t="shared" si="132"/>
        <v/>
      </c>
      <c r="BS380" s="106" t="str">
        <f>IF(A380&lt;&gt;"",VLOOKUP(A380,MarketData!$D:$BP,MATCH($BS$1,MarketData!$D$1:$EG$1,0),TRUE),"")</f>
        <v/>
      </c>
      <c r="BT380" s="98" t="str">
        <f t="shared" si="143"/>
        <v/>
      </c>
    </row>
    <row r="381" spans="2:72" x14ac:dyDescent="0.25">
      <c r="B381" s="60" t="str">
        <f t="shared" si="156"/>
        <v/>
      </c>
      <c r="C381" s="3" t="str">
        <f t="shared" si="133"/>
        <v/>
      </c>
      <c r="D381" s="3" t="str">
        <f t="shared" si="134"/>
        <v/>
      </c>
      <c r="E381" s="3" t="str">
        <f t="shared" si="135"/>
        <v/>
      </c>
      <c r="F381" s="3" t="str">
        <f t="shared" si="136"/>
        <v/>
      </c>
      <c r="G381" s="74" t="str">
        <f t="shared" si="137"/>
        <v/>
      </c>
      <c r="H381" s="78" t="str">
        <f>IFERROR(C381/SUM(M$2:M380),"")</f>
        <v/>
      </c>
      <c r="I381" s="61" t="str">
        <f>IFERROR(D381/SUM(N$2:N381),"")</f>
        <v/>
      </c>
      <c r="J381" s="61" t="str">
        <f>IFERROR(E381/SUM(O$2:O381),"")</f>
        <v/>
      </c>
      <c r="K381" s="61" t="str">
        <f>IFERROR(F381/SUM(P$2:P381),"")</f>
        <v/>
      </c>
      <c r="L381" s="79" t="str">
        <f>IFERROR(G381/SUM(Q$2:Q381),"")</f>
        <v/>
      </c>
      <c r="M381" s="64" t="str">
        <f t="shared" si="138"/>
        <v/>
      </c>
      <c r="N381" s="55" t="str">
        <f t="shared" si="139"/>
        <v/>
      </c>
      <c r="O381" s="55" t="str">
        <f t="shared" si="140"/>
        <v/>
      </c>
      <c r="P381" s="55" t="str">
        <f t="shared" si="141"/>
        <v/>
      </c>
      <c r="Q381" s="65" t="str">
        <f t="shared" si="142"/>
        <v/>
      </c>
      <c r="R381" s="67" t="str">
        <f t="shared" si="144"/>
        <v/>
      </c>
      <c r="S381" s="56" t="str">
        <f t="shared" si="145"/>
        <v/>
      </c>
      <c r="T381" s="56" t="str">
        <f t="shared" si="146"/>
        <v/>
      </c>
      <c r="U381" s="56" t="str">
        <f t="shared" si="147"/>
        <v/>
      </c>
      <c r="V381" s="68" t="str">
        <f t="shared" si="148"/>
        <v/>
      </c>
      <c r="W381" s="80" t="str">
        <f t="shared" si="149"/>
        <v/>
      </c>
      <c r="X381" s="81" t="str">
        <f t="shared" si="150"/>
        <v/>
      </c>
      <c r="Y381" s="81" t="str">
        <f t="shared" si="151"/>
        <v/>
      </c>
      <c r="Z381" s="81" t="str">
        <f t="shared" si="152"/>
        <v/>
      </c>
      <c r="AA381" s="82" t="str">
        <f t="shared" si="153"/>
        <v/>
      </c>
      <c r="AB381" s="83" t="str">
        <f>IF(R381&lt;&gt;"",(W381-SUMPRODUCT(R$3:R381,$B$3:$B381)/SUM($B$3:$B381))/STDEVA(W371:W381),"")</f>
        <v/>
      </c>
      <c r="AC381" s="84" t="str">
        <f>IF(S381&lt;&gt;"",(X381-SUMPRODUCT(S$3:S381,$B$3:$B381)/SUM($B$3:$B381))/STDEVA(X371:X381),"")</f>
        <v/>
      </c>
      <c r="AD381" s="84" t="str">
        <f>IF(T381&lt;&gt;"",(Y381-SUMPRODUCT(T$3:T381,$B$3:$B381)/SUM($B$3:$B381))/STDEVA(Y371:Y381),"")</f>
        <v/>
      </c>
      <c r="AE381" s="84" t="str">
        <f>IF(U381&lt;&gt;"",(Z381-SUMPRODUCT(U$3:U381,$B$3:$B381)/SUM($B$3:$B381))/STDEVA(Z371:Z381),"")</f>
        <v/>
      </c>
      <c r="AF381" s="85" t="str">
        <f>IF(V381&lt;&gt;"",(AA381-SUMPRODUCT(V$3:V381,$B$3:$B381)/SUM($B$3:$B381))/STDEVA(AA371:AA381),"")</f>
        <v/>
      </c>
      <c r="AG381" s="90" t="str">
        <f t="shared" si="154"/>
        <v/>
      </c>
      <c r="AH381" s="90" t="str">
        <f t="shared" si="154"/>
        <v/>
      </c>
      <c r="AI381" s="90" t="str">
        <f t="shared" si="154"/>
        <v/>
      </c>
      <c r="AJ381" s="90" t="str">
        <f t="shared" si="154"/>
        <v/>
      </c>
      <c r="AK381" s="93" t="str">
        <f t="shared" si="155"/>
        <v/>
      </c>
      <c r="BQ381" s="100" t="str">
        <f>IF(A381&lt;&gt;"",(VLOOKUP(A381,MarketData!$D:$BP,MATCH($BQ$1,MarketData!$D$1:$EG$1,0),TRUE)/100/365+1)^(B381)*BQ380,"")</f>
        <v/>
      </c>
      <c r="BR381" s="98" t="str">
        <f t="shared" si="132"/>
        <v/>
      </c>
      <c r="BS381" s="106" t="str">
        <f>IF(A381&lt;&gt;"",VLOOKUP(A381,MarketData!$D:$BP,MATCH($BS$1,MarketData!$D$1:$EG$1,0),TRUE),"")</f>
        <v/>
      </c>
      <c r="BT381" s="98" t="str">
        <f t="shared" si="143"/>
        <v/>
      </c>
    </row>
    <row r="382" spans="2:72" x14ac:dyDescent="0.25">
      <c r="B382" s="60" t="str">
        <f t="shared" si="156"/>
        <v/>
      </c>
      <c r="C382" s="3" t="str">
        <f t="shared" si="133"/>
        <v/>
      </c>
      <c r="D382" s="3" t="str">
        <f t="shared" si="134"/>
        <v/>
      </c>
      <c r="E382" s="3" t="str">
        <f t="shared" si="135"/>
        <v/>
      </c>
      <c r="F382" s="3" t="str">
        <f t="shared" si="136"/>
        <v/>
      </c>
      <c r="G382" s="74" t="str">
        <f t="shared" si="137"/>
        <v/>
      </c>
      <c r="H382" s="78" t="str">
        <f>IFERROR(C382/SUM(M$2:M381),"")</f>
        <v/>
      </c>
      <c r="I382" s="61" t="str">
        <f>IFERROR(D382/SUM(N$2:N382),"")</f>
        <v/>
      </c>
      <c r="J382" s="61" t="str">
        <f>IFERROR(E382/SUM(O$2:O382),"")</f>
        <v/>
      </c>
      <c r="K382" s="61" t="str">
        <f>IFERROR(F382/SUM(P$2:P382),"")</f>
        <v/>
      </c>
      <c r="L382" s="79" t="str">
        <f>IFERROR(G382/SUM(Q$2:Q382),"")</f>
        <v/>
      </c>
      <c r="M382" s="64" t="str">
        <f t="shared" si="138"/>
        <v/>
      </c>
      <c r="N382" s="55" t="str">
        <f t="shared" si="139"/>
        <v/>
      </c>
      <c r="O382" s="55" t="str">
        <f t="shared" si="140"/>
        <v/>
      </c>
      <c r="P382" s="55" t="str">
        <f t="shared" si="141"/>
        <v/>
      </c>
      <c r="Q382" s="65" t="str">
        <f t="shared" si="142"/>
        <v/>
      </c>
      <c r="R382" s="67" t="str">
        <f t="shared" si="144"/>
        <v/>
      </c>
      <c r="S382" s="56" t="str">
        <f t="shared" si="145"/>
        <v/>
      </c>
      <c r="T382" s="56" t="str">
        <f t="shared" si="146"/>
        <v/>
      </c>
      <c r="U382" s="56" t="str">
        <f t="shared" si="147"/>
        <v/>
      </c>
      <c r="V382" s="68" t="str">
        <f t="shared" si="148"/>
        <v/>
      </c>
      <c r="W382" s="80" t="str">
        <f t="shared" si="149"/>
        <v/>
      </c>
      <c r="X382" s="81" t="str">
        <f t="shared" si="150"/>
        <v/>
      </c>
      <c r="Y382" s="81" t="str">
        <f t="shared" si="151"/>
        <v/>
      </c>
      <c r="Z382" s="81" t="str">
        <f t="shared" si="152"/>
        <v/>
      </c>
      <c r="AA382" s="82" t="str">
        <f t="shared" si="153"/>
        <v/>
      </c>
      <c r="AB382" s="83" t="str">
        <f>IF(R382&lt;&gt;"",(W382-SUMPRODUCT(R$3:R382,$B$3:$B382)/SUM($B$3:$B382))/STDEVA(W372:W382),"")</f>
        <v/>
      </c>
      <c r="AC382" s="84" t="str">
        <f>IF(S382&lt;&gt;"",(X382-SUMPRODUCT(S$3:S382,$B$3:$B382)/SUM($B$3:$B382))/STDEVA(X372:X382),"")</f>
        <v/>
      </c>
      <c r="AD382" s="84" t="str">
        <f>IF(T382&lt;&gt;"",(Y382-SUMPRODUCT(T$3:T382,$B$3:$B382)/SUM($B$3:$B382))/STDEVA(Y372:Y382),"")</f>
        <v/>
      </c>
      <c r="AE382" s="84" t="str">
        <f>IF(U382&lt;&gt;"",(Z382-SUMPRODUCT(U$3:U382,$B$3:$B382)/SUM($B$3:$B382))/STDEVA(Z372:Z382),"")</f>
        <v/>
      </c>
      <c r="AF382" s="85" t="str">
        <f>IF(V382&lt;&gt;"",(AA382-SUMPRODUCT(V$3:V382,$B$3:$B382)/SUM($B$3:$B382))/STDEVA(AA372:AA382),"")</f>
        <v/>
      </c>
      <c r="AG382" s="90" t="str">
        <f t="shared" si="154"/>
        <v/>
      </c>
      <c r="AH382" s="90" t="str">
        <f t="shared" si="154"/>
        <v/>
      </c>
      <c r="AI382" s="90" t="str">
        <f t="shared" si="154"/>
        <v/>
      </c>
      <c r="AJ382" s="90" t="str">
        <f t="shared" si="154"/>
        <v/>
      </c>
      <c r="AK382" s="93" t="str">
        <f t="shared" si="155"/>
        <v/>
      </c>
      <c r="BQ382" s="100" t="str">
        <f>IF(A382&lt;&gt;"",(VLOOKUP(A382,MarketData!$D:$BP,MATCH($BQ$1,MarketData!$D$1:$EG$1,0),TRUE)/100/365+1)^(B382)*BQ381,"")</f>
        <v/>
      </c>
      <c r="BR382" s="98" t="str">
        <f t="shared" si="132"/>
        <v/>
      </c>
      <c r="BS382" s="106" t="str">
        <f>IF(A382&lt;&gt;"",VLOOKUP(A382,MarketData!$D:$BP,MATCH($BS$1,MarketData!$D$1:$EG$1,0),TRUE),"")</f>
        <v/>
      </c>
      <c r="BT382" s="98" t="str">
        <f t="shared" si="143"/>
        <v/>
      </c>
    </row>
    <row r="383" spans="2:72" x14ac:dyDescent="0.25">
      <c r="B383" s="60" t="str">
        <f t="shared" si="156"/>
        <v/>
      </c>
      <c r="C383" s="3" t="str">
        <f t="shared" si="133"/>
        <v/>
      </c>
      <c r="D383" s="3" t="str">
        <f t="shared" si="134"/>
        <v/>
      </c>
      <c r="E383" s="3" t="str">
        <f t="shared" si="135"/>
        <v/>
      </c>
      <c r="F383" s="3" t="str">
        <f t="shared" si="136"/>
        <v/>
      </c>
      <c r="G383" s="74" t="str">
        <f t="shared" si="137"/>
        <v/>
      </c>
      <c r="H383" s="78" t="str">
        <f>IFERROR(C383/SUM(M$2:M382),"")</f>
        <v/>
      </c>
      <c r="I383" s="61" t="str">
        <f>IFERROR(D383/SUM(N$2:N383),"")</f>
        <v/>
      </c>
      <c r="J383" s="61" t="str">
        <f>IFERROR(E383/SUM(O$2:O383),"")</f>
        <v/>
      </c>
      <c r="K383" s="61" t="str">
        <f>IFERROR(F383/SUM(P$2:P383),"")</f>
        <v/>
      </c>
      <c r="L383" s="79" t="str">
        <f>IFERROR(G383/SUM(Q$2:Q383),"")</f>
        <v/>
      </c>
      <c r="M383" s="64" t="str">
        <f t="shared" si="138"/>
        <v/>
      </c>
      <c r="N383" s="55" t="str">
        <f t="shared" si="139"/>
        <v/>
      </c>
      <c r="O383" s="55" t="str">
        <f t="shared" si="140"/>
        <v/>
      </c>
      <c r="P383" s="55" t="str">
        <f t="shared" si="141"/>
        <v/>
      </c>
      <c r="Q383" s="65" t="str">
        <f t="shared" si="142"/>
        <v/>
      </c>
      <c r="R383" s="67" t="str">
        <f t="shared" si="144"/>
        <v/>
      </c>
      <c r="S383" s="56" t="str">
        <f t="shared" si="145"/>
        <v/>
      </c>
      <c r="T383" s="56" t="str">
        <f t="shared" si="146"/>
        <v/>
      </c>
      <c r="U383" s="56" t="str">
        <f t="shared" si="147"/>
        <v/>
      </c>
      <c r="V383" s="68" t="str">
        <f t="shared" si="148"/>
        <v/>
      </c>
      <c r="W383" s="80" t="str">
        <f t="shared" si="149"/>
        <v/>
      </c>
      <c r="X383" s="81" t="str">
        <f t="shared" si="150"/>
        <v/>
      </c>
      <c r="Y383" s="81" t="str">
        <f t="shared" si="151"/>
        <v/>
      </c>
      <c r="Z383" s="81" t="str">
        <f t="shared" si="152"/>
        <v/>
      </c>
      <c r="AA383" s="82" t="str">
        <f t="shared" si="153"/>
        <v/>
      </c>
      <c r="AB383" s="83" t="str">
        <f>IF(R383&lt;&gt;"",(W383-SUMPRODUCT(R$3:R383,$B$3:$B383)/SUM($B$3:$B383))/STDEVA(W373:W383),"")</f>
        <v/>
      </c>
      <c r="AC383" s="84" t="str">
        <f>IF(S383&lt;&gt;"",(X383-SUMPRODUCT(S$3:S383,$B$3:$B383)/SUM($B$3:$B383))/STDEVA(X373:X383),"")</f>
        <v/>
      </c>
      <c r="AD383" s="84" t="str">
        <f>IF(T383&lt;&gt;"",(Y383-SUMPRODUCT(T$3:T383,$B$3:$B383)/SUM($B$3:$B383))/STDEVA(Y373:Y383),"")</f>
        <v/>
      </c>
      <c r="AE383" s="84" t="str">
        <f>IF(U383&lt;&gt;"",(Z383-SUMPRODUCT(U$3:U383,$B$3:$B383)/SUM($B$3:$B383))/STDEVA(Z373:Z383),"")</f>
        <v/>
      </c>
      <c r="AF383" s="85" t="str">
        <f>IF(V383&lt;&gt;"",(AA383-SUMPRODUCT(V$3:V383,$B$3:$B383)/SUM($B$3:$B383))/STDEVA(AA373:AA383),"")</f>
        <v/>
      </c>
      <c r="AG383" s="90" t="str">
        <f t="shared" si="154"/>
        <v/>
      </c>
      <c r="AH383" s="90" t="str">
        <f t="shared" si="154"/>
        <v/>
      </c>
      <c r="AI383" s="90" t="str">
        <f t="shared" si="154"/>
        <v/>
      </c>
      <c r="AJ383" s="90" t="str">
        <f t="shared" si="154"/>
        <v/>
      </c>
      <c r="AK383" s="93" t="str">
        <f t="shared" si="155"/>
        <v/>
      </c>
      <c r="BQ383" s="100" t="str">
        <f>IF(A383&lt;&gt;"",(VLOOKUP(A383,MarketData!$D:$BP,MATCH($BQ$1,MarketData!$D$1:$EG$1,0),TRUE)/100/365+1)^(B383)*BQ382,"")</f>
        <v/>
      </c>
      <c r="BR383" s="98" t="str">
        <f t="shared" si="132"/>
        <v/>
      </c>
      <c r="BS383" s="106" t="str">
        <f>IF(A383&lt;&gt;"",VLOOKUP(A383,MarketData!$D:$BP,MATCH($BS$1,MarketData!$D$1:$EG$1,0),TRUE),"")</f>
        <v/>
      </c>
      <c r="BT383" s="98" t="str">
        <f t="shared" si="143"/>
        <v/>
      </c>
    </row>
    <row r="384" spans="2:72" x14ac:dyDescent="0.25">
      <c r="B384" s="60" t="str">
        <f t="shared" si="156"/>
        <v/>
      </c>
      <c r="C384" s="3" t="str">
        <f t="shared" si="133"/>
        <v/>
      </c>
      <c r="D384" s="3" t="str">
        <f t="shared" si="134"/>
        <v/>
      </c>
      <c r="E384" s="3" t="str">
        <f t="shared" si="135"/>
        <v/>
      </c>
      <c r="F384" s="3" t="str">
        <f t="shared" si="136"/>
        <v/>
      </c>
      <c r="G384" s="74" t="str">
        <f t="shared" si="137"/>
        <v/>
      </c>
      <c r="H384" s="78" t="str">
        <f>IFERROR(C384/SUM(M$2:M383),"")</f>
        <v/>
      </c>
      <c r="I384" s="61" t="str">
        <f>IFERROR(D384/SUM(N$2:N384),"")</f>
        <v/>
      </c>
      <c r="J384" s="61" t="str">
        <f>IFERROR(E384/SUM(O$2:O384),"")</f>
        <v/>
      </c>
      <c r="K384" s="61" t="str">
        <f>IFERROR(F384/SUM(P$2:P384),"")</f>
        <v/>
      </c>
      <c r="L384" s="79" t="str">
        <f>IFERROR(G384/SUM(Q$2:Q384),"")</f>
        <v/>
      </c>
      <c r="M384" s="64" t="str">
        <f t="shared" si="138"/>
        <v/>
      </c>
      <c r="N384" s="55" t="str">
        <f t="shared" si="139"/>
        <v/>
      </c>
      <c r="O384" s="55" t="str">
        <f t="shared" si="140"/>
        <v/>
      </c>
      <c r="P384" s="55" t="str">
        <f t="shared" si="141"/>
        <v/>
      </c>
      <c r="Q384" s="65" t="str">
        <f t="shared" si="142"/>
        <v/>
      </c>
      <c r="R384" s="67" t="str">
        <f t="shared" si="144"/>
        <v/>
      </c>
      <c r="S384" s="56" t="str">
        <f t="shared" si="145"/>
        <v/>
      </c>
      <c r="T384" s="56" t="str">
        <f t="shared" si="146"/>
        <v/>
      </c>
      <c r="U384" s="56" t="str">
        <f t="shared" si="147"/>
        <v/>
      </c>
      <c r="V384" s="68" t="str">
        <f t="shared" si="148"/>
        <v/>
      </c>
      <c r="W384" s="80" t="str">
        <f t="shared" si="149"/>
        <v/>
      </c>
      <c r="X384" s="81" t="str">
        <f t="shared" si="150"/>
        <v/>
      </c>
      <c r="Y384" s="81" t="str">
        <f t="shared" si="151"/>
        <v/>
      </c>
      <c r="Z384" s="81" t="str">
        <f t="shared" si="152"/>
        <v/>
      </c>
      <c r="AA384" s="82" t="str">
        <f t="shared" si="153"/>
        <v/>
      </c>
      <c r="AB384" s="83" t="str">
        <f>IF(R384&lt;&gt;"",(W384-SUMPRODUCT(R$3:R384,$B$3:$B384)/SUM($B$3:$B384))/STDEVA(W374:W384),"")</f>
        <v/>
      </c>
      <c r="AC384" s="84" t="str">
        <f>IF(S384&lt;&gt;"",(X384-SUMPRODUCT(S$3:S384,$B$3:$B384)/SUM($B$3:$B384))/STDEVA(X374:X384),"")</f>
        <v/>
      </c>
      <c r="AD384" s="84" t="str">
        <f>IF(T384&lt;&gt;"",(Y384-SUMPRODUCT(T$3:T384,$B$3:$B384)/SUM($B$3:$B384))/STDEVA(Y374:Y384),"")</f>
        <v/>
      </c>
      <c r="AE384" s="84" t="str">
        <f>IF(U384&lt;&gt;"",(Z384-SUMPRODUCT(U$3:U384,$B$3:$B384)/SUM($B$3:$B384))/STDEVA(Z374:Z384),"")</f>
        <v/>
      </c>
      <c r="AF384" s="85" t="str">
        <f>IF(V384&lt;&gt;"",(AA384-SUMPRODUCT(V$3:V384,$B$3:$B384)/SUM($B$3:$B384))/STDEVA(AA374:AA384),"")</f>
        <v/>
      </c>
      <c r="AG384" s="90" t="str">
        <f t="shared" si="154"/>
        <v/>
      </c>
      <c r="AH384" s="90" t="str">
        <f t="shared" si="154"/>
        <v/>
      </c>
      <c r="AI384" s="90" t="str">
        <f t="shared" si="154"/>
        <v/>
      </c>
      <c r="AJ384" s="90" t="str">
        <f t="shared" si="154"/>
        <v/>
      </c>
      <c r="AK384" s="93" t="str">
        <f t="shared" si="155"/>
        <v/>
      </c>
      <c r="BQ384" s="100" t="str">
        <f>IF(A384&lt;&gt;"",(VLOOKUP(A384,MarketData!$D:$BP,MATCH($BQ$1,MarketData!$D$1:$EG$1,0),TRUE)/100/365+1)^(B384)*BQ383,"")</f>
        <v/>
      </c>
      <c r="BR384" s="98" t="str">
        <f t="shared" si="132"/>
        <v/>
      </c>
      <c r="BS384" s="106" t="str">
        <f>IF(A384&lt;&gt;"",VLOOKUP(A384,MarketData!$D:$BP,MATCH($BS$1,MarketData!$D$1:$EG$1,0),TRUE),"")</f>
        <v/>
      </c>
      <c r="BT384" s="98" t="str">
        <f t="shared" si="143"/>
        <v/>
      </c>
    </row>
    <row r="385" spans="2:72" x14ac:dyDescent="0.25">
      <c r="B385" s="60" t="str">
        <f t="shared" si="156"/>
        <v/>
      </c>
      <c r="C385" s="3" t="str">
        <f t="shared" si="133"/>
        <v/>
      </c>
      <c r="D385" s="3" t="str">
        <f t="shared" si="134"/>
        <v/>
      </c>
      <c r="E385" s="3" t="str">
        <f t="shared" si="135"/>
        <v/>
      </c>
      <c r="F385" s="3" t="str">
        <f t="shared" si="136"/>
        <v/>
      </c>
      <c r="G385" s="74" t="str">
        <f t="shared" si="137"/>
        <v/>
      </c>
      <c r="H385" s="78" t="str">
        <f>IFERROR(C385/SUM(M$2:M384),"")</f>
        <v/>
      </c>
      <c r="I385" s="61" t="str">
        <f>IFERROR(D385/SUM(N$2:N385),"")</f>
        <v/>
      </c>
      <c r="J385" s="61" t="str">
        <f>IFERROR(E385/SUM(O$2:O385),"")</f>
        <v/>
      </c>
      <c r="K385" s="61" t="str">
        <f>IFERROR(F385/SUM(P$2:P385),"")</f>
        <v/>
      </c>
      <c r="L385" s="79" t="str">
        <f>IFERROR(G385/SUM(Q$2:Q385),"")</f>
        <v/>
      </c>
      <c r="M385" s="64" t="str">
        <f t="shared" si="138"/>
        <v/>
      </c>
      <c r="N385" s="55" t="str">
        <f t="shared" si="139"/>
        <v/>
      </c>
      <c r="O385" s="55" t="str">
        <f t="shared" si="140"/>
        <v/>
      </c>
      <c r="P385" s="55" t="str">
        <f t="shared" si="141"/>
        <v/>
      </c>
      <c r="Q385" s="65" t="str">
        <f t="shared" si="142"/>
        <v/>
      </c>
      <c r="R385" s="67" t="str">
        <f t="shared" si="144"/>
        <v/>
      </c>
      <c r="S385" s="56" t="str">
        <f t="shared" si="145"/>
        <v/>
      </c>
      <c r="T385" s="56" t="str">
        <f t="shared" si="146"/>
        <v/>
      </c>
      <c r="U385" s="56" t="str">
        <f t="shared" si="147"/>
        <v/>
      </c>
      <c r="V385" s="68" t="str">
        <f t="shared" si="148"/>
        <v/>
      </c>
      <c r="W385" s="80" t="str">
        <f t="shared" si="149"/>
        <v/>
      </c>
      <c r="X385" s="81" t="str">
        <f t="shared" si="150"/>
        <v/>
      </c>
      <c r="Y385" s="81" t="str">
        <f t="shared" si="151"/>
        <v/>
      </c>
      <c r="Z385" s="81" t="str">
        <f t="shared" si="152"/>
        <v/>
      </c>
      <c r="AA385" s="82" t="str">
        <f t="shared" si="153"/>
        <v/>
      </c>
      <c r="AB385" s="83" t="str">
        <f>IF(R385&lt;&gt;"",(W385-SUMPRODUCT(R$3:R385,$B$3:$B385)/SUM($B$3:$B385))/STDEVA(W375:W385),"")</f>
        <v/>
      </c>
      <c r="AC385" s="84" t="str">
        <f>IF(S385&lt;&gt;"",(X385-SUMPRODUCT(S$3:S385,$B$3:$B385)/SUM($B$3:$B385))/STDEVA(X375:X385),"")</f>
        <v/>
      </c>
      <c r="AD385" s="84" t="str">
        <f>IF(T385&lt;&gt;"",(Y385-SUMPRODUCT(T$3:T385,$B$3:$B385)/SUM($B$3:$B385))/STDEVA(Y375:Y385),"")</f>
        <v/>
      </c>
      <c r="AE385" s="84" t="str">
        <f>IF(U385&lt;&gt;"",(Z385-SUMPRODUCT(U$3:U385,$B$3:$B385)/SUM($B$3:$B385))/STDEVA(Z375:Z385),"")</f>
        <v/>
      </c>
      <c r="AF385" s="85" t="str">
        <f>IF(V385&lt;&gt;"",(AA385-SUMPRODUCT(V$3:V385,$B$3:$B385)/SUM($B$3:$B385))/STDEVA(AA375:AA385),"")</f>
        <v/>
      </c>
      <c r="AG385" s="90" t="str">
        <f t="shared" si="154"/>
        <v/>
      </c>
      <c r="AH385" s="90" t="str">
        <f t="shared" si="154"/>
        <v/>
      </c>
      <c r="AI385" s="90" t="str">
        <f t="shared" si="154"/>
        <v/>
      </c>
      <c r="AJ385" s="90" t="str">
        <f t="shared" si="154"/>
        <v/>
      </c>
      <c r="AK385" s="93" t="str">
        <f t="shared" si="155"/>
        <v/>
      </c>
      <c r="BQ385" s="100" t="str">
        <f>IF(A385&lt;&gt;"",(VLOOKUP(A385,MarketData!$D:$BP,MATCH($BQ$1,MarketData!$D$1:$EG$1,0),TRUE)/100/365+1)^(B385)*BQ384,"")</f>
        <v/>
      </c>
      <c r="BR385" s="98" t="str">
        <f t="shared" si="132"/>
        <v/>
      </c>
      <c r="BS385" s="106" t="str">
        <f>IF(A385&lt;&gt;"",VLOOKUP(A385,MarketData!$D:$BP,MATCH($BS$1,MarketData!$D$1:$EG$1,0),TRUE),"")</f>
        <v/>
      </c>
      <c r="BT385" s="98" t="str">
        <f t="shared" si="143"/>
        <v/>
      </c>
    </row>
    <row r="386" spans="2:72" x14ac:dyDescent="0.25">
      <c r="B386" s="60" t="str">
        <f t="shared" si="156"/>
        <v/>
      </c>
      <c r="C386" s="3" t="str">
        <f t="shared" si="133"/>
        <v/>
      </c>
      <c r="D386" s="3" t="str">
        <f t="shared" si="134"/>
        <v/>
      </c>
      <c r="E386" s="3" t="str">
        <f t="shared" si="135"/>
        <v/>
      </c>
      <c r="F386" s="3" t="str">
        <f t="shared" si="136"/>
        <v/>
      </c>
      <c r="G386" s="74" t="str">
        <f t="shared" si="137"/>
        <v/>
      </c>
      <c r="H386" s="78" t="str">
        <f>IFERROR(C386/SUM(M$2:M385),"")</f>
        <v/>
      </c>
      <c r="I386" s="61" t="str">
        <f>IFERROR(D386/SUM(N$2:N386),"")</f>
        <v/>
      </c>
      <c r="J386" s="61" t="str">
        <f>IFERROR(E386/SUM(O$2:O386),"")</f>
        <v/>
      </c>
      <c r="K386" s="61" t="str">
        <f>IFERROR(F386/SUM(P$2:P386),"")</f>
        <v/>
      </c>
      <c r="L386" s="79" t="str">
        <f>IFERROR(G386/SUM(Q$2:Q386),"")</f>
        <v/>
      </c>
      <c r="M386" s="64" t="str">
        <f t="shared" si="138"/>
        <v/>
      </c>
      <c r="N386" s="55" t="str">
        <f t="shared" si="139"/>
        <v/>
      </c>
      <c r="O386" s="55" t="str">
        <f t="shared" si="140"/>
        <v/>
      </c>
      <c r="P386" s="55" t="str">
        <f t="shared" si="141"/>
        <v/>
      </c>
      <c r="Q386" s="65" t="str">
        <f t="shared" si="142"/>
        <v/>
      </c>
      <c r="R386" s="67" t="str">
        <f t="shared" si="144"/>
        <v/>
      </c>
      <c r="S386" s="56" t="str">
        <f t="shared" si="145"/>
        <v/>
      </c>
      <c r="T386" s="56" t="str">
        <f t="shared" si="146"/>
        <v/>
      </c>
      <c r="U386" s="56" t="str">
        <f t="shared" si="147"/>
        <v/>
      </c>
      <c r="V386" s="68" t="str">
        <f t="shared" si="148"/>
        <v/>
      </c>
      <c r="W386" s="80" t="str">
        <f t="shared" si="149"/>
        <v/>
      </c>
      <c r="X386" s="81" t="str">
        <f t="shared" si="150"/>
        <v/>
      </c>
      <c r="Y386" s="81" t="str">
        <f t="shared" si="151"/>
        <v/>
      </c>
      <c r="Z386" s="81" t="str">
        <f t="shared" si="152"/>
        <v/>
      </c>
      <c r="AA386" s="82" t="str">
        <f t="shared" si="153"/>
        <v/>
      </c>
      <c r="AB386" s="83" t="str">
        <f>IF(R386&lt;&gt;"",(W386-SUMPRODUCT(R$3:R386,$B$3:$B386)/SUM($B$3:$B386))/STDEVA(W376:W386),"")</f>
        <v/>
      </c>
      <c r="AC386" s="84" t="str">
        <f>IF(S386&lt;&gt;"",(X386-SUMPRODUCT(S$3:S386,$B$3:$B386)/SUM($B$3:$B386))/STDEVA(X376:X386),"")</f>
        <v/>
      </c>
      <c r="AD386" s="84" t="str">
        <f>IF(T386&lt;&gt;"",(Y386-SUMPRODUCT(T$3:T386,$B$3:$B386)/SUM($B$3:$B386))/STDEVA(Y376:Y386),"")</f>
        <v/>
      </c>
      <c r="AE386" s="84" t="str">
        <f>IF(U386&lt;&gt;"",(Z386-SUMPRODUCT(U$3:U386,$B$3:$B386)/SUM($B$3:$B386))/STDEVA(Z376:Z386),"")</f>
        <v/>
      </c>
      <c r="AF386" s="85" t="str">
        <f>IF(V386&lt;&gt;"",(AA386-SUMPRODUCT(V$3:V386,$B$3:$B386)/SUM($B$3:$B386))/STDEVA(AA376:AA386),"")</f>
        <v/>
      </c>
      <c r="AG386" s="90" t="str">
        <f t="shared" si="154"/>
        <v/>
      </c>
      <c r="AH386" s="90" t="str">
        <f t="shared" si="154"/>
        <v/>
      </c>
      <c r="AI386" s="90" t="str">
        <f t="shared" si="154"/>
        <v/>
      </c>
      <c r="AJ386" s="90" t="str">
        <f t="shared" si="154"/>
        <v/>
      </c>
      <c r="AK386" s="93" t="str">
        <f t="shared" si="155"/>
        <v/>
      </c>
      <c r="BQ386" s="100" t="str">
        <f>IF(A386&lt;&gt;"",(VLOOKUP(A386,MarketData!$D:$BP,MATCH($BQ$1,MarketData!$D$1:$EG$1,0),TRUE)/100/365+1)^(B386)*BQ385,"")</f>
        <v/>
      </c>
      <c r="BR386" s="98" t="str">
        <f t="shared" ref="BR386:BR449" si="157">IF(A386&lt;&gt;"",(BQ386-$BQ$2)/$BQ$2,"")</f>
        <v/>
      </c>
      <c r="BS386" s="106" t="str">
        <f>IF(A386&lt;&gt;"",VLOOKUP(A386,MarketData!$D:$BP,MATCH($BS$1,MarketData!$D$1:$EG$1,0),TRUE),"")</f>
        <v/>
      </c>
      <c r="BT386" s="98" t="str">
        <f t="shared" si="143"/>
        <v/>
      </c>
    </row>
    <row r="387" spans="2:72" x14ac:dyDescent="0.25">
      <c r="B387" s="60" t="str">
        <f t="shared" si="156"/>
        <v/>
      </c>
      <c r="C387" s="3" t="str">
        <f t="shared" ref="C387:C450" si="158">IF($A387&lt;&gt;0,SUMIFS(VM,Fecha,$A387,Linea,C$1)+SUMIFS(FX,Fecha,$A387,Linea,C$1)+C386,"")</f>
        <v/>
      </c>
      <c r="D387" s="3" t="str">
        <f t="shared" ref="D387:D450" si="159">IF($A387&lt;&gt;0,SUMIFS(VM,Fecha,$A387,Linea,D$1)+SUMIFS(FX,Fecha,$A387,Linea,D$1)+D386,"")</f>
        <v/>
      </c>
      <c r="E387" s="3" t="str">
        <f t="shared" ref="E387:E450" si="160">IF($A387&lt;&gt;0,SUMIFS(VM,Fecha,$A387,Linea,E$1)+SUMIFS(FX,Fecha,$A387,Linea,E$1)+E386,"")</f>
        <v/>
      </c>
      <c r="F387" s="3" t="str">
        <f t="shared" ref="F387:F450" si="161">IF($A387&lt;&gt;0,SUMIFS(VM,Fecha,$A387,Linea,F$1)+SUMIFS(FX,Fecha,$A387,Linea,F$1)+F386,"")</f>
        <v/>
      </c>
      <c r="G387" s="74" t="str">
        <f t="shared" ref="G387:G450" si="162">IF($A387&lt;&gt;0,SUMIFS(VM,Fecha,$A387,Linea,G$1)+SUMIFS(FX,Fecha,$A387,Linea,G$1)+G386,"")</f>
        <v/>
      </c>
      <c r="H387" s="78" t="str">
        <f>IFERROR(C387/SUM(M$2:M386),"")</f>
        <v/>
      </c>
      <c r="I387" s="61" t="str">
        <f>IFERROR(D387/SUM(N$2:N387),"")</f>
        <v/>
      </c>
      <c r="J387" s="61" t="str">
        <f>IFERROR(E387/SUM(O$2:O387),"")</f>
        <v/>
      </c>
      <c r="K387" s="61" t="str">
        <f>IFERROR(F387/SUM(P$2:P387),"")</f>
        <v/>
      </c>
      <c r="L387" s="79" t="str">
        <f>IFERROR(G387/SUM(Q$2:Q387),"")</f>
        <v/>
      </c>
      <c r="M387" s="64" t="str">
        <f t="shared" ref="M387:M450" si="163">IF($A387&lt;&gt;"",SUMIFS(Transferencias,Fecha,$A387,Linea,C$1),"")</f>
        <v/>
      </c>
      <c r="N387" s="55" t="str">
        <f t="shared" ref="N387:N450" si="164">IF($A387&lt;&gt;"",SUMIFS(Transferencias,Fecha,$A387,Linea,D$1),"")</f>
        <v/>
      </c>
      <c r="O387" s="55" t="str">
        <f t="shared" ref="O387:O450" si="165">IF($A387&lt;&gt;"",SUMIFS(Transferencias,Fecha,$A387,Linea,E$1),"")</f>
        <v/>
      </c>
      <c r="P387" s="55" t="str">
        <f t="shared" ref="P387:P450" si="166">IF($A387&lt;&gt;"",SUMIFS(Transferencias,Fecha,$A387,Linea,F$1),"")</f>
        <v/>
      </c>
      <c r="Q387" s="65" t="str">
        <f t="shared" ref="Q387:Q450" si="167">IF($A387&lt;&gt;"",SUMIFS(Transferencias,Fecha,$A387,Linea,G$1),"")</f>
        <v/>
      </c>
      <c r="R387" s="67" t="str">
        <f t="shared" si="144"/>
        <v/>
      </c>
      <c r="S387" s="56" t="str">
        <f t="shared" si="145"/>
        <v/>
      </c>
      <c r="T387" s="56" t="str">
        <f t="shared" si="146"/>
        <v/>
      </c>
      <c r="U387" s="56" t="str">
        <f t="shared" si="147"/>
        <v/>
      </c>
      <c r="V387" s="68" t="str">
        <f t="shared" si="148"/>
        <v/>
      </c>
      <c r="W387" s="80" t="str">
        <f t="shared" si="149"/>
        <v/>
      </c>
      <c r="X387" s="81" t="str">
        <f t="shared" si="150"/>
        <v/>
      </c>
      <c r="Y387" s="81" t="str">
        <f t="shared" si="151"/>
        <v/>
      </c>
      <c r="Z387" s="81" t="str">
        <f t="shared" si="152"/>
        <v/>
      </c>
      <c r="AA387" s="82" t="str">
        <f t="shared" si="153"/>
        <v/>
      </c>
      <c r="AB387" s="83" t="str">
        <f>IF(R387&lt;&gt;"",(W387-SUMPRODUCT(R$3:R387,$B$3:$B387)/SUM($B$3:$B387))/STDEVA(W377:W387),"")</f>
        <v/>
      </c>
      <c r="AC387" s="84" t="str">
        <f>IF(S387&lt;&gt;"",(X387-SUMPRODUCT(S$3:S387,$B$3:$B387)/SUM($B$3:$B387))/STDEVA(X377:X387),"")</f>
        <v/>
      </c>
      <c r="AD387" s="84" t="str">
        <f>IF(T387&lt;&gt;"",(Y387-SUMPRODUCT(T$3:T387,$B$3:$B387)/SUM($B$3:$B387))/STDEVA(Y377:Y387),"")</f>
        <v/>
      </c>
      <c r="AE387" s="84" t="str">
        <f>IF(U387&lt;&gt;"",(Z387-SUMPRODUCT(U$3:U387,$B$3:$B387)/SUM($B$3:$B387))/STDEVA(Z377:Z387),"")</f>
        <v/>
      </c>
      <c r="AF387" s="85" t="str">
        <f>IF(V387&lt;&gt;"",(AA387-SUMPRODUCT(V$3:V387,$B$3:$B387)/SUM($B$3:$B387))/STDEVA(AA377:AA387),"")</f>
        <v/>
      </c>
      <c r="AG387" s="90" t="str">
        <f t="shared" si="154"/>
        <v/>
      </c>
      <c r="AH387" s="90" t="str">
        <f t="shared" si="154"/>
        <v/>
      </c>
      <c r="AI387" s="90" t="str">
        <f t="shared" si="154"/>
        <v/>
      </c>
      <c r="AJ387" s="90" t="str">
        <f t="shared" si="154"/>
        <v/>
      </c>
      <c r="AK387" s="93" t="str">
        <f t="shared" si="155"/>
        <v/>
      </c>
      <c r="BQ387" s="100" t="str">
        <f>IF(A387&lt;&gt;"",(VLOOKUP(A387,MarketData!$D:$BP,MATCH($BQ$1,MarketData!$D$1:$EG$1,0),TRUE)/100/365+1)^(B387)*BQ386,"")</f>
        <v/>
      </c>
      <c r="BR387" s="98" t="str">
        <f t="shared" si="157"/>
        <v/>
      </c>
      <c r="BS387" s="106" t="str">
        <f>IF(A387&lt;&gt;"",VLOOKUP(A387,MarketData!$D:$BP,MATCH($BS$1,MarketData!$D$1:$EG$1,0),TRUE),"")</f>
        <v/>
      </c>
      <c r="BT387" s="98" t="str">
        <f t="shared" ref="BT387:BT450" si="168">IF(A387&lt;&gt;"",(BS387-$BS$2)/$BS$2,"")</f>
        <v/>
      </c>
    </row>
    <row r="388" spans="2:72" x14ac:dyDescent="0.25">
      <c r="B388" s="60" t="str">
        <f t="shared" si="156"/>
        <v/>
      </c>
      <c r="C388" s="3" t="str">
        <f t="shared" si="158"/>
        <v/>
      </c>
      <c r="D388" s="3" t="str">
        <f t="shared" si="159"/>
        <v/>
      </c>
      <c r="E388" s="3" t="str">
        <f t="shared" si="160"/>
        <v/>
      </c>
      <c r="F388" s="3" t="str">
        <f t="shared" si="161"/>
        <v/>
      </c>
      <c r="G388" s="74" t="str">
        <f t="shared" si="162"/>
        <v/>
      </c>
      <c r="H388" s="78" t="str">
        <f>IFERROR(C388/SUM(M$2:M387),"")</f>
        <v/>
      </c>
      <c r="I388" s="61" t="str">
        <f>IFERROR(D388/SUM(N$2:N388),"")</f>
        <v/>
      </c>
      <c r="J388" s="61" t="str">
        <f>IFERROR(E388/SUM(O$2:O388),"")</f>
        <v/>
      </c>
      <c r="K388" s="61" t="str">
        <f>IFERROR(F388/SUM(P$2:P388),"")</f>
        <v/>
      </c>
      <c r="L388" s="79" t="str">
        <f>IFERROR(G388/SUM(Q$2:Q388),"")</f>
        <v/>
      </c>
      <c r="M388" s="64" t="str">
        <f t="shared" si="163"/>
        <v/>
      </c>
      <c r="N388" s="55" t="str">
        <f t="shared" si="164"/>
        <v/>
      </c>
      <c r="O388" s="55" t="str">
        <f t="shared" si="165"/>
        <v/>
      </c>
      <c r="P388" s="55" t="str">
        <f t="shared" si="166"/>
        <v/>
      </c>
      <c r="Q388" s="65" t="str">
        <f t="shared" si="167"/>
        <v/>
      </c>
      <c r="R388" s="67" t="str">
        <f t="shared" ref="R388:R451" si="169">IF(C388&lt;&gt;"",LN((C388-C387)/(SUMIFS(Total,Fecha,$A387,Linea,C$1)+M387)+1)*365/($A388-$A387),"")</f>
        <v/>
      </c>
      <c r="S388" s="56" t="str">
        <f t="shared" ref="S388:S451" si="170">IF(D388&lt;&gt;"",LN((D388-D387)/(SUMIFS(Total,Fecha,$A387,Linea,D$1)+N387)+1)*365/($A388-$A387),"")</f>
        <v/>
      </c>
      <c r="T388" s="56" t="str">
        <f t="shared" ref="T388:T451" si="171">IF(E388&lt;&gt;"",LN((E388-E387)/(SUMIFS(Total,Fecha,$A387,Linea,E$1)+O387)+1)*365/($A388-$A387),"")</f>
        <v/>
      </c>
      <c r="U388" s="56" t="str">
        <f t="shared" ref="U388:U451" si="172">IF(F388&lt;&gt;"",LN((F388-F387)/(SUMIFS(Total,Fecha,$A387,Linea,F$1)+P387)+1)*365/($A388-$A387),"")</f>
        <v/>
      </c>
      <c r="V388" s="68" t="str">
        <f t="shared" ref="V388:V451" si="173">IF(G388&lt;&gt;"",LN((G388-G387)/(SUMIFS(Total,Fecha,$A387,Linea,G$1)+Q387)+1)*365/($A388-$A387),"")</f>
        <v/>
      </c>
      <c r="W388" s="80" t="str">
        <f t="shared" si="149"/>
        <v/>
      </c>
      <c r="X388" s="81" t="str">
        <f t="shared" si="150"/>
        <v/>
      </c>
      <c r="Y388" s="81" t="str">
        <f t="shared" si="151"/>
        <v/>
      </c>
      <c r="Z388" s="81" t="str">
        <f t="shared" si="152"/>
        <v/>
      </c>
      <c r="AA388" s="82" t="str">
        <f t="shared" si="153"/>
        <v/>
      </c>
      <c r="AB388" s="83" t="str">
        <f>IF(R388&lt;&gt;"",(W388-SUMPRODUCT(R$3:R388,$B$3:$B388)/SUM($B$3:$B388))/STDEVA(W378:W388),"")</f>
        <v/>
      </c>
      <c r="AC388" s="84" t="str">
        <f>IF(S388&lt;&gt;"",(X388-SUMPRODUCT(S$3:S388,$B$3:$B388)/SUM($B$3:$B388))/STDEVA(X378:X388),"")</f>
        <v/>
      </c>
      <c r="AD388" s="84" t="str">
        <f>IF(T388&lt;&gt;"",(Y388-SUMPRODUCT(T$3:T388,$B$3:$B388)/SUM($B$3:$B388))/STDEVA(Y378:Y388),"")</f>
        <v/>
      </c>
      <c r="AE388" s="84" t="str">
        <f>IF(U388&lt;&gt;"",(Z388-SUMPRODUCT(U$3:U388,$B$3:$B388)/SUM($B$3:$B388))/STDEVA(Z378:Z388),"")</f>
        <v/>
      </c>
      <c r="AF388" s="85" t="str">
        <f>IF(V388&lt;&gt;"",(AA388-SUMPRODUCT(V$3:V388,$B$3:$B388)/SUM($B$3:$B388))/STDEVA(AA378:AA388),"")</f>
        <v/>
      </c>
      <c r="AG388" s="90" t="str">
        <f t="shared" si="154"/>
        <v/>
      </c>
      <c r="AH388" s="90" t="str">
        <f t="shared" si="154"/>
        <v/>
      </c>
      <c r="AI388" s="90" t="str">
        <f t="shared" si="154"/>
        <v/>
      </c>
      <c r="AJ388" s="90" t="str">
        <f t="shared" si="154"/>
        <v/>
      </c>
      <c r="AK388" s="93" t="str">
        <f t="shared" si="155"/>
        <v/>
      </c>
      <c r="BQ388" s="100" t="str">
        <f>IF(A388&lt;&gt;"",(VLOOKUP(A388,MarketData!$D:$BP,MATCH($BQ$1,MarketData!$D$1:$EG$1,0),TRUE)/100/365+1)^(B388)*BQ387,"")</f>
        <v/>
      </c>
      <c r="BR388" s="98" t="str">
        <f t="shared" si="157"/>
        <v/>
      </c>
      <c r="BS388" s="106" t="str">
        <f>IF(A388&lt;&gt;"",VLOOKUP(A388,MarketData!$D:$BP,MATCH($BS$1,MarketData!$D$1:$EG$1,0),TRUE),"")</f>
        <v/>
      </c>
      <c r="BT388" s="98" t="str">
        <f t="shared" si="168"/>
        <v/>
      </c>
    </row>
    <row r="389" spans="2:72" x14ac:dyDescent="0.25">
      <c r="B389" s="60" t="str">
        <f t="shared" si="156"/>
        <v/>
      </c>
      <c r="C389" s="3" t="str">
        <f t="shared" si="158"/>
        <v/>
      </c>
      <c r="D389" s="3" t="str">
        <f t="shared" si="159"/>
        <v/>
      </c>
      <c r="E389" s="3" t="str">
        <f t="shared" si="160"/>
        <v/>
      </c>
      <c r="F389" s="3" t="str">
        <f t="shared" si="161"/>
        <v/>
      </c>
      <c r="G389" s="74" t="str">
        <f t="shared" si="162"/>
        <v/>
      </c>
      <c r="H389" s="78" t="str">
        <f>IFERROR(C389/SUM(M$2:M388),"")</f>
        <v/>
      </c>
      <c r="I389" s="61" t="str">
        <f>IFERROR(D389/SUM(N$2:N389),"")</f>
        <v/>
      </c>
      <c r="J389" s="61" t="str">
        <f>IFERROR(E389/SUM(O$2:O389),"")</f>
        <v/>
      </c>
      <c r="K389" s="61" t="str">
        <f>IFERROR(F389/SUM(P$2:P389),"")</f>
        <v/>
      </c>
      <c r="L389" s="79" t="str">
        <f>IFERROR(G389/SUM(Q$2:Q389),"")</f>
        <v/>
      </c>
      <c r="M389" s="64" t="str">
        <f t="shared" si="163"/>
        <v/>
      </c>
      <c r="N389" s="55" t="str">
        <f t="shared" si="164"/>
        <v/>
      </c>
      <c r="O389" s="55" t="str">
        <f t="shared" si="165"/>
        <v/>
      </c>
      <c r="P389" s="55" t="str">
        <f t="shared" si="166"/>
        <v/>
      </c>
      <c r="Q389" s="65" t="str">
        <f t="shared" si="167"/>
        <v/>
      </c>
      <c r="R389" s="67" t="str">
        <f t="shared" si="169"/>
        <v/>
      </c>
      <c r="S389" s="56" t="str">
        <f t="shared" si="170"/>
        <v/>
      </c>
      <c r="T389" s="56" t="str">
        <f t="shared" si="171"/>
        <v/>
      </c>
      <c r="U389" s="56" t="str">
        <f t="shared" si="172"/>
        <v/>
      </c>
      <c r="V389" s="68" t="str">
        <f t="shared" si="173"/>
        <v/>
      </c>
      <c r="W389" s="80" t="str">
        <f t="shared" si="149"/>
        <v/>
      </c>
      <c r="X389" s="81" t="str">
        <f t="shared" si="150"/>
        <v/>
      </c>
      <c r="Y389" s="81" t="str">
        <f t="shared" si="151"/>
        <v/>
      </c>
      <c r="Z389" s="81" t="str">
        <f t="shared" si="152"/>
        <v/>
      </c>
      <c r="AA389" s="82" t="str">
        <f t="shared" si="153"/>
        <v/>
      </c>
      <c r="AB389" s="83" t="str">
        <f>IF(R389&lt;&gt;"",(W389-SUMPRODUCT(R$3:R389,$B$3:$B389)/SUM($B$3:$B389))/STDEVA(W379:W389),"")</f>
        <v/>
      </c>
      <c r="AC389" s="84" t="str">
        <f>IF(S389&lt;&gt;"",(X389-SUMPRODUCT(S$3:S389,$B$3:$B389)/SUM($B$3:$B389))/STDEVA(X379:X389),"")</f>
        <v/>
      </c>
      <c r="AD389" s="84" t="str">
        <f>IF(T389&lt;&gt;"",(Y389-SUMPRODUCT(T$3:T389,$B$3:$B389)/SUM($B$3:$B389))/STDEVA(Y379:Y389),"")</f>
        <v/>
      </c>
      <c r="AE389" s="84" t="str">
        <f>IF(U389&lt;&gt;"",(Z389-SUMPRODUCT(U$3:U389,$B$3:$B389)/SUM($B$3:$B389))/STDEVA(Z379:Z389),"")</f>
        <v/>
      </c>
      <c r="AF389" s="85" t="str">
        <f>IF(V389&lt;&gt;"",(AA389-SUMPRODUCT(V$3:V389,$B$3:$B389)/SUM($B$3:$B389))/STDEVA(AA379:AA389),"")</f>
        <v/>
      </c>
      <c r="AG389" s="90" t="str">
        <f t="shared" si="154"/>
        <v/>
      </c>
      <c r="AH389" s="90" t="str">
        <f t="shared" si="154"/>
        <v/>
      </c>
      <c r="AI389" s="90" t="str">
        <f t="shared" si="154"/>
        <v/>
      </c>
      <c r="AJ389" s="90" t="str">
        <f t="shared" si="154"/>
        <v/>
      </c>
      <c r="AK389" s="93" t="str">
        <f t="shared" si="155"/>
        <v/>
      </c>
      <c r="BQ389" s="100" t="str">
        <f>IF(A389&lt;&gt;"",(VLOOKUP(A389,MarketData!$D:$BP,MATCH($BQ$1,MarketData!$D$1:$EG$1,0),TRUE)/100/365+1)^(B389)*BQ388,"")</f>
        <v/>
      </c>
      <c r="BR389" s="98" t="str">
        <f t="shared" si="157"/>
        <v/>
      </c>
      <c r="BS389" s="106" t="str">
        <f>IF(A389&lt;&gt;"",VLOOKUP(A389,MarketData!$D:$BP,MATCH($BS$1,MarketData!$D$1:$EG$1,0),TRUE),"")</f>
        <v/>
      </c>
      <c r="BT389" s="98" t="str">
        <f t="shared" si="168"/>
        <v/>
      </c>
    </row>
    <row r="390" spans="2:72" x14ac:dyDescent="0.25">
      <c r="B390" s="60" t="str">
        <f t="shared" si="156"/>
        <v/>
      </c>
      <c r="C390" s="3" t="str">
        <f t="shared" si="158"/>
        <v/>
      </c>
      <c r="D390" s="3" t="str">
        <f t="shared" si="159"/>
        <v/>
      </c>
      <c r="E390" s="3" t="str">
        <f t="shared" si="160"/>
        <v/>
      </c>
      <c r="F390" s="3" t="str">
        <f t="shared" si="161"/>
        <v/>
      </c>
      <c r="G390" s="74" t="str">
        <f t="shared" si="162"/>
        <v/>
      </c>
      <c r="H390" s="78" t="str">
        <f>IFERROR(C390/SUM(M$2:M389),"")</f>
        <v/>
      </c>
      <c r="I390" s="61" t="str">
        <f>IFERROR(D390/SUM(N$2:N390),"")</f>
        <v/>
      </c>
      <c r="J390" s="61" t="str">
        <f>IFERROR(E390/SUM(O$2:O390),"")</f>
        <v/>
      </c>
      <c r="K390" s="61" t="str">
        <f>IFERROR(F390/SUM(P$2:P390),"")</f>
        <v/>
      </c>
      <c r="L390" s="79" t="str">
        <f>IFERROR(G390/SUM(Q$2:Q390),"")</f>
        <v/>
      </c>
      <c r="M390" s="64" t="str">
        <f t="shared" si="163"/>
        <v/>
      </c>
      <c r="N390" s="55" t="str">
        <f t="shared" si="164"/>
        <v/>
      </c>
      <c r="O390" s="55" t="str">
        <f t="shared" si="165"/>
        <v/>
      </c>
      <c r="P390" s="55" t="str">
        <f t="shared" si="166"/>
        <v/>
      </c>
      <c r="Q390" s="65" t="str">
        <f t="shared" si="167"/>
        <v/>
      </c>
      <c r="R390" s="67" t="str">
        <f t="shared" si="169"/>
        <v/>
      </c>
      <c r="S390" s="56" t="str">
        <f t="shared" si="170"/>
        <v/>
      </c>
      <c r="T390" s="56" t="str">
        <f t="shared" si="171"/>
        <v/>
      </c>
      <c r="U390" s="56" t="str">
        <f t="shared" si="172"/>
        <v/>
      </c>
      <c r="V390" s="68" t="str">
        <f t="shared" si="173"/>
        <v/>
      </c>
      <c r="W390" s="80" t="str">
        <f t="shared" si="149"/>
        <v/>
      </c>
      <c r="X390" s="81" t="str">
        <f t="shared" si="150"/>
        <v/>
      </c>
      <c r="Y390" s="81" t="str">
        <f t="shared" si="151"/>
        <v/>
      </c>
      <c r="Z390" s="81" t="str">
        <f t="shared" si="152"/>
        <v/>
      </c>
      <c r="AA390" s="82" t="str">
        <f t="shared" si="153"/>
        <v/>
      </c>
      <c r="AB390" s="83" t="str">
        <f>IF(R390&lt;&gt;"",(W390-SUMPRODUCT(R$3:R390,$B$3:$B390)/SUM($B$3:$B390))/STDEVA(W380:W390),"")</f>
        <v/>
      </c>
      <c r="AC390" s="84" t="str">
        <f>IF(S390&lt;&gt;"",(X390-SUMPRODUCT(S$3:S390,$B$3:$B390)/SUM($B$3:$B390))/STDEVA(X380:X390),"")</f>
        <v/>
      </c>
      <c r="AD390" s="84" t="str">
        <f>IF(T390&lt;&gt;"",(Y390-SUMPRODUCT(T$3:T390,$B$3:$B390)/SUM($B$3:$B390))/STDEVA(Y380:Y390),"")</f>
        <v/>
      </c>
      <c r="AE390" s="84" t="str">
        <f>IF(U390&lt;&gt;"",(Z390-SUMPRODUCT(U$3:U390,$B$3:$B390)/SUM($B$3:$B390))/STDEVA(Z380:Z390),"")</f>
        <v/>
      </c>
      <c r="AF390" s="85" t="str">
        <f>IF(V390&lt;&gt;"",(AA390-SUMPRODUCT(V$3:V390,$B$3:$B390)/SUM($B$3:$B390))/STDEVA(AA380:AA390),"")</f>
        <v/>
      </c>
      <c r="AG390" s="90" t="str">
        <f t="shared" si="154"/>
        <v/>
      </c>
      <c r="AH390" s="90" t="str">
        <f t="shared" si="154"/>
        <v/>
      </c>
      <c r="AI390" s="90" t="str">
        <f t="shared" si="154"/>
        <v/>
      </c>
      <c r="AJ390" s="90" t="str">
        <f t="shared" si="154"/>
        <v/>
      </c>
      <c r="AK390" s="93" t="str">
        <f t="shared" si="155"/>
        <v/>
      </c>
      <c r="BQ390" s="100" t="str">
        <f>IF(A390&lt;&gt;"",(VLOOKUP(A390,MarketData!$D:$BP,MATCH($BQ$1,MarketData!$D$1:$EG$1,0),TRUE)/100/365+1)^(B390)*BQ389,"")</f>
        <v/>
      </c>
      <c r="BR390" s="98" t="str">
        <f t="shared" si="157"/>
        <v/>
      </c>
      <c r="BS390" s="106" t="str">
        <f>IF(A390&lt;&gt;"",VLOOKUP(A390,MarketData!$D:$BP,MATCH($BS$1,MarketData!$D$1:$EG$1,0),TRUE),"")</f>
        <v/>
      </c>
      <c r="BT390" s="98" t="str">
        <f t="shared" si="168"/>
        <v/>
      </c>
    </row>
    <row r="391" spans="2:72" x14ac:dyDescent="0.25">
      <c r="B391" s="60" t="str">
        <f t="shared" si="156"/>
        <v/>
      </c>
      <c r="C391" s="3" t="str">
        <f t="shared" si="158"/>
        <v/>
      </c>
      <c r="D391" s="3" t="str">
        <f t="shared" si="159"/>
        <v/>
      </c>
      <c r="E391" s="3" t="str">
        <f t="shared" si="160"/>
        <v/>
      </c>
      <c r="F391" s="3" t="str">
        <f t="shared" si="161"/>
        <v/>
      </c>
      <c r="G391" s="74" t="str">
        <f t="shared" si="162"/>
        <v/>
      </c>
      <c r="H391" s="78" t="str">
        <f>IFERROR(C391/SUM(M$2:M390),"")</f>
        <v/>
      </c>
      <c r="I391" s="61" t="str">
        <f>IFERROR(D391/SUM(N$2:N391),"")</f>
        <v/>
      </c>
      <c r="J391" s="61" t="str">
        <f>IFERROR(E391/SUM(O$2:O391),"")</f>
        <v/>
      </c>
      <c r="K391" s="61" t="str">
        <f>IFERROR(F391/SUM(P$2:P391),"")</f>
        <v/>
      </c>
      <c r="L391" s="79" t="str">
        <f>IFERROR(G391/SUM(Q$2:Q391),"")</f>
        <v/>
      </c>
      <c r="M391" s="64" t="str">
        <f t="shared" si="163"/>
        <v/>
      </c>
      <c r="N391" s="55" t="str">
        <f t="shared" si="164"/>
        <v/>
      </c>
      <c r="O391" s="55" t="str">
        <f t="shared" si="165"/>
        <v/>
      </c>
      <c r="P391" s="55" t="str">
        <f t="shared" si="166"/>
        <v/>
      </c>
      <c r="Q391" s="65" t="str">
        <f t="shared" si="167"/>
        <v/>
      </c>
      <c r="R391" s="67" t="str">
        <f t="shared" si="169"/>
        <v/>
      </c>
      <c r="S391" s="56" t="str">
        <f t="shared" si="170"/>
        <v/>
      </c>
      <c r="T391" s="56" t="str">
        <f t="shared" si="171"/>
        <v/>
      </c>
      <c r="U391" s="56" t="str">
        <f t="shared" si="172"/>
        <v/>
      </c>
      <c r="V391" s="68" t="str">
        <f t="shared" si="173"/>
        <v/>
      </c>
      <c r="W391" s="80" t="str">
        <f t="shared" si="149"/>
        <v/>
      </c>
      <c r="X391" s="81" t="str">
        <f t="shared" si="150"/>
        <v/>
      </c>
      <c r="Y391" s="81" t="str">
        <f t="shared" si="151"/>
        <v/>
      </c>
      <c r="Z391" s="81" t="str">
        <f t="shared" si="152"/>
        <v/>
      </c>
      <c r="AA391" s="82" t="str">
        <f t="shared" si="153"/>
        <v/>
      </c>
      <c r="AB391" s="83" t="str">
        <f>IF(R391&lt;&gt;"",(W391-SUMPRODUCT(R$3:R391,$B$3:$B391)/SUM($B$3:$B391))/STDEVA(W381:W391),"")</f>
        <v/>
      </c>
      <c r="AC391" s="84" t="str">
        <f>IF(S391&lt;&gt;"",(X391-SUMPRODUCT(S$3:S391,$B$3:$B391)/SUM($B$3:$B391))/STDEVA(X381:X391),"")</f>
        <v/>
      </c>
      <c r="AD391" s="84" t="str">
        <f>IF(T391&lt;&gt;"",(Y391-SUMPRODUCT(T$3:T391,$B$3:$B391)/SUM($B$3:$B391))/STDEVA(Y381:Y391),"")</f>
        <v/>
      </c>
      <c r="AE391" s="84" t="str">
        <f>IF(U391&lt;&gt;"",(Z391-SUMPRODUCT(U$3:U391,$B$3:$B391)/SUM($B$3:$B391))/STDEVA(Z381:Z391),"")</f>
        <v/>
      </c>
      <c r="AF391" s="85" t="str">
        <f>IF(V391&lt;&gt;"",(AA391-SUMPRODUCT(V$3:V391,$B$3:$B391)/SUM($B$3:$B391))/STDEVA(AA381:AA391),"")</f>
        <v/>
      </c>
      <c r="AG391" s="90" t="str">
        <f t="shared" si="154"/>
        <v/>
      </c>
      <c r="AH391" s="90" t="str">
        <f t="shared" si="154"/>
        <v/>
      </c>
      <c r="AI391" s="90" t="str">
        <f t="shared" si="154"/>
        <v/>
      </c>
      <c r="AJ391" s="90" t="str">
        <f t="shared" si="154"/>
        <v/>
      </c>
      <c r="AK391" s="93" t="str">
        <f t="shared" si="155"/>
        <v/>
      </c>
      <c r="BQ391" s="100" t="str">
        <f>IF(A391&lt;&gt;"",(VLOOKUP(A391,MarketData!$D:$BP,MATCH($BQ$1,MarketData!$D$1:$EG$1,0),TRUE)/100/365+1)^(B391)*BQ390,"")</f>
        <v/>
      </c>
      <c r="BR391" s="98" t="str">
        <f t="shared" si="157"/>
        <v/>
      </c>
      <c r="BS391" s="106" t="str">
        <f>IF(A391&lt;&gt;"",VLOOKUP(A391,MarketData!$D:$BP,MATCH($BS$1,MarketData!$D$1:$EG$1,0),TRUE),"")</f>
        <v/>
      </c>
      <c r="BT391" s="98" t="str">
        <f t="shared" si="168"/>
        <v/>
      </c>
    </row>
    <row r="392" spans="2:72" x14ac:dyDescent="0.25">
      <c r="B392" s="60" t="str">
        <f t="shared" si="156"/>
        <v/>
      </c>
      <c r="C392" s="3" t="str">
        <f t="shared" si="158"/>
        <v/>
      </c>
      <c r="D392" s="3" t="str">
        <f t="shared" si="159"/>
        <v/>
      </c>
      <c r="E392" s="3" t="str">
        <f t="shared" si="160"/>
        <v/>
      </c>
      <c r="F392" s="3" t="str">
        <f t="shared" si="161"/>
        <v/>
      </c>
      <c r="G392" s="74" t="str">
        <f t="shared" si="162"/>
        <v/>
      </c>
      <c r="H392" s="78" t="str">
        <f>IFERROR(C392/SUM(M$2:M391),"")</f>
        <v/>
      </c>
      <c r="I392" s="61" t="str">
        <f>IFERROR(D392/SUM(N$2:N392),"")</f>
        <v/>
      </c>
      <c r="J392" s="61" t="str">
        <f>IFERROR(E392/SUM(O$2:O392),"")</f>
        <v/>
      </c>
      <c r="K392" s="61" t="str">
        <f>IFERROR(F392/SUM(P$2:P392),"")</f>
        <v/>
      </c>
      <c r="L392" s="79" t="str">
        <f>IFERROR(G392/SUM(Q$2:Q392),"")</f>
        <v/>
      </c>
      <c r="M392" s="64" t="str">
        <f t="shared" si="163"/>
        <v/>
      </c>
      <c r="N392" s="55" t="str">
        <f t="shared" si="164"/>
        <v/>
      </c>
      <c r="O392" s="55" t="str">
        <f t="shared" si="165"/>
        <v/>
      </c>
      <c r="P392" s="55" t="str">
        <f t="shared" si="166"/>
        <v/>
      </c>
      <c r="Q392" s="65" t="str">
        <f t="shared" si="167"/>
        <v/>
      </c>
      <c r="R392" s="67" t="str">
        <f t="shared" si="169"/>
        <v/>
      </c>
      <c r="S392" s="56" t="str">
        <f t="shared" si="170"/>
        <v/>
      </c>
      <c r="T392" s="56" t="str">
        <f t="shared" si="171"/>
        <v/>
      </c>
      <c r="U392" s="56" t="str">
        <f t="shared" si="172"/>
        <v/>
      </c>
      <c r="V392" s="68" t="str">
        <f t="shared" si="173"/>
        <v/>
      </c>
      <c r="W392" s="80" t="str">
        <f t="shared" si="149"/>
        <v/>
      </c>
      <c r="X392" s="81" t="str">
        <f t="shared" si="150"/>
        <v/>
      </c>
      <c r="Y392" s="81" t="str">
        <f t="shared" si="151"/>
        <v/>
      </c>
      <c r="Z392" s="81" t="str">
        <f t="shared" si="152"/>
        <v/>
      </c>
      <c r="AA392" s="82" t="str">
        <f t="shared" si="153"/>
        <v/>
      </c>
      <c r="AB392" s="83" t="str">
        <f>IF(R392&lt;&gt;"",(W392-SUMPRODUCT(R$3:R392,$B$3:$B392)/SUM($B$3:$B392))/STDEVA(W382:W392),"")</f>
        <v/>
      </c>
      <c r="AC392" s="84" t="str">
        <f>IF(S392&lt;&gt;"",(X392-SUMPRODUCT(S$3:S392,$B$3:$B392)/SUM($B$3:$B392))/STDEVA(X382:X392),"")</f>
        <v/>
      </c>
      <c r="AD392" s="84" t="str">
        <f>IF(T392&lt;&gt;"",(Y392-SUMPRODUCT(T$3:T392,$B$3:$B392)/SUM($B$3:$B392))/STDEVA(Y382:Y392),"")</f>
        <v/>
      </c>
      <c r="AE392" s="84" t="str">
        <f>IF(U392&lt;&gt;"",(Z392-SUMPRODUCT(U$3:U392,$B$3:$B392)/SUM($B$3:$B392))/STDEVA(Z382:Z392),"")</f>
        <v/>
      </c>
      <c r="AF392" s="85" t="str">
        <f>IF(V392&lt;&gt;"",(AA392-SUMPRODUCT(V$3:V392,$B$3:$B392)/SUM($B$3:$B392))/STDEVA(AA382:AA392),"")</f>
        <v/>
      </c>
      <c r="AG392" s="90" t="str">
        <f t="shared" si="154"/>
        <v/>
      </c>
      <c r="AH392" s="90" t="str">
        <f t="shared" si="154"/>
        <v/>
      </c>
      <c r="AI392" s="90" t="str">
        <f t="shared" si="154"/>
        <v/>
      </c>
      <c r="AJ392" s="90" t="str">
        <f t="shared" si="154"/>
        <v/>
      </c>
      <c r="AK392" s="93" t="str">
        <f t="shared" si="155"/>
        <v/>
      </c>
      <c r="BQ392" s="100" t="str">
        <f>IF(A392&lt;&gt;"",(VLOOKUP(A392,MarketData!$D:$BP,MATCH($BQ$1,MarketData!$D$1:$EG$1,0),TRUE)/100/365+1)^(B392)*BQ391,"")</f>
        <v/>
      </c>
      <c r="BR392" s="98" t="str">
        <f t="shared" si="157"/>
        <v/>
      </c>
      <c r="BS392" s="106" t="str">
        <f>IF(A392&lt;&gt;"",VLOOKUP(A392,MarketData!$D:$BP,MATCH($BS$1,MarketData!$D$1:$EG$1,0),TRUE),"")</f>
        <v/>
      </c>
      <c r="BT392" s="98" t="str">
        <f t="shared" si="168"/>
        <v/>
      </c>
    </row>
    <row r="393" spans="2:72" x14ac:dyDescent="0.25">
      <c r="B393" s="60" t="str">
        <f t="shared" si="156"/>
        <v/>
      </c>
      <c r="C393" s="3" t="str">
        <f t="shared" si="158"/>
        <v/>
      </c>
      <c r="D393" s="3" t="str">
        <f t="shared" si="159"/>
        <v/>
      </c>
      <c r="E393" s="3" t="str">
        <f t="shared" si="160"/>
        <v/>
      </c>
      <c r="F393" s="3" t="str">
        <f t="shared" si="161"/>
        <v/>
      </c>
      <c r="G393" s="74" t="str">
        <f t="shared" si="162"/>
        <v/>
      </c>
      <c r="H393" s="78" t="str">
        <f>IFERROR(C393/SUM(M$2:M392),"")</f>
        <v/>
      </c>
      <c r="I393" s="61" t="str">
        <f>IFERROR(D393/SUM(N$2:N393),"")</f>
        <v/>
      </c>
      <c r="J393" s="61" t="str">
        <f>IFERROR(E393/SUM(O$2:O393),"")</f>
        <v/>
      </c>
      <c r="K393" s="61" t="str">
        <f>IFERROR(F393/SUM(P$2:P393),"")</f>
        <v/>
      </c>
      <c r="L393" s="79" t="str">
        <f>IFERROR(G393/SUM(Q$2:Q393),"")</f>
        <v/>
      </c>
      <c r="M393" s="64" t="str">
        <f t="shared" si="163"/>
        <v/>
      </c>
      <c r="N393" s="55" t="str">
        <f t="shared" si="164"/>
        <v/>
      </c>
      <c r="O393" s="55" t="str">
        <f t="shared" si="165"/>
        <v/>
      </c>
      <c r="P393" s="55" t="str">
        <f t="shared" si="166"/>
        <v/>
      </c>
      <c r="Q393" s="65" t="str">
        <f t="shared" si="167"/>
        <v/>
      </c>
      <c r="R393" s="67" t="str">
        <f t="shared" si="169"/>
        <v/>
      </c>
      <c r="S393" s="56" t="str">
        <f t="shared" si="170"/>
        <v/>
      </c>
      <c r="T393" s="56" t="str">
        <f t="shared" si="171"/>
        <v/>
      </c>
      <c r="U393" s="56" t="str">
        <f t="shared" si="172"/>
        <v/>
      </c>
      <c r="V393" s="68" t="str">
        <f t="shared" si="173"/>
        <v/>
      </c>
      <c r="W393" s="80" t="str">
        <f t="shared" si="149"/>
        <v/>
      </c>
      <c r="X393" s="81" t="str">
        <f t="shared" si="150"/>
        <v/>
      </c>
      <c r="Y393" s="81" t="str">
        <f t="shared" si="151"/>
        <v/>
      </c>
      <c r="Z393" s="81" t="str">
        <f t="shared" si="152"/>
        <v/>
      </c>
      <c r="AA393" s="82" t="str">
        <f t="shared" si="153"/>
        <v/>
      </c>
      <c r="AB393" s="83" t="str">
        <f>IF(R393&lt;&gt;"",(W393-SUMPRODUCT(R$3:R393,$B$3:$B393)/SUM($B$3:$B393))/STDEVA(W383:W393),"")</f>
        <v/>
      </c>
      <c r="AC393" s="84" t="str">
        <f>IF(S393&lt;&gt;"",(X393-SUMPRODUCT(S$3:S393,$B$3:$B393)/SUM($B$3:$B393))/STDEVA(X383:X393),"")</f>
        <v/>
      </c>
      <c r="AD393" s="84" t="str">
        <f>IF(T393&lt;&gt;"",(Y393-SUMPRODUCT(T$3:T393,$B$3:$B393)/SUM($B$3:$B393))/STDEVA(Y383:Y393),"")</f>
        <v/>
      </c>
      <c r="AE393" s="84" t="str">
        <f>IF(U393&lt;&gt;"",(Z393-SUMPRODUCT(U$3:U393,$B$3:$B393)/SUM($B$3:$B393))/STDEVA(Z383:Z393),"")</f>
        <v/>
      </c>
      <c r="AF393" s="85" t="str">
        <f>IF(V393&lt;&gt;"",(AA393-SUMPRODUCT(V$3:V393,$B$3:$B393)/SUM($B$3:$B393))/STDEVA(AA383:AA393),"")</f>
        <v/>
      </c>
      <c r="AG393" s="90" t="str">
        <f t="shared" si="154"/>
        <v/>
      </c>
      <c r="AH393" s="90" t="str">
        <f t="shared" si="154"/>
        <v/>
      </c>
      <c r="AI393" s="90" t="str">
        <f t="shared" si="154"/>
        <v/>
      </c>
      <c r="AJ393" s="90" t="str">
        <f t="shared" si="154"/>
        <v/>
      </c>
      <c r="AK393" s="93" t="str">
        <f t="shared" si="155"/>
        <v/>
      </c>
      <c r="BQ393" s="100" t="str">
        <f>IF(A393&lt;&gt;"",(VLOOKUP(A393,MarketData!$D:$BP,MATCH($BQ$1,MarketData!$D$1:$EG$1,0),TRUE)/100/365+1)^(B393)*BQ392,"")</f>
        <v/>
      </c>
      <c r="BR393" s="98" t="str">
        <f t="shared" si="157"/>
        <v/>
      </c>
      <c r="BS393" s="106" t="str">
        <f>IF(A393&lt;&gt;"",VLOOKUP(A393,MarketData!$D:$BP,MATCH($BS$1,MarketData!$D$1:$EG$1,0),TRUE),"")</f>
        <v/>
      </c>
      <c r="BT393" s="98" t="str">
        <f t="shared" si="168"/>
        <v/>
      </c>
    </row>
    <row r="394" spans="2:72" x14ac:dyDescent="0.25">
      <c r="B394" s="60" t="str">
        <f t="shared" si="156"/>
        <v/>
      </c>
      <c r="C394" s="3" t="str">
        <f t="shared" si="158"/>
        <v/>
      </c>
      <c r="D394" s="3" t="str">
        <f t="shared" si="159"/>
        <v/>
      </c>
      <c r="E394" s="3" t="str">
        <f t="shared" si="160"/>
        <v/>
      </c>
      <c r="F394" s="3" t="str">
        <f t="shared" si="161"/>
        <v/>
      </c>
      <c r="G394" s="74" t="str">
        <f t="shared" si="162"/>
        <v/>
      </c>
      <c r="H394" s="78" t="str">
        <f>IFERROR(C394/SUM(M$2:M393),"")</f>
        <v/>
      </c>
      <c r="I394" s="61" t="str">
        <f>IFERROR(D394/SUM(N$2:N394),"")</f>
        <v/>
      </c>
      <c r="J394" s="61" t="str">
        <f>IFERROR(E394/SUM(O$2:O394),"")</f>
        <v/>
      </c>
      <c r="K394" s="61" t="str">
        <f>IFERROR(F394/SUM(P$2:P394),"")</f>
        <v/>
      </c>
      <c r="L394" s="79" t="str">
        <f>IFERROR(G394/SUM(Q$2:Q394),"")</f>
        <v/>
      </c>
      <c r="M394" s="64" t="str">
        <f t="shared" si="163"/>
        <v/>
      </c>
      <c r="N394" s="55" t="str">
        <f t="shared" si="164"/>
        <v/>
      </c>
      <c r="O394" s="55" t="str">
        <f t="shared" si="165"/>
        <v/>
      </c>
      <c r="P394" s="55" t="str">
        <f t="shared" si="166"/>
        <v/>
      </c>
      <c r="Q394" s="65" t="str">
        <f t="shared" si="167"/>
        <v/>
      </c>
      <c r="R394" s="67" t="str">
        <f t="shared" si="169"/>
        <v/>
      </c>
      <c r="S394" s="56" t="str">
        <f t="shared" si="170"/>
        <v/>
      </c>
      <c r="T394" s="56" t="str">
        <f t="shared" si="171"/>
        <v/>
      </c>
      <c r="U394" s="56" t="str">
        <f t="shared" si="172"/>
        <v/>
      </c>
      <c r="V394" s="68" t="str">
        <f t="shared" si="173"/>
        <v/>
      </c>
      <c r="W394" s="80" t="str">
        <f t="shared" si="149"/>
        <v/>
      </c>
      <c r="X394" s="81" t="str">
        <f t="shared" si="150"/>
        <v/>
      </c>
      <c r="Y394" s="81" t="str">
        <f t="shared" si="151"/>
        <v/>
      </c>
      <c r="Z394" s="81" t="str">
        <f t="shared" si="152"/>
        <v/>
      </c>
      <c r="AA394" s="82" t="str">
        <f t="shared" si="153"/>
        <v/>
      </c>
      <c r="AB394" s="83" t="str">
        <f>IF(R394&lt;&gt;"",(W394-SUMPRODUCT(R$3:R394,$B$3:$B394)/SUM($B$3:$B394))/STDEVA(W384:W394),"")</f>
        <v/>
      </c>
      <c r="AC394" s="84" t="str">
        <f>IF(S394&lt;&gt;"",(X394-SUMPRODUCT(S$3:S394,$B$3:$B394)/SUM($B$3:$B394))/STDEVA(X384:X394),"")</f>
        <v/>
      </c>
      <c r="AD394" s="84" t="str">
        <f>IF(T394&lt;&gt;"",(Y394-SUMPRODUCT(T$3:T394,$B$3:$B394)/SUM($B$3:$B394))/STDEVA(Y384:Y394),"")</f>
        <v/>
      </c>
      <c r="AE394" s="84" t="str">
        <f>IF(U394&lt;&gt;"",(Z394-SUMPRODUCT(U$3:U394,$B$3:$B394)/SUM($B$3:$B394))/STDEVA(Z384:Z394),"")</f>
        <v/>
      </c>
      <c r="AF394" s="85" t="str">
        <f>IF(V394&lt;&gt;"",(AA394-SUMPRODUCT(V$3:V394,$B$3:$B394)/SUM($B$3:$B394))/STDEVA(AA384:AA394),"")</f>
        <v/>
      </c>
      <c r="AG394" s="90" t="str">
        <f t="shared" si="154"/>
        <v/>
      </c>
      <c r="AH394" s="90" t="str">
        <f t="shared" si="154"/>
        <v/>
      </c>
      <c r="AI394" s="90" t="str">
        <f t="shared" si="154"/>
        <v/>
      </c>
      <c r="AJ394" s="90" t="str">
        <f t="shared" si="154"/>
        <v/>
      </c>
      <c r="AK394" s="93" t="str">
        <f t="shared" si="155"/>
        <v/>
      </c>
      <c r="BQ394" s="100" t="str">
        <f>IF(A394&lt;&gt;"",(VLOOKUP(A394,MarketData!$D:$BP,MATCH($BQ$1,MarketData!$D$1:$EG$1,0),TRUE)/100/365+1)^(B394)*BQ393,"")</f>
        <v/>
      </c>
      <c r="BR394" s="98" t="str">
        <f t="shared" si="157"/>
        <v/>
      </c>
      <c r="BS394" s="106" t="str">
        <f>IF(A394&lt;&gt;"",VLOOKUP(A394,MarketData!$D:$BP,MATCH($BS$1,MarketData!$D$1:$EG$1,0),TRUE),"")</f>
        <v/>
      </c>
      <c r="BT394" s="98" t="str">
        <f t="shared" si="168"/>
        <v/>
      </c>
    </row>
    <row r="395" spans="2:72" x14ac:dyDescent="0.25">
      <c r="B395" s="60" t="str">
        <f t="shared" si="156"/>
        <v/>
      </c>
      <c r="C395" s="3" t="str">
        <f t="shared" si="158"/>
        <v/>
      </c>
      <c r="D395" s="3" t="str">
        <f t="shared" si="159"/>
        <v/>
      </c>
      <c r="E395" s="3" t="str">
        <f t="shared" si="160"/>
        <v/>
      </c>
      <c r="F395" s="3" t="str">
        <f t="shared" si="161"/>
        <v/>
      </c>
      <c r="G395" s="74" t="str">
        <f t="shared" si="162"/>
        <v/>
      </c>
      <c r="H395" s="78" t="str">
        <f>IFERROR(C395/SUM(M$2:M394),"")</f>
        <v/>
      </c>
      <c r="I395" s="61" t="str">
        <f>IFERROR(D395/SUM(N$2:N395),"")</f>
        <v/>
      </c>
      <c r="J395" s="61" t="str">
        <f>IFERROR(E395/SUM(O$2:O395),"")</f>
        <v/>
      </c>
      <c r="K395" s="61" t="str">
        <f>IFERROR(F395/SUM(P$2:P395),"")</f>
        <v/>
      </c>
      <c r="L395" s="79" t="str">
        <f>IFERROR(G395/SUM(Q$2:Q395),"")</f>
        <v/>
      </c>
      <c r="M395" s="64" t="str">
        <f t="shared" si="163"/>
        <v/>
      </c>
      <c r="N395" s="55" t="str">
        <f t="shared" si="164"/>
        <v/>
      </c>
      <c r="O395" s="55" t="str">
        <f t="shared" si="165"/>
        <v/>
      </c>
      <c r="P395" s="55" t="str">
        <f t="shared" si="166"/>
        <v/>
      </c>
      <c r="Q395" s="65" t="str">
        <f t="shared" si="167"/>
        <v/>
      </c>
      <c r="R395" s="67" t="str">
        <f t="shared" si="169"/>
        <v/>
      </c>
      <c r="S395" s="56" t="str">
        <f t="shared" si="170"/>
        <v/>
      </c>
      <c r="T395" s="56" t="str">
        <f t="shared" si="171"/>
        <v/>
      </c>
      <c r="U395" s="56" t="str">
        <f t="shared" si="172"/>
        <v/>
      </c>
      <c r="V395" s="68" t="str">
        <f t="shared" si="173"/>
        <v/>
      </c>
      <c r="W395" s="80" t="str">
        <f t="shared" si="149"/>
        <v/>
      </c>
      <c r="X395" s="81" t="str">
        <f t="shared" si="150"/>
        <v/>
      </c>
      <c r="Y395" s="81" t="str">
        <f t="shared" si="151"/>
        <v/>
      </c>
      <c r="Z395" s="81" t="str">
        <f t="shared" si="152"/>
        <v/>
      </c>
      <c r="AA395" s="82" t="str">
        <f t="shared" si="153"/>
        <v/>
      </c>
      <c r="AB395" s="83" t="str">
        <f>IF(R395&lt;&gt;"",(W395-SUMPRODUCT(R$3:R395,$B$3:$B395)/SUM($B$3:$B395))/STDEVA(W385:W395),"")</f>
        <v/>
      </c>
      <c r="AC395" s="84" t="str">
        <f>IF(S395&lt;&gt;"",(X395-SUMPRODUCT(S$3:S395,$B$3:$B395)/SUM($B$3:$B395))/STDEVA(X385:X395),"")</f>
        <v/>
      </c>
      <c r="AD395" s="84" t="str">
        <f>IF(T395&lt;&gt;"",(Y395-SUMPRODUCT(T$3:T395,$B$3:$B395)/SUM($B$3:$B395))/STDEVA(Y385:Y395),"")</f>
        <v/>
      </c>
      <c r="AE395" s="84" t="str">
        <f>IF(U395&lt;&gt;"",(Z395-SUMPRODUCT(U$3:U395,$B$3:$B395)/SUM($B$3:$B395))/STDEVA(Z385:Z395),"")</f>
        <v/>
      </c>
      <c r="AF395" s="85" t="str">
        <f>IF(V395&lt;&gt;"",(AA395-SUMPRODUCT(V$3:V395,$B$3:$B395)/SUM($B$3:$B395))/STDEVA(AA385:AA395),"")</f>
        <v/>
      </c>
      <c r="AG395" s="90" t="str">
        <f t="shared" si="154"/>
        <v/>
      </c>
      <c r="AH395" s="90" t="str">
        <f t="shared" si="154"/>
        <v/>
      </c>
      <c r="AI395" s="90" t="str">
        <f t="shared" si="154"/>
        <v/>
      </c>
      <c r="AJ395" s="90" t="str">
        <f t="shared" si="154"/>
        <v/>
      </c>
      <c r="AK395" s="93" t="str">
        <f t="shared" si="155"/>
        <v/>
      </c>
      <c r="BQ395" s="100" t="str">
        <f>IF(A395&lt;&gt;"",(VLOOKUP(A395,MarketData!$D:$BP,MATCH($BQ$1,MarketData!$D$1:$EG$1,0),TRUE)/100/365+1)^(B395)*BQ394,"")</f>
        <v/>
      </c>
      <c r="BR395" s="98" t="str">
        <f t="shared" si="157"/>
        <v/>
      </c>
      <c r="BS395" s="106" t="str">
        <f>IF(A395&lt;&gt;"",VLOOKUP(A395,MarketData!$D:$BP,MATCH($BS$1,MarketData!$D$1:$EG$1,0),TRUE),"")</f>
        <v/>
      </c>
      <c r="BT395" s="98" t="str">
        <f t="shared" si="168"/>
        <v/>
      </c>
    </row>
    <row r="396" spans="2:72" x14ac:dyDescent="0.25">
      <c r="B396" s="60" t="str">
        <f t="shared" si="156"/>
        <v/>
      </c>
      <c r="C396" s="3" t="str">
        <f t="shared" si="158"/>
        <v/>
      </c>
      <c r="D396" s="3" t="str">
        <f t="shared" si="159"/>
        <v/>
      </c>
      <c r="E396" s="3" t="str">
        <f t="shared" si="160"/>
        <v/>
      </c>
      <c r="F396" s="3" t="str">
        <f t="shared" si="161"/>
        <v/>
      </c>
      <c r="G396" s="74" t="str">
        <f t="shared" si="162"/>
        <v/>
      </c>
      <c r="H396" s="78" t="str">
        <f>IFERROR(C396/SUM(M$2:M395),"")</f>
        <v/>
      </c>
      <c r="I396" s="61" t="str">
        <f>IFERROR(D396/SUM(N$2:N396),"")</f>
        <v/>
      </c>
      <c r="J396" s="61" t="str">
        <f>IFERROR(E396/SUM(O$2:O396),"")</f>
        <v/>
      </c>
      <c r="K396" s="61" t="str">
        <f>IFERROR(F396/SUM(P$2:P396),"")</f>
        <v/>
      </c>
      <c r="L396" s="79" t="str">
        <f>IFERROR(G396/SUM(Q$2:Q396),"")</f>
        <v/>
      </c>
      <c r="M396" s="64" t="str">
        <f t="shared" si="163"/>
        <v/>
      </c>
      <c r="N396" s="55" t="str">
        <f t="shared" si="164"/>
        <v/>
      </c>
      <c r="O396" s="55" t="str">
        <f t="shared" si="165"/>
        <v/>
      </c>
      <c r="P396" s="55" t="str">
        <f t="shared" si="166"/>
        <v/>
      </c>
      <c r="Q396" s="65" t="str">
        <f t="shared" si="167"/>
        <v/>
      </c>
      <c r="R396" s="67" t="str">
        <f t="shared" si="169"/>
        <v/>
      </c>
      <c r="S396" s="56" t="str">
        <f t="shared" si="170"/>
        <v/>
      </c>
      <c r="T396" s="56" t="str">
        <f t="shared" si="171"/>
        <v/>
      </c>
      <c r="U396" s="56" t="str">
        <f t="shared" si="172"/>
        <v/>
      </c>
      <c r="V396" s="68" t="str">
        <f t="shared" si="173"/>
        <v/>
      </c>
      <c r="W396" s="80" t="str">
        <f t="shared" ref="W396:W459" si="174">IF(R396&lt;&gt;"",SUMPRODUCT(R387:R396,$B387:$B396)/SUM($B387:$B396),"")</f>
        <v/>
      </c>
      <c r="X396" s="81" t="str">
        <f t="shared" ref="X396:X459" si="175">IF(S396&lt;&gt;"",SUMPRODUCT(S387:S396,$B387:$B396)/SUM($B387:$B396),"")</f>
        <v/>
      </c>
      <c r="Y396" s="81" t="str">
        <f t="shared" ref="Y396:Y459" si="176">IF(T396&lt;&gt;"",SUMPRODUCT(T387:T396,$B387:$B396)/SUM($B387:$B396),"")</f>
        <v/>
      </c>
      <c r="Z396" s="81" t="str">
        <f t="shared" ref="Z396:Z459" si="177">IF(U396&lt;&gt;"",SUMPRODUCT(U387:U396,$B387:$B396)/SUM($B387:$B396),"")</f>
        <v/>
      </c>
      <c r="AA396" s="82" t="str">
        <f t="shared" ref="AA396:AA459" si="178">IF(V396&lt;&gt;"",SUMPRODUCT(V387:V396,$B387:$B396)/SUM($B387:$B396),"")</f>
        <v/>
      </c>
      <c r="AB396" s="83" t="str">
        <f>IF(R396&lt;&gt;"",(W396-SUMPRODUCT(R$3:R396,$B$3:$B396)/SUM($B$3:$B396))/STDEVA(W386:W396),"")</f>
        <v/>
      </c>
      <c r="AC396" s="84" t="str">
        <f>IF(S396&lt;&gt;"",(X396-SUMPRODUCT(S$3:S396,$B$3:$B396)/SUM($B$3:$B396))/STDEVA(X386:X396),"")</f>
        <v/>
      </c>
      <c r="AD396" s="84" t="str">
        <f>IF(T396&lt;&gt;"",(Y396-SUMPRODUCT(T$3:T396,$B$3:$B396)/SUM($B$3:$B396))/STDEVA(Y386:Y396),"")</f>
        <v/>
      </c>
      <c r="AE396" s="84" t="str">
        <f>IF(U396&lt;&gt;"",(Z396-SUMPRODUCT(U$3:U396,$B$3:$B396)/SUM($B$3:$B396))/STDEVA(Z386:Z396),"")</f>
        <v/>
      </c>
      <c r="AF396" s="85" t="str">
        <f>IF(V396&lt;&gt;"",(AA396-SUMPRODUCT(V$3:V396,$B$3:$B396)/SUM($B$3:$B396))/STDEVA(AA386:AA396),"")</f>
        <v/>
      </c>
      <c r="AG396" s="90" t="str">
        <f t="shared" si="154"/>
        <v/>
      </c>
      <c r="AH396" s="90" t="str">
        <f t="shared" si="154"/>
        <v/>
      </c>
      <c r="AI396" s="90" t="str">
        <f t="shared" si="154"/>
        <v/>
      </c>
      <c r="AJ396" s="90" t="str">
        <f t="shared" si="154"/>
        <v/>
      </c>
      <c r="AK396" s="93" t="str">
        <f t="shared" si="155"/>
        <v/>
      </c>
      <c r="BQ396" s="100" t="str">
        <f>IF(A396&lt;&gt;"",(VLOOKUP(A396,MarketData!$D:$BP,MATCH($BQ$1,MarketData!$D$1:$EG$1,0),TRUE)/100/365+1)^(B396)*BQ395,"")</f>
        <v/>
      </c>
      <c r="BR396" s="98" t="str">
        <f t="shared" si="157"/>
        <v/>
      </c>
      <c r="BS396" s="106" t="str">
        <f>IF(A396&lt;&gt;"",VLOOKUP(A396,MarketData!$D:$BP,MATCH($BS$1,MarketData!$D$1:$EG$1,0),TRUE),"")</f>
        <v/>
      </c>
      <c r="BT396" s="98" t="str">
        <f t="shared" si="168"/>
        <v/>
      </c>
    </row>
    <row r="397" spans="2:72" x14ac:dyDescent="0.25">
      <c r="B397" s="60" t="str">
        <f t="shared" si="156"/>
        <v/>
      </c>
      <c r="C397" s="3" t="str">
        <f t="shared" si="158"/>
        <v/>
      </c>
      <c r="D397" s="3" t="str">
        <f t="shared" si="159"/>
        <v/>
      </c>
      <c r="E397" s="3" t="str">
        <f t="shared" si="160"/>
        <v/>
      </c>
      <c r="F397" s="3" t="str">
        <f t="shared" si="161"/>
        <v/>
      </c>
      <c r="G397" s="74" t="str">
        <f t="shared" si="162"/>
        <v/>
      </c>
      <c r="H397" s="78" t="str">
        <f>IFERROR(C397/SUM(M$2:M396),"")</f>
        <v/>
      </c>
      <c r="I397" s="61" t="str">
        <f>IFERROR(D397/SUM(N$2:N397),"")</f>
        <v/>
      </c>
      <c r="J397" s="61" t="str">
        <f>IFERROR(E397/SUM(O$2:O397),"")</f>
        <v/>
      </c>
      <c r="K397" s="61" t="str">
        <f>IFERROR(F397/SUM(P$2:P397),"")</f>
        <v/>
      </c>
      <c r="L397" s="79" t="str">
        <f>IFERROR(G397/SUM(Q$2:Q397),"")</f>
        <v/>
      </c>
      <c r="M397" s="64" t="str">
        <f t="shared" si="163"/>
        <v/>
      </c>
      <c r="N397" s="55" t="str">
        <f t="shared" si="164"/>
        <v/>
      </c>
      <c r="O397" s="55" t="str">
        <f t="shared" si="165"/>
        <v/>
      </c>
      <c r="P397" s="55" t="str">
        <f t="shared" si="166"/>
        <v/>
      </c>
      <c r="Q397" s="65" t="str">
        <f t="shared" si="167"/>
        <v/>
      </c>
      <c r="R397" s="67" t="str">
        <f t="shared" si="169"/>
        <v/>
      </c>
      <c r="S397" s="56" t="str">
        <f t="shared" si="170"/>
        <v/>
      </c>
      <c r="T397" s="56" t="str">
        <f t="shared" si="171"/>
        <v/>
      </c>
      <c r="U397" s="56" t="str">
        <f t="shared" si="172"/>
        <v/>
      </c>
      <c r="V397" s="68" t="str">
        <f t="shared" si="173"/>
        <v/>
      </c>
      <c r="W397" s="80" t="str">
        <f t="shared" si="174"/>
        <v/>
      </c>
      <c r="X397" s="81" t="str">
        <f t="shared" si="175"/>
        <v/>
      </c>
      <c r="Y397" s="81" t="str">
        <f t="shared" si="176"/>
        <v/>
      </c>
      <c r="Z397" s="81" t="str">
        <f t="shared" si="177"/>
        <v/>
      </c>
      <c r="AA397" s="82" t="str">
        <f t="shared" si="178"/>
        <v/>
      </c>
      <c r="AB397" s="83" t="str">
        <f>IF(R397&lt;&gt;"",(W397-SUMPRODUCT(R$3:R397,$B$3:$B397)/SUM($B$3:$B397))/STDEVA(W387:W397),"")</f>
        <v/>
      </c>
      <c r="AC397" s="84" t="str">
        <f>IF(S397&lt;&gt;"",(X397-SUMPRODUCT(S$3:S397,$B$3:$B397)/SUM($B$3:$B397))/STDEVA(X387:X397),"")</f>
        <v/>
      </c>
      <c r="AD397" s="84" t="str">
        <f>IF(T397&lt;&gt;"",(Y397-SUMPRODUCT(T$3:T397,$B$3:$B397)/SUM($B$3:$B397))/STDEVA(Y387:Y397),"")</f>
        <v/>
      </c>
      <c r="AE397" s="84" t="str">
        <f>IF(U397&lt;&gt;"",(Z397-SUMPRODUCT(U$3:U397,$B$3:$B397)/SUM($B$3:$B397))/STDEVA(Z387:Z397),"")</f>
        <v/>
      </c>
      <c r="AF397" s="85" t="str">
        <f>IF(V397&lt;&gt;"",(AA397-SUMPRODUCT(V$3:V397,$B$3:$B397)/SUM($B$3:$B397))/STDEVA(AA387:AA397),"")</f>
        <v/>
      </c>
      <c r="AG397" s="90" t="str">
        <f t="shared" si="154"/>
        <v/>
      </c>
      <c r="AH397" s="90" t="str">
        <f t="shared" si="154"/>
        <v/>
      </c>
      <c r="AI397" s="90" t="str">
        <f t="shared" si="154"/>
        <v/>
      </c>
      <c r="AJ397" s="90" t="str">
        <f t="shared" ref="AJ397:AK460" si="179">IF(AE397&lt;&gt;"",SUMPRODUCT(AE392:AE397,$B392:$B397)/SUM($B392:$B397),"")</f>
        <v/>
      </c>
      <c r="AK397" s="93" t="str">
        <f t="shared" si="155"/>
        <v/>
      </c>
      <c r="BQ397" s="100" t="str">
        <f>IF(A397&lt;&gt;"",(VLOOKUP(A397,MarketData!$D:$BP,MATCH($BQ$1,MarketData!$D$1:$EG$1,0),TRUE)/100/365+1)^(B397)*BQ396,"")</f>
        <v/>
      </c>
      <c r="BR397" s="98" t="str">
        <f t="shared" si="157"/>
        <v/>
      </c>
      <c r="BS397" s="106" t="str">
        <f>IF(A397&lt;&gt;"",VLOOKUP(A397,MarketData!$D:$BP,MATCH($BS$1,MarketData!$D$1:$EG$1,0),TRUE),"")</f>
        <v/>
      </c>
      <c r="BT397" s="98" t="str">
        <f t="shared" si="168"/>
        <v/>
      </c>
    </row>
    <row r="398" spans="2:72" x14ac:dyDescent="0.25">
      <c r="B398" s="60" t="str">
        <f t="shared" si="156"/>
        <v/>
      </c>
      <c r="C398" s="3" t="str">
        <f t="shared" si="158"/>
        <v/>
      </c>
      <c r="D398" s="3" t="str">
        <f t="shared" si="159"/>
        <v/>
      </c>
      <c r="E398" s="3" t="str">
        <f t="shared" si="160"/>
        <v/>
      </c>
      <c r="F398" s="3" t="str">
        <f t="shared" si="161"/>
        <v/>
      </c>
      <c r="G398" s="74" t="str">
        <f t="shared" si="162"/>
        <v/>
      </c>
      <c r="H398" s="78" t="str">
        <f>IFERROR(C398/SUM(M$2:M397),"")</f>
        <v/>
      </c>
      <c r="I398" s="61" t="str">
        <f>IFERROR(D398/SUM(N$2:N398),"")</f>
        <v/>
      </c>
      <c r="J398" s="61" t="str">
        <f>IFERROR(E398/SUM(O$2:O398),"")</f>
        <v/>
      </c>
      <c r="K398" s="61" t="str">
        <f>IFERROR(F398/SUM(P$2:P398),"")</f>
        <v/>
      </c>
      <c r="L398" s="79" t="str">
        <f>IFERROR(G398/SUM(Q$2:Q398),"")</f>
        <v/>
      </c>
      <c r="M398" s="64" t="str">
        <f t="shared" si="163"/>
        <v/>
      </c>
      <c r="N398" s="55" t="str">
        <f t="shared" si="164"/>
        <v/>
      </c>
      <c r="O398" s="55" t="str">
        <f t="shared" si="165"/>
        <v/>
      </c>
      <c r="P398" s="55" t="str">
        <f t="shared" si="166"/>
        <v/>
      </c>
      <c r="Q398" s="65" t="str">
        <f t="shared" si="167"/>
        <v/>
      </c>
      <c r="R398" s="67" t="str">
        <f t="shared" si="169"/>
        <v/>
      </c>
      <c r="S398" s="56" t="str">
        <f t="shared" si="170"/>
        <v/>
      </c>
      <c r="T398" s="56" t="str">
        <f t="shared" si="171"/>
        <v/>
      </c>
      <c r="U398" s="56" t="str">
        <f t="shared" si="172"/>
        <v/>
      </c>
      <c r="V398" s="68" t="str">
        <f t="shared" si="173"/>
        <v/>
      </c>
      <c r="W398" s="80" t="str">
        <f t="shared" si="174"/>
        <v/>
      </c>
      <c r="X398" s="81" t="str">
        <f t="shared" si="175"/>
        <v/>
      </c>
      <c r="Y398" s="81" t="str">
        <f t="shared" si="176"/>
        <v/>
      </c>
      <c r="Z398" s="81" t="str">
        <f t="shared" si="177"/>
        <v/>
      </c>
      <c r="AA398" s="82" t="str">
        <f t="shared" si="178"/>
        <v/>
      </c>
      <c r="AB398" s="83" t="str">
        <f>IF(R398&lt;&gt;"",(W398-SUMPRODUCT(R$3:R398,$B$3:$B398)/SUM($B$3:$B398))/STDEVA(W388:W398),"")</f>
        <v/>
      </c>
      <c r="AC398" s="84" t="str">
        <f>IF(S398&lt;&gt;"",(X398-SUMPRODUCT(S$3:S398,$B$3:$B398)/SUM($B$3:$B398))/STDEVA(X388:X398),"")</f>
        <v/>
      </c>
      <c r="AD398" s="84" t="str">
        <f>IF(T398&lt;&gt;"",(Y398-SUMPRODUCT(T$3:T398,$B$3:$B398)/SUM($B$3:$B398))/STDEVA(Y388:Y398),"")</f>
        <v/>
      </c>
      <c r="AE398" s="84" t="str">
        <f>IF(U398&lt;&gt;"",(Z398-SUMPRODUCT(U$3:U398,$B$3:$B398)/SUM($B$3:$B398))/STDEVA(Z388:Z398),"")</f>
        <v/>
      </c>
      <c r="AF398" s="85" t="str">
        <f>IF(V398&lt;&gt;"",(AA398-SUMPRODUCT(V$3:V398,$B$3:$B398)/SUM($B$3:$B398))/STDEVA(AA388:AA398),"")</f>
        <v/>
      </c>
      <c r="AG398" s="90" t="str">
        <f t="shared" ref="AG398:AK461" si="180">IF(AB398&lt;&gt;"",SUMPRODUCT(AB393:AB398,$B393:$B398)/SUM($B393:$B398),"")</f>
        <v/>
      </c>
      <c r="AH398" s="90" t="str">
        <f t="shared" si="180"/>
        <v/>
      </c>
      <c r="AI398" s="90" t="str">
        <f t="shared" si="180"/>
        <v/>
      </c>
      <c r="AJ398" s="90" t="str">
        <f t="shared" si="179"/>
        <v/>
      </c>
      <c r="AK398" s="93" t="str">
        <f t="shared" si="179"/>
        <v/>
      </c>
      <c r="BQ398" s="100" t="str">
        <f>IF(A398&lt;&gt;"",(VLOOKUP(A398,MarketData!$D:$BP,MATCH($BQ$1,MarketData!$D$1:$EG$1,0),TRUE)/100/365+1)^(B398)*BQ397,"")</f>
        <v/>
      </c>
      <c r="BR398" s="98" t="str">
        <f t="shared" si="157"/>
        <v/>
      </c>
      <c r="BS398" s="106" t="str">
        <f>IF(A398&lt;&gt;"",VLOOKUP(A398,MarketData!$D:$BP,MATCH($BS$1,MarketData!$D$1:$EG$1,0),TRUE),"")</f>
        <v/>
      </c>
      <c r="BT398" s="98" t="str">
        <f t="shared" si="168"/>
        <v/>
      </c>
    </row>
    <row r="399" spans="2:72" x14ac:dyDescent="0.25">
      <c r="B399" s="60" t="str">
        <f t="shared" si="156"/>
        <v/>
      </c>
      <c r="C399" s="3" t="str">
        <f t="shared" si="158"/>
        <v/>
      </c>
      <c r="D399" s="3" t="str">
        <f t="shared" si="159"/>
        <v/>
      </c>
      <c r="E399" s="3" t="str">
        <f t="shared" si="160"/>
        <v/>
      </c>
      <c r="F399" s="3" t="str">
        <f t="shared" si="161"/>
        <v/>
      </c>
      <c r="G399" s="74" t="str">
        <f t="shared" si="162"/>
        <v/>
      </c>
      <c r="H399" s="78" t="str">
        <f>IFERROR(C399/SUM(M$2:M398),"")</f>
        <v/>
      </c>
      <c r="I399" s="61" t="str">
        <f>IFERROR(D399/SUM(N$2:N399),"")</f>
        <v/>
      </c>
      <c r="J399" s="61" t="str">
        <f>IFERROR(E399/SUM(O$2:O399),"")</f>
        <v/>
      </c>
      <c r="K399" s="61" t="str">
        <f>IFERROR(F399/SUM(P$2:P399),"")</f>
        <v/>
      </c>
      <c r="L399" s="79" t="str">
        <f>IFERROR(G399/SUM(Q$2:Q399),"")</f>
        <v/>
      </c>
      <c r="M399" s="64" t="str">
        <f t="shared" si="163"/>
        <v/>
      </c>
      <c r="N399" s="55" t="str">
        <f t="shared" si="164"/>
        <v/>
      </c>
      <c r="O399" s="55" t="str">
        <f t="shared" si="165"/>
        <v/>
      </c>
      <c r="P399" s="55" t="str">
        <f t="shared" si="166"/>
        <v/>
      </c>
      <c r="Q399" s="65" t="str">
        <f t="shared" si="167"/>
        <v/>
      </c>
      <c r="R399" s="67" t="str">
        <f t="shared" si="169"/>
        <v/>
      </c>
      <c r="S399" s="56" t="str">
        <f t="shared" si="170"/>
        <v/>
      </c>
      <c r="T399" s="56" t="str">
        <f t="shared" si="171"/>
        <v/>
      </c>
      <c r="U399" s="56" t="str">
        <f t="shared" si="172"/>
        <v/>
      </c>
      <c r="V399" s="68" t="str">
        <f t="shared" si="173"/>
        <v/>
      </c>
      <c r="W399" s="80" t="str">
        <f t="shared" si="174"/>
        <v/>
      </c>
      <c r="X399" s="81" t="str">
        <f t="shared" si="175"/>
        <v/>
      </c>
      <c r="Y399" s="81" t="str">
        <f t="shared" si="176"/>
        <v/>
      </c>
      <c r="Z399" s="81" t="str">
        <f t="shared" si="177"/>
        <v/>
      </c>
      <c r="AA399" s="82" t="str">
        <f t="shared" si="178"/>
        <v/>
      </c>
      <c r="AB399" s="83" t="str">
        <f>IF(R399&lt;&gt;"",(W399-SUMPRODUCT(R$3:R399,$B$3:$B399)/SUM($B$3:$B399))/STDEVA(W389:W399),"")</f>
        <v/>
      </c>
      <c r="AC399" s="84" t="str">
        <f>IF(S399&lt;&gt;"",(X399-SUMPRODUCT(S$3:S399,$B$3:$B399)/SUM($B$3:$B399))/STDEVA(X389:X399),"")</f>
        <v/>
      </c>
      <c r="AD399" s="84" t="str">
        <f>IF(T399&lt;&gt;"",(Y399-SUMPRODUCT(T$3:T399,$B$3:$B399)/SUM($B$3:$B399))/STDEVA(Y389:Y399),"")</f>
        <v/>
      </c>
      <c r="AE399" s="84" t="str">
        <f>IF(U399&lt;&gt;"",(Z399-SUMPRODUCT(U$3:U399,$B$3:$B399)/SUM($B$3:$B399))/STDEVA(Z389:Z399),"")</f>
        <v/>
      </c>
      <c r="AF399" s="85" t="str">
        <f>IF(V399&lt;&gt;"",(AA399-SUMPRODUCT(V$3:V399,$B$3:$B399)/SUM($B$3:$B399))/STDEVA(AA389:AA399),"")</f>
        <v/>
      </c>
      <c r="AG399" s="90" t="str">
        <f t="shared" si="180"/>
        <v/>
      </c>
      <c r="AH399" s="90" t="str">
        <f t="shared" si="180"/>
        <v/>
      </c>
      <c r="AI399" s="90" t="str">
        <f t="shared" si="180"/>
        <v/>
      </c>
      <c r="AJ399" s="90" t="str">
        <f t="shared" si="179"/>
        <v/>
      </c>
      <c r="AK399" s="93" t="str">
        <f t="shared" si="179"/>
        <v/>
      </c>
      <c r="BQ399" s="100" t="str">
        <f>IF(A399&lt;&gt;"",(VLOOKUP(A399,MarketData!$D:$BP,MATCH($BQ$1,MarketData!$D$1:$EG$1,0),TRUE)/100/365+1)^(B399)*BQ398,"")</f>
        <v/>
      </c>
      <c r="BR399" s="98" t="str">
        <f t="shared" si="157"/>
        <v/>
      </c>
      <c r="BS399" s="106" t="str">
        <f>IF(A399&lt;&gt;"",VLOOKUP(A399,MarketData!$D:$BP,MATCH($BS$1,MarketData!$D$1:$EG$1,0),TRUE),"")</f>
        <v/>
      </c>
      <c r="BT399" s="98" t="str">
        <f t="shared" si="168"/>
        <v/>
      </c>
    </row>
    <row r="400" spans="2:72" x14ac:dyDescent="0.25">
      <c r="B400" s="60" t="str">
        <f t="shared" si="156"/>
        <v/>
      </c>
      <c r="C400" s="3" t="str">
        <f t="shared" si="158"/>
        <v/>
      </c>
      <c r="D400" s="3" t="str">
        <f t="shared" si="159"/>
        <v/>
      </c>
      <c r="E400" s="3" t="str">
        <f t="shared" si="160"/>
        <v/>
      </c>
      <c r="F400" s="3" t="str">
        <f t="shared" si="161"/>
        <v/>
      </c>
      <c r="G400" s="74" t="str">
        <f t="shared" si="162"/>
        <v/>
      </c>
      <c r="H400" s="78" t="str">
        <f>IFERROR(C400/SUM(M$2:M399),"")</f>
        <v/>
      </c>
      <c r="I400" s="61" t="str">
        <f>IFERROR(D400/SUM(N$2:N400),"")</f>
        <v/>
      </c>
      <c r="J400" s="61" t="str">
        <f>IFERROR(E400/SUM(O$2:O400),"")</f>
        <v/>
      </c>
      <c r="K400" s="61" t="str">
        <f>IFERROR(F400/SUM(P$2:P400),"")</f>
        <v/>
      </c>
      <c r="L400" s="79" t="str">
        <f>IFERROR(G400/SUM(Q$2:Q400),"")</f>
        <v/>
      </c>
      <c r="M400" s="64" t="str">
        <f t="shared" si="163"/>
        <v/>
      </c>
      <c r="N400" s="55" t="str">
        <f t="shared" si="164"/>
        <v/>
      </c>
      <c r="O400" s="55" t="str">
        <f t="shared" si="165"/>
        <v/>
      </c>
      <c r="P400" s="55" t="str">
        <f t="shared" si="166"/>
        <v/>
      </c>
      <c r="Q400" s="65" t="str">
        <f t="shared" si="167"/>
        <v/>
      </c>
      <c r="R400" s="67" t="str">
        <f t="shared" si="169"/>
        <v/>
      </c>
      <c r="S400" s="56" t="str">
        <f t="shared" si="170"/>
        <v/>
      </c>
      <c r="T400" s="56" t="str">
        <f t="shared" si="171"/>
        <v/>
      </c>
      <c r="U400" s="56" t="str">
        <f t="shared" si="172"/>
        <v/>
      </c>
      <c r="V400" s="68" t="str">
        <f t="shared" si="173"/>
        <v/>
      </c>
      <c r="W400" s="80" t="str">
        <f t="shared" si="174"/>
        <v/>
      </c>
      <c r="X400" s="81" t="str">
        <f t="shared" si="175"/>
        <v/>
      </c>
      <c r="Y400" s="81" t="str">
        <f t="shared" si="176"/>
        <v/>
      </c>
      <c r="Z400" s="81" t="str">
        <f t="shared" si="177"/>
        <v/>
      </c>
      <c r="AA400" s="82" t="str">
        <f t="shared" si="178"/>
        <v/>
      </c>
      <c r="AB400" s="83" t="str">
        <f>IF(R400&lt;&gt;"",(W400-SUMPRODUCT(R$3:R400,$B$3:$B400)/SUM($B$3:$B400))/STDEVA(W390:W400),"")</f>
        <v/>
      </c>
      <c r="AC400" s="84" t="str">
        <f>IF(S400&lt;&gt;"",(X400-SUMPRODUCT(S$3:S400,$B$3:$B400)/SUM($B$3:$B400))/STDEVA(X390:X400),"")</f>
        <v/>
      </c>
      <c r="AD400" s="84" t="str">
        <f>IF(T400&lt;&gt;"",(Y400-SUMPRODUCT(T$3:T400,$B$3:$B400)/SUM($B$3:$B400))/STDEVA(Y390:Y400),"")</f>
        <v/>
      </c>
      <c r="AE400" s="84" t="str">
        <f>IF(U400&lt;&gt;"",(Z400-SUMPRODUCT(U$3:U400,$B$3:$B400)/SUM($B$3:$B400))/STDEVA(Z390:Z400),"")</f>
        <v/>
      </c>
      <c r="AF400" s="85" t="str">
        <f>IF(V400&lt;&gt;"",(AA400-SUMPRODUCT(V$3:V400,$B$3:$B400)/SUM($B$3:$B400))/STDEVA(AA390:AA400),"")</f>
        <v/>
      </c>
      <c r="AG400" s="90" t="str">
        <f t="shared" si="180"/>
        <v/>
      </c>
      <c r="AH400" s="90" t="str">
        <f t="shared" si="180"/>
        <v/>
      </c>
      <c r="AI400" s="90" t="str">
        <f t="shared" si="180"/>
        <v/>
      </c>
      <c r="AJ400" s="90" t="str">
        <f t="shared" si="179"/>
        <v/>
      </c>
      <c r="AK400" s="93" t="str">
        <f t="shared" si="179"/>
        <v/>
      </c>
      <c r="BQ400" s="100" t="str">
        <f>IF(A400&lt;&gt;"",(VLOOKUP(A400,MarketData!$D:$BP,MATCH($BQ$1,MarketData!$D$1:$EG$1,0),TRUE)/100/365+1)^(B400)*BQ399,"")</f>
        <v/>
      </c>
      <c r="BR400" s="98" t="str">
        <f t="shared" si="157"/>
        <v/>
      </c>
      <c r="BS400" s="106" t="str">
        <f>IF(A400&lt;&gt;"",VLOOKUP(A400,MarketData!$D:$BP,MATCH($BS$1,MarketData!$D$1:$EG$1,0),TRUE),"")</f>
        <v/>
      </c>
      <c r="BT400" s="98" t="str">
        <f t="shared" si="168"/>
        <v/>
      </c>
    </row>
    <row r="401" spans="2:72" x14ac:dyDescent="0.25">
      <c r="B401" s="60" t="str">
        <f t="shared" si="156"/>
        <v/>
      </c>
      <c r="C401" s="3" t="str">
        <f t="shared" si="158"/>
        <v/>
      </c>
      <c r="D401" s="3" t="str">
        <f t="shared" si="159"/>
        <v/>
      </c>
      <c r="E401" s="3" t="str">
        <f t="shared" si="160"/>
        <v/>
      </c>
      <c r="F401" s="3" t="str">
        <f t="shared" si="161"/>
        <v/>
      </c>
      <c r="G401" s="74" t="str">
        <f t="shared" si="162"/>
        <v/>
      </c>
      <c r="H401" s="78" t="str">
        <f>IFERROR(C401/SUM(M$2:M400),"")</f>
        <v/>
      </c>
      <c r="I401" s="61" t="str">
        <f>IFERROR(D401/SUM(N$2:N401),"")</f>
        <v/>
      </c>
      <c r="J401" s="61" t="str">
        <f>IFERROR(E401/SUM(O$2:O401),"")</f>
        <v/>
      </c>
      <c r="K401" s="61" t="str">
        <f>IFERROR(F401/SUM(P$2:P401),"")</f>
        <v/>
      </c>
      <c r="L401" s="79" t="str">
        <f>IFERROR(G401/SUM(Q$2:Q401),"")</f>
        <v/>
      </c>
      <c r="M401" s="64" t="str">
        <f t="shared" si="163"/>
        <v/>
      </c>
      <c r="N401" s="55" t="str">
        <f t="shared" si="164"/>
        <v/>
      </c>
      <c r="O401" s="55" t="str">
        <f t="shared" si="165"/>
        <v/>
      </c>
      <c r="P401" s="55" t="str">
        <f t="shared" si="166"/>
        <v/>
      </c>
      <c r="Q401" s="65" t="str">
        <f t="shared" si="167"/>
        <v/>
      </c>
      <c r="R401" s="67" t="str">
        <f t="shared" si="169"/>
        <v/>
      </c>
      <c r="S401" s="56" t="str">
        <f t="shared" si="170"/>
        <v/>
      </c>
      <c r="T401" s="56" t="str">
        <f t="shared" si="171"/>
        <v/>
      </c>
      <c r="U401" s="56" t="str">
        <f t="shared" si="172"/>
        <v/>
      </c>
      <c r="V401" s="68" t="str">
        <f t="shared" si="173"/>
        <v/>
      </c>
      <c r="W401" s="80" t="str">
        <f t="shared" si="174"/>
        <v/>
      </c>
      <c r="X401" s="81" t="str">
        <f t="shared" si="175"/>
        <v/>
      </c>
      <c r="Y401" s="81" t="str">
        <f t="shared" si="176"/>
        <v/>
      </c>
      <c r="Z401" s="81" t="str">
        <f t="shared" si="177"/>
        <v/>
      </c>
      <c r="AA401" s="82" t="str">
        <f t="shared" si="178"/>
        <v/>
      </c>
      <c r="AB401" s="83" t="str">
        <f>IF(R401&lt;&gt;"",(W401-SUMPRODUCT(R$3:R401,$B$3:$B401)/SUM($B$3:$B401))/STDEVA(W391:W401),"")</f>
        <v/>
      </c>
      <c r="AC401" s="84" t="str">
        <f>IF(S401&lt;&gt;"",(X401-SUMPRODUCT(S$3:S401,$B$3:$B401)/SUM($B$3:$B401))/STDEVA(X391:X401),"")</f>
        <v/>
      </c>
      <c r="AD401" s="84" t="str">
        <f>IF(T401&lt;&gt;"",(Y401-SUMPRODUCT(T$3:T401,$B$3:$B401)/SUM($B$3:$B401))/STDEVA(Y391:Y401),"")</f>
        <v/>
      </c>
      <c r="AE401" s="84" t="str">
        <f>IF(U401&lt;&gt;"",(Z401-SUMPRODUCT(U$3:U401,$B$3:$B401)/SUM($B$3:$B401))/STDEVA(Z391:Z401),"")</f>
        <v/>
      </c>
      <c r="AF401" s="85" t="str">
        <f>IF(V401&lt;&gt;"",(AA401-SUMPRODUCT(V$3:V401,$B$3:$B401)/SUM($B$3:$B401))/STDEVA(AA391:AA401),"")</f>
        <v/>
      </c>
      <c r="AG401" s="90" t="str">
        <f t="shared" si="180"/>
        <v/>
      </c>
      <c r="AH401" s="90" t="str">
        <f t="shared" si="180"/>
        <v/>
      </c>
      <c r="AI401" s="90" t="str">
        <f t="shared" si="180"/>
        <v/>
      </c>
      <c r="AJ401" s="90" t="str">
        <f t="shared" si="179"/>
        <v/>
      </c>
      <c r="AK401" s="93" t="str">
        <f t="shared" si="179"/>
        <v/>
      </c>
      <c r="BQ401" s="100" t="str">
        <f>IF(A401&lt;&gt;"",(VLOOKUP(A401,MarketData!$D:$BP,MATCH($BQ$1,MarketData!$D$1:$EG$1,0),TRUE)/100/365+1)^(B401)*BQ400,"")</f>
        <v/>
      </c>
      <c r="BR401" s="98" t="str">
        <f t="shared" si="157"/>
        <v/>
      </c>
      <c r="BS401" s="106" t="str">
        <f>IF(A401&lt;&gt;"",VLOOKUP(A401,MarketData!$D:$BP,MATCH($BS$1,MarketData!$D$1:$EG$1,0),TRUE),"")</f>
        <v/>
      </c>
      <c r="BT401" s="98" t="str">
        <f t="shared" si="168"/>
        <v/>
      </c>
    </row>
    <row r="402" spans="2:72" x14ac:dyDescent="0.25">
      <c r="B402" s="60" t="str">
        <f t="shared" si="156"/>
        <v/>
      </c>
      <c r="C402" s="3" t="str">
        <f t="shared" si="158"/>
        <v/>
      </c>
      <c r="D402" s="3" t="str">
        <f t="shared" si="159"/>
        <v/>
      </c>
      <c r="E402" s="3" t="str">
        <f t="shared" si="160"/>
        <v/>
      </c>
      <c r="F402" s="3" t="str">
        <f t="shared" si="161"/>
        <v/>
      </c>
      <c r="G402" s="74" t="str">
        <f t="shared" si="162"/>
        <v/>
      </c>
      <c r="H402" s="78" t="str">
        <f>IFERROR(C402/SUM(M$2:M401),"")</f>
        <v/>
      </c>
      <c r="I402" s="61" t="str">
        <f>IFERROR(D402/SUM(N$2:N402),"")</f>
        <v/>
      </c>
      <c r="J402" s="61" t="str">
        <f>IFERROR(E402/SUM(O$2:O402),"")</f>
        <v/>
      </c>
      <c r="K402" s="61" t="str">
        <f>IFERROR(F402/SUM(P$2:P402),"")</f>
        <v/>
      </c>
      <c r="L402" s="79" t="str">
        <f>IFERROR(G402/SUM(Q$2:Q402),"")</f>
        <v/>
      </c>
      <c r="M402" s="64" t="str">
        <f t="shared" si="163"/>
        <v/>
      </c>
      <c r="N402" s="55" t="str">
        <f t="shared" si="164"/>
        <v/>
      </c>
      <c r="O402" s="55" t="str">
        <f t="shared" si="165"/>
        <v/>
      </c>
      <c r="P402" s="55" t="str">
        <f t="shared" si="166"/>
        <v/>
      </c>
      <c r="Q402" s="65" t="str">
        <f t="shared" si="167"/>
        <v/>
      </c>
      <c r="R402" s="67" t="str">
        <f t="shared" si="169"/>
        <v/>
      </c>
      <c r="S402" s="56" t="str">
        <f t="shared" si="170"/>
        <v/>
      </c>
      <c r="T402" s="56" t="str">
        <f t="shared" si="171"/>
        <v/>
      </c>
      <c r="U402" s="56" t="str">
        <f t="shared" si="172"/>
        <v/>
      </c>
      <c r="V402" s="68" t="str">
        <f t="shared" si="173"/>
        <v/>
      </c>
      <c r="W402" s="80" t="str">
        <f t="shared" si="174"/>
        <v/>
      </c>
      <c r="X402" s="81" t="str">
        <f t="shared" si="175"/>
        <v/>
      </c>
      <c r="Y402" s="81" t="str">
        <f t="shared" si="176"/>
        <v/>
      </c>
      <c r="Z402" s="81" t="str">
        <f t="shared" si="177"/>
        <v/>
      </c>
      <c r="AA402" s="82" t="str">
        <f t="shared" si="178"/>
        <v/>
      </c>
      <c r="AB402" s="83" t="str">
        <f>IF(R402&lt;&gt;"",(W402-SUMPRODUCT(R$3:R402,$B$3:$B402)/SUM($B$3:$B402))/STDEVA(W392:W402),"")</f>
        <v/>
      </c>
      <c r="AC402" s="84" t="str">
        <f>IF(S402&lt;&gt;"",(X402-SUMPRODUCT(S$3:S402,$B$3:$B402)/SUM($B$3:$B402))/STDEVA(X392:X402),"")</f>
        <v/>
      </c>
      <c r="AD402" s="84" t="str">
        <f>IF(T402&lt;&gt;"",(Y402-SUMPRODUCT(T$3:T402,$B$3:$B402)/SUM($B$3:$B402))/STDEVA(Y392:Y402),"")</f>
        <v/>
      </c>
      <c r="AE402" s="84" t="str">
        <f>IF(U402&lt;&gt;"",(Z402-SUMPRODUCT(U$3:U402,$B$3:$B402)/SUM($B$3:$B402))/STDEVA(Z392:Z402),"")</f>
        <v/>
      </c>
      <c r="AF402" s="85" t="str">
        <f>IF(V402&lt;&gt;"",(AA402-SUMPRODUCT(V$3:V402,$B$3:$B402)/SUM($B$3:$B402))/STDEVA(AA392:AA402),"")</f>
        <v/>
      </c>
      <c r="AG402" s="90" t="str">
        <f t="shared" si="180"/>
        <v/>
      </c>
      <c r="AH402" s="90" t="str">
        <f t="shared" si="180"/>
        <v/>
      </c>
      <c r="AI402" s="90" t="str">
        <f t="shared" si="180"/>
        <v/>
      </c>
      <c r="AJ402" s="90" t="str">
        <f t="shared" si="179"/>
        <v/>
      </c>
      <c r="AK402" s="93" t="str">
        <f t="shared" si="179"/>
        <v/>
      </c>
      <c r="BQ402" s="100" t="str">
        <f>IF(A402&lt;&gt;"",(VLOOKUP(A402,MarketData!$D:$BP,MATCH($BQ$1,MarketData!$D$1:$EG$1,0),TRUE)/100/365+1)^(B402)*BQ401,"")</f>
        <v/>
      </c>
      <c r="BR402" s="98" t="str">
        <f t="shared" si="157"/>
        <v/>
      </c>
      <c r="BS402" s="106" t="str">
        <f>IF(A402&lt;&gt;"",VLOOKUP(A402,MarketData!$D:$BP,MATCH($BS$1,MarketData!$D$1:$EG$1,0),TRUE),"")</f>
        <v/>
      </c>
      <c r="BT402" s="98" t="str">
        <f t="shared" si="168"/>
        <v/>
      </c>
    </row>
    <row r="403" spans="2:72" x14ac:dyDescent="0.25">
      <c r="B403" s="60" t="str">
        <f t="shared" si="156"/>
        <v/>
      </c>
      <c r="C403" s="3" t="str">
        <f t="shared" si="158"/>
        <v/>
      </c>
      <c r="D403" s="3" t="str">
        <f t="shared" si="159"/>
        <v/>
      </c>
      <c r="E403" s="3" t="str">
        <f t="shared" si="160"/>
        <v/>
      </c>
      <c r="F403" s="3" t="str">
        <f t="shared" si="161"/>
        <v/>
      </c>
      <c r="G403" s="74" t="str">
        <f t="shared" si="162"/>
        <v/>
      </c>
      <c r="H403" s="78" t="str">
        <f>IFERROR(C403/SUM(M$2:M402),"")</f>
        <v/>
      </c>
      <c r="I403" s="61" t="str">
        <f>IFERROR(D403/SUM(N$2:N403),"")</f>
        <v/>
      </c>
      <c r="J403" s="61" t="str">
        <f>IFERROR(E403/SUM(O$2:O403),"")</f>
        <v/>
      </c>
      <c r="K403" s="61" t="str">
        <f>IFERROR(F403/SUM(P$2:P403),"")</f>
        <v/>
      </c>
      <c r="L403" s="79" t="str">
        <f>IFERROR(G403/SUM(Q$2:Q403),"")</f>
        <v/>
      </c>
      <c r="M403" s="64" t="str">
        <f t="shared" si="163"/>
        <v/>
      </c>
      <c r="N403" s="55" t="str">
        <f t="shared" si="164"/>
        <v/>
      </c>
      <c r="O403" s="55" t="str">
        <f t="shared" si="165"/>
        <v/>
      </c>
      <c r="P403" s="55" t="str">
        <f t="shared" si="166"/>
        <v/>
      </c>
      <c r="Q403" s="65" t="str">
        <f t="shared" si="167"/>
        <v/>
      </c>
      <c r="R403" s="67" t="str">
        <f t="shared" si="169"/>
        <v/>
      </c>
      <c r="S403" s="56" t="str">
        <f t="shared" si="170"/>
        <v/>
      </c>
      <c r="T403" s="56" t="str">
        <f t="shared" si="171"/>
        <v/>
      </c>
      <c r="U403" s="56" t="str">
        <f t="shared" si="172"/>
        <v/>
      </c>
      <c r="V403" s="68" t="str">
        <f t="shared" si="173"/>
        <v/>
      </c>
      <c r="W403" s="80" t="str">
        <f t="shared" si="174"/>
        <v/>
      </c>
      <c r="X403" s="81" t="str">
        <f t="shared" si="175"/>
        <v/>
      </c>
      <c r="Y403" s="81" t="str">
        <f t="shared" si="176"/>
        <v/>
      </c>
      <c r="Z403" s="81" t="str">
        <f t="shared" si="177"/>
        <v/>
      </c>
      <c r="AA403" s="82" t="str">
        <f t="shared" si="178"/>
        <v/>
      </c>
      <c r="AB403" s="83" t="str">
        <f>IF(R403&lt;&gt;"",(W403-SUMPRODUCT(R$3:R403,$B$3:$B403)/SUM($B$3:$B403))/STDEVA(W393:W403),"")</f>
        <v/>
      </c>
      <c r="AC403" s="84" t="str">
        <f>IF(S403&lt;&gt;"",(X403-SUMPRODUCT(S$3:S403,$B$3:$B403)/SUM($B$3:$B403))/STDEVA(X393:X403),"")</f>
        <v/>
      </c>
      <c r="AD403" s="84" t="str">
        <f>IF(T403&lt;&gt;"",(Y403-SUMPRODUCT(T$3:T403,$B$3:$B403)/SUM($B$3:$B403))/STDEVA(Y393:Y403),"")</f>
        <v/>
      </c>
      <c r="AE403" s="84" t="str">
        <f>IF(U403&lt;&gt;"",(Z403-SUMPRODUCT(U$3:U403,$B$3:$B403)/SUM($B$3:$B403))/STDEVA(Z393:Z403),"")</f>
        <v/>
      </c>
      <c r="AF403" s="85" t="str">
        <f>IF(V403&lt;&gt;"",(AA403-SUMPRODUCT(V$3:V403,$B$3:$B403)/SUM($B$3:$B403))/STDEVA(AA393:AA403),"")</f>
        <v/>
      </c>
      <c r="AG403" s="90" t="str">
        <f t="shared" si="180"/>
        <v/>
      </c>
      <c r="AH403" s="90" t="str">
        <f t="shared" si="180"/>
        <v/>
      </c>
      <c r="AI403" s="90" t="str">
        <f t="shared" si="180"/>
        <v/>
      </c>
      <c r="AJ403" s="90" t="str">
        <f t="shared" si="179"/>
        <v/>
      </c>
      <c r="AK403" s="93" t="str">
        <f t="shared" si="179"/>
        <v/>
      </c>
      <c r="BQ403" s="100" t="str">
        <f>IF(A403&lt;&gt;"",(VLOOKUP(A403,MarketData!$D:$BP,MATCH($BQ$1,MarketData!$D$1:$EG$1,0),TRUE)/100/365+1)^(B403)*BQ402,"")</f>
        <v/>
      </c>
      <c r="BR403" s="98" t="str">
        <f t="shared" si="157"/>
        <v/>
      </c>
      <c r="BS403" s="106" t="str">
        <f>IF(A403&lt;&gt;"",VLOOKUP(A403,MarketData!$D:$BP,MATCH($BS$1,MarketData!$D$1:$EG$1,0),TRUE),"")</f>
        <v/>
      </c>
      <c r="BT403" s="98" t="str">
        <f t="shared" si="168"/>
        <v/>
      </c>
    </row>
    <row r="404" spans="2:72" x14ac:dyDescent="0.25">
      <c r="B404" s="60" t="str">
        <f t="shared" si="156"/>
        <v/>
      </c>
      <c r="C404" s="3" t="str">
        <f t="shared" si="158"/>
        <v/>
      </c>
      <c r="D404" s="3" t="str">
        <f t="shared" si="159"/>
        <v/>
      </c>
      <c r="E404" s="3" t="str">
        <f t="shared" si="160"/>
        <v/>
      </c>
      <c r="F404" s="3" t="str">
        <f t="shared" si="161"/>
        <v/>
      </c>
      <c r="G404" s="74" t="str">
        <f t="shared" si="162"/>
        <v/>
      </c>
      <c r="H404" s="78" t="str">
        <f>IFERROR(C404/SUM(M$2:M403),"")</f>
        <v/>
      </c>
      <c r="I404" s="61" t="str">
        <f>IFERROR(D404/SUM(N$2:N404),"")</f>
        <v/>
      </c>
      <c r="J404" s="61" t="str">
        <f>IFERROR(E404/SUM(O$2:O404),"")</f>
        <v/>
      </c>
      <c r="K404" s="61" t="str">
        <f>IFERROR(F404/SUM(P$2:P404),"")</f>
        <v/>
      </c>
      <c r="L404" s="79" t="str">
        <f>IFERROR(G404/SUM(Q$2:Q404),"")</f>
        <v/>
      </c>
      <c r="M404" s="64" t="str">
        <f t="shared" si="163"/>
        <v/>
      </c>
      <c r="N404" s="55" t="str">
        <f t="shared" si="164"/>
        <v/>
      </c>
      <c r="O404" s="55" t="str">
        <f t="shared" si="165"/>
        <v/>
      </c>
      <c r="P404" s="55" t="str">
        <f t="shared" si="166"/>
        <v/>
      </c>
      <c r="Q404" s="65" t="str">
        <f t="shared" si="167"/>
        <v/>
      </c>
      <c r="R404" s="67" t="str">
        <f t="shared" si="169"/>
        <v/>
      </c>
      <c r="S404" s="56" t="str">
        <f t="shared" si="170"/>
        <v/>
      </c>
      <c r="T404" s="56" t="str">
        <f t="shared" si="171"/>
        <v/>
      </c>
      <c r="U404" s="56" t="str">
        <f t="shared" si="172"/>
        <v/>
      </c>
      <c r="V404" s="68" t="str">
        <f t="shared" si="173"/>
        <v/>
      </c>
      <c r="W404" s="80" t="str">
        <f t="shared" si="174"/>
        <v/>
      </c>
      <c r="X404" s="81" t="str">
        <f t="shared" si="175"/>
        <v/>
      </c>
      <c r="Y404" s="81" t="str">
        <f t="shared" si="176"/>
        <v/>
      </c>
      <c r="Z404" s="81" t="str">
        <f t="shared" si="177"/>
        <v/>
      </c>
      <c r="AA404" s="82" t="str">
        <f t="shared" si="178"/>
        <v/>
      </c>
      <c r="AB404" s="83" t="str">
        <f>IF(R404&lt;&gt;"",(W404-SUMPRODUCT(R$3:R404,$B$3:$B404)/SUM($B$3:$B404))/STDEVA(W394:W404),"")</f>
        <v/>
      </c>
      <c r="AC404" s="84" t="str">
        <f>IF(S404&lt;&gt;"",(X404-SUMPRODUCT(S$3:S404,$B$3:$B404)/SUM($B$3:$B404))/STDEVA(X394:X404),"")</f>
        <v/>
      </c>
      <c r="AD404" s="84" t="str">
        <f>IF(T404&lt;&gt;"",(Y404-SUMPRODUCT(T$3:T404,$B$3:$B404)/SUM($B$3:$B404))/STDEVA(Y394:Y404),"")</f>
        <v/>
      </c>
      <c r="AE404" s="84" t="str">
        <f>IF(U404&lt;&gt;"",(Z404-SUMPRODUCT(U$3:U404,$B$3:$B404)/SUM($B$3:$B404))/STDEVA(Z394:Z404),"")</f>
        <v/>
      </c>
      <c r="AF404" s="85" t="str">
        <f>IF(V404&lt;&gt;"",(AA404-SUMPRODUCT(V$3:V404,$B$3:$B404)/SUM($B$3:$B404))/STDEVA(AA394:AA404),"")</f>
        <v/>
      </c>
      <c r="AG404" s="90" t="str">
        <f t="shared" si="180"/>
        <v/>
      </c>
      <c r="AH404" s="90" t="str">
        <f t="shared" si="180"/>
        <v/>
      </c>
      <c r="AI404" s="90" t="str">
        <f t="shared" si="180"/>
        <v/>
      </c>
      <c r="AJ404" s="90" t="str">
        <f t="shared" si="179"/>
        <v/>
      </c>
      <c r="AK404" s="93" t="str">
        <f t="shared" si="179"/>
        <v/>
      </c>
      <c r="BQ404" s="100" t="str">
        <f>IF(A404&lt;&gt;"",(VLOOKUP(A404,MarketData!$D:$BP,MATCH($BQ$1,MarketData!$D$1:$EG$1,0),TRUE)/100/365+1)^(B404)*BQ403,"")</f>
        <v/>
      </c>
      <c r="BR404" s="98" t="str">
        <f t="shared" si="157"/>
        <v/>
      </c>
      <c r="BS404" s="106" t="str">
        <f>IF(A404&lt;&gt;"",VLOOKUP(A404,MarketData!$D:$BP,MATCH($BS$1,MarketData!$D$1:$EG$1,0),TRUE),"")</f>
        <v/>
      </c>
      <c r="BT404" s="98" t="str">
        <f t="shared" si="168"/>
        <v/>
      </c>
    </row>
    <row r="405" spans="2:72" x14ac:dyDescent="0.25">
      <c r="B405" s="60" t="str">
        <f t="shared" si="156"/>
        <v/>
      </c>
      <c r="C405" s="3" t="str">
        <f t="shared" si="158"/>
        <v/>
      </c>
      <c r="D405" s="3" t="str">
        <f t="shared" si="159"/>
        <v/>
      </c>
      <c r="E405" s="3" t="str">
        <f t="shared" si="160"/>
        <v/>
      </c>
      <c r="F405" s="3" t="str">
        <f t="shared" si="161"/>
        <v/>
      </c>
      <c r="G405" s="74" t="str">
        <f t="shared" si="162"/>
        <v/>
      </c>
      <c r="H405" s="78" t="str">
        <f>IFERROR(C405/SUM(M$2:M404),"")</f>
        <v/>
      </c>
      <c r="I405" s="61" t="str">
        <f>IFERROR(D405/SUM(N$2:N405),"")</f>
        <v/>
      </c>
      <c r="J405" s="61" t="str">
        <f>IFERROR(E405/SUM(O$2:O405),"")</f>
        <v/>
      </c>
      <c r="K405" s="61" t="str">
        <f>IFERROR(F405/SUM(P$2:P405),"")</f>
        <v/>
      </c>
      <c r="L405" s="79" t="str">
        <f>IFERROR(G405/SUM(Q$2:Q405),"")</f>
        <v/>
      </c>
      <c r="M405" s="64" t="str">
        <f t="shared" si="163"/>
        <v/>
      </c>
      <c r="N405" s="55" t="str">
        <f t="shared" si="164"/>
        <v/>
      </c>
      <c r="O405" s="55" t="str">
        <f t="shared" si="165"/>
        <v/>
      </c>
      <c r="P405" s="55" t="str">
        <f t="shared" si="166"/>
        <v/>
      </c>
      <c r="Q405" s="65" t="str">
        <f t="shared" si="167"/>
        <v/>
      </c>
      <c r="R405" s="67" t="str">
        <f t="shared" si="169"/>
        <v/>
      </c>
      <c r="S405" s="56" t="str">
        <f t="shared" si="170"/>
        <v/>
      </c>
      <c r="T405" s="56" t="str">
        <f t="shared" si="171"/>
        <v/>
      </c>
      <c r="U405" s="56" t="str">
        <f t="shared" si="172"/>
        <v/>
      </c>
      <c r="V405" s="68" t="str">
        <f t="shared" si="173"/>
        <v/>
      </c>
      <c r="W405" s="80" t="str">
        <f t="shared" si="174"/>
        <v/>
      </c>
      <c r="X405" s="81" t="str">
        <f t="shared" si="175"/>
        <v/>
      </c>
      <c r="Y405" s="81" t="str">
        <f t="shared" si="176"/>
        <v/>
      </c>
      <c r="Z405" s="81" t="str">
        <f t="shared" si="177"/>
        <v/>
      </c>
      <c r="AA405" s="82" t="str">
        <f t="shared" si="178"/>
        <v/>
      </c>
      <c r="AB405" s="83" t="str">
        <f>IF(R405&lt;&gt;"",(W405-SUMPRODUCT(R$3:R405,$B$3:$B405)/SUM($B$3:$B405))/STDEVA(W395:W405),"")</f>
        <v/>
      </c>
      <c r="AC405" s="84" t="str">
        <f>IF(S405&lt;&gt;"",(X405-SUMPRODUCT(S$3:S405,$B$3:$B405)/SUM($B$3:$B405))/STDEVA(X395:X405),"")</f>
        <v/>
      </c>
      <c r="AD405" s="84" t="str">
        <f>IF(T405&lt;&gt;"",(Y405-SUMPRODUCT(T$3:T405,$B$3:$B405)/SUM($B$3:$B405))/STDEVA(Y395:Y405),"")</f>
        <v/>
      </c>
      <c r="AE405" s="84" t="str">
        <f>IF(U405&lt;&gt;"",(Z405-SUMPRODUCT(U$3:U405,$B$3:$B405)/SUM($B$3:$B405))/STDEVA(Z395:Z405),"")</f>
        <v/>
      </c>
      <c r="AF405" s="85" t="str">
        <f>IF(V405&lt;&gt;"",(AA405-SUMPRODUCT(V$3:V405,$B$3:$B405)/SUM($B$3:$B405))/STDEVA(AA395:AA405),"")</f>
        <v/>
      </c>
      <c r="AG405" s="90" t="str">
        <f t="shared" si="180"/>
        <v/>
      </c>
      <c r="AH405" s="90" t="str">
        <f t="shared" si="180"/>
        <v/>
      </c>
      <c r="AI405" s="90" t="str">
        <f t="shared" si="180"/>
        <v/>
      </c>
      <c r="AJ405" s="90" t="str">
        <f t="shared" si="179"/>
        <v/>
      </c>
      <c r="AK405" s="93" t="str">
        <f t="shared" si="179"/>
        <v/>
      </c>
      <c r="BQ405" s="100" t="str">
        <f>IF(A405&lt;&gt;"",(VLOOKUP(A405,MarketData!$D:$BP,MATCH($BQ$1,MarketData!$D$1:$EG$1,0),TRUE)/100/365+1)^(B405)*BQ404,"")</f>
        <v/>
      </c>
      <c r="BR405" s="98" t="str">
        <f t="shared" si="157"/>
        <v/>
      </c>
      <c r="BS405" s="106" t="str">
        <f>IF(A405&lt;&gt;"",VLOOKUP(A405,MarketData!$D:$BP,MATCH($BS$1,MarketData!$D$1:$EG$1,0),TRUE),"")</f>
        <v/>
      </c>
      <c r="BT405" s="98" t="str">
        <f t="shared" si="168"/>
        <v/>
      </c>
    </row>
    <row r="406" spans="2:72" x14ac:dyDescent="0.25">
      <c r="B406" s="60" t="str">
        <f t="shared" si="156"/>
        <v/>
      </c>
      <c r="C406" s="3" t="str">
        <f t="shared" si="158"/>
        <v/>
      </c>
      <c r="D406" s="3" t="str">
        <f t="shared" si="159"/>
        <v/>
      </c>
      <c r="E406" s="3" t="str">
        <f t="shared" si="160"/>
        <v/>
      </c>
      <c r="F406" s="3" t="str">
        <f t="shared" si="161"/>
        <v/>
      </c>
      <c r="G406" s="74" t="str">
        <f t="shared" si="162"/>
        <v/>
      </c>
      <c r="H406" s="78" t="str">
        <f>IFERROR(C406/SUM(M$2:M405),"")</f>
        <v/>
      </c>
      <c r="I406" s="61" t="str">
        <f>IFERROR(D406/SUM(N$2:N406),"")</f>
        <v/>
      </c>
      <c r="J406" s="61" t="str">
        <f>IFERROR(E406/SUM(O$2:O406),"")</f>
        <v/>
      </c>
      <c r="K406" s="61" t="str">
        <f>IFERROR(F406/SUM(P$2:P406),"")</f>
        <v/>
      </c>
      <c r="L406" s="79" t="str">
        <f>IFERROR(G406/SUM(Q$2:Q406),"")</f>
        <v/>
      </c>
      <c r="M406" s="64" t="str">
        <f t="shared" si="163"/>
        <v/>
      </c>
      <c r="N406" s="55" t="str">
        <f t="shared" si="164"/>
        <v/>
      </c>
      <c r="O406" s="55" t="str">
        <f t="shared" si="165"/>
        <v/>
      </c>
      <c r="P406" s="55" t="str">
        <f t="shared" si="166"/>
        <v/>
      </c>
      <c r="Q406" s="65" t="str">
        <f t="shared" si="167"/>
        <v/>
      </c>
      <c r="R406" s="67" t="str">
        <f t="shared" si="169"/>
        <v/>
      </c>
      <c r="S406" s="56" t="str">
        <f t="shared" si="170"/>
        <v/>
      </c>
      <c r="T406" s="56" t="str">
        <f t="shared" si="171"/>
        <v/>
      </c>
      <c r="U406" s="56" t="str">
        <f t="shared" si="172"/>
        <v/>
      </c>
      <c r="V406" s="68" t="str">
        <f t="shared" si="173"/>
        <v/>
      </c>
      <c r="W406" s="80" t="str">
        <f t="shared" si="174"/>
        <v/>
      </c>
      <c r="X406" s="81" t="str">
        <f t="shared" si="175"/>
        <v/>
      </c>
      <c r="Y406" s="81" t="str">
        <f t="shared" si="176"/>
        <v/>
      </c>
      <c r="Z406" s="81" t="str">
        <f t="shared" si="177"/>
        <v/>
      </c>
      <c r="AA406" s="82" t="str">
        <f t="shared" si="178"/>
        <v/>
      </c>
      <c r="AB406" s="83" t="str">
        <f>IF(R406&lt;&gt;"",(W406-SUMPRODUCT(R$3:R406,$B$3:$B406)/SUM($B$3:$B406))/STDEVA(W396:W406),"")</f>
        <v/>
      </c>
      <c r="AC406" s="84" t="str">
        <f>IF(S406&lt;&gt;"",(X406-SUMPRODUCT(S$3:S406,$B$3:$B406)/SUM($B$3:$B406))/STDEVA(X396:X406),"")</f>
        <v/>
      </c>
      <c r="AD406" s="84" t="str">
        <f>IF(T406&lt;&gt;"",(Y406-SUMPRODUCT(T$3:T406,$B$3:$B406)/SUM($B$3:$B406))/STDEVA(Y396:Y406),"")</f>
        <v/>
      </c>
      <c r="AE406" s="84" t="str">
        <f>IF(U406&lt;&gt;"",(Z406-SUMPRODUCT(U$3:U406,$B$3:$B406)/SUM($B$3:$B406))/STDEVA(Z396:Z406),"")</f>
        <v/>
      </c>
      <c r="AF406" s="85" t="str">
        <f>IF(V406&lt;&gt;"",(AA406-SUMPRODUCT(V$3:V406,$B$3:$B406)/SUM($B$3:$B406))/STDEVA(AA396:AA406),"")</f>
        <v/>
      </c>
      <c r="AG406" s="90" t="str">
        <f t="shared" si="180"/>
        <v/>
      </c>
      <c r="AH406" s="90" t="str">
        <f t="shared" si="180"/>
        <v/>
      </c>
      <c r="AI406" s="90" t="str">
        <f t="shared" si="180"/>
        <v/>
      </c>
      <c r="AJ406" s="90" t="str">
        <f t="shared" si="179"/>
        <v/>
      </c>
      <c r="AK406" s="93" t="str">
        <f t="shared" si="179"/>
        <v/>
      </c>
      <c r="BQ406" s="100" t="str">
        <f>IF(A406&lt;&gt;"",(VLOOKUP(A406,MarketData!$D:$BP,MATCH($BQ$1,MarketData!$D$1:$EG$1,0),TRUE)/100/365+1)^(B406)*BQ405,"")</f>
        <v/>
      </c>
      <c r="BR406" s="98" t="str">
        <f t="shared" si="157"/>
        <v/>
      </c>
      <c r="BS406" s="106" t="str">
        <f>IF(A406&lt;&gt;"",VLOOKUP(A406,MarketData!$D:$BP,MATCH($BS$1,MarketData!$D$1:$EG$1,0),TRUE),"")</f>
        <v/>
      </c>
      <c r="BT406" s="98" t="str">
        <f t="shared" si="168"/>
        <v/>
      </c>
    </row>
    <row r="407" spans="2:72" x14ac:dyDescent="0.25">
      <c r="B407" s="60" t="str">
        <f t="shared" si="156"/>
        <v/>
      </c>
      <c r="C407" s="3" t="str">
        <f t="shared" si="158"/>
        <v/>
      </c>
      <c r="D407" s="3" t="str">
        <f t="shared" si="159"/>
        <v/>
      </c>
      <c r="E407" s="3" t="str">
        <f t="shared" si="160"/>
        <v/>
      </c>
      <c r="F407" s="3" t="str">
        <f t="shared" si="161"/>
        <v/>
      </c>
      <c r="G407" s="74" t="str">
        <f t="shared" si="162"/>
        <v/>
      </c>
      <c r="H407" s="78" t="str">
        <f>IFERROR(C407/SUM(M$2:M406),"")</f>
        <v/>
      </c>
      <c r="I407" s="61" t="str">
        <f>IFERROR(D407/SUM(N$2:N407),"")</f>
        <v/>
      </c>
      <c r="J407" s="61" t="str">
        <f>IFERROR(E407/SUM(O$2:O407),"")</f>
        <v/>
      </c>
      <c r="K407" s="61" t="str">
        <f>IFERROR(F407/SUM(P$2:P407),"")</f>
        <v/>
      </c>
      <c r="L407" s="79" t="str">
        <f>IFERROR(G407/SUM(Q$2:Q407),"")</f>
        <v/>
      </c>
      <c r="M407" s="64" t="str">
        <f t="shared" si="163"/>
        <v/>
      </c>
      <c r="N407" s="55" t="str">
        <f t="shared" si="164"/>
        <v/>
      </c>
      <c r="O407" s="55" t="str">
        <f t="shared" si="165"/>
        <v/>
      </c>
      <c r="P407" s="55" t="str">
        <f t="shared" si="166"/>
        <v/>
      </c>
      <c r="Q407" s="65" t="str">
        <f t="shared" si="167"/>
        <v/>
      </c>
      <c r="R407" s="67" t="str">
        <f t="shared" si="169"/>
        <v/>
      </c>
      <c r="S407" s="56" t="str">
        <f t="shared" si="170"/>
        <v/>
      </c>
      <c r="T407" s="56" t="str">
        <f t="shared" si="171"/>
        <v/>
      </c>
      <c r="U407" s="56" t="str">
        <f t="shared" si="172"/>
        <v/>
      </c>
      <c r="V407" s="68" t="str">
        <f t="shared" si="173"/>
        <v/>
      </c>
      <c r="W407" s="80" t="str">
        <f t="shared" si="174"/>
        <v/>
      </c>
      <c r="X407" s="81" t="str">
        <f t="shared" si="175"/>
        <v/>
      </c>
      <c r="Y407" s="81" t="str">
        <f t="shared" si="176"/>
        <v/>
      </c>
      <c r="Z407" s="81" t="str">
        <f t="shared" si="177"/>
        <v/>
      </c>
      <c r="AA407" s="82" t="str">
        <f t="shared" si="178"/>
        <v/>
      </c>
      <c r="AB407" s="83" t="str">
        <f>IF(R407&lt;&gt;"",(W407-SUMPRODUCT(R$3:R407,$B$3:$B407)/SUM($B$3:$B407))/STDEVA(W397:W407),"")</f>
        <v/>
      </c>
      <c r="AC407" s="84" t="str">
        <f>IF(S407&lt;&gt;"",(X407-SUMPRODUCT(S$3:S407,$B$3:$B407)/SUM($B$3:$B407))/STDEVA(X397:X407),"")</f>
        <v/>
      </c>
      <c r="AD407" s="84" t="str">
        <f>IF(T407&lt;&gt;"",(Y407-SUMPRODUCT(T$3:T407,$B$3:$B407)/SUM($B$3:$B407))/STDEVA(Y397:Y407),"")</f>
        <v/>
      </c>
      <c r="AE407" s="84" t="str">
        <f>IF(U407&lt;&gt;"",(Z407-SUMPRODUCT(U$3:U407,$B$3:$B407)/SUM($B$3:$B407))/STDEVA(Z397:Z407),"")</f>
        <v/>
      </c>
      <c r="AF407" s="85" t="str">
        <f>IF(V407&lt;&gt;"",(AA407-SUMPRODUCT(V$3:V407,$B$3:$B407)/SUM($B$3:$B407))/STDEVA(AA397:AA407),"")</f>
        <v/>
      </c>
      <c r="AG407" s="90" t="str">
        <f t="shared" si="180"/>
        <v/>
      </c>
      <c r="AH407" s="90" t="str">
        <f t="shared" si="180"/>
        <v/>
      </c>
      <c r="AI407" s="90" t="str">
        <f t="shared" si="180"/>
        <v/>
      </c>
      <c r="AJ407" s="90" t="str">
        <f t="shared" si="179"/>
        <v/>
      </c>
      <c r="AK407" s="93" t="str">
        <f t="shared" si="179"/>
        <v/>
      </c>
      <c r="BQ407" s="100" t="str">
        <f>IF(A407&lt;&gt;"",(VLOOKUP(A407,MarketData!$D:$BP,MATCH($BQ$1,MarketData!$D$1:$EG$1,0),TRUE)/100/365+1)^(B407)*BQ406,"")</f>
        <v/>
      </c>
      <c r="BR407" s="98" t="str">
        <f t="shared" si="157"/>
        <v/>
      </c>
      <c r="BS407" s="106" t="str">
        <f>IF(A407&lt;&gt;"",VLOOKUP(A407,MarketData!$D:$BP,MATCH($BS$1,MarketData!$D$1:$EG$1,0),TRUE),"")</f>
        <v/>
      </c>
      <c r="BT407" s="98" t="str">
        <f t="shared" si="168"/>
        <v/>
      </c>
    </row>
    <row r="408" spans="2:72" x14ac:dyDescent="0.25">
      <c r="B408" s="60" t="str">
        <f t="shared" si="156"/>
        <v/>
      </c>
      <c r="C408" s="3" t="str">
        <f t="shared" si="158"/>
        <v/>
      </c>
      <c r="D408" s="3" t="str">
        <f t="shared" si="159"/>
        <v/>
      </c>
      <c r="E408" s="3" t="str">
        <f t="shared" si="160"/>
        <v/>
      </c>
      <c r="F408" s="3" t="str">
        <f t="shared" si="161"/>
        <v/>
      </c>
      <c r="G408" s="74" t="str">
        <f t="shared" si="162"/>
        <v/>
      </c>
      <c r="H408" s="78" t="str">
        <f>IFERROR(C408/SUM(M$2:M407),"")</f>
        <v/>
      </c>
      <c r="I408" s="61" t="str">
        <f>IFERROR(D408/SUM(N$2:N408),"")</f>
        <v/>
      </c>
      <c r="J408" s="61" t="str">
        <f>IFERROR(E408/SUM(O$2:O408),"")</f>
        <v/>
      </c>
      <c r="K408" s="61" t="str">
        <f>IFERROR(F408/SUM(P$2:P408),"")</f>
        <v/>
      </c>
      <c r="L408" s="79" t="str">
        <f>IFERROR(G408/SUM(Q$2:Q408),"")</f>
        <v/>
      </c>
      <c r="M408" s="64" t="str">
        <f t="shared" si="163"/>
        <v/>
      </c>
      <c r="N408" s="55" t="str">
        <f t="shared" si="164"/>
        <v/>
      </c>
      <c r="O408" s="55" t="str">
        <f t="shared" si="165"/>
        <v/>
      </c>
      <c r="P408" s="55" t="str">
        <f t="shared" si="166"/>
        <v/>
      </c>
      <c r="Q408" s="65" t="str">
        <f t="shared" si="167"/>
        <v/>
      </c>
      <c r="R408" s="67" t="str">
        <f t="shared" si="169"/>
        <v/>
      </c>
      <c r="S408" s="56" t="str">
        <f t="shared" si="170"/>
        <v/>
      </c>
      <c r="T408" s="56" t="str">
        <f t="shared" si="171"/>
        <v/>
      </c>
      <c r="U408" s="56" t="str">
        <f t="shared" si="172"/>
        <v/>
      </c>
      <c r="V408" s="68" t="str">
        <f t="shared" si="173"/>
        <v/>
      </c>
      <c r="W408" s="80" t="str">
        <f t="shared" si="174"/>
        <v/>
      </c>
      <c r="X408" s="81" t="str">
        <f t="shared" si="175"/>
        <v/>
      </c>
      <c r="Y408" s="81" t="str">
        <f t="shared" si="176"/>
        <v/>
      </c>
      <c r="Z408" s="81" t="str">
        <f t="shared" si="177"/>
        <v/>
      </c>
      <c r="AA408" s="82" t="str">
        <f t="shared" si="178"/>
        <v/>
      </c>
      <c r="AB408" s="83" t="str">
        <f>IF(R408&lt;&gt;"",(W408-SUMPRODUCT(R$3:R408,$B$3:$B408)/SUM($B$3:$B408))/STDEVA(W398:W408),"")</f>
        <v/>
      </c>
      <c r="AC408" s="84" t="str">
        <f>IF(S408&lt;&gt;"",(X408-SUMPRODUCT(S$3:S408,$B$3:$B408)/SUM($B$3:$B408))/STDEVA(X398:X408),"")</f>
        <v/>
      </c>
      <c r="AD408" s="84" t="str">
        <f>IF(T408&lt;&gt;"",(Y408-SUMPRODUCT(T$3:T408,$B$3:$B408)/SUM($B$3:$B408))/STDEVA(Y398:Y408),"")</f>
        <v/>
      </c>
      <c r="AE408" s="84" t="str">
        <f>IF(U408&lt;&gt;"",(Z408-SUMPRODUCT(U$3:U408,$B$3:$B408)/SUM($B$3:$B408))/STDEVA(Z398:Z408),"")</f>
        <v/>
      </c>
      <c r="AF408" s="85" t="str">
        <f>IF(V408&lt;&gt;"",(AA408-SUMPRODUCT(V$3:V408,$B$3:$B408)/SUM($B$3:$B408))/STDEVA(AA398:AA408),"")</f>
        <v/>
      </c>
      <c r="AG408" s="90" t="str">
        <f t="shared" si="180"/>
        <v/>
      </c>
      <c r="AH408" s="90" t="str">
        <f t="shared" si="180"/>
        <v/>
      </c>
      <c r="AI408" s="90" t="str">
        <f t="shared" si="180"/>
        <v/>
      </c>
      <c r="AJ408" s="90" t="str">
        <f t="shared" si="179"/>
        <v/>
      </c>
      <c r="AK408" s="93" t="str">
        <f t="shared" si="179"/>
        <v/>
      </c>
      <c r="BQ408" s="100" t="str">
        <f>IF(A408&lt;&gt;"",(VLOOKUP(A408,MarketData!$D:$BP,MATCH($BQ$1,MarketData!$D$1:$EG$1,0),TRUE)/100/365+1)^(B408)*BQ407,"")</f>
        <v/>
      </c>
      <c r="BR408" s="98" t="str">
        <f t="shared" si="157"/>
        <v/>
      </c>
      <c r="BS408" s="106" t="str">
        <f>IF(A408&lt;&gt;"",VLOOKUP(A408,MarketData!$D:$BP,MATCH($BS$1,MarketData!$D$1:$EG$1,0),TRUE),"")</f>
        <v/>
      </c>
      <c r="BT408" s="98" t="str">
        <f t="shared" si="168"/>
        <v/>
      </c>
    </row>
    <row r="409" spans="2:72" x14ac:dyDescent="0.25">
      <c r="B409" s="60" t="str">
        <f t="shared" si="156"/>
        <v/>
      </c>
      <c r="C409" s="3" t="str">
        <f t="shared" si="158"/>
        <v/>
      </c>
      <c r="D409" s="3" t="str">
        <f t="shared" si="159"/>
        <v/>
      </c>
      <c r="E409" s="3" t="str">
        <f t="shared" si="160"/>
        <v/>
      </c>
      <c r="F409" s="3" t="str">
        <f t="shared" si="161"/>
        <v/>
      </c>
      <c r="G409" s="74" t="str">
        <f t="shared" si="162"/>
        <v/>
      </c>
      <c r="H409" s="78" t="str">
        <f>IFERROR(C409/SUM(M$2:M408),"")</f>
        <v/>
      </c>
      <c r="I409" s="61" t="str">
        <f>IFERROR(D409/SUM(N$2:N409),"")</f>
        <v/>
      </c>
      <c r="J409" s="61" t="str">
        <f>IFERROR(E409/SUM(O$2:O409),"")</f>
        <v/>
      </c>
      <c r="K409" s="61" t="str">
        <f>IFERROR(F409/SUM(P$2:P409),"")</f>
        <v/>
      </c>
      <c r="L409" s="79" t="str">
        <f>IFERROR(G409/SUM(Q$2:Q409),"")</f>
        <v/>
      </c>
      <c r="M409" s="64" t="str">
        <f t="shared" si="163"/>
        <v/>
      </c>
      <c r="N409" s="55" t="str">
        <f t="shared" si="164"/>
        <v/>
      </c>
      <c r="O409" s="55" t="str">
        <f t="shared" si="165"/>
        <v/>
      </c>
      <c r="P409" s="55" t="str">
        <f t="shared" si="166"/>
        <v/>
      </c>
      <c r="Q409" s="65" t="str">
        <f t="shared" si="167"/>
        <v/>
      </c>
      <c r="R409" s="67" t="str">
        <f t="shared" si="169"/>
        <v/>
      </c>
      <c r="S409" s="56" t="str">
        <f t="shared" si="170"/>
        <v/>
      </c>
      <c r="T409" s="56" t="str">
        <f t="shared" si="171"/>
        <v/>
      </c>
      <c r="U409" s="56" t="str">
        <f t="shared" si="172"/>
        <v/>
      </c>
      <c r="V409" s="68" t="str">
        <f t="shared" si="173"/>
        <v/>
      </c>
      <c r="W409" s="80" t="str">
        <f t="shared" si="174"/>
        <v/>
      </c>
      <c r="X409" s="81" t="str">
        <f t="shared" si="175"/>
        <v/>
      </c>
      <c r="Y409" s="81" t="str">
        <f t="shared" si="176"/>
        <v/>
      </c>
      <c r="Z409" s="81" t="str">
        <f t="shared" si="177"/>
        <v/>
      </c>
      <c r="AA409" s="82" t="str">
        <f t="shared" si="178"/>
        <v/>
      </c>
      <c r="AB409" s="83" t="str">
        <f>IF(R409&lt;&gt;"",(W409-SUMPRODUCT(R$3:R409,$B$3:$B409)/SUM($B$3:$B409))/STDEVA(W399:W409),"")</f>
        <v/>
      </c>
      <c r="AC409" s="84" t="str">
        <f>IF(S409&lt;&gt;"",(X409-SUMPRODUCT(S$3:S409,$B$3:$B409)/SUM($B$3:$B409))/STDEVA(X399:X409),"")</f>
        <v/>
      </c>
      <c r="AD409" s="84" t="str">
        <f>IF(T409&lt;&gt;"",(Y409-SUMPRODUCT(T$3:T409,$B$3:$B409)/SUM($B$3:$B409))/STDEVA(Y399:Y409),"")</f>
        <v/>
      </c>
      <c r="AE409" s="84" t="str">
        <f>IF(U409&lt;&gt;"",(Z409-SUMPRODUCT(U$3:U409,$B$3:$B409)/SUM($B$3:$B409))/STDEVA(Z399:Z409),"")</f>
        <v/>
      </c>
      <c r="AF409" s="85" t="str">
        <f>IF(V409&lt;&gt;"",(AA409-SUMPRODUCT(V$3:V409,$B$3:$B409)/SUM($B$3:$B409))/STDEVA(AA399:AA409),"")</f>
        <v/>
      </c>
      <c r="AG409" s="90" t="str">
        <f t="shared" si="180"/>
        <v/>
      </c>
      <c r="AH409" s="90" t="str">
        <f t="shared" si="180"/>
        <v/>
      </c>
      <c r="AI409" s="90" t="str">
        <f t="shared" si="180"/>
        <v/>
      </c>
      <c r="AJ409" s="90" t="str">
        <f t="shared" si="179"/>
        <v/>
      </c>
      <c r="AK409" s="93" t="str">
        <f t="shared" si="179"/>
        <v/>
      </c>
      <c r="BQ409" s="100" t="str">
        <f>IF(A409&lt;&gt;"",(VLOOKUP(A409,MarketData!$D:$BP,MATCH($BQ$1,MarketData!$D$1:$EG$1,0),TRUE)/100/365+1)^(B409)*BQ408,"")</f>
        <v/>
      </c>
      <c r="BR409" s="98" t="str">
        <f t="shared" si="157"/>
        <v/>
      </c>
      <c r="BS409" s="106" t="str">
        <f>IF(A409&lt;&gt;"",VLOOKUP(A409,MarketData!$D:$BP,MATCH($BS$1,MarketData!$D$1:$EG$1,0),TRUE),"")</f>
        <v/>
      </c>
      <c r="BT409" s="98" t="str">
        <f t="shared" si="168"/>
        <v/>
      </c>
    </row>
    <row r="410" spans="2:72" x14ac:dyDescent="0.25">
      <c r="B410" s="60" t="str">
        <f t="shared" si="156"/>
        <v/>
      </c>
      <c r="C410" s="3" t="str">
        <f t="shared" si="158"/>
        <v/>
      </c>
      <c r="D410" s="3" t="str">
        <f t="shared" si="159"/>
        <v/>
      </c>
      <c r="E410" s="3" t="str">
        <f t="shared" si="160"/>
        <v/>
      </c>
      <c r="F410" s="3" t="str">
        <f t="shared" si="161"/>
        <v/>
      </c>
      <c r="G410" s="74" t="str">
        <f t="shared" si="162"/>
        <v/>
      </c>
      <c r="H410" s="78" t="str">
        <f>IFERROR(C410/SUM(M$2:M409),"")</f>
        <v/>
      </c>
      <c r="I410" s="61" t="str">
        <f>IFERROR(D410/SUM(N$2:N410),"")</f>
        <v/>
      </c>
      <c r="J410" s="61" t="str">
        <f>IFERROR(E410/SUM(O$2:O410),"")</f>
        <v/>
      </c>
      <c r="K410" s="61" t="str">
        <f>IFERROR(F410/SUM(P$2:P410),"")</f>
        <v/>
      </c>
      <c r="L410" s="79" t="str">
        <f>IFERROR(G410/SUM(Q$2:Q410),"")</f>
        <v/>
      </c>
      <c r="M410" s="64" t="str">
        <f t="shared" si="163"/>
        <v/>
      </c>
      <c r="N410" s="55" t="str">
        <f t="shared" si="164"/>
        <v/>
      </c>
      <c r="O410" s="55" t="str">
        <f t="shared" si="165"/>
        <v/>
      </c>
      <c r="P410" s="55" t="str">
        <f t="shared" si="166"/>
        <v/>
      </c>
      <c r="Q410" s="65" t="str">
        <f t="shared" si="167"/>
        <v/>
      </c>
      <c r="R410" s="67" t="str">
        <f t="shared" si="169"/>
        <v/>
      </c>
      <c r="S410" s="56" t="str">
        <f t="shared" si="170"/>
        <v/>
      </c>
      <c r="T410" s="56" t="str">
        <f t="shared" si="171"/>
        <v/>
      </c>
      <c r="U410" s="56" t="str">
        <f t="shared" si="172"/>
        <v/>
      </c>
      <c r="V410" s="68" t="str">
        <f t="shared" si="173"/>
        <v/>
      </c>
      <c r="W410" s="80" t="str">
        <f t="shared" si="174"/>
        <v/>
      </c>
      <c r="X410" s="81" t="str">
        <f t="shared" si="175"/>
        <v/>
      </c>
      <c r="Y410" s="81" t="str">
        <f t="shared" si="176"/>
        <v/>
      </c>
      <c r="Z410" s="81" t="str">
        <f t="shared" si="177"/>
        <v/>
      </c>
      <c r="AA410" s="82" t="str">
        <f t="shared" si="178"/>
        <v/>
      </c>
      <c r="AB410" s="83" t="str">
        <f>IF(R410&lt;&gt;"",(W410-SUMPRODUCT(R$3:R410,$B$3:$B410)/SUM($B$3:$B410))/STDEVA(W400:W410),"")</f>
        <v/>
      </c>
      <c r="AC410" s="84" t="str">
        <f>IF(S410&lt;&gt;"",(X410-SUMPRODUCT(S$3:S410,$B$3:$B410)/SUM($B$3:$B410))/STDEVA(X400:X410),"")</f>
        <v/>
      </c>
      <c r="AD410" s="84" t="str">
        <f>IF(T410&lt;&gt;"",(Y410-SUMPRODUCT(T$3:T410,$B$3:$B410)/SUM($B$3:$B410))/STDEVA(Y400:Y410),"")</f>
        <v/>
      </c>
      <c r="AE410" s="84" t="str">
        <f>IF(U410&lt;&gt;"",(Z410-SUMPRODUCT(U$3:U410,$B$3:$B410)/SUM($B$3:$B410))/STDEVA(Z400:Z410),"")</f>
        <v/>
      </c>
      <c r="AF410" s="85" t="str">
        <f>IF(V410&lt;&gt;"",(AA410-SUMPRODUCT(V$3:V410,$B$3:$B410)/SUM($B$3:$B410))/STDEVA(AA400:AA410),"")</f>
        <v/>
      </c>
      <c r="AG410" s="90" t="str">
        <f t="shared" si="180"/>
        <v/>
      </c>
      <c r="AH410" s="90" t="str">
        <f t="shared" si="180"/>
        <v/>
      </c>
      <c r="AI410" s="90" t="str">
        <f t="shared" si="180"/>
        <v/>
      </c>
      <c r="AJ410" s="90" t="str">
        <f t="shared" si="179"/>
        <v/>
      </c>
      <c r="AK410" s="93" t="str">
        <f t="shared" si="179"/>
        <v/>
      </c>
      <c r="BQ410" s="100" t="str">
        <f>IF(A410&lt;&gt;"",(VLOOKUP(A410,MarketData!$D:$BP,MATCH($BQ$1,MarketData!$D$1:$EG$1,0),TRUE)/100/365+1)^(B410)*BQ409,"")</f>
        <v/>
      </c>
      <c r="BR410" s="98" t="str">
        <f t="shared" si="157"/>
        <v/>
      </c>
      <c r="BS410" s="106" t="str">
        <f>IF(A410&lt;&gt;"",VLOOKUP(A410,MarketData!$D:$BP,MATCH($BS$1,MarketData!$D$1:$EG$1,0),TRUE),"")</f>
        <v/>
      </c>
      <c r="BT410" s="98" t="str">
        <f t="shared" si="168"/>
        <v/>
      </c>
    </row>
    <row r="411" spans="2:72" x14ac:dyDescent="0.25">
      <c r="B411" s="60" t="str">
        <f t="shared" ref="B411:B474" si="181">IF(A411&lt;&gt;0,A411-A410,"")</f>
        <v/>
      </c>
      <c r="C411" s="3" t="str">
        <f t="shared" si="158"/>
        <v/>
      </c>
      <c r="D411" s="3" t="str">
        <f t="shared" si="159"/>
        <v/>
      </c>
      <c r="E411" s="3" t="str">
        <f t="shared" si="160"/>
        <v/>
      </c>
      <c r="F411" s="3" t="str">
        <f t="shared" si="161"/>
        <v/>
      </c>
      <c r="G411" s="74" t="str">
        <f t="shared" si="162"/>
        <v/>
      </c>
      <c r="H411" s="78" t="str">
        <f>IFERROR(C411/SUM(M$2:M410),"")</f>
        <v/>
      </c>
      <c r="I411" s="61" t="str">
        <f>IFERROR(D411/SUM(N$2:N411),"")</f>
        <v/>
      </c>
      <c r="J411" s="61" t="str">
        <f>IFERROR(E411/SUM(O$2:O411),"")</f>
        <v/>
      </c>
      <c r="K411" s="61" t="str">
        <f>IFERROR(F411/SUM(P$2:P411),"")</f>
        <v/>
      </c>
      <c r="L411" s="79" t="str">
        <f>IFERROR(G411/SUM(Q$2:Q411),"")</f>
        <v/>
      </c>
      <c r="M411" s="64" t="str">
        <f t="shared" si="163"/>
        <v/>
      </c>
      <c r="N411" s="55" t="str">
        <f t="shared" si="164"/>
        <v/>
      </c>
      <c r="O411" s="55" t="str">
        <f t="shared" si="165"/>
        <v/>
      </c>
      <c r="P411" s="55" t="str">
        <f t="shared" si="166"/>
        <v/>
      </c>
      <c r="Q411" s="65" t="str">
        <f t="shared" si="167"/>
        <v/>
      </c>
      <c r="R411" s="67" t="str">
        <f t="shared" si="169"/>
        <v/>
      </c>
      <c r="S411" s="56" t="str">
        <f t="shared" si="170"/>
        <v/>
      </c>
      <c r="T411" s="56" t="str">
        <f t="shared" si="171"/>
        <v/>
      </c>
      <c r="U411" s="56" t="str">
        <f t="shared" si="172"/>
        <v/>
      </c>
      <c r="V411" s="68" t="str">
        <f t="shared" si="173"/>
        <v/>
      </c>
      <c r="W411" s="80" t="str">
        <f t="shared" si="174"/>
        <v/>
      </c>
      <c r="X411" s="81" t="str">
        <f t="shared" si="175"/>
        <v/>
      </c>
      <c r="Y411" s="81" t="str">
        <f t="shared" si="176"/>
        <v/>
      </c>
      <c r="Z411" s="81" t="str">
        <f t="shared" si="177"/>
        <v/>
      </c>
      <c r="AA411" s="82" t="str">
        <f t="shared" si="178"/>
        <v/>
      </c>
      <c r="AB411" s="83" t="str">
        <f>IF(R411&lt;&gt;"",(W411-SUMPRODUCT(R$3:R411,$B$3:$B411)/SUM($B$3:$B411))/STDEVA(W401:W411),"")</f>
        <v/>
      </c>
      <c r="AC411" s="84" t="str">
        <f>IF(S411&lt;&gt;"",(X411-SUMPRODUCT(S$3:S411,$B$3:$B411)/SUM($B$3:$B411))/STDEVA(X401:X411),"")</f>
        <v/>
      </c>
      <c r="AD411" s="84" t="str">
        <f>IF(T411&lt;&gt;"",(Y411-SUMPRODUCT(T$3:T411,$B$3:$B411)/SUM($B$3:$B411))/STDEVA(Y401:Y411),"")</f>
        <v/>
      </c>
      <c r="AE411" s="84" t="str">
        <f>IF(U411&lt;&gt;"",(Z411-SUMPRODUCT(U$3:U411,$B$3:$B411)/SUM($B$3:$B411))/STDEVA(Z401:Z411),"")</f>
        <v/>
      </c>
      <c r="AF411" s="85" t="str">
        <f>IF(V411&lt;&gt;"",(AA411-SUMPRODUCT(V$3:V411,$B$3:$B411)/SUM($B$3:$B411))/STDEVA(AA401:AA411),"")</f>
        <v/>
      </c>
      <c r="AG411" s="90" t="str">
        <f t="shared" si="180"/>
        <v/>
      </c>
      <c r="AH411" s="90" t="str">
        <f t="shared" si="180"/>
        <v/>
      </c>
      <c r="AI411" s="90" t="str">
        <f t="shared" si="180"/>
        <v/>
      </c>
      <c r="AJ411" s="90" t="str">
        <f t="shared" si="179"/>
        <v/>
      </c>
      <c r="AK411" s="93" t="str">
        <f t="shared" si="179"/>
        <v/>
      </c>
      <c r="BQ411" s="100" t="str">
        <f>IF(A411&lt;&gt;"",(VLOOKUP(A411,MarketData!$D:$BP,MATCH($BQ$1,MarketData!$D$1:$EG$1,0),TRUE)/100/365+1)^(B411)*BQ410,"")</f>
        <v/>
      </c>
      <c r="BR411" s="98" t="str">
        <f t="shared" si="157"/>
        <v/>
      </c>
      <c r="BS411" s="106" t="str">
        <f>IF(A411&lt;&gt;"",VLOOKUP(A411,MarketData!$D:$BP,MATCH($BS$1,MarketData!$D$1:$EG$1,0),TRUE),"")</f>
        <v/>
      </c>
      <c r="BT411" s="98" t="str">
        <f t="shared" si="168"/>
        <v/>
      </c>
    </row>
    <row r="412" spans="2:72" x14ac:dyDescent="0.25">
      <c r="B412" s="60" t="str">
        <f t="shared" si="181"/>
        <v/>
      </c>
      <c r="C412" s="3" t="str">
        <f t="shared" si="158"/>
        <v/>
      </c>
      <c r="D412" s="3" t="str">
        <f t="shared" si="159"/>
        <v/>
      </c>
      <c r="E412" s="3" t="str">
        <f t="shared" si="160"/>
        <v/>
      </c>
      <c r="F412" s="3" t="str">
        <f t="shared" si="161"/>
        <v/>
      </c>
      <c r="G412" s="74" t="str">
        <f t="shared" si="162"/>
        <v/>
      </c>
      <c r="H412" s="78" t="str">
        <f>IFERROR(C412/SUM(M$2:M411),"")</f>
        <v/>
      </c>
      <c r="I412" s="61" t="str">
        <f>IFERROR(D412/SUM(N$2:N412),"")</f>
        <v/>
      </c>
      <c r="J412" s="61" t="str">
        <f>IFERROR(E412/SUM(O$2:O412),"")</f>
        <v/>
      </c>
      <c r="K412" s="61" t="str">
        <f>IFERROR(F412/SUM(P$2:P412),"")</f>
        <v/>
      </c>
      <c r="L412" s="79" t="str">
        <f>IFERROR(G412/SUM(Q$2:Q412),"")</f>
        <v/>
      </c>
      <c r="M412" s="64" t="str">
        <f t="shared" si="163"/>
        <v/>
      </c>
      <c r="N412" s="55" t="str">
        <f t="shared" si="164"/>
        <v/>
      </c>
      <c r="O412" s="55" t="str">
        <f t="shared" si="165"/>
        <v/>
      </c>
      <c r="P412" s="55" t="str">
        <f t="shared" si="166"/>
        <v/>
      </c>
      <c r="Q412" s="65" t="str">
        <f t="shared" si="167"/>
        <v/>
      </c>
      <c r="R412" s="67" t="str">
        <f t="shared" si="169"/>
        <v/>
      </c>
      <c r="S412" s="56" t="str">
        <f t="shared" si="170"/>
        <v/>
      </c>
      <c r="T412" s="56" t="str">
        <f t="shared" si="171"/>
        <v/>
      </c>
      <c r="U412" s="56" t="str">
        <f t="shared" si="172"/>
        <v/>
      </c>
      <c r="V412" s="68" t="str">
        <f t="shared" si="173"/>
        <v/>
      </c>
      <c r="W412" s="80" t="str">
        <f t="shared" si="174"/>
        <v/>
      </c>
      <c r="X412" s="81" t="str">
        <f t="shared" si="175"/>
        <v/>
      </c>
      <c r="Y412" s="81" t="str">
        <f t="shared" si="176"/>
        <v/>
      </c>
      <c r="Z412" s="81" t="str">
        <f t="shared" si="177"/>
        <v/>
      </c>
      <c r="AA412" s="82" t="str">
        <f t="shared" si="178"/>
        <v/>
      </c>
      <c r="AB412" s="83" t="str">
        <f>IF(R412&lt;&gt;"",(W412-SUMPRODUCT(R$3:R412,$B$3:$B412)/SUM($B$3:$B412))/STDEVA(W402:W412),"")</f>
        <v/>
      </c>
      <c r="AC412" s="84" t="str">
        <f>IF(S412&lt;&gt;"",(X412-SUMPRODUCT(S$3:S412,$B$3:$B412)/SUM($B$3:$B412))/STDEVA(X402:X412),"")</f>
        <v/>
      </c>
      <c r="AD412" s="84" t="str">
        <f>IF(T412&lt;&gt;"",(Y412-SUMPRODUCT(T$3:T412,$B$3:$B412)/SUM($B$3:$B412))/STDEVA(Y402:Y412),"")</f>
        <v/>
      </c>
      <c r="AE412" s="84" t="str">
        <f>IF(U412&lt;&gt;"",(Z412-SUMPRODUCT(U$3:U412,$B$3:$B412)/SUM($B$3:$B412))/STDEVA(Z402:Z412),"")</f>
        <v/>
      </c>
      <c r="AF412" s="85" t="str">
        <f>IF(V412&lt;&gt;"",(AA412-SUMPRODUCT(V$3:V412,$B$3:$B412)/SUM($B$3:$B412))/STDEVA(AA402:AA412),"")</f>
        <v/>
      </c>
      <c r="AG412" s="90" t="str">
        <f t="shared" si="180"/>
        <v/>
      </c>
      <c r="AH412" s="90" t="str">
        <f t="shared" si="180"/>
        <v/>
      </c>
      <c r="AI412" s="90" t="str">
        <f t="shared" si="180"/>
        <v/>
      </c>
      <c r="AJ412" s="90" t="str">
        <f t="shared" si="179"/>
        <v/>
      </c>
      <c r="AK412" s="93" t="str">
        <f t="shared" si="179"/>
        <v/>
      </c>
      <c r="BQ412" s="100" t="str">
        <f>IF(A412&lt;&gt;"",(VLOOKUP(A412,MarketData!$D:$BP,MATCH($BQ$1,MarketData!$D$1:$EG$1,0),TRUE)/100/365+1)^(B412)*BQ411,"")</f>
        <v/>
      </c>
      <c r="BR412" s="98" t="str">
        <f t="shared" si="157"/>
        <v/>
      </c>
      <c r="BS412" s="106" t="str">
        <f>IF(A412&lt;&gt;"",VLOOKUP(A412,MarketData!$D:$BP,MATCH($BS$1,MarketData!$D$1:$EG$1,0),TRUE),"")</f>
        <v/>
      </c>
      <c r="BT412" s="98" t="str">
        <f t="shared" si="168"/>
        <v/>
      </c>
    </row>
    <row r="413" spans="2:72" x14ac:dyDescent="0.25">
      <c r="B413" s="60" t="str">
        <f t="shared" si="181"/>
        <v/>
      </c>
      <c r="C413" s="3" t="str">
        <f t="shared" si="158"/>
        <v/>
      </c>
      <c r="D413" s="3" t="str">
        <f t="shared" si="159"/>
        <v/>
      </c>
      <c r="E413" s="3" t="str">
        <f t="shared" si="160"/>
        <v/>
      </c>
      <c r="F413" s="3" t="str">
        <f t="shared" si="161"/>
        <v/>
      </c>
      <c r="G413" s="74" t="str">
        <f t="shared" si="162"/>
        <v/>
      </c>
      <c r="H413" s="78" t="str">
        <f>IFERROR(C413/SUM(M$2:M412),"")</f>
        <v/>
      </c>
      <c r="I413" s="61" t="str">
        <f>IFERROR(D413/SUM(N$2:N413),"")</f>
        <v/>
      </c>
      <c r="J413" s="61" t="str">
        <f>IFERROR(E413/SUM(O$2:O413),"")</f>
        <v/>
      </c>
      <c r="K413" s="61" t="str">
        <f>IFERROR(F413/SUM(P$2:P413),"")</f>
        <v/>
      </c>
      <c r="L413" s="79" t="str">
        <f>IFERROR(G413/SUM(Q$2:Q413),"")</f>
        <v/>
      </c>
      <c r="M413" s="64" t="str">
        <f t="shared" si="163"/>
        <v/>
      </c>
      <c r="N413" s="55" t="str">
        <f t="shared" si="164"/>
        <v/>
      </c>
      <c r="O413" s="55" t="str">
        <f t="shared" si="165"/>
        <v/>
      </c>
      <c r="P413" s="55" t="str">
        <f t="shared" si="166"/>
        <v/>
      </c>
      <c r="Q413" s="65" t="str">
        <f t="shared" si="167"/>
        <v/>
      </c>
      <c r="R413" s="67" t="str">
        <f t="shared" si="169"/>
        <v/>
      </c>
      <c r="S413" s="56" t="str">
        <f t="shared" si="170"/>
        <v/>
      </c>
      <c r="T413" s="56" t="str">
        <f t="shared" si="171"/>
        <v/>
      </c>
      <c r="U413" s="56" t="str">
        <f t="shared" si="172"/>
        <v/>
      </c>
      <c r="V413" s="68" t="str">
        <f t="shared" si="173"/>
        <v/>
      </c>
      <c r="W413" s="80" t="str">
        <f t="shared" si="174"/>
        <v/>
      </c>
      <c r="X413" s="81" t="str">
        <f t="shared" si="175"/>
        <v/>
      </c>
      <c r="Y413" s="81" t="str">
        <f t="shared" si="176"/>
        <v/>
      </c>
      <c r="Z413" s="81" t="str">
        <f t="shared" si="177"/>
        <v/>
      </c>
      <c r="AA413" s="82" t="str">
        <f t="shared" si="178"/>
        <v/>
      </c>
      <c r="AB413" s="83" t="str">
        <f>IF(R413&lt;&gt;"",(W413-SUMPRODUCT(R$3:R413,$B$3:$B413)/SUM($B$3:$B413))/STDEVA(W403:W413),"")</f>
        <v/>
      </c>
      <c r="AC413" s="84" t="str">
        <f>IF(S413&lt;&gt;"",(X413-SUMPRODUCT(S$3:S413,$B$3:$B413)/SUM($B$3:$B413))/STDEVA(X403:X413),"")</f>
        <v/>
      </c>
      <c r="AD413" s="84" t="str">
        <f>IF(T413&lt;&gt;"",(Y413-SUMPRODUCT(T$3:T413,$B$3:$B413)/SUM($B$3:$B413))/STDEVA(Y403:Y413),"")</f>
        <v/>
      </c>
      <c r="AE413" s="84" t="str">
        <f>IF(U413&lt;&gt;"",(Z413-SUMPRODUCT(U$3:U413,$B$3:$B413)/SUM($B$3:$B413))/STDEVA(Z403:Z413),"")</f>
        <v/>
      </c>
      <c r="AF413" s="85" t="str">
        <f>IF(V413&lt;&gt;"",(AA413-SUMPRODUCT(V$3:V413,$B$3:$B413)/SUM($B$3:$B413))/STDEVA(AA403:AA413),"")</f>
        <v/>
      </c>
      <c r="AG413" s="90" t="str">
        <f t="shared" si="180"/>
        <v/>
      </c>
      <c r="AH413" s="90" t="str">
        <f t="shared" si="180"/>
        <v/>
      </c>
      <c r="AI413" s="90" t="str">
        <f t="shared" si="180"/>
        <v/>
      </c>
      <c r="AJ413" s="90" t="str">
        <f t="shared" si="179"/>
        <v/>
      </c>
      <c r="AK413" s="93" t="str">
        <f t="shared" si="179"/>
        <v/>
      </c>
      <c r="BQ413" s="100" t="str">
        <f>IF(A413&lt;&gt;"",(VLOOKUP(A413,MarketData!$D:$BP,MATCH($BQ$1,MarketData!$D$1:$EG$1,0),TRUE)/100/365+1)^(B413)*BQ412,"")</f>
        <v/>
      </c>
      <c r="BR413" s="98" t="str">
        <f t="shared" si="157"/>
        <v/>
      </c>
      <c r="BS413" s="106" t="str">
        <f>IF(A413&lt;&gt;"",VLOOKUP(A413,MarketData!$D:$BP,MATCH($BS$1,MarketData!$D$1:$EG$1,0),TRUE),"")</f>
        <v/>
      </c>
      <c r="BT413" s="98" t="str">
        <f t="shared" si="168"/>
        <v/>
      </c>
    </row>
    <row r="414" spans="2:72" x14ac:dyDescent="0.25">
      <c r="B414" s="60" t="str">
        <f t="shared" si="181"/>
        <v/>
      </c>
      <c r="C414" s="3" t="str">
        <f t="shared" si="158"/>
        <v/>
      </c>
      <c r="D414" s="3" t="str">
        <f t="shared" si="159"/>
        <v/>
      </c>
      <c r="E414" s="3" t="str">
        <f t="shared" si="160"/>
        <v/>
      </c>
      <c r="F414" s="3" t="str">
        <f t="shared" si="161"/>
        <v/>
      </c>
      <c r="G414" s="74" t="str">
        <f t="shared" si="162"/>
        <v/>
      </c>
      <c r="H414" s="78" t="str">
        <f>IFERROR(C414/SUM(M$2:M413),"")</f>
        <v/>
      </c>
      <c r="I414" s="61" t="str">
        <f>IFERROR(D414/SUM(N$2:N414),"")</f>
        <v/>
      </c>
      <c r="J414" s="61" t="str">
        <f>IFERROR(E414/SUM(O$2:O414),"")</f>
        <v/>
      </c>
      <c r="K414" s="61" t="str">
        <f>IFERROR(F414/SUM(P$2:P414),"")</f>
        <v/>
      </c>
      <c r="L414" s="79" t="str">
        <f>IFERROR(G414/SUM(Q$2:Q414),"")</f>
        <v/>
      </c>
      <c r="M414" s="64" t="str">
        <f t="shared" si="163"/>
        <v/>
      </c>
      <c r="N414" s="55" t="str">
        <f t="shared" si="164"/>
        <v/>
      </c>
      <c r="O414" s="55" t="str">
        <f t="shared" si="165"/>
        <v/>
      </c>
      <c r="P414" s="55" t="str">
        <f t="shared" si="166"/>
        <v/>
      </c>
      <c r="Q414" s="65" t="str">
        <f t="shared" si="167"/>
        <v/>
      </c>
      <c r="R414" s="67" t="str">
        <f t="shared" si="169"/>
        <v/>
      </c>
      <c r="S414" s="56" t="str">
        <f t="shared" si="170"/>
        <v/>
      </c>
      <c r="T414" s="56" t="str">
        <f t="shared" si="171"/>
        <v/>
      </c>
      <c r="U414" s="56" t="str">
        <f t="shared" si="172"/>
        <v/>
      </c>
      <c r="V414" s="68" t="str">
        <f t="shared" si="173"/>
        <v/>
      </c>
      <c r="W414" s="80" t="str">
        <f t="shared" si="174"/>
        <v/>
      </c>
      <c r="X414" s="81" t="str">
        <f t="shared" si="175"/>
        <v/>
      </c>
      <c r="Y414" s="81" t="str">
        <f t="shared" si="176"/>
        <v/>
      </c>
      <c r="Z414" s="81" t="str">
        <f t="shared" si="177"/>
        <v/>
      </c>
      <c r="AA414" s="82" t="str">
        <f t="shared" si="178"/>
        <v/>
      </c>
      <c r="AB414" s="83" t="str">
        <f>IF(R414&lt;&gt;"",(W414-SUMPRODUCT(R$3:R414,$B$3:$B414)/SUM($B$3:$B414))/STDEVA(W404:W414),"")</f>
        <v/>
      </c>
      <c r="AC414" s="84" t="str">
        <f>IF(S414&lt;&gt;"",(X414-SUMPRODUCT(S$3:S414,$B$3:$B414)/SUM($B$3:$B414))/STDEVA(X404:X414),"")</f>
        <v/>
      </c>
      <c r="AD414" s="84" t="str">
        <f>IF(T414&lt;&gt;"",(Y414-SUMPRODUCT(T$3:T414,$B$3:$B414)/SUM($B$3:$B414))/STDEVA(Y404:Y414),"")</f>
        <v/>
      </c>
      <c r="AE414" s="84" t="str">
        <f>IF(U414&lt;&gt;"",(Z414-SUMPRODUCT(U$3:U414,$B$3:$B414)/SUM($B$3:$B414))/STDEVA(Z404:Z414),"")</f>
        <v/>
      </c>
      <c r="AF414" s="85" t="str">
        <f>IF(V414&lt;&gt;"",(AA414-SUMPRODUCT(V$3:V414,$B$3:$B414)/SUM($B$3:$B414))/STDEVA(AA404:AA414),"")</f>
        <v/>
      </c>
      <c r="AG414" s="90" t="str">
        <f t="shared" si="180"/>
        <v/>
      </c>
      <c r="AH414" s="90" t="str">
        <f t="shared" si="180"/>
        <v/>
      </c>
      <c r="AI414" s="90" t="str">
        <f t="shared" si="180"/>
        <v/>
      </c>
      <c r="AJ414" s="90" t="str">
        <f t="shared" si="179"/>
        <v/>
      </c>
      <c r="AK414" s="93" t="str">
        <f t="shared" si="179"/>
        <v/>
      </c>
      <c r="BQ414" s="100" t="str">
        <f>IF(A414&lt;&gt;"",(VLOOKUP(A414,MarketData!$D:$BP,MATCH($BQ$1,MarketData!$D$1:$EG$1,0),TRUE)/100/365+1)^(B414)*BQ413,"")</f>
        <v/>
      </c>
      <c r="BR414" s="98" t="str">
        <f t="shared" si="157"/>
        <v/>
      </c>
      <c r="BS414" s="106" t="str">
        <f>IF(A414&lt;&gt;"",VLOOKUP(A414,MarketData!$D:$BP,MATCH($BS$1,MarketData!$D$1:$EG$1,0),TRUE),"")</f>
        <v/>
      </c>
      <c r="BT414" s="98" t="str">
        <f t="shared" si="168"/>
        <v/>
      </c>
    </row>
    <row r="415" spans="2:72" x14ac:dyDescent="0.25">
      <c r="B415" s="60" t="str">
        <f t="shared" si="181"/>
        <v/>
      </c>
      <c r="C415" s="3" t="str">
        <f t="shared" si="158"/>
        <v/>
      </c>
      <c r="D415" s="3" t="str">
        <f t="shared" si="159"/>
        <v/>
      </c>
      <c r="E415" s="3" t="str">
        <f t="shared" si="160"/>
        <v/>
      </c>
      <c r="F415" s="3" t="str">
        <f t="shared" si="161"/>
        <v/>
      </c>
      <c r="G415" s="74" t="str">
        <f t="shared" si="162"/>
        <v/>
      </c>
      <c r="H415" s="78" t="str">
        <f>IFERROR(C415/SUM(M$2:M414),"")</f>
        <v/>
      </c>
      <c r="I415" s="61" t="str">
        <f>IFERROR(D415/SUM(N$2:N415),"")</f>
        <v/>
      </c>
      <c r="J415" s="61" t="str">
        <f>IFERROR(E415/SUM(O$2:O415),"")</f>
        <v/>
      </c>
      <c r="K415" s="61" t="str">
        <f>IFERROR(F415/SUM(P$2:P415),"")</f>
        <v/>
      </c>
      <c r="L415" s="79" t="str">
        <f>IFERROR(G415/SUM(Q$2:Q415),"")</f>
        <v/>
      </c>
      <c r="M415" s="64" t="str">
        <f t="shared" si="163"/>
        <v/>
      </c>
      <c r="N415" s="55" t="str">
        <f t="shared" si="164"/>
        <v/>
      </c>
      <c r="O415" s="55" t="str">
        <f t="shared" si="165"/>
        <v/>
      </c>
      <c r="P415" s="55" t="str">
        <f t="shared" si="166"/>
        <v/>
      </c>
      <c r="Q415" s="65" t="str">
        <f t="shared" si="167"/>
        <v/>
      </c>
      <c r="R415" s="67" t="str">
        <f t="shared" si="169"/>
        <v/>
      </c>
      <c r="S415" s="56" t="str">
        <f t="shared" si="170"/>
        <v/>
      </c>
      <c r="T415" s="56" t="str">
        <f t="shared" si="171"/>
        <v/>
      </c>
      <c r="U415" s="56" t="str">
        <f t="shared" si="172"/>
        <v/>
      </c>
      <c r="V415" s="68" t="str">
        <f t="shared" si="173"/>
        <v/>
      </c>
      <c r="W415" s="80" t="str">
        <f t="shared" si="174"/>
        <v/>
      </c>
      <c r="X415" s="81" t="str">
        <f t="shared" si="175"/>
        <v/>
      </c>
      <c r="Y415" s="81" t="str">
        <f t="shared" si="176"/>
        <v/>
      </c>
      <c r="Z415" s="81" t="str">
        <f t="shared" si="177"/>
        <v/>
      </c>
      <c r="AA415" s="82" t="str">
        <f t="shared" si="178"/>
        <v/>
      </c>
      <c r="AB415" s="83" t="str">
        <f>IF(R415&lt;&gt;"",(W415-SUMPRODUCT(R$3:R415,$B$3:$B415)/SUM($B$3:$B415))/STDEVA(W405:W415),"")</f>
        <v/>
      </c>
      <c r="AC415" s="84" t="str">
        <f>IF(S415&lt;&gt;"",(X415-SUMPRODUCT(S$3:S415,$B$3:$B415)/SUM($B$3:$B415))/STDEVA(X405:X415),"")</f>
        <v/>
      </c>
      <c r="AD415" s="84" t="str">
        <f>IF(T415&lt;&gt;"",(Y415-SUMPRODUCT(T$3:T415,$B$3:$B415)/SUM($B$3:$B415))/STDEVA(Y405:Y415),"")</f>
        <v/>
      </c>
      <c r="AE415" s="84" t="str">
        <f>IF(U415&lt;&gt;"",(Z415-SUMPRODUCT(U$3:U415,$B$3:$B415)/SUM($B$3:$B415))/STDEVA(Z405:Z415),"")</f>
        <v/>
      </c>
      <c r="AF415" s="85" t="str">
        <f>IF(V415&lt;&gt;"",(AA415-SUMPRODUCT(V$3:V415,$B$3:$B415)/SUM($B$3:$B415))/STDEVA(AA405:AA415),"")</f>
        <v/>
      </c>
      <c r="AG415" s="90" t="str">
        <f t="shared" si="180"/>
        <v/>
      </c>
      <c r="AH415" s="90" t="str">
        <f t="shared" si="180"/>
        <v/>
      </c>
      <c r="AI415" s="90" t="str">
        <f t="shared" si="180"/>
        <v/>
      </c>
      <c r="AJ415" s="90" t="str">
        <f t="shared" si="179"/>
        <v/>
      </c>
      <c r="AK415" s="93" t="str">
        <f t="shared" si="179"/>
        <v/>
      </c>
      <c r="BQ415" s="100" t="str">
        <f>IF(A415&lt;&gt;"",(VLOOKUP(A415,MarketData!$D:$BP,MATCH($BQ$1,MarketData!$D$1:$EG$1,0),TRUE)/100/365+1)^(B415)*BQ414,"")</f>
        <v/>
      </c>
      <c r="BR415" s="98" t="str">
        <f t="shared" si="157"/>
        <v/>
      </c>
      <c r="BS415" s="106" t="str">
        <f>IF(A415&lt;&gt;"",VLOOKUP(A415,MarketData!$D:$BP,MATCH($BS$1,MarketData!$D$1:$EG$1,0),TRUE),"")</f>
        <v/>
      </c>
      <c r="BT415" s="98" t="str">
        <f t="shared" si="168"/>
        <v/>
      </c>
    </row>
    <row r="416" spans="2:72" x14ac:dyDescent="0.25">
      <c r="B416" s="60" t="str">
        <f t="shared" si="181"/>
        <v/>
      </c>
      <c r="C416" s="3" t="str">
        <f t="shared" si="158"/>
        <v/>
      </c>
      <c r="D416" s="3" t="str">
        <f t="shared" si="159"/>
        <v/>
      </c>
      <c r="E416" s="3" t="str">
        <f t="shared" si="160"/>
        <v/>
      </c>
      <c r="F416" s="3" t="str">
        <f t="shared" si="161"/>
        <v/>
      </c>
      <c r="G416" s="74" t="str">
        <f t="shared" si="162"/>
        <v/>
      </c>
      <c r="H416" s="78" t="str">
        <f>IFERROR(C416/SUM(M$2:M415),"")</f>
        <v/>
      </c>
      <c r="I416" s="61" t="str">
        <f>IFERROR(D416/SUM(N$2:N416),"")</f>
        <v/>
      </c>
      <c r="J416" s="61" t="str">
        <f>IFERROR(E416/SUM(O$2:O416),"")</f>
        <v/>
      </c>
      <c r="K416" s="61" t="str">
        <f>IFERROR(F416/SUM(P$2:P416),"")</f>
        <v/>
      </c>
      <c r="L416" s="79" t="str">
        <f>IFERROR(G416/SUM(Q$2:Q416),"")</f>
        <v/>
      </c>
      <c r="M416" s="64" t="str">
        <f t="shared" si="163"/>
        <v/>
      </c>
      <c r="N416" s="55" t="str">
        <f t="shared" si="164"/>
        <v/>
      </c>
      <c r="O416" s="55" t="str">
        <f t="shared" si="165"/>
        <v/>
      </c>
      <c r="P416" s="55" t="str">
        <f t="shared" si="166"/>
        <v/>
      </c>
      <c r="Q416" s="65" t="str">
        <f t="shared" si="167"/>
        <v/>
      </c>
      <c r="R416" s="67" t="str">
        <f t="shared" si="169"/>
        <v/>
      </c>
      <c r="S416" s="56" t="str">
        <f t="shared" si="170"/>
        <v/>
      </c>
      <c r="T416" s="56" t="str">
        <f t="shared" si="171"/>
        <v/>
      </c>
      <c r="U416" s="56" t="str">
        <f t="shared" si="172"/>
        <v/>
      </c>
      <c r="V416" s="68" t="str">
        <f t="shared" si="173"/>
        <v/>
      </c>
      <c r="W416" s="80" t="str">
        <f t="shared" si="174"/>
        <v/>
      </c>
      <c r="X416" s="81" t="str">
        <f t="shared" si="175"/>
        <v/>
      </c>
      <c r="Y416" s="81" t="str">
        <f t="shared" si="176"/>
        <v/>
      </c>
      <c r="Z416" s="81" t="str">
        <f t="shared" si="177"/>
        <v/>
      </c>
      <c r="AA416" s="82" t="str">
        <f t="shared" si="178"/>
        <v/>
      </c>
      <c r="AB416" s="83" t="str">
        <f>IF(R416&lt;&gt;"",(W416-SUMPRODUCT(R$3:R416,$B$3:$B416)/SUM($B$3:$B416))/STDEVA(W406:W416),"")</f>
        <v/>
      </c>
      <c r="AC416" s="84" t="str">
        <f>IF(S416&lt;&gt;"",(X416-SUMPRODUCT(S$3:S416,$B$3:$B416)/SUM($B$3:$B416))/STDEVA(X406:X416),"")</f>
        <v/>
      </c>
      <c r="AD416" s="84" t="str">
        <f>IF(T416&lt;&gt;"",(Y416-SUMPRODUCT(T$3:T416,$B$3:$B416)/SUM($B$3:$B416))/STDEVA(Y406:Y416),"")</f>
        <v/>
      </c>
      <c r="AE416" s="84" t="str">
        <f>IF(U416&lt;&gt;"",(Z416-SUMPRODUCT(U$3:U416,$B$3:$B416)/SUM($B$3:$B416))/STDEVA(Z406:Z416),"")</f>
        <v/>
      </c>
      <c r="AF416" s="85" t="str">
        <f>IF(V416&lt;&gt;"",(AA416-SUMPRODUCT(V$3:V416,$B$3:$B416)/SUM($B$3:$B416))/STDEVA(AA406:AA416),"")</f>
        <v/>
      </c>
      <c r="AG416" s="90" t="str">
        <f t="shared" si="180"/>
        <v/>
      </c>
      <c r="AH416" s="90" t="str">
        <f t="shared" si="180"/>
        <v/>
      </c>
      <c r="AI416" s="90" t="str">
        <f t="shared" si="180"/>
        <v/>
      </c>
      <c r="AJ416" s="90" t="str">
        <f t="shared" si="179"/>
        <v/>
      </c>
      <c r="AK416" s="93" t="str">
        <f t="shared" si="179"/>
        <v/>
      </c>
      <c r="BQ416" s="100" t="str">
        <f>IF(A416&lt;&gt;"",(VLOOKUP(A416,MarketData!$D:$BP,MATCH($BQ$1,MarketData!$D$1:$EG$1,0),TRUE)/100/365+1)^(B416)*BQ415,"")</f>
        <v/>
      </c>
      <c r="BR416" s="98" t="str">
        <f t="shared" si="157"/>
        <v/>
      </c>
      <c r="BS416" s="106" t="str">
        <f>IF(A416&lt;&gt;"",VLOOKUP(A416,MarketData!$D:$BP,MATCH($BS$1,MarketData!$D$1:$EG$1,0),TRUE),"")</f>
        <v/>
      </c>
      <c r="BT416" s="98" t="str">
        <f t="shared" si="168"/>
        <v/>
      </c>
    </row>
    <row r="417" spans="2:72" x14ac:dyDescent="0.25">
      <c r="B417" s="60" t="str">
        <f t="shared" si="181"/>
        <v/>
      </c>
      <c r="C417" s="3" t="str">
        <f t="shared" si="158"/>
        <v/>
      </c>
      <c r="D417" s="3" t="str">
        <f t="shared" si="159"/>
        <v/>
      </c>
      <c r="E417" s="3" t="str">
        <f t="shared" si="160"/>
        <v/>
      </c>
      <c r="F417" s="3" t="str">
        <f t="shared" si="161"/>
        <v/>
      </c>
      <c r="G417" s="74" t="str">
        <f t="shared" si="162"/>
        <v/>
      </c>
      <c r="H417" s="78" t="str">
        <f>IFERROR(C417/SUM(M$2:M416),"")</f>
        <v/>
      </c>
      <c r="I417" s="61" t="str">
        <f>IFERROR(D417/SUM(N$2:N417),"")</f>
        <v/>
      </c>
      <c r="J417" s="61" t="str">
        <f>IFERROR(E417/SUM(O$2:O417),"")</f>
        <v/>
      </c>
      <c r="K417" s="61" t="str">
        <f>IFERROR(F417/SUM(P$2:P417),"")</f>
        <v/>
      </c>
      <c r="L417" s="79" t="str">
        <f>IFERROR(G417/SUM(Q$2:Q417),"")</f>
        <v/>
      </c>
      <c r="M417" s="64" t="str">
        <f t="shared" si="163"/>
        <v/>
      </c>
      <c r="N417" s="55" t="str">
        <f t="shared" si="164"/>
        <v/>
      </c>
      <c r="O417" s="55" t="str">
        <f t="shared" si="165"/>
        <v/>
      </c>
      <c r="P417" s="55" t="str">
        <f t="shared" si="166"/>
        <v/>
      </c>
      <c r="Q417" s="65" t="str">
        <f t="shared" si="167"/>
        <v/>
      </c>
      <c r="R417" s="67" t="str">
        <f t="shared" si="169"/>
        <v/>
      </c>
      <c r="S417" s="56" t="str">
        <f t="shared" si="170"/>
        <v/>
      </c>
      <c r="T417" s="56" t="str">
        <f t="shared" si="171"/>
        <v/>
      </c>
      <c r="U417" s="56" t="str">
        <f t="shared" si="172"/>
        <v/>
      </c>
      <c r="V417" s="68" t="str">
        <f t="shared" si="173"/>
        <v/>
      </c>
      <c r="W417" s="80" t="str">
        <f t="shared" si="174"/>
        <v/>
      </c>
      <c r="X417" s="81" t="str">
        <f t="shared" si="175"/>
        <v/>
      </c>
      <c r="Y417" s="81" t="str">
        <f t="shared" si="176"/>
        <v/>
      </c>
      <c r="Z417" s="81" t="str">
        <f t="shared" si="177"/>
        <v/>
      </c>
      <c r="AA417" s="82" t="str">
        <f t="shared" si="178"/>
        <v/>
      </c>
      <c r="AB417" s="83" t="str">
        <f>IF(R417&lt;&gt;"",(W417-SUMPRODUCT(R$3:R417,$B$3:$B417)/SUM($B$3:$B417))/STDEVA(W407:W417),"")</f>
        <v/>
      </c>
      <c r="AC417" s="84" t="str">
        <f>IF(S417&lt;&gt;"",(X417-SUMPRODUCT(S$3:S417,$B$3:$B417)/SUM($B$3:$B417))/STDEVA(X407:X417),"")</f>
        <v/>
      </c>
      <c r="AD417" s="84" t="str">
        <f>IF(T417&lt;&gt;"",(Y417-SUMPRODUCT(T$3:T417,$B$3:$B417)/SUM($B$3:$B417))/STDEVA(Y407:Y417),"")</f>
        <v/>
      </c>
      <c r="AE417" s="84" t="str">
        <f>IF(U417&lt;&gt;"",(Z417-SUMPRODUCT(U$3:U417,$B$3:$B417)/SUM($B$3:$B417))/STDEVA(Z407:Z417),"")</f>
        <v/>
      </c>
      <c r="AF417" s="85" t="str">
        <f>IF(V417&lt;&gt;"",(AA417-SUMPRODUCT(V$3:V417,$B$3:$B417)/SUM($B$3:$B417))/STDEVA(AA407:AA417),"")</f>
        <v/>
      </c>
      <c r="AG417" s="90" t="str">
        <f t="shared" si="180"/>
        <v/>
      </c>
      <c r="AH417" s="90" t="str">
        <f t="shared" si="180"/>
        <v/>
      </c>
      <c r="AI417" s="90" t="str">
        <f t="shared" si="180"/>
        <v/>
      </c>
      <c r="AJ417" s="90" t="str">
        <f t="shared" si="179"/>
        <v/>
      </c>
      <c r="AK417" s="93" t="str">
        <f t="shared" si="179"/>
        <v/>
      </c>
      <c r="BQ417" s="100" t="str">
        <f>IF(A417&lt;&gt;"",(VLOOKUP(A417,MarketData!$D:$BP,MATCH($BQ$1,MarketData!$D$1:$EG$1,0),TRUE)/100/365+1)^(B417)*BQ416,"")</f>
        <v/>
      </c>
      <c r="BR417" s="98" t="str">
        <f t="shared" si="157"/>
        <v/>
      </c>
      <c r="BS417" s="106" t="str">
        <f>IF(A417&lt;&gt;"",VLOOKUP(A417,MarketData!$D:$BP,MATCH($BS$1,MarketData!$D$1:$EG$1,0),TRUE),"")</f>
        <v/>
      </c>
      <c r="BT417" s="98" t="str">
        <f t="shared" si="168"/>
        <v/>
      </c>
    </row>
    <row r="418" spans="2:72" x14ac:dyDescent="0.25">
      <c r="B418" s="60" t="str">
        <f t="shared" si="181"/>
        <v/>
      </c>
      <c r="C418" s="3" t="str">
        <f t="shared" si="158"/>
        <v/>
      </c>
      <c r="D418" s="3" t="str">
        <f t="shared" si="159"/>
        <v/>
      </c>
      <c r="E418" s="3" t="str">
        <f t="shared" si="160"/>
        <v/>
      </c>
      <c r="F418" s="3" t="str">
        <f t="shared" si="161"/>
        <v/>
      </c>
      <c r="G418" s="74" t="str">
        <f t="shared" si="162"/>
        <v/>
      </c>
      <c r="H418" s="78" t="str">
        <f>IFERROR(C418/SUM(M$2:M417),"")</f>
        <v/>
      </c>
      <c r="I418" s="61" t="str">
        <f>IFERROR(D418/SUM(N$2:N418),"")</f>
        <v/>
      </c>
      <c r="J418" s="61" t="str">
        <f>IFERROR(E418/SUM(O$2:O418),"")</f>
        <v/>
      </c>
      <c r="K418" s="61" t="str">
        <f>IFERROR(F418/SUM(P$2:P418),"")</f>
        <v/>
      </c>
      <c r="L418" s="79" t="str">
        <f>IFERROR(G418/SUM(Q$2:Q418),"")</f>
        <v/>
      </c>
      <c r="M418" s="64" t="str">
        <f t="shared" si="163"/>
        <v/>
      </c>
      <c r="N418" s="55" t="str">
        <f t="shared" si="164"/>
        <v/>
      </c>
      <c r="O418" s="55" t="str">
        <f t="shared" si="165"/>
        <v/>
      </c>
      <c r="P418" s="55" t="str">
        <f t="shared" si="166"/>
        <v/>
      </c>
      <c r="Q418" s="65" t="str">
        <f t="shared" si="167"/>
        <v/>
      </c>
      <c r="R418" s="67" t="str">
        <f t="shared" si="169"/>
        <v/>
      </c>
      <c r="S418" s="56" t="str">
        <f t="shared" si="170"/>
        <v/>
      </c>
      <c r="T418" s="56" t="str">
        <f t="shared" si="171"/>
        <v/>
      </c>
      <c r="U418" s="56" t="str">
        <f t="shared" si="172"/>
        <v/>
      </c>
      <c r="V418" s="68" t="str">
        <f t="shared" si="173"/>
        <v/>
      </c>
      <c r="W418" s="80" t="str">
        <f t="shared" si="174"/>
        <v/>
      </c>
      <c r="X418" s="81" t="str">
        <f t="shared" si="175"/>
        <v/>
      </c>
      <c r="Y418" s="81" t="str">
        <f t="shared" si="176"/>
        <v/>
      </c>
      <c r="Z418" s="81" t="str">
        <f t="shared" si="177"/>
        <v/>
      </c>
      <c r="AA418" s="82" t="str">
        <f t="shared" si="178"/>
        <v/>
      </c>
      <c r="AB418" s="83" t="str">
        <f>IF(R418&lt;&gt;"",(W418-SUMPRODUCT(R$3:R418,$B$3:$B418)/SUM($B$3:$B418))/STDEVA(W408:W418),"")</f>
        <v/>
      </c>
      <c r="AC418" s="84" t="str">
        <f>IF(S418&lt;&gt;"",(X418-SUMPRODUCT(S$3:S418,$B$3:$B418)/SUM($B$3:$B418))/STDEVA(X408:X418),"")</f>
        <v/>
      </c>
      <c r="AD418" s="84" t="str">
        <f>IF(T418&lt;&gt;"",(Y418-SUMPRODUCT(T$3:T418,$B$3:$B418)/SUM($B$3:$B418))/STDEVA(Y408:Y418),"")</f>
        <v/>
      </c>
      <c r="AE418" s="84" t="str">
        <f>IF(U418&lt;&gt;"",(Z418-SUMPRODUCT(U$3:U418,$B$3:$B418)/SUM($B$3:$B418))/STDEVA(Z408:Z418),"")</f>
        <v/>
      </c>
      <c r="AF418" s="85" t="str">
        <f>IF(V418&lt;&gt;"",(AA418-SUMPRODUCT(V$3:V418,$B$3:$B418)/SUM($B$3:$B418))/STDEVA(AA408:AA418),"")</f>
        <v/>
      </c>
      <c r="AG418" s="90" t="str">
        <f t="shared" si="180"/>
        <v/>
      </c>
      <c r="AH418" s="90" t="str">
        <f t="shared" si="180"/>
        <v/>
      </c>
      <c r="AI418" s="90" t="str">
        <f t="shared" si="180"/>
        <v/>
      </c>
      <c r="AJ418" s="90" t="str">
        <f t="shared" si="179"/>
        <v/>
      </c>
      <c r="AK418" s="93" t="str">
        <f t="shared" si="179"/>
        <v/>
      </c>
      <c r="BQ418" s="100" t="str">
        <f>IF(A418&lt;&gt;"",(VLOOKUP(A418,MarketData!$D:$BP,MATCH($BQ$1,MarketData!$D$1:$EG$1,0),TRUE)/100/365+1)^(B418)*BQ417,"")</f>
        <v/>
      </c>
      <c r="BR418" s="98" t="str">
        <f t="shared" si="157"/>
        <v/>
      </c>
      <c r="BS418" s="106" t="str">
        <f>IF(A418&lt;&gt;"",VLOOKUP(A418,MarketData!$D:$BP,MATCH($BS$1,MarketData!$D$1:$EG$1,0),TRUE),"")</f>
        <v/>
      </c>
      <c r="BT418" s="98" t="str">
        <f t="shared" si="168"/>
        <v/>
      </c>
    </row>
    <row r="419" spans="2:72" x14ac:dyDescent="0.25">
      <c r="B419" s="60" t="str">
        <f t="shared" si="181"/>
        <v/>
      </c>
      <c r="C419" s="3" t="str">
        <f t="shared" si="158"/>
        <v/>
      </c>
      <c r="D419" s="3" t="str">
        <f t="shared" si="159"/>
        <v/>
      </c>
      <c r="E419" s="3" t="str">
        <f t="shared" si="160"/>
        <v/>
      </c>
      <c r="F419" s="3" t="str">
        <f t="shared" si="161"/>
        <v/>
      </c>
      <c r="G419" s="74" t="str">
        <f t="shared" si="162"/>
        <v/>
      </c>
      <c r="H419" s="78" t="str">
        <f>IFERROR(C419/SUM(M$2:M418),"")</f>
        <v/>
      </c>
      <c r="I419" s="61" t="str">
        <f>IFERROR(D419/SUM(N$2:N419),"")</f>
        <v/>
      </c>
      <c r="J419" s="61" t="str">
        <f>IFERROR(E419/SUM(O$2:O419),"")</f>
        <v/>
      </c>
      <c r="K419" s="61" t="str">
        <f>IFERROR(F419/SUM(P$2:P419),"")</f>
        <v/>
      </c>
      <c r="L419" s="79" t="str">
        <f>IFERROR(G419/SUM(Q$2:Q419),"")</f>
        <v/>
      </c>
      <c r="M419" s="64" t="str">
        <f t="shared" si="163"/>
        <v/>
      </c>
      <c r="N419" s="55" t="str">
        <f t="shared" si="164"/>
        <v/>
      </c>
      <c r="O419" s="55" t="str">
        <f t="shared" si="165"/>
        <v/>
      </c>
      <c r="P419" s="55" t="str">
        <f t="shared" si="166"/>
        <v/>
      </c>
      <c r="Q419" s="65" t="str">
        <f t="shared" si="167"/>
        <v/>
      </c>
      <c r="R419" s="67" t="str">
        <f t="shared" si="169"/>
        <v/>
      </c>
      <c r="S419" s="56" t="str">
        <f t="shared" si="170"/>
        <v/>
      </c>
      <c r="T419" s="56" t="str">
        <f t="shared" si="171"/>
        <v/>
      </c>
      <c r="U419" s="56" t="str">
        <f t="shared" si="172"/>
        <v/>
      </c>
      <c r="V419" s="68" t="str">
        <f t="shared" si="173"/>
        <v/>
      </c>
      <c r="W419" s="80" t="str">
        <f t="shared" si="174"/>
        <v/>
      </c>
      <c r="X419" s="81" t="str">
        <f t="shared" si="175"/>
        <v/>
      </c>
      <c r="Y419" s="81" t="str">
        <f t="shared" si="176"/>
        <v/>
      </c>
      <c r="Z419" s="81" t="str">
        <f t="shared" si="177"/>
        <v/>
      </c>
      <c r="AA419" s="82" t="str">
        <f t="shared" si="178"/>
        <v/>
      </c>
      <c r="AB419" s="83" t="str">
        <f>IF(R419&lt;&gt;"",(W419-SUMPRODUCT(R$3:R419,$B$3:$B419)/SUM($B$3:$B419))/STDEVA(W409:W419),"")</f>
        <v/>
      </c>
      <c r="AC419" s="84" t="str">
        <f>IF(S419&lt;&gt;"",(X419-SUMPRODUCT(S$3:S419,$B$3:$B419)/SUM($B$3:$B419))/STDEVA(X409:X419),"")</f>
        <v/>
      </c>
      <c r="AD419" s="84" t="str">
        <f>IF(T419&lt;&gt;"",(Y419-SUMPRODUCT(T$3:T419,$B$3:$B419)/SUM($B$3:$B419))/STDEVA(Y409:Y419),"")</f>
        <v/>
      </c>
      <c r="AE419" s="84" t="str">
        <f>IF(U419&lt;&gt;"",(Z419-SUMPRODUCT(U$3:U419,$B$3:$B419)/SUM($B$3:$B419))/STDEVA(Z409:Z419),"")</f>
        <v/>
      </c>
      <c r="AF419" s="85" t="str">
        <f>IF(V419&lt;&gt;"",(AA419-SUMPRODUCT(V$3:V419,$B$3:$B419)/SUM($B$3:$B419))/STDEVA(AA409:AA419),"")</f>
        <v/>
      </c>
      <c r="AG419" s="90" t="str">
        <f t="shared" si="180"/>
        <v/>
      </c>
      <c r="AH419" s="90" t="str">
        <f t="shared" si="180"/>
        <v/>
      </c>
      <c r="AI419" s="90" t="str">
        <f t="shared" si="180"/>
        <v/>
      </c>
      <c r="AJ419" s="90" t="str">
        <f t="shared" si="179"/>
        <v/>
      </c>
      <c r="AK419" s="93" t="str">
        <f t="shared" si="179"/>
        <v/>
      </c>
      <c r="BQ419" s="100" t="str">
        <f>IF(A419&lt;&gt;"",(VLOOKUP(A419,MarketData!$D:$BP,MATCH($BQ$1,MarketData!$D$1:$EG$1,0),TRUE)/100/365+1)^(B419)*BQ418,"")</f>
        <v/>
      </c>
      <c r="BR419" s="98" t="str">
        <f t="shared" si="157"/>
        <v/>
      </c>
      <c r="BS419" s="106" t="str">
        <f>IF(A419&lt;&gt;"",VLOOKUP(A419,MarketData!$D:$BP,MATCH($BS$1,MarketData!$D$1:$EG$1,0),TRUE),"")</f>
        <v/>
      </c>
      <c r="BT419" s="98" t="str">
        <f t="shared" si="168"/>
        <v/>
      </c>
    </row>
    <row r="420" spans="2:72" x14ac:dyDescent="0.25">
      <c r="B420" s="60" t="str">
        <f t="shared" si="181"/>
        <v/>
      </c>
      <c r="C420" s="3" t="str">
        <f t="shared" si="158"/>
        <v/>
      </c>
      <c r="D420" s="3" t="str">
        <f t="shared" si="159"/>
        <v/>
      </c>
      <c r="E420" s="3" t="str">
        <f t="shared" si="160"/>
        <v/>
      </c>
      <c r="F420" s="3" t="str">
        <f t="shared" si="161"/>
        <v/>
      </c>
      <c r="G420" s="74" t="str">
        <f t="shared" si="162"/>
        <v/>
      </c>
      <c r="H420" s="78" t="str">
        <f>IFERROR(C420/SUM(M$2:M419),"")</f>
        <v/>
      </c>
      <c r="I420" s="61" t="str">
        <f>IFERROR(D420/SUM(N$2:N420),"")</f>
        <v/>
      </c>
      <c r="J420" s="61" t="str">
        <f>IFERROR(E420/SUM(O$2:O420),"")</f>
        <v/>
      </c>
      <c r="K420" s="61" t="str">
        <f>IFERROR(F420/SUM(P$2:P420),"")</f>
        <v/>
      </c>
      <c r="L420" s="79" t="str">
        <f>IFERROR(G420/SUM(Q$2:Q420),"")</f>
        <v/>
      </c>
      <c r="M420" s="64" t="str">
        <f t="shared" si="163"/>
        <v/>
      </c>
      <c r="N420" s="55" t="str">
        <f t="shared" si="164"/>
        <v/>
      </c>
      <c r="O420" s="55" t="str">
        <f t="shared" si="165"/>
        <v/>
      </c>
      <c r="P420" s="55" t="str">
        <f t="shared" si="166"/>
        <v/>
      </c>
      <c r="Q420" s="65" t="str">
        <f t="shared" si="167"/>
        <v/>
      </c>
      <c r="R420" s="67" t="str">
        <f t="shared" si="169"/>
        <v/>
      </c>
      <c r="S420" s="56" t="str">
        <f t="shared" si="170"/>
        <v/>
      </c>
      <c r="T420" s="56" t="str">
        <f t="shared" si="171"/>
        <v/>
      </c>
      <c r="U420" s="56" t="str">
        <f t="shared" si="172"/>
        <v/>
      </c>
      <c r="V420" s="68" t="str">
        <f t="shared" si="173"/>
        <v/>
      </c>
      <c r="W420" s="80" t="str">
        <f t="shared" si="174"/>
        <v/>
      </c>
      <c r="X420" s="81" t="str">
        <f t="shared" si="175"/>
        <v/>
      </c>
      <c r="Y420" s="81" t="str">
        <f t="shared" si="176"/>
        <v/>
      </c>
      <c r="Z420" s="81" t="str">
        <f t="shared" si="177"/>
        <v/>
      </c>
      <c r="AA420" s="82" t="str">
        <f t="shared" si="178"/>
        <v/>
      </c>
      <c r="AB420" s="83" t="str">
        <f>IF(R420&lt;&gt;"",(W420-SUMPRODUCT(R$3:R420,$B$3:$B420)/SUM($B$3:$B420))/STDEVA(W410:W420),"")</f>
        <v/>
      </c>
      <c r="AC420" s="84" t="str">
        <f>IF(S420&lt;&gt;"",(X420-SUMPRODUCT(S$3:S420,$B$3:$B420)/SUM($B$3:$B420))/STDEVA(X410:X420),"")</f>
        <v/>
      </c>
      <c r="AD420" s="84" t="str">
        <f>IF(T420&lt;&gt;"",(Y420-SUMPRODUCT(T$3:T420,$B$3:$B420)/SUM($B$3:$B420))/STDEVA(Y410:Y420),"")</f>
        <v/>
      </c>
      <c r="AE420" s="84" t="str">
        <f>IF(U420&lt;&gt;"",(Z420-SUMPRODUCT(U$3:U420,$B$3:$B420)/SUM($B$3:$B420))/STDEVA(Z410:Z420),"")</f>
        <v/>
      </c>
      <c r="AF420" s="85" t="str">
        <f>IF(V420&lt;&gt;"",(AA420-SUMPRODUCT(V$3:V420,$B$3:$B420)/SUM($B$3:$B420))/STDEVA(AA410:AA420),"")</f>
        <v/>
      </c>
      <c r="AG420" s="90" t="str">
        <f t="shared" si="180"/>
        <v/>
      </c>
      <c r="AH420" s="90" t="str">
        <f t="shared" si="180"/>
        <v/>
      </c>
      <c r="AI420" s="90" t="str">
        <f t="shared" si="180"/>
        <v/>
      </c>
      <c r="AJ420" s="90" t="str">
        <f t="shared" si="179"/>
        <v/>
      </c>
      <c r="AK420" s="93" t="str">
        <f t="shared" si="179"/>
        <v/>
      </c>
      <c r="BQ420" s="100" t="str">
        <f>IF(A420&lt;&gt;"",(VLOOKUP(A420,MarketData!$D:$BP,MATCH($BQ$1,MarketData!$D$1:$EG$1,0),TRUE)/100/365+1)^(B420)*BQ419,"")</f>
        <v/>
      </c>
      <c r="BR420" s="98" t="str">
        <f t="shared" si="157"/>
        <v/>
      </c>
      <c r="BS420" s="106" t="str">
        <f>IF(A420&lt;&gt;"",VLOOKUP(A420,MarketData!$D:$BP,MATCH($BS$1,MarketData!$D$1:$EG$1,0),TRUE),"")</f>
        <v/>
      </c>
      <c r="BT420" s="98" t="str">
        <f t="shared" si="168"/>
        <v/>
      </c>
    </row>
    <row r="421" spans="2:72" x14ac:dyDescent="0.25">
      <c r="B421" s="60" t="str">
        <f t="shared" si="181"/>
        <v/>
      </c>
      <c r="C421" s="3" t="str">
        <f t="shared" si="158"/>
        <v/>
      </c>
      <c r="D421" s="3" t="str">
        <f t="shared" si="159"/>
        <v/>
      </c>
      <c r="E421" s="3" t="str">
        <f t="shared" si="160"/>
        <v/>
      </c>
      <c r="F421" s="3" t="str">
        <f t="shared" si="161"/>
        <v/>
      </c>
      <c r="G421" s="74" t="str">
        <f t="shared" si="162"/>
        <v/>
      </c>
      <c r="H421" s="78" t="str">
        <f>IFERROR(C421/SUM(M$2:M420),"")</f>
        <v/>
      </c>
      <c r="I421" s="61" t="str">
        <f>IFERROR(D421/SUM(N$2:N421),"")</f>
        <v/>
      </c>
      <c r="J421" s="61" t="str">
        <f>IFERROR(E421/SUM(O$2:O421),"")</f>
        <v/>
      </c>
      <c r="K421" s="61" t="str">
        <f>IFERROR(F421/SUM(P$2:P421),"")</f>
        <v/>
      </c>
      <c r="L421" s="79" t="str">
        <f>IFERROR(G421/SUM(Q$2:Q421),"")</f>
        <v/>
      </c>
      <c r="M421" s="64" t="str">
        <f t="shared" si="163"/>
        <v/>
      </c>
      <c r="N421" s="55" t="str">
        <f t="shared" si="164"/>
        <v/>
      </c>
      <c r="O421" s="55" t="str">
        <f t="shared" si="165"/>
        <v/>
      </c>
      <c r="P421" s="55" t="str">
        <f t="shared" si="166"/>
        <v/>
      </c>
      <c r="Q421" s="65" t="str">
        <f t="shared" si="167"/>
        <v/>
      </c>
      <c r="R421" s="67" t="str">
        <f t="shared" si="169"/>
        <v/>
      </c>
      <c r="S421" s="56" t="str">
        <f t="shared" si="170"/>
        <v/>
      </c>
      <c r="T421" s="56" t="str">
        <f t="shared" si="171"/>
        <v/>
      </c>
      <c r="U421" s="56" t="str">
        <f t="shared" si="172"/>
        <v/>
      </c>
      <c r="V421" s="68" t="str">
        <f t="shared" si="173"/>
        <v/>
      </c>
      <c r="W421" s="80" t="str">
        <f t="shared" si="174"/>
        <v/>
      </c>
      <c r="X421" s="81" t="str">
        <f t="shared" si="175"/>
        <v/>
      </c>
      <c r="Y421" s="81" t="str">
        <f t="shared" si="176"/>
        <v/>
      </c>
      <c r="Z421" s="81" t="str">
        <f t="shared" si="177"/>
        <v/>
      </c>
      <c r="AA421" s="82" t="str">
        <f t="shared" si="178"/>
        <v/>
      </c>
      <c r="AB421" s="83" t="str">
        <f>IF(R421&lt;&gt;"",(W421-SUMPRODUCT(R$3:R421,$B$3:$B421)/SUM($B$3:$B421))/STDEVA(W411:W421),"")</f>
        <v/>
      </c>
      <c r="AC421" s="84" t="str">
        <f>IF(S421&lt;&gt;"",(X421-SUMPRODUCT(S$3:S421,$B$3:$B421)/SUM($B$3:$B421))/STDEVA(X411:X421),"")</f>
        <v/>
      </c>
      <c r="AD421" s="84" t="str">
        <f>IF(T421&lt;&gt;"",(Y421-SUMPRODUCT(T$3:T421,$B$3:$B421)/SUM($B$3:$B421))/STDEVA(Y411:Y421),"")</f>
        <v/>
      </c>
      <c r="AE421" s="84" t="str">
        <f>IF(U421&lt;&gt;"",(Z421-SUMPRODUCT(U$3:U421,$B$3:$B421)/SUM($B$3:$B421))/STDEVA(Z411:Z421),"")</f>
        <v/>
      </c>
      <c r="AF421" s="85" t="str">
        <f>IF(V421&lt;&gt;"",(AA421-SUMPRODUCT(V$3:V421,$B$3:$B421)/SUM($B$3:$B421))/STDEVA(AA411:AA421),"")</f>
        <v/>
      </c>
      <c r="AG421" s="90" t="str">
        <f t="shared" si="180"/>
        <v/>
      </c>
      <c r="AH421" s="90" t="str">
        <f t="shared" si="180"/>
        <v/>
      </c>
      <c r="AI421" s="90" t="str">
        <f t="shared" si="180"/>
        <v/>
      </c>
      <c r="AJ421" s="90" t="str">
        <f t="shared" si="179"/>
        <v/>
      </c>
      <c r="AK421" s="93" t="str">
        <f t="shared" si="179"/>
        <v/>
      </c>
      <c r="BQ421" s="100" t="str">
        <f>IF(A421&lt;&gt;"",(VLOOKUP(A421,MarketData!$D:$BP,MATCH($BQ$1,MarketData!$D$1:$EG$1,0),TRUE)/100/365+1)^(B421)*BQ420,"")</f>
        <v/>
      </c>
      <c r="BR421" s="98" t="str">
        <f t="shared" si="157"/>
        <v/>
      </c>
      <c r="BS421" s="106" t="str">
        <f>IF(A421&lt;&gt;"",VLOOKUP(A421,MarketData!$D:$BP,MATCH($BS$1,MarketData!$D$1:$EG$1,0),TRUE),"")</f>
        <v/>
      </c>
      <c r="BT421" s="98" t="str">
        <f t="shared" si="168"/>
        <v/>
      </c>
    </row>
    <row r="422" spans="2:72" x14ac:dyDescent="0.25">
      <c r="B422" s="60" t="str">
        <f t="shared" si="181"/>
        <v/>
      </c>
      <c r="C422" s="3" t="str">
        <f t="shared" si="158"/>
        <v/>
      </c>
      <c r="D422" s="3" t="str">
        <f t="shared" si="159"/>
        <v/>
      </c>
      <c r="E422" s="3" t="str">
        <f t="shared" si="160"/>
        <v/>
      </c>
      <c r="F422" s="3" t="str">
        <f t="shared" si="161"/>
        <v/>
      </c>
      <c r="G422" s="74" t="str">
        <f t="shared" si="162"/>
        <v/>
      </c>
      <c r="H422" s="78" t="str">
        <f>IFERROR(C422/SUM(M$2:M421),"")</f>
        <v/>
      </c>
      <c r="I422" s="61" t="str">
        <f>IFERROR(D422/SUM(N$2:N422),"")</f>
        <v/>
      </c>
      <c r="J422" s="61" t="str">
        <f>IFERROR(E422/SUM(O$2:O422),"")</f>
        <v/>
      </c>
      <c r="K422" s="61" t="str">
        <f>IFERROR(F422/SUM(P$2:P422),"")</f>
        <v/>
      </c>
      <c r="L422" s="79" t="str">
        <f>IFERROR(G422/SUM(Q$2:Q422),"")</f>
        <v/>
      </c>
      <c r="M422" s="64" t="str">
        <f t="shared" si="163"/>
        <v/>
      </c>
      <c r="N422" s="55" t="str">
        <f t="shared" si="164"/>
        <v/>
      </c>
      <c r="O422" s="55" t="str">
        <f t="shared" si="165"/>
        <v/>
      </c>
      <c r="P422" s="55" t="str">
        <f t="shared" si="166"/>
        <v/>
      </c>
      <c r="Q422" s="65" t="str">
        <f t="shared" si="167"/>
        <v/>
      </c>
      <c r="R422" s="67" t="str">
        <f t="shared" si="169"/>
        <v/>
      </c>
      <c r="S422" s="56" t="str">
        <f t="shared" si="170"/>
        <v/>
      </c>
      <c r="T422" s="56" t="str">
        <f t="shared" si="171"/>
        <v/>
      </c>
      <c r="U422" s="56" t="str">
        <f t="shared" si="172"/>
        <v/>
      </c>
      <c r="V422" s="68" t="str">
        <f t="shared" si="173"/>
        <v/>
      </c>
      <c r="W422" s="80" t="str">
        <f t="shared" si="174"/>
        <v/>
      </c>
      <c r="X422" s="81" t="str">
        <f t="shared" si="175"/>
        <v/>
      </c>
      <c r="Y422" s="81" t="str">
        <f t="shared" si="176"/>
        <v/>
      </c>
      <c r="Z422" s="81" t="str">
        <f t="shared" si="177"/>
        <v/>
      </c>
      <c r="AA422" s="82" t="str">
        <f t="shared" si="178"/>
        <v/>
      </c>
      <c r="AB422" s="83" t="str">
        <f>IF(R422&lt;&gt;"",(W422-SUMPRODUCT(R$3:R422,$B$3:$B422)/SUM($B$3:$B422))/STDEVA(W412:W422),"")</f>
        <v/>
      </c>
      <c r="AC422" s="84" t="str">
        <f>IF(S422&lt;&gt;"",(X422-SUMPRODUCT(S$3:S422,$B$3:$B422)/SUM($B$3:$B422))/STDEVA(X412:X422),"")</f>
        <v/>
      </c>
      <c r="AD422" s="84" t="str">
        <f>IF(T422&lt;&gt;"",(Y422-SUMPRODUCT(T$3:T422,$B$3:$B422)/SUM($B$3:$B422))/STDEVA(Y412:Y422),"")</f>
        <v/>
      </c>
      <c r="AE422" s="84" t="str">
        <f>IF(U422&lt;&gt;"",(Z422-SUMPRODUCT(U$3:U422,$B$3:$B422)/SUM($B$3:$B422))/STDEVA(Z412:Z422),"")</f>
        <v/>
      </c>
      <c r="AF422" s="85" t="str">
        <f>IF(V422&lt;&gt;"",(AA422-SUMPRODUCT(V$3:V422,$B$3:$B422)/SUM($B$3:$B422))/STDEVA(AA412:AA422),"")</f>
        <v/>
      </c>
      <c r="AG422" s="90" t="str">
        <f t="shared" si="180"/>
        <v/>
      </c>
      <c r="AH422" s="90" t="str">
        <f t="shared" si="180"/>
        <v/>
      </c>
      <c r="AI422" s="90" t="str">
        <f t="shared" si="180"/>
        <v/>
      </c>
      <c r="AJ422" s="90" t="str">
        <f t="shared" si="179"/>
        <v/>
      </c>
      <c r="AK422" s="93" t="str">
        <f t="shared" si="179"/>
        <v/>
      </c>
      <c r="BQ422" s="100" t="str">
        <f>IF(A422&lt;&gt;"",(VLOOKUP(A422,MarketData!$D:$BP,MATCH($BQ$1,MarketData!$D$1:$EG$1,0),TRUE)/100/365+1)^(B422)*BQ421,"")</f>
        <v/>
      </c>
      <c r="BR422" s="98" t="str">
        <f t="shared" si="157"/>
        <v/>
      </c>
      <c r="BS422" s="106" t="str">
        <f>IF(A422&lt;&gt;"",VLOOKUP(A422,MarketData!$D:$BP,MATCH($BS$1,MarketData!$D$1:$EG$1,0),TRUE),"")</f>
        <v/>
      </c>
      <c r="BT422" s="98" t="str">
        <f t="shared" si="168"/>
        <v/>
      </c>
    </row>
    <row r="423" spans="2:72" x14ac:dyDescent="0.25">
      <c r="B423" s="60" t="str">
        <f t="shared" si="181"/>
        <v/>
      </c>
      <c r="C423" s="3" t="str">
        <f t="shared" si="158"/>
        <v/>
      </c>
      <c r="D423" s="3" t="str">
        <f t="shared" si="159"/>
        <v/>
      </c>
      <c r="E423" s="3" t="str">
        <f t="shared" si="160"/>
        <v/>
      </c>
      <c r="F423" s="3" t="str">
        <f t="shared" si="161"/>
        <v/>
      </c>
      <c r="G423" s="74" t="str">
        <f t="shared" si="162"/>
        <v/>
      </c>
      <c r="H423" s="78" t="str">
        <f>IFERROR(C423/SUM(M$2:M422),"")</f>
        <v/>
      </c>
      <c r="I423" s="61" t="str">
        <f>IFERROR(D423/SUM(N$2:N423),"")</f>
        <v/>
      </c>
      <c r="J423" s="61" t="str">
        <f>IFERROR(E423/SUM(O$2:O423),"")</f>
        <v/>
      </c>
      <c r="K423" s="61" t="str">
        <f>IFERROR(F423/SUM(P$2:P423),"")</f>
        <v/>
      </c>
      <c r="L423" s="79" t="str">
        <f>IFERROR(G423/SUM(Q$2:Q423),"")</f>
        <v/>
      </c>
      <c r="M423" s="64" t="str">
        <f t="shared" si="163"/>
        <v/>
      </c>
      <c r="N423" s="55" t="str">
        <f t="shared" si="164"/>
        <v/>
      </c>
      <c r="O423" s="55" t="str">
        <f t="shared" si="165"/>
        <v/>
      </c>
      <c r="P423" s="55" t="str">
        <f t="shared" si="166"/>
        <v/>
      </c>
      <c r="Q423" s="65" t="str">
        <f t="shared" si="167"/>
        <v/>
      </c>
      <c r="R423" s="67" t="str">
        <f t="shared" si="169"/>
        <v/>
      </c>
      <c r="S423" s="56" t="str">
        <f t="shared" si="170"/>
        <v/>
      </c>
      <c r="T423" s="56" t="str">
        <f t="shared" si="171"/>
        <v/>
      </c>
      <c r="U423" s="56" t="str">
        <f t="shared" si="172"/>
        <v/>
      </c>
      <c r="V423" s="68" t="str">
        <f t="shared" si="173"/>
        <v/>
      </c>
      <c r="W423" s="80" t="str">
        <f t="shared" si="174"/>
        <v/>
      </c>
      <c r="X423" s="81" t="str">
        <f t="shared" si="175"/>
        <v/>
      </c>
      <c r="Y423" s="81" t="str">
        <f t="shared" si="176"/>
        <v/>
      </c>
      <c r="Z423" s="81" t="str">
        <f t="shared" si="177"/>
        <v/>
      </c>
      <c r="AA423" s="82" t="str">
        <f t="shared" si="178"/>
        <v/>
      </c>
      <c r="AB423" s="83" t="str">
        <f>IF(R423&lt;&gt;"",(W423-SUMPRODUCT(R$3:R423,$B$3:$B423)/SUM($B$3:$B423))/STDEVA(W413:W423),"")</f>
        <v/>
      </c>
      <c r="AC423" s="84" t="str">
        <f>IF(S423&lt;&gt;"",(X423-SUMPRODUCT(S$3:S423,$B$3:$B423)/SUM($B$3:$B423))/STDEVA(X413:X423),"")</f>
        <v/>
      </c>
      <c r="AD423" s="84" t="str">
        <f>IF(T423&lt;&gt;"",(Y423-SUMPRODUCT(T$3:T423,$B$3:$B423)/SUM($B$3:$B423))/STDEVA(Y413:Y423),"")</f>
        <v/>
      </c>
      <c r="AE423" s="84" t="str">
        <f>IF(U423&lt;&gt;"",(Z423-SUMPRODUCT(U$3:U423,$B$3:$B423)/SUM($B$3:$B423))/STDEVA(Z413:Z423),"")</f>
        <v/>
      </c>
      <c r="AF423" s="85" t="str">
        <f>IF(V423&lt;&gt;"",(AA423-SUMPRODUCT(V$3:V423,$B$3:$B423)/SUM($B$3:$B423))/STDEVA(AA413:AA423),"")</f>
        <v/>
      </c>
      <c r="AG423" s="90" t="str">
        <f t="shared" si="180"/>
        <v/>
      </c>
      <c r="AH423" s="90" t="str">
        <f t="shared" si="180"/>
        <v/>
      </c>
      <c r="AI423" s="90" t="str">
        <f t="shared" si="180"/>
        <v/>
      </c>
      <c r="AJ423" s="90" t="str">
        <f t="shared" si="179"/>
        <v/>
      </c>
      <c r="AK423" s="93" t="str">
        <f t="shared" si="179"/>
        <v/>
      </c>
      <c r="BQ423" s="100" t="str">
        <f>IF(A423&lt;&gt;"",(VLOOKUP(A423,MarketData!$D:$BP,MATCH($BQ$1,MarketData!$D$1:$EG$1,0),TRUE)/100/365+1)^(B423)*BQ422,"")</f>
        <v/>
      </c>
      <c r="BR423" s="98" t="str">
        <f t="shared" si="157"/>
        <v/>
      </c>
      <c r="BS423" s="106" t="str">
        <f>IF(A423&lt;&gt;"",VLOOKUP(A423,MarketData!$D:$BP,MATCH($BS$1,MarketData!$D$1:$EG$1,0),TRUE),"")</f>
        <v/>
      </c>
      <c r="BT423" s="98" t="str">
        <f t="shared" si="168"/>
        <v/>
      </c>
    </row>
    <row r="424" spans="2:72" x14ac:dyDescent="0.25">
      <c r="B424" s="60" t="str">
        <f t="shared" si="181"/>
        <v/>
      </c>
      <c r="C424" s="3" t="str">
        <f t="shared" si="158"/>
        <v/>
      </c>
      <c r="D424" s="3" t="str">
        <f t="shared" si="159"/>
        <v/>
      </c>
      <c r="E424" s="3" t="str">
        <f t="shared" si="160"/>
        <v/>
      </c>
      <c r="F424" s="3" t="str">
        <f t="shared" si="161"/>
        <v/>
      </c>
      <c r="G424" s="74" t="str">
        <f t="shared" si="162"/>
        <v/>
      </c>
      <c r="H424" s="78" t="str">
        <f>IFERROR(C424/SUM(M$2:M423),"")</f>
        <v/>
      </c>
      <c r="I424" s="61" t="str">
        <f>IFERROR(D424/SUM(N$2:N424),"")</f>
        <v/>
      </c>
      <c r="J424" s="61" t="str">
        <f>IFERROR(E424/SUM(O$2:O424),"")</f>
        <v/>
      </c>
      <c r="K424" s="61" t="str">
        <f>IFERROR(F424/SUM(P$2:P424),"")</f>
        <v/>
      </c>
      <c r="L424" s="79" t="str">
        <f>IFERROR(G424/SUM(Q$2:Q424),"")</f>
        <v/>
      </c>
      <c r="M424" s="64" t="str">
        <f t="shared" si="163"/>
        <v/>
      </c>
      <c r="N424" s="55" t="str">
        <f t="shared" si="164"/>
        <v/>
      </c>
      <c r="O424" s="55" t="str">
        <f t="shared" si="165"/>
        <v/>
      </c>
      <c r="P424" s="55" t="str">
        <f t="shared" si="166"/>
        <v/>
      </c>
      <c r="Q424" s="65" t="str">
        <f t="shared" si="167"/>
        <v/>
      </c>
      <c r="R424" s="67" t="str">
        <f t="shared" si="169"/>
        <v/>
      </c>
      <c r="S424" s="56" t="str">
        <f t="shared" si="170"/>
        <v/>
      </c>
      <c r="T424" s="56" t="str">
        <f t="shared" si="171"/>
        <v/>
      </c>
      <c r="U424" s="56" t="str">
        <f t="shared" si="172"/>
        <v/>
      </c>
      <c r="V424" s="68" t="str">
        <f t="shared" si="173"/>
        <v/>
      </c>
      <c r="W424" s="80" t="str">
        <f t="shared" si="174"/>
        <v/>
      </c>
      <c r="X424" s="81" t="str">
        <f t="shared" si="175"/>
        <v/>
      </c>
      <c r="Y424" s="81" t="str">
        <f t="shared" si="176"/>
        <v/>
      </c>
      <c r="Z424" s="81" t="str">
        <f t="shared" si="177"/>
        <v/>
      </c>
      <c r="AA424" s="82" t="str">
        <f t="shared" si="178"/>
        <v/>
      </c>
      <c r="AB424" s="83" t="str">
        <f>IF(R424&lt;&gt;"",(W424-SUMPRODUCT(R$3:R424,$B$3:$B424)/SUM($B$3:$B424))/STDEVA(W414:W424),"")</f>
        <v/>
      </c>
      <c r="AC424" s="84" t="str">
        <f>IF(S424&lt;&gt;"",(X424-SUMPRODUCT(S$3:S424,$B$3:$B424)/SUM($B$3:$B424))/STDEVA(X414:X424),"")</f>
        <v/>
      </c>
      <c r="AD424" s="84" t="str">
        <f>IF(T424&lt;&gt;"",(Y424-SUMPRODUCT(T$3:T424,$B$3:$B424)/SUM($B$3:$B424))/STDEVA(Y414:Y424),"")</f>
        <v/>
      </c>
      <c r="AE424" s="84" t="str">
        <f>IF(U424&lt;&gt;"",(Z424-SUMPRODUCT(U$3:U424,$B$3:$B424)/SUM($B$3:$B424))/STDEVA(Z414:Z424),"")</f>
        <v/>
      </c>
      <c r="AF424" s="85" t="str">
        <f>IF(V424&lt;&gt;"",(AA424-SUMPRODUCT(V$3:V424,$B$3:$B424)/SUM($B$3:$B424))/STDEVA(AA414:AA424),"")</f>
        <v/>
      </c>
      <c r="AG424" s="90" t="str">
        <f t="shared" si="180"/>
        <v/>
      </c>
      <c r="AH424" s="90" t="str">
        <f t="shared" si="180"/>
        <v/>
      </c>
      <c r="AI424" s="90" t="str">
        <f t="shared" si="180"/>
        <v/>
      </c>
      <c r="AJ424" s="90" t="str">
        <f t="shared" si="179"/>
        <v/>
      </c>
      <c r="AK424" s="93" t="str">
        <f t="shared" si="179"/>
        <v/>
      </c>
      <c r="BQ424" s="100" t="str">
        <f>IF(A424&lt;&gt;"",(VLOOKUP(A424,MarketData!$D:$BP,MATCH($BQ$1,MarketData!$D$1:$EG$1,0),TRUE)/100/365+1)^(B424)*BQ423,"")</f>
        <v/>
      </c>
      <c r="BR424" s="98" t="str">
        <f t="shared" si="157"/>
        <v/>
      </c>
      <c r="BS424" s="106" t="str">
        <f>IF(A424&lt;&gt;"",VLOOKUP(A424,MarketData!$D:$BP,MATCH($BS$1,MarketData!$D$1:$EG$1,0),TRUE),"")</f>
        <v/>
      </c>
      <c r="BT424" s="98" t="str">
        <f t="shared" si="168"/>
        <v/>
      </c>
    </row>
    <row r="425" spans="2:72" x14ac:dyDescent="0.25">
      <c r="B425" s="60" t="str">
        <f t="shared" si="181"/>
        <v/>
      </c>
      <c r="C425" s="3" t="str">
        <f t="shared" si="158"/>
        <v/>
      </c>
      <c r="D425" s="3" t="str">
        <f t="shared" si="159"/>
        <v/>
      </c>
      <c r="E425" s="3" t="str">
        <f t="shared" si="160"/>
        <v/>
      </c>
      <c r="F425" s="3" t="str">
        <f t="shared" si="161"/>
        <v/>
      </c>
      <c r="G425" s="74" t="str">
        <f t="shared" si="162"/>
        <v/>
      </c>
      <c r="H425" s="78" t="str">
        <f>IFERROR(C425/SUM(M$2:M424),"")</f>
        <v/>
      </c>
      <c r="I425" s="61" t="str">
        <f>IFERROR(D425/SUM(N$2:N425),"")</f>
        <v/>
      </c>
      <c r="J425" s="61" t="str">
        <f>IFERROR(E425/SUM(O$2:O425),"")</f>
        <v/>
      </c>
      <c r="K425" s="61" t="str">
        <f>IFERROR(F425/SUM(P$2:P425),"")</f>
        <v/>
      </c>
      <c r="L425" s="79" t="str">
        <f>IFERROR(G425/SUM(Q$2:Q425),"")</f>
        <v/>
      </c>
      <c r="M425" s="64" t="str">
        <f t="shared" si="163"/>
        <v/>
      </c>
      <c r="N425" s="55" t="str">
        <f t="shared" si="164"/>
        <v/>
      </c>
      <c r="O425" s="55" t="str">
        <f t="shared" si="165"/>
        <v/>
      </c>
      <c r="P425" s="55" t="str">
        <f t="shared" si="166"/>
        <v/>
      </c>
      <c r="Q425" s="65" t="str">
        <f t="shared" si="167"/>
        <v/>
      </c>
      <c r="R425" s="67" t="str">
        <f t="shared" si="169"/>
        <v/>
      </c>
      <c r="S425" s="56" t="str">
        <f t="shared" si="170"/>
        <v/>
      </c>
      <c r="T425" s="56" t="str">
        <f t="shared" si="171"/>
        <v/>
      </c>
      <c r="U425" s="56" t="str">
        <f t="shared" si="172"/>
        <v/>
      </c>
      <c r="V425" s="68" t="str">
        <f t="shared" si="173"/>
        <v/>
      </c>
      <c r="W425" s="80" t="str">
        <f t="shared" si="174"/>
        <v/>
      </c>
      <c r="X425" s="81" t="str">
        <f t="shared" si="175"/>
        <v/>
      </c>
      <c r="Y425" s="81" t="str">
        <f t="shared" si="176"/>
        <v/>
      </c>
      <c r="Z425" s="81" t="str">
        <f t="shared" si="177"/>
        <v/>
      </c>
      <c r="AA425" s="82" t="str">
        <f t="shared" si="178"/>
        <v/>
      </c>
      <c r="AB425" s="83" t="str">
        <f>IF(R425&lt;&gt;"",(W425-SUMPRODUCT(R$3:R425,$B$3:$B425)/SUM($B$3:$B425))/STDEVA(W415:W425),"")</f>
        <v/>
      </c>
      <c r="AC425" s="84" t="str">
        <f>IF(S425&lt;&gt;"",(X425-SUMPRODUCT(S$3:S425,$B$3:$B425)/SUM($B$3:$B425))/STDEVA(X415:X425),"")</f>
        <v/>
      </c>
      <c r="AD425" s="84" t="str">
        <f>IF(T425&lt;&gt;"",(Y425-SUMPRODUCT(T$3:T425,$B$3:$B425)/SUM($B$3:$B425))/STDEVA(Y415:Y425),"")</f>
        <v/>
      </c>
      <c r="AE425" s="84" t="str">
        <f>IF(U425&lt;&gt;"",(Z425-SUMPRODUCT(U$3:U425,$B$3:$B425)/SUM($B$3:$B425))/STDEVA(Z415:Z425),"")</f>
        <v/>
      </c>
      <c r="AF425" s="85" t="str">
        <f>IF(V425&lt;&gt;"",(AA425-SUMPRODUCT(V$3:V425,$B$3:$B425)/SUM($B$3:$B425))/STDEVA(AA415:AA425),"")</f>
        <v/>
      </c>
      <c r="AG425" s="90" t="str">
        <f t="shared" si="180"/>
        <v/>
      </c>
      <c r="AH425" s="90" t="str">
        <f t="shared" si="180"/>
        <v/>
      </c>
      <c r="AI425" s="90" t="str">
        <f t="shared" si="180"/>
        <v/>
      </c>
      <c r="AJ425" s="90" t="str">
        <f t="shared" si="179"/>
        <v/>
      </c>
      <c r="AK425" s="93" t="str">
        <f t="shared" si="179"/>
        <v/>
      </c>
      <c r="BQ425" s="100" t="str">
        <f>IF(A425&lt;&gt;"",(VLOOKUP(A425,MarketData!$D:$BP,MATCH($BQ$1,MarketData!$D$1:$EG$1,0),TRUE)/100/365+1)^(B425)*BQ424,"")</f>
        <v/>
      </c>
      <c r="BR425" s="98" t="str">
        <f t="shared" si="157"/>
        <v/>
      </c>
      <c r="BS425" s="106" t="str">
        <f>IF(A425&lt;&gt;"",VLOOKUP(A425,MarketData!$D:$BP,MATCH($BS$1,MarketData!$D$1:$EG$1,0),TRUE),"")</f>
        <v/>
      </c>
      <c r="BT425" s="98" t="str">
        <f t="shared" si="168"/>
        <v/>
      </c>
    </row>
    <row r="426" spans="2:72" x14ac:dyDescent="0.25">
      <c r="B426" s="60" t="str">
        <f t="shared" si="181"/>
        <v/>
      </c>
      <c r="C426" s="3" t="str">
        <f t="shared" si="158"/>
        <v/>
      </c>
      <c r="D426" s="3" t="str">
        <f t="shared" si="159"/>
        <v/>
      </c>
      <c r="E426" s="3" t="str">
        <f t="shared" si="160"/>
        <v/>
      </c>
      <c r="F426" s="3" t="str">
        <f t="shared" si="161"/>
        <v/>
      </c>
      <c r="G426" s="74" t="str">
        <f t="shared" si="162"/>
        <v/>
      </c>
      <c r="H426" s="78" t="str">
        <f>IFERROR(C426/SUM(M$2:M425),"")</f>
        <v/>
      </c>
      <c r="I426" s="61" t="str">
        <f>IFERROR(D426/SUM(N$2:N426),"")</f>
        <v/>
      </c>
      <c r="J426" s="61" t="str">
        <f>IFERROR(E426/SUM(O$2:O426),"")</f>
        <v/>
      </c>
      <c r="K426" s="61" t="str">
        <f>IFERROR(F426/SUM(P$2:P426),"")</f>
        <v/>
      </c>
      <c r="L426" s="79" t="str">
        <f>IFERROR(G426/SUM(Q$2:Q426),"")</f>
        <v/>
      </c>
      <c r="M426" s="64" t="str">
        <f t="shared" si="163"/>
        <v/>
      </c>
      <c r="N426" s="55" t="str">
        <f t="shared" si="164"/>
        <v/>
      </c>
      <c r="O426" s="55" t="str">
        <f t="shared" si="165"/>
        <v/>
      </c>
      <c r="P426" s="55" t="str">
        <f t="shared" si="166"/>
        <v/>
      </c>
      <c r="Q426" s="65" t="str">
        <f t="shared" si="167"/>
        <v/>
      </c>
      <c r="R426" s="67" t="str">
        <f t="shared" si="169"/>
        <v/>
      </c>
      <c r="S426" s="56" t="str">
        <f t="shared" si="170"/>
        <v/>
      </c>
      <c r="T426" s="56" t="str">
        <f t="shared" si="171"/>
        <v/>
      </c>
      <c r="U426" s="56" t="str">
        <f t="shared" si="172"/>
        <v/>
      </c>
      <c r="V426" s="68" t="str">
        <f t="shared" si="173"/>
        <v/>
      </c>
      <c r="W426" s="80" t="str">
        <f t="shared" si="174"/>
        <v/>
      </c>
      <c r="X426" s="81" t="str">
        <f t="shared" si="175"/>
        <v/>
      </c>
      <c r="Y426" s="81" t="str">
        <f t="shared" si="176"/>
        <v/>
      </c>
      <c r="Z426" s="81" t="str">
        <f t="shared" si="177"/>
        <v/>
      </c>
      <c r="AA426" s="82" t="str">
        <f t="shared" si="178"/>
        <v/>
      </c>
      <c r="AB426" s="83" t="str">
        <f>IF(R426&lt;&gt;"",(W426-SUMPRODUCT(R$3:R426,$B$3:$B426)/SUM($B$3:$B426))/STDEVA(W416:W426),"")</f>
        <v/>
      </c>
      <c r="AC426" s="84" t="str">
        <f>IF(S426&lt;&gt;"",(X426-SUMPRODUCT(S$3:S426,$B$3:$B426)/SUM($B$3:$B426))/STDEVA(X416:X426),"")</f>
        <v/>
      </c>
      <c r="AD426" s="84" t="str">
        <f>IF(T426&lt;&gt;"",(Y426-SUMPRODUCT(T$3:T426,$B$3:$B426)/SUM($B$3:$B426))/STDEVA(Y416:Y426),"")</f>
        <v/>
      </c>
      <c r="AE426" s="84" t="str">
        <f>IF(U426&lt;&gt;"",(Z426-SUMPRODUCT(U$3:U426,$B$3:$B426)/SUM($B$3:$B426))/STDEVA(Z416:Z426),"")</f>
        <v/>
      </c>
      <c r="AF426" s="85" t="str">
        <f>IF(V426&lt;&gt;"",(AA426-SUMPRODUCT(V$3:V426,$B$3:$B426)/SUM($B$3:$B426))/STDEVA(AA416:AA426),"")</f>
        <v/>
      </c>
      <c r="AG426" s="90" t="str">
        <f t="shared" si="180"/>
        <v/>
      </c>
      <c r="AH426" s="90" t="str">
        <f t="shared" si="180"/>
        <v/>
      </c>
      <c r="AI426" s="90" t="str">
        <f t="shared" si="180"/>
        <v/>
      </c>
      <c r="AJ426" s="90" t="str">
        <f t="shared" si="179"/>
        <v/>
      </c>
      <c r="AK426" s="93" t="str">
        <f t="shared" si="179"/>
        <v/>
      </c>
      <c r="BQ426" s="100" t="str">
        <f>IF(A426&lt;&gt;"",(VLOOKUP(A426,MarketData!$D:$BP,MATCH($BQ$1,MarketData!$D$1:$EG$1,0),TRUE)/100/365+1)^(B426)*BQ425,"")</f>
        <v/>
      </c>
      <c r="BR426" s="98" t="str">
        <f t="shared" si="157"/>
        <v/>
      </c>
      <c r="BS426" s="106" t="str">
        <f>IF(A426&lt;&gt;"",VLOOKUP(A426,MarketData!$D:$BP,MATCH($BS$1,MarketData!$D$1:$EG$1,0),TRUE),"")</f>
        <v/>
      </c>
      <c r="BT426" s="98" t="str">
        <f t="shared" si="168"/>
        <v/>
      </c>
    </row>
    <row r="427" spans="2:72" x14ac:dyDescent="0.25">
      <c r="B427" s="60" t="str">
        <f t="shared" si="181"/>
        <v/>
      </c>
      <c r="C427" s="3" t="str">
        <f t="shared" si="158"/>
        <v/>
      </c>
      <c r="D427" s="3" t="str">
        <f t="shared" si="159"/>
        <v/>
      </c>
      <c r="E427" s="3" t="str">
        <f t="shared" si="160"/>
        <v/>
      </c>
      <c r="F427" s="3" t="str">
        <f t="shared" si="161"/>
        <v/>
      </c>
      <c r="G427" s="74" t="str">
        <f t="shared" si="162"/>
        <v/>
      </c>
      <c r="H427" s="78" t="str">
        <f>IFERROR(C427/SUM(M$2:M426),"")</f>
        <v/>
      </c>
      <c r="I427" s="61" t="str">
        <f>IFERROR(D427/SUM(N$2:N427),"")</f>
        <v/>
      </c>
      <c r="J427" s="61" t="str">
        <f>IFERROR(E427/SUM(O$2:O427),"")</f>
        <v/>
      </c>
      <c r="K427" s="61" t="str">
        <f>IFERROR(F427/SUM(P$2:P427),"")</f>
        <v/>
      </c>
      <c r="L427" s="79" t="str">
        <f>IFERROR(G427/SUM(Q$2:Q427),"")</f>
        <v/>
      </c>
      <c r="M427" s="64" t="str">
        <f t="shared" si="163"/>
        <v/>
      </c>
      <c r="N427" s="55" t="str">
        <f t="shared" si="164"/>
        <v/>
      </c>
      <c r="O427" s="55" t="str">
        <f t="shared" si="165"/>
        <v/>
      </c>
      <c r="P427" s="55" t="str">
        <f t="shared" si="166"/>
        <v/>
      </c>
      <c r="Q427" s="65" t="str">
        <f t="shared" si="167"/>
        <v/>
      </c>
      <c r="R427" s="67" t="str">
        <f t="shared" si="169"/>
        <v/>
      </c>
      <c r="S427" s="56" t="str">
        <f t="shared" si="170"/>
        <v/>
      </c>
      <c r="T427" s="56" t="str">
        <f t="shared" si="171"/>
        <v/>
      </c>
      <c r="U427" s="56" t="str">
        <f t="shared" si="172"/>
        <v/>
      </c>
      <c r="V427" s="68" t="str">
        <f t="shared" si="173"/>
        <v/>
      </c>
      <c r="W427" s="80" t="str">
        <f t="shared" si="174"/>
        <v/>
      </c>
      <c r="X427" s="81" t="str">
        <f t="shared" si="175"/>
        <v/>
      </c>
      <c r="Y427" s="81" t="str">
        <f t="shared" si="176"/>
        <v/>
      </c>
      <c r="Z427" s="81" t="str">
        <f t="shared" si="177"/>
        <v/>
      </c>
      <c r="AA427" s="82" t="str">
        <f t="shared" si="178"/>
        <v/>
      </c>
      <c r="AB427" s="83" t="str">
        <f>IF(R427&lt;&gt;"",(W427-SUMPRODUCT(R$3:R427,$B$3:$B427)/SUM($B$3:$B427))/STDEVA(W417:W427),"")</f>
        <v/>
      </c>
      <c r="AC427" s="84" t="str">
        <f>IF(S427&lt;&gt;"",(X427-SUMPRODUCT(S$3:S427,$B$3:$B427)/SUM($B$3:$B427))/STDEVA(X417:X427),"")</f>
        <v/>
      </c>
      <c r="AD427" s="84" t="str">
        <f>IF(T427&lt;&gt;"",(Y427-SUMPRODUCT(T$3:T427,$B$3:$B427)/SUM($B$3:$B427))/STDEVA(Y417:Y427),"")</f>
        <v/>
      </c>
      <c r="AE427" s="84" t="str">
        <f>IF(U427&lt;&gt;"",(Z427-SUMPRODUCT(U$3:U427,$B$3:$B427)/SUM($B$3:$B427))/STDEVA(Z417:Z427),"")</f>
        <v/>
      </c>
      <c r="AF427" s="85" t="str">
        <f>IF(V427&lt;&gt;"",(AA427-SUMPRODUCT(V$3:V427,$B$3:$B427)/SUM($B$3:$B427))/STDEVA(AA417:AA427),"")</f>
        <v/>
      </c>
      <c r="AG427" s="90" t="str">
        <f t="shared" si="180"/>
        <v/>
      </c>
      <c r="AH427" s="90" t="str">
        <f t="shared" si="180"/>
        <v/>
      </c>
      <c r="AI427" s="90" t="str">
        <f t="shared" si="180"/>
        <v/>
      </c>
      <c r="AJ427" s="90" t="str">
        <f t="shared" si="179"/>
        <v/>
      </c>
      <c r="AK427" s="93" t="str">
        <f t="shared" si="179"/>
        <v/>
      </c>
      <c r="BQ427" s="100" t="str">
        <f>IF(A427&lt;&gt;"",(VLOOKUP(A427,MarketData!$D:$BP,MATCH($BQ$1,MarketData!$D$1:$EG$1,0),TRUE)/100/365+1)^(B427)*BQ426,"")</f>
        <v/>
      </c>
      <c r="BR427" s="98" t="str">
        <f t="shared" si="157"/>
        <v/>
      </c>
      <c r="BS427" s="106" t="str">
        <f>IF(A427&lt;&gt;"",VLOOKUP(A427,MarketData!$D:$BP,MATCH($BS$1,MarketData!$D$1:$EG$1,0),TRUE),"")</f>
        <v/>
      </c>
      <c r="BT427" s="98" t="str">
        <f t="shared" si="168"/>
        <v/>
      </c>
    </row>
    <row r="428" spans="2:72" x14ac:dyDescent="0.25">
      <c r="B428" s="60" t="str">
        <f t="shared" si="181"/>
        <v/>
      </c>
      <c r="C428" s="3" t="str">
        <f t="shared" si="158"/>
        <v/>
      </c>
      <c r="D428" s="3" t="str">
        <f t="shared" si="159"/>
        <v/>
      </c>
      <c r="E428" s="3" t="str">
        <f t="shared" si="160"/>
        <v/>
      </c>
      <c r="F428" s="3" t="str">
        <f t="shared" si="161"/>
        <v/>
      </c>
      <c r="G428" s="74" t="str">
        <f t="shared" si="162"/>
        <v/>
      </c>
      <c r="H428" s="78" t="str">
        <f>IFERROR(C428/SUM(M$2:M427),"")</f>
        <v/>
      </c>
      <c r="I428" s="61" t="str">
        <f>IFERROR(D428/SUM(N$2:N428),"")</f>
        <v/>
      </c>
      <c r="J428" s="61" t="str">
        <f>IFERROR(E428/SUM(O$2:O428),"")</f>
        <v/>
      </c>
      <c r="K428" s="61" t="str">
        <f>IFERROR(F428/SUM(P$2:P428),"")</f>
        <v/>
      </c>
      <c r="L428" s="79" t="str">
        <f>IFERROR(G428/SUM(Q$2:Q428),"")</f>
        <v/>
      </c>
      <c r="M428" s="64" t="str">
        <f t="shared" si="163"/>
        <v/>
      </c>
      <c r="N428" s="55" t="str">
        <f t="shared" si="164"/>
        <v/>
      </c>
      <c r="O428" s="55" t="str">
        <f t="shared" si="165"/>
        <v/>
      </c>
      <c r="P428" s="55" t="str">
        <f t="shared" si="166"/>
        <v/>
      </c>
      <c r="Q428" s="65" t="str">
        <f t="shared" si="167"/>
        <v/>
      </c>
      <c r="R428" s="67" t="str">
        <f t="shared" si="169"/>
        <v/>
      </c>
      <c r="S428" s="56" t="str">
        <f t="shared" si="170"/>
        <v/>
      </c>
      <c r="T428" s="56" t="str">
        <f t="shared" si="171"/>
        <v/>
      </c>
      <c r="U428" s="56" t="str">
        <f t="shared" si="172"/>
        <v/>
      </c>
      <c r="V428" s="68" t="str">
        <f t="shared" si="173"/>
        <v/>
      </c>
      <c r="W428" s="80" t="str">
        <f t="shared" si="174"/>
        <v/>
      </c>
      <c r="X428" s="81" t="str">
        <f t="shared" si="175"/>
        <v/>
      </c>
      <c r="Y428" s="81" t="str">
        <f t="shared" si="176"/>
        <v/>
      </c>
      <c r="Z428" s="81" t="str">
        <f t="shared" si="177"/>
        <v/>
      </c>
      <c r="AA428" s="82" t="str">
        <f t="shared" si="178"/>
        <v/>
      </c>
      <c r="AB428" s="83" t="str">
        <f>IF(R428&lt;&gt;"",(W428-SUMPRODUCT(R$3:R428,$B$3:$B428)/SUM($B$3:$B428))/STDEVA(W418:W428),"")</f>
        <v/>
      </c>
      <c r="AC428" s="84" t="str">
        <f>IF(S428&lt;&gt;"",(X428-SUMPRODUCT(S$3:S428,$B$3:$B428)/SUM($B$3:$B428))/STDEVA(X418:X428),"")</f>
        <v/>
      </c>
      <c r="AD428" s="84" t="str">
        <f>IF(T428&lt;&gt;"",(Y428-SUMPRODUCT(T$3:T428,$B$3:$B428)/SUM($B$3:$B428))/STDEVA(Y418:Y428),"")</f>
        <v/>
      </c>
      <c r="AE428" s="84" t="str">
        <f>IF(U428&lt;&gt;"",(Z428-SUMPRODUCT(U$3:U428,$B$3:$B428)/SUM($B$3:$B428))/STDEVA(Z418:Z428),"")</f>
        <v/>
      </c>
      <c r="AF428" s="85" t="str">
        <f>IF(V428&lt;&gt;"",(AA428-SUMPRODUCT(V$3:V428,$B$3:$B428)/SUM($B$3:$B428))/STDEVA(AA418:AA428),"")</f>
        <v/>
      </c>
      <c r="AG428" s="90" t="str">
        <f t="shared" si="180"/>
        <v/>
      </c>
      <c r="AH428" s="90" t="str">
        <f t="shared" si="180"/>
        <v/>
      </c>
      <c r="AI428" s="90" t="str">
        <f t="shared" si="180"/>
        <v/>
      </c>
      <c r="AJ428" s="90" t="str">
        <f t="shared" si="179"/>
        <v/>
      </c>
      <c r="AK428" s="93" t="str">
        <f t="shared" si="179"/>
        <v/>
      </c>
      <c r="BQ428" s="100" t="str">
        <f>IF(A428&lt;&gt;"",(VLOOKUP(A428,MarketData!$D:$BP,MATCH($BQ$1,MarketData!$D$1:$EG$1,0),TRUE)/100/365+1)^(B428)*BQ427,"")</f>
        <v/>
      </c>
      <c r="BR428" s="98" t="str">
        <f t="shared" si="157"/>
        <v/>
      </c>
      <c r="BS428" s="106" t="str">
        <f>IF(A428&lt;&gt;"",VLOOKUP(A428,MarketData!$D:$BP,MATCH($BS$1,MarketData!$D$1:$EG$1,0),TRUE),"")</f>
        <v/>
      </c>
      <c r="BT428" s="98" t="str">
        <f t="shared" si="168"/>
        <v/>
      </c>
    </row>
    <row r="429" spans="2:72" x14ac:dyDescent="0.25">
      <c r="B429" s="60" t="str">
        <f t="shared" si="181"/>
        <v/>
      </c>
      <c r="C429" s="3" t="str">
        <f t="shared" si="158"/>
        <v/>
      </c>
      <c r="D429" s="3" t="str">
        <f t="shared" si="159"/>
        <v/>
      </c>
      <c r="E429" s="3" t="str">
        <f t="shared" si="160"/>
        <v/>
      </c>
      <c r="F429" s="3" t="str">
        <f t="shared" si="161"/>
        <v/>
      </c>
      <c r="G429" s="74" t="str">
        <f t="shared" si="162"/>
        <v/>
      </c>
      <c r="H429" s="78" t="str">
        <f>IFERROR(C429/SUM(M$2:M428),"")</f>
        <v/>
      </c>
      <c r="I429" s="61" t="str">
        <f>IFERROR(D429/SUM(N$2:N429),"")</f>
        <v/>
      </c>
      <c r="J429" s="61" t="str">
        <f>IFERROR(E429/SUM(O$2:O429),"")</f>
        <v/>
      </c>
      <c r="K429" s="61" t="str">
        <f>IFERROR(F429/SUM(P$2:P429),"")</f>
        <v/>
      </c>
      <c r="L429" s="79" t="str">
        <f>IFERROR(G429/SUM(Q$2:Q429),"")</f>
        <v/>
      </c>
      <c r="M429" s="64" t="str">
        <f t="shared" si="163"/>
        <v/>
      </c>
      <c r="N429" s="55" t="str">
        <f t="shared" si="164"/>
        <v/>
      </c>
      <c r="O429" s="55" t="str">
        <f t="shared" si="165"/>
        <v/>
      </c>
      <c r="P429" s="55" t="str">
        <f t="shared" si="166"/>
        <v/>
      </c>
      <c r="Q429" s="65" t="str">
        <f t="shared" si="167"/>
        <v/>
      </c>
      <c r="R429" s="67" t="str">
        <f t="shared" si="169"/>
        <v/>
      </c>
      <c r="S429" s="56" t="str">
        <f t="shared" si="170"/>
        <v/>
      </c>
      <c r="T429" s="56" t="str">
        <f t="shared" si="171"/>
        <v/>
      </c>
      <c r="U429" s="56" t="str">
        <f t="shared" si="172"/>
        <v/>
      </c>
      <c r="V429" s="68" t="str">
        <f t="shared" si="173"/>
        <v/>
      </c>
      <c r="W429" s="80" t="str">
        <f t="shared" si="174"/>
        <v/>
      </c>
      <c r="X429" s="81" t="str">
        <f t="shared" si="175"/>
        <v/>
      </c>
      <c r="Y429" s="81" t="str">
        <f t="shared" si="176"/>
        <v/>
      </c>
      <c r="Z429" s="81" t="str">
        <f t="shared" si="177"/>
        <v/>
      </c>
      <c r="AA429" s="82" t="str">
        <f t="shared" si="178"/>
        <v/>
      </c>
      <c r="AB429" s="83" t="str">
        <f>IF(R429&lt;&gt;"",(W429-SUMPRODUCT(R$3:R429,$B$3:$B429)/SUM($B$3:$B429))/STDEVA(W419:W429),"")</f>
        <v/>
      </c>
      <c r="AC429" s="84" t="str">
        <f>IF(S429&lt;&gt;"",(X429-SUMPRODUCT(S$3:S429,$B$3:$B429)/SUM($B$3:$B429))/STDEVA(X419:X429),"")</f>
        <v/>
      </c>
      <c r="AD429" s="84" t="str">
        <f>IF(T429&lt;&gt;"",(Y429-SUMPRODUCT(T$3:T429,$B$3:$B429)/SUM($B$3:$B429))/STDEVA(Y419:Y429),"")</f>
        <v/>
      </c>
      <c r="AE429" s="84" t="str">
        <f>IF(U429&lt;&gt;"",(Z429-SUMPRODUCT(U$3:U429,$B$3:$B429)/SUM($B$3:$B429))/STDEVA(Z419:Z429),"")</f>
        <v/>
      </c>
      <c r="AF429" s="85" t="str">
        <f>IF(V429&lt;&gt;"",(AA429-SUMPRODUCT(V$3:V429,$B$3:$B429)/SUM($B$3:$B429))/STDEVA(AA419:AA429),"")</f>
        <v/>
      </c>
      <c r="AG429" s="90" t="str">
        <f t="shared" si="180"/>
        <v/>
      </c>
      <c r="AH429" s="90" t="str">
        <f t="shared" si="180"/>
        <v/>
      </c>
      <c r="AI429" s="90" t="str">
        <f t="shared" si="180"/>
        <v/>
      </c>
      <c r="AJ429" s="90" t="str">
        <f t="shared" si="179"/>
        <v/>
      </c>
      <c r="AK429" s="93" t="str">
        <f t="shared" si="179"/>
        <v/>
      </c>
      <c r="BQ429" s="100" t="str">
        <f>IF(A429&lt;&gt;"",(VLOOKUP(A429,MarketData!$D:$BP,MATCH($BQ$1,MarketData!$D$1:$EG$1,0),TRUE)/100/365+1)^(B429)*BQ428,"")</f>
        <v/>
      </c>
      <c r="BR429" s="98" t="str">
        <f t="shared" si="157"/>
        <v/>
      </c>
      <c r="BS429" s="106" t="str">
        <f>IF(A429&lt;&gt;"",VLOOKUP(A429,MarketData!$D:$BP,MATCH($BS$1,MarketData!$D$1:$EG$1,0),TRUE),"")</f>
        <v/>
      </c>
      <c r="BT429" s="98" t="str">
        <f t="shared" si="168"/>
        <v/>
      </c>
    </row>
    <row r="430" spans="2:72" x14ac:dyDescent="0.25">
      <c r="B430" s="60" t="str">
        <f t="shared" si="181"/>
        <v/>
      </c>
      <c r="C430" s="3" t="str">
        <f t="shared" si="158"/>
        <v/>
      </c>
      <c r="D430" s="3" t="str">
        <f t="shared" si="159"/>
        <v/>
      </c>
      <c r="E430" s="3" t="str">
        <f t="shared" si="160"/>
        <v/>
      </c>
      <c r="F430" s="3" t="str">
        <f t="shared" si="161"/>
        <v/>
      </c>
      <c r="G430" s="74" t="str">
        <f t="shared" si="162"/>
        <v/>
      </c>
      <c r="H430" s="78" t="str">
        <f>IFERROR(C430/SUM(M$2:M429),"")</f>
        <v/>
      </c>
      <c r="I430" s="61" t="str">
        <f>IFERROR(D430/SUM(N$2:N430),"")</f>
        <v/>
      </c>
      <c r="J430" s="61" t="str">
        <f>IFERROR(E430/SUM(O$2:O430),"")</f>
        <v/>
      </c>
      <c r="K430" s="61" t="str">
        <f>IFERROR(F430/SUM(P$2:P430),"")</f>
        <v/>
      </c>
      <c r="L430" s="79" t="str">
        <f>IFERROR(G430/SUM(Q$2:Q430),"")</f>
        <v/>
      </c>
      <c r="M430" s="64" t="str">
        <f t="shared" si="163"/>
        <v/>
      </c>
      <c r="N430" s="55" t="str">
        <f t="shared" si="164"/>
        <v/>
      </c>
      <c r="O430" s="55" t="str">
        <f t="shared" si="165"/>
        <v/>
      </c>
      <c r="P430" s="55" t="str">
        <f t="shared" si="166"/>
        <v/>
      </c>
      <c r="Q430" s="65" t="str">
        <f t="shared" si="167"/>
        <v/>
      </c>
      <c r="R430" s="67" t="str">
        <f t="shared" si="169"/>
        <v/>
      </c>
      <c r="S430" s="56" t="str">
        <f t="shared" si="170"/>
        <v/>
      </c>
      <c r="T430" s="56" t="str">
        <f t="shared" si="171"/>
        <v/>
      </c>
      <c r="U430" s="56" t="str">
        <f t="shared" si="172"/>
        <v/>
      </c>
      <c r="V430" s="68" t="str">
        <f t="shared" si="173"/>
        <v/>
      </c>
      <c r="W430" s="80" t="str">
        <f t="shared" si="174"/>
        <v/>
      </c>
      <c r="X430" s="81" t="str">
        <f t="shared" si="175"/>
        <v/>
      </c>
      <c r="Y430" s="81" t="str">
        <f t="shared" si="176"/>
        <v/>
      </c>
      <c r="Z430" s="81" t="str">
        <f t="shared" si="177"/>
        <v/>
      </c>
      <c r="AA430" s="82" t="str">
        <f t="shared" si="178"/>
        <v/>
      </c>
      <c r="AB430" s="83" t="str">
        <f>IF(R430&lt;&gt;"",(W430-SUMPRODUCT(R$3:R430,$B$3:$B430)/SUM($B$3:$B430))/STDEVA(W420:W430),"")</f>
        <v/>
      </c>
      <c r="AC430" s="84" t="str">
        <f>IF(S430&lt;&gt;"",(X430-SUMPRODUCT(S$3:S430,$B$3:$B430)/SUM($B$3:$B430))/STDEVA(X420:X430),"")</f>
        <v/>
      </c>
      <c r="AD430" s="84" t="str">
        <f>IF(T430&lt;&gt;"",(Y430-SUMPRODUCT(T$3:T430,$B$3:$B430)/SUM($B$3:$B430))/STDEVA(Y420:Y430),"")</f>
        <v/>
      </c>
      <c r="AE430" s="84" t="str">
        <f>IF(U430&lt;&gt;"",(Z430-SUMPRODUCT(U$3:U430,$B$3:$B430)/SUM($B$3:$B430))/STDEVA(Z420:Z430),"")</f>
        <v/>
      </c>
      <c r="AF430" s="85" t="str">
        <f>IF(V430&lt;&gt;"",(AA430-SUMPRODUCT(V$3:V430,$B$3:$B430)/SUM($B$3:$B430))/STDEVA(AA420:AA430),"")</f>
        <v/>
      </c>
      <c r="AG430" s="90" t="str">
        <f t="shared" si="180"/>
        <v/>
      </c>
      <c r="AH430" s="90" t="str">
        <f t="shared" si="180"/>
        <v/>
      </c>
      <c r="AI430" s="90" t="str">
        <f t="shared" si="180"/>
        <v/>
      </c>
      <c r="AJ430" s="90" t="str">
        <f t="shared" si="179"/>
        <v/>
      </c>
      <c r="AK430" s="93" t="str">
        <f t="shared" si="179"/>
        <v/>
      </c>
      <c r="BQ430" s="100" t="str">
        <f>IF(A430&lt;&gt;"",(VLOOKUP(A430,MarketData!$D:$BP,MATCH($BQ$1,MarketData!$D$1:$EG$1,0),TRUE)/100/365+1)^(B430)*BQ429,"")</f>
        <v/>
      </c>
      <c r="BR430" s="98" t="str">
        <f t="shared" si="157"/>
        <v/>
      </c>
      <c r="BS430" s="106" t="str">
        <f>IF(A430&lt;&gt;"",VLOOKUP(A430,MarketData!$D:$BP,MATCH($BS$1,MarketData!$D$1:$EG$1,0),TRUE),"")</f>
        <v/>
      </c>
      <c r="BT430" s="98" t="str">
        <f t="shared" si="168"/>
        <v/>
      </c>
    </row>
    <row r="431" spans="2:72" x14ac:dyDescent="0.25">
      <c r="B431" s="60" t="str">
        <f t="shared" si="181"/>
        <v/>
      </c>
      <c r="C431" s="3" t="str">
        <f t="shared" si="158"/>
        <v/>
      </c>
      <c r="D431" s="3" t="str">
        <f t="shared" si="159"/>
        <v/>
      </c>
      <c r="E431" s="3" t="str">
        <f t="shared" si="160"/>
        <v/>
      </c>
      <c r="F431" s="3" t="str">
        <f t="shared" si="161"/>
        <v/>
      </c>
      <c r="G431" s="74" t="str">
        <f t="shared" si="162"/>
        <v/>
      </c>
      <c r="H431" s="78" t="str">
        <f>IFERROR(C431/SUM(M$2:M430),"")</f>
        <v/>
      </c>
      <c r="I431" s="61" t="str">
        <f>IFERROR(D431/SUM(N$2:N431),"")</f>
        <v/>
      </c>
      <c r="J431" s="61" t="str">
        <f>IFERROR(E431/SUM(O$2:O431),"")</f>
        <v/>
      </c>
      <c r="K431" s="61" t="str">
        <f>IFERROR(F431/SUM(P$2:P431),"")</f>
        <v/>
      </c>
      <c r="L431" s="79" t="str">
        <f>IFERROR(G431/SUM(Q$2:Q431),"")</f>
        <v/>
      </c>
      <c r="M431" s="64" t="str">
        <f t="shared" si="163"/>
        <v/>
      </c>
      <c r="N431" s="55" t="str">
        <f t="shared" si="164"/>
        <v/>
      </c>
      <c r="O431" s="55" t="str">
        <f t="shared" si="165"/>
        <v/>
      </c>
      <c r="P431" s="55" t="str">
        <f t="shared" si="166"/>
        <v/>
      </c>
      <c r="Q431" s="65" t="str">
        <f t="shared" si="167"/>
        <v/>
      </c>
      <c r="R431" s="67" t="str">
        <f t="shared" si="169"/>
        <v/>
      </c>
      <c r="S431" s="56" t="str">
        <f t="shared" si="170"/>
        <v/>
      </c>
      <c r="T431" s="56" t="str">
        <f t="shared" si="171"/>
        <v/>
      </c>
      <c r="U431" s="56" t="str">
        <f t="shared" si="172"/>
        <v/>
      </c>
      <c r="V431" s="68" t="str">
        <f t="shared" si="173"/>
        <v/>
      </c>
      <c r="W431" s="80" t="str">
        <f t="shared" si="174"/>
        <v/>
      </c>
      <c r="X431" s="81" t="str">
        <f t="shared" si="175"/>
        <v/>
      </c>
      <c r="Y431" s="81" t="str">
        <f t="shared" si="176"/>
        <v/>
      </c>
      <c r="Z431" s="81" t="str">
        <f t="shared" si="177"/>
        <v/>
      </c>
      <c r="AA431" s="82" t="str">
        <f t="shared" si="178"/>
        <v/>
      </c>
      <c r="AB431" s="83" t="str">
        <f>IF(R431&lt;&gt;"",(W431-SUMPRODUCT(R$3:R431,$B$3:$B431)/SUM($B$3:$B431))/STDEVA(W421:W431),"")</f>
        <v/>
      </c>
      <c r="AC431" s="84" t="str">
        <f>IF(S431&lt;&gt;"",(X431-SUMPRODUCT(S$3:S431,$B$3:$B431)/SUM($B$3:$B431))/STDEVA(X421:X431),"")</f>
        <v/>
      </c>
      <c r="AD431" s="84" t="str">
        <f>IF(T431&lt;&gt;"",(Y431-SUMPRODUCT(T$3:T431,$B$3:$B431)/SUM($B$3:$B431))/STDEVA(Y421:Y431),"")</f>
        <v/>
      </c>
      <c r="AE431" s="84" t="str">
        <f>IF(U431&lt;&gt;"",(Z431-SUMPRODUCT(U$3:U431,$B$3:$B431)/SUM($B$3:$B431))/STDEVA(Z421:Z431),"")</f>
        <v/>
      </c>
      <c r="AF431" s="85" t="str">
        <f>IF(V431&lt;&gt;"",(AA431-SUMPRODUCT(V$3:V431,$B$3:$B431)/SUM($B$3:$B431))/STDEVA(AA421:AA431),"")</f>
        <v/>
      </c>
      <c r="AG431" s="90" t="str">
        <f t="shared" si="180"/>
        <v/>
      </c>
      <c r="AH431" s="90" t="str">
        <f t="shared" si="180"/>
        <v/>
      </c>
      <c r="AI431" s="90" t="str">
        <f t="shared" si="180"/>
        <v/>
      </c>
      <c r="AJ431" s="90" t="str">
        <f t="shared" si="179"/>
        <v/>
      </c>
      <c r="AK431" s="93" t="str">
        <f t="shared" si="179"/>
        <v/>
      </c>
      <c r="BQ431" s="100" t="str">
        <f>IF(A431&lt;&gt;"",(VLOOKUP(A431,MarketData!$D:$BP,MATCH($BQ$1,MarketData!$D$1:$EG$1,0),TRUE)/100/365+1)^(B431)*BQ430,"")</f>
        <v/>
      </c>
      <c r="BR431" s="98" t="str">
        <f t="shared" si="157"/>
        <v/>
      </c>
      <c r="BS431" s="106" t="str">
        <f>IF(A431&lt;&gt;"",VLOOKUP(A431,MarketData!$D:$BP,MATCH($BS$1,MarketData!$D$1:$EG$1,0),TRUE),"")</f>
        <v/>
      </c>
      <c r="BT431" s="98" t="str">
        <f t="shared" si="168"/>
        <v/>
      </c>
    </row>
    <row r="432" spans="2:72" x14ac:dyDescent="0.25">
      <c r="B432" s="60" t="str">
        <f t="shared" si="181"/>
        <v/>
      </c>
      <c r="C432" s="3" t="str">
        <f t="shared" si="158"/>
        <v/>
      </c>
      <c r="D432" s="3" t="str">
        <f t="shared" si="159"/>
        <v/>
      </c>
      <c r="E432" s="3" t="str">
        <f t="shared" si="160"/>
        <v/>
      </c>
      <c r="F432" s="3" t="str">
        <f t="shared" si="161"/>
        <v/>
      </c>
      <c r="G432" s="74" t="str">
        <f t="shared" si="162"/>
        <v/>
      </c>
      <c r="H432" s="78" t="str">
        <f>IFERROR(C432/SUM(M$2:M431),"")</f>
        <v/>
      </c>
      <c r="I432" s="61" t="str">
        <f>IFERROR(D432/SUM(N$2:N432),"")</f>
        <v/>
      </c>
      <c r="J432" s="61" t="str">
        <f>IFERROR(E432/SUM(O$2:O432),"")</f>
        <v/>
      </c>
      <c r="K432" s="61" t="str">
        <f>IFERROR(F432/SUM(P$2:P432),"")</f>
        <v/>
      </c>
      <c r="L432" s="79" t="str">
        <f>IFERROR(G432/SUM(Q$2:Q432),"")</f>
        <v/>
      </c>
      <c r="M432" s="64" t="str">
        <f t="shared" si="163"/>
        <v/>
      </c>
      <c r="N432" s="55" t="str">
        <f t="shared" si="164"/>
        <v/>
      </c>
      <c r="O432" s="55" t="str">
        <f t="shared" si="165"/>
        <v/>
      </c>
      <c r="P432" s="55" t="str">
        <f t="shared" si="166"/>
        <v/>
      </c>
      <c r="Q432" s="65" t="str">
        <f t="shared" si="167"/>
        <v/>
      </c>
      <c r="R432" s="67" t="str">
        <f t="shared" si="169"/>
        <v/>
      </c>
      <c r="S432" s="56" t="str">
        <f t="shared" si="170"/>
        <v/>
      </c>
      <c r="T432" s="56" t="str">
        <f t="shared" si="171"/>
        <v/>
      </c>
      <c r="U432" s="56" t="str">
        <f t="shared" si="172"/>
        <v/>
      </c>
      <c r="V432" s="68" t="str">
        <f t="shared" si="173"/>
        <v/>
      </c>
      <c r="W432" s="80" t="str">
        <f t="shared" si="174"/>
        <v/>
      </c>
      <c r="X432" s="81" t="str">
        <f t="shared" si="175"/>
        <v/>
      </c>
      <c r="Y432" s="81" t="str">
        <f t="shared" si="176"/>
        <v/>
      </c>
      <c r="Z432" s="81" t="str">
        <f t="shared" si="177"/>
        <v/>
      </c>
      <c r="AA432" s="82" t="str">
        <f t="shared" si="178"/>
        <v/>
      </c>
      <c r="AB432" s="83" t="str">
        <f>IF(R432&lt;&gt;"",(W432-SUMPRODUCT(R$3:R432,$B$3:$B432)/SUM($B$3:$B432))/STDEVA(W422:W432),"")</f>
        <v/>
      </c>
      <c r="AC432" s="84" t="str">
        <f>IF(S432&lt;&gt;"",(X432-SUMPRODUCT(S$3:S432,$B$3:$B432)/SUM($B$3:$B432))/STDEVA(X422:X432),"")</f>
        <v/>
      </c>
      <c r="AD432" s="84" t="str">
        <f>IF(T432&lt;&gt;"",(Y432-SUMPRODUCT(T$3:T432,$B$3:$B432)/SUM($B$3:$B432))/STDEVA(Y422:Y432),"")</f>
        <v/>
      </c>
      <c r="AE432" s="84" t="str">
        <f>IF(U432&lt;&gt;"",(Z432-SUMPRODUCT(U$3:U432,$B$3:$B432)/SUM($B$3:$B432))/STDEVA(Z422:Z432),"")</f>
        <v/>
      </c>
      <c r="AF432" s="85" t="str">
        <f>IF(V432&lt;&gt;"",(AA432-SUMPRODUCT(V$3:V432,$B$3:$B432)/SUM($B$3:$B432))/STDEVA(AA422:AA432),"")</f>
        <v/>
      </c>
      <c r="AG432" s="90" t="str">
        <f t="shared" si="180"/>
        <v/>
      </c>
      <c r="AH432" s="90" t="str">
        <f t="shared" si="180"/>
        <v/>
      </c>
      <c r="AI432" s="90" t="str">
        <f t="shared" si="180"/>
        <v/>
      </c>
      <c r="AJ432" s="90" t="str">
        <f t="shared" si="179"/>
        <v/>
      </c>
      <c r="AK432" s="93" t="str">
        <f t="shared" si="179"/>
        <v/>
      </c>
      <c r="BQ432" s="100" t="str">
        <f>IF(A432&lt;&gt;"",(VLOOKUP(A432,MarketData!$D:$BP,MATCH($BQ$1,MarketData!$D$1:$EG$1,0),TRUE)/100/365+1)^(B432)*BQ431,"")</f>
        <v/>
      </c>
      <c r="BR432" s="98" t="str">
        <f t="shared" si="157"/>
        <v/>
      </c>
      <c r="BS432" s="106" t="str">
        <f>IF(A432&lt;&gt;"",VLOOKUP(A432,MarketData!$D:$BP,MATCH($BS$1,MarketData!$D$1:$EG$1,0),TRUE),"")</f>
        <v/>
      </c>
      <c r="BT432" s="98" t="str">
        <f t="shared" si="168"/>
        <v/>
      </c>
    </row>
    <row r="433" spans="2:72" x14ac:dyDescent="0.25">
      <c r="B433" s="60" t="str">
        <f t="shared" si="181"/>
        <v/>
      </c>
      <c r="C433" s="3" t="str">
        <f t="shared" si="158"/>
        <v/>
      </c>
      <c r="D433" s="3" t="str">
        <f t="shared" si="159"/>
        <v/>
      </c>
      <c r="E433" s="3" t="str">
        <f t="shared" si="160"/>
        <v/>
      </c>
      <c r="F433" s="3" t="str">
        <f t="shared" si="161"/>
        <v/>
      </c>
      <c r="G433" s="74" t="str">
        <f t="shared" si="162"/>
        <v/>
      </c>
      <c r="H433" s="78" t="str">
        <f>IFERROR(C433/SUM(M$2:M432),"")</f>
        <v/>
      </c>
      <c r="I433" s="61" t="str">
        <f>IFERROR(D433/SUM(N$2:N433),"")</f>
        <v/>
      </c>
      <c r="J433" s="61" t="str">
        <f>IFERROR(E433/SUM(O$2:O433),"")</f>
        <v/>
      </c>
      <c r="K433" s="61" t="str">
        <f>IFERROR(F433/SUM(P$2:P433),"")</f>
        <v/>
      </c>
      <c r="L433" s="79" t="str">
        <f>IFERROR(G433/SUM(Q$2:Q433),"")</f>
        <v/>
      </c>
      <c r="M433" s="64" t="str">
        <f t="shared" si="163"/>
        <v/>
      </c>
      <c r="N433" s="55" t="str">
        <f t="shared" si="164"/>
        <v/>
      </c>
      <c r="O433" s="55" t="str">
        <f t="shared" si="165"/>
        <v/>
      </c>
      <c r="P433" s="55" t="str">
        <f t="shared" si="166"/>
        <v/>
      </c>
      <c r="Q433" s="65" t="str">
        <f t="shared" si="167"/>
        <v/>
      </c>
      <c r="R433" s="67" t="str">
        <f t="shared" si="169"/>
        <v/>
      </c>
      <c r="S433" s="56" t="str">
        <f t="shared" si="170"/>
        <v/>
      </c>
      <c r="T433" s="56" t="str">
        <f t="shared" si="171"/>
        <v/>
      </c>
      <c r="U433" s="56" t="str">
        <f t="shared" si="172"/>
        <v/>
      </c>
      <c r="V433" s="68" t="str">
        <f t="shared" si="173"/>
        <v/>
      </c>
      <c r="W433" s="80" t="str">
        <f t="shared" si="174"/>
        <v/>
      </c>
      <c r="X433" s="81" t="str">
        <f t="shared" si="175"/>
        <v/>
      </c>
      <c r="Y433" s="81" t="str">
        <f t="shared" si="176"/>
        <v/>
      </c>
      <c r="Z433" s="81" t="str">
        <f t="shared" si="177"/>
        <v/>
      </c>
      <c r="AA433" s="82" t="str">
        <f t="shared" si="178"/>
        <v/>
      </c>
      <c r="AB433" s="83" t="str">
        <f>IF(R433&lt;&gt;"",(W433-SUMPRODUCT(R$3:R433,$B$3:$B433)/SUM($B$3:$B433))/STDEVA(W423:W433),"")</f>
        <v/>
      </c>
      <c r="AC433" s="84" t="str">
        <f>IF(S433&lt;&gt;"",(X433-SUMPRODUCT(S$3:S433,$B$3:$B433)/SUM($B$3:$B433))/STDEVA(X423:X433),"")</f>
        <v/>
      </c>
      <c r="AD433" s="84" t="str">
        <f>IF(T433&lt;&gt;"",(Y433-SUMPRODUCT(T$3:T433,$B$3:$B433)/SUM($B$3:$B433))/STDEVA(Y423:Y433),"")</f>
        <v/>
      </c>
      <c r="AE433" s="84" t="str">
        <f>IF(U433&lt;&gt;"",(Z433-SUMPRODUCT(U$3:U433,$B$3:$B433)/SUM($B$3:$B433))/STDEVA(Z423:Z433),"")</f>
        <v/>
      </c>
      <c r="AF433" s="85" t="str">
        <f>IF(V433&lt;&gt;"",(AA433-SUMPRODUCT(V$3:V433,$B$3:$B433)/SUM($B$3:$B433))/STDEVA(AA423:AA433),"")</f>
        <v/>
      </c>
      <c r="AG433" s="90" t="str">
        <f t="shared" si="180"/>
        <v/>
      </c>
      <c r="AH433" s="90" t="str">
        <f t="shared" si="180"/>
        <v/>
      </c>
      <c r="AI433" s="90" t="str">
        <f t="shared" si="180"/>
        <v/>
      </c>
      <c r="AJ433" s="90" t="str">
        <f t="shared" si="179"/>
        <v/>
      </c>
      <c r="AK433" s="93" t="str">
        <f t="shared" si="179"/>
        <v/>
      </c>
      <c r="BQ433" s="100" t="str">
        <f>IF(A433&lt;&gt;"",(VLOOKUP(A433,MarketData!$D:$BP,MATCH($BQ$1,MarketData!$D$1:$EG$1,0),TRUE)/100/365+1)^(B433)*BQ432,"")</f>
        <v/>
      </c>
      <c r="BR433" s="98" t="str">
        <f t="shared" si="157"/>
        <v/>
      </c>
      <c r="BS433" s="106" t="str">
        <f>IF(A433&lt;&gt;"",VLOOKUP(A433,MarketData!$D:$BP,MATCH($BS$1,MarketData!$D$1:$EG$1,0),TRUE),"")</f>
        <v/>
      </c>
      <c r="BT433" s="98" t="str">
        <f t="shared" si="168"/>
        <v/>
      </c>
    </row>
    <row r="434" spans="2:72" x14ac:dyDescent="0.25">
      <c r="B434" s="60" t="str">
        <f t="shared" si="181"/>
        <v/>
      </c>
      <c r="C434" s="3" t="str">
        <f t="shared" si="158"/>
        <v/>
      </c>
      <c r="D434" s="3" t="str">
        <f t="shared" si="159"/>
        <v/>
      </c>
      <c r="E434" s="3" t="str">
        <f t="shared" si="160"/>
        <v/>
      </c>
      <c r="F434" s="3" t="str">
        <f t="shared" si="161"/>
        <v/>
      </c>
      <c r="G434" s="74" t="str">
        <f t="shared" si="162"/>
        <v/>
      </c>
      <c r="H434" s="78" t="str">
        <f>IFERROR(C434/SUM(M$2:M433),"")</f>
        <v/>
      </c>
      <c r="I434" s="61" t="str">
        <f>IFERROR(D434/SUM(N$2:N434),"")</f>
        <v/>
      </c>
      <c r="J434" s="61" t="str">
        <f>IFERROR(E434/SUM(O$2:O434),"")</f>
        <v/>
      </c>
      <c r="K434" s="61" t="str">
        <f>IFERROR(F434/SUM(P$2:P434),"")</f>
        <v/>
      </c>
      <c r="L434" s="79" t="str">
        <f>IFERROR(G434/SUM(Q$2:Q434),"")</f>
        <v/>
      </c>
      <c r="M434" s="64" t="str">
        <f t="shared" si="163"/>
        <v/>
      </c>
      <c r="N434" s="55" t="str">
        <f t="shared" si="164"/>
        <v/>
      </c>
      <c r="O434" s="55" t="str">
        <f t="shared" si="165"/>
        <v/>
      </c>
      <c r="P434" s="55" t="str">
        <f t="shared" si="166"/>
        <v/>
      </c>
      <c r="Q434" s="65" t="str">
        <f t="shared" si="167"/>
        <v/>
      </c>
      <c r="R434" s="67" t="str">
        <f t="shared" si="169"/>
        <v/>
      </c>
      <c r="S434" s="56" t="str">
        <f t="shared" si="170"/>
        <v/>
      </c>
      <c r="T434" s="56" t="str">
        <f t="shared" si="171"/>
        <v/>
      </c>
      <c r="U434" s="56" t="str">
        <f t="shared" si="172"/>
        <v/>
      </c>
      <c r="V434" s="68" t="str">
        <f t="shared" si="173"/>
        <v/>
      </c>
      <c r="W434" s="80" t="str">
        <f t="shared" si="174"/>
        <v/>
      </c>
      <c r="X434" s="81" t="str">
        <f t="shared" si="175"/>
        <v/>
      </c>
      <c r="Y434" s="81" t="str">
        <f t="shared" si="176"/>
        <v/>
      </c>
      <c r="Z434" s="81" t="str">
        <f t="shared" si="177"/>
        <v/>
      </c>
      <c r="AA434" s="82" t="str">
        <f t="shared" si="178"/>
        <v/>
      </c>
      <c r="AB434" s="83" t="str">
        <f>IF(R434&lt;&gt;"",(W434-SUMPRODUCT(R$3:R434,$B$3:$B434)/SUM($B$3:$B434))/STDEVA(W424:W434),"")</f>
        <v/>
      </c>
      <c r="AC434" s="84" t="str">
        <f>IF(S434&lt;&gt;"",(X434-SUMPRODUCT(S$3:S434,$B$3:$B434)/SUM($B$3:$B434))/STDEVA(X424:X434),"")</f>
        <v/>
      </c>
      <c r="AD434" s="84" t="str">
        <f>IF(T434&lt;&gt;"",(Y434-SUMPRODUCT(T$3:T434,$B$3:$B434)/SUM($B$3:$B434))/STDEVA(Y424:Y434),"")</f>
        <v/>
      </c>
      <c r="AE434" s="84" t="str">
        <f>IF(U434&lt;&gt;"",(Z434-SUMPRODUCT(U$3:U434,$B$3:$B434)/SUM($B$3:$B434))/STDEVA(Z424:Z434),"")</f>
        <v/>
      </c>
      <c r="AF434" s="85" t="str">
        <f>IF(V434&lt;&gt;"",(AA434-SUMPRODUCT(V$3:V434,$B$3:$B434)/SUM($B$3:$B434))/STDEVA(AA424:AA434),"")</f>
        <v/>
      </c>
      <c r="AG434" s="90" t="str">
        <f t="shared" si="180"/>
        <v/>
      </c>
      <c r="AH434" s="90" t="str">
        <f t="shared" si="180"/>
        <v/>
      </c>
      <c r="AI434" s="90" t="str">
        <f t="shared" si="180"/>
        <v/>
      </c>
      <c r="AJ434" s="90" t="str">
        <f t="shared" si="179"/>
        <v/>
      </c>
      <c r="AK434" s="93" t="str">
        <f t="shared" si="179"/>
        <v/>
      </c>
      <c r="BQ434" s="100" t="str">
        <f>IF(A434&lt;&gt;"",(VLOOKUP(A434,MarketData!$D:$BP,MATCH($BQ$1,MarketData!$D$1:$EG$1,0),TRUE)/100/365+1)^(B434)*BQ433,"")</f>
        <v/>
      </c>
      <c r="BR434" s="98" t="str">
        <f t="shared" si="157"/>
        <v/>
      </c>
      <c r="BS434" s="106" t="str">
        <f>IF(A434&lt;&gt;"",VLOOKUP(A434,MarketData!$D:$BP,MATCH($BS$1,MarketData!$D$1:$EG$1,0),TRUE),"")</f>
        <v/>
      </c>
      <c r="BT434" s="98" t="str">
        <f t="shared" si="168"/>
        <v/>
      </c>
    </row>
    <row r="435" spans="2:72" x14ac:dyDescent="0.25">
      <c r="B435" s="60" t="str">
        <f t="shared" si="181"/>
        <v/>
      </c>
      <c r="C435" s="3" t="str">
        <f t="shared" si="158"/>
        <v/>
      </c>
      <c r="D435" s="3" t="str">
        <f t="shared" si="159"/>
        <v/>
      </c>
      <c r="E435" s="3" t="str">
        <f t="shared" si="160"/>
        <v/>
      </c>
      <c r="F435" s="3" t="str">
        <f t="shared" si="161"/>
        <v/>
      </c>
      <c r="G435" s="74" t="str">
        <f t="shared" si="162"/>
        <v/>
      </c>
      <c r="H435" s="78" t="str">
        <f>IFERROR(C435/SUM(M$2:M434),"")</f>
        <v/>
      </c>
      <c r="I435" s="61" t="str">
        <f>IFERROR(D435/SUM(N$2:N435),"")</f>
        <v/>
      </c>
      <c r="J435" s="61" t="str">
        <f>IFERROR(E435/SUM(O$2:O435),"")</f>
        <v/>
      </c>
      <c r="K435" s="61" t="str">
        <f>IFERROR(F435/SUM(P$2:P435),"")</f>
        <v/>
      </c>
      <c r="L435" s="79" t="str">
        <f>IFERROR(G435/SUM(Q$2:Q435),"")</f>
        <v/>
      </c>
      <c r="M435" s="64" t="str">
        <f t="shared" si="163"/>
        <v/>
      </c>
      <c r="N435" s="55" t="str">
        <f t="shared" si="164"/>
        <v/>
      </c>
      <c r="O435" s="55" t="str">
        <f t="shared" si="165"/>
        <v/>
      </c>
      <c r="P435" s="55" t="str">
        <f t="shared" si="166"/>
        <v/>
      </c>
      <c r="Q435" s="65" t="str">
        <f t="shared" si="167"/>
        <v/>
      </c>
      <c r="R435" s="67" t="str">
        <f t="shared" si="169"/>
        <v/>
      </c>
      <c r="S435" s="56" t="str">
        <f t="shared" si="170"/>
        <v/>
      </c>
      <c r="T435" s="56" t="str">
        <f t="shared" si="171"/>
        <v/>
      </c>
      <c r="U435" s="56" t="str">
        <f t="shared" si="172"/>
        <v/>
      </c>
      <c r="V435" s="68" t="str">
        <f t="shared" si="173"/>
        <v/>
      </c>
      <c r="W435" s="80" t="str">
        <f t="shared" si="174"/>
        <v/>
      </c>
      <c r="X435" s="81" t="str">
        <f t="shared" si="175"/>
        <v/>
      </c>
      <c r="Y435" s="81" t="str">
        <f t="shared" si="176"/>
        <v/>
      </c>
      <c r="Z435" s="81" t="str">
        <f t="shared" si="177"/>
        <v/>
      </c>
      <c r="AA435" s="82" t="str">
        <f t="shared" si="178"/>
        <v/>
      </c>
      <c r="AB435" s="83" t="str">
        <f>IF(R435&lt;&gt;"",(W435-SUMPRODUCT(R$3:R435,$B$3:$B435)/SUM($B$3:$B435))/STDEVA(W425:W435),"")</f>
        <v/>
      </c>
      <c r="AC435" s="84" t="str">
        <f>IF(S435&lt;&gt;"",(X435-SUMPRODUCT(S$3:S435,$B$3:$B435)/SUM($B$3:$B435))/STDEVA(X425:X435),"")</f>
        <v/>
      </c>
      <c r="AD435" s="84" t="str">
        <f>IF(T435&lt;&gt;"",(Y435-SUMPRODUCT(T$3:T435,$B$3:$B435)/SUM($B$3:$B435))/STDEVA(Y425:Y435),"")</f>
        <v/>
      </c>
      <c r="AE435" s="84" t="str">
        <f>IF(U435&lt;&gt;"",(Z435-SUMPRODUCT(U$3:U435,$B$3:$B435)/SUM($B$3:$B435))/STDEVA(Z425:Z435),"")</f>
        <v/>
      </c>
      <c r="AF435" s="85" t="str">
        <f>IF(V435&lt;&gt;"",(AA435-SUMPRODUCT(V$3:V435,$B$3:$B435)/SUM($B$3:$B435))/STDEVA(AA425:AA435),"")</f>
        <v/>
      </c>
      <c r="AG435" s="90" t="str">
        <f t="shared" si="180"/>
        <v/>
      </c>
      <c r="AH435" s="90" t="str">
        <f t="shared" si="180"/>
        <v/>
      </c>
      <c r="AI435" s="90" t="str">
        <f t="shared" si="180"/>
        <v/>
      </c>
      <c r="AJ435" s="90" t="str">
        <f t="shared" si="179"/>
        <v/>
      </c>
      <c r="AK435" s="93" t="str">
        <f t="shared" si="179"/>
        <v/>
      </c>
      <c r="BQ435" s="100" t="str">
        <f>IF(A435&lt;&gt;"",(VLOOKUP(A435,MarketData!$D:$BP,MATCH($BQ$1,MarketData!$D$1:$EG$1,0),TRUE)/100/365+1)^(B435)*BQ434,"")</f>
        <v/>
      </c>
      <c r="BR435" s="98" t="str">
        <f t="shared" si="157"/>
        <v/>
      </c>
      <c r="BS435" s="106" t="str">
        <f>IF(A435&lt;&gt;"",VLOOKUP(A435,MarketData!$D:$BP,MATCH($BS$1,MarketData!$D$1:$EG$1,0),TRUE),"")</f>
        <v/>
      </c>
      <c r="BT435" s="98" t="str">
        <f t="shared" si="168"/>
        <v/>
      </c>
    </row>
    <row r="436" spans="2:72" x14ac:dyDescent="0.25">
      <c r="B436" s="60" t="str">
        <f t="shared" si="181"/>
        <v/>
      </c>
      <c r="C436" s="3" t="str">
        <f t="shared" si="158"/>
        <v/>
      </c>
      <c r="D436" s="3" t="str">
        <f t="shared" si="159"/>
        <v/>
      </c>
      <c r="E436" s="3" t="str">
        <f t="shared" si="160"/>
        <v/>
      </c>
      <c r="F436" s="3" t="str">
        <f t="shared" si="161"/>
        <v/>
      </c>
      <c r="G436" s="74" t="str">
        <f t="shared" si="162"/>
        <v/>
      </c>
      <c r="H436" s="78" t="str">
        <f>IFERROR(C436/SUM(M$2:M435),"")</f>
        <v/>
      </c>
      <c r="I436" s="61" t="str">
        <f>IFERROR(D436/SUM(N$2:N436),"")</f>
        <v/>
      </c>
      <c r="J436" s="61" t="str">
        <f>IFERROR(E436/SUM(O$2:O436),"")</f>
        <v/>
      </c>
      <c r="K436" s="61" t="str">
        <f>IFERROR(F436/SUM(P$2:P436),"")</f>
        <v/>
      </c>
      <c r="L436" s="79" t="str">
        <f>IFERROR(G436/SUM(Q$2:Q436),"")</f>
        <v/>
      </c>
      <c r="M436" s="64" t="str">
        <f t="shared" si="163"/>
        <v/>
      </c>
      <c r="N436" s="55" t="str">
        <f t="shared" si="164"/>
        <v/>
      </c>
      <c r="O436" s="55" t="str">
        <f t="shared" si="165"/>
        <v/>
      </c>
      <c r="P436" s="55" t="str">
        <f t="shared" si="166"/>
        <v/>
      </c>
      <c r="Q436" s="65" t="str">
        <f t="shared" si="167"/>
        <v/>
      </c>
      <c r="R436" s="67" t="str">
        <f t="shared" si="169"/>
        <v/>
      </c>
      <c r="S436" s="56" t="str">
        <f t="shared" si="170"/>
        <v/>
      </c>
      <c r="T436" s="56" t="str">
        <f t="shared" si="171"/>
        <v/>
      </c>
      <c r="U436" s="56" t="str">
        <f t="shared" si="172"/>
        <v/>
      </c>
      <c r="V436" s="68" t="str">
        <f t="shared" si="173"/>
        <v/>
      </c>
      <c r="W436" s="80" t="str">
        <f t="shared" si="174"/>
        <v/>
      </c>
      <c r="X436" s="81" t="str">
        <f t="shared" si="175"/>
        <v/>
      </c>
      <c r="Y436" s="81" t="str">
        <f t="shared" si="176"/>
        <v/>
      </c>
      <c r="Z436" s="81" t="str">
        <f t="shared" si="177"/>
        <v/>
      </c>
      <c r="AA436" s="82" t="str">
        <f t="shared" si="178"/>
        <v/>
      </c>
      <c r="AB436" s="83" t="str">
        <f>IF(R436&lt;&gt;"",(W436-SUMPRODUCT(R$3:R436,$B$3:$B436)/SUM($B$3:$B436))/STDEVA(W426:W436),"")</f>
        <v/>
      </c>
      <c r="AC436" s="84" t="str">
        <f>IF(S436&lt;&gt;"",(X436-SUMPRODUCT(S$3:S436,$B$3:$B436)/SUM($B$3:$B436))/STDEVA(X426:X436),"")</f>
        <v/>
      </c>
      <c r="AD436" s="84" t="str">
        <f>IF(T436&lt;&gt;"",(Y436-SUMPRODUCT(T$3:T436,$B$3:$B436)/SUM($B$3:$B436))/STDEVA(Y426:Y436),"")</f>
        <v/>
      </c>
      <c r="AE436" s="84" t="str">
        <f>IF(U436&lt;&gt;"",(Z436-SUMPRODUCT(U$3:U436,$B$3:$B436)/SUM($B$3:$B436))/STDEVA(Z426:Z436),"")</f>
        <v/>
      </c>
      <c r="AF436" s="85" t="str">
        <f>IF(V436&lt;&gt;"",(AA436-SUMPRODUCT(V$3:V436,$B$3:$B436)/SUM($B$3:$B436))/STDEVA(AA426:AA436),"")</f>
        <v/>
      </c>
      <c r="AG436" s="90" t="str">
        <f t="shared" si="180"/>
        <v/>
      </c>
      <c r="AH436" s="90" t="str">
        <f t="shared" si="180"/>
        <v/>
      </c>
      <c r="AI436" s="90" t="str">
        <f t="shared" si="180"/>
        <v/>
      </c>
      <c r="AJ436" s="90" t="str">
        <f t="shared" si="179"/>
        <v/>
      </c>
      <c r="AK436" s="93" t="str">
        <f t="shared" si="179"/>
        <v/>
      </c>
      <c r="BQ436" s="100" t="str">
        <f>IF(A436&lt;&gt;"",(VLOOKUP(A436,MarketData!$D:$BP,MATCH($BQ$1,MarketData!$D$1:$EG$1,0),TRUE)/100/365+1)^(B436)*BQ435,"")</f>
        <v/>
      </c>
      <c r="BR436" s="98" t="str">
        <f t="shared" si="157"/>
        <v/>
      </c>
      <c r="BS436" s="106" t="str">
        <f>IF(A436&lt;&gt;"",VLOOKUP(A436,MarketData!$D:$BP,MATCH($BS$1,MarketData!$D$1:$EG$1,0),TRUE),"")</f>
        <v/>
      </c>
      <c r="BT436" s="98" t="str">
        <f t="shared" si="168"/>
        <v/>
      </c>
    </row>
    <row r="437" spans="2:72" x14ac:dyDescent="0.25">
      <c r="B437" s="60" t="str">
        <f t="shared" si="181"/>
        <v/>
      </c>
      <c r="C437" s="3" t="str">
        <f t="shared" si="158"/>
        <v/>
      </c>
      <c r="D437" s="3" t="str">
        <f t="shared" si="159"/>
        <v/>
      </c>
      <c r="E437" s="3" t="str">
        <f t="shared" si="160"/>
        <v/>
      </c>
      <c r="F437" s="3" t="str">
        <f t="shared" si="161"/>
        <v/>
      </c>
      <c r="G437" s="74" t="str">
        <f t="shared" si="162"/>
        <v/>
      </c>
      <c r="H437" s="78" t="str">
        <f>IFERROR(C437/SUM(M$2:M436),"")</f>
        <v/>
      </c>
      <c r="I437" s="61" t="str">
        <f>IFERROR(D437/SUM(N$2:N437),"")</f>
        <v/>
      </c>
      <c r="J437" s="61" t="str">
        <f>IFERROR(E437/SUM(O$2:O437),"")</f>
        <v/>
      </c>
      <c r="K437" s="61" t="str">
        <f>IFERROR(F437/SUM(P$2:P437),"")</f>
        <v/>
      </c>
      <c r="L437" s="79" t="str">
        <f>IFERROR(G437/SUM(Q$2:Q437),"")</f>
        <v/>
      </c>
      <c r="M437" s="64" t="str">
        <f t="shared" si="163"/>
        <v/>
      </c>
      <c r="N437" s="55" t="str">
        <f t="shared" si="164"/>
        <v/>
      </c>
      <c r="O437" s="55" t="str">
        <f t="shared" si="165"/>
        <v/>
      </c>
      <c r="P437" s="55" t="str">
        <f t="shared" si="166"/>
        <v/>
      </c>
      <c r="Q437" s="65" t="str">
        <f t="shared" si="167"/>
        <v/>
      </c>
      <c r="R437" s="67" t="str">
        <f t="shared" si="169"/>
        <v/>
      </c>
      <c r="S437" s="56" t="str">
        <f t="shared" si="170"/>
        <v/>
      </c>
      <c r="T437" s="56" t="str">
        <f t="shared" si="171"/>
        <v/>
      </c>
      <c r="U437" s="56" t="str">
        <f t="shared" si="172"/>
        <v/>
      </c>
      <c r="V437" s="68" t="str">
        <f t="shared" si="173"/>
        <v/>
      </c>
      <c r="W437" s="80" t="str">
        <f t="shared" si="174"/>
        <v/>
      </c>
      <c r="X437" s="81" t="str">
        <f t="shared" si="175"/>
        <v/>
      </c>
      <c r="Y437" s="81" t="str">
        <f t="shared" si="176"/>
        <v/>
      </c>
      <c r="Z437" s="81" t="str">
        <f t="shared" si="177"/>
        <v/>
      </c>
      <c r="AA437" s="82" t="str">
        <f t="shared" si="178"/>
        <v/>
      </c>
      <c r="AB437" s="83" t="str">
        <f>IF(R437&lt;&gt;"",(W437-SUMPRODUCT(R$3:R437,$B$3:$B437)/SUM($B$3:$B437))/STDEVA(W427:W437),"")</f>
        <v/>
      </c>
      <c r="AC437" s="84" t="str">
        <f>IF(S437&lt;&gt;"",(X437-SUMPRODUCT(S$3:S437,$B$3:$B437)/SUM($B$3:$B437))/STDEVA(X427:X437),"")</f>
        <v/>
      </c>
      <c r="AD437" s="84" t="str">
        <f>IF(T437&lt;&gt;"",(Y437-SUMPRODUCT(T$3:T437,$B$3:$B437)/SUM($B$3:$B437))/STDEVA(Y427:Y437),"")</f>
        <v/>
      </c>
      <c r="AE437" s="84" t="str">
        <f>IF(U437&lt;&gt;"",(Z437-SUMPRODUCT(U$3:U437,$B$3:$B437)/SUM($B$3:$B437))/STDEVA(Z427:Z437),"")</f>
        <v/>
      </c>
      <c r="AF437" s="85" t="str">
        <f>IF(V437&lt;&gt;"",(AA437-SUMPRODUCT(V$3:V437,$B$3:$B437)/SUM($B$3:$B437))/STDEVA(AA427:AA437),"")</f>
        <v/>
      </c>
      <c r="AG437" s="90" t="str">
        <f t="shared" si="180"/>
        <v/>
      </c>
      <c r="AH437" s="90" t="str">
        <f t="shared" si="180"/>
        <v/>
      </c>
      <c r="AI437" s="90" t="str">
        <f t="shared" si="180"/>
        <v/>
      </c>
      <c r="AJ437" s="90" t="str">
        <f t="shared" si="179"/>
        <v/>
      </c>
      <c r="AK437" s="93" t="str">
        <f t="shared" si="179"/>
        <v/>
      </c>
      <c r="BQ437" s="100" t="str">
        <f>IF(A437&lt;&gt;"",(VLOOKUP(A437,MarketData!$D:$BP,MATCH($BQ$1,MarketData!$D$1:$EG$1,0),TRUE)/100/365+1)^(B437)*BQ436,"")</f>
        <v/>
      </c>
      <c r="BR437" s="98" t="str">
        <f t="shared" si="157"/>
        <v/>
      </c>
      <c r="BS437" s="106" t="str">
        <f>IF(A437&lt;&gt;"",VLOOKUP(A437,MarketData!$D:$BP,MATCH($BS$1,MarketData!$D$1:$EG$1,0),TRUE),"")</f>
        <v/>
      </c>
      <c r="BT437" s="98" t="str">
        <f t="shared" si="168"/>
        <v/>
      </c>
    </row>
    <row r="438" spans="2:72" x14ac:dyDescent="0.25">
      <c r="B438" s="60" t="str">
        <f t="shared" si="181"/>
        <v/>
      </c>
      <c r="C438" s="3" t="str">
        <f t="shared" si="158"/>
        <v/>
      </c>
      <c r="D438" s="3" t="str">
        <f t="shared" si="159"/>
        <v/>
      </c>
      <c r="E438" s="3" t="str">
        <f t="shared" si="160"/>
        <v/>
      </c>
      <c r="F438" s="3" t="str">
        <f t="shared" si="161"/>
        <v/>
      </c>
      <c r="G438" s="74" t="str">
        <f t="shared" si="162"/>
        <v/>
      </c>
      <c r="H438" s="78" t="str">
        <f>IFERROR(C438/SUM(M$2:M437),"")</f>
        <v/>
      </c>
      <c r="I438" s="61" t="str">
        <f>IFERROR(D438/SUM(N$2:N438),"")</f>
        <v/>
      </c>
      <c r="J438" s="61" t="str">
        <f>IFERROR(E438/SUM(O$2:O438),"")</f>
        <v/>
      </c>
      <c r="K438" s="61" t="str">
        <f>IFERROR(F438/SUM(P$2:P438),"")</f>
        <v/>
      </c>
      <c r="L438" s="79" t="str">
        <f>IFERROR(G438/SUM(Q$2:Q438),"")</f>
        <v/>
      </c>
      <c r="M438" s="64" t="str">
        <f t="shared" si="163"/>
        <v/>
      </c>
      <c r="N438" s="55" t="str">
        <f t="shared" si="164"/>
        <v/>
      </c>
      <c r="O438" s="55" t="str">
        <f t="shared" si="165"/>
        <v/>
      </c>
      <c r="P438" s="55" t="str">
        <f t="shared" si="166"/>
        <v/>
      </c>
      <c r="Q438" s="65" t="str">
        <f t="shared" si="167"/>
        <v/>
      </c>
      <c r="R438" s="67" t="str">
        <f t="shared" si="169"/>
        <v/>
      </c>
      <c r="S438" s="56" t="str">
        <f t="shared" si="170"/>
        <v/>
      </c>
      <c r="T438" s="56" t="str">
        <f t="shared" si="171"/>
        <v/>
      </c>
      <c r="U438" s="56" t="str">
        <f t="shared" si="172"/>
        <v/>
      </c>
      <c r="V438" s="68" t="str">
        <f t="shared" si="173"/>
        <v/>
      </c>
      <c r="W438" s="80" t="str">
        <f t="shared" si="174"/>
        <v/>
      </c>
      <c r="X438" s="81" t="str">
        <f t="shared" si="175"/>
        <v/>
      </c>
      <c r="Y438" s="81" t="str">
        <f t="shared" si="176"/>
        <v/>
      </c>
      <c r="Z438" s="81" t="str">
        <f t="shared" si="177"/>
        <v/>
      </c>
      <c r="AA438" s="82" t="str">
        <f t="shared" si="178"/>
        <v/>
      </c>
      <c r="AB438" s="83" t="str">
        <f>IF(R438&lt;&gt;"",(W438-SUMPRODUCT(R$3:R438,$B$3:$B438)/SUM($B$3:$B438))/STDEVA(W428:W438),"")</f>
        <v/>
      </c>
      <c r="AC438" s="84" t="str">
        <f>IF(S438&lt;&gt;"",(X438-SUMPRODUCT(S$3:S438,$B$3:$B438)/SUM($B$3:$B438))/STDEVA(X428:X438),"")</f>
        <v/>
      </c>
      <c r="AD438" s="84" t="str">
        <f>IF(T438&lt;&gt;"",(Y438-SUMPRODUCT(T$3:T438,$B$3:$B438)/SUM($B$3:$B438))/STDEVA(Y428:Y438),"")</f>
        <v/>
      </c>
      <c r="AE438" s="84" t="str">
        <f>IF(U438&lt;&gt;"",(Z438-SUMPRODUCT(U$3:U438,$B$3:$B438)/SUM($B$3:$B438))/STDEVA(Z428:Z438),"")</f>
        <v/>
      </c>
      <c r="AF438" s="85" t="str">
        <f>IF(V438&lt;&gt;"",(AA438-SUMPRODUCT(V$3:V438,$B$3:$B438)/SUM($B$3:$B438))/STDEVA(AA428:AA438),"")</f>
        <v/>
      </c>
      <c r="AG438" s="90" t="str">
        <f t="shared" si="180"/>
        <v/>
      </c>
      <c r="AH438" s="90" t="str">
        <f t="shared" si="180"/>
        <v/>
      </c>
      <c r="AI438" s="90" t="str">
        <f t="shared" si="180"/>
        <v/>
      </c>
      <c r="AJ438" s="90" t="str">
        <f t="shared" si="179"/>
        <v/>
      </c>
      <c r="AK438" s="93" t="str">
        <f t="shared" si="179"/>
        <v/>
      </c>
      <c r="BQ438" s="100" t="str">
        <f>IF(A438&lt;&gt;"",(VLOOKUP(A438,MarketData!$D:$BP,MATCH($BQ$1,MarketData!$D$1:$EG$1,0),TRUE)/100/365+1)^(B438)*BQ437,"")</f>
        <v/>
      </c>
      <c r="BR438" s="98" t="str">
        <f t="shared" si="157"/>
        <v/>
      </c>
      <c r="BS438" s="106" t="str">
        <f>IF(A438&lt;&gt;"",VLOOKUP(A438,MarketData!$D:$BP,MATCH($BS$1,MarketData!$D$1:$EG$1,0),TRUE),"")</f>
        <v/>
      </c>
      <c r="BT438" s="98" t="str">
        <f t="shared" si="168"/>
        <v/>
      </c>
    </row>
    <row r="439" spans="2:72" x14ac:dyDescent="0.25">
      <c r="B439" s="60" t="str">
        <f t="shared" si="181"/>
        <v/>
      </c>
      <c r="C439" s="3" t="str">
        <f t="shared" si="158"/>
        <v/>
      </c>
      <c r="D439" s="3" t="str">
        <f t="shared" si="159"/>
        <v/>
      </c>
      <c r="E439" s="3" t="str">
        <f t="shared" si="160"/>
        <v/>
      </c>
      <c r="F439" s="3" t="str">
        <f t="shared" si="161"/>
        <v/>
      </c>
      <c r="G439" s="74" t="str">
        <f t="shared" si="162"/>
        <v/>
      </c>
      <c r="H439" s="78" t="str">
        <f>IFERROR(C439/SUM(M$2:M438),"")</f>
        <v/>
      </c>
      <c r="I439" s="61" t="str">
        <f>IFERROR(D439/SUM(N$2:N439),"")</f>
        <v/>
      </c>
      <c r="J439" s="61" t="str">
        <f>IFERROR(E439/SUM(O$2:O439),"")</f>
        <v/>
      </c>
      <c r="K439" s="61" t="str">
        <f>IFERROR(F439/SUM(P$2:P439),"")</f>
        <v/>
      </c>
      <c r="L439" s="79" t="str">
        <f>IFERROR(G439/SUM(Q$2:Q439),"")</f>
        <v/>
      </c>
      <c r="M439" s="64" t="str">
        <f t="shared" si="163"/>
        <v/>
      </c>
      <c r="N439" s="55" t="str">
        <f t="shared" si="164"/>
        <v/>
      </c>
      <c r="O439" s="55" t="str">
        <f t="shared" si="165"/>
        <v/>
      </c>
      <c r="P439" s="55" t="str">
        <f t="shared" si="166"/>
        <v/>
      </c>
      <c r="Q439" s="65" t="str">
        <f t="shared" si="167"/>
        <v/>
      </c>
      <c r="R439" s="67" t="str">
        <f t="shared" si="169"/>
        <v/>
      </c>
      <c r="S439" s="56" t="str">
        <f t="shared" si="170"/>
        <v/>
      </c>
      <c r="T439" s="56" t="str">
        <f t="shared" si="171"/>
        <v/>
      </c>
      <c r="U439" s="56" t="str">
        <f t="shared" si="172"/>
        <v/>
      </c>
      <c r="V439" s="68" t="str">
        <f t="shared" si="173"/>
        <v/>
      </c>
      <c r="W439" s="80" t="str">
        <f t="shared" si="174"/>
        <v/>
      </c>
      <c r="X439" s="81" t="str">
        <f t="shared" si="175"/>
        <v/>
      </c>
      <c r="Y439" s="81" t="str">
        <f t="shared" si="176"/>
        <v/>
      </c>
      <c r="Z439" s="81" t="str">
        <f t="shared" si="177"/>
        <v/>
      </c>
      <c r="AA439" s="82" t="str">
        <f t="shared" si="178"/>
        <v/>
      </c>
      <c r="AB439" s="83" t="str">
        <f>IF(R439&lt;&gt;"",(W439-SUMPRODUCT(R$3:R439,$B$3:$B439)/SUM($B$3:$B439))/STDEVA(W429:W439),"")</f>
        <v/>
      </c>
      <c r="AC439" s="84" t="str">
        <f>IF(S439&lt;&gt;"",(X439-SUMPRODUCT(S$3:S439,$B$3:$B439)/SUM($B$3:$B439))/STDEVA(X429:X439),"")</f>
        <v/>
      </c>
      <c r="AD439" s="84" t="str">
        <f>IF(T439&lt;&gt;"",(Y439-SUMPRODUCT(T$3:T439,$B$3:$B439)/SUM($B$3:$B439))/STDEVA(Y429:Y439),"")</f>
        <v/>
      </c>
      <c r="AE439" s="84" t="str">
        <f>IF(U439&lt;&gt;"",(Z439-SUMPRODUCT(U$3:U439,$B$3:$B439)/SUM($B$3:$B439))/STDEVA(Z429:Z439),"")</f>
        <v/>
      </c>
      <c r="AF439" s="85" t="str">
        <f>IF(V439&lt;&gt;"",(AA439-SUMPRODUCT(V$3:V439,$B$3:$B439)/SUM($B$3:$B439))/STDEVA(AA429:AA439),"")</f>
        <v/>
      </c>
      <c r="AG439" s="90" t="str">
        <f t="shared" si="180"/>
        <v/>
      </c>
      <c r="AH439" s="90" t="str">
        <f t="shared" si="180"/>
        <v/>
      </c>
      <c r="AI439" s="90" t="str">
        <f t="shared" si="180"/>
        <v/>
      </c>
      <c r="AJ439" s="90" t="str">
        <f t="shared" si="179"/>
        <v/>
      </c>
      <c r="AK439" s="93" t="str">
        <f t="shared" si="179"/>
        <v/>
      </c>
      <c r="BQ439" s="100" t="str">
        <f>IF(A439&lt;&gt;"",(VLOOKUP(A439,MarketData!$D:$BP,MATCH($BQ$1,MarketData!$D$1:$EG$1,0),TRUE)/100/365+1)^(B439)*BQ438,"")</f>
        <v/>
      </c>
      <c r="BR439" s="98" t="str">
        <f t="shared" si="157"/>
        <v/>
      </c>
      <c r="BS439" s="106" t="str">
        <f>IF(A439&lt;&gt;"",VLOOKUP(A439,MarketData!$D:$BP,MATCH($BS$1,MarketData!$D$1:$EG$1,0),TRUE),"")</f>
        <v/>
      </c>
      <c r="BT439" s="98" t="str">
        <f t="shared" si="168"/>
        <v/>
      </c>
    </row>
    <row r="440" spans="2:72" x14ac:dyDescent="0.25">
      <c r="B440" s="60" t="str">
        <f t="shared" si="181"/>
        <v/>
      </c>
      <c r="C440" s="3" t="str">
        <f t="shared" si="158"/>
        <v/>
      </c>
      <c r="D440" s="3" t="str">
        <f t="shared" si="159"/>
        <v/>
      </c>
      <c r="E440" s="3" t="str">
        <f t="shared" si="160"/>
        <v/>
      </c>
      <c r="F440" s="3" t="str">
        <f t="shared" si="161"/>
        <v/>
      </c>
      <c r="G440" s="74" t="str">
        <f t="shared" si="162"/>
        <v/>
      </c>
      <c r="H440" s="78" t="str">
        <f>IFERROR(C440/SUM(M$2:M439),"")</f>
        <v/>
      </c>
      <c r="I440" s="61" t="str">
        <f>IFERROR(D440/SUM(N$2:N440),"")</f>
        <v/>
      </c>
      <c r="J440" s="61" t="str">
        <f>IFERROR(E440/SUM(O$2:O440),"")</f>
        <v/>
      </c>
      <c r="K440" s="61" t="str">
        <f>IFERROR(F440/SUM(P$2:P440),"")</f>
        <v/>
      </c>
      <c r="L440" s="79" t="str">
        <f>IFERROR(G440/SUM(Q$2:Q440),"")</f>
        <v/>
      </c>
      <c r="M440" s="64" t="str">
        <f t="shared" si="163"/>
        <v/>
      </c>
      <c r="N440" s="55" t="str">
        <f t="shared" si="164"/>
        <v/>
      </c>
      <c r="O440" s="55" t="str">
        <f t="shared" si="165"/>
        <v/>
      </c>
      <c r="P440" s="55" t="str">
        <f t="shared" si="166"/>
        <v/>
      </c>
      <c r="Q440" s="65" t="str">
        <f t="shared" si="167"/>
        <v/>
      </c>
      <c r="R440" s="67" t="str">
        <f t="shared" si="169"/>
        <v/>
      </c>
      <c r="S440" s="56" t="str">
        <f t="shared" si="170"/>
        <v/>
      </c>
      <c r="T440" s="56" t="str">
        <f t="shared" si="171"/>
        <v/>
      </c>
      <c r="U440" s="56" t="str">
        <f t="shared" si="172"/>
        <v/>
      </c>
      <c r="V440" s="68" t="str">
        <f t="shared" si="173"/>
        <v/>
      </c>
      <c r="W440" s="80" t="str">
        <f t="shared" si="174"/>
        <v/>
      </c>
      <c r="X440" s="81" t="str">
        <f t="shared" si="175"/>
        <v/>
      </c>
      <c r="Y440" s="81" t="str">
        <f t="shared" si="176"/>
        <v/>
      </c>
      <c r="Z440" s="81" t="str">
        <f t="shared" si="177"/>
        <v/>
      </c>
      <c r="AA440" s="82" t="str">
        <f t="shared" si="178"/>
        <v/>
      </c>
      <c r="AB440" s="83" t="str">
        <f>IF(R440&lt;&gt;"",(W440-SUMPRODUCT(R$3:R440,$B$3:$B440)/SUM($B$3:$B440))/STDEVA(W430:W440),"")</f>
        <v/>
      </c>
      <c r="AC440" s="84" t="str">
        <f>IF(S440&lt;&gt;"",(X440-SUMPRODUCT(S$3:S440,$B$3:$B440)/SUM($B$3:$B440))/STDEVA(X430:X440),"")</f>
        <v/>
      </c>
      <c r="AD440" s="84" t="str">
        <f>IF(T440&lt;&gt;"",(Y440-SUMPRODUCT(T$3:T440,$B$3:$B440)/SUM($B$3:$B440))/STDEVA(Y430:Y440),"")</f>
        <v/>
      </c>
      <c r="AE440" s="84" t="str">
        <f>IF(U440&lt;&gt;"",(Z440-SUMPRODUCT(U$3:U440,$B$3:$B440)/SUM($B$3:$B440))/STDEVA(Z430:Z440),"")</f>
        <v/>
      </c>
      <c r="AF440" s="85" t="str">
        <f>IF(V440&lt;&gt;"",(AA440-SUMPRODUCT(V$3:V440,$B$3:$B440)/SUM($B$3:$B440))/STDEVA(AA430:AA440),"")</f>
        <v/>
      </c>
      <c r="AG440" s="90" t="str">
        <f t="shared" si="180"/>
        <v/>
      </c>
      <c r="AH440" s="90" t="str">
        <f t="shared" si="180"/>
        <v/>
      </c>
      <c r="AI440" s="90" t="str">
        <f t="shared" si="180"/>
        <v/>
      </c>
      <c r="AJ440" s="90" t="str">
        <f t="shared" si="179"/>
        <v/>
      </c>
      <c r="AK440" s="93" t="str">
        <f t="shared" si="179"/>
        <v/>
      </c>
      <c r="BQ440" s="100" t="str">
        <f>IF(A440&lt;&gt;"",(VLOOKUP(A440,MarketData!$D:$BP,MATCH($BQ$1,MarketData!$D$1:$EG$1,0),TRUE)/100/365+1)^(B440)*BQ439,"")</f>
        <v/>
      </c>
      <c r="BR440" s="98" t="str">
        <f t="shared" si="157"/>
        <v/>
      </c>
      <c r="BS440" s="106" t="str">
        <f>IF(A440&lt;&gt;"",VLOOKUP(A440,MarketData!$D:$BP,MATCH($BS$1,MarketData!$D$1:$EG$1,0),TRUE),"")</f>
        <v/>
      </c>
      <c r="BT440" s="98" t="str">
        <f t="shared" si="168"/>
        <v/>
      </c>
    </row>
    <row r="441" spans="2:72" x14ac:dyDescent="0.25">
      <c r="B441" s="60" t="str">
        <f t="shared" si="181"/>
        <v/>
      </c>
      <c r="C441" s="3" t="str">
        <f t="shared" si="158"/>
        <v/>
      </c>
      <c r="D441" s="3" t="str">
        <f t="shared" si="159"/>
        <v/>
      </c>
      <c r="E441" s="3" t="str">
        <f t="shared" si="160"/>
        <v/>
      </c>
      <c r="F441" s="3" t="str">
        <f t="shared" si="161"/>
        <v/>
      </c>
      <c r="G441" s="74" t="str">
        <f t="shared" si="162"/>
        <v/>
      </c>
      <c r="H441" s="78" t="str">
        <f>IFERROR(C441/SUM(M$2:M440),"")</f>
        <v/>
      </c>
      <c r="I441" s="61" t="str">
        <f>IFERROR(D441/SUM(N$2:N441),"")</f>
        <v/>
      </c>
      <c r="J441" s="61" t="str">
        <f>IFERROR(E441/SUM(O$2:O441),"")</f>
        <v/>
      </c>
      <c r="K441" s="61" t="str">
        <f>IFERROR(F441/SUM(P$2:P441),"")</f>
        <v/>
      </c>
      <c r="L441" s="79" t="str">
        <f>IFERROR(G441/SUM(Q$2:Q441),"")</f>
        <v/>
      </c>
      <c r="M441" s="64" t="str">
        <f t="shared" si="163"/>
        <v/>
      </c>
      <c r="N441" s="55" t="str">
        <f t="shared" si="164"/>
        <v/>
      </c>
      <c r="O441" s="55" t="str">
        <f t="shared" si="165"/>
        <v/>
      </c>
      <c r="P441" s="55" t="str">
        <f t="shared" si="166"/>
        <v/>
      </c>
      <c r="Q441" s="65" t="str">
        <f t="shared" si="167"/>
        <v/>
      </c>
      <c r="R441" s="67" t="str">
        <f t="shared" si="169"/>
        <v/>
      </c>
      <c r="S441" s="56" t="str">
        <f t="shared" si="170"/>
        <v/>
      </c>
      <c r="T441" s="56" t="str">
        <f t="shared" si="171"/>
        <v/>
      </c>
      <c r="U441" s="56" t="str">
        <f t="shared" si="172"/>
        <v/>
      </c>
      <c r="V441" s="68" t="str">
        <f t="shared" si="173"/>
        <v/>
      </c>
      <c r="W441" s="80" t="str">
        <f t="shared" si="174"/>
        <v/>
      </c>
      <c r="X441" s="81" t="str">
        <f t="shared" si="175"/>
        <v/>
      </c>
      <c r="Y441" s="81" t="str">
        <f t="shared" si="176"/>
        <v/>
      </c>
      <c r="Z441" s="81" t="str">
        <f t="shared" si="177"/>
        <v/>
      </c>
      <c r="AA441" s="82" t="str">
        <f t="shared" si="178"/>
        <v/>
      </c>
      <c r="AB441" s="83" t="str">
        <f>IF(R441&lt;&gt;"",(W441-SUMPRODUCT(R$3:R441,$B$3:$B441)/SUM($B$3:$B441))/STDEVA(W431:W441),"")</f>
        <v/>
      </c>
      <c r="AC441" s="84" t="str">
        <f>IF(S441&lt;&gt;"",(X441-SUMPRODUCT(S$3:S441,$B$3:$B441)/SUM($B$3:$B441))/STDEVA(X431:X441),"")</f>
        <v/>
      </c>
      <c r="AD441" s="84" t="str">
        <f>IF(T441&lt;&gt;"",(Y441-SUMPRODUCT(T$3:T441,$B$3:$B441)/SUM($B$3:$B441))/STDEVA(Y431:Y441),"")</f>
        <v/>
      </c>
      <c r="AE441" s="84" t="str">
        <f>IF(U441&lt;&gt;"",(Z441-SUMPRODUCT(U$3:U441,$B$3:$B441)/SUM($B$3:$B441))/STDEVA(Z431:Z441),"")</f>
        <v/>
      </c>
      <c r="AF441" s="85" t="str">
        <f>IF(V441&lt;&gt;"",(AA441-SUMPRODUCT(V$3:V441,$B$3:$B441)/SUM($B$3:$B441))/STDEVA(AA431:AA441),"")</f>
        <v/>
      </c>
      <c r="AG441" s="90" t="str">
        <f t="shared" si="180"/>
        <v/>
      </c>
      <c r="AH441" s="90" t="str">
        <f t="shared" si="180"/>
        <v/>
      </c>
      <c r="AI441" s="90" t="str">
        <f t="shared" si="180"/>
        <v/>
      </c>
      <c r="AJ441" s="90" t="str">
        <f t="shared" si="179"/>
        <v/>
      </c>
      <c r="AK441" s="93" t="str">
        <f t="shared" si="179"/>
        <v/>
      </c>
      <c r="BQ441" s="100" t="str">
        <f>IF(A441&lt;&gt;"",(VLOOKUP(A441,MarketData!$D:$BP,MATCH($BQ$1,MarketData!$D$1:$EG$1,0),TRUE)/100/365+1)^(B441)*BQ440,"")</f>
        <v/>
      </c>
      <c r="BR441" s="98" t="str">
        <f t="shared" si="157"/>
        <v/>
      </c>
      <c r="BS441" s="106" t="str">
        <f>IF(A441&lt;&gt;"",VLOOKUP(A441,MarketData!$D:$BP,MATCH($BS$1,MarketData!$D$1:$EG$1,0),TRUE),"")</f>
        <v/>
      </c>
      <c r="BT441" s="98" t="str">
        <f t="shared" si="168"/>
        <v/>
      </c>
    </row>
    <row r="442" spans="2:72" x14ac:dyDescent="0.25">
      <c r="B442" s="60" t="str">
        <f t="shared" si="181"/>
        <v/>
      </c>
      <c r="C442" s="3" t="str">
        <f t="shared" si="158"/>
        <v/>
      </c>
      <c r="D442" s="3" t="str">
        <f t="shared" si="159"/>
        <v/>
      </c>
      <c r="E442" s="3" t="str">
        <f t="shared" si="160"/>
        <v/>
      </c>
      <c r="F442" s="3" t="str">
        <f t="shared" si="161"/>
        <v/>
      </c>
      <c r="G442" s="74" t="str">
        <f t="shared" si="162"/>
        <v/>
      </c>
      <c r="H442" s="78" t="str">
        <f>IFERROR(C442/SUM(M$2:M441),"")</f>
        <v/>
      </c>
      <c r="I442" s="61" t="str">
        <f>IFERROR(D442/SUM(N$2:N442),"")</f>
        <v/>
      </c>
      <c r="J442" s="61" t="str">
        <f>IFERROR(E442/SUM(O$2:O442),"")</f>
        <v/>
      </c>
      <c r="K442" s="61" t="str">
        <f>IFERROR(F442/SUM(P$2:P442),"")</f>
        <v/>
      </c>
      <c r="L442" s="79" t="str">
        <f>IFERROR(G442/SUM(Q$2:Q442),"")</f>
        <v/>
      </c>
      <c r="M442" s="64" t="str">
        <f t="shared" si="163"/>
        <v/>
      </c>
      <c r="N442" s="55" t="str">
        <f t="shared" si="164"/>
        <v/>
      </c>
      <c r="O442" s="55" t="str">
        <f t="shared" si="165"/>
        <v/>
      </c>
      <c r="P442" s="55" t="str">
        <f t="shared" si="166"/>
        <v/>
      </c>
      <c r="Q442" s="65" t="str">
        <f t="shared" si="167"/>
        <v/>
      </c>
      <c r="R442" s="67" t="str">
        <f t="shared" si="169"/>
        <v/>
      </c>
      <c r="S442" s="56" t="str">
        <f t="shared" si="170"/>
        <v/>
      </c>
      <c r="T442" s="56" t="str">
        <f t="shared" si="171"/>
        <v/>
      </c>
      <c r="U442" s="56" t="str">
        <f t="shared" si="172"/>
        <v/>
      </c>
      <c r="V442" s="68" t="str">
        <f t="shared" si="173"/>
        <v/>
      </c>
      <c r="W442" s="80" t="str">
        <f t="shared" si="174"/>
        <v/>
      </c>
      <c r="X442" s="81" t="str">
        <f t="shared" si="175"/>
        <v/>
      </c>
      <c r="Y442" s="81" t="str">
        <f t="shared" si="176"/>
        <v/>
      </c>
      <c r="Z442" s="81" t="str">
        <f t="shared" si="177"/>
        <v/>
      </c>
      <c r="AA442" s="82" t="str">
        <f t="shared" si="178"/>
        <v/>
      </c>
      <c r="AB442" s="83" t="str">
        <f>IF(R442&lt;&gt;"",(W442-SUMPRODUCT(R$3:R442,$B$3:$B442)/SUM($B$3:$B442))/STDEVA(W432:W442),"")</f>
        <v/>
      </c>
      <c r="AC442" s="84" t="str">
        <f>IF(S442&lt;&gt;"",(X442-SUMPRODUCT(S$3:S442,$B$3:$B442)/SUM($B$3:$B442))/STDEVA(X432:X442),"")</f>
        <v/>
      </c>
      <c r="AD442" s="84" t="str">
        <f>IF(T442&lt;&gt;"",(Y442-SUMPRODUCT(T$3:T442,$B$3:$B442)/SUM($B$3:$B442))/STDEVA(Y432:Y442),"")</f>
        <v/>
      </c>
      <c r="AE442" s="84" t="str">
        <f>IF(U442&lt;&gt;"",(Z442-SUMPRODUCT(U$3:U442,$B$3:$B442)/SUM($B$3:$B442))/STDEVA(Z432:Z442),"")</f>
        <v/>
      </c>
      <c r="AF442" s="85" t="str">
        <f>IF(V442&lt;&gt;"",(AA442-SUMPRODUCT(V$3:V442,$B$3:$B442)/SUM($B$3:$B442))/STDEVA(AA432:AA442),"")</f>
        <v/>
      </c>
      <c r="AG442" s="90" t="str">
        <f t="shared" si="180"/>
        <v/>
      </c>
      <c r="AH442" s="90" t="str">
        <f t="shared" si="180"/>
        <v/>
      </c>
      <c r="AI442" s="90" t="str">
        <f t="shared" si="180"/>
        <v/>
      </c>
      <c r="AJ442" s="90" t="str">
        <f t="shared" si="179"/>
        <v/>
      </c>
      <c r="AK442" s="93" t="str">
        <f t="shared" si="179"/>
        <v/>
      </c>
      <c r="BQ442" s="100" t="str">
        <f>IF(A442&lt;&gt;"",(VLOOKUP(A442,MarketData!$D:$BP,MATCH($BQ$1,MarketData!$D$1:$EG$1,0),TRUE)/100/365+1)^(B442)*BQ441,"")</f>
        <v/>
      </c>
      <c r="BR442" s="98" t="str">
        <f t="shared" si="157"/>
        <v/>
      </c>
      <c r="BS442" s="106" t="str">
        <f>IF(A442&lt;&gt;"",VLOOKUP(A442,MarketData!$D:$BP,MATCH($BS$1,MarketData!$D$1:$EG$1,0),TRUE),"")</f>
        <v/>
      </c>
      <c r="BT442" s="98" t="str">
        <f t="shared" si="168"/>
        <v/>
      </c>
    </row>
    <row r="443" spans="2:72" x14ac:dyDescent="0.25">
      <c r="B443" s="60" t="str">
        <f t="shared" si="181"/>
        <v/>
      </c>
      <c r="C443" s="3" t="str">
        <f t="shared" si="158"/>
        <v/>
      </c>
      <c r="D443" s="3" t="str">
        <f t="shared" si="159"/>
        <v/>
      </c>
      <c r="E443" s="3" t="str">
        <f t="shared" si="160"/>
        <v/>
      </c>
      <c r="F443" s="3" t="str">
        <f t="shared" si="161"/>
        <v/>
      </c>
      <c r="G443" s="74" t="str">
        <f t="shared" si="162"/>
        <v/>
      </c>
      <c r="H443" s="78" t="str">
        <f>IFERROR(C443/SUM(M$2:M442),"")</f>
        <v/>
      </c>
      <c r="I443" s="61" t="str">
        <f>IFERROR(D443/SUM(N$2:N443),"")</f>
        <v/>
      </c>
      <c r="J443" s="61" t="str">
        <f>IFERROR(E443/SUM(O$2:O443),"")</f>
        <v/>
      </c>
      <c r="K443" s="61" t="str">
        <f>IFERROR(F443/SUM(P$2:P443),"")</f>
        <v/>
      </c>
      <c r="L443" s="79" t="str">
        <f>IFERROR(G443/SUM(Q$2:Q443),"")</f>
        <v/>
      </c>
      <c r="M443" s="64" t="str">
        <f t="shared" si="163"/>
        <v/>
      </c>
      <c r="N443" s="55" t="str">
        <f t="shared" si="164"/>
        <v/>
      </c>
      <c r="O443" s="55" t="str">
        <f t="shared" si="165"/>
        <v/>
      </c>
      <c r="P443" s="55" t="str">
        <f t="shared" si="166"/>
        <v/>
      </c>
      <c r="Q443" s="65" t="str">
        <f t="shared" si="167"/>
        <v/>
      </c>
      <c r="R443" s="67" t="str">
        <f t="shared" si="169"/>
        <v/>
      </c>
      <c r="S443" s="56" t="str">
        <f t="shared" si="170"/>
        <v/>
      </c>
      <c r="T443" s="56" t="str">
        <f t="shared" si="171"/>
        <v/>
      </c>
      <c r="U443" s="56" t="str">
        <f t="shared" si="172"/>
        <v/>
      </c>
      <c r="V443" s="68" t="str">
        <f t="shared" si="173"/>
        <v/>
      </c>
      <c r="W443" s="80" t="str">
        <f t="shared" si="174"/>
        <v/>
      </c>
      <c r="X443" s="81" t="str">
        <f t="shared" si="175"/>
        <v/>
      </c>
      <c r="Y443" s="81" t="str">
        <f t="shared" si="176"/>
        <v/>
      </c>
      <c r="Z443" s="81" t="str">
        <f t="shared" si="177"/>
        <v/>
      </c>
      <c r="AA443" s="82" t="str">
        <f t="shared" si="178"/>
        <v/>
      </c>
      <c r="AB443" s="83" t="str">
        <f>IF(R443&lt;&gt;"",(W443-SUMPRODUCT(R$3:R443,$B$3:$B443)/SUM($B$3:$B443))/STDEVA(W433:W443),"")</f>
        <v/>
      </c>
      <c r="AC443" s="84" t="str">
        <f>IF(S443&lt;&gt;"",(X443-SUMPRODUCT(S$3:S443,$B$3:$B443)/SUM($B$3:$B443))/STDEVA(X433:X443),"")</f>
        <v/>
      </c>
      <c r="AD443" s="84" t="str">
        <f>IF(T443&lt;&gt;"",(Y443-SUMPRODUCT(T$3:T443,$B$3:$B443)/SUM($B$3:$B443))/STDEVA(Y433:Y443),"")</f>
        <v/>
      </c>
      <c r="AE443" s="84" t="str">
        <f>IF(U443&lt;&gt;"",(Z443-SUMPRODUCT(U$3:U443,$B$3:$B443)/SUM($B$3:$B443))/STDEVA(Z433:Z443),"")</f>
        <v/>
      </c>
      <c r="AF443" s="85" t="str">
        <f>IF(V443&lt;&gt;"",(AA443-SUMPRODUCT(V$3:V443,$B$3:$B443)/SUM($B$3:$B443))/STDEVA(AA433:AA443),"")</f>
        <v/>
      </c>
      <c r="AG443" s="90" t="str">
        <f t="shared" si="180"/>
        <v/>
      </c>
      <c r="AH443" s="90" t="str">
        <f t="shared" si="180"/>
        <v/>
      </c>
      <c r="AI443" s="90" t="str">
        <f t="shared" si="180"/>
        <v/>
      </c>
      <c r="AJ443" s="90" t="str">
        <f t="shared" si="179"/>
        <v/>
      </c>
      <c r="AK443" s="93" t="str">
        <f t="shared" si="179"/>
        <v/>
      </c>
      <c r="BQ443" s="100" t="str">
        <f>IF(A443&lt;&gt;"",(VLOOKUP(A443,MarketData!$D:$BP,MATCH($BQ$1,MarketData!$D$1:$EG$1,0),TRUE)/100/365+1)^(B443)*BQ442,"")</f>
        <v/>
      </c>
      <c r="BR443" s="98" t="str">
        <f t="shared" si="157"/>
        <v/>
      </c>
      <c r="BS443" s="106" t="str">
        <f>IF(A443&lt;&gt;"",VLOOKUP(A443,MarketData!$D:$BP,MATCH($BS$1,MarketData!$D$1:$EG$1,0),TRUE),"")</f>
        <v/>
      </c>
      <c r="BT443" s="98" t="str">
        <f t="shared" si="168"/>
        <v/>
      </c>
    </row>
    <row r="444" spans="2:72" x14ac:dyDescent="0.25">
      <c r="B444" s="60" t="str">
        <f t="shared" si="181"/>
        <v/>
      </c>
      <c r="C444" s="3" t="str">
        <f t="shared" si="158"/>
        <v/>
      </c>
      <c r="D444" s="3" t="str">
        <f t="shared" si="159"/>
        <v/>
      </c>
      <c r="E444" s="3" t="str">
        <f t="shared" si="160"/>
        <v/>
      </c>
      <c r="F444" s="3" t="str">
        <f t="shared" si="161"/>
        <v/>
      </c>
      <c r="G444" s="74" t="str">
        <f t="shared" si="162"/>
        <v/>
      </c>
      <c r="H444" s="78" t="str">
        <f>IFERROR(C444/SUM(M$2:M443),"")</f>
        <v/>
      </c>
      <c r="I444" s="61" t="str">
        <f>IFERROR(D444/SUM(N$2:N444),"")</f>
        <v/>
      </c>
      <c r="J444" s="61" t="str">
        <f>IFERROR(E444/SUM(O$2:O444),"")</f>
        <v/>
      </c>
      <c r="K444" s="61" t="str">
        <f>IFERROR(F444/SUM(P$2:P444),"")</f>
        <v/>
      </c>
      <c r="L444" s="79" t="str">
        <f>IFERROR(G444/SUM(Q$2:Q444),"")</f>
        <v/>
      </c>
      <c r="M444" s="64" t="str">
        <f t="shared" si="163"/>
        <v/>
      </c>
      <c r="N444" s="55" t="str">
        <f t="shared" si="164"/>
        <v/>
      </c>
      <c r="O444" s="55" t="str">
        <f t="shared" si="165"/>
        <v/>
      </c>
      <c r="P444" s="55" t="str">
        <f t="shared" si="166"/>
        <v/>
      </c>
      <c r="Q444" s="65" t="str">
        <f t="shared" si="167"/>
        <v/>
      </c>
      <c r="R444" s="67" t="str">
        <f t="shared" si="169"/>
        <v/>
      </c>
      <c r="S444" s="56" t="str">
        <f t="shared" si="170"/>
        <v/>
      </c>
      <c r="T444" s="56" t="str">
        <f t="shared" si="171"/>
        <v/>
      </c>
      <c r="U444" s="56" t="str">
        <f t="shared" si="172"/>
        <v/>
      </c>
      <c r="V444" s="68" t="str">
        <f t="shared" si="173"/>
        <v/>
      </c>
      <c r="W444" s="80" t="str">
        <f t="shared" si="174"/>
        <v/>
      </c>
      <c r="X444" s="81" t="str">
        <f t="shared" si="175"/>
        <v/>
      </c>
      <c r="Y444" s="81" t="str">
        <f t="shared" si="176"/>
        <v/>
      </c>
      <c r="Z444" s="81" t="str">
        <f t="shared" si="177"/>
        <v/>
      </c>
      <c r="AA444" s="82" t="str">
        <f t="shared" si="178"/>
        <v/>
      </c>
      <c r="AB444" s="83" t="str">
        <f>IF(R444&lt;&gt;"",(W444-SUMPRODUCT(R$3:R444,$B$3:$B444)/SUM($B$3:$B444))/STDEVA(W434:W444),"")</f>
        <v/>
      </c>
      <c r="AC444" s="84" t="str">
        <f>IF(S444&lt;&gt;"",(X444-SUMPRODUCT(S$3:S444,$B$3:$B444)/SUM($B$3:$B444))/STDEVA(X434:X444),"")</f>
        <v/>
      </c>
      <c r="AD444" s="84" t="str">
        <f>IF(T444&lt;&gt;"",(Y444-SUMPRODUCT(T$3:T444,$B$3:$B444)/SUM($B$3:$B444))/STDEVA(Y434:Y444),"")</f>
        <v/>
      </c>
      <c r="AE444" s="84" t="str">
        <f>IF(U444&lt;&gt;"",(Z444-SUMPRODUCT(U$3:U444,$B$3:$B444)/SUM($B$3:$B444))/STDEVA(Z434:Z444),"")</f>
        <v/>
      </c>
      <c r="AF444" s="85" t="str">
        <f>IF(V444&lt;&gt;"",(AA444-SUMPRODUCT(V$3:V444,$B$3:$B444)/SUM($B$3:$B444))/STDEVA(AA434:AA444),"")</f>
        <v/>
      </c>
      <c r="AG444" s="90" t="str">
        <f t="shared" si="180"/>
        <v/>
      </c>
      <c r="AH444" s="90" t="str">
        <f t="shared" si="180"/>
        <v/>
      </c>
      <c r="AI444" s="90" t="str">
        <f t="shared" si="180"/>
        <v/>
      </c>
      <c r="AJ444" s="90" t="str">
        <f t="shared" si="179"/>
        <v/>
      </c>
      <c r="AK444" s="93" t="str">
        <f t="shared" si="179"/>
        <v/>
      </c>
      <c r="BQ444" s="100" t="str">
        <f>IF(A444&lt;&gt;"",(VLOOKUP(A444,MarketData!$D:$BP,MATCH($BQ$1,MarketData!$D$1:$EG$1,0),TRUE)/100/365+1)^(B444)*BQ443,"")</f>
        <v/>
      </c>
      <c r="BR444" s="98" t="str">
        <f t="shared" si="157"/>
        <v/>
      </c>
      <c r="BS444" s="106" t="str">
        <f>IF(A444&lt;&gt;"",VLOOKUP(A444,MarketData!$D:$BP,MATCH($BS$1,MarketData!$D$1:$EG$1,0),TRUE),"")</f>
        <v/>
      </c>
      <c r="BT444" s="98" t="str">
        <f t="shared" si="168"/>
        <v/>
      </c>
    </row>
    <row r="445" spans="2:72" x14ac:dyDescent="0.25">
      <c r="B445" s="60" t="str">
        <f t="shared" si="181"/>
        <v/>
      </c>
      <c r="C445" s="3" t="str">
        <f t="shared" si="158"/>
        <v/>
      </c>
      <c r="D445" s="3" t="str">
        <f t="shared" si="159"/>
        <v/>
      </c>
      <c r="E445" s="3" t="str">
        <f t="shared" si="160"/>
        <v/>
      </c>
      <c r="F445" s="3" t="str">
        <f t="shared" si="161"/>
        <v/>
      </c>
      <c r="G445" s="74" t="str">
        <f t="shared" si="162"/>
        <v/>
      </c>
      <c r="H445" s="78" t="str">
        <f>IFERROR(C445/SUM(M$2:M444),"")</f>
        <v/>
      </c>
      <c r="I445" s="61" t="str">
        <f>IFERROR(D445/SUM(N$2:N445),"")</f>
        <v/>
      </c>
      <c r="J445" s="61" t="str">
        <f>IFERROR(E445/SUM(O$2:O445),"")</f>
        <v/>
      </c>
      <c r="K445" s="61" t="str">
        <f>IFERROR(F445/SUM(P$2:P445),"")</f>
        <v/>
      </c>
      <c r="L445" s="79" t="str">
        <f>IFERROR(G445/SUM(Q$2:Q445),"")</f>
        <v/>
      </c>
      <c r="M445" s="64" t="str">
        <f t="shared" si="163"/>
        <v/>
      </c>
      <c r="N445" s="55" t="str">
        <f t="shared" si="164"/>
        <v/>
      </c>
      <c r="O445" s="55" t="str">
        <f t="shared" si="165"/>
        <v/>
      </c>
      <c r="P445" s="55" t="str">
        <f t="shared" si="166"/>
        <v/>
      </c>
      <c r="Q445" s="65" t="str">
        <f t="shared" si="167"/>
        <v/>
      </c>
      <c r="R445" s="67" t="str">
        <f t="shared" si="169"/>
        <v/>
      </c>
      <c r="S445" s="56" t="str">
        <f t="shared" si="170"/>
        <v/>
      </c>
      <c r="T445" s="56" t="str">
        <f t="shared" si="171"/>
        <v/>
      </c>
      <c r="U445" s="56" t="str">
        <f t="shared" si="172"/>
        <v/>
      </c>
      <c r="V445" s="68" t="str">
        <f t="shared" si="173"/>
        <v/>
      </c>
      <c r="W445" s="80" t="str">
        <f t="shared" si="174"/>
        <v/>
      </c>
      <c r="X445" s="81" t="str">
        <f t="shared" si="175"/>
        <v/>
      </c>
      <c r="Y445" s="81" t="str">
        <f t="shared" si="176"/>
        <v/>
      </c>
      <c r="Z445" s="81" t="str">
        <f t="shared" si="177"/>
        <v/>
      </c>
      <c r="AA445" s="82" t="str">
        <f t="shared" si="178"/>
        <v/>
      </c>
      <c r="AB445" s="83" t="str">
        <f>IF(R445&lt;&gt;"",(W445-SUMPRODUCT(R$3:R445,$B$3:$B445)/SUM($B$3:$B445))/STDEVA(W435:W445),"")</f>
        <v/>
      </c>
      <c r="AC445" s="84" t="str">
        <f>IF(S445&lt;&gt;"",(X445-SUMPRODUCT(S$3:S445,$B$3:$B445)/SUM($B$3:$B445))/STDEVA(X435:X445),"")</f>
        <v/>
      </c>
      <c r="AD445" s="84" t="str">
        <f>IF(T445&lt;&gt;"",(Y445-SUMPRODUCT(T$3:T445,$B$3:$B445)/SUM($B$3:$B445))/STDEVA(Y435:Y445),"")</f>
        <v/>
      </c>
      <c r="AE445" s="84" t="str">
        <f>IF(U445&lt;&gt;"",(Z445-SUMPRODUCT(U$3:U445,$B$3:$B445)/SUM($B$3:$B445))/STDEVA(Z435:Z445),"")</f>
        <v/>
      </c>
      <c r="AF445" s="85" t="str">
        <f>IF(V445&lt;&gt;"",(AA445-SUMPRODUCT(V$3:V445,$B$3:$B445)/SUM($B$3:$B445))/STDEVA(AA435:AA445),"")</f>
        <v/>
      </c>
      <c r="AG445" s="90" t="str">
        <f t="shared" si="180"/>
        <v/>
      </c>
      <c r="AH445" s="90" t="str">
        <f t="shared" si="180"/>
        <v/>
      </c>
      <c r="AI445" s="90" t="str">
        <f t="shared" si="180"/>
        <v/>
      </c>
      <c r="AJ445" s="90" t="str">
        <f t="shared" si="179"/>
        <v/>
      </c>
      <c r="AK445" s="93" t="str">
        <f t="shared" si="179"/>
        <v/>
      </c>
      <c r="BQ445" s="100" t="str">
        <f>IF(A445&lt;&gt;"",(VLOOKUP(A445,MarketData!$D:$BP,MATCH($BQ$1,MarketData!$D$1:$EG$1,0),TRUE)/100/365+1)^(B445)*BQ444,"")</f>
        <v/>
      </c>
      <c r="BR445" s="98" t="str">
        <f t="shared" si="157"/>
        <v/>
      </c>
      <c r="BS445" s="106" t="str">
        <f>IF(A445&lt;&gt;"",VLOOKUP(A445,MarketData!$D:$BP,MATCH($BS$1,MarketData!$D$1:$EG$1,0),TRUE),"")</f>
        <v/>
      </c>
      <c r="BT445" s="98" t="str">
        <f t="shared" si="168"/>
        <v/>
      </c>
    </row>
    <row r="446" spans="2:72" x14ac:dyDescent="0.25">
      <c r="B446" s="60" t="str">
        <f t="shared" si="181"/>
        <v/>
      </c>
      <c r="C446" s="3" t="str">
        <f t="shared" si="158"/>
        <v/>
      </c>
      <c r="D446" s="3" t="str">
        <f t="shared" si="159"/>
        <v/>
      </c>
      <c r="E446" s="3" t="str">
        <f t="shared" si="160"/>
        <v/>
      </c>
      <c r="F446" s="3" t="str">
        <f t="shared" si="161"/>
        <v/>
      </c>
      <c r="G446" s="74" t="str">
        <f t="shared" si="162"/>
        <v/>
      </c>
      <c r="H446" s="78" t="str">
        <f>IFERROR(C446/SUM(M$2:M445),"")</f>
        <v/>
      </c>
      <c r="I446" s="61" t="str">
        <f>IFERROR(D446/SUM(N$2:N446),"")</f>
        <v/>
      </c>
      <c r="J446" s="61" t="str">
        <f>IFERROR(E446/SUM(O$2:O446),"")</f>
        <v/>
      </c>
      <c r="K446" s="61" t="str">
        <f>IFERROR(F446/SUM(P$2:P446),"")</f>
        <v/>
      </c>
      <c r="L446" s="79" t="str">
        <f>IFERROR(G446/SUM(Q$2:Q446),"")</f>
        <v/>
      </c>
      <c r="M446" s="64" t="str">
        <f t="shared" si="163"/>
        <v/>
      </c>
      <c r="N446" s="55" t="str">
        <f t="shared" si="164"/>
        <v/>
      </c>
      <c r="O446" s="55" t="str">
        <f t="shared" si="165"/>
        <v/>
      </c>
      <c r="P446" s="55" t="str">
        <f t="shared" si="166"/>
        <v/>
      </c>
      <c r="Q446" s="65" t="str">
        <f t="shared" si="167"/>
        <v/>
      </c>
      <c r="R446" s="67" t="str">
        <f t="shared" si="169"/>
        <v/>
      </c>
      <c r="S446" s="56" t="str">
        <f t="shared" si="170"/>
        <v/>
      </c>
      <c r="T446" s="56" t="str">
        <f t="shared" si="171"/>
        <v/>
      </c>
      <c r="U446" s="56" t="str">
        <f t="shared" si="172"/>
        <v/>
      </c>
      <c r="V446" s="68" t="str">
        <f t="shared" si="173"/>
        <v/>
      </c>
      <c r="W446" s="80" t="str">
        <f t="shared" si="174"/>
        <v/>
      </c>
      <c r="X446" s="81" t="str">
        <f t="shared" si="175"/>
        <v/>
      </c>
      <c r="Y446" s="81" t="str">
        <f t="shared" si="176"/>
        <v/>
      </c>
      <c r="Z446" s="81" t="str">
        <f t="shared" si="177"/>
        <v/>
      </c>
      <c r="AA446" s="82" t="str">
        <f t="shared" si="178"/>
        <v/>
      </c>
      <c r="AB446" s="83" t="str">
        <f>IF(R446&lt;&gt;"",(W446-SUMPRODUCT(R$3:R446,$B$3:$B446)/SUM($B$3:$B446))/STDEVA(W436:W446),"")</f>
        <v/>
      </c>
      <c r="AC446" s="84" t="str">
        <f>IF(S446&lt;&gt;"",(X446-SUMPRODUCT(S$3:S446,$B$3:$B446)/SUM($B$3:$B446))/STDEVA(X436:X446),"")</f>
        <v/>
      </c>
      <c r="AD446" s="84" t="str">
        <f>IF(T446&lt;&gt;"",(Y446-SUMPRODUCT(T$3:T446,$B$3:$B446)/SUM($B$3:$B446))/STDEVA(Y436:Y446),"")</f>
        <v/>
      </c>
      <c r="AE446" s="84" t="str">
        <f>IF(U446&lt;&gt;"",(Z446-SUMPRODUCT(U$3:U446,$B$3:$B446)/SUM($B$3:$B446))/STDEVA(Z436:Z446),"")</f>
        <v/>
      </c>
      <c r="AF446" s="85" t="str">
        <f>IF(V446&lt;&gt;"",(AA446-SUMPRODUCT(V$3:V446,$B$3:$B446)/SUM($B$3:$B446))/STDEVA(AA436:AA446),"")</f>
        <v/>
      </c>
      <c r="AG446" s="90" t="str">
        <f t="shared" si="180"/>
        <v/>
      </c>
      <c r="AH446" s="90" t="str">
        <f t="shared" si="180"/>
        <v/>
      </c>
      <c r="AI446" s="90" t="str">
        <f t="shared" si="180"/>
        <v/>
      </c>
      <c r="AJ446" s="90" t="str">
        <f t="shared" si="179"/>
        <v/>
      </c>
      <c r="AK446" s="93" t="str">
        <f t="shared" si="179"/>
        <v/>
      </c>
      <c r="BQ446" s="100" t="str">
        <f>IF(A446&lt;&gt;"",(VLOOKUP(A446,MarketData!$D:$BP,MATCH($BQ$1,MarketData!$D$1:$EG$1,0),TRUE)/100/365+1)^(B446)*BQ445,"")</f>
        <v/>
      </c>
      <c r="BR446" s="98" t="str">
        <f t="shared" si="157"/>
        <v/>
      </c>
      <c r="BS446" s="106" t="str">
        <f>IF(A446&lt;&gt;"",VLOOKUP(A446,MarketData!$D:$BP,MATCH($BS$1,MarketData!$D$1:$EG$1,0),TRUE),"")</f>
        <v/>
      </c>
      <c r="BT446" s="98" t="str">
        <f t="shared" si="168"/>
        <v/>
      </c>
    </row>
    <row r="447" spans="2:72" x14ac:dyDescent="0.25">
      <c r="B447" s="60" t="str">
        <f t="shared" si="181"/>
        <v/>
      </c>
      <c r="C447" s="3" t="str">
        <f t="shared" si="158"/>
        <v/>
      </c>
      <c r="D447" s="3" t="str">
        <f t="shared" si="159"/>
        <v/>
      </c>
      <c r="E447" s="3" t="str">
        <f t="shared" si="160"/>
        <v/>
      </c>
      <c r="F447" s="3" t="str">
        <f t="shared" si="161"/>
        <v/>
      </c>
      <c r="G447" s="74" t="str">
        <f t="shared" si="162"/>
        <v/>
      </c>
      <c r="H447" s="78" t="str">
        <f>IFERROR(C447/SUM(M$2:M446),"")</f>
        <v/>
      </c>
      <c r="I447" s="61" t="str">
        <f>IFERROR(D447/SUM(N$2:N447),"")</f>
        <v/>
      </c>
      <c r="J447" s="61" t="str">
        <f>IFERROR(E447/SUM(O$2:O447),"")</f>
        <v/>
      </c>
      <c r="K447" s="61" t="str">
        <f>IFERROR(F447/SUM(P$2:P447),"")</f>
        <v/>
      </c>
      <c r="L447" s="79" t="str">
        <f>IFERROR(G447/SUM(Q$2:Q447),"")</f>
        <v/>
      </c>
      <c r="M447" s="64" t="str">
        <f t="shared" si="163"/>
        <v/>
      </c>
      <c r="N447" s="55" t="str">
        <f t="shared" si="164"/>
        <v/>
      </c>
      <c r="O447" s="55" t="str">
        <f t="shared" si="165"/>
        <v/>
      </c>
      <c r="P447" s="55" t="str">
        <f t="shared" si="166"/>
        <v/>
      </c>
      <c r="Q447" s="65" t="str">
        <f t="shared" si="167"/>
        <v/>
      </c>
      <c r="R447" s="67" t="str">
        <f t="shared" si="169"/>
        <v/>
      </c>
      <c r="S447" s="56" t="str">
        <f t="shared" si="170"/>
        <v/>
      </c>
      <c r="T447" s="56" t="str">
        <f t="shared" si="171"/>
        <v/>
      </c>
      <c r="U447" s="56" t="str">
        <f t="shared" si="172"/>
        <v/>
      </c>
      <c r="V447" s="68" t="str">
        <f t="shared" si="173"/>
        <v/>
      </c>
      <c r="W447" s="80" t="str">
        <f t="shared" si="174"/>
        <v/>
      </c>
      <c r="X447" s="81" t="str">
        <f t="shared" si="175"/>
        <v/>
      </c>
      <c r="Y447" s="81" t="str">
        <f t="shared" si="176"/>
        <v/>
      </c>
      <c r="Z447" s="81" t="str">
        <f t="shared" si="177"/>
        <v/>
      </c>
      <c r="AA447" s="82" t="str">
        <f t="shared" si="178"/>
        <v/>
      </c>
      <c r="AB447" s="83" t="str">
        <f>IF(R447&lt;&gt;"",(W447-SUMPRODUCT(R$3:R447,$B$3:$B447)/SUM($B$3:$B447))/STDEVA(W437:W447),"")</f>
        <v/>
      </c>
      <c r="AC447" s="84" t="str">
        <f>IF(S447&lt;&gt;"",(X447-SUMPRODUCT(S$3:S447,$B$3:$B447)/SUM($B$3:$B447))/STDEVA(X437:X447),"")</f>
        <v/>
      </c>
      <c r="AD447" s="84" t="str">
        <f>IF(T447&lt;&gt;"",(Y447-SUMPRODUCT(T$3:T447,$B$3:$B447)/SUM($B$3:$B447))/STDEVA(Y437:Y447),"")</f>
        <v/>
      </c>
      <c r="AE447" s="84" t="str">
        <f>IF(U447&lt;&gt;"",(Z447-SUMPRODUCT(U$3:U447,$B$3:$B447)/SUM($B$3:$B447))/STDEVA(Z437:Z447),"")</f>
        <v/>
      </c>
      <c r="AF447" s="85" t="str">
        <f>IF(V447&lt;&gt;"",(AA447-SUMPRODUCT(V$3:V447,$B$3:$B447)/SUM($B$3:$B447))/STDEVA(AA437:AA447),"")</f>
        <v/>
      </c>
      <c r="AG447" s="90" t="str">
        <f t="shared" si="180"/>
        <v/>
      </c>
      <c r="AH447" s="90" t="str">
        <f t="shared" si="180"/>
        <v/>
      </c>
      <c r="AI447" s="90" t="str">
        <f t="shared" si="180"/>
        <v/>
      </c>
      <c r="AJ447" s="90" t="str">
        <f t="shared" si="179"/>
        <v/>
      </c>
      <c r="AK447" s="93" t="str">
        <f t="shared" si="179"/>
        <v/>
      </c>
      <c r="BQ447" s="100" t="str">
        <f>IF(A447&lt;&gt;"",(VLOOKUP(A447,MarketData!$D:$BP,MATCH($BQ$1,MarketData!$D$1:$EG$1,0),TRUE)/100/365+1)^(B447)*BQ446,"")</f>
        <v/>
      </c>
      <c r="BR447" s="98" t="str">
        <f t="shared" si="157"/>
        <v/>
      </c>
      <c r="BS447" s="106" t="str">
        <f>IF(A447&lt;&gt;"",VLOOKUP(A447,MarketData!$D:$BP,MATCH($BS$1,MarketData!$D$1:$EG$1,0),TRUE),"")</f>
        <v/>
      </c>
      <c r="BT447" s="98" t="str">
        <f t="shared" si="168"/>
        <v/>
      </c>
    </row>
    <row r="448" spans="2:72" x14ac:dyDescent="0.25">
      <c r="B448" s="60" t="str">
        <f t="shared" si="181"/>
        <v/>
      </c>
      <c r="C448" s="3" t="str">
        <f t="shared" si="158"/>
        <v/>
      </c>
      <c r="D448" s="3" t="str">
        <f t="shared" si="159"/>
        <v/>
      </c>
      <c r="E448" s="3" t="str">
        <f t="shared" si="160"/>
        <v/>
      </c>
      <c r="F448" s="3" t="str">
        <f t="shared" si="161"/>
        <v/>
      </c>
      <c r="G448" s="74" t="str">
        <f t="shared" si="162"/>
        <v/>
      </c>
      <c r="H448" s="78" t="str">
        <f>IFERROR(C448/SUM(M$2:M447),"")</f>
        <v/>
      </c>
      <c r="I448" s="61" t="str">
        <f>IFERROR(D448/SUM(N$2:N448),"")</f>
        <v/>
      </c>
      <c r="J448" s="61" t="str">
        <f>IFERROR(E448/SUM(O$2:O448),"")</f>
        <v/>
      </c>
      <c r="K448" s="61" t="str">
        <f>IFERROR(F448/SUM(P$2:P448),"")</f>
        <v/>
      </c>
      <c r="L448" s="79" t="str">
        <f>IFERROR(G448/SUM(Q$2:Q448),"")</f>
        <v/>
      </c>
      <c r="M448" s="64" t="str">
        <f t="shared" si="163"/>
        <v/>
      </c>
      <c r="N448" s="55" t="str">
        <f t="shared" si="164"/>
        <v/>
      </c>
      <c r="O448" s="55" t="str">
        <f t="shared" si="165"/>
        <v/>
      </c>
      <c r="P448" s="55" t="str">
        <f t="shared" si="166"/>
        <v/>
      </c>
      <c r="Q448" s="65" t="str">
        <f t="shared" si="167"/>
        <v/>
      </c>
      <c r="R448" s="67" t="str">
        <f t="shared" si="169"/>
        <v/>
      </c>
      <c r="S448" s="56" t="str">
        <f t="shared" si="170"/>
        <v/>
      </c>
      <c r="T448" s="56" t="str">
        <f t="shared" si="171"/>
        <v/>
      </c>
      <c r="U448" s="56" t="str">
        <f t="shared" si="172"/>
        <v/>
      </c>
      <c r="V448" s="68" t="str">
        <f t="shared" si="173"/>
        <v/>
      </c>
      <c r="W448" s="80" t="str">
        <f t="shared" si="174"/>
        <v/>
      </c>
      <c r="X448" s="81" t="str">
        <f t="shared" si="175"/>
        <v/>
      </c>
      <c r="Y448" s="81" t="str">
        <f t="shared" si="176"/>
        <v/>
      </c>
      <c r="Z448" s="81" t="str">
        <f t="shared" si="177"/>
        <v/>
      </c>
      <c r="AA448" s="82" t="str">
        <f t="shared" si="178"/>
        <v/>
      </c>
      <c r="AB448" s="83" t="str">
        <f>IF(R448&lt;&gt;"",(W448-SUMPRODUCT(R$3:R448,$B$3:$B448)/SUM($B$3:$B448))/STDEVA(W438:W448),"")</f>
        <v/>
      </c>
      <c r="AC448" s="84" t="str">
        <f>IF(S448&lt;&gt;"",(X448-SUMPRODUCT(S$3:S448,$B$3:$B448)/SUM($B$3:$B448))/STDEVA(X438:X448),"")</f>
        <v/>
      </c>
      <c r="AD448" s="84" t="str">
        <f>IF(T448&lt;&gt;"",(Y448-SUMPRODUCT(T$3:T448,$B$3:$B448)/SUM($B$3:$B448))/STDEVA(Y438:Y448),"")</f>
        <v/>
      </c>
      <c r="AE448" s="84" t="str">
        <f>IF(U448&lt;&gt;"",(Z448-SUMPRODUCT(U$3:U448,$B$3:$B448)/SUM($B$3:$B448))/STDEVA(Z438:Z448),"")</f>
        <v/>
      </c>
      <c r="AF448" s="85" t="str">
        <f>IF(V448&lt;&gt;"",(AA448-SUMPRODUCT(V$3:V448,$B$3:$B448)/SUM($B$3:$B448))/STDEVA(AA438:AA448),"")</f>
        <v/>
      </c>
      <c r="AG448" s="90" t="str">
        <f t="shared" si="180"/>
        <v/>
      </c>
      <c r="AH448" s="90" t="str">
        <f t="shared" si="180"/>
        <v/>
      </c>
      <c r="AI448" s="90" t="str">
        <f t="shared" si="180"/>
        <v/>
      </c>
      <c r="AJ448" s="90" t="str">
        <f t="shared" si="179"/>
        <v/>
      </c>
      <c r="AK448" s="93" t="str">
        <f t="shared" si="179"/>
        <v/>
      </c>
      <c r="BQ448" s="100" t="str">
        <f>IF(A448&lt;&gt;"",(VLOOKUP(A448,MarketData!$D:$BP,MATCH($BQ$1,MarketData!$D$1:$EG$1,0),TRUE)/100/365+1)^(B448)*BQ447,"")</f>
        <v/>
      </c>
      <c r="BR448" s="98" t="str">
        <f t="shared" si="157"/>
        <v/>
      </c>
      <c r="BS448" s="106" t="str">
        <f>IF(A448&lt;&gt;"",VLOOKUP(A448,MarketData!$D:$BP,MATCH($BS$1,MarketData!$D$1:$EG$1,0),TRUE),"")</f>
        <v/>
      </c>
      <c r="BT448" s="98" t="str">
        <f t="shared" si="168"/>
        <v/>
      </c>
    </row>
    <row r="449" spans="2:72" x14ac:dyDescent="0.25">
      <c r="B449" s="60" t="str">
        <f t="shared" si="181"/>
        <v/>
      </c>
      <c r="C449" s="3" t="str">
        <f t="shared" si="158"/>
        <v/>
      </c>
      <c r="D449" s="3" t="str">
        <f t="shared" si="159"/>
        <v/>
      </c>
      <c r="E449" s="3" t="str">
        <f t="shared" si="160"/>
        <v/>
      </c>
      <c r="F449" s="3" t="str">
        <f t="shared" si="161"/>
        <v/>
      </c>
      <c r="G449" s="74" t="str">
        <f t="shared" si="162"/>
        <v/>
      </c>
      <c r="H449" s="78" t="str">
        <f>IFERROR(C449/SUM(M$2:M448),"")</f>
        <v/>
      </c>
      <c r="I449" s="61" t="str">
        <f>IFERROR(D449/SUM(N$2:N449),"")</f>
        <v/>
      </c>
      <c r="J449" s="61" t="str">
        <f>IFERROR(E449/SUM(O$2:O449),"")</f>
        <v/>
      </c>
      <c r="K449" s="61" t="str">
        <f>IFERROR(F449/SUM(P$2:P449),"")</f>
        <v/>
      </c>
      <c r="L449" s="79" t="str">
        <f>IFERROR(G449/SUM(Q$2:Q449),"")</f>
        <v/>
      </c>
      <c r="M449" s="64" t="str">
        <f t="shared" si="163"/>
        <v/>
      </c>
      <c r="N449" s="55" t="str">
        <f t="shared" si="164"/>
        <v/>
      </c>
      <c r="O449" s="55" t="str">
        <f t="shared" si="165"/>
        <v/>
      </c>
      <c r="P449" s="55" t="str">
        <f t="shared" si="166"/>
        <v/>
      </c>
      <c r="Q449" s="65" t="str">
        <f t="shared" si="167"/>
        <v/>
      </c>
      <c r="R449" s="67" t="str">
        <f t="shared" si="169"/>
        <v/>
      </c>
      <c r="S449" s="56" t="str">
        <f t="shared" si="170"/>
        <v/>
      </c>
      <c r="T449" s="56" t="str">
        <f t="shared" si="171"/>
        <v/>
      </c>
      <c r="U449" s="56" t="str">
        <f t="shared" si="172"/>
        <v/>
      </c>
      <c r="V449" s="68" t="str">
        <f t="shared" si="173"/>
        <v/>
      </c>
      <c r="W449" s="80" t="str">
        <f t="shared" si="174"/>
        <v/>
      </c>
      <c r="X449" s="81" t="str">
        <f t="shared" si="175"/>
        <v/>
      </c>
      <c r="Y449" s="81" t="str">
        <f t="shared" si="176"/>
        <v/>
      </c>
      <c r="Z449" s="81" t="str">
        <f t="shared" si="177"/>
        <v/>
      </c>
      <c r="AA449" s="82" t="str">
        <f t="shared" si="178"/>
        <v/>
      </c>
      <c r="AB449" s="83" t="str">
        <f>IF(R449&lt;&gt;"",(W449-SUMPRODUCT(R$3:R449,$B$3:$B449)/SUM($B$3:$B449))/STDEVA(W439:W449),"")</f>
        <v/>
      </c>
      <c r="AC449" s="84" t="str">
        <f>IF(S449&lt;&gt;"",(X449-SUMPRODUCT(S$3:S449,$B$3:$B449)/SUM($B$3:$B449))/STDEVA(X439:X449),"")</f>
        <v/>
      </c>
      <c r="AD449" s="84" t="str">
        <f>IF(T449&lt;&gt;"",(Y449-SUMPRODUCT(T$3:T449,$B$3:$B449)/SUM($B$3:$B449))/STDEVA(Y439:Y449),"")</f>
        <v/>
      </c>
      <c r="AE449" s="84" t="str">
        <f>IF(U449&lt;&gt;"",(Z449-SUMPRODUCT(U$3:U449,$B$3:$B449)/SUM($B$3:$B449))/STDEVA(Z439:Z449),"")</f>
        <v/>
      </c>
      <c r="AF449" s="85" t="str">
        <f>IF(V449&lt;&gt;"",(AA449-SUMPRODUCT(V$3:V449,$B$3:$B449)/SUM($B$3:$B449))/STDEVA(AA439:AA449),"")</f>
        <v/>
      </c>
      <c r="AG449" s="90" t="str">
        <f t="shared" si="180"/>
        <v/>
      </c>
      <c r="AH449" s="90" t="str">
        <f t="shared" si="180"/>
        <v/>
      </c>
      <c r="AI449" s="90" t="str">
        <f t="shared" si="180"/>
        <v/>
      </c>
      <c r="AJ449" s="90" t="str">
        <f t="shared" si="179"/>
        <v/>
      </c>
      <c r="AK449" s="93" t="str">
        <f t="shared" si="179"/>
        <v/>
      </c>
      <c r="BQ449" s="100" t="str">
        <f>IF(A449&lt;&gt;"",(VLOOKUP(A449,MarketData!$D:$BP,MATCH($BQ$1,MarketData!$D$1:$EG$1,0),TRUE)/100/365+1)^(B449)*BQ448,"")</f>
        <v/>
      </c>
      <c r="BR449" s="98" t="str">
        <f t="shared" si="157"/>
        <v/>
      </c>
      <c r="BS449" s="106" t="str">
        <f>IF(A449&lt;&gt;"",VLOOKUP(A449,MarketData!$D:$BP,MATCH($BS$1,MarketData!$D$1:$EG$1,0),TRUE),"")</f>
        <v/>
      </c>
      <c r="BT449" s="98" t="str">
        <f t="shared" si="168"/>
        <v/>
      </c>
    </row>
    <row r="450" spans="2:72" x14ac:dyDescent="0.25">
      <c r="B450" s="60" t="str">
        <f t="shared" si="181"/>
        <v/>
      </c>
      <c r="C450" s="3" t="str">
        <f t="shared" si="158"/>
        <v/>
      </c>
      <c r="D450" s="3" t="str">
        <f t="shared" si="159"/>
        <v/>
      </c>
      <c r="E450" s="3" t="str">
        <f t="shared" si="160"/>
        <v/>
      </c>
      <c r="F450" s="3" t="str">
        <f t="shared" si="161"/>
        <v/>
      </c>
      <c r="G450" s="74" t="str">
        <f t="shared" si="162"/>
        <v/>
      </c>
      <c r="H450" s="78" t="str">
        <f>IFERROR(C450/SUM(M$2:M449),"")</f>
        <v/>
      </c>
      <c r="I450" s="61" t="str">
        <f>IFERROR(D450/SUM(N$2:N450),"")</f>
        <v/>
      </c>
      <c r="J450" s="61" t="str">
        <f>IFERROR(E450/SUM(O$2:O450),"")</f>
        <v/>
      </c>
      <c r="K450" s="61" t="str">
        <f>IFERROR(F450/SUM(P$2:P450),"")</f>
        <v/>
      </c>
      <c r="L450" s="79" t="str">
        <f>IFERROR(G450/SUM(Q$2:Q450),"")</f>
        <v/>
      </c>
      <c r="M450" s="64" t="str">
        <f t="shared" si="163"/>
        <v/>
      </c>
      <c r="N450" s="55" t="str">
        <f t="shared" si="164"/>
        <v/>
      </c>
      <c r="O450" s="55" t="str">
        <f t="shared" si="165"/>
        <v/>
      </c>
      <c r="P450" s="55" t="str">
        <f t="shared" si="166"/>
        <v/>
      </c>
      <c r="Q450" s="65" t="str">
        <f t="shared" si="167"/>
        <v/>
      </c>
      <c r="R450" s="67" t="str">
        <f t="shared" si="169"/>
        <v/>
      </c>
      <c r="S450" s="56" t="str">
        <f t="shared" si="170"/>
        <v/>
      </c>
      <c r="T450" s="56" t="str">
        <f t="shared" si="171"/>
        <v/>
      </c>
      <c r="U450" s="56" t="str">
        <f t="shared" si="172"/>
        <v/>
      </c>
      <c r="V450" s="68" t="str">
        <f t="shared" si="173"/>
        <v/>
      </c>
      <c r="W450" s="80" t="str">
        <f t="shared" si="174"/>
        <v/>
      </c>
      <c r="X450" s="81" t="str">
        <f t="shared" si="175"/>
        <v/>
      </c>
      <c r="Y450" s="81" t="str">
        <f t="shared" si="176"/>
        <v/>
      </c>
      <c r="Z450" s="81" t="str">
        <f t="shared" si="177"/>
        <v/>
      </c>
      <c r="AA450" s="82" t="str">
        <f t="shared" si="178"/>
        <v/>
      </c>
      <c r="AB450" s="83" t="str">
        <f>IF(R450&lt;&gt;"",(W450-SUMPRODUCT(R$3:R450,$B$3:$B450)/SUM($B$3:$B450))/STDEVA(W440:W450),"")</f>
        <v/>
      </c>
      <c r="AC450" s="84" t="str">
        <f>IF(S450&lt;&gt;"",(X450-SUMPRODUCT(S$3:S450,$B$3:$B450)/SUM($B$3:$B450))/STDEVA(X440:X450),"")</f>
        <v/>
      </c>
      <c r="AD450" s="84" t="str">
        <f>IF(T450&lt;&gt;"",(Y450-SUMPRODUCT(T$3:T450,$B$3:$B450)/SUM($B$3:$B450))/STDEVA(Y440:Y450),"")</f>
        <v/>
      </c>
      <c r="AE450" s="84" t="str">
        <f>IF(U450&lt;&gt;"",(Z450-SUMPRODUCT(U$3:U450,$B$3:$B450)/SUM($B$3:$B450))/STDEVA(Z440:Z450),"")</f>
        <v/>
      </c>
      <c r="AF450" s="85" t="str">
        <f>IF(V450&lt;&gt;"",(AA450-SUMPRODUCT(V$3:V450,$B$3:$B450)/SUM($B$3:$B450))/STDEVA(AA440:AA450),"")</f>
        <v/>
      </c>
      <c r="AG450" s="90" t="str">
        <f t="shared" si="180"/>
        <v/>
      </c>
      <c r="AH450" s="90" t="str">
        <f t="shared" si="180"/>
        <v/>
      </c>
      <c r="AI450" s="90" t="str">
        <f t="shared" si="180"/>
        <v/>
      </c>
      <c r="AJ450" s="90" t="str">
        <f t="shared" si="179"/>
        <v/>
      </c>
      <c r="AK450" s="93" t="str">
        <f t="shared" si="179"/>
        <v/>
      </c>
      <c r="BQ450" s="100" t="str">
        <f>IF(A450&lt;&gt;"",(VLOOKUP(A450,MarketData!$D:$BP,MATCH($BQ$1,MarketData!$D$1:$EG$1,0),TRUE)/100/365+1)^(B450)*BQ449,"")</f>
        <v/>
      </c>
      <c r="BR450" s="98" t="str">
        <f t="shared" ref="BR450:BR513" si="182">IF(A450&lt;&gt;"",(BQ450-$BQ$2)/$BQ$2,"")</f>
        <v/>
      </c>
      <c r="BS450" s="106" t="str">
        <f>IF(A450&lt;&gt;"",VLOOKUP(A450,MarketData!$D:$BP,MATCH($BS$1,MarketData!$D$1:$EG$1,0),TRUE),"")</f>
        <v/>
      </c>
      <c r="BT450" s="98" t="str">
        <f t="shared" si="168"/>
        <v/>
      </c>
    </row>
    <row r="451" spans="2:72" x14ac:dyDescent="0.25">
      <c r="B451" s="60" t="str">
        <f t="shared" si="181"/>
        <v/>
      </c>
      <c r="C451" s="3" t="str">
        <f t="shared" ref="C451:C514" si="183">IF($A451&lt;&gt;0,SUMIFS(VM,Fecha,$A451,Linea,C$1)+SUMIFS(FX,Fecha,$A451,Linea,C$1)+C450,"")</f>
        <v/>
      </c>
      <c r="D451" s="3" t="str">
        <f t="shared" ref="D451:D514" si="184">IF($A451&lt;&gt;0,SUMIFS(VM,Fecha,$A451,Linea,D$1)+SUMIFS(FX,Fecha,$A451,Linea,D$1)+D450,"")</f>
        <v/>
      </c>
      <c r="E451" s="3" t="str">
        <f t="shared" ref="E451:E514" si="185">IF($A451&lt;&gt;0,SUMIFS(VM,Fecha,$A451,Linea,E$1)+SUMIFS(FX,Fecha,$A451,Linea,E$1)+E450,"")</f>
        <v/>
      </c>
      <c r="F451" s="3" t="str">
        <f t="shared" ref="F451:F514" si="186">IF($A451&lt;&gt;0,SUMIFS(VM,Fecha,$A451,Linea,F$1)+SUMIFS(FX,Fecha,$A451,Linea,F$1)+F450,"")</f>
        <v/>
      </c>
      <c r="G451" s="74" t="str">
        <f t="shared" ref="G451:G514" si="187">IF($A451&lt;&gt;0,SUMIFS(VM,Fecha,$A451,Linea,G$1)+SUMIFS(FX,Fecha,$A451,Linea,G$1)+G450,"")</f>
        <v/>
      </c>
      <c r="H451" s="78" t="str">
        <f>IFERROR(C451/SUM(M$2:M450),"")</f>
        <v/>
      </c>
      <c r="I451" s="61" t="str">
        <f>IFERROR(D451/SUM(N$2:N451),"")</f>
        <v/>
      </c>
      <c r="J451" s="61" t="str">
        <f>IFERROR(E451/SUM(O$2:O451),"")</f>
        <v/>
      </c>
      <c r="K451" s="61" t="str">
        <f>IFERROR(F451/SUM(P$2:P451),"")</f>
        <v/>
      </c>
      <c r="L451" s="79" t="str">
        <f>IFERROR(G451/SUM(Q$2:Q451),"")</f>
        <v/>
      </c>
      <c r="M451" s="64" t="str">
        <f t="shared" ref="M451:M514" si="188">IF($A451&lt;&gt;"",SUMIFS(Transferencias,Fecha,$A451,Linea,C$1),"")</f>
        <v/>
      </c>
      <c r="N451" s="55" t="str">
        <f t="shared" ref="N451:N514" si="189">IF($A451&lt;&gt;"",SUMIFS(Transferencias,Fecha,$A451,Linea,D$1),"")</f>
        <v/>
      </c>
      <c r="O451" s="55" t="str">
        <f t="shared" ref="O451:O514" si="190">IF($A451&lt;&gt;"",SUMIFS(Transferencias,Fecha,$A451,Linea,E$1),"")</f>
        <v/>
      </c>
      <c r="P451" s="55" t="str">
        <f t="shared" ref="P451:P514" si="191">IF($A451&lt;&gt;"",SUMIFS(Transferencias,Fecha,$A451,Linea,F$1),"")</f>
        <v/>
      </c>
      <c r="Q451" s="65" t="str">
        <f t="shared" ref="Q451:Q514" si="192">IF($A451&lt;&gt;"",SUMIFS(Transferencias,Fecha,$A451,Linea,G$1),"")</f>
        <v/>
      </c>
      <c r="R451" s="67" t="str">
        <f t="shared" si="169"/>
        <v/>
      </c>
      <c r="S451" s="56" t="str">
        <f t="shared" si="170"/>
        <v/>
      </c>
      <c r="T451" s="56" t="str">
        <f t="shared" si="171"/>
        <v/>
      </c>
      <c r="U451" s="56" t="str">
        <f t="shared" si="172"/>
        <v/>
      </c>
      <c r="V451" s="68" t="str">
        <f t="shared" si="173"/>
        <v/>
      </c>
      <c r="W451" s="80" t="str">
        <f t="shared" si="174"/>
        <v/>
      </c>
      <c r="X451" s="81" t="str">
        <f t="shared" si="175"/>
        <v/>
      </c>
      <c r="Y451" s="81" t="str">
        <f t="shared" si="176"/>
        <v/>
      </c>
      <c r="Z451" s="81" t="str">
        <f t="shared" si="177"/>
        <v/>
      </c>
      <c r="AA451" s="82" t="str">
        <f t="shared" si="178"/>
        <v/>
      </c>
      <c r="AB451" s="83" t="str">
        <f>IF(R451&lt;&gt;"",(W451-SUMPRODUCT(R$3:R451,$B$3:$B451)/SUM($B$3:$B451))/STDEVA(W441:W451),"")</f>
        <v/>
      </c>
      <c r="AC451" s="84" t="str">
        <f>IF(S451&lt;&gt;"",(X451-SUMPRODUCT(S$3:S451,$B$3:$B451)/SUM($B$3:$B451))/STDEVA(X441:X451),"")</f>
        <v/>
      </c>
      <c r="AD451" s="84" t="str">
        <f>IF(T451&lt;&gt;"",(Y451-SUMPRODUCT(T$3:T451,$B$3:$B451)/SUM($B$3:$B451))/STDEVA(Y441:Y451),"")</f>
        <v/>
      </c>
      <c r="AE451" s="84" t="str">
        <f>IF(U451&lt;&gt;"",(Z451-SUMPRODUCT(U$3:U451,$B$3:$B451)/SUM($B$3:$B451))/STDEVA(Z441:Z451),"")</f>
        <v/>
      </c>
      <c r="AF451" s="85" t="str">
        <f>IF(V451&lt;&gt;"",(AA451-SUMPRODUCT(V$3:V451,$B$3:$B451)/SUM($B$3:$B451))/STDEVA(AA441:AA451),"")</f>
        <v/>
      </c>
      <c r="AG451" s="90" t="str">
        <f t="shared" si="180"/>
        <v/>
      </c>
      <c r="AH451" s="90" t="str">
        <f t="shared" si="180"/>
        <v/>
      </c>
      <c r="AI451" s="90" t="str">
        <f t="shared" si="180"/>
        <v/>
      </c>
      <c r="AJ451" s="90" t="str">
        <f t="shared" si="179"/>
        <v/>
      </c>
      <c r="AK451" s="93" t="str">
        <f t="shared" si="179"/>
        <v/>
      </c>
      <c r="BQ451" s="100" t="str">
        <f>IF(A451&lt;&gt;"",(VLOOKUP(A451,MarketData!$D:$BP,MATCH($BQ$1,MarketData!$D$1:$EG$1,0),TRUE)/100/365+1)^(B451)*BQ450,"")</f>
        <v/>
      </c>
      <c r="BR451" s="98" t="str">
        <f t="shared" si="182"/>
        <v/>
      </c>
      <c r="BS451" s="106" t="str">
        <f>IF(A451&lt;&gt;"",VLOOKUP(A451,MarketData!$D:$BP,MATCH($BS$1,MarketData!$D$1:$EG$1,0),TRUE),"")</f>
        <v/>
      </c>
      <c r="BT451" s="98" t="str">
        <f t="shared" ref="BT451:BT514" si="193">IF(A451&lt;&gt;"",(BS451-$BS$2)/$BS$2,"")</f>
        <v/>
      </c>
    </row>
    <row r="452" spans="2:72" x14ac:dyDescent="0.25">
      <c r="B452" s="60" t="str">
        <f t="shared" si="181"/>
        <v/>
      </c>
      <c r="C452" s="3" t="str">
        <f t="shared" si="183"/>
        <v/>
      </c>
      <c r="D452" s="3" t="str">
        <f t="shared" si="184"/>
        <v/>
      </c>
      <c r="E452" s="3" t="str">
        <f t="shared" si="185"/>
        <v/>
      </c>
      <c r="F452" s="3" t="str">
        <f t="shared" si="186"/>
        <v/>
      </c>
      <c r="G452" s="74" t="str">
        <f t="shared" si="187"/>
        <v/>
      </c>
      <c r="H452" s="78" t="str">
        <f>IFERROR(C452/SUM(M$2:M451),"")</f>
        <v/>
      </c>
      <c r="I452" s="61" t="str">
        <f>IFERROR(D452/SUM(N$2:N452),"")</f>
        <v/>
      </c>
      <c r="J452" s="61" t="str">
        <f>IFERROR(E452/SUM(O$2:O452),"")</f>
        <v/>
      </c>
      <c r="K452" s="61" t="str">
        <f>IFERROR(F452/SUM(P$2:P452),"")</f>
        <v/>
      </c>
      <c r="L452" s="79" t="str">
        <f>IFERROR(G452/SUM(Q$2:Q452),"")</f>
        <v/>
      </c>
      <c r="M452" s="64" t="str">
        <f t="shared" si="188"/>
        <v/>
      </c>
      <c r="N452" s="55" t="str">
        <f t="shared" si="189"/>
        <v/>
      </c>
      <c r="O452" s="55" t="str">
        <f t="shared" si="190"/>
        <v/>
      </c>
      <c r="P452" s="55" t="str">
        <f t="shared" si="191"/>
        <v/>
      </c>
      <c r="Q452" s="65" t="str">
        <f t="shared" si="192"/>
        <v/>
      </c>
      <c r="R452" s="67" t="str">
        <f t="shared" ref="R452:R515" si="194">IF(C452&lt;&gt;"",LN((C452-C451)/(SUMIFS(Total,Fecha,$A451,Linea,C$1)+M451)+1)*365/($A452-$A451),"")</f>
        <v/>
      </c>
      <c r="S452" s="56" t="str">
        <f t="shared" ref="S452:S515" si="195">IF(D452&lt;&gt;"",LN((D452-D451)/(SUMIFS(Total,Fecha,$A451,Linea,D$1)+N451)+1)*365/($A452-$A451),"")</f>
        <v/>
      </c>
      <c r="T452" s="56" t="str">
        <f t="shared" ref="T452:T515" si="196">IF(E452&lt;&gt;"",LN((E452-E451)/(SUMIFS(Total,Fecha,$A451,Linea,E$1)+O451)+1)*365/($A452-$A451),"")</f>
        <v/>
      </c>
      <c r="U452" s="56" t="str">
        <f t="shared" ref="U452:U515" si="197">IF(F452&lt;&gt;"",LN((F452-F451)/(SUMIFS(Total,Fecha,$A451,Linea,F$1)+P451)+1)*365/($A452-$A451),"")</f>
        <v/>
      </c>
      <c r="V452" s="68" t="str">
        <f t="shared" ref="V452:V515" si="198">IF(G452&lt;&gt;"",LN((G452-G451)/(SUMIFS(Total,Fecha,$A451,Linea,G$1)+Q451)+1)*365/($A452-$A451),"")</f>
        <v/>
      </c>
      <c r="W452" s="80" t="str">
        <f t="shared" si="174"/>
        <v/>
      </c>
      <c r="X452" s="81" t="str">
        <f t="shared" si="175"/>
        <v/>
      </c>
      <c r="Y452" s="81" t="str">
        <f t="shared" si="176"/>
        <v/>
      </c>
      <c r="Z452" s="81" t="str">
        <f t="shared" si="177"/>
        <v/>
      </c>
      <c r="AA452" s="82" t="str">
        <f t="shared" si="178"/>
        <v/>
      </c>
      <c r="AB452" s="83" t="str">
        <f>IF(R452&lt;&gt;"",(W452-SUMPRODUCT(R$3:R452,$B$3:$B452)/SUM($B$3:$B452))/STDEVA(W442:W452),"")</f>
        <v/>
      </c>
      <c r="AC452" s="84" t="str">
        <f>IF(S452&lt;&gt;"",(X452-SUMPRODUCT(S$3:S452,$B$3:$B452)/SUM($B$3:$B452))/STDEVA(X442:X452),"")</f>
        <v/>
      </c>
      <c r="AD452" s="84" t="str">
        <f>IF(T452&lt;&gt;"",(Y452-SUMPRODUCT(T$3:T452,$B$3:$B452)/SUM($B$3:$B452))/STDEVA(Y442:Y452),"")</f>
        <v/>
      </c>
      <c r="AE452" s="84" t="str">
        <f>IF(U452&lt;&gt;"",(Z452-SUMPRODUCT(U$3:U452,$B$3:$B452)/SUM($B$3:$B452))/STDEVA(Z442:Z452),"")</f>
        <v/>
      </c>
      <c r="AF452" s="85" t="str">
        <f>IF(V452&lt;&gt;"",(AA452-SUMPRODUCT(V$3:V452,$B$3:$B452)/SUM($B$3:$B452))/STDEVA(AA442:AA452),"")</f>
        <v/>
      </c>
      <c r="AG452" s="90" t="str">
        <f t="shared" si="180"/>
        <v/>
      </c>
      <c r="AH452" s="90" t="str">
        <f t="shared" si="180"/>
        <v/>
      </c>
      <c r="AI452" s="90" t="str">
        <f t="shared" si="180"/>
        <v/>
      </c>
      <c r="AJ452" s="90" t="str">
        <f t="shared" si="179"/>
        <v/>
      </c>
      <c r="AK452" s="93" t="str">
        <f t="shared" si="179"/>
        <v/>
      </c>
      <c r="BQ452" s="100" t="str">
        <f>IF(A452&lt;&gt;"",(VLOOKUP(A452,MarketData!$D:$BP,MATCH($BQ$1,MarketData!$D$1:$EG$1,0),TRUE)/100/365+1)^(B452)*BQ451,"")</f>
        <v/>
      </c>
      <c r="BR452" s="98" t="str">
        <f t="shared" si="182"/>
        <v/>
      </c>
      <c r="BS452" s="106" t="str">
        <f>IF(A452&lt;&gt;"",VLOOKUP(A452,MarketData!$D:$BP,MATCH($BS$1,MarketData!$D$1:$EG$1,0),TRUE),"")</f>
        <v/>
      </c>
      <c r="BT452" s="98" t="str">
        <f t="shared" si="193"/>
        <v/>
      </c>
    </row>
    <row r="453" spans="2:72" x14ac:dyDescent="0.25">
      <c r="B453" s="60" t="str">
        <f t="shared" si="181"/>
        <v/>
      </c>
      <c r="C453" s="3" t="str">
        <f t="shared" si="183"/>
        <v/>
      </c>
      <c r="D453" s="3" t="str">
        <f t="shared" si="184"/>
        <v/>
      </c>
      <c r="E453" s="3" t="str">
        <f t="shared" si="185"/>
        <v/>
      </c>
      <c r="F453" s="3" t="str">
        <f t="shared" si="186"/>
        <v/>
      </c>
      <c r="G453" s="74" t="str">
        <f t="shared" si="187"/>
        <v/>
      </c>
      <c r="H453" s="78" t="str">
        <f>IFERROR(C453/SUM(M$2:M452),"")</f>
        <v/>
      </c>
      <c r="I453" s="61" t="str">
        <f>IFERROR(D453/SUM(N$2:N453),"")</f>
        <v/>
      </c>
      <c r="J453" s="61" t="str">
        <f>IFERROR(E453/SUM(O$2:O453),"")</f>
        <v/>
      </c>
      <c r="K453" s="61" t="str">
        <f>IFERROR(F453/SUM(P$2:P453),"")</f>
        <v/>
      </c>
      <c r="L453" s="79" t="str">
        <f>IFERROR(G453/SUM(Q$2:Q453),"")</f>
        <v/>
      </c>
      <c r="M453" s="64" t="str">
        <f t="shared" si="188"/>
        <v/>
      </c>
      <c r="N453" s="55" t="str">
        <f t="shared" si="189"/>
        <v/>
      </c>
      <c r="O453" s="55" t="str">
        <f t="shared" si="190"/>
        <v/>
      </c>
      <c r="P453" s="55" t="str">
        <f t="shared" si="191"/>
        <v/>
      </c>
      <c r="Q453" s="65" t="str">
        <f t="shared" si="192"/>
        <v/>
      </c>
      <c r="R453" s="67" t="str">
        <f t="shared" si="194"/>
        <v/>
      </c>
      <c r="S453" s="56" t="str">
        <f t="shared" si="195"/>
        <v/>
      </c>
      <c r="T453" s="56" t="str">
        <f t="shared" si="196"/>
        <v/>
      </c>
      <c r="U453" s="56" t="str">
        <f t="shared" si="197"/>
        <v/>
      </c>
      <c r="V453" s="68" t="str">
        <f t="shared" si="198"/>
        <v/>
      </c>
      <c r="W453" s="80" t="str">
        <f t="shared" si="174"/>
        <v/>
      </c>
      <c r="X453" s="81" t="str">
        <f t="shared" si="175"/>
        <v/>
      </c>
      <c r="Y453" s="81" t="str">
        <f t="shared" si="176"/>
        <v/>
      </c>
      <c r="Z453" s="81" t="str">
        <f t="shared" si="177"/>
        <v/>
      </c>
      <c r="AA453" s="82" t="str">
        <f t="shared" si="178"/>
        <v/>
      </c>
      <c r="AB453" s="83" t="str">
        <f>IF(R453&lt;&gt;"",(W453-SUMPRODUCT(R$3:R453,$B$3:$B453)/SUM($B$3:$B453))/STDEVA(W443:W453),"")</f>
        <v/>
      </c>
      <c r="AC453" s="84" t="str">
        <f>IF(S453&lt;&gt;"",(X453-SUMPRODUCT(S$3:S453,$B$3:$B453)/SUM($B$3:$B453))/STDEVA(X443:X453),"")</f>
        <v/>
      </c>
      <c r="AD453" s="84" t="str">
        <f>IF(T453&lt;&gt;"",(Y453-SUMPRODUCT(T$3:T453,$B$3:$B453)/SUM($B$3:$B453))/STDEVA(Y443:Y453),"")</f>
        <v/>
      </c>
      <c r="AE453" s="84" t="str">
        <f>IF(U453&lt;&gt;"",(Z453-SUMPRODUCT(U$3:U453,$B$3:$B453)/SUM($B$3:$B453))/STDEVA(Z443:Z453),"")</f>
        <v/>
      </c>
      <c r="AF453" s="85" t="str">
        <f>IF(V453&lt;&gt;"",(AA453-SUMPRODUCT(V$3:V453,$B$3:$B453)/SUM($B$3:$B453))/STDEVA(AA443:AA453),"")</f>
        <v/>
      </c>
      <c r="AG453" s="90" t="str">
        <f t="shared" si="180"/>
        <v/>
      </c>
      <c r="AH453" s="90" t="str">
        <f t="shared" si="180"/>
        <v/>
      </c>
      <c r="AI453" s="90" t="str">
        <f t="shared" si="180"/>
        <v/>
      </c>
      <c r="AJ453" s="90" t="str">
        <f t="shared" si="179"/>
        <v/>
      </c>
      <c r="AK453" s="93" t="str">
        <f t="shared" si="179"/>
        <v/>
      </c>
      <c r="BQ453" s="100" t="str">
        <f>IF(A453&lt;&gt;"",(VLOOKUP(A453,MarketData!$D:$BP,MATCH($BQ$1,MarketData!$D$1:$EG$1,0),TRUE)/100/365+1)^(B453)*BQ452,"")</f>
        <v/>
      </c>
      <c r="BR453" s="98" t="str">
        <f t="shared" si="182"/>
        <v/>
      </c>
      <c r="BS453" s="106" t="str">
        <f>IF(A453&lt;&gt;"",VLOOKUP(A453,MarketData!$D:$BP,MATCH($BS$1,MarketData!$D$1:$EG$1,0),TRUE),"")</f>
        <v/>
      </c>
      <c r="BT453" s="98" t="str">
        <f t="shared" si="193"/>
        <v/>
      </c>
    </row>
    <row r="454" spans="2:72" x14ac:dyDescent="0.25">
      <c r="B454" s="60" t="str">
        <f t="shared" si="181"/>
        <v/>
      </c>
      <c r="C454" s="3" t="str">
        <f t="shared" si="183"/>
        <v/>
      </c>
      <c r="D454" s="3" t="str">
        <f t="shared" si="184"/>
        <v/>
      </c>
      <c r="E454" s="3" t="str">
        <f t="shared" si="185"/>
        <v/>
      </c>
      <c r="F454" s="3" t="str">
        <f t="shared" si="186"/>
        <v/>
      </c>
      <c r="G454" s="74" t="str">
        <f t="shared" si="187"/>
        <v/>
      </c>
      <c r="H454" s="78" t="str">
        <f>IFERROR(C454/SUM(M$2:M453),"")</f>
        <v/>
      </c>
      <c r="I454" s="61" t="str">
        <f>IFERROR(D454/SUM(N$2:N454),"")</f>
        <v/>
      </c>
      <c r="J454" s="61" t="str">
        <f>IFERROR(E454/SUM(O$2:O454),"")</f>
        <v/>
      </c>
      <c r="K454" s="61" t="str">
        <f>IFERROR(F454/SUM(P$2:P454),"")</f>
        <v/>
      </c>
      <c r="L454" s="79" t="str">
        <f>IFERROR(G454/SUM(Q$2:Q454),"")</f>
        <v/>
      </c>
      <c r="M454" s="64" t="str">
        <f t="shared" si="188"/>
        <v/>
      </c>
      <c r="N454" s="55" t="str">
        <f t="shared" si="189"/>
        <v/>
      </c>
      <c r="O454" s="55" t="str">
        <f t="shared" si="190"/>
        <v/>
      </c>
      <c r="P454" s="55" t="str">
        <f t="shared" si="191"/>
        <v/>
      </c>
      <c r="Q454" s="65" t="str">
        <f t="shared" si="192"/>
        <v/>
      </c>
      <c r="R454" s="67" t="str">
        <f t="shared" si="194"/>
        <v/>
      </c>
      <c r="S454" s="56" t="str">
        <f t="shared" si="195"/>
        <v/>
      </c>
      <c r="T454" s="56" t="str">
        <f t="shared" si="196"/>
        <v/>
      </c>
      <c r="U454" s="56" t="str">
        <f t="shared" si="197"/>
        <v/>
      </c>
      <c r="V454" s="68" t="str">
        <f t="shared" si="198"/>
        <v/>
      </c>
      <c r="W454" s="80" t="str">
        <f t="shared" si="174"/>
        <v/>
      </c>
      <c r="X454" s="81" t="str">
        <f t="shared" si="175"/>
        <v/>
      </c>
      <c r="Y454" s="81" t="str">
        <f t="shared" si="176"/>
        <v/>
      </c>
      <c r="Z454" s="81" t="str">
        <f t="shared" si="177"/>
        <v/>
      </c>
      <c r="AA454" s="82" t="str">
        <f t="shared" si="178"/>
        <v/>
      </c>
      <c r="AB454" s="83" t="str">
        <f>IF(R454&lt;&gt;"",(W454-SUMPRODUCT(R$3:R454,$B$3:$B454)/SUM($B$3:$B454))/STDEVA(W444:W454),"")</f>
        <v/>
      </c>
      <c r="AC454" s="84" t="str">
        <f>IF(S454&lt;&gt;"",(X454-SUMPRODUCT(S$3:S454,$B$3:$B454)/SUM($B$3:$B454))/STDEVA(X444:X454),"")</f>
        <v/>
      </c>
      <c r="AD454" s="84" t="str">
        <f>IF(T454&lt;&gt;"",(Y454-SUMPRODUCT(T$3:T454,$B$3:$B454)/SUM($B$3:$B454))/STDEVA(Y444:Y454),"")</f>
        <v/>
      </c>
      <c r="AE454" s="84" t="str">
        <f>IF(U454&lt;&gt;"",(Z454-SUMPRODUCT(U$3:U454,$B$3:$B454)/SUM($B$3:$B454))/STDEVA(Z444:Z454),"")</f>
        <v/>
      </c>
      <c r="AF454" s="85" t="str">
        <f>IF(V454&lt;&gt;"",(AA454-SUMPRODUCT(V$3:V454,$B$3:$B454)/SUM($B$3:$B454))/STDEVA(AA444:AA454),"")</f>
        <v/>
      </c>
      <c r="AG454" s="90" t="str">
        <f t="shared" si="180"/>
        <v/>
      </c>
      <c r="AH454" s="90" t="str">
        <f t="shared" si="180"/>
        <v/>
      </c>
      <c r="AI454" s="90" t="str">
        <f t="shared" si="180"/>
        <v/>
      </c>
      <c r="AJ454" s="90" t="str">
        <f t="shared" si="179"/>
        <v/>
      </c>
      <c r="AK454" s="93" t="str">
        <f t="shared" si="179"/>
        <v/>
      </c>
      <c r="BQ454" s="100" t="str">
        <f>IF(A454&lt;&gt;"",(VLOOKUP(A454,MarketData!$D:$BP,MATCH($BQ$1,MarketData!$D$1:$EG$1,0),TRUE)/100/365+1)^(B454)*BQ453,"")</f>
        <v/>
      </c>
      <c r="BR454" s="98" t="str">
        <f t="shared" si="182"/>
        <v/>
      </c>
      <c r="BS454" s="106" t="str">
        <f>IF(A454&lt;&gt;"",VLOOKUP(A454,MarketData!$D:$BP,MATCH($BS$1,MarketData!$D$1:$EG$1,0),TRUE),"")</f>
        <v/>
      </c>
      <c r="BT454" s="98" t="str">
        <f t="shared" si="193"/>
        <v/>
      </c>
    </row>
    <row r="455" spans="2:72" x14ac:dyDescent="0.25">
      <c r="B455" s="60" t="str">
        <f t="shared" si="181"/>
        <v/>
      </c>
      <c r="C455" s="3" t="str">
        <f t="shared" si="183"/>
        <v/>
      </c>
      <c r="D455" s="3" t="str">
        <f t="shared" si="184"/>
        <v/>
      </c>
      <c r="E455" s="3" t="str">
        <f t="shared" si="185"/>
        <v/>
      </c>
      <c r="F455" s="3" t="str">
        <f t="shared" si="186"/>
        <v/>
      </c>
      <c r="G455" s="74" t="str">
        <f t="shared" si="187"/>
        <v/>
      </c>
      <c r="H455" s="78" t="str">
        <f>IFERROR(C455/SUM(M$2:M454),"")</f>
        <v/>
      </c>
      <c r="I455" s="61" t="str">
        <f>IFERROR(D455/SUM(N$2:N455),"")</f>
        <v/>
      </c>
      <c r="J455" s="61" t="str">
        <f>IFERROR(E455/SUM(O$2:O455),"")</f>
        <v/>
      </c>
      <c r="K455" s="61" t="str">
        <f>IFERROR(F455/SUM(P$2:P455),"")</f>
        <v/>
      </c>
      <c r="L455" s="79" t="str">
        <f>IFERROR(G455/SUM(Q$2:Q455),"")</f>
        <v/>
      </c>
      <c r="M455" s="64" t="str">
        <f t="shared" si="188"/>
        <v/>
      </c>
      <c r="N455" s="55" t="str">
        <f t="shared" si="189"/>
        <v/>
      </c>
      <c r="O455" s="55" t="str">
        <f t="shared" si="190"/>
        <v/>
      </c>
      <c r="P455" s="55" t="str">
        <f t="shared" si="191"/>
        <v/>
      </c>
      <c r="Q455" s="65" t="str">
        <f t="shared" si="192"/>
        <v/>
      </c>
      <c r="R455" s="67" t="str">
        <f t="shared" si="194"/>
        <v/>
      </c>
      <c r="S455" s="56" t="str">
        <f t="shared" si="195"/>
        <v/>
      </c>
      <c r="T455" s="56" t="str">
        <f t="shared" si="196"/>
        <v/>
      </c>
      <c r="U455" s="56" t="str">
        <f t="shared" si="197"/>
        <v/>
      </c>
      <c r="V455" s="68" t="str">
        <f t="shared" si="198"/>
        <v/>
      </c>
      <c r="W455" s="80" t="str">
        <f t="shared" si="174"/>
        <v/>
      </c>
      <c r="X455" s="81" t="str">
        <f t="shared" si="175"/>
        <v/>
      </c>
      <c r="Y455" s="81" t="str">
        <f t="shared" si="176"/>
        <v/>
      </c>
      <c r="Z455" s="81" t="str">
        <f t="shared" si="177"/>
        <v/>
      </c>
      <c r="AA455" s="82" t="str">
        <f t="shared" si="178"/>
        <v/>
      </c>
      <c r="AB455" s="83" t="str">
        <f>IF(R455&lt;&gt;"",(W455-SUMPRODUCT(R$3:R455,$B$3:$B455)/SUM($B$3:$B455))/STDEVA(W445:W455),"")</f>
        <v/>
      </c>
      <c r="AC455" s="84" t="str">
        <f>IF(S455&lt;&gt;"",(X455-SUMPRODUCT(S$3:S455,$B$3:$B455)/SUM($B$3:$B455))/STDEVA(X445:X455),"")</f>
        <v/>
      </c>
      <c r="AD455" s="84" t="str">
        <f>IF(T455&lt;&gt;"",(Y455-SUMPRODUCT(T$3:T455,$B$3:$B455)/SUM($B$3:$B455))/STDEVA(Y445:Y455),"")</f>
        <v/>
      </c>
      <c r="AE455" s="84" t="str">
        <f>IF(U455&lt;&gt;"",(Z455-SUMPRODUCT(U$3:U455,$B$3:$B455)/SUM($B$3:$B455))/STDEVA(Z445:Z455),"")</f>
        <v/>
      </c>
      <c r="AF455" s="85" t="str">
        <f>IF(V455&lt;&gt;"",(AA455-SUMPRODUCT(V$3:V455,$B$3:$B455)/SUM($B$3:$B455))/STDEVA(AA445:AA455),"")</f>
        <v/>
      </c>
      <c r="AG455" s="90" t="str">
        <f t="shared" si="180"/>
        <v/>
      </c>
      <c r="AH455" s="90" t="str">
        <f t="shared" si="180"/>
        <v/>
      </c>
      <c r="AI455" s="90" t="str">
        <f t="shared" si="180"/>
        <v/>
      </c>
      <c r="AJ455" s="90" t="str">
        <f t="shared" si="179"/>
        <v/>
      </c>
      <c r="AK455" s="93" t="str">
        <f t="shared" si="179"/>
        <v/>
      </c>
      <c r="BQ455" s="100" t="str">
        <f>IF(A455&lt;&gt;"",(VLOOKUP(A455,MarketData!$D:$BP,MATCH($BQ$1,MarketData!$D$1:$EG$1,0),TRUE)/100/365+1)^(B455)*BQ454,"")</f>
        <v/>
      </c>
      <c r="BR455" s="98" t="str">
        <f t="shared" si="182"/>
        <v/>
      </c>
      <c r="BS455" s="106" t="str">
        <f>IF(A455&lt;&gt;"",VLOOKUP(A455,MarketData!$D:$BP,MATCH($BS$1,MarketData!$D$1:$EG$1,0),TRUE),"")</f>
        <v/>
      </c>
      <c r="BT455" s="98" t="str">
        <f t="shared" si="193"/>
        <v/>
      </c>
    </row>
    <row r="456" spans="2:72" x14ac:dyDescent="0.25">
      <c r="B456" s="60" t="str">
        <f t="shared" si="181"/>
        <v/>
      </c>
      <c r="C456" s="3" t="str">
        <f t="shared" si="183"/>
        <v/>
      </c>
      <c r="D456" s="3" t="str">
        <f t="shared" si="184"/>
        <v/>
      </c>
      <c r="E456" s="3" t="str">
        <f t="shared" si="185"/>
        <v/>
      </c>
      <c r="F456" s="3" t="str">
        <f t="shared" si="186"/>
        <v/>
      </c>
      <c r="G456" s="74" t="str">
        <f t="shared" si="187"/>
        <v/>
      </c>
      <c r="H456" s="78" t="str">
        <f>IFERROR(C456/SUM(M$2:M455),"")</f>
        <v/>
      </c>
      <c r="I456" s="61" t="str">
        <f>IFERROR(D456/SUM(N$2:N456),"")</f>
        <v/>
      </c>
      <c r="J456" s="61" t="str">
        <f>IFERROR(E456/SUM(O$2:O456),"")</f>
        <v/>
      </c>
      <c r="K456" s="61" t="str">
        <f>IFERROR(F456/SUM(P$2:P456),"")</f>
        <v/>
      </c>
      <c r="L456" s="79" t="str">
        <f>IFERROR(G456/SUM(Q$2:Q456),"")</f>
        <v/>
      </c>
      <c r="M456" s="64" t="str">
        <f t="shared" si="188"/>
        <v/>
      </c>
      <c r="N456" s="55" t="str">
        <f t="shared" si="189"/>
        <v/>
      </c>
      <c r="O456" s="55" t="str">
        <f t="shared" si="190"/>
        <v/>
      </c>
      <c r="P456" s="55" t="str">
        <f t="shared" si="191"/>
        <v/>
      </c>
      <c r="Q456" s="65" t="str">
        <f t="shared" si="192"/>
        <v/>
      </c>
      <c r="R456" s="67" t="str">
        <f t="shared" si="194"/>
        <v/>
      </c>
      <c r="S456" s="56" t="str">
        <f t="shared" si="195"/>
        <v/>
      </c>
      <c r="T456" s="56" t="str">
        <f t="shared" si="196"/>
        <v/>
      </c>
      <c r="U456" s="56" t="str">
        <f t="shared" si="197"/>
        <v/>
      </c>
      <c r="V456" s="68" t="str">
        <f t="shared" si="198"/>
        <v/>
      </c>
      <c r="W456" s="80" t="str">
        <f t="shared" si="174"/>
        <v/>
      </c>
      <c r="X456" s="81" t="str">
        <f t="shared" si="175"/>
        <v/>
      </c>
      <c r="Y456" s="81" t="str">
        <f t="shared" si="176"/>
        <v/>
      </c>
      <c r="Z456" s="81" t="str">
        <f t="shared" si="177"/>
        <v/>
      </c>
      <c r="AA456" s="82" t="str">
        <f t="shared" si="178"/>
        <v/>
      </c>
      <c r="AB456" s="83" t="str">
        <f>IF(R456&lt;&gt;"",(W456-SUMPRODUCT(R$3:R456,$B$3:$B456)/SUM($B$3:$B456))/STDEVA(W446:W456),"")</f>
        <v/>
      </c>
      <c r="AC456" s="84" t="str">
        <f>IF(S456&lt;&gt;"",(X456-SUMPRODUCT(S$3:S456,$B$3:$B456)/SUM($B$3:$B456))/STDEVA(X446:X456),"")</f>
        <v/>
      </c>
      <c r="AD456" s="84" t="str">
        <f>IF(T456&lt;&gt;"",(Y456-SUMPRODUCT(T$3:T456,$B$3:$B456)/SUM($B$3:$B456))/STDEVA(Y446:Y456),"")</f>
        <v/>
      </c>
      <c r="AE456" s="84" t="str">
        <f>IF(U456&lt;&gt;"",(Z456-SUMPRODUCT(U$3:U456,$B$3:$B456)/SUM($B$3:$B456))/STDEVA(Z446:Z456),"")</f>
        <v/>
      </c>
      <c r="AF456" s="85" t="str">
        <f>IF(V456&lt;&gt;"",(AA456-SUMPRODUCT(V$3:V456,$B$3:$B456)/SUM($B$3:$B456))/STDEVA(AA446:AA456),"")</f>
        <v/>
      </c>
      <c r="AG456" s="90" t="str">
        <f t="shared" si="180"/>
        <v/>
      </c>
      <c r="AH456" s="90" t="str">
        <f t="shared" si="180"/>
        <v/>
      </c>
      <c r="AI456" s="90" t="str">
        <f t="shared" si="180"/>
        <v/>
      </c>
      <c r="AJ456" s="90" t="str">
        <f t="shared" si="179"/>
        <v/>
      </c>
      <c r="AK456" s="93" t="str">
        <f t="shared" si="179"/>
        <v/>
      </c>
      <c r="BQ456" s="100" t="str">
        <f>IF(A456&lt;&gt;"",(VLOOKUP(A456,MarketData!$D:$BP,MATCH($BQ$1,MarketData!$D$1:$EG$1,0),TRUE)/100/365+1)^(B456)*BQ455,"")</f>
        <v/>
      </c>
      <c r="BR456" s="98" t="str">
        <f t="shared" si="182"/>
        <v/>
      </c>
      <c r="BS456" s="106" t="str">
        <f>IF(A456&lt;&gt;"",VLOOKUP(A456,MarketData!$D:$BP,MATCH($BS$1,MarketData!$D$1:$EG$1,0),TRUE),"")</f>
        <v/>
      </c>
      <c r="BT456" s="98" t="str">
        <f t="shared" si="193"/>
        <v/>
      </c>
    </row>
    <row r="457" spans="2:72" x14ac:dyDescent="0.25">
      <c r="B457" s="60" t="str">
        <f t="shared" si="181"/>
        <v/>
      </c>
      <c r="C457" s="3" t="str">
        <f t="shared" si="183"/>
        <v/>
      </c>
      <c r="D457" s="3" t="str">
        <f t="shared" si="184"/>
        <v/>
      </c>
      <c r="E457" s="3" t="str">
        <f t="shared" si="185"/>
        <v/>
      </c>
      <c r="F457" s="3" t="str">
        <f t="shared" si="186"/>
        <v/>
      </c>
      <c r="G457" s="74" t="str">
        <f t="shared" si="187"/>
        <v/>
      </c>
      <c r="H457" s="78" t="str">
        <f>IFERROR(C457/SUM(M$2:M456),"")</f>
        <v/>
      </c>
      <c r="I457" s="61" t="str">
        <f>IFERROR(D457/SUM(N$2:N457),"")</f>
        <v/>
      </c>
      <c r="J457" s="61" t="str">
        <f>IFERROR(E457/SUM(O$2:O457),"")</f>
        <v/>
      </c>
      <c r="K457" s="61" t="str">
        <f>IFERROR(F457/SUM(P$2:P457),"")</f>
        <v/>
      </c>
      <c r="L457" s="79" t="str">
        <f>IFERROR(G457/SUM(Q$2:Q457),"")</f>
        <v/>
      </c>
      <c r="M457" s="64" t="str">
        <f t="shared" si="188"/>
        <v/>
      </c>
      <c r="N457" s="55" t="str">
        <f t="shared" si="189"/>
        <v/>
      </c>
      <c r="O457" s="55" t="str">
        <f t="shared" si="190"/>
        <v/>
      </c>
      <c r="P457" s="55" t="str">
        <f t="shared" si="191"/>
        <v/>
      </c>
      <c r="Q457" s="65" t="str">
        <f t="shared" si="192"/>
        <v/>
      </c>
      <c r="R457" s="67" t="str">
        <f t="shared" si="194"/>
        <v/>
      </c>
      <c r="S457" s="56" t="str">
        <f t="shared" si="195"/>
        <v/>
      </c>
      <c r="T457" s="56" t="str">
        <f t="shared" si="196"/>
        <v/>
      </c>
      <c r="U457" s="56" t="str">
        <f t="shared" si="197"/>
        <v/>
      </c>
      <c r="V457" s="68" t="str">
        <f t="shared" si="198"/>
        <v/>
      </c>
      <c r="W457" s="80" t="str">
        <f t="shared" si="174"/>
        <v/>
      </c>
      <c r="X457" s="81" t="str">
        <f t="shared" si="175"/>
        <v/>
      </c>
      <c r="Y457" s="81" t="str">
        <f t="shared" si="176"/>
        <v/>
      </c>
      <c r="Z457" s="81" t="str">
        <f t="shared" si="177"/>
        <v/>
      </c>
      <c r="AA457" s="82" t="str">
        <f t="shared" si="178"/>
        <v/>
      </c>
      <c r="AB457" s="83" t="str">
        <f>IF(R457&lt;&gt;"",(W457-SUMPRODUCT(R$3:R457,$B$3:$B457)/SUM($B$3:$B457))/STDEVA(W447:W457),"")</f>
        <v/>
      </c>
      <c r="AC457" s="84" t="str">
        <f>IF(S457&lt;&gt;"",(X457-SUMPRODUCT(S$3:S457,$B$3:$B457)/SUM($B$3:$B457))/STDEVA(X447:X457),"")</f>
        <v/>
      </c>
      <c r="AD457" s="84" t="str">
        <f>IF(T457&lt;&gt;"",(Y457-SUMPRODUCT(T$3:T457,$B$3:$B457)/SUM($B$3:$B457))/STDEVA(Y447:Y457),"")</f>
        <v/>
      </c>
      <c r="AE457" s="84" t="str">
        <f>IF(U457&lt;&gt;"",(Z457-SUMPRODUCT(U$3:U457,$B$3:$B457)/SUM($B$3:$B457))/STDEVA(Z447:Z457),"")</f>
        <v/>
      </c>
      <c r="AF457" s="85" t="str">
        <f>IF(V457&lt;&gt;"",(AA457-SUMPRODUCT(V$3:V457,$B$3:$B457)/SUM($B$3:$B457))/STDEVA(AA447:AA457),"")</f>
        <v/>
      </c>
      <c r="AG457" s="90" t="str">
        <f t="shared" si="180"/>
        <v/>
      </c>
      <c r="AH457" s="90" t="str">
        <f t="shared" si="180"/>
        <v/>
      </c>
      <c r="AI457" s="90" t="str">
        <f t="shared" si="180"/>
        <v/>
      </c>
      <c r="AJ457" s="90" t="str">
        <f t="shared" si="179"/>
        <v/>
      </c>
      <c r="AK457" s="93" t="str">
        <f t="shared" si="179"/>
        <v/>
      </c>
      <c r="BQ457" s="100" t="str">
        <f>IF(A457&lt;&gt;"",(VLOOKUP(A457,MarketData!$D:$BP,MATCH($BQ$1,MarketData!$D$1:$EG$1,0),TRUE)/100/365+1)^(B457)*BQ456,"")</f>
        <v/>
      </c>
      <c r="BR457" s="98" t="str">
        <f t="shared" si="182"/>
        <v/>
      </c>
      <c r="BS457" s="106" t="str">
        <f>IF(A457&lt;&gt;"",VLOOKUP(A457,MarketData!$D:$BP,MATCH($BS$1,MarketData!$D$1:$EG$1,0),TRUE),"")</f>
        <v/>
      </c>
      <c r="BT457" s="98" t="str">
        <f t="shared" si="193"/>
        <v/>
      </c>
    </row>
    <row r="458" spans="2:72" x14ac:dyDescent="0.25">
      <c r="B458" s="60" t="str">
        <f t="shared" si="181"/>
        <v/>
      </c>
      <c r="C458" s="3" t="str">
        <f t="shared" si="183"/>
        <v/>
      </c>
      <c r="D458" s="3" t="str">
        <f t="shared" si="184"/>
        <v/>
      </c>
      <c r="E458" s="3" t="str">
        <f t="shared" si="185"/>
        <v/>
      </c>
      <c r="F458" s="3" t="str">
        <f t="shared" si="186"/>
        <v/>
      </c>
      <c r="G458" s="74" t="str">
        <f t="shared" si="187"/>
        <v/>
      </c>
      <c r="H458" s="78" t="str">
        <f>IFERROR(C458/SUM(M$2:M457),"")</f>
        <v/>
      </c>
      <c r="I458" s="61" t="str">
        <f>IFERROR(D458/SUM(N$2:N458),"")</f>
        <v/>
      </c>
      <c r="J458" s="61" t="str">
        <f>IFERROR(E458/SUM(O$2:O458),"")</f>
        <v/>
      </c>
      <c r="K458" s="61" t="str">
        <f>IFERROR(F458/SUM(P$2:P458),"")</f>
        <v/>
      </c>
      <c r="L458" s="79" t="str">
        <f>IFERROR(G458/SUM(Q$2:Q458),"")</f>
        <v/>
      </c>
      <c r="M458" s="64" t="str">
        <f t="shared" si="188"/>
        <v/>
      </c>
      <c r="N458" s="55" t="str">
        <f t="shared" si="189"/>
        <v/>
      </c>
      <c r="O458" s="55" t="str">
        <f t="shared" si="190"/>
        <v/>
      </c>
      <c r="P458" s="55" t="str">
        <f t="shared" si="191"/>
        <v/>
      </c>
      <c r="Q458" s="65" t="str">
        <f t="shared" si="192"/>
        <v/>
      </c>
      <c r="R458" s="67" t="str">
        <f t="shared" si="194"/>
        <v/>
      </c>
      <c r="S458" s="56" t="str">
        <f t="shared" si="195"/>
        <v/>
      </c>
      <c r="T458" s="56" t="str">
        <f t="shared" si="196"/>
        <v/>
      </c>
      <c r="U458" s="56" t="str">
        <f t="shared" si="197"/>
        <v/>
      </c>
      <c r="V458" s="68" t="str">
        <f t="shared" si="198"/>
        <v/>
      </c>
      <c r="W458" s="80" t="str">
        <f t="shared" si="174"/>
        <v/>
      </c>
      <c r="X458" s="81" t="str">
        <f t="shared" si="175"/>
        <v/>
      </c>
      <c r="Y458" s="81" t="str">
        <f t="shared" si="176"/>
        <v/>
      </c>
      <c r="Z458" s="81" t="str">
        <f t="shared" si="177"/>
        <v/>
      </c>
      <c r="AA458" s="82" t="str">
        <f t="shared" si="178"/>
        <v/>
      </c>
      <c r="AB458" s="83" t="str">
        <f>IF(R458&lt;&gt;"",(W458-SUMPRODUCT(R$3:R458,$B$3:$B458)/SUM($B$3:$B458))/STDEVA(W448:W458),"")</f>
        <v/>
      </c>
      <c r="AC458" s="84" t="str">
        <f>IF(S458&lt;&gt;"",(X458-SUMPRODUCT(S$3:S458,$B$3:$B458)/SUM($B$3:$B458))/STDEVA(X448:X458),"")</f>
        <v/>
      </c>
      <c r="AD458" s="84" t="str">
        <f>IF(T458&lt;&gt;"",(Y458-SUMPRODUCT(T$3:T458,$B$3:$B458)/SUM($B$3:$B458))/STDEVA(Y448:Y458),"")</f>
        <v/>
      </c>
      <c r="AE458" s="84" t="str">
        <f>IF(U458&lt;&gt;"",(Z458-SUMPRODUCT(U$3:U458,$B$3:$B458)/SUM($B$3:$B458))/STDEVA(Z448:Z458),"")</f>
        <v/>
      </c>
      <c r="AF458" s="85" t="str">
        <f>IF(V458&lt;&gt;"",(AA458-SUMPRODUCT(V$3:V458,$B$3:$B458)/SUM($B$3:$B458))/STDEVA(AA448:AA458),"")</f>
        <v/>
      </c>
      <c r="AG458" s="90" t="str">
        <f t="shared" si="180"/>
        <v/>
      </c>
      <c r="AH458" s="90" t="str">
        <f t="shared" si="180"/>
        <v/>
      </c>
      <c r="AI458" s="90" t="str">
        <f t="shared" si="180"/>
        <v/>
      </c>
      <c r="AJ458" s="90" t="str">
        <f t="shared" si="179"/>
        <v/>
      </c>
      <c r="AK458" s="93" t="str">
        <f t="shared" si="179"/>
        <v/>
      </c>
      <c r="BQ458" s="100" t="str">
        <f>IF(A458&lt;&gt;"",(VLOOKUP(A458,MarketData!$D:$BP,MATCH($BQ$1,MarketData!$D$1:$EG$1,0),TRUE)/100/365+1)^(B458)*BQ457,"")</f>
        <v/>
      </c>
      <c r="BR458" s="98" t="str">
        <f t="shared" si="182"/>
        <v/>
      </c>
      <c r="BS458" s="106" t="str">
        <f>IF(A458&lt;&gt;"",VLOOKUP(A458,MarketData!$D:$BP,MATCH($BS$1,MarketData!$D$1:$EG$1,0),TRUE),"")</f>
        <v/>
      </c>
      <c r="BT458" s="98" t="str">
        <f t="shared" si="193"/>
        <v/>
      </c>
    </row>
    <row r="459" spans="2:72" x14ac:dyDescent="0.25">
      <c r="B459" s="60" t="str">
        <f t="shared" si="181"/>
        <v/>
      </c>
      <c r="C459" s="3" t="str">
        <f t="shared" si="183"/>
        <v/>
      </c>
      <c r="D459" s="3" t="str">
        <f t="shared" si="184"/>
        <v/>
      </c>
      <c r="E459" s="3" t="str">
        <f t="shared" si="185"/>
        <v/>
      </c>
      <c r="F459" s="3" t="str">
        <f t="shared" si="186"/>
        <v/>
      </c>
      <c r="G459" s="74" t="str">
        <f t="shared" si="187"/>
        <v/>
      </c>
      <c r="H459" s="78" t="str">
        <f>IFERROR(C459/SUM(M$2:M458),"")</f>
        <v/>
      </c>
      <c r="I459" s="61" t="str">
        <f>IFERROR(D459/SUM(N$2:N459),"")</f>
        <v/>
      </c>
      <c r="J459" s="61" t="str">
        <f>IFERROR(E459/SUM(O$2:O459),"")</f>
        <v/>
      </c>
      <c r="K459" s="61" t="str">
        <f>IFERROR(F459/SUM(P$2:P459),"")</f>
        <v/>
      </c>
      <c r="L459" s="79" t="str">
        <f>IFERROR(G459/SUM(Q$2:Q459),"")</f>
        <v/>
      </c>
      <c r="M459" s="64" t="str">
        <f t="shared" si="188"/>
        <v/>
      </c>
      <c r="N459" s="55" t="str">
        <f t="shared" si="189"/>
        <v/>
      </c>
      <c r="O459" s="55" t="str">
        <f t="shared" si="190"/>
        <v/>
      </c>
      <c r="P459" s="55" t="str">
        <f t="shared" si="191"/>
        <v/>
      </c>
      <c r="Q459" s="65" t="str">
        <f t="shared" si="192"/>
        <v/>
      </c>
      <c r="R459" s="67" t="str">
        <f t="shared" si="194"/>
        <v/>
      </c>
      <c r="S459" s="56" t="str">
        <f t="shared" si="195"/>
        <v/>
      </c>
      <c r="T459" s="56" t="str">
        <f t="shared" si="196"/>
        <v/>
      </c>
      <c r="U459" s="56" t="str">
        <f t="shared" si="197"/>
        <v/>
      </c>
      <c r="V459" s="68" t="str">
        <f t="shared" si="198"/>
        <v/>
      </c>
      <c r="W459" s="80" t="str">
        <f t="shared" si="174"/>
        <v/>
      </c>
      <c r="X459" s="81" t="str">
        <f t="shared" si="175"/>
        <v/>
      </c>
      <c r="Y459" s="81" t="str">
        <f t="shared" si="176"/>
        <v/>
      </c>
      <c r="Z459" s="81" t="str">
        <f t="shared" si="177"/>
        <v/>
      </c>
      <c r="AA459" s="82" t="str">
        <f t="shared" si="178"/>
        <v/>
      </c>
      <c r="AB459" s="83" t="str">
        <f>IF(R459&lt;&gt;"",(W459-SUMPRODUCT(R$3:R459,$B$3:$B459)/SUM($B$3:$B459))/STDEVA(W449:W459),"")</f>
        <v/>
      </c>
      <c r="AC459" s="84" t="str">
        <f>IF(S459&lt;&gt;"",(X459-SUMPRODUCT(S$3:S459,$B$3:$B459)/SUM($B$3:$B459))/STDEVA(X449:X459),"")</f>
        <v/>
      </c>
      <c r="AD459" s="84" t="str">
        <f>IF(T459&lt;&gt;"",(Y459-SUMPRODUCT(T$3:T459,$B$3:$B459)/SUM($B$3:$B459))/STDEVA(Y449:Y459),"")</f>
        <v/>
      </c>
      <c r="AE459" s="84" t="str">
        <f>IF(U459&lt;&gt;"",(Z459-SUMPRODUCT(U$3:U459,$B$3:$B459)/SUM($B$3:$B459))/STDEVA(Z449:Z459),"")</f>
        <v/>
      </c>
      <c r="AF459" s="85" t="str">
        <f>IF(V459&lt;&gt;"",(AA459-SUMPRODUCT(V$3:V459,$B$3:$B459)/SUM($B$3:$B459))/STDEVA(AA449:AA459),"")</f>
        <v/>
      </c>
      <c r="AG459" s="90" t="str">
        <f t="shared" si="180"/>
        <v/>
      </c>
      <c r="AH459" s="90" t="str">
        <f t="shared" si="180"/>
        <v/>
      </c>
      <c r="AI459" s="90" t="str">
        <f t="shared" si="180"/>
        <v/>
      </c>
      <c r="AJ459" s="90" t="str">
        <f t="shared" si="179"/>
        <v/>
      </c>
      <c r="AK459" s="93" t="str">
        <f t="shared" si="179"/>
        <v/>
      </c>
      <c r="BQ459" s="100" t="str">
        <f>IF(A459&lt;&gt;"",(VLOOKUP(A459,MarketData!$D:$BP,MATCH($BQ$1,MarketData!$D$1:$EG$1,0),TRUE)/100/365+1)^(B459)*BQ458,"")</f>
        <v/>
      </c>
      <c r="BR459" s="98" t="str">
        <f t="shared" si="182"/>
        <v/>
      </c>
      <c r="BS459" s="106" t="str">
        <f>IF(A459&lt;&gt;"",VLOOKUP(A459,MarketData!$D:$BP,MATCH($BS$1,MarketData!$D$1:$EG$1,0),TRUE),"")</f>
        <v/>
      </c>
      <c r="BT459" s="98" t="str">
        <f t="shared" si="193"/>
        <v/>
      </c>
    </row>
    <row r="460" spans="2:72" x14ac:dyDescent="0.25">
      <c r="B460" s="60" t="str">
        <f t="shared" si="181"/>
        <v/>
      </c>
      <c r="C460" s="3" t="str">
        <f t="shared" si="183"/>
        <v/>
      </c>
      <c r="D460" s="3" t="str">
        <f t="shared" si="184"/>
        <v/>
      </c>
      <c r="E460" s="3" t="str">
        <f t="shared" si="185"/>
        <v/>
      </c>
      <c r="F460" s="3" t="str">
        <f t="shared" si="186"/>
        <v/>
      </c>
      <c r="G460" s="74" t="str">
        <f t="shared" si="187"/>
        <v/>
      </c>
      <c r="H460" s="78" t="str">
        <f>IFERROR(C460/SUM(M$2:M459),"")</f>
        <v/>
      </c>
      <c r="I460" s="61" t="str">
        <f>IFERROR(D460/SUM(N$2:N460),"")</f>
        <v/>
      </c>
      <c r="J460" s="61" t="str">
        <f>IFERROR(E460/SUM(O$2:O460),"")</f>
        <v/>
      </c>
      <c r="K460" s="61" t="str">
        <f>IFERROR(F460/SUM(P$2:P460),"")</f>
        <v/>
      </c>
      <c r="L460" s="79" t="str">
        <f>IFERROR(G460/SUM(Q$2:Q460),"")</f>
        <v/>
      </c>
      <c r="M460" s="64" t="str">
        <f t="shared" si="188"/>
        <v/>
      </c>
      <c r="N460" s="55" t="str">
        <f t="shared" si="189"/>
        <v/>
      </c>
      <c r="O460" s="55" t="str">
        <f t="shared" si="190"/>
        <v/>
      </c>
      <c r="P460" s="55" t="str">
        <f t="shared" si="191"/>
        <v/>
      </c>
      <c r="Q460" s="65" t="str">
        <f t="shared" si="192"/>
        <v/>
      </c>
      <c r="R460" s="67" t="str">
        <f t="shared" si="194"/>
        <v/>
      </c>
      <c r="S460" s="56" t="str">
        <f t="shared" si="195"/>
        <v/>
      </c>
      <c r="T460" s="56" t="str">
        <f t="shared" si="196"/>
        <v/>
      </c>
      <c r="U460" s="56" t="str">
        <f t="shared" si="197"/>
        <v/>
      </c>
      <c r="V460" s="68" t="str">
        <f t="shared" si="198"/>
        <v/>
      </c>
      <c r="W460" s="80" t="str">
        <f t="shared" ref="W460:W523" si="199">IF(R460&lt;&gt;"",SUMPRODUCT(R451:R460,$B451:$B460)/SUM($B451:$B460),"")</f>
        <v/>
      </c>
      <c r="X460" s="81" t="str">
        <f t="shared" ref="X460:X523" si="200">IF(S460&lt;&gt;"",SUMPRODUCT(S451:S460,$B451:$B460)/SUM($B451:$B460),"")</f>
        <v/>
      </c>
      <c r="Y460" s="81" t="str">
        <f t="shared" ref="Y460:Y523" si="201">IF(T460&lt;&gt;"",SUMPRODUCT(T451:T460,$B451:$B460)/SUM($B451:$B460),"")</f>
        <v/>
      </c>
      <c r="Z460" s="81" t="str">
        <f t="shared" ref="Z460:Z523" si="202">IF(U460&lt;&gt;"",SUMPRODUCT(U451:U460,$B451:$B460)/SUM($B451:$B460),"")</f>
        <v/>
      </c>
      <c r="AA460" s="82" t="str">
        <f t="shared" ref="AA460:AA523" si="203">IF(V460&lt;&gt;"",SUMPRODUCT(V451:V460,$B451:$B460)/SUM($B451:$B460),"")</f>
        <v/>
      </c>
      <c r="AB460" s="83" t="str">
        <f>IF(R460&lt;&gt;"",(W460-SUMPRODUCT(R$3:R460,$B$3:$B460)/SUM($B$3:$B460))/STDEVA(W450:W460),"")</f>
        <v/>
      </c>
      <c r="AC460" s="84" t="str">
        <f>IF(S460&lt;&gt;"",(X460-SUMPRODUCT(S$3:S460,$B$3:$B460)/SUM($B$3:$B460))/STDEVA(X450:X460),"")</f>
        <v/>
      </c>
      <c r="AD460" s="84" t="str">
        <f>IF(T460&lt;&gt;"",(Y460-SUMPRODUCT(T$3:T460,$B$3:$B460)/SUM($B$3:$B460))/STDEVA(Y450:Y460),"")</f>
        <v/>
      </c>
      <c r="AE460" s="84" t="str">
        <f>IF(U460&lt;&gt;"",(Z460-SUMPRODUCT(U$3:U460,$B$3:$B460)/SUM($B$3:$B460))/STDEVA(Z450:Z460),"")</f>
        <v/>
      </c>
      <c r="AF460" s="85" t="str">
        <f>IF(V460&lt;&gt;"",(AA460-SUMPRODUCT(V$3:V460,$B$3:$B460)/SUM($B$3:$B460))/STDEVA(AA450:AA460),"")</f>
        <v/>
      </c>
      <c r="AG460" s="90" t="str">
        <f t="shared" si="180"/>
        <v/>
      </c>
      <c r="AH460" s="90" t="str">
        <f t="shared" si="180"/>
        <v/>
      </c>
      <c r="AI460" s="90" t="str">
        <f t="shared" si="180"/>
        <v/>
      </c>
      <c r="AJ460" s="90" t="str">
        <f t="shared" si="179"/>
        <v/>
      </c>
      <c r="AK460" s="93" t="str">
        <f t="shared" si="179"/>
        <v/>
      </c>
      <c r="BQ460" s="100" t="str">
        <f>IF(A460&lt;&gt;"",(VLOOKUP(A460,MarketData!$D:$BP,MATCH($BQ$1,MarketData!$D$1:$EG$1,0),TRUE)/100/365+1)^(B460)*BQ459,"")</f>
        <v/>
      </c>
      <c r="BR460" s="98" t="str">
        <f t="shared" si="182"/>
        <v/>
      </c>
      <c r="BS460" s="106" t="str">
        <f>IF(A460&lt;&gt;"",VLOOKUP(A460,MarketData!$D:$BP,MATCH($BS$1,MarketData!$D$1:$EG$1,0),TRUE),"")</f>
        <v/>
      </c>
      <c r="BT460" s="98" t="str">
        <f t="shared" si="193"/>
        <v/>
      </c>
    </row>
    <row r="461" spans="2:72" x14ac:dyDescent="0.25">
      <c r="B461" s="60" t="str">
        <f t="shared" si="181"/>
        <v/>
      </c>
      <c r="C461" s="3" t="str">
        <f t="shared" si="183"/>
        <v/>
      </c>
      <c r="D461" s="3" t="str">
        <f t="shared" si="184"/>
        <v/>
      </c>
      <c r="E461" s="3" t="str">
        <f t="shared" si="185"/>
        <v/>
      </c>
      <c r="F461" s="3" t="str">
        <f t="shared" si="186"/>
        <v/>
      </c>
      <c r="G461" s="74" t="str">
        <f t="shared" si="187"/>
        <v/>
      </c>
      <c r="H461" s="78" t="str">
        <f>IFERROR(C461/SUM(M$2:M460),"")</f>
        <v/>
      </c>
      <c r="I461" s="61" t="str">
        <f>IFERROR(D461/SUM(N$2:N461),"")</f>
        <v/>
      </c>
      <c r="J461" s="61" t="str">
        <f>IFERROR(E461/SUM(O$2:O461),"")</f>
        <v/>
      </c>
      <c r="K461" s="61" t="str">
        <f>IFERROR(F461/SUM(P$2:P461),"")</f>
        <v/>
      </c>
      <c r="L461" s="79" t="str">
        <f>IFERROR(G461/SUM(Q$2:Q461),"")</f>
        <v/>
      </c>
      <c r="M461" s="64" t="str">
        <f t="shared" si="188"/>
        <v/>
      </c>
      <c r="N461" s="55" t="str">
        <f t="shared" si="189"/>
        <v/>
      </c>
      <c r="O461" s="55" t="str">
        <f t="shared" si="190"/>
        <v/>
      </c>
      <c r="P461" s="55" t="str">
        <f t="shared" si="191"/>
        <v/>
      </c>
      <c r="Q461" s="65" t="str">
        <f t="shared" si="192"/>
        <v/>
      </c>
      <c r="R461" s="67" t="str">
        <f t="shared" si="194"/>
        <v/>
      </c>
      <c r="S461" s="56" t="str">
        <f t="shared" si="195"/>
        <v/>
      </c>
      <c r="T461" s="56" t="str">
        <f t="shared" si="196"/>
        <v/>
      </c>
      <c r="U461" s="56" t="str">
        <f t="shared" si="197"/>
        <v/>
      </c>
      <c r="V461" s="68" t="str">
        <f t="shared" si="198"/>
        <v/>
      </c>
      <c r="W461" s="80" t="str">
        <f t="shared" si="199"/>
        <v/>
      </c>
      <c r="X461" s="81" t="str">
        <f t="shared" si="200"/>
        <v/>
      </c>
      <c r="Y461" s="81" t="str">
        <f t="shared" si="201"/>
        <v/>
      </c>
      <c r="Z461" s="81" t="str">
        <f t="shared" si="202"/>
        <v/>
      </c>
      <c r="AA461" s="82" t="str">
        <f t="shared" si="203"/>
        <v/>
      </c>
      <c r="AB461" s="83" t="str">
        <f>IF(R461&lt;&gt;"",(W461-SUMPRODUCT(R$3:R461,$B$3:$B461)/SUM($B$3:$B461))/STDEVA(W451:W461),"")</f>
        <v/>
      </c>
      <c r="AC461" s="84" t="str">
        <f>IF(S461&lt;&gt;"",(X461-SUMPRODUCT(S$3:S461,$B$3:$B461)/SUM($B$3:$B461))/STDEVA(X451:X461),"")</f>
        <v/>
      </c>
      <c r="AD461" s="84" t="str">
        <f>IF(T461&lt;&gt;"",(Y461-SUMPRODUCT(T$3:T461,$B$3:$B461)/SUM($B$3:$B461))/STDEVA(Y451:Y461),"")</f>
        <v/>
      </c>
      <c r="AE461" s="84" t="str">
        <f>IF(U461&lt;&gt;"",(Z461-SUMPRODUCT(U$3:U461,$B$3:$B461)/SUM($B$3:$B461))/STDEVA(Z451:Z461),"")</f>
        <v/>
      </c>
      <c r="AF461" s="85" t="str">
        <f>IF(V461&lt;&gt;"",(AA461-SUMPRODUCT(V$3:V461,$B$3:$B461)/SUM($B$3:$B461))/STDEVA(AA451:AA461),"")</f>
        <v/>
      </c>
      <c r="AG461" s="90" t="str">
        <f t="shared" si="180"/>
        <v/>
      </c>
      <c r="AH461" s="90" t="str">
        <f t="shared" si="180"/>
        <v/>
      </c>
      <c r="AI461" s="90" t="str">
        <f t="shared" si="180"/>
        <v/>
      </c>
      <c r="AJ461" s="90" t="str">
        <f t="shared" si="180"/>
        <v/>
      </c>
      <c r="AK461" s="93" t="str">
        <f t="shared" si="180"/>
        <v/>
      </c>
      <c r="BQ461" s="100" t="str">
        <f>IF(A461&lt;&gt;"",(VLOOKUP(A461,MarketData!$D:$BP,MATCH($BQ$1,MarketData!$D$1:$EG$1,0),TRUE)/100/365+1)^(B461)*BQ460,"")</f>
        <v/>
      </c>
      <c r="BR461" s="98" t="str">
        <f t="shared" si="182"/>
        <v/>
      </c>
      <c r="BS461" s="106" t="str">
        <f>IF(A461&lt;&gt;"",VLOOKUP(A461,MarketData!$D:$BP,MATCH($BS$1,MarketData!$D$1:$EG$1,0),TRUE),"")</f>
        <v/>
      </c>
      <c r="BT461" s="98" t="str">
        <f t="shared" si="193"/>
        <v/>
      </c>
    </row>
    <row r="462" spans="2:72" x14ac:dyDescent="0.25">
      <c r="B462" s="60" t="str">
        <f t="shared" si="181"/>
        <v/>
      </c>
      <c r="C462" s="3" t="str">
        <f t="shared" si="183"/>
        <v/>
      </c>
      <c r="D462" s="3" t="str">
        <f t="shared" si="184"/>
        <v/>
      </c>
      <c r="E462" s="3" t="str">
        <f t="shared" si="185"/>
        <v/>
      </c>
      <c r="F462" s="3" t="str">
        <f t="shared" si="186"/>
        <v/>
      </c>
      <c r="G462" s="74" t="str">
        <f t="shared" si="187"/>
        <v/>
      </c>
      <c r="H462" s="78" t="str">
        <f>IFERROR(C462/SUM(M$2:M461),"")</f>
        <v/>
      </c>
      <c r="I462" s="61" t="str">
        <f>IFERROR(D462/SUM(N$2:N462),"")</f>
        <v/>
      </c>
      <c r="J462" s="61" t="str">
        <f>IFERROR(E462/SUM(O$2:O462),"")</f>
        <v/>
      </c>
      <c r="K462" s="61" t="str">
        <f>IFERROR(F462/SUM(P$2:P462),"")</f>
        <v/>
      </c>
      <c r="L462" s="79" t="str">
        <f>IFERROR(G462/SUM(Q$2:Q462),"")</f>
        <v/>
      </c>
      <c r="M462" s="64" t="str">
        <f t="shared" si="188"/>
        <v/>
      </c>
      <c r="N462" s="55" t="str">
        <f t="shared" si="189"/>
        <v/>
      </c>
      <c r="O462" s="55" t="str">
        <f t="shared" si="190"/>
        <v/>
      </c>
      <c r="P462" s="55" t="str">
        <f t="shared" si="191"/>
        <v/>
      </c>
      <c r="Q462" s="65" t="str">
        <f t="shared" si="192"/>
        <v/>
      </c>
      <c r="R462" s="67" t="str">
        <f t="shared" si="194"/>
        <v/>
      </c>
      <c r="S462" s="56" t="str">
        <f t="shared" si="195"/>
        <v/>
      </c>
      <c r="T462" s="56" t="str">
        <f t="shared" si="196"/>
        <v/>
      </c>
      <c r="U462" s="56" t="str">
        <f t="shared" si="197"/>
        <v/>
      </c>
      <c r="V462" s="68" t="str">
        <f t="shared" si="198"/>
        <v/>
      </c>
      <c r="W462" s="80" t="str">
        <f t="shared" si="199"/>
        <v/>
      </c>
      <c r="X462" s="81" t="str">
        <f t="shared" si="200"/>
        <v/>
      </c>
      <c r="Y462" s="81" t="str">
        <f t="shared" si="201"/>
        <v/>
      </c>
      <c r="Z462" s="81" t="str">
        <f t="shared" si="202"/>
        <v/>
      </c>
      <c r="AA462" s="82" t="str">
        <f t="shared" si="203"/>
        <v/>
      </c>
      <c r="AB462" s="83" t="str">
        <f>IF(R462&lt;&gt;"",(W462-SUMPRODUCT(R$3:R462,$B$3:$B462)/SUM($B$3:$B462))/STDEVA(W452:W462),"")</f>
        <v/>
      </c>
      <c r="AC462" s="84" t="str">
        <f>IF(S462&lt;&gt;"",(X462-SUMPRODUCT(S$3:S462,$B$3:$B462)/SUM($B$3:$B462))/STDEVA(X452:X462),"")</f>
        <v/>
      </c>
      <c r="AD462" s="84" t="str">
        <f>IF(T462&lt;&gt;"",(Y462-SUMPRODUCT(T$3:T462,$B$3:$B462)/SUM($B$3:$B462))/STDEVA(Y452:Y462),"")</f>
        <v/>
      </c>
      <c r="AE462" s="84" t="str">
        <f>IF(U462&lt;&gt;"",(Z462-SUMPRODUCT(U$3:U462,$B$3:$B462)/SUM($B$3:$B462))/STDEVA(Z452:Z462),"")</f>
        <v/>
      </c>
      <c r="AF462" s="85" t="str">
        <f>IF(V462&lt;&gt;"",(AA462-SUMPRODUCT(V$3:V462,$B$3:$B462)/SUM($B$3:$B462))/STDEVA(AA452:AA462),"")</f>
        <v/>
      </c>
      <c r="AG462" s="90" t="str">
        <f t="shared" ref="AG462:AJ525" si="204">IF(AB462&lt;&gt;"",SUMPRODUCT(AB457:AB462,$B457:$B462)/SUM($B457:$B462),"")</f>
        <v/>
      </c>
      <c r="AH462" s="90" t="str">
        <f t="shared" si="204"/>
        <v/>
      </c>
      <c r="AI462" s="90" t="str">
        <f t="shared" si="204"/>
        <v/>
      </c>
      <c r="AJ462" s="90" t="str">
        <f t="shared" si="204"/>
        <v/>
      </c>
      <c r="AK462" s="93" t="str">
        <f t="shared" ref="AK462:AK525" si="205">IF(AF462&lt;&gt;"",SUMPRODUCT(AF457:AF462,$B457:$B462)/SUM($B457:$B462),"")</f>
        <v/>
      </c>
      <c r="BQ462" s="100" t="str">
        <f>IF(A462&lt;&gt;"",(VLOOKUP(A462,MarketData!$D:$BP,MATCH($BQ$1,MarketData!$D$1:$EG$1,0),TRUE)/100/365+1)^(B462)*BQ461,"")</f>
        <v/>
      </c>
      <c r="BR462" s="98" t="str">
        <f t="shared" si="182"/>
        <v/>
      </c>
      <c r="BS462" s="106" t="str">
        <f>IF(A462&lt;&gt;"",VLOOKUP(A462,MarketData!$D:$BP,MATCH($BS$1,MarketData!$D$1:$EG$1,0),TRUE),"")</f>
        <v/>
      </c>
      <c r="BT462" s="98" t="str">
        <f t="shared" si="193"/>
        <v/>
      </c>
    </row>
    <row r="463" spans="2:72" x14ac:dyDescent="0.25">
      <c r="B463" s="60" t="str">
        <f t="shared" si="181"/>
        <v/>
      </c>
      <c r="C463" s="3" t="str">
        <f t="shared" si="183"/>
        <v/>
      </c>
      <c r="D463" s="3" t="str">
        <f t="shared" si="184"/>
        <v/>
      </c>
      <c r="E463" s="3" t="str">
        <f t="shared" si="185"/>
        <v/>
      </c>
      <c r="F463" s="3" t="str">
        <f t="shared" si="186"/>
        <v/>
      </c>
      <c r="G463" s="74" t="str">
        <f t="shared" si="187"/>
        <v/>
      </c>
      <c r="H463" s="78" t="str">
        <f>IFERROR(C463/SUM(M$2:M462),"")</f>
        <v/>
      </c>
      <c r="I463" s="61" t="str">
        <f>IFERROR(D463/SUM(N$2:N463),"")</f>
        <v/>
      </c>
      <c r="J463" s="61" t="str">
        <f>IFERROR(E463/SUM(O$2:O463),"")</f>
        <v/>
      </c>
      <c r="K463" s="61" t="str">
        <f>IFERROR(F463/SUM(P$2:P463),"")</f>
        <v/>
      </c>
      <c r="L463" s="79" t="str">
        <f>IFERROR(G463/SUM(Q$2:Q463),"")</f>
        <v/>
      </c>
      <c r="M463" s="64" t="str">
        <f t="shared" si="188"/>
        <v/>
      </c>
      <c r="N463" s="55" t="str">
        <f t="shared" si="189"/>
        <v/>
      </c>
      <c r="O463" s="55" t="str">
        <f t="shared" si="190"/>
        <v/>
      </c>
      <c r="P463" s="55" t="str">
        <f t="shared" si="191"/>
        <v/>
      </c>
      <c r="Q463" s="65" t="str">
        <f t="shared" si="192"/>
        <v/>
      </c>
      <c r="R463" s="67" t="str">
        <f t="shared" si="194"/>
        <v/>
      </c>
      <c r="S463" s="56" t="str">
        <f t="shared" si="195"/>
        <v/>
      </c>
      <c r="T463" s="56" t="str">
        <f t="shared" si="196"/>
        <v/>
      </c>
      <c r="U463" s="56" t="str">
        <f t="shared" si="197"/>
        <v/>
      </c>
      <c r="V463" s="68" t="str">
        <f t="shared" si="198"/>
        <v/>
      </c>
      <c r="W463" s="80" t="str">
        <f t="shared" si="199"/>
        <v/>
      </c>
      <c r="X463" s="81" t="str">
        <f t="shared" si="200"/>
        <v/>
      </c>
      <c r="Y463" s="81" t="str">
        <f t="shared" si="201"/>
        <v/>
      </c>
      <c r="Z463" s="81" t="str">
        <f t="shared" si="202"/>
        <v/>
      </c>
      <c r="AA463" s="82" t="str">
        <f t="shared" si="203"/>
        <v/>
      </c>
      <c r="AB463" s="83" t="str">
        <f>IF(R463&lt;&gt;"",(W463-SUMPRODUCT(R$3:R463,$B$3:$B463)/SUM($B$3:$B463))/STDEVA(W453:W463),"")</f>
        <v/>
      </c>
      <c r="AC463" s="84" t="str">
        <f>IF(S463&lt;&gt;"",(X463-SUMPRODUCT(S$3:S463,$B$3:$B463)/SUM($B$3:$B463))/STDEVA(X453:X463),"")</f>
        <v/>
      </c>
      <c r="AD463" s="84" t="str">
        <f>IF(T463&lt;&gt;"",(Y463-SUMPRODUCT(T$3:T463,$B$3:$B463)/SUM($B$3:$B463))/STDEVA(Y453:Y463),"")</f>
        <v/>
      </c>
      <c r="AE463" s="84" t="str">
        <f>IF(U463&lt;&gt;"",(Z463-SUMPRODUCT(U$3:U463,$B$3:$B463)/SUM($B$3:$B463))/STDEVA(Z453:Z463),"")</f>
        <v/>
      </c>
      <c r="AF463" s="85" t="str">
        <f>IF(V463&lt;&gt;"",(AA463-SUMPRODUCT(V$3:V463,$B$3:$B463)/SUM($B$3:$B463))/STDEVA(AA453:AA463),"")</f>
        <v/>
      </c>
      <c r="AG463" s="90" t="str">
        <f t="shared" si="204"/>
        <v/>
      </c>
      <c r="AH463" s="90" t="str">
        <f t="shared" si="204"/>
        <v/>
      </c>
      <c r="AI463" s="90" t="str">
        <f t="shared" si="204"/>
        <v/>
      </c>
      <c r="AJ463" s="90" t="str">
        <f t="shared" si="204"/>
        <v/>
      </c>
      <c r="AK463" s="93" t="str">
        <f t="shared" si="205"/>
        <v/>
      </c>
      <c r="BQ463" s="100" t="str">
        <f>IF(A463&lt;&gt;"",(VLOOKUP(A463,MarketData!$D:$BP,MATCH($BQ$1,MarketData!$D$1:$EG$1,0),TRUE)/100/365+1)^(B463)*BQ462,"")</f>
        <v/>
      </c>
      <c r="BR463" s="98" t="str">
        <f t="shared" si="182"/>
        <v/>
      </c>
      <c r="BS463" s="106" t="str">
        <f>IF(A463&lt;&gt;"",VLOOKUP(A463,MarketData!$D:$BP,MATCH($BS$1,MarketData!$D$1:$EG$1,0),TRUE),"")</f>
        <v/>
      </c>
      <c r="BT463" s="98" t="str">
        <f t="shared" si="193"/>
        <v/>
      </c>
    </row>
    <row r="464" spans="2:72" x14ac:dyDescent="0.25">
      <c r="B464" s="60" t="str">
        <f t="shared" si="181"/>
        <v/>
      </c>
      <c r="C464" s="3" t="str">
        <f t="shared" si="183"/>
        <v/>
      </c>
      <c r="D464" s="3" t="str">
        <f t="shared" si="184"/>
        <v/>
      </c>
      <c r="E464" s="3" t="str">
        <f t="shared" si="185"/>
        <v/>
      </c>
      <c r="F464" s="3" t="str">
        <f t="shared" si="186"/>
        <v/>
      </c>
      <c r="G464" s="74" t="str">
        <f t="shared" si="187"/>
        <v/>
      </c>
      <c r="H464" s="78" t="str">
        <f>IFERROR(C464/SUM(M$2:M463),"")</f>
        <v/>
      </c>
      <c r="I464" s="61" t="str">
        <f>IFERROR(D464/SUM(N$2:N464),"")</f>
        <v/>
      </c>
      <c r="J464" s="61" t="str">
        <f>IFERROR(E464/SUM(O$2:O464),"")</f>
        <v/>
      </c>
      <c r="K464" s="61" t="str">
        <f>IFERROR(F464/SUM(P$2:P464),"")</f>
        <v/>
      </c>
      <c r="L464" s="79" t="str">
        <f>IFERROR(G464/SUM(Q$2:Q464),"")</f>
        <v/>
      </c>
      <c r="M464" s="64" t="str">
        <f t="shared" si="188"/>
        <v/>
      </c>
      <c r="N464" s="55" t="str">
        <f t="shared" si="189"/>
        <v/>
      </c>
      <c r="O464" s="55" t="str">
        <f t="shared" si="190"/>
        <v/>
      </c>
      <c r="P464" s="55" t="str">
        <f t="shared" si="191"/>
        <v/>
      </c>
      <c r="Q464" s="65" t="str">
        <f t="shared" si="192"/>
        <v/>
      </c>
      <c r="R464" s="67" t="str">
        <f t="shared" si="194"/>
        <v/>
      </c>
      <c r="S464" s="56" t="str">
        <f t="shared" si="195"/>
        <v/>
      </c>
      <c r="T464" s="56" t="str">
        <f t="shared" si="196"/>
        <v/>
      </c>
      <c r="U464" s="56" t="str">
        <f t="shared" si="197"/>
        <v/>
      </c>
      <c r="V464" s="68" t="str">
        <f t="shared" si="198"/>
        <v/>
      </c>
      <c r="W464" s="80" t="str">
        <f t="shared" si="199"/>
        <v/>
      </c>
      <c r="X464" s="81" t="str">
        <f t="shared" si="200"/>
        <v/>
      </c>
      <c r="Y464" s="81" t="str">
        <f t="shared" si="201"/>
        <v/>
      </c>
      <c r="Z464" s="81" t="str">
        <f t="shared" si="202"/>
        <v/>
      </c>
      <c r="AA464" s="82" t="str">
        <f t="shared" si="203"/>
        <v/>
      </c>
      <c r="AB464" s="83" t="str">
        <f>IF(R464&lt;&gt;"",(W464-SUMPRODUCT(R$3:R464,$B$3:$B464)/SUM($B$3:$B464))/STDEVA(W454:W464),"")</f>
        <v/>
      </c>
      <c r="AC464" s="84" t="str">
        <f>IF(S464&lt;&gt;"",(X464-SUMPRODUCT(S$3:S464,$B$3:$B464)/SUM($B$3:$B464))/STDEVA(X454:X464),"")</f>
        <v/>
      </c>
      <c r="AD464" s="84" t="str">
        <f>IF(T464&lt;&gt;"",(Y464-SUMPRODUCT(T$3:T464,$B$3:$B464)/SUM($B$3:$B464))/STDEVA(Y454:Y464),"")</f>
        <v/>
      </c>
      <c r="AE464" s="84" t="str">
        <f>IF(U464&lt;&gt;"",(Z464-SUMPRODUCT(U$3:U464,$B$3:$B464)/SUM($B$3:$B464))/STDEVA(Z454:Z464),"")</f>
        <v/>
      </c>
      <c r="AF464" s="85" t="str">
        <f>IF(V464&lt;&gt;"",(AA464-SUMPRODUCT(V$3:V464,$B$3:$B464)/SUM($B$3:$B464))/STDEVA(AA454:AA464),"")</f>
        <v/>
      </c>
      <c r="AG464" s="90" t="str">
        <f t="shared" si="204"/>
        <v/>
      </c>
      <c r="AH464" s="90" t="str">
        <f t="shared" si="204"/>
        <v/>
      </c>
      <c r="AI464" s="90" t="str">
        <f t="shared" si="204"/>
        <v/>
      </c>
      <c r="AJ464" s="90" t="str">
        <f t="shared" si="204"/>
        <v/>
      </c>
      <c r="AK464" s="93" t="str">
        <f t="shared" si="205"/>
        <v/>
      </c>
      <c r="BQ464" s="100" t="str">
        <f>IF(A464&lt;&gt;"",(VLOOKUP(A464,MarketData!$D:$BP,MATCH($BQ$1,MarketData!$D$1:$EG$1,0),TRUE)/100/365+1)^(B464)*BQ463,"")</f>
        <v/>
      </c>
      <c r="BR464" s="98" t="str">
        <f t="shared" si="182"/>
        <v/>
      </c>
      <c r="BS464" s="106" t="str">
        <f>IF(A464&lt;&gt;"",VLOOKUP(A464,MarketData!$D:$BP,MATCH($BS$1,MarketData!$D$1:$EG$1,0),TRUE),"")</f>
        <v/>
      </c>
      <c r="BT464" s="98" t="str">
        <f t="shared" si="193"/>
        <v/>
      </c>
    </row>
    <row r="465" spans="2:72" x14ac:dyDescent="0.25">
      <c r="B465" s="60" t="str">
        <f t="shared" si="181"/>
        <v/>
      </c>
      <c r="C465" s="3" t="str">
        <f t="shared" si="183"/>
        <v/>
      </c>
      <c r="D465" s="3" t="str">
        <f t="shared" si="184"/>
        <v/>
      </c>
      <c r="E465" s="3" t="str">
        <f t="shared" si="185"/>
        <v/>
      </c>
      <c r="F465" s="3" t="str">
        <f t="shared" si="186"/>
        <v/>
      </c>
      <c r="G465" s="74" t="str">
        <f t="shared" si="187"/>
        <v/>
      </c>
      <c r="H465" s="78" t="str">
        <f>IFERROR(C465/SUM(M$2:M464),"")</f>
        <v/>
      </c>
      <c r="I465" s="61" t="str">
        <f>IFERROR(D465/SUM(N$2:N465),"")</f>
        <v/>
      </c>
      <c r="J465" s="61" t="str">
        <f>IFERROR(E465/SUM(O$2:O465),"")</f>
        <v/>
      </c>
      <c r="K465" s="61" t="str">
        <f>IFERROR(F465/SUM(P$2:P465),"")</f>
        <v/>
      </c>
      <c r="L465" s="79" t="str">
        <f>IFERROR(G465/SUM(Q$2:Q465),"")</f>
        <v/>
      </c>
      <c r="M465" s="64" t="str">
        <f t="shared" si="188"/>
        <v/>
      </c>
      <c r="N465" s="55" t="str">
        <f t="shared" si="189"/>
        <v/>
      </c>
      <c r="O465" s="55" t="str">
        <f t="shared" si="190"/>
        <v/>
      </c>
      <c r="P465" s="55" t="str">
        <f t="shared" si="191"/>
        <v/>
      </c>
      <c r="Q465" s="65" t="str">
        <f t="shared" si="192"/>
        <v/>
      </c>
      <c r="R465" s="67" t="str">
        <f t="shared" si="194"/>
        <v/>
      </c>
      <c r="S465" s="56" t="str">
        <f t="shared" si="195"/>
        <v/>
      </c>
      <c r="T465" s="56" t="str">
        <f t="shared" si="196"/>
        <v/>
      </c>
      <c r="U465" s="56" t="str">
        <f t="shared" si="197"/>
        <v/>
      </c>
      <c r="V465" s="68" t="str">
        <f t="shared" si="198"/>
        <v/>
      </c>
      <c r="W465" s="80" t="str">
        <f t="shared" si="199"/>
        <v/>
      </c>
      <c r="X465" s="81" t="str">
        <f t="shared" si="200"/>
        <v/>
      </c>
      <c r="Y465" s="81" t="str">
        <f t="shared" si="201"/>
        <v/>
      </c>
      <c r="Z465" s="81" t="str">
        <f t="shared" si="202"/>
        <v/>
      </c>
      <c r="AA465" s="82" t="str">
        <f t="shared" si="203"/>
        <v/>
      </c>
      <c r="AB465" s="83" t="str">
        <f>IF(R465&lt;&gt;"",(W465-SUMPRODUCT(R$3:R465,$B$3:$B465)/SUM($B$3:$B465))/STDEVA(W455:W465),"")</f>
        <v/>
      </c>
      <c r="AC465" s="84" t="str">
        <f>IF(S465&lt;&gt;"",(X465-SUMPRODUCT(S$3:S465,$B$3:$B465)/SUM($B$3:$B465))/STDEVA(X455:X465),"")</f>
        <v/>
      </c>
      <c r="AD465" s="84" t="str">
        <f>IF(T465&lt;&gt;"",(Y465-SUMPRODUCT(T$3:T465,$B$3:$B465)/SUM($B$3:$B465))/STDEVA(Y455:Y465),"")</f>
        <v/>
      </c>
      <c r="AE465" s="84" t="str">
        <f>IF(U465&lt;&gt;"",(Z465-SUMPRODUCT(U$3:U465,$B$3:$B465)/SUM($B$3:$B465))/STDEVA(Z455:Z465),"")</f>
        <v/>
      </c>
      <c r="AF465" s="85" t="str">
        <f>IF(V465&lt;&gt;"",(AA465-SUMPRODUCT(V$3:V465,$B$3:$B465)/SUM($B$3:$B465))/STDEVA(AA455:AA465),"")</f>
        <v/>
      </c>
      <c r="AG465" s="90" t="str">
        <f t="shared" si="204"/>
        <v/>
      </c>
      <c r="AH465" s="90" t="str">
        <f t="shared" si="204"/>
        <v/>
      </c>
      <c r="AI465" s="90" t="str">
        <f t="shared" si="204"/>
        <v/>
      </c>
      <c r="AJ465" s="90" t="str">
        <f t="shared" si="204"/>
        <v/>
      </c>
      <c r="AK465" s="93" t="str">
        <f t="shared" si="205"/>
        <v/>
      </c>
      <c r="BQ465" s="100" t="str">
        <f>IF(A465&lt;&gt;"",(VLOOKUP(A465,MarketData!$D:$BP,MATCH($BQ$1,MarketData!$D$1:$EG$1,0),TRUE)/100/365+1)^(B465)*BQ464,"")</f>
        <v/>
      </c>
      <c r="BR465" s="98" t="str">
        <f t="shared" si="182"/>
        <v/>
      </c>
      <c r="BS465" s="106" t="str">
        <f>IF(A465&lt;&gt;"",VLOOKUP(A465,MarketData!$D:$BP,MATCH($BS$1,MarketData!$D$1:$EG$1,0),TRUE),"")</f>
        <v/>
      </c>
      <c r="BT465" s="98" t="str">
        <f t="shared" si="193"/>
        <v/>
      </c>
    </row>
    <row r="466" spans="2:72" x14ac:dyDescent="0.25">
      <c r="B466" s="60" t="str">
        <f t="shared" si="181"/>
        <v/>
      </c>
      <c r="C466" s="3" t="str">
        <f t="shared" si="183"/>
        <v/>
      </c>
      <c r="D466" s="3" t="str">
        <f t="shared" si="184"/>
        <v/>
      </c>
      <c r="E466" s="3" t="str">
        <f t="shared" si="185"/>
        <v/>
      </c>
      <c r="F466" s="3" t="str">
        <f t="shared" si="186"/>
        <v/>
      </c>
      <c r="G466" s="74" t="str">
        <f t="shared" si="187"/>
        <v/>
      </c>
      <c r="H466" s="78" t="str">
        <f>IFERROR(C466/SUM(M$2:M465),"")</f>
        <v/>
      </c>
      <c r="I466" s="61" t="str">
        <f>IFERROR(D466/SUM(N$2:N466),"")</f>
        <v/>
      </c>
      <c r="J466" s="61" t="str">
        <f>IFERROR(E466/SUM(O$2:O466),"")</f>
        <v/>
      </c>
      <c r="K466" s="61" t="str">
        <f>IFERROR(F466/SUM(P$2:P466),"")</f>
        <v/>
      </c>
      <c r="L466" s="79" t="str">
        <f>IFERROR(G466/SUM(Q$2:Q466),"")</f>
        <v/>
      </c>
      <c r="M466" s="64" t="str">
        <f t="shared" si="188"/>
        <v/>
      </c>
      <c r="N466" s="55" t="str">
        <f t="shared" si="189"/>
        <v/>
      </c>
      <c r="O466" s="55" t="str">
        <f t="shared" si="190"/>
        <v/>
      </c>
      <c r="P466" s="55" t="str">
        <f t="shared" si="191"/>
        <v/>
      </c>
      <c r="Q466" s="65" t="str">
        <f t="shared" si="192"/>
        <v/>
      </c>
      <c r="R466" s="67" t="str">
        <f t="shared" si="194"/>
        <v/>
      </c>
      <c r="S466" s="56" t="str">
        <f t="shared" si="195"/>
        <v/>
      </c>
      <c r="T466" s="56" t="str">
        <f t="shared" si="196"/>
        <v/>
      </c>
      <c r="U466" s="56" t="str">
        <f t="shared" si="197"/>
        <v/>
      </c>
      <c r="V466" s="68" t="str">
        <f t="shared" si="198"/>
        <v/>
      </c>
      <c r="W466" s="80" t="str">
        <f t="shared" si="199"/>
        <v/>
      </c>
      <c r="X466" s="81" t="str">
        <f t="shared" si="200"/>
        <v/>
      </c>
      <c r="Y466" s="81" t="str">
        <f t="shared" si="201"/>
        <v/>
      </c>
      <c r="Z466" s="81" t="str">
        <f t="shared" si="202"/>
        <v/>
      </c>
      <c r="AA466" s="82" t="str">
        <f t="shared" si="203"/>
        <v/>
      </c>
      <c r="AB466" s="83" t="str">
        <f>IF(R466&lt;&gt;"",(W466-SUMPRODUCT(R$3:R466,$B$3:$B466)/SUM($B$3:$B466))/STDEVA(W456:W466),"")</f>
        <v/>
      </c>
      <c r="AC466" s="84" t="str">
        <f>IF(S466&lt;&gt;"",(X466-SUMPRODUCT(S$3:S466,$B$3:$B466)/SUM($B$3:$B466))/STDEVA(X456:X466),"")</f>
        <v/>
      </c>
      <c r="AD466" s="84" t="str">
        <f>IF(T466&lt;&gt;"",(Y466-SUMPRODUCT(T$3:T466,$B$3:$B466)/SUM($B$3:$B466))/STDEVA(Y456:Y466),"")</f>
        <v/>
      </c>
      <c r="AE466" s="84" t="str">
        <f>IF(U466&lt;&gt;"",(Z466-SUMPRODUCT(U$3:U466,$B$3:$B466)/SUM($B$3:$B466))/STDEVA(Z456:Z466),"")</f>
        <v/>
      </c>
      <c r="AF466" s="85" t="str">
        <f>IF(V466&lt;&gt;"",(AA466-SUMPRODUCT(V$3:V466,$B$3:$B466)/SUM($B$3:$B466))/STDEVA(AA456:AA466),"")</f>
        <v/>
      </c>
      <c r="AG466" s="90" t="str">
        <f t="shared" si="204"/>
        <v/>
      </c>
      <c r="AH466" s="90" t="str">
        <f t="shared" si="204"/>
        <v/>
      </c>
      <c r="AI466" s="90" t="str">
        <f t="shared" si="204"/>
        <v/>
      </c>
      <c r="AJ466" s="90" t="str">
        <f t="shared" si="204"/>
        <v/>
      </c>
      <c r="AK466" s="93" t="str">
        <f t="shared" si="205"/>
        <v/>
      </c>
      <c r="BQ466" s="100" t="str">
        <f>IF(A466&lt;&gt;"",(VLOOKUP(A466,MarketData!$D:$BP,MATCH($BQ$1,MarketData!$D$1:$EG$1,0),TRUE)/100/365+1)^(B466)*BQ465,"")</f>
        <v/>
      </c>
      <c r="BR466" s="98" t="str">
        <f t="shared" si="182"/>
        <v/>
      </c>
      <c r="BS466" s="106" t="str">
        <f>IF(A466&lt;&gt;"",VLOOKUP(A466,MarketData!$D:$BP,MATCH($BS$1,MarketData!$D$1:$EG$1,0),TRUE),"")</f>
        <v/>
      </c>
      <c r="BT466" s="98" t="str">
        <f t="shared" si="193"/>
        <v/>
      </c>
    </row>
    <row r="467" spans="2:72" x14ac:dyDescent="0.25">
      <c r="B467" s="60" t="str">
        <f t="shared" si="181"/>
        <v/>
      </c>
      <c r="C467" s="3" t="str">
        <f t="shared" si="183"/>
        <v/>
      </c>
      <c r="D467" s="3" t="str">
        <f t="shared" si="184"/>
        <v/>
      </c>
      <c r="E467" s="3" t="str">
        <f t="shared" si="185"/>
        <v/>
      </c>
      <c r="F467" s="3" t="str">
        <f t="shared" si="186"/>
        <v/>
      </c>
      <c r="G467" s="74" t="str">
        <f t="shared" si="187"/>
        <v/>
      </c>
      <c r="H467" s="78" t="str">
        <f>IFERROR(C467/SUM(M$2:M466),"")</f>
        <v/>
      </c>
      <c r="I467" s="61" t="str">
        <f>IFERROR(D467/SUM(N$2:N467),"")</f>
        <v/>
      </c>
      <c r="J467" s="61" t="str">
        <f>IFERROR(E467/SUM(O$2:O467),"")</f>
        <v/>
      </c>
      <c r="K467" s="61" t="str">
        <f>IFERROR(F467/SUM(P$2:P467),"")</f>
        <v/>
      </c>
      <c r="L467" s="79" t="str">
        <f>IFERROR(G467/SUM(Q$2:Q467),"")</f>
        <v/>
      </c>
      <c r="M467" s="64" t="str">
        <f t="shared" si="188"/>
        <v/>
      </c>
      <c r="N467" s="55" t="str">
        <f t="shared" si="189"/>
        <v/>
      </c>
      <c r="O467" s="55" t="str">
        <f t="shared" si="190"/>
        <v/>
      </c>
      <c r="P467" s="55" t="str">
        <f t="shared" si="191"/>
        <v/>
      </c>
      <c r="Q467" s="65" t="str">
        <f t="shared" si="192"/>
        <v/>
      </c>
      <c r="R467" s="67" t="str">
        <f t="shared" si="194"/>
        <v/>
      </c>
      <c r="S467" s="56" t="str">
        <f t="shared" si="195"/>
        <v/>
      </c>
      <c r="T467" s="56" t="str">
        <f t="shared" si="196"/>
        <v/>
      </c>
      <c r="U467" s="56" t="str">
        <f t="shared" si="197"/>
        <v/>
      </c>
      <c r="V467" s="68" t="str">
        <f t="shared" si="198"/>
        <v/>
      </c>
      <c r="W467" s="80" t="str">
        <f t="shared" si="199"/>
        <v/>
      </c>
      <c r="X467" s="81" t="str">
        <f t="shared" si="200"/>
        <v/>
      </c>
      <c r="Y467" s="81" t="str">
        <f t="shared" si="201"/>
        <v/>
      </c>
      <c r="Z467" s="81" t="str">
        <f t="shared" si="202"/>
        <v/>
      </c>
      <c r="AA467" s="82" t="str">
        <f t="shared" si="203"/>
        <v/>
      </c>
      <c r="AB467" s="83" t="str">
        <f>IF(R467&lt;&gt;"",(W467-SUMPRODUCT(R$3:R467,$B$3:$B467)/SUM($B$3:$B467))/STDEVA(W457:W467),"")</f>
        <v/>
      </c>
      <c r="AC467" s="84" t="str">
        <f>IF(S467&lt;&gt;"",(X467-SUMPRODUCT(S$3:S467,$B$3:$B467)/SUM($B$3:$B467))/STDEVA(X457:X467),"")</f>
        <v/>
      </c>
      <c r="AD467" s="84" t="str">
        <f>IF(T467&lt;&gt;"",(Y467-SUMPRODUCT(T$3:T467,$B$3:$B467)/SUM($B$3:$B467))/STDEVA(Y457:Y467),"")</f>
        <v/>
      </c>
      <c r="AE467" s="84" t="str">
        <f>IF(U467&lt;&gt;"",(Z467-SUMPRODUCT(U$3:U467,$B$3:$B467)/SUM($B$3:$B467))/STDEVA(Z457:Z467),"")</f>
        <v/>
      </c>
      <c r="AF467" s="85" t="str">
        <f>IF(V467&lt;&gt;"",(AA467-SUMPRODUCT(V$3:V467,$B$3:$B467)/SUM($B$3:$B467))/STDEVA(AA457:AA467),"")</f>
        <v/>
      </c>
      <c r="AG467" s="90" t="str">
        <f t="shared" si="204"/>
        <v/>
      </c>
      <c r="AH467" s="90" t="str">
        <f t="shared" si="204"/>
        <v/>
      </c>
      <c r="AI467" s="90" t="str">
        <f t="shared" si="204"/>
        <v/>
      </c>
      <c r="AJ467" s="90" t="str">
        <f t="shared" si="204"/>
        <v/>
      </c>
      <c r="AK467" s="93" t="str">
        <f t="shared" si="205"/>
        <v/>
      </c>
      <c r="BQ467" s="100" t="str">
        <f>IF(A467&lt;&gt;"",(VLOOKUP(A467,MarketData!$D:$BP,MATCH($BQ$1,MarketData!$D$1:$EG$1,0),TRUE)/100/365+1)^(B467)*BQ466,"")</f>
        <v/>
      </c>
      <c r="BR467" s="98" t="str">
        <f t="shared" si="182"/>
        <v/>
      </c>
      <c r="BS467" s="106" t="str">
        <f>IF(A467&lt;&gt;"",VLOOKUP(A467,MarketData!$D:$BP,MATCH($BS$1,MarketData!$D$1:$EG$1,0),TRUE),"")</f>
        <v/>
      </c>
      <c r="BT467" s="98" t="str">
        <f t="shared" si="193"/>
        <v/>
      </c>
    </row>
    <row r="468" spans="2:72" x14ac:dyDescent="0.25">
      <c r="B468" s="60" t="str">
        <f t="shared" si="181"/>
        <v/>
      </c>
      <c r="C468" s="3" t="str">
        <f t="shared" si="183"/>
        <v/>
      </c>
      <c r="D468" s="3" t="str">
        <f t="shared" si="184"/>
        <v/>
      </c>
      <c r="E468" s="3" t="str">
        <f t="shared" si="185"/>
        <v/>
      </c>
      <c r="F468" s="3" t="str">
        <f t="shared" si="186"/>
        <v/>
      </c>
      <c r="G468" s="74" t="str">
        <f t="shared" si="187"/>
        <v/>
      </c>
      <c r="H468" s="78" t="str">
        <f>IFERROR(C468/SUM(M$2:M467),"")</f>
        <v/>
      </c>
      <c r="I468" s="61" t="str">
        <f>IFERROR(D468/SUM(N$2:N468),"")</f>
        <v/>
      </c>
      <c r="J468" s="61" t="str">
        <f>IFERROR(E468/SUM(O$2:O468),"")</f>
        <v/>
      </c>
      <c r="K468" s="61" t="str">
        <f>IFERROR(F468/SUM(P$2:P468),"")</f>
        <v/>
      </c>
      <c r="L468" s="79" t="str">
        <f>IFERROR(G468/SUM(Q$2:Q468),"")</f>
        <v/>
      </c>
      <c r="M468" s="64" t="str">
        <f t="shared" si="188"/>
        <v/>
      </c>
      <c r="N468" s="55" t="str">
        <f t="shared" si="189"/>
        <v/>
      </c>
      <c r="O468" s="55" t="str">
        <f t="shared" si="190"/>
        <v/>
      </c>
      <c r="P468" s="55" t="str">
        <f t="shared" si="191"/>
        <v/>
      </c>
      <c r="Q468" s="65" t="str">
        <f t="shared" si="192"/>
        <v/>
      </c>
      <c r="R468" s="67" t="str">
        <f t="shared" si="194"/>
        <v/>
      </c>
      <c r="S468" s="56" t="str">
        <f t="shared" si="195"/>
        <v/>
      </c>
      <c r="T468" s="56" t="str">
        <f t="shared" si="196"/>
        <v/>
      </c>
      <c r="U468" s="56" t="str">
        <f t="shared" si="197"/>
        <v/>
      </c>
      <c r="V468" s="68" t="str">
        <f t="shared" si="198"/>
        <v/>
      </c>
      <c r="W468" s="80" t="str">
        <f t="shared" si="199"/>
        <v/>
      </c>
      <c r="X468" s="81" t="str">
        <f t="shared" si="200"/>
        <v/>
      </c>
      <c r="Y468" s="81" t="str">
        <f t="shared" si="201"/>
        <v/>
      </c>
      <c r="Z468" s="81" t="str">
        <f t="shared" si="202"/>
        <v/>
      </c>
      <c r="AA468" s="82" t="str">
        <f t="shared" si="203"/>
        <v/>
      </c>
      <c r="AB468" s="83" t="str">
        <f>IF(R468&lt;&gt;"",(W468-SUMPRODUCT(R$3:R468,$B$3:$B468)/SUM($B$3:$B468))/STDEVA(W458:W468),"")</f>
        <v/>
      </c>
      <c r="AC468" s="84" t="str">
        <f>IF(S468&lt;&gt;"",(X468-SUMPRODUCT(S$3:S468,$B$3:$B468)/SUM($B$3:$B468))/STDEVA(X458:X468),"")</f>
        <v/>
      </c>
      <c r="AD468" s="84" t="str">
        <f>IF(T468&lt;&gt;"",(Y468-SUMPRODUCT(T$3:T468,$B$3:$B468)/SUM($B$3:$B468))/STDEVA(Y458:Y468),"")</f>
        <v/>
      </c>
      <c r="AE468" s="84" t="str">
        <f>IF(U468&lt;&gt;"",(Z468-SUMPRODUCT(U$3:U468,$B$3:$B468)/SUM($B$3:$B468))/STDEVA(Z458:Z468),"")</f>
        <v/>
      </c>
      <c r="AF468" s="85" t="str">
        <f>IF(V468&lt;&gt;"",(AA468-SUMPRODUCT(V$3:V468,$B$3:$B468)/SUM($B$3:$B468))/STDEVA(AA458:AA468),"")</f>
        <v/>
      </c>
      <c r="AG468" s="90" t="str">
        <f t="shared" si="204"/>
        <v/>
      </c>
      <c r="AH468" s="90" t="str">
        <f t="shared" si="204"/>
        <v/>
      </c>
      <c r="AI468" s="90" t="str">
        <f t="shared" si="204"/>
        <v/>
      </c>
      <c r="AJ468" s="90" t="str">
        <f t="shared" si="204"/>
        <v/>
      </c>
      <c r="AK468" s="93" t="str">
        <f t="shared" si="205"/>
        <v/>
      </c>
      <c r="BQ468" s="100" t="str">
        <f>IF(A468&lt;&gt;"",(VLOOKUP(A468,MarketData!$D:$BP,MATCH($BQ$1,MarketData!$D$1:$EG$1,0),TRUE)/100/365+1)^(B468)*BQ467,"")</f>
        <v/>
      </c>
      <c r="BR468" s="98" t="str">
        <f t="shared" si="182"/>
        <v/>
      </c>
      <c r="BS468" s="106" t="str">
        <f>IF(A468&lt;&gt;"",VLOOKUP(A468,MarketData!$D:$BP,MATCH($BS$1,MarketData!$D$1:$EG$1,0),TRUE),"")</f>
        <v/>
      </c>
      <c r="BT468" s="98" t="str">
        <f t="shared" si="193"/>
        <v/>
      </c>
    </row>
    <row r="469" spans="2:72" x14ac:dyDescent="0.25">
      <c r="B469" s="60" t="str">
        <f t="shared" si="181"/>
        <v/>
      </c>
      <c r="C469" s="3" t="str">
        <f t="shared" si="183"/>
        <v/>
      </c>
      <c r="D469" s="3" t="str">
        <f t="shared" si="184"/>
        <v/>
      </c>
      <c r="E469" s="3" t="str">
        <f t="shared" si="185"/>
        <v/>
      </c>
      <c r="F469" s="3" t="str">
        <f t="shared" si="186"/>
        <v/>
      </c>
      <c r="G469" s="74" t="str">
        <f t="shared" si="187"/>
        <v/>
      </c>
      <c r="H469" s="78" t="str">
        <f>IFERROR(C469/SUM(M$2:M468),"")</f>
        <v/>
      </c>
      <c r="I469" s="61" t="str">
        <f>IFERROR(D469/SUM(N$2:N469),"")</f>
        <v/>
      </c>
      <c r="J469" s="61" t="str">
        <f>IFERROR(E469/SUM(O$2:O469),"")</f>
        <v/>
      </c>
      <c r="K469" s="61" t="str">
        <f>IFERROR(F469/SUM(P$2:P469),"")</f>
        <v/>
      </c>
      <c r="L469" s="79" t="str">
        <f>IFERROR(G469/SUM(Q$2:Q469),"")</f>
        <v/>
      </c>
      <c r="M469" s="64" t="str">
        <f t="shared" si="188"/>
        <v/>
      </c>
      <c r="N469" s="55" t="str">
        <f t="shared" si="189"/>
        <v/>
      </c>
      <c r="O469" s="55" t="str">
        <f t="shared" si="190"/>
        <v/>
      </c>
      <c r="P469" s="55" t="str">
        <f t="shared" si="191"/>
        <v/>
      </c>
      <c r="Q469" s="65" t="str">
        <f t="shared" si="192"/>
        <v/>
      </c>
      <c r="R469" s="67" t="str">
        <f t="shared" si="194"/>
        <v/>
      </c>
      <c r="S469" s="56" t="str">
        <f t="shared" si="195"/>
        <v/>
      </c>
      <c r="T469" s="56" t="str">
        <f t="shared" si="196"/>
        <v/>
      </c>
      <c r="U469" s="56" t="str">
        <f t="shared" si="197"/>
        <v/>
      </c>
      <c r="V469" s="68" t="str">
        <f t="shared" si="198"/>
        <v/>
      </c>
      <c r="W469" s="80" t="str">
        <f t="shared" si="199"/>
        <v/>
      </c>
      <c r="X469" s="81" t="str">
        <f t="shared" si="200"/>
        <v/>
      </c>
      <c r="Y469" s="81" t="str">
        <f t="shared" si="201"/>
        <v/>
      </c>
      <c r="Z469" s="81" t="str">
        <f t="shared" si="202"/>
        <v/>
      </c>
      <c r="AA469" s="82" t="str">
        <f t="shared" si="203"/>
        <v/>
      </c>
      <c r="AB469" s="83" t="str">
        <f>IF(R469&lt;&gt;"",(W469-SUMPRODUCT(R$3:R469,$B$3:$B469)/SUM($B$3:$B469))/STDEVA(W459:W469),"")</f>
        <v/>
      </c>
      <c r="AC469" s="84" t="str">
        <f>IF(S469&lt;&gt;"",(X469-SUMPRODUCT(S$3:S469,$B$3:$B469)/SUM($B$3:$B469))/STDEVA(X459:X469),"")</f>
        <v/>
      </c>
      <c r="AD469" s="84" t="str">
        <f>IF(T469&lt;&gt;"",(Y469-SUMPRODUCT(T$3:T469,$B$3:$B469)/SUM($B$3:$B469))/STDEVA(Y459:Y469),"")</f>
        <v/>
      </c>
      <c r="AE469" s="84" t="str">
        <f>IF(U469&lt;&gt;"",(Z469-SUMPRODUCT(U$3:U469,$B$3:$B469)/SUM($B$3:$B469))/STDEVA(Z459:Z469),"")</f>
        <v/>
      </c>
      <c r="AF469" s="85" t="str">
        <f>IF(V469&lt;&gt;"",(AA469-SUMPRODUCT(V$3:V469,$B$3:$B469)/SUM($B$3:$B469))/STDEVA(AA459:AA469),"")</f>
        <v/>
      </c>
      <c r="AG469" s="90" t="str">
        <f t="shared" si="204"/>
        <v/>
      </c>
      <c r="AH469" s="90" t="str">
        <f t="shared" si="204"/>
        <v/>
      </c>
      <c r="AI469" s="90" t="str">
        <f t="shared" si="204"/>
        <v/>
      </c>
      <c r="AJ469" s="90" t="str">
        <f t="shared" si="204"/>
        <v/>
      </c>
      <c r="AK469" s="93" t="str">
        <f t="shared" si="205"/>
        <v/>
      </c>
      <c r="BQ469" s="100" t="str">
        <f>IF(A469&lt;&gt;"",(VLOOKUP(A469,MarketData!$D:$BP,MATCH($BQ$1,MarketData!$D$1:$EG$1,0),TRUE)/100/365+1)^(B469)*BQ468,"")</f>
        <v/>
      </c>
      <c r="BR469" s="98" t="str">
        <f t="shared" si="182"/>
        <v/>
      </c>
      <c r="BS469" s="106" t="str">
        <f>IF(A469&lt;&gt;"",VLOOKUP(A469,MarketData!$D:$BP,MATCH($BS$1,MarketData!$D$1:$EG$1,0),TRUE),"")</f>
        <v/>
      </c>
      <c r="BT469" s="98" t="str">
        <f t="shared" si="193"/>
        <v/>
      </c>
    </row>
    <row r="470" spans="2:72" x14ac:dyDescent="0.25">
      <c r="B470" s="60" t="str">
        <f t="shared" si="181"/>
        <v/>
      </c>
      <c r="C470" s="3" t="str">
        <f t="shared" si="183"/>
        <v/>
      </c>
      <c r="D470" s="3" t="str">
        <f t="shared" si="184"/>
        <v/>
      </c>
      <c r="E470" s="3" t="str">
        <f t="shared" si="185"/>
        <v/>
      </c>
      <c r="F470" s="3" t="str">
        <f t="shared" si="186"/>
        <v/>
      </c>
      <c r="G470" s="74" t="str">
        <f t="shared" si="187"/>
        <v/>
      </c>
      <c r="H470" s="78" t="str">
        <f>IFERROR(C470/SUM(M$2:M469),"")</f>
        <v/>
      </c>
      <c r="I470" s="61" t="str">
        <f>IFERROR(D470/SUM(N$2:N470),"")</f>
        <v/>
      </c>
      <c r="J470" s="61" t="str">
        <f>IFERROR(E470/SUM(O$2:O470),"")</f>
        <v/>
      </c>
      <c r="K470" s="61" t="str">
        <f>IFERROR(F470/SUM(P$2:P470),"")</f>
        <v/>
      </c>
      <c r="L470" s="79" t="str">
        <f>IFERROR(G470/SUM(Q$2:Q470),"")</f>
        <v/>
      </c>
      <c r="M470" s="64" t="str">
        <f t="shared" si="188"/>
        <v/>
      </c>
      <c r="N470" s="55" t="str">
        <f t="shared" si="189"/>
        <v/>
      </c>
      <c r="O470" s="55" t="str">
        <f t="shared" si="190"/>
        <v/>
      </c>
      <c r="P470" s="55" t="str">
        <f t="shared" si="191"/>
        <v/>
      </c>
      <c r="Q470" s="65" t="str">
        <f t="shared" si="192"/>
        <v/>
      </c>
      <c r="R470" s="67" t="str">
        <f t="shared" si="194"/>
        <v/>
      </c>
      <c r="S470" s="56" t="str">
        <f t="shared" si="195"/>
        <v/>
      </c>
      <c r="T470" s="56" t="str">
        <f t="shared" si="196"/>
        <v/>
      </c>
      <c r="U470" s="56" t="str">
        <f t="shared" si="197"/>
        <v/>
      </c>
      <c r="V470" s="68" t="str">
        <f t="shared" si="198"/>
        <v/>
      </c>
      <c r="W470" s="80" t="str">
        <f t="shared" si="199"/>
        <v/>
      </c>
      <c r="X470" s="81" t="str">
        <f t="shared" si="200"/>
        <v/>
      </c>
      <c r="Y470" s="81" t="str">
        <f t="shared" si="201"/>
        <v/>
      </c>
      <c r="Z470" s="81" t="str">
        <f t="shared" si="202"/>
        <v/>
      </c>
      <c r="AA470" s="82" t="str">
        <f t="shared" si="203"/>
        <v/>
      </c>
      <c r="AB470" s="83" t="str">
        <f>IF(R470&lt;&gt;"",(W470-SUMPRODUCT(R$3:R470,$B$3:$B470)/SUM($B$3:$B470))/STDEVA(W460:W470),"")</f>
        <v/>
      </c>
      <c r="AC470" s="84" t="str">
        <f>IF(S470&lt;&gt;"",(X470-SUMPRODUCT(S$3:S470,$B$3:$B470)/SUM($B$3:$B470))/STDEVA(X460:X470),"")</f>
        <v/>
      </c>
      <c r="AD470" s="84" t="str">
        <f>IF(T470&lt;&gt;"",(Y470-SUMPRODUCT(T$3:T470,$B$3:$B470)/SUM($B$3:$B470))/STDEVA(Y460:Y470),"")</f>
        <v/>
      </c>
      <c r="AE470" s="84" t="str">
        <f>IF(U470&lt;&gt;"",(Z470-SUMPRODUCT(U$3:U470,$B$3:$B470)/SUM($B$3:$B470))/STDEVA(Z460:Z470),"")</f>
        <v/>
      </c>
      <c r="AF470" s="85" t="str">
        <f>IF(V470&lt;&gt;"",(AA470-SUMPRODUCT(V$3:V470,$B$3:$B470)/SUM($B$3:$B470))/STDEVA(AA460:AA470),"")</f>
        <v/>
      </c>
      <c r="AG470" s="90" t="str">
        <f t="shared" si="204"/>
        <v/>
      </c>
      <c r="AH470" s="90" t="str">
        <f t="shared" si="204"/>
        <v/>
      </c>
      <c r="AI470" s="90" t="str">
        <f t="shared" si="204"/>
        <v/>
      </c>
      <c r="AJ470" s="90" t="str">
        <f t="shared" si="204"/>
        <v/>
      </c>
      <c r="AK470" s="93" t="str">
        <f t="shared" si="205"/>
        <v/>
      </c>
      <c r="BQ470" s="100" t="str">
        <f>IF(A470&lt;&gt;"",(VLOOKUP(A470,MarketData!$D:$BP,MATCH($BQ$1,MarketData!$D$1:$EG$1,0),TRUE)/100/365+1)^(B470)*BQ469,"")</f>
        <v/>
      </c>
      <c r="BR470" s="98" t="str">
        <f t="shared" si="182"/>
        <v/>
      </c>
      <c r="BS470" s="106" t="str">
        <f>IF(A470&lt;&gt;"",VLOOKUP(A470,MarketData!$D:$BP,MATCH($BS$1,MarketData!$D$1:$EG$1,0),TRUE),"")</f>
        <v/>
      </c>
      <c r="BT470" s="98" t="str">
        <f t="shared" si="193"/>
        <v/>
      </c>
    </row>
    <row r="471" spans="2:72" x14ac:dyDescent="0.25">
      <c r="B471" s="60" t="str">
        <f t="shared" si="181"/>
        <v/>
      </c>
      <c r="C471" s="3" t="str">
        <f t="shared" si="183"/>
        <v/>
      </c>
      <c r="D471" s="3" t="str">
        <f t="shared" si="184"/>
        <v/>
      </c>
      <c r="E471" s="3" t="str">
        <f t="shared" si="185"/>
        <v/>
      </c>
      <c r="F471" s="3" t="str">
        <f t="shared" si="186"/>
        <v/>
      </c>
      <c r="G471" s="74" t="str">
        <f t="shared" si="187"/>
        <v/>
      </c>
      <c r="H471" s="78" t="str">
        <f>IFERROR(C471/SUM(M$2:M470),"")</f>
        <v/>
      </c>
      <c r="I471" s="61" t="str">
        <f>IFERROR(D471/SUM(N$2:N471),"")</f>
        <v/>
      </c>
      <c r="J471" s="61" t="str">
        <f>IFERROR(E471/SUM(O$2:O471),"")</f>
        <v/>
      </c>
      <c r="K471" s="61" t="str">
        <f>IFERROR(F471/SUM(P$2:P471),"")</f>
        <v/>
      </c>
      <c r="L471" s="79" t="str">
        <f>IFERROR(G471/SUM(Q$2:Q471),"")</f>
        <v/>
      </c>
      <c r="M471" s="64" t="str">
        <f t="shared" si="188"/>
        <v/>
      </c>
      <c r="N471" s="55" t="str">
        <f t="shared" si="189"/>
        <v/>
      </c>
      <c r="O471" s="55" t="str">
        <f t="shared" si="190"/>
        <v/>
      </c>
      <c r="P471" s="55" t="str">
        <f t="shared" si="191"/>
        <v/>
      </c>
      <c r="Q471" s="65" t="str">
        <f t="shared" si="192"/>
        <v/>
      </c>
      <c r="R471" s="67" t="str">
        <f t="shared" si="194"/>
        <v/>
      </c>
      <c r="S471" s="56" t="str">
        <f t="shared" si="195"/>
        <v/>
      </c>
      <c r="T471" s="56" t="str">
        <f t="shared" si="196"/>
        <v/>
      </c>
      <c r="U471" s="56" t="str">
        <f t="shared" si="197"/>
        <v/>
      </c>
      <c r="V471" s="68" t="str">
        <f t="shared" si="198"/>
        <v/>
      </c>
      <c r="W471" s="80" t="str">
        <f t="shared" si="199"/>
        <v/>
      </c>
      <c r="X471" s="81" t="str">
        <f t="shared" si="200"/>
        <v/>
      </c>
      <c r="Y471" s="81" t="str">
        <f t="shared" si="201"/>
        <v/>
      </c>
      <c r="Z471" s="81" t="str">
        <f t="shared" si="202"/>
        <v/>
      </c>
      <c r="AA471" s="82" t="str">
        <f t="shared" si="203"/>
        <v/>
      </c>
      <c r="AB471" s="83" t="str">
        <f>IF(R471&lt;&gt;"",(W471-SUMPRODUCT(R$3:R471,$B$3:$B471)/SUM($B$3:$B471))/STDEVA(W461:W471),"")</f>
        <v/>
      </c>
      <c r="AC471" s="84" t="str">
        <f>IF(S471&lt;&gt;"",(X471-SUMPRODUCT(S$3:S471,$B$3:$B471)/SUM($B$3:$B471))/STDEVA(X461:X471),"")</f>
        <v/>
      </c>
      <c r="AD471" s="84" t="str">
        <f>IF(T471&lt;&gt;"",(Y471-SUMPRODUCT(T$3:T471,$B$3:$B471)/SUM($B$3:$B471))/STDEVA(Y461:Y471),"")</f>
        <v/>
      </c>
      <c r="AE471" s="84" t="str">
        <f>IF(U471&lt;&gt;"",(Z471-SUMPRODUCT(U$3:U471,$B$3:$B471)/SUM($B$3:$B471))/STDEVA(Z461:Z471),"")</f>
        <v/>
      </c>
      <c r="AF471" s="85" t="str">
        <f>IF(V471&lt;&gt;"",(AA471-SUMPRODUCT(V$3:V471,$B$3:$B471)/SUM($B$3:$B471))/STDEVA(AA461:AA471),"")</f>
        <v/>
      </c>
      <c r="AG471" s="90" t="str">
        <f t="shared" si="204"/>
        <v/>
      </c>
      <c r="AH471" s="90" t="str">
        <f t="shared" si="204"/>
        <v/>
      </c>
      <c r="AI471" s="90" t="str">
        <f t="shared" si="204"/>
        <v/>
      </c>
      <c r="AJ471" s="90" t="str">
        <f t="shared" si="204"/>
        <v/>
      </c>
      <c r="AK471" s="93" t="str">
        <f t="shared" si="205"/>
        <v/>
      </c>
      <c r="BQ471" s="100" t="str">
        <f>IF(A471&lt;&gt;"",(VLOOKUP(A471,MarketData!$D:$BP,MATCH($BQ$1,MarketData!$D$1:$EG$1,0),TRUE)/100/365+1)^(B471)*BQ470,"")</f>
        <v/>
      </c>
      <c r="BR471" s="98" t="str">
        <f t="shared" si="182"/>
        <v/>
      </c>
      <c r="BS471" s="106" t="str">
        <f>IF(A471&lt;&gt;"",VLOOKUP(A471,MarketData!$D:$BP,MATCH($BS$1,MarketData!$D$1:$EG$1,0),TRUE),"")</f>
        <v/>
      </c>
      <c r="BT471" s="98" t="str">
        <f t="shared" si="193"/>
        <v/>
      </c>
    </row>
    <row r="472" spans="2:72" x14ac:dyDescent="0.25">
      <c r="B472" s="60" t="str">
        <f t="shared" si="181"/>
        <v/>
      </c>
      <c r="C472" s="3" t="str">
        <f t="shared" si="183"/>
        <v/>
      </c>
      <c r="D472" s="3" t="str">
        <f t="shared" si="184"/>
        <v/>
      </c>
      <c r="E472" s="3" t="str">
        <f t="shared" si="185"/>
        <v/>
      </c>
      <c r="F472" s="3" t="str">
        <f t="shared" si="186"/>
        <v/>
      </c>
      <c r="G472" s="74" t="str">
        <f t="shared" si="187"/>
        <v/>
      </c>
      <c r="H472" s="78" t="str">
        <f>IFERROR(C472/SUM(M$2:M471),"")</f>
        <v/>
      </c>
      <c r="I472" s="61" t="str">
        <f>IFERROR(D472/SUM(N$2:N472),"")</f>
        <v/>
      </c>
      <c r="J472" s="61" t="str">
        <f>IFERROR(E472/SUM(O$2:O472),"")</f>
        <v/>
      </c>
      <c r="K472" s="61" t="str">
        <f>IFERROR(F472/SUM(P$2:P472),"")</f>
        <v/>
      </c>
      <c r="L472" s="79" t="str">
        <f>IFERROR(G472/SUM(Q$2:Q472),"")</f>
        <v/>
      </c>
      <c r="M472" s="64" t="str">
        <f t="shared" si="188"/>
        <v/>
      </c>
      <c r="N472" s="55" t="str">
        <f t="shared" si="189"/>
        <v/>
      </c>
      <c r="O472" s="55" t="str">
        <f t="shared" si="190"/>
        <v/>
      </c>
      <c r="P472" s="55" t="str">
        <f t="shared" si="191"/>
        <v/>
      </c>
      <c r="Q472" s="65" t="str">
        <f t="shared" si="192"/>
        <v/>
      </c>
      <c r="R472" s="67" t="str">
        <f t="shared" si="194"/>
        <v/>
      </c>
      <c r="S472" s="56" t="str">
        <f t="shared" si="195"/>
        <v/>
      </c>
      <c r="T472" s="56" t="str">
        <f t="shared" si="196"/>
        <v/>
      </c>
      <c r="U472" s="56" t="str">
        <f t="shared" si="197"/>
        <v/>
      </c>
      <c r="V472" s="68" t="str">
        <f t="shared" si="198"/>
        <v/>
      </c>
      <c r="W472" s="80" t="str">
        <f t="shared" si="199"/>
        <v/>
      </c>
      <c r="X472" s="81" t="str">
        <f t="shared" si="200"/>
        <v/>
      </c>
      <c r="Y472" s="81" t="str">
        <f t="shared" si="201"/>
        <v/>
      </c>
      <c r="Z472" s="81" t="str">
        <f t="shared" si="202"/>
        <v/>
      </c>
      <c r="AA472" s="82" t="str">
        <f t="shared" si="203"/>
        <v/>
      </c>
      <c r="AB472" s="83" t="str">
        <f>IF(R472&lt;&gt;"",(W472-SUMPRODUCT(R$3:R472,$B$3:$B472)/SUM($B$3:$B472))/STDEVA(W462:W472),"")</f>
        <v/>
      </c>
      <c r="AC472" s="84" t="str">
        <f>IF(S472&lt;&gt;"",(X472-SUMPRODUCT(S$3:S472,$B$3:$B472)/SUM($B$3:$B472))/STDEVA(X462:X472),"")</f>
        <v/>
      </c>
      <c r="AD472" s="84" t="str">
        <f>IF(T472&lt;&gt;"",(Y472-SUMPRODUCT(T$3:T472,$B$3:$B472)/SUM($B$3:$B472))/STDEVA(Y462:Y472),"")</f>
        <v/>
      </c>
      <c r="AE472" s="84" t="str">
        <f>IF(U472&lt;&gt;"",(Z472-SUMPRODUCT(U$3:U472,$B$3:$B472)/SUM($B$3:$B472))/STDEVA(Z462:Z472),"")</f>
        <v/>
      </c>
      <c r="AF472" s="85" t="str">
        <f>IF(V472&lt;&gt;"",(AA472-SUMPRODUCT(V$3:V472,$B$3:$B472)/SUM($B$3:$B472))/STDEVA(AA462:AA472),"")</f>
        <v/>
      </c>
      <c r="AG472" s="90" t="str">
        <f t="shared" si="204"/>
        <v/>
      </c>
      <c r="AH472" s="90" t="str">
        <f t="shared" si="204"/>
        <v/>
      </c>
      <c r="AI472" s="90" t="str">
        <f t="shared" si="204"/>
        <v/>
      </c>
      <c r="AJ472" s="90" t="str">
        <f t="shared" si="204"/>
        <v/>
      </c>
      <c r="AK472" s="93" t="str">
        <f t="shared" si="205"/>
        <v/>
      </c>
      <c r="BQ472" s="100" t="str">
        <f>IF(A472&lt;&gt;"",(VLOOKUP(A472,MarketData!$D:$BP,MATCH($BQ$1,MarketData!$D$1:$EG$1,0),TRUE)/100/365+1)^(B472)*BQ471,"")</f>
        <v/>
      </c>
      <c r="BR472" s="98" t="str">
        <f t="shared" si="182"/>
        <v/>
      </c>
      <c r="BS472" s="106" t="str">
        <f>IF(A472&lt;&gt;"",VLOOKUP(A472,MarketData!$D:$BP,MATCH($BS$1,MarketData!$D$1:$EG$1,0),TRUE),"")</f>
        <v/>
      </c>
      <c r="BT472" s="98" t="str">
        <f t="shared" si="193"/>
        <v/>
      </c>
    </row>
    <row r="473" spans="2:72" x14ac:dyDescent="0.25">
      <c r="B473" s="60" t="str">
        <f t="shared" si="181"/>
        <v/>
      </c>
      <c r="C473" s="3" t="str">
        <f t="shared" si="183"/>
        <v/>
      </c>
      <c r="D473" s="3" t="str">
        <f t="shared" si="184"/>
        <v/>
      </c>
      <c r="E473" s="3" t="str">
        <f t="shared" si="185"/>
        <v/>
      </c>
      <c r="F473" s="3" t="str">
        <f t="shared" si="186"/>
        <v/>
      </c>
      <c r="G473" s="74" t="str">
        <f t="shared" si="187"/>
        <v/>
      </c>
      <c r="H473" s="78" t="str">
        <f>IFERROR(C473/SUM(M$2:M472),"")</f>
        <v/>
      </c>
      <c r="I473" s="61" t="str">
        <f>IFERROR(D473/SUM(N$2:N473),"")</f>
        <v/>
      </c>
      <c r="J473" s="61" t="str">
        <f>IFERROR(E473/SUM(O$2:O473),"")</f>
        <v/>
      </c>
      <c r="K473" s="61" t="str">
        <f>IFERROR(F473/SUM(P$2:P473),"")</f>
        <v/>
      </c>
      <c r="L473" s="79" t="str">
        <f>IFERROR(G473/SUM(Q$2:Q473),"")</f>
        <v/>
      </c>
      <c r="M473" s="64" t="str">
        <f t="shared" si="188"/>
        <v/>
      </c>
      <c r="N473" s="55" t="str">
        <f t="shared" si="189"/>
        <v/>
      </c>
      <c r="O473" s="55" t="str">
        <f t="shared" si="190"/>
        <v/>
      </c>
      <c r="P473" s="55" t="str">
        <f t="shared" si="191"/>
        <v/>
      </c>
      <c r="Q473" s="65" t="str">
        <f t="shared" si="192"/>
        <v/>
      </c>
      <c r="R473" s="67" t="str">
        <f t="shared" si="194"/>
        <v/>
      </c>
      <c r="S473" s="56" t="str">
        <f t="shared" si="195"/>
        <v/>
      </c>
      <c r="T473" s="56" t="str">
        <f t="shared" si="196"/>
        <v/>
      </c>
      <c r="U473" s="56" t="str">
        <f t="shared" si="197"/>
        <v/>
      </c>
      <c r="V473" s="68" t="str">
        <f t="shared" si="198"/>
        <v/>
      </c>
      <c r="W473" s="80" t="str">
        <f t="shared" si="199"/>
        <v/>
      </c>
      <c r="X473" s="81" t="str">
        <f t="shared" si="200"/>
        <v/>
      </c>
      <c r="Y473" s="81" t="str">
        <f t="shared" si="201"/>
        <v/>
      </c>
      <c r="Z473" s="81" t="str">
        <f t="shared" si="202"/>
        <v/>
      </c>
      <c r="AA473" s="82" t="str">
        <f t="shared" si="203"/>
        <v/>
      </c>
      <c r="AB473" s="83" t="str">
        <f>IF(R473&lt;&gt;"",(W473-SUMPRODUCT(R$3:R473,$B$3:$B473)/SUM($B$3:$B473))/STDEVA(W463:W473),"")</f>
        <v/>
      </c>
      <c r="AC473" s="84" t="str">
        <f>IF(S473&lt;&gt;"",(X473-SUMPRODUCT(S$3:S473,$B$3:$B473)/SUM($B$3:$B473))/STDEVA(X463:X473),"")</f>
        <v/>
      </c>
      <c r="AD473" s="84" t="str">
        <f>IF(T473&lt;&gt;"",(Y473-SUMPRODUCT(T$3:T473,$B$3:$B473)/SUM($B$3:$B473))/STDEVA(Y463:Y473),"")</f>
        <v/>
      </c>
      <c r="AE473" s="84" t="str">
        <f>IF(U473&lt;&gt;"",(Z473-SUMPRODUCT(U$3:U473,$B$3:$B473)/SUM($B$3:$B473))/STDEVA(Z463:Z473),"")</f>
        <v/>
      </c>
      <c r="AF473" s="85" t="str">
        <f>IF(V473&lt;&gt;"",(AA473-SUMPRODUCT(V$3:V473,$B$3:$B473)/SUM($B$3:$B473))/STDEVA(AA463:AA473),"")</f>
        <v/>
      </c>
      <c r="AG473" s="90" t="str">
        <f t="shared" si="204"/>
        <v/>
      </c>
      <c r="AH473" s="90" t="str">
        <f t="shared" si="204"/>
        <v/>
      </c>
      <c r="AI473" s="90" t="str">
        <f t="shared" si="204"/>
        <v/>
      </c>
      <c r="AJ473" s="90" t="str">
        <f t="shared" si="204"/>
        <v/>
      </c>
      <c r="AK473" s="93" t="str">
        <f t="shared" si="205"/>
        <v/>
      </c>
      <c r="BQ473" s="100" t="str">
        <f>IF(A473&lt;&gt;"",(VLOOKUP(A473,MarketData!$D:$BP,MATCH($BQ$1,MarketData!$D$1:$EG$1,0),TRUE)/100/365+1)^(B473)*BQ472,"")</f>
        <v/>
      </c>
      <c r="BR473" s="98" t="str">
        <f t="shared" si="182"/>
        <v/>
      </c>
      <c r="BS473" s="106" t="str">
        <f>IF(A473&lt;&gt;"",VLOOKUP(A473,MarketData!$D:$BP,MATCH($BS$1,MarketData!$D$1:$EG$1,0),TRUE),"")</f>
        <v/>
      </c>
      <c r="BT473" s="98" t="str">
        <f t="shared" si="193"/>
        <v/>
      </c>
    </row>
    <row r="474" spans="2:72" x14ac:dyDescent="0.25">
      <c r="B474" s="60" t="str">
        <f t="shared" si="181"/>
        <v/>
      </c>
      <c r="C474" s="3" t="str">
        <f t="shared" si="183"/>
        <v/>
      </c>
      <c r="D474" s="3" t="str">
        <f t="shared" si="184"/>
        <v/>
      </c>
      <c r="E474" s="3" t="str">
        <f t="shared" si="185"/>
        <v/>
      </c>
      <c r="F474" s="3" t="str">
        <f t="shared" si="186"/>
        <v/>
      </c>
      <c r="G474" s="74" t="str">
        <f t="shared" si="187"/>
        <v/>
      </c>
      <c r="H474" s="78" t="str">
        <f>IFERROR(C474/SUM(M$2:M473),"")</f>
        <v/>
      </c>
      <c r="I474" s="61" t="str">
        <f>IFERROR(D474/SUM(N$2:N474),"")</f>
        <v/>
      </c>
      <c r="J474" s="61" t="str">
        <f>IFERROR(E474/SUM(O$2:O474),"")</f>
        <v/>
      </c>
      <c r="K474" s="61" t="str">
        <f>IFERROR(F474/SUM(P$2:P474),"")</f>
        <v/>
      </c>
      <c r="L474" s="79" t="str">
        <f>IFERROR(G474/SUM(Q$2:Q474),"")</f>
        <v/>
      </c>
      <c r="M474" s="64" t="str">
        <f t="shared" si="188"/>
        <v/>
      </c>
      <c r="N474" s="55" t="str">
        <f t="shared" si="189"/>
        <v/>
      </c>
      <c r="O474" s="55" t="str">
        <f t="shared" si="190"/>
        <v/>
      </c>
      <c r="P474" s="55" t="str">
        <f t="shared" si="191"/>
        <v/>
      </c>
      <c r="Q474" s="65" t="str">
        <f t="shared" si="192"/>
        <v/>
      </c>
      <c r="R474" s="67" t="str">
        <f t="shared" si="194"/>
        <v/>
      </c>
      <c r="S474" s="56" t="str">
        <f t="shared" si="195"/>
        <v/>
      </c>
      <c r="T474" s="56" t="str">
        <f t="shared" si="196"/>
        <v/>
      </c>
      <c r="U474" s="56" t="str">
        <f t="shared" si="197"/>
        <v/>
      </c>
      <c r="V474" s="68" t="str">
        <f t="shared" si="198"/>
        <v/>
      </c>
      <c r="W474" s="80" t="str">
        <f t="shared" si="199"/>
        <v/>
      </c>
      <c r="X474" s="81" t="str">
        <f t="shared" si="200"/>
        <v/>
      </c>
      <c r="Y474" s="81" t="str">
        <f t="shared" si="201"/>
        <v/>
      </c>
      <c r="Z474" s="81" t="str">
        <f t="shared" si="202"/>
        <v/>
      </c>
      <c r="AA474" s="82" t="str">
        <f t="shared" si="203"/>
        <v/>
      </c>
      <c r="AB474" s="83" t="str">
        <f>IF(R474&lt;&gt;"",(W474-SUMPRODUCT(R$3:R474,$B$3:$B474)/SUM($B$3:$B474))/STDEVA(W464:W474),"")</f>
        <v/>
      </c>
      <c r="AC474" s="84" t="str">
        <f>IF(S474&lt;&gt;"",(X474-SUMPRODUCT(S$3:S474,$B$3:$B474)/SUM($B$3:$B474))/STDEVA(X464:X474),"")</f>
        <v/>
      </c>
      <c r="AD474" s="84" t="str">
        <f>IF(T474&lt;&gt;"",(Y474-SUMPRODUCT(T$3:T474,$B$3:$B474)/SUM($B$3:$B474))/STDEVA(Y464:Y474),"")</f>
        <v/>
      </c>
      <c r="AE474" s="84" t="str">
        <f>IF(U474&lt;&gt;"",(Z474-SUMPRODUCT(U$3:U474,$B$3:$B474)/SUM($B$3:$B474))/STDEVA(Z464:Z474),"")</f>
        <v/>
      </c>
      <c r="AF474" s="85" t="str">
        <f>IF(V474&lt;&gt;"",(AA474-SUMPRODUCT(V$3:V474,$B$3:$B474)/SUM($B$3:$B474))/STDEVA(AA464:AA474),"")</f>
        <v/>
      </c>
      <c r="AG474" s="90" t="str">
        <f t="shared" si="204"/>
        <v/>
      </c>
      <c r="AH474" s="90" t="str">
        <f t="shared" si="204"/>
        <v/>
      </c>
      <c r="AI474" s="90" t="str">
        <f t="shared" si="204"/>
        <v/>
      </c>
      <c r="AJ474" s="90" t="str">
        <f t="shared" si="204"/>
        <v/>
      </c>
      <c r="AK474" s="93" t="str">
        <f t="shared" si="205"/>
        <v/>
      </c>
      <c r="BQ474" s="100" t="str">
        <f>IF(A474&lt;&gt;"",(VLOOKUP(A474,MarketData!$D:$BP,MATCH($BQ$1,MarketData!$D$1:$EG$1,0),TRUE)/100/365+1)^(B474)*BQ473,"")</f>
        <v/>
      </c>
      <c r="BR474" s="98" t="str">
        <f t="shared" si="182"/>
        <v/>
      </c>
      <c r="BS474" s="106" t="str">
        <f>IF(A474&lt;&gt;"",VLOOKUP(A474,MarketData!$D:$BP,MATCH($BS$1,MarketData!$D$1:$EG$1,0),TRUE),"")</f>
        <v/>
      </c>
      <c r="BT474" s="98" t="str">
        <f t="shared" si="193"/>
        <v/>
      </c>
    </row>
    <row r="475" spans="2:72" x14ac:dyDescent="0.25">
      <c r="B475" s="60" t="str">
        <f t="shared" ref="B475:B538" si="206">IF(A475&lt;&gt;0,A475-A474,"")</f>
        <v/>
      </c>
      <c r="C475" s="3" t="str">
        <f t="shared" si="183"/>
        <v/>
      </c>
      <c r="D475" s="3" t="str">
        <f t="shared" si="184"/>
        <v/>
      </c>
      <c r="E475" s="3" t="str">
        <f t="shared" si="185"/>
        <v/>
      </c>
      <c r="F475" s="3" t="str">
        <f t="shared" si="186"/>
        <v/>
      </c>
      <c r="G475" s="74" t="str">
        <f t="shared" si="187"/>
        <v/>
      </c>
      <c r="H475" s="78" t="str">
        <f>IFERROR(C475/SUM(M$2:M474),"")</f>
        <v/>
      </c>
      <c r="I475" s="61" t="str">
        <f>IFERROR(D475/SUM(N$2:N475),"")</f>
        <v/>
      </c>
      <c r="J475" s="61" t="str">
        <f>IFERROR(E475/SUM(O$2:O475),"")</f>
        <v/>
      </c>
      <c r="K475" s="61" t="str">
        <f>IFERROR(F475/SUM(P$2:P475),"")</f>
        <v/>
      </c>
      <c r="L475" s="79" t="str">
        <f>IFERROR(G475/SUM(Q$2:Q475),"")</f>
        <v/>
      </c>
      <c r="M475" s="64" t="str">
        <f t="shared" si="188"/>
        <v/>
      </c>
      <c r="N475" s="55" t="str">
        <f t="shared" si="189"/>
        <v/>
      </c>
      <c r="O475" s="55" t="str">
        <f t="shared" si="190"/>
        <v/>
      </c>
      <c r="P475" s="55" t="str">
        <f t="shared" si="191"/>
        <v/>
      </c>
      <c r="Q475" s="65" t="str">
        <f t="shared" si="192"/>
        <v/>
      </c>
      <c r="R475" s="67" t="str">
        <f t="shared" si="194"/>
        <v/>
      </c>
      <c r="S475" s="56" t="str">
        <f t="shared" si="195"/>
        <v/>
      </c>
      <c r="T475" s="56" t="str">
        <f t="shared" si="196"/>
        <v/>
      </c>
      <c r="U475" s="56" t="str">
        <f t="shared" si="197"/>
        <v/>
      </c>
      <c r="V475" s="68" t="str">
        <f t="shared" si="198"/>
        <v/>
      </c>
      <c r="W475" s="80" t="str">
        <f t="shared" si="199"/>
        <v/>
      </c>
      <c r="X475" s="81" t="str">
        <f t="shared" si="200"/>
        <v/>
      </c>
      <c r="Y475" s="81" t="str">
        <f t="shared" si="201"/>
        <v/>
      </c>
      <c r="Z475" s="81" t="str">
        <f t="shared" si="202"/>
        <v/>
      </c>
      <c r="AA475" s="82" t="str">
        <f t="shared" si="203"/>
        <v/>
      </c>
      <c r="AB475" s="83" t="str">
        <f>IF(R475&lt;&gt;"",(W475-SUMPRODUCT(R$3:R475,$B$3:$B475)/SUM($B$3:$B475))/STDEVA(W465:W475),"")</f>
        <v/>
      </c>
      <c r="AC475" s="84" t="str">
        <f>IF(S475&lt;&gt;"",(X475-SUMPRODUCT(S$3:S475,$B$3:$B475)/SUM($B$3:$B475))/STDEVA(X465:X475),"")</f>
        <v/>
      </c>
      <c r="AD475" s="84" t="str">
        <f>IF(T475&lt;&gt;"",(Y475-SUMPRODUCT(T$3:T475,$B$3:$B475)/SUM($B$3:$B475))/STDEVA(Y465:Y475),"")</f>
        <v/>
      </c>
      <c r="AE475" s="84" t="str">
        <f>IF(U475&lt;&gt;"",(Z475-SUMPRODUCT(U$3:U475,$B$3:$B475)/SUM($B$3:$B475))/STDEVA(Z465:Z475),"")</f>
        <v/>
      </c>
      <c r="AF475" s="85" t="str">
        <f>IF(V475&lt;&gt;"",(AA475-SUMPRODUCT(V$3:V475,$B$3:$B475)/SUM($B$3:$B475))/STDEVA(AA465:AA475),"")</f>
        <v/>
      </c>
      <c r="AG475" s="90" t="str">
        <f t="shared" si="204"/>
        <v/>
      </c>
      <c r="AH475" s="90" t="str">
        <f t="shared" si="204"/>
        <v/>
      </c>
      <c r="AI475" s="90" t="str">
        <f t="shared" si="204"/>
        <v/>
      </c>
      <c r="AJ475" s="90" t="str">
        <f t="shared" si="204"/>
        <v/>
      </c>
      <c r="AK475" s="93" t="str">
        <f t="shared" si="205"/>
        <v/>
      </c>
      <c r="BQ475" s="100" t="str">
        <f>IF(A475&lt;&gt;"",(VLOOKUP(A475,MarketData!$D:$BP,MATCH($BQ$1,MarketData!$D$1:$EG$1,0),TRUE)/100/365+1)^(B475)*BQ474,"")</f>
        <v/>
      </c>
      <c r="BR475" s="98" t="str">
        <f t="shared" si="182"/>
        <v/>
      </c>
      <c r="BS475" s="106" t="str">
        <f>IF(A475&lt;&gt;"",VLOOKUP(A475,MarketData!$D:$BP,MATCH($BS$1,MarketData!$D$1:$EG$1,0),TRUE),"")</f>
        <v/>
      </c>
      <c r="BT475" s="98" t="str">
        <f t="shared" si="193"/>
        <v/>
      </c>
    </row>
    <row r="476" spans="2:72" x14ac:dyDescent="0.25">
      <c r="B476" s="60" t="str">
        <f t="shared" si="206"/>
        <v/>
      </c>
      <c r="C476" s="3" t="str">
        <f t="shared" si="183"/>
        <v/>
      </c>
      <c r="D476" s="3" t="str">
        <f t="shared" si="184"/>
        <v/>
      </c>
      <c r="E476" s="3" t="str">
        <f t="shared" si="185"/>
        <v/>
      </c>
      <c r="F476" s="3" t="str">
        <f t="shared" si="186"/>
        <v/>
      </c>
      <c r="G476" s="74" t="str">
        <f t="shared" si="187"/>
        <v/>
      </c>
      <c r="H476" s="78" t="str">
        <f>IFERROR(C476/SUM(M$2:M475),"")</f>
        <v/>
      </c>
      <c r="I476" s="61" t="str">
        <f>IFERROR(D476/SUM(N$2:N476),"")</f>
        <v/>
      </c>
      <c r="J476" s="61" t="str">
        <f>IFERROR(E476/SUM(O$2:O476),"")</f>
        <v/>
      </c>
      <c r="K476" s="61" t="str">
        <f>IFERROR(F476/SUM(P$2:P476),"")</f>
        <v/>
      </c>
      <c r="L476" s="79" t="str">
        <f>IFERROR(G476/SUM(Q$2:Q476),"")</f>
        <v/>
      </c>
      <c r="M476" s="64" t="str">
        <f t="shared" si="188"/>
        <v/>
      </c>
      <c r="N476" s="55" t="str">
        <f t="shared" si="189"/>
        <v/>
      </c>
      <c r="O476" s="55" t="str">
        <f t="shared" si="190"/>
        <v/>
      </c>
      <c r="P476" s="55" t="str">
        <f t="shared" si="191"/>
        <v/>
      </c>
      <c r="Q476" s="65" t="str">
        <f t="shared" si="192"/>
        <v/>
      </c>
      <c r="R476" s="67" t="str">
        <f t="shared" si="194"/>
        <v/>
      </c>
      <c r="S476" s="56" t="str">
        <f t="shared" si="195"/>
        <v/>
      </c>
      <c r="T476" s="56" t="str">
        <f t="shared" si="196"/>
        <v/>
      </c>
      <c r="U476" s="56" t="str">
        <f t="shared" si="197"/>
        <v/>
      </c>
      <c r="V476" s="68" t="str">
        <f t="shared" si="198"/>
        <v/>
      </c>
      <c r="W476" s="80" t="str">
        <f t="shared" si="199"/>
        <v/>
      </c>
      <c r="X476" s="81" t="str">
        <f t="shared" si="200"/>
        <v/>
      </c>
      <c r="Y476" s="81" t="str">
        <f t="shared" si="201"/>
        <v/>
      </c>
      <c r="Z476" s="81" t="str">
        <f t="shared" si="202"/>
        <v/>
      </c>
      <c r="AA476" s="82" t="str">
        <f t="shared" si="203"/>
        <v/>
      </c>
      <c r="AB476" s="83" t="str">
        <f>IF(R476&lt;&gt;"",(W476-SUMPRODUCT(R$3:R476,$B$3:$B476)/SUM($B$3:$B476))/STDEVA(W466:W476),"")</f>
        <v/>
      </c>
      <c r="AC476" s="84" t="str">
        <f>IF(S476&lt;&gt;"",(X476-SUMPRODUCT(S$3:S476,$B$3:$B476)/SUM($B$3:$B476))/STDEVA(X466:X476),"")</f>
        <v/>
      </c>
      <c r="AD476" s="84" t="str">
        <f>IF(T476&lt;&gt;"",(Y476-SUMPRODUCT(T$3:T476,$B$3:$B476)/SUM($B$3:$B476))/STDEVA(Y466:Y476),"")</f>
        <v/>
      </c>
      <c r="AE476" s="84" t="str">
        <f>IF(U476&lt;&gt;"",(Z476-SUMPRODUCT(U$3:U476,$B$3:$B476)/SUM($B$3:$B476))/STDEVA(Z466:Z476),"")</f>
        <v/>
      </c>
      <c r="AF476" s="85" t="str">
        <f>IF(V476&lt;&gt;"",(AA476-SUMPRODUCT(V$3:V476,$B$3:$B476)/SUM($B$3:$B476))/STDEVA(AA466:AA476),"")</f>
        <v/>
      </c>
      <c r="AG476" s="90" t="str">
        <f t="shared" si="204"/>
        <v/>
      </c>
      <c r="AH476" s="90" t="str">
        <f t="shared" si="204"/>
        <v/>
      </c>
      <c r="AI476" s="90" t="str">
        <f t="shared" si="204"/>
        <v/>
      </c>
      <c r="AJ476" s="90" t="str">
        <f t="shared" si="204"/>
        <v/>
      </c>
      <c r="AK476" s="93" t="str">
        <f t="shared" si="205"/>
        <v/>
      </c>
      <c r="BQ476" s="100" t="str">
        <f>IF(A476&lt;&gt;"",(VLOOKUP(A476,MarketData!$D:$BP,MATCH($BQ$1,MarketData!$D$1:$EG$1,0),TRUE)/100/365+1)^(B476)*BQ475,"")</f>
        <v/>
      </c>
      <c r="BR476" s="98" t="str">
        <f t="shared" si="182"/>
        <v/>
      </c>
      <c r="BS476" s="106" t="str">
        <f>IF(A476&lt;&gt;"",VLOOKUP(A476,MarketData!$D:$BP,MATCH($BS$1,MarketData!$D$1:$EG$1,0),TRUE),"")</f>
        <v/>
      </c>
      <c r="BT476" s="98" t="str">
        <f t="shared" si="193"/>
        <v/>
      </c>
    </row>
    <row r="477" spans="2:72" x14ac:dyDescent="0.25">
      <c r="B477" s="60" t="str">
        <f t="shared" si="206"/>
        <v/>
      </c>
      <c r="C477" s="3" t="str">
        <f t="shared" si="183"/>
        <v/>
      </c>
      <c r="D477" s="3" t="str">
        <f t="shared" si="184"/>
        <v/>
      </c>
      <c r="E477" s="3" t="str">
        <f t="shared" si="185"/>
        <v/>
      </c>
      <c r="F477" s="3" t="str">
        <f t="shared" si="186"/>
        <v/>
      </c>
      <c r="G477" s="74" t="str">
        <f t="shared" si="187"/>
        <v/>
      </c>
      <c r="H477" s="78" t="str">
        <f>IFERROR(C477/SUM(M$2:M476),"")</f>
        <v/>
      </c>
      <c r="I477" s="61" t="str">
        <f>IFERROR(D477/SUM(N$2:N477),"")</f>
        <v/>
      </c>
      <c r="J477" s="61" t="str">
        <f>IFERROR(E477/SUM(O$2:O477),"")</f>
        <v/>
      </c>
      <c r="K477" s="61" t="str">
        <f>IFERROR(F477/SUM(P$2:P477),"")</f>
        <v/>
      </c>
      <c r="L477" s="79" t="str">
        <f>IFERROR(G477/SUM(Q$2:Q477),"")</f>
        <v/>
      </c>
      <c r="M477" s="64" t="str">
        <f t="shared" si="188"/>
        <v/>
      </c>
      <c r="N477" s="55" t="str">
        <f t="shared" si="189"/>
        <v/>
      </c>
      <c r="O477" s="55" t="str">
        <f t="shared" si="190"/>
        <v/>
      </c>
      <c r="P477" s="55" t="str">
        <f t="shared" si="191"/>
        <v/>
      </c>
      <c r="Q477" s="65" t="str">
        <f t="shared" si="192"/>
        <v/>
      </c>
      <c r="R477" s="67" t="str">
        <f t="shared" si="194"/>
        <v/>
      </c>
      <c r="S477" s="56" t="str">
        <f t="shared" si="195"/>
        <v/>
      </c>
      <c r="T477" s="56" t="str">
        <f t="shared" si="196"/>
        <v/>
      </c>
      <c r="U477" s="56" t="str">
        <f t="shared" si="197"/>
        <v/>
      </c>
      <c r="V477" s="68" t="str">
        <f t="shared" si="198"/>
        <v/>
      </c>
      <c r="W477" s="80" t="str">
        <f t="shared" si="199"/>
        <v/>
      </c>
      <c r="X477" s="81" t="str">
        <f t="shared" si="200"/>
        <v/>
      </c>
      <c r="Y477" s="81" t="str">
        <f t="shared" si="201"/>
        <v/>
      </c>
      <c r="Z477" s="81" t="str">
        <f t="shared" si="202"/>
        <v/>
      </c>
      <c r="AA477" s="82" t="str">
        <f t="shared" si="203"/>
        <v/>
      </c>
      <c r="AB477" s="83" t="str">
        <f>IF(R477&lt;&gt;"",(W477-SUMPRODUCT(R$3:R477,$B$3:$B477)/SUM($B$3:$B477))/STDEVA(W467:W477),"")</f>
        <v/>
      </c>
      <c r="AC477" s="84" t="str">
        <f>IF(S477&lt;&gt;"",(X477-SUMPRODUCT(S$3:S477,$B$3:$B477)/SUM($B$3:$B477))/STDEVA(X467:X477),"")</f>
        <v/>
      </c>
      <c r="AD477" s="84" t="str">
        <f>IF(T477&lt;&gt;"",(Y477-SUMPRODUCT(T$3:T477,$B$3:$B477)/SUM($B$3:$B477))/STDEVA(Y467:Y477),"")</f>
        <v/>
      </c>
      <c r="AE477" s="84" t="str">
        <f>IF(U477&lt;&gt;"",(Z477-SUMPRODUCT(U$3:U477,$B$3:$B477)/SUM($B$3:$B477))/STDEVA(Z467:Z477),"")</f>
        <v/>
      </c>
      <c r="AF477" s="85" t="str">
        <f>IF(V477&lt;&gt;"",(AA477-SUMPRODUCT(V$3:V477,$B$3:$B477)/SUM($B$3:$B477))/STDEVA(AA467:AA477),"")</f>
        <v/>
      </c>
      <c r="AG477" s="90" t="str">
        <f t="shared" si="204"/>
        <v/>
      </c>
      <c r="AH477" s="90" t="str">
        <f t="shared" si="204"/>
        <v/>
      </c>
      <c r="AI477" s="90" t="str">
        <f t="shared" si="204"/>
        <v/>
      </c>
      <c r="AJ477" s="90" t="str">
        <f t="shared" si="204"/>
        <v/>
      </c>
      <c r="AK477" s="93" t="str">
        <f t="shared" si="205"/>
        <v/>
      </c>
      <c r="BQ477" s="100" t="str">
        <f>IF(A477&lt;&gt;"",(VLOOKUP(A477,MarketData!$D:$BP,MATCH($BQ$1,MarketData!$D$1:$EG$1,0),TRUE)/100/365+1)^(B477)*BQ476,"")</f>
        <v/>
      </c>
      <c r="BR477" s="98" t="str">
        <f t="shared" si="182"/>
        <v/>
      </c>
      <c r="BS477" s="106" t="str">
        <f>IF(A477&lt;&gt;"",VLOOKUP(A477,MarketData!$D:$BP,MATCH($BS$1,MarketData!$D$1:$EG$1,0),TRUE),"")</f>
        <v/>
      </c>
      <c r="BT477" s="98" t="str">
        <f t="shared" si="193"/>
        <v/>
      </c>
    </row>
    <row r="478" spans="2:72" x14ac:dyDescent="0.25">
      <c r="B478" s="60" t="str">
        <f t="shared" si="206"/>
        <v/>
      </c>
      <c r="C478" s="3" t="str">
        <f t="shared" si="183"/>
        <v/>
      </c>
      <c r="D478" s="3" t="str">
        <f t="shared" si="184"/>
        <v/>
      </c>
      <c r="E478" s="3" t="str">
        <f t="shared" si="185"/>
        <v/>
      </c>
      <c r="F478" s="3" t="str">
        <f t="shared" si="186"/>
        <v/>
      </c>
      <c r="G478" s="74" t="str">
        <f t="shared" si="187"/>
        <v/>
      </c>
      <c r="H478" s="78" t="str">
        <f>IFERROR(C478/SUM(M$2:M477),"")</f>
        <v/>
      </c>
      <c r="I478" s="61" t="str">
        <f>IFERROR(D478/SUM(N$2:N478),"")</f>
        <v/>
      </c>
      <c r="J478" s="61" t="str">
        <f>IFERROR(E478/SUM(O$2:O478),"")</f>
        <v/>
      </c>
      <c r="K478" s="61" t="str">
        <f>IFERROR(F478/SUM(P$2:P478),"")</f>
        <v/>
      </c>
      <c r="L478" s="79" t="str">
        <f>IFERROR(G478/SUM(Q$2:Q478),"")</f>
        <v/>
      </c>
      <c r="M478" s="64" t="str">
        <f t="shared" si="188"/>
        <v/>
      </c>
      <c r="N478" s="55" t="str">
        <f t="shared" si="189"/>
        <v/>
      </c>
      <c r="O478" s="55" t="str">
        <f t="shared" si="190"/>
        <v/>
      </c>
      <c r="P478" s="55" t="str">
        <f t="shared" si="191"/>
        <v/>
      </c>
      <c r="Q478" s="65" t="str">
        <f t="shared" si="192"/>
        <v/>
      </c>
      <c r="R478" s="67" t="str">
        <f t="shared" si="194"/>
        <v/>
      </c>
      <c r="S478" s="56" t="str">
        <f t="shared" si="195"/>
        <v/>
      </c>
      <c r="T478" s="56" t="str">
        <f t="shared" si="196"/>
        <v/>
      </c>
      <c r="U478" s="56" t="str">
        <f t="shared" si="197"/>
        <v/>
      </c>
      <c r="V478" s="68" t="str">
        <f t="shared" si="198"/>
        <v/>
      </c>
      <c r="W478" s="80" t="str">
        <f t="shared" si="199"/>
        <v/>
      </c>
      <c r="X478" s="81" t="str">
        <f t="shared" si="200"/>
        <v/>
      </c>
      <c r="Y478" s="81" t="str">
        <f t="shared" si="201"/>
        <v/>
      </c>
      <c r="Z478" s="81" t="str">
        <f t="shared" si="202"/>
        <v/>
      </c>
      <c r="AA478" s="82" t="str">
        <f t="shared" si="203"/>
        <v/>
      </c>
      <c r="AB478" s="83" t="str">
        <f>IF(R478&lt;&gt;"",(W478-SUMPRODUCT(R$3:R478,$B$3:$B478)/SUM($B$3:$B478))/STDEVA(W468:W478),"")</f>
        <v/>
      </c>
      <c r="AC478" s="84" t="str">
        <f>IF(S478&lt;&gt;"",(X478-SUMPRODUCT(S$3:S478,$B$3:$B478)/SUM($B$3:$B478))/STDEVA(X468:X478),"")</f>
        <v/>
      </c>
      <c r="AD478" s="84" t="str">
        <f>IF(T478&lt;&gt;"",(Y478-SUMPRODUCT(T$3:T478,$B$3:$B478)/SUM($B$3:$B478))/STDEVA(Y468:Y478),"")</f>
        <v/>
      </c>
      <c r="AE478" s="84" t="str">
        <f>IF(U478&lt;&gt;"",(Z478-SUMPRODUCT(U$3:U478,$B$3:$B478)/SUM($B$3:$B478))/STDEVA(Z468:Z478),"")</f>
        <v/>
      </c>
      <c r="AF478" s="85" t="str">
        <f>IF(V478&lt;&gt;"",(AA478-SUMPRODUCT(V$3:V478,$B$3:$B478)/SUM($B$3:$B478))/STDEVA(AA468:AA478),"")</f>
        <v/>
      </c>
      <c r="AG478" s="90" t="str">
        <f t="shared" si="204"/>
        <v/>
      </c>
      <c r="AH478" s="90" t="str">
        <f t="shared" si="204"/>
        <v/>
      </c>
      <c r="AI478" s="90" t="str">
        <f t="shared" si="204"/>
        <v/>
      </c>
      <c r="AJ478" s="90" t="str">
        <f t="shared" si="204"/>
        <v/>
      </c>
      <c r="AK478" s="93" t="str">
        <f t="shared" si="205"/>
        <v/>
      </c>
      <c r="BQ478" s="100" t="str">
        <f>IF(A478&lt;&gt;"",(VLOOKUP(A478,MarketData!$D:$BP,MATCH($BQ$1,MarketData!$D$1:$EG$1,0),TRUE)/100/365+1)^(B478)*BQ477,"")</f>
        <v/>
      </c>
      <c r="BR478" s="98" t="str">
        <f t="shared" si="182"/>
        <v/>
      </c>
      <c r="BS478" s="106" t="str">
        <f>IF(A478&lt;&gt;"",VLOOKUP(A478,MarketData!$D:$BP,MATCH($BS$1,MarketData!$D$1:$EG$1,0),TRUE),"")</f>
        <v/>
      </c>
      <c r="BT478" s="98" t="str">
        <f t="shared" si="193"/>
        <v/>
      </c>
    </row>
    <row r="479" spans="2:72" x14ac:dyDescent="0.25">
      <c r="B479" s="60" t="str">
        <f t="shared" si="206"/>
        <v/>
      </c>
      <c r="C479" s="3" t="str">
        <f t="shared" si="183"/>
        <v/>
      </c>
      <c r="D479" s="3" t="str">
        <f t="shared" si="184"/>
        <v/>
      </c>
      <c r="E479" s="3" t="str">
        <f t="shared" si="185"/>
        <v/>
      </c>
      <c r="F479" s="3" t="str">
        <f t="shared" si="186"/>
        <v/>
      </c>
      <c r="G479" s="74" t="str">
        <f t="shared" si="187"/>
        <v/>
      </c>
      <c r="H479" s="78" t="str">
        <f>IFERROR(C479/SUM(M$2:M478),"")</f>
        <v/>
      </c>
      <c r="I479" s="61" t="str">
        <f>IFERROR(D479/SUM(N$2:N479),"")</f>
        <v/>
      </c>
      <c r="J479" s="61" t="str">
        <f>IFERROR(E479/SUM(O$2:O479),"")</f>
        <v/>
      </c>
      <c r="K479" s="61" t="str">
        <f>IFERROR(F479/SUM(P$2:P479),"")</f>
        <v/>
      </c>
      <c r="L479" s="79" t="str">
        <f>IFERROR(G479/SUM(Q$2:Q479),"")</f>
        <v/>
      </c>
      <c r="M479" s="64" t="str">
        <f t="shared" si="188"/>
        <v/>
      </c>
      <c r="N479" s="55" t="str">
        <f t="shared" si="189"/>
        <v/>
      </c>
      <c r="O479" s="55" t="str">
        <f t="shared" si="190"/>
        <v/>
      </c>
      <c r="P479" s="55" t="str">
        <f t="shared" si="191"/>
        <v/>
      </c>
      <c r="Q479" s="65" t="str">
        <f t="shared" si="192"/>
        <v/>
      </c>
      <c r="R479" s="67" t="str">
        <f t="shared" si="194"/>
        <v/>
      </c>
      <c r="S479" s="56" t="str">
        <f t="shared" si="195"/>
        <v/>
      </c>
      <c r="T479" s="56" t="str">
        <f t="shared" si="196"/>
        <v/>
      </c>
      <c r="U479" s="56" t="str">
        <f t="shared" si="197"/>
        <v/>
      </c>
      <c r="V479" s="68" t="str">
        <f t="shared" si="198"/>
        <v/>
      </c>
      <c r="W479" s="80" t="str">
        <f t="shared" si="199"/>
        <v/>
      </c>
      <c r="X479" s="81" t="str">
        <f t="shared" si="200"/>
        <v/>
      </c>
      <c r="Y479" s="81" t="str">
        <f t="shared" si="201"/>
        <v/>
      </c>
      <c r="Z479" s="81" t="str">
        <f t="shared" si="202"/>
        <v/>
      </c>
      <c r="AA479" s="82" t="str">
        <f t="shared" si="203"/>
        <v/>
      </c>
      <c r="AB479" s="83" t="str">
        <f>IF(R479&lt;&gt;"",(W479-SUMPRODUCT(R$3:R479,$B$3:$B479)/SUM($B$3:$B479))/STDEVA(W469:W479),"")</f>
        <v/>
      </c>
      <c r="AC479" s="84" t="str">
        <f>IF(S479&lt;&gt;"",(X479-SUMPRODUCT(S$3:S479,$B$3:$B479)/SUM($B$3:$B479))/STDEVA(X469:X479),"")</f>
        <v/>
      </c>
      <c r="AD479" s="84" t="str">
        <f>IF(T479&lt;&gt;"",(Y479-SUMPRODUCT(T$3:T479,$B$3:$B479)/SUM($B$3:$B479))/STDEVA(Y469:Y479),"")</f>
        <v/>
      </c>
      <c r="AE479" s="84" t="str">
        <f>IF(U479&lt;&gt;"",(Z479-SUMPRODUCT(U$3:U479,$B$3:$B479)/SUM($B$3:$B479))/STDEVA(Z469:Z479),"")</f>
        <v/>
      </c>
      <c r="AF479" s="85" t="str">
        <f>IF(V479&lt;&gt;"",(AA479-SUMPRODUCT(V$3:V479,$B$3:$B479)/SUM($B$3:$B479))/STDEVA(AA469:AA479),"")</f>
        <v/>
      </c>
      <c r="AG479" s="90" t="str">
        <f t="shared" si="204"/>
        <v/>
      </c>
      <c r="AH479" s="90" t="str">
        <f t="shared" si="204"/>
        <v/>
      </c>
      <c r="AI479" s="90" t="str">
        <f t="shared" si="204"/>
        <v/>
      </c>
      <c r="AJ479" s="90" t="str">
        <f t="shared" si="204"/>
        <v/>
      </c>
      <c r="AK479" s="93" t="str">
        <f t="shared" si="205"/>
        <v/>
      </c>
      <c r="BQ479" s="100" t="str">
        <f>IF(A479&lt;&gt;"",(VLOOKUP(A479,MarketData!$D:$BP,MATCH($BQ$1,MarketData!$D$1:$EG$1,0),TRUE)/100/365+1)^(B479)*BQ478,"")</f>
        <v/>
      </c>
      <c r="BR479" s="98" t="str">
        <f t="shared" si="182"/>
        <v/>
      </c>
      <c r="BS479" s="106" t="str">
        <f>IF(A479&lt;&gt;"",VLOOKUP(A479,MarketData!$D:$BP,MATCH($BS$1,MarketData!$D$1:$EG$1,0),TRUE),"")</f>
        <v/>
      </c>
      <c r="BT479" s="98" t="str">
        <f t="shared" si="193"/>
        <v/>
      </c>
    </row>
    <row r="480" spans="2:72" x14ac:dyDescent="0.25">
      <c r="B480" s="60" t="str">
        <f t="shared" si="206"/>
        <v/>
      </c>
      <c r="C480" s="3" t="str">
        <f t="shared" si="183"/>
        <v/>
      </c>
      <c r="D480" s="3" t="str">
        <f t="shared" si="184"/>
        <v/>
      </c>
      <c r="E480" s="3" t="str">
        <f t="shared" si="185"/>
        <v/>
      </c>
      <c r="F480" s="3" t="str">
        <f t="shared" si="186"/>
        <v/>
      </c>
      <c r="G480" s="74" t="str">
        <f t="shared" si="187"/>
        <v/>
      </c>
      <c r="H480" s="78" t="str">
        <f>IFERROR(C480/SUM(M$2:M479),"")</f>
        <v/>
      </c>
      <c r="I480" s="61" t="str">
        <f>IFERROR(D480/SUM(N$2:N480),"")</f>
        <v/>
      </c>
      <c r="J480" s="61" t="str">
        <f>IFERROR(E480/SUM(O$2:O480),"")</f>
        <v/>
      </c>
      <c r="K480" s="61" t="str">
        <f>IFERROR(F480/SUM(P$2:P480),"")</f>
        <v/>
      </c>
      <c r="L480" s="79" t="str">
        <f>IFERROR(G480/SUM(Q$2:Q480),"")</f>
        <v/>
      </c>
      <c r="M480" s="64" t="str">
        <f t="shared" si="188"/>
        <v/>
      </c>
      <c r="N480" s="55" t="str">
        <f t="shared" si="189"/>
        <v/>
      </c>
      <c r="O480" s="55" t="str">
        <f t="shared" si="190"/>
        <v/>
      </c>
      <c r="P480" s="55" t="str">
        <f t="shared" si="191"/>
        <v/>
      </c>
      <c r="Q480" s="65" t="str">
        <f t="shared" si="192"/>
        <v/>
      </c>
      <c r="R480" s="67" t="str">
        <f t="shared" si="194"/>
        <v/>
      </c>
      <c r="S480" s="56" t="str">
        <f t="shared" si="195"/>
        <v/>
      </c>
      <c r="T480" s="56" t="str">
        <f t="shared" si="196"/>
        <v/>
      </c>
      <c r="U480" s="56" t="str">
        <f t="shared" si="197"/>
        <v/>
      </c>
      <c r="V480" s="68" t="str">
        <f t="shared" si="198"/>
        <v/>
      </c>
      <c r="W480" s="80" t="str">
        <f t="shared" si="199"/>
        <v/>
      </c>
      <c r="X480" s="81" t="str">
        <f t="shared" si="200"/>
        <v/>
      </c>
      <c r="Y480" s="81" t="str">
        <f t="shared" si="201"/>
        <v/>
      </c>
      <c r="Z480" s="81" t="str">
        <f t="shared" si="202"/>
        <v/>
      </c>
      <c r="AA480" s="82" t="str">
        <f t="shared" si="203"/>
        <v/>
      </c>
      <c r="AB480" s="83" t="str">
        <f>IF(R480&lt;&gt;"",(W480-SUMPRODUCT(R$3:R480,$B$3:$B480)/SUM($B$3:$B480))/STDEVA(W470:W480),"")</f>
        <v/>
      </c>
      <c r="AC480" s="84" t="str">
        <f>IF(S480&lt;&gt;"",(X480-SUMPRODUCT(S$3:S480,$B$3:$B480)/SUM($B$3:$B480))/STDEVA(X470:X480),"")</f>
        <v/>
      </c>
      <c r="AD480" s="84" t="str">
        <f>IF(T480&lt;&gt;"",(Y480-SUMPRODUCT(T$3:T480,$B$3:$B480)/SUM($B$3:$B480))/STDEVA(Y470:Y480),"")</f>
        <v/>
      </c>
      <c r="AE480" s="84" t="str">
        <f>IF(U480&lt;&gt;"",(Z480-SUMPRODUCT(U$3:U480,$B$3:$B480)/SUM($B$3:$B480))/STDEVA(Z470:Z480),"")</f>
        <v/>
      </c>
      <c r="AF480" s="85" t="str">
        <f>IF(V480&lt;&gt;"",(AA480-SUMPRODUCT(V$3:V480,$B$3:$B480)/SUM($B$3:$B480))/STDEVA(AA470:AA480),"")</f>
        <v/>
      </c>
      <c r="AG480" s="90" t="str">
        <f t="shared" si="204"/>
        <v/>
      </c>
      <c r="AH480" s="90" t="str">
        <f t="shared" si="204"/>
        <v/>
      </c>
      <c r="AI480" s="90" t="str">
        <f t="shared" si="204"/>
        <v/>
      </c>
      <c r="AJ480" s="90" t="str">
        <f t="shared" si="204"/>
        <v/>
      </c>
      <c r="AK480" s="93" t="str">
        <f t="shared" si="205"/>
        <v/>
      </c>
      <c r="BQ480" s="100" t="str">
        <f>IF(A480&lt;&gt;"",(VLOOKUP(A480,MarketData!$D:$BP,MATCH($BQ$1,MarketData!$D$1:$EG$1,0),TRUE)/100/365+1)^(B480)*BQ479,"")</f>
        <v/>
      </c>
      <c r="BR480" s="98" t="str">
        <f t="shared" si="182"/>
        <v/>
      </c>
      <c r="BS480" s="106" t="str">
        <f>IF(A480&lt;&gt;"",VLOOKUP(A480,MarketData!$D:$BP,MATCH($BS$1,MarketData!$D$1:$EG$1,0),TRUE),"")</f>
        <v/>
      </c>
      <c r="BT480" s="98" t="str">
        <f t="shared" si="193"/>
        <v/>
      </c>
    </row>
    <row r="481" spans="2:72" x14ac:dyDescent="0.25">
      <c r="B481" s="60" t="str">
        <f t="shared" si="206"/>
        <v/>
      </c>
      <c r="C481" s="3" t="str">
        <f t="shared" si="183"/>
        <v/>
      </c>
      <c r="D481" s="3" t="str">
        <f t="shared" si="184"/>
        <v/>
      </c>
      <c r="E481" s="3" t="str">
        <f t="shared" si="185"/>
        <v/>
      </c>
      <c r="F481" s="3" t="str">
        <f t="shared" si="186"/>
        <v/>
      </c>
      <c r="G481" s="74" t="str">
        <f t="shared" si="187"/>
        <v/>
      </c>
      <c r="H481" s="78" t="str">
        <f>IFERROR(C481/SUM(M$2:M480),"")</f>
        <v/>
      </c>
      <c r="I481" s="61" t="str">
        <f>IFERROR(D481/SUM(N$2:N481),"")</f>
        <v/>
      </c>
      <c r="J481" s="61" t="str">
        <f>IFERROR(E481/SUM(O$2:O481),"")</f>
        <v/>
      </c>
      <c r="K481" s="61" t="str">
        <f>IFERROR(F481/SUM(P$2:P481),"")</f>
        <v/>
      </c>
      <c r="L481" s="79" t="str">
        <f>IFERROR(G481/SUM(Q$2:Q481),"")</f>
        <v/>
      </c>
      <c r="M481" s="64" t="str">
        <f t="shared" si="188"/>
        <v/>
      </c>
      <c r="N481" s="55" t="str">
        <f t="shared" si="189"/>
        <v/>
      </c>
      <c r="O481" s="55" t="str">
        <f t="shared" si="190"/>
        <v/>
      </c>
      <c r="P481" s="55" t="str">
        <f t="shared" si="191"/>
        <v/>
      </c>
      <c r="Q481" s="65" t="str">
        <f t="shared" si="192"/>
        <v/>
      </c>
      <c r="R481" s="67" t="str">
        <f t="shared" si="194"/>
        <v/>
      </c>
      <c r="S481" s="56" t="str">
        <f t="shared" si="195"/>
        <v/>
      </c>
      <c r="T481" s="56" t="str">
        <f t="shared" si="196"/>
        <v/>
      </c>
      <c r="U481" s="56" t="str">
        <f t="shared" si="197"/>
        <v/>
      </c>
      <c r="V481" s="68" t="str">
        <f t="shared" si="198"/>
        <v/>
      </c>
      <c r="W481" s="80" t="str">
        <f t="shared" si="199"/>
        <v/>
      </c>
      <c r="X481" s="81" t="str">
        <f t="shared" si="200"/>
        <v/>
      </c>
      <c r="Y481" s="81" t="str">
        <f t="shared" si="201"/>
        <v/>
      </c>
      <c r="Z481" s="81" t="str">
        <f t="shared" si="202"/>
        <v/>
      </c>
      <c r="AA481" s="82" t="str">
        <f t="shared" si="203"/>
        <v/>
      </c>
      <c r="AB481" s="83" t="str">
        <f>IF(R481&lt;&gt;"",(W481-SUMPRODUCT(R$3:R481,$B$3:$B481)/SUM($B$3:$B481))/STDEVA(W471:W481),"")</f>
        <v/>
      </c>
      <c r="AC481" s="84" t="str">
        <f>IF(S481&lt;&gt;"",(X481-SUMPRODUCT(S$3:S481,$B$3:$B481)/SUM($B$3:$B481))/STDEVA(X471:X481),"")</f>
        <v/>
      </c>
      <c r="AD481" s="84" t="str">
        <f>IF(T481&lt;&gt;"",(Y481-SUMPRODUCT(T$3:T481,$B$3:$B481)/SUM($B$3:$B481))/STDEVA(Y471:Y481),"")</f>
        <v/>
      </c>
      <c r="AE481" s="84" t="str">
        <f>IF(U481&lt;&gt;"",(Z481-SUMPRODUCT(U$3:U481,$B$3:$B481)/SUM($B$3:$B481))/STDEVA(Z471:Z481),"")</f>
        <v/>
      </c>
      <c r="AF481" s="85" t="str">
        <f>IF(V481&lt;&gt;"",(AA481-SUMPRODUCT(V$3:V481,$B$3:$B481)/SUM($B$3:$B481))/STDEVA(AA471:AA481),"")</f>
        <v/>
      </c>
      <c r="AG481" s="90" t="str">
        <f t="shared" si="204"/>
        <v/>
      </c>
      <c r="AH481" s="90" t="str">
        <f t="shared" si="204"/>
        <v/>
      </c>
      <c r="AI481" s="90" t="str">
        <f t="shared" si="204"/>
        <v/>
      </c>
      <c r="AJ481" s="90" t="str">
        <f t="shared" si="204"/>
        <v/>
      </c>
      <c r="AK481" s="93" t="str">
        <f t="shared" si="205"/>
        <v/>
      </c>
      <c r="BQ481" s="100" t="str">
        <f>IF(A481&lt;&gt;"",(VLOOKUP(A481,MarketData!$D:$BP,MATCH($BQ$1,MarketData!$D$1:$EG$1,0),TRUE)/100/365+1)^(B481)*BQ480,"")</f>
        <v/>
      </c>
      <c r="BR481" s="98" t="str">
        <f t="shared" si="182"/>
        <v/>
      </c>
      <c r="BS481" s="106" t="str">
        <f>IF(A481&lt;&gt;"",VLOOKUP(A481,MarketData!$D:$BP,MATCH($BS$1,MarketData!$D$1:$EG$1,0),TRUE),"")</f>
        <v/>
      </c>
      <c r="BT481" s="98" t="str">
        <f t="shared" si="193"/>
        <v/>
      </c>
    </row>
    <row r="482" spans="2:72" x14ac:dyDescent="0.25">
      <c r="B482" s="60" t="str">
        <f t="shared" si="206"/>
        <v/>
      </c>
      <c r="C482" s="3" t="str">
        <f t="shared" si="183"/>
        <v/>
      </c>
      <c r="D482" s="3" t="str">
        <f t="shared" si="184"/>
        <v/>
      </c>
      <c r="E482" s="3" t="str">
        <f t="shared" si="185"/>
        <v/>
      </c>
      <c r="F482" s="3" t="str">
        <f t="shared" si="186"/>
        <v/>
      </c>
      <c r="G482" s="74" t="str">
        <f t="shared" si="187"/>
        <v/>
      </c>
      <c r="H482" s="78" t="str">
        <f>IFERROR(C482/SUM(M$2:M481),"")</f>
        <v/>
      </c>
      <c r="I482" s="61" t="str">
        <f>IFERROR(D482/SUM(N$2:N482),"")</f>
        <v/>
      </c>
      <c r="J482" s="61" t="str">
        <f>IFERROR(E482/SUM(O$2:O482),"")</f>
        <v/>
      </c>
      <c r="K482" s="61" t="str">
        <f>IFERROR(F482/SUM(P$2:P482),"")</f>
        <v/>
      </c>
      <c r="L482" s="79" t="str">
        <f>IFERROR(G482/SUM(Q$2:Q482),"")</f>
        <v/>
      </c>
      <c r="M482" s="64" t="str">
        <f t="shared" si="188"/>
        <v/>
      </c>
      <c r="N482" s="55" t="str">
        <f t="shared" si="189"/>
        <v/>
      </c>
      <c r="O482" s="55" t="str">
        <f t="shared" si="190"/>
        <v/>
      </c>
      <c r="P482" s="55" t="str">
        <f t="shared" si="191"/>
        <v/>
      </c>
      <c r="Q482" s="65" t="str">
        <f t="shared" si="192"/>
        <v/>
      </c>
      <c r="R482" s="67" t="str">
        <f t="shared" si="194"/>
        <v/>
      </c>
      <c r="S482" s="56" t="str">
        <f t="shared" si="195"/>
        <v/>
      </c>
      <c r="T482" s="56" t="str">
        <f t="shared" si="196"/>
        <v/>
      </c>
      <c r="U482" s="56" t="str">
        <f t="shared" si="197"/>
        <v/>
      </c>
      <c r="V482" s="68" t="str">
        <f t="shared" si="198"/>
        <v/>
      </c>
      <c r="W482" s="80" t="str">
        <f t="shared" si="199"/>
        <v/>
      </c>
      <c r="X482" s="81" t="str">
        <f t="shared" si="200"/>
        <v/>
      </c>
      <c r="Y482" s="81" t="str">
        <f t="shared" si="201"/>
        <v/>
      </c>
      <c r="Z482" s="81" t="str">
        <f t="shared" si="202"/>
        <v/>
      </c>
      <c r="AA482" s="82" t="str">
        <f t="shared" si="203"/>
        <v/>
      </c>
      <c r="AB482" s="83" t="str">
        <f>IF(R482&lt;&gt;"",(W482-SUMPRODUCT(R$3:R482,$B$3:$B482)/SUM($B$3:$B482))/STDEVA(W472:W482),"")</f>
        <v/>
      </c>
      <c r="AC482" s="84" t="str">
        <f>IF(S482&lt;&gt;"",(X482-SUMPRODUCT(S$3:S482,$B$3:$B482)/SUM($B$3:$B482))/STDEVA(X472:X482),"")</f>
        <v/>
      </c>
      <c r="AD482" s="84" t="str">
        <f>IF(T482&lt;&gt;"",(Y482-SUMPRODUCT(T$3:T482,$B$3:$B482)/SUM($B$3:$B482))/STDEVA(Y472:Y482),"")</f>
        <v/>
      </c>
      <c r="AE482" s="84" t="str">
        <f>IF(U482&lt;&gt;"",(Z482-SUMPRODUCT(U$3:U482,$B$3:$B482)/SUM($B$3:$B482))/STDEVA(Z472:Z482),"")</f>
        <v/>
      </c>
      <c r="AF482" s="85" t="str">
        <f>IF(V482&lt;&gt;"",(AA482-SUMPRODUCT(V$3:V482,$B$3:$B482)/SUM($B$3:$B482))/STDEVA(AA472:AA482),"")</f>
        <v/>
      </c>
      <c r="AG482" s="90" t="str">
        <f t="shared" si="204"/>
        <v/>
      </c>
      <c r="AH482" s="90" t="str">
        <f t="shared" si="204"/>
        <v/>
      </c>
      <c r="AI482" s="90" t="str">
        <f t="shared" si="204"/>
        <v/>
      </c>
      <c r="AJ482" s="90" t="str">
        <f t="shared" si="204"/>
        <v/>
      </c>
      <c r="AK482" s="93" t="str">
        <f t="shared" si="205"/>
        <v/>
      </c>
      <c r="BQ482" s="100" t="str">
        <f>IF(A482&lt;&gt;"",(VLOOKUP(A482,MarketData!$D:$BP,MATCH($BQ$1,MarketData!$D$1:$EG$1,0),TRUE)/100/365+1)^(B482)*BQ481,"")</f>
        <v/>
      </c>
      <c r="BR482" s="98" t="str">
        <f t="shared" si="182"/>
        <v/>
      </c>
      <c r="BS482" s="106" t="str">
        <f>IF(A482&lt;&gt;"",VLOOKUP(A482,MarketData!$D:$BP,MATCH($BS$1,MarketData!$D$1:$EG$1,0),TRUE),"")</f>
        <v/>
      </c>
      <c r="BT482" s="98" t="str">
        <f t="shared" si="193"/>
        <v/>
      </c>
    </row>
    <row r="483" spans="2:72" x14ac:dyDescent="0.25">
      <c r="B483" s="60" t="str">
        <f t="shared" si="206"/>
        <v/>
      </c>
      <c r="C483" s="3" t="str">
        <f t="shared" si="183"/>
        <v/>
      </c>
      <c r="D483" s="3" t="str">
        <f t="shared" si="184"/>
        <v/>
      </c>
      <c r="E483" s="3" t="str">
        <f t="shared" si="185"/>
        <v/>
      </c>
      <c r="F483" s="3" t="str">
        <f t="shared" si="186"/>
        <v/>
      </c>
      <c r="G483" s="74" t="str">
        <f t="shared" si="187"/>
        <v/>
      </c>
      <c r="H483" s="78" t="str">
        <f>IFERROR(C483/SUM(M$2:M482),"")</f>
        <v/>
      </c>
      <c r="I483" s="61" t="str">
        <f>IFERROR(D483/SUM(N$2:N483),"")</f>
        <v/>
      </c>
      <c r="J483" s="61" t="str">
        <f>IFERROR(E483/SUM(O$2:O483),"")</f>
        <v/>
      </c>
      <c r="K483" s="61" t="str">
        <f>IFERROR(F483/SUM(P$2:P483),"")</f>
        <v/>
      </c>
      <c r="L483" s="79" t="str">
        <f>IFERROR(G483/SUM(Q$2:Q483),"")</f>
        <v/>
      </c>
      <c r="M483" s="64" t="str">
        <f t="shared" si="188"/>
        <v/>
      </c>
      <c r="N483" s="55" t="str">
        <f t="shared" si="189"/>
        <v/>
      </c>
      <c r="O483" s="55" t="str">
        <f t="shared" si="190"/>
        <v/>
      </c>
      <c r="P483" s="55" t="str">
        <f t="shared" si="191"/>
        <v/>
      </c>
      <c r="Q483" s="65" t="str">
        <f t="shared" si="192"/>
        <v/>
      </c>
      <c r="R483" s="67" t="str">
        <f t="shared" si="194"/>
        <v/>
      </c>
      <c r="S483" s="56" t="str">
        <f t="shared" si="195"/>
        <v/>
      </c>
      <c r="T483" s="56" t="str">
        <f t="shared" si="196"/>
        <v/>
      </c>
      <c r="U483" s="56" t="str">
        <f t="shared" si="197"/>
        <v/>
      </c>
      <c r="V483" s="68" t="str">
        <f t="shared" si="198"/>
        <v/>
      </c>
      <c r="W483" s="80" t="str">
        <f t="shared" si="199"/>
        <v/>
      </c>
      <c r="X483" s="81" t="str">
        <f t="shared" si="200"/>
        <v/>
      </c>
      <c r="Y483" s="81" t="str">
        <f t="shared" si="201"/>
        <v/>
      </c>
      <c r="Z483" s="81" t="str">
        <f t="shared" si="202"/>
        <v/>
      </c>
      <c r="AA483" s="82" t="str">
        <f t="shared" si="203"/>
        <v/>
      </c>
      <c r="AB483" s="83" t="str">
        <f>IF(R483&lt;&gt;"",(W483-SUMPRODUCT(R$3:R483,$B$3:$B483)/SUM($B$3:$B483))/STDEVA(W473:W483),"")</f>
        <v/>
      </c>
      <c r="AC483" s="84" t="str">
        <f>IF(S483&lt;&gt;"",(X483-SUMPRODUCT(S$3:S483,$B$3:$B483)/SUM($B$3:$B483))/STDEVA(X473:X483),"")</f>
        <v/>
      </c>
      <c r="AD483" s="84" t="str">
        <f>IF(T483&lt;&gt;"",(Y483-SUMPRODUCT(T$3:T483,$B$3:$B483)/SUM($B$3:$B483))/STDEVA(Y473:Y483),"")</f>
        <v/>
      </c>
      <c r="AE483" s="84" t="str">
        <f>IF(U483&lt;&gt;"",(Z483-SUMPRODUCT(U$3:U483,$B$3:$B483)/SUM($B$3:$B483))/STDEVA(Z473:Z483),"")</f>
        <v/>
      </c>
      <c r="AF483" s="85" t="str">
        <f>IF(V483&lt;&gt;"",(AA483-SUMPRODUCT(V$3:V483,$B$3:$B483)/SUM($B$3:$B483))/STDEVA(AA473:AA483),"")</f>
        <v/>
      </c>
      <c r="AG483" s="90" t="str">
        <f t="shared" si="204"/>
        <v/>
      </c>
      <c r="AH483" s="90" t="str">
        <f t="shared" si="204"/>
        <v/>
      </c>
      <c r="AI483" s="90" t="str">
        <f t="shared" si="204"/>
        <v/>
      </c>
      <c r="AJ483" s="90" t="str">
        <f t="shared" si="204"/>
        <v/>
      </c>
      <c r="AK483" s="93" t="str">
        <f t="shared" si="205"/>
        <v/>
      </c>
      <c r="BQ483" s="100" t="str">
        <f>IF(A483&lt;&gt;"",(VLOOKUP(A483,MarketData!$D:$BP,MATCH($BQ$1,MarketData!$D$1:$EG$1,0),TRUE)/100/365+1)^(B483)*BQ482,"")</f>
        <v/>
      </c>
      <c r="BR483" s="98" t="str">
        <f t="shared" si="182"/>
        <v/>
      </c>
      <c r="BS483" s="106" t="str">
        <f>IF(A483&lt;&gt;"",VLOOKUP(A483,MarketData!$D:$BP,MATCH($BS$1,MarketData!$D$1:$EG$1,0),TRUE),"")</f>
        <v/>
      </c>
      <c r="BT483" s="98" t="str">
        <f t="shared" si="193"/>
        <v/>
      </c>
    </row>
    <row r="484" spans="2:72" x14ac:dyDescent="0.25">
      <c r="B484" s="60" t="str">
        <f t="shared" si="206"/>
        <v/>
      </c>
      <c r="C484" s="3" t="str">
        <f t="shared" si="183"/>
        <v/>
      </c>
      <c r="D484" s="3" t="str">
        <f t="shared" si="184"/>
        <v/>
      </c>
      <c r="E484" s="3" t="str">
        <f t="shared" si="185"/>
        <v/>
      </c>
      <c r="F484" s="3" t="str">
        <f t="shared" si="186"/>
        <v/>
      </c>
      <c r="G484" s="74" t="str">
        <f t="shared" si="187"/>
        <v/>
      </c>
      <c r="H484" s="78" t="str">
        <f>IFERROR(C484/SUM(M$2:M483),"")</f>
        <v/>
      </c>
      <c r="I484" s="61" t="str">
        <f>IFERROR(D484/SUM(N$2:N484),"")</f>
        <v/>
      </c>
      <c r="J484" s="61" t="str">
        <f>IFERROR(E484/SUM(O$2:O484),"")</f>
        <v/>
      </c>
      <c r="K484" s="61" t="str">
        <f>IFERROR(F484/SUM(P$2:P484),"")</f>
        <v/>
      </c>
      <c r="L484" s="79" t="str">
        <f>IFERROR(G484/SUM(Q$2:Q484),"")</f>
        <v/>
      </c>
      <c r="M484" s="64" t="str">
        <f t="shared" si="188"/>
        <v/>
      </c>
      <c r="N484" s="55" t="str">
        <f t="shared" si="189"/>
        <v/>
      </c>
      <c r="O484" s="55" t="str">
        <f t="shared" si="190"/>
        <v/>
      </c>
      <c r="P484" s="55" t="str">
        <f t="shared" si="191"/>
        <v/>
      </c>
      <c r="Q484" s="65" t="str">
        <f t="shared" si="192"/>
        <v/>
      </c>
      <c r="R484" s="67" t="str">
        <f t="shared" si="194"/>
        <v/>
      </c>
      <c r="S484" s="56" t="str">
        <f t="shared" si="195"/>
        <v/>
      </c>
      <c r="T484" s="56" t="str">
        <f t="shared" si="196"/>
        <v/>
      </c>
      <c r="U484" s="56" t="str">
        <f t="shared" si="197"/>
        <v/>
      </c>
      <c r="V484" s="68" t="str">
        <f t="shared" si="198"/>
        <v/>
      </c>
      <c r="W484" s="80" t="str">
        <f t="shared" si="199"/>
        <v/>
      </c>
      <c r="X484" s="81" t="str">
        <f t="shared" si="200"/>
        <v/>
      </c>
      <c r="Y484" s="81" t="str">
        <f t="shared" si="201"/>
        <v/>
      </c>
      <c r="Z484" s="81" t="str">
        <f t="shared" si="202"/>
        <v/>
      </c>
      <c r="AA484" s="82" t="str">
        <f t="shared" si="203"/>
        <v/>
      </c>
      <c r="AB484" s="83" t="str">
        <f>IF(R484&lt;&gt;"",(W484-SUMPRODUCT(R$3:R484,$B$3:$B484)/SUM($B$3:$B484))/STDEVA(W474:W484),"")</f>
        <v/>
      </c>
      <c r="AC484" s="84" t="str">
        <f>IF(S484&lt;&gt;"",(X484-SUMPRODUCT(S$3:S484,$B$3:$B484)/SUM($B$3:$B484))/STDEVA(X474:X484),"")</f>
        <v/>
      </c>
      <c r="AD484" s="84" t="str">
        <f>IF(T484&lt;&gt;"",(Y484-SUMPRODUCT(T$3:T484,$B$3:$B484)/SUM($B$3:$B484))/STDEVA(Y474:Y484),"")</f>
        <v/>
      </c>
      <c r="AE484" s="84" t="str">
        <f>IF(U484&lt;&gt;"",(Z484-SUMPRODUCT(U$3:U484,$B$3:$B484)/SUM($B$3:$B484))/STDEVA(Z474:Z484),"")</f>
        <v/>
      </c>
      <c r="AF484" s="85" t="str">
        <f>IF(V484&lt;&gt;"",(AA484-SUMPRODUCT(V$3:V484,$B$3:$B484)/SUM($B$3:$B484))/STDEVA(AA474:AA484),"")</f>
        <v/>
      </c>
      <c r="AG484" s="90" t="str">
        <f t="shared" si="204"/>
        <v/>
      </c>
      <c r="AH484" s="90" t="str">
        <f t="shared" si="204"/>
        <v/>
      </c>
      <c r="AI484" s="90" t="str">
        <f t="shared" si="204"/>
        <v/>
      </c>
      <c r="AJ484" s="90" t="str">
        <f t="shared" si="204"/>
        <v/>
      </c>
      <c r="AK484" s="93" t="str">
        <f t="shared" si="205"/>
        <v/>
      </c>
      <c r="BQ484" s="100" t="str">
        <f>IF(A484&lt;&gt;"",(VLOOKUP(A484,MarketData!$D:$BP,MATCH($BQ$1,MarketData!$D$1:$EG$1,0),TRUE)/100/365+1)^(B484)*BQ483,"")</f>
        <v/>
      </c>
      <c r="BR484" s="98" t="str">
        <f t="shared" si="182"/>
        <v/>
      </c>
      <c r="BS484" s="106" t="str">
        <f>IF(A484&lt;&gt;"",VLOOKUP(A484,MarketData!$D:$BP,MATCH($BS$1,MarketData!$D$1:$EG$1,0),TRUE),"")</f>
        <v/>
      </c>
      <c r="BT484" s="98" t="str">
        <f t="shared" si="193"/>
        <v/>
      </c>
    </row>
    <row r="485" spans="2:72" x14ac:dyDescent="0.25">
      <c r="B485" s="60" t="str">
        <f t="shared" si="206"/>
        <v/>
      </c>
      <c r="C485" s="3" t="str">
        <f t="shared" si="183"/>
        <v/>
      </c>
      <c r="D485" s="3" t="str">
        <f t="shared" si="184"/>
        <v/>
      </c>
      <c r="E485" s="3" t="str">
        <f t="shared" si="185"/>
        <v/>
      </c>
      <c r="F485" s="3" t="str">
        <f t="shared" si="186"/>
        <v/>
      </c>
      <c r="G485" s="74" t="str">
        <f t="shared" si="187"/>
        <v/>
      </c>
      <c r="H485" s="78" t="str">
        <f>IFERROR(C485/SUM(M$2:M484),"")</f>
        <v/>
      </c>
      <c r="I485" s="61" t="str">
        <f>IFERROR(D485/SUM(N$2:N485),"")</f>
        <v/>
      </c>
      <c r="J485" s="61" t="str">
        <f>IFERROR(E485/SUM(O$2:O485),"")</f>
        <v/>
      </c>
      <c r="K485" s="61" t="str">
        <f>IFERROR(F485/SUM(P$2:P485),"")</f>
        <v/>
      </c>
      <c r="L485" s="79" t="str">
        <f>IFERROR(G485/SUM(Q$2:Q485),"")</f>
        <v/>
      </c>
      <c r="M485" s="64" t="str">
        <f t="shared" si="188"/>
        <v/>
      </c>
      <c r="N485" s="55" t="str">
        <f t="shared" si="189"/>
        <v/>
      </c>
      <c r="O485" s="55" t="str">
        <f t="shared" si="190"/>
        <v/>
      </c>
      <c r="P485" s="55" t="str">
        <f t="shared" si="191"/>
        <v/>
      </c>
      <c r="Q485" s="65" t="str">
        <f t="shared" si="192"/>
        <v/>
      </c>
      <c r="R485" s="67" t="str">
        <f t="shared" si="194"/>
        <v/>
      </c>
      <c r="S485" s="56" t="str">
        <f t="shared" si="195"/>
        <v/>
      </c>
      <c r="T485" s="56" t="str">
        <f t="shared" si="196"/>
        <v/>
      </c>
      <c r="U485" s="56" t="str">
        <f t="shared" si="197"/>
        <v/>
      </c>
      <c r="V485" s="68" t="str">
        <f t="shared" si="198"/>
        <v/>
      </c>
      <c r="W485" s="80" t="str">
        <f t="shared" si="199"/>
        <v/>
      </c>
      <c r="X485" s="81" t="str">
        <f t="shared" si="200"/>
        <v/>
      </c>
      <c r="Y485" s="81" t="str">
        <f t="shared" si="201"/>
        <v/>
      </c>
      <c r="Z485" s="81" t="str">
        <f t="shared" si="202"/>
        <v/>
      </c>
      <c r="AA485" s="82" t="str">
        <f t="shared" si="203"/>
        <v/>
      </c>
      <c r="AB485" s="83" t="str">
        <f>IF(R485&lt;&gt;"",(W485-SUMPRODUCT(R$3:R485,$B$3:$B485)/SUM($B$3:$B485))/STDEVA(W475:W485),"")</f>
        <v/>
      </c>
      <c r="AC485" s="84" t="str">
        <f>IF(S485&lt;&gt;"",(X485-SUMPRODUCT(S$3:S485,$B$3:$B485)/SUM($B$3:$B485))/STDEVA(X475:X485),"")</f>
        <v/>
      </c>
      <c r="AD485" s="84" t="str">
        <f>IF(T485&lt;&gt;"",(Y485-SUMPRODUCT(T$3:T485,$B$3:$B485)/SUM($B$3:$B485))/STDEVA(Y475:Y485),"")</f>
        <v/>
      </c>
      <c r="AE485" s="84" t="str">
        <f>IF(U485&lt;&gt;"",(Z485-SUMPRODUCT(U$3:U485,$B$3:$B485)/SUM($B$3:$B485))/STDEVA(Z475:Z485),"")</f>
        <v/>
      </c>
      <c r="AF485" s="85" t="str">
        <f>IF(V485&lt;&gt;"",(AA485-SUMPRODUCT(V$3:V485,$B$3:$B485)/SUM($B$3:$B485))/STDEVA(AA475:AA485),"")</f>
        <v/>
      </c>
      <c r="AG485" s="90" t="str">
        <f t="shared" si="204"/>
        <v/>
      </c>
      <c r="AH485" s="90" t="str">
        <f t="shared" si="204"/>
        <v/>
      </c>
      <c r="AI485" s="90" t="str">
        <f t="shared" si="204"/>
        <v/>
      </c>
      <c r="AJ485" s="90" t="str">
        <f t="shared" si="204"/>
        <v/>
      </c>
      <c r="AK485" s="93" t="str">
        <f t="shared" si="205"/>
        <v/>
      </c>
      <c r="BQ485" s="100" t="str">
        <f>IF(A485&lt;&gt;"",(VLOOKUP(A485,MarketData!$D:$BP,MATCH($BQ$1,MarketData!$D$1:$EG$1,0),TRUE)/100/365+1)^(B485)*BQ484,"")</f>
        <v/>
      </c>
      <c r="BR485" s="98" t="str">
        <f t="shared" si="182"/>
        <v/>
      </c>
      <c r="BS485" s="106" t="str">
        <f>IF(A485&lt;&gt;"",VLOOKUP(A485,MarketData!$D:$BP,MATCH($BS$1,MarketData!$D$1:$EG$1,0),TRUE),"")</f>
        <v/>
      </c>
      <c r="BT485" s="98" t="str">
        <f t="shared" si="193"/>
        <v/>
      </c>
    </row>
    <row r="486" spans="2:72" x14ac:dyDescent="0.25">
      <c r="B486" s="60" t="str">
        <f t="shared" si="206"/>
        <v/>
      </c>
      <c r="C486" s="3" t="str">
        <f t="shared" si="183"/>
        <v/>
      </c>
      <c r="D486" s="3" t="str">
        <f t="shared" si="184"/>
        <v/>
      </c>
      <c r="E486" s="3" t="str">
        <f t="shared" si="185"/>
        <v/>
      </c>
      <c r="F486" s="3" t="str">
        <f t="shared" si="186"/>
        <v/>
      </c>
      <c r="G486" s="74" t="str">
        <f t="shared" si="187"/>
        <v/>
      </c>
      <c r="H486" s="78" t="str">
        <f>IFERROR(C486/SUM(M$2:M485),"")</f>
        <v/>
      </c>
      <c r="I486" s="61" t="str">
        <f>IFERROR(D486/SUM(N$2:N486),"")</f>
        <v/>
      </c>
      <c r="J486" s="61" t="str">
        <f>IFERROR(E486/SUM(O$2:O486),"")</f>
        <v/>
      </c>
      <c r="K486" s="61" t="str">
        <f>IFERROR(F486/SUM(P$2:P486),"")</f>
        <v/>
      </c>
      <c r="L486" s="79" t="str">
        <f>IFERROR(G486/SUM(Q$2:Q486),"")</f>
        <v/>
      </c>
      <c r="M486" s="64" t="str">
        <f t="shared" si="188"/>
        <v/>
      </c>
      <c r="N486" s="55" t="str">
        <f t="shared" si="189"/>
        <v/>
      </c>
      <c r="O486" s="55" t="str">
        <f t="shared" si="190"/>
        <v/>
      </c>
      <c r="P486" s="55" t="str">
        <f t="shared" si="191"/>
        <v/>
      </c>
      <c r="Q486" s="65" t="str">
        <f t="shared" si="192"/>
        <v/>
      </c>
      <c r="R486" s="67" t="str">
        <f t="shared" si="194"/>
        <v/>
      </c>
      <c r="S486" s="56" t="str">
        <f t="shared" si="195"/>
        <v/>
      </c>
      <c r="T486" s="56" t="str">
        <f t="shared" si="196"/>
        <v/>
      </c>
      <c r="U486" s="56" t="str">
        <f t="shared" si="197"/>
        <v/>
      </c>
      <c r="V486" s="68" t="str">
        <f t="shared" si="198"/>
        <v/>
      </c>
      <c r="W486" s="80" t="str">
        <f t="shared" si="199"/>
        <v/>
      </c>
      <c r="X486" s="81" t="str">
        <f t="shared" si="200"/>
        <v/>
      </c>
      <c r="Y486" s="81" t="str">
        <f t="shared" si="201"/>
        <v/>
      </c>
      <c r="Z486" s="81" t="str">
        <f t="shared" si="202"/>
        <v/>
      </c>
      <c r="AA486" s="82" t="str">
        <f t="shared" si="203"/>
        <v/>
      </c>
      <c r="AB486" s="83" t="str">
        <f>IF(R486&lt;&gt;"",(W486-SUMPRODUCT(R$3:R486,$B$3:$B486)/SUM($B$3:$B486))/STDEVA(W476:W486),"")</f>
        <v/>
      </c>
      <c r="AC486" s="84" t="str">
        <f>IF(S486&lt;&gt;"",(X486-SUMPRODUCT(S$3:S486,$B$3:$B486)/SUM($B$3:$B486))/STDEVA(X476:X486),"")</f>
        <v/>
      </c>
      <c r="AD486" s="84" t="str">
        <f>IF(T486&lt;&gt;"",(Y486-SUMPRODUCT(T$3:T486,$B$3:$B486)/SUM($B$3:$B486))/STDEVA(Y476:Y486),"")</f>
        <v/>
      </c>
      <c r="AE486" s="84" t="str">
        <f>IF(U486&lt;&gt;"",(Z486-SUMPRODUCT(U$3:U486,$B$3:$B486)/SUM($B$3:$B486))/STDEVA(Z476:Z486),"")</f>
        <v/>
      </c>
      <c r="AF486" s="85" t="str">
        <f>IF(V486&lt;&gt;"",(AA486-SUMPRODUCT(V$3:V486,$B$3:$B486)/SUM($B$3:$B486))/STDEVA(AA476:AA486),"")</f>
        <v/>
      </c>
      <c r="AG486" s="90" t="str">
        <f t="shared" si="204"/>
        <v/>
      </c>
      <c r="AH486" s="90" t="str">
        <f t="shared" si="204"/>
        <v/>
      </c>
      <c r="AI486" s="90" t="str">
        <f t="shared" si="204"/>
        <v/>
      </c>
      <c r="AJ486" s="90" t="str">
        <f t="shared" si="204"/>
        <v/>
      </c>
      <c r="AK486" s="93" t="str">
        <f t="shared" si="205"/>
        <v/>
      </c>
      <c r="BQ486" s="100" t="str">
        <f>IF(A486&lt;&gt;"",(VLOOKUP(A486,MarketData!$D:$BP,MATCH($BQ$1,MarketData!$D$1:$EG$1,0),TRUE)/100/365+1)^(B486)*BQ485,"")</f>
        <v/>
      </c>
      <c r="BR486" s="98" t="str">
        <f t="shared" si="182"/>
        <v/>
      </c>
      <c r="BS486" s="106" t="str">
        <f>IF(A486&lt;&gt;"",VLOOKUP(A486,MarketData!$D:$BP,MATCH($BS$1,MarketData!$D$1:$EG$1,0),TRUE),"")</f>
        <v/>
      </c>
      <c r="BT486" s="98" t="str">
        <f t="shared" si="193"/>
        <v/>
      </c>
    </row>
    <row r="487" spans="2:72" x14ac:dyDescent="0.25">
      <c r="B487" s="60" t="str">
        <f t="shared" si="206"/>
        <v/>
      </c>
      <c r="C487" s="3" t="str">
        <f t="shared" si="183"/>
        <v/>
      </c>
      <c r="D487" s="3" t="str">
        <f t="shared" si="184"/>
        <v/>
      </c>
      <c r="E487" s="3" t="str">
        <f t="shared" si="185"/>
        <v/>
      </c>
      <c r="F487" s="3" t="str">
        <f t="shared" si="186"/>
        <v/>
      </c>
      <c r="G487" s="74" t="str">
        <f t="shared" si="187"/>
        <v/>
      </c>
      <c r="H487" s="78" t="str">
        <f>IFERROR(C487/SUM(M$2:M486),"")</f>
        <v/>
      </c>
      <c r="I487" s="61" t="str">
        <f>IFERROR(D487/SUM(N$2:N487),"")</f>
        <v/>
      </c>
      <c r="J487" s="61" t="str">
        <f>IFERROR(E487/SUM(O$2:O487),"")</f>
        <v/>
      </c>
      <c r="K487" s="61" t="str">
        <f>IFERROR(F487/SUM(P$2:P487),"")</f>
        <v/>
      </c>
      <c r="L487" s="79" t="str">
        <f>IFERROR(G487/SUM(Q$2:Q487),"")</f>
        <v/>
      </c>
      <c r="M487" s="64" t="str">
        <f t="shared" si="188"/>
        <v/>
      </c>
      <c r="N487" s="55" t="str">
        <f t="shared" si="189"/>
        <v/>
      </c>
      <c r="O487" s="55" t="str">
        <f t="shared" si="190"/>
        <v/>
      </c>
      <c r="P487" s="55" t="str">
        <f t="shared" si="191"/>
        <v/>
      </c>
      <c r="Q487" s="65" t="str">
        <f t="shared" si="192"/>
        <v/>
      </c>
      <c r="R487" s="67" t="str">
        <f t="shared" si="194"/>
        <v/>
      </c>
      <c r="S487" s="56" t="str">
        <f t="shared" si="195"/>
        <v/>
      </c>
      <c r="T487" s="56" t="str">
        <f t="shared" si="196"/>
        <v/>
      </c>
      <c r="U487" s="56" t="str">
        <f t="shared" si="197"/>
        <v/>
      </c>
      <c r="V487" s="68" t="str">
        <f t="shared" si="198"/>
        <v/>
      </c>
      <c r="W487" s="80" t="str">
        <f t="shared" si="199"/>
        <v/>
      </c>
      <c r="X487" s="81" t="str">
        <f t="shared" si="200"/>
        <v/>
      </c>
      <c r="Y487" s="81" t="str">
        <f t="shared" si="201"/>
        <v/>
      </c>
      <c r="Z487" s="81" t="str">
        <f t="shared" si="202"/>
        <v/>
      </c>
      <c r="AA487" s="82" t="str">
        <f t="shared" si="203"/>
        <v/>
      </c>
      <c r="AB487" s="83" t="str">
        <f>IF(R487&lt;&gt;"",(W487-SUMPRODUCT(R$3:R487,$B$3:$B487)/SUM($B$3:$B487))/STDEVA(W477:W487),"")</f>
        <v/>
      </c>
      <c r="AC487" s="84" t="str">
        <f>IF(S487&lt;&gt;"",(X487-SUMPRODUCT(S$3:S487,$B$3:$B487)/SUM($B$3:$B487))/STDEVA(X477:X487),"")</f>
        <v/>
      </c>
      <c r="AD487" s="84" t="str">
        <f>IF(T487&lt;&gt;"",(Y487-SUMPRODUCT(T$3:T487,$B$3:$B487)/SUM($B$3:$B487))/STDEVA(Y477:Y487),"")</f>
        <v/>
      </c>
      <c r="AE487" s="84" t="str">
        <f>IF(U487&lt;&gt;"",(Z487-SUMPRODUCT(U$3:U487,$B$3:$B487)/SUM($B$3:$B487))/STDEVA(Z477:Z487),"")</f>
        <v/>
      </c>
      <c r="AF487" s="85" t="str">
        <f>IF(V487&lt;&gt;"",(AA487-SUMPRODUCT(V$3:V487,$B$3:$B487)/SUM($B$3:$B487))/STDEVA(AA477:AA487),"")</f>
        <v/>
      </c>
      <c r="AG487" s="90" t="str">
        <f t="shared" si="204"/>
        <v/>
      </c>
      <c r="AH487" s="90" t="str">
        <f t="shared" si="204"/>
        <v/>
      </c>
      <c r="AI487" s="90" t="str">
        <f t="shared" si="204"/>
        <v/>
      </c>
      <c r="AJ487" s="90" t="str">
        <f t="shared" si="204"/>
        <v/>
      </c>
      <c r="AK487" s="93" t="str">
        <f t="shared" si="205"/>
        <v/>
      </c>
      <c r="BQ487" s="100" t="str">
        <f>IF(A487&lt;&gt;"",(VLOOKUP(A487,MarketData!$D:$BP,MATCH($BQ$1,MarketData!$D$1:$EG$1,0),TRUE)/100/365+1)^(B487)*BQ486,"")</f>
        <v/>
      </c>
      <c r="BR487" s="98" t="str">
        <f t="shared" si="182"/>
        <v/>
      </c>
      <c r="BS487" s="106" t="str">
        <f>IF(A487&lt;&gt;"",VLOOKUP(A487,MarketData!$D:$BP,MATCH($BS$1,MarketData!$D$1:$EG$1,0),TRUE),"")</f>
        <v/>
      </c>
      <c r="BT487" s="98" t="str">
        <f t="shared" si="193"/>
        <v/>
      </c>
    </row>
    <row r="488" spans="2:72" x14ac:dyDescent="0.25">
      <c r="B488" s="60" t="str">
        <f t="shared" si="206"/>
        <v/>
      </c>
      <c r="C488" s="3" t="str">
        <f t="shared" si="183"/>
        <v/>
      </c>
      <c r="D488" s="3" t="str">
        <f t="shared" si="184"/>
        <v/>
      </c>
      <c r="E488" s="3" t="str">
        <f t="shared" si="185"/>
        <v/>
      </c>
      <c r="F488" s="3" t="str">
        <f t="shared" si="186"/>
        <v/>
      </c>
      <c r="G488" s="74" t="str">
        <f t="shared" si="187"/>
        <v/>
      </c>
      <c r="H488" s="78" t="str">
        <f>IFERROR(C488/SUM(M$2:M487),"")</f>
        <v/>
      </c>
      <c r="I488" s="61" t="str">
        <f>IFERROR(D488/SUM(N$2:N488),"")</f>
        <v/>
      </c>
      <c r="J488" s="61" t="str">
        <f>IFERROR(E488/SUM(O$2:O488),"")</f>
        <v/>
      </c>
      <c r="K488" s="61" t="str">
        <f>IFERROR(F488/SUM(P$2:P488),"")</f>
        <v/>
      </c>
      <c r="L488" s="79" t="str">
        <f>IFERROR(G488/SUM(Q$2:Q488),"")</f>
        <v/>
      </c>
      <c r="M488" s="64" t="str">
        <f t="shared" si="188"/>
        <v/>
      </c>
      <c r="N488" s="55" t="str">
        <f t="shared" si="189"/>
        <v/>
      </c>
      <c r="O488" s="55" t="str">
        <f t="shared" si="190"/>
        <v/>
      </c>
      <c r="P488" s="55" t="str">
        <f t="shared" si="191"/>
        <v/>
      </c>
      <c r="Q488" s="65" t="str">
        <f t="shared" si="192"/>
        <v/>
      </c>
      <c r="R488" s="67" t="str">
        <f t="shared" si="194"/>
        <v/>
      </c>
      <c r="S488" s="56" t="str">
        <f t="shared" si="195"/>
        <v/>
      </c>
      <c r="T488" s="56" t="str">
        <f t="shared" si="196"/>
        <v/>
      </c>
      <c r="U488" s="56" t="str">
        <f t="shared" si="197"/>
        <v/>
      </c>
      <c r="V488" s="68" t="str">
        <f t="shared" si="198"/>
        <v/>
      </c>
      <c r="W488" s="80" t="str">
        <f t="shared" si="199"/>
        <v/>
      </c>
      <c r="X488" s="81" t="str">
        <f t="shared" si="200"/>
        <v/>
      </c>
      <c r="Y488" s="81" t="str">
        <f t="shared" si="201"/>
        <v/>
      </c>
      <c r="Z488" s="81" t="str">
        <f t="shared" si="202"/>
        <v/>
      </c>
      <c r="AA488" s="82" t="str">
        <f t="shared" si="203"/>
        <v/>
      </c>
      <c r="AB488" s="83" t="str">
        <f>IF(R488&lt;&gt;"",(W488-SUMPRODUCT(R$3:R488,$B$3:$B488)/SUM($B$3:$B488))/STDEVA(W478:W488),"")</f>
        <v/>
      </c>
      <c r="AC488" s="84" t="str">
        <f>IF(S488&lt;&gt;"",(X488-SUMPRODUCT(S$3:S488,$B$3:$B488)/SUM($B$3:$B488))/STDEVA(X478:X488),"")</f>
        <v/>
      </c>
      <c r="AD488" s="84" t="str">
        <f>IF(T488&lt;&gt;"",(Y488-SUMPRODUCT(T$3:T488,$B$3:$B488)/SUM($B$3:$B488))/STDEVA(Y478:Y488),"")</f>
        <v/>
      </c>
      <c r="AE488" s="84" t="str">
        <f>IF(U488&lt;&gt;"",(Z488-SUMPRODUCT(U$3:U488,$B$3:$B488)/SUM($B$3:$B488))/STDEVA(Z478:Z488),"")</f>
        <v/>
      </c>
      <c r="AF488" s="85" t="str">
        <f>IF(V488&lt;&gt;"",(AA488-SUMPRODUCT(V$3:V488,$B$3:$B488)/SUM($B$3:$B488))/STDEVA(AA478:AA488),"")</f>
        <v/>
      </c>
      <c r="AG488" s="90" t="str">
        <f t="shared" si="204"/>
        <v/>
      </c>
      <c r="AH488" s="90" t="str">
        <f t="shared" si="204"/>
        <v/>
      </c>
      <c r="AI488" s="90" t="str">
        <f t="shared" si="204"/>
        <v/>
      </c>
      <c r="AJ488" s="90" t="str">
        <f t="shared" si="204"/>
        <v/>
      </c>
      <c r="AK488" s="93" t="str">
        <f t="shared" si="205"/>
        <v/>
      </c>
      <c r="BQ488" s="100" t="str">
        <f>IF(A488&lt;&gt;"",(VLOOKUP(A488,MarketData!$D:$BP,MATCH($BQ$1,MarketData!$D$1:$EG$1,0),TRUE)/100/365+1)^(B488)*BQ487,"")</f>
        <v/>
      </c>
      <c r="BR488" s="98" t="str">
        <f t="shared" si="182"/>
        <v/>
      </c>
      <c r="BS488" s="106" t="str">
        <f>IF(A488&lt;&gt;"",VLOOKUP(A488,MarketData!$D:$BP,MATCH($BS$1,MarketData!$D$1:$EG$1,0),TRUE),"")</f>
        <v/>
      </c>
      <c r="BT488" s="98" t="str">
        <f t="shared" si="193"/>
        <v/>
      </c>
    </row>
    <row r="489" spans="2:72" x14ac:dyDescent="0.25">
      <c r="B489" s="60" t="str">
        <f t="shared" si="206"/>
        <v/>
      </c>
      <c r="C489" s="3" t="str">
        <f t="shared" si="183"/>
        <v/>
      </c>
      <c r="D489" s="3" t="str">
        <f t="shared" si="184"/>
        <v/>
      </c>
      <c r="E489" s="3" t="str">
        <f t="shared" si="185"/>
        <v/>
      </c>
      <c r="F489" s="3" t="str">
        <f t="shared" si="186"/>
        <v/>
      </c>
      <c r="G489" s="74" t="str">
        <f t="shared" si="187"/>
        <v/>
      </c>
      <c r="H489" s="78" t="str">
        <f>IFERROR(C489/SUM(M$2:M488),"")</f>
        <v/>
      </c>
      <c r="I489" s="61" t="str">
        <f>IFERROR(D489/SUM(N$2:N489),"")</f>
        <v/>
      </c>
      <c r="J489" s="61" t="str">
        <f>IFERROR(E489/SUM(O$2:O489),"")</f>
        <v/>
      </c>
      <c r="K489" s="61" t="str">
        <f>IFERROR(F489/SUM(P$2:P489),"")</f>
        <v/>
      </c>
      <c r="L489" s="79" t="str">
        <f>IFERROR(G489/SUM(Q$2:Q489),"")</f>
        <v/>
      </c>
      <c r="M489" s="64" t="str">
        <f t="shared" si="188"/>
        <v/>
      </c>
      <c r="N489" s="55" t="str">
        <f t="shared" si="189"/>
        <v/>
      </c>
      <c r="O489" s="55" t="str">
        <f t="shared" si="190"/>
        <v/>
      </c>
      <c r="P489" s="55" t="str">
        <f t="shared" si="191"/>
        <v/>
      </c>
      <c r="Q489" s="65" t="str">
        <f t="shared" si="192"/>
        <v/>
      </c>
      <c r="R489" s="67" t="str">
        <f t="shared" si="194"/>
        <v/>
      </c>
      <c r="S489" s="56" t="str">
        <f t="shared" si="195"/>
        <v/>
      </c>
      <c r="T489" s="56" t="str">
        <f t="shared" si="196"/>
        <v/>
      </c>
      <c r="U489" s="56" t="str">
        <f t="shared" si="197"/>
        <v/>
      </c>
      <c r="V489" s="68" t="str">
        <f t="shared" si="198"/>
        <v/>
      </c>
      <c r="W489" s="80" t="str">
        <f t="shared" si="199"/>
        <v/>
      </c>
      <c r="X489" s="81" t="str">
        <f t="shared" si="200"/>
        <v/>
      </c>
      <c r="Y489" s="81" t="str">
        <f t="shared" si="201"/>
        <v/>
      </c>
      <c r="Z489" s="81" t="str">
        <f t="shared" si="202"/>
        <v/>
      </c>
      <c r="AA489" s="82" t="str">
        <f t="shared" si="203"/>
        <v/>
      </c>
      <c r="AB489" s="83" t="str">
        <f>IF(R489&lt;&gt;"",(W489-SUMPRODUCT(R$3:R489,$B$3:$B489)/SUM($B$3:$B489))/STDEVA(W479:W489),"")</f>
        <v/>
      </c>
      <c r="AC489" s="84" t="str">
        <f>IF(S489&lt;&gt;"",(X489-SUMPRODUCT(S$3:S489,$B$3:$B489)/SUM($B$3:$B489))/STDEVA(X479:X489),"")</f>
        <v/>
      </c>
      <c r="AD489" s="84" t="str">
        <f>IF(T489&lt;&gt;"",(Y489-SUMPRODUCT(T$3:T489,$B$3:$B489)/SUM($B$3:$B489))/STDEVA(Y479:Y489),"")</f>
        <v/>
      </c>
      <c r="AE489" s="84" t="str">
        <f>IF(U489&lt;&gt;"",(Z489-SUMPRODUCT(U$3:U489,$B$3:$B489)/SUM($B$3:$B489))/STDEVA(Z479:Z489),"")</f>
        <v/>
      </c>
      <c r="AF489" s="85" t="str">
        <f>IF(V489&lt;&gt;"",(AA489-SUMPRODUCT(V$3:V489,$B$3:$B489)/SUM($B$3:$B489))/STDEVA(AA479:AA489),"")</f>
        <v/>
      </c>
      <c r="AG489" s="90" t="str">
        <f t="shared" si="204"/>
        <v/>
      </c>
      <c r="AH489" s="90" t="str">
        <f t="shared" si="204"/>
        <v/>
      </c>
      <c r="AI489" s="90" t="str">
        <f t="shared" si="204"/>
        <v/>
      </c>
      <c r="AJ489" s="90" t="str">
        <f t="shared" si="204"/>
        <v/>
      </c>
      <c r="AK489" s="93" t="str">
        <f t="shared" si="205"/>
        <v/>
      </c>
      <c r="BQ489" s="100" t="str">
        <f>IF(A489&lt;&gt;"",(VLOOKUP(A489,MarketData!$D:$BP,MATCH($BQ$1,MarketData!$D$1:$EG$1,0),TRUE)/100/365+1)^(B489)*BQ488,"")</f>
        <v/>
      </c>
      <c r="BR489" s="98" t="str">
        <f t="shared" si="182"/>
        <v/>
      </c>
      <c r="BS489" s="106" t="str">
        <f>IF(A489&lt;&gt;"",VLOOKUP(A489,MarketData!$D:$BP,MATCH($BS$1,MarketData!$D$1:$EG$1,0),TRUE),"")</f>
        <v/>
      </c>
      <c r="BT489" s="98" t="str">
        <f t="shared" si="193"/>
        <v/>
      </c>
    </row>
    <row r="490" spans="2:72" x14ac:dyDescent="0.25">
      <c r="B490" s="60" t="str">
        <f t="shared" si="206"/>
        <v/>
      </c>
      <c r="C490" s="3" t="str">
        <f t="shared" si="183"/>
        <v/>
      </c>
      <c r="D490" s="3" t="str">
        <f t="shared" si="184"/>
        <v/>
      </c>
      <c r="E490" s="3" t="str">
        <f t="shared" si="185"/>
        <v/>
      </c>
      <c r="F490" s="3" t="str">
        <f t="shared" si="186"/>
        <v/>
      </c>
      <c r="G490" s="74" t="str">
        <f t="shared" si="187"/>
        <v/>
      </c>
      <c r="H490" s="78" t="str">
        <f>IFERROR(C490/SUM(M$2:M489),"")</f>
        <v/>
      </c>
      <c r="I490" s="61" t="str">
        <f>IFERROR(D490/SUM(N$2:N490),"")</f>
        <v/>
      </c>
      <c r="J490" s="61" t="str">
        <f>IFERROR(E490/SUM(O$2:O490),"")</f>
        <v/>
      </c>
      <c r="K490" s="61" t="str">
        <f>IFERROR(F490/SUM(P$2:P490),"")</f>
        <v/>
      </c>
      <c r="L490" s="79" t="str">
        <f>IFERROR(G490/SUM(Q$2:Q490),"")</f>
        <v/>
      </c>
      <c r="M490" s="64" t="str">
        <f t="shared" si="188"/>
        <v/>
      </c>
      <c r="N490" s="55" t="str">
        <f t="shared" si="189"/>
        <v/>
      </c>
      <c r="O490" s="55" t="str">
        <f t="shared" si="190"/>
        <v/>
      </c>
      <c r="P490" s="55" t="str">
        <f t="shared" si="191"/>
        <v/>
      </c>
      <c r="Q490" s="65" t="str">
        <f t="shared" si="192"/>
        <v/>
      </c>
      <c r="R490" s="67" t="str">
        <f t="shared" si="194"/>
        <v/>
      </c>
      <c r="S490" s="56" t="str">
        <f t="shared" si="195"/>
        <v/>
      </c>
      <c r="T490" s="56" t="str">
        <f t="shared" si="196"/>
        <v/>
      </c>
      <c r="U490" s="56" t="str">
        <f t="shared" si="197"/>
        <v/>
      </c>
      <c r="V490" s="68" t="str">
        <f t="shared" si="198"/>
        <v/>
      </c>
      <c r="W490" s="80" t="str">
        <f t="shared" si="199"/>
        <v/>
      </c>
      <c r="X490" s="81" t="str">
        <f t="shared" si="200"/>
        <v/>
      </c>
      <c r="Y490" s="81" t="str">
        <f t="shared" si="201"/>
        <v/>
      </c>
      <c r="Z490" s="81" t="str">
        <f t="shared" si="202"/>
        <v/>
      </c>
      <c r="AA490" s="82" t="str">
        <f t="shared" si="203"/>
        <v/>
      </c>
      <c r="AB490" s="83" t="str">
        <f>IF(R490&lt;&gt;"",(W490-SUMPRODUCT(R$3:R490,$B$3:$B490)/SUM($B$3:$B490))/STDEVA(W480:W490),"")</f>
        <v/>
      </c>
      <c r="AC490" s="84" t="str">
        <f>IF(S490&lt;&gt;"",(X490-SUMPRODUCT(S$3:S490,$B$3:$B490)/SUM($B$3:$B490))/STDEVA(X480:X490),"")</f>
        <v/>
      </c>
      <c r="AD490" s="84" t="str">
        <f>IF(T490&lt;&gt;"",(Y490-SUMPRODUCT(T$3:T490,$B$3:$B490)/SUM($B$3:$B490))/STDEVA(Y480:Y490),"")</f>
        <v/>
      </c>
      <c r="AE490" s="84" t="str">
        <f>IF(U490&lt;&gt;"",(Z490-SUMPRODUCT(U$3:U490,$B$3:$B490)/SUM($B$3:$B490))/STDEVA(Z480:Z490),"")</f>
        <v/>
      </c>
      <c r="AF490" s="85" t="str">
        <f>IF(V490&lt;&gt;"",(AA490-SUMPRODUCT(V$3:V490,$B$3:$B490)/SUM($B$3:$B490))/STDEVA(AA480:AA490),"")</f>
        <v/>
      </c>
      <c r="AG490" s="90" t="str">
        <f t="shared" si="204"/>
        <v/>
      </c>
      <c r="AH490" s="90" t="str">
        <f t="shared" si="204"/>
        <v/>
      </c>
      <c r="AI490" s="90" t="str">
        <f t="shared" si="204"/>
        <v/>
      </c>
      <c r="AJ490" s="90" t="str">
        <f t="shared" si="204"/>
        <v/>
      </c>
      <c r="AK490" s="93" t="str">
        <f t="shared" si="205"/>
        <v/>
      </c>
      <c r="BQ490" s="100" t="str">
        <f>IF(A490&lt;&gt;"",(VLOOKUP(A490,MarketData!$D:$BP,MATCH($BQ$1,MarketData!$D$1:$EG$1,0),TRUE)/100/365+1)^(B490)*BQ489,"")</f>
        <v/>
      </c>
      <c r="BR490" s="98" t="str">
        <f t="shared" si="182"/>
        <v/>
      </c>
      <c r="BS490" s="106" t="str">
        <f>IF(A490&lt;&gt;"",VLOOKUP(A490,MarketData!$D:$BP,MATCH($BS$1,MarketData!$D$1:$EG$1,0),TRUE),"")</f>
        <v/>
      </c>
      <c r="BT490" s="98" t="str">
        <f t="shared" si="193"/>
        <v/>
      </c>
    </row>
    <row r="491" spans="2:72" x14ac:dyDescent="0.25">
      <c r="B491" s="60" t="str">
        <f t="shared" si="206"/>
        <v/>
      </c>
      <c r="C491" s="3" t="str">
        <f t="shared" si="183"/>
        <v/>
      </c>
      <c r="D491" s="3" t="str">
        <f t="shared" si="184"/>
        <v/>
      </c>
      <c r="E491" s="3" t="str">
        <f t="shared" si="185"/>
        <v/>
      </c>
      <c r="F491" s="3" t="str">
        <f t="shared" si="186"/>
        <v/>
      </c>
      <c r="G491" s="74" t="str">
        <f t="shared" si="187"/>
        <v/>
      </c>
      <c r="H491" s="78" t="str">
        <f>IFERROR(C491/SUM(M$2:M490),"")</f>
        <v/>
      </c>
      <c r="I491" s="61" t="str">
        <f>IFERROR(D491/SUM(N$2:N491),"")</f>
        <v/>
      </c>
      <c r="J491" s="61" t="str">
        <f>IFERROR(E491/SUM(O$2:O491),"")</f>
        <v/>
      </c>
      <c r="K491" s="61" t="str">
        <f>IFERROR(F491/SUM(P$2:P491),"")</f>
        <v/>
      </c>
      <c r="L491" s="79" t="str">
        <f>IFERROR(G491/SUM(Q$2:Q491),"")</f>
        <v/>
      </c>
      <c r="M491" s="64" t="str">
        <f t="shared" si="188"/>
        <v/>
      </c>
      <c r="N491" s="55" t="str">
        <f t="shared" si="189"/>
        <v/>
      </c>
      <c r="O491" s="55" t="str">
        <f t="shared" si="190"/>
        <v/>
      </c>
      <c r="P491" s="55" t="str">
        <f t="shared" si="191"/>
        <v/>
      </c>
      <c r="Q491" s="65" t="str">
        <f t="shared" si="192"/>
        <v/>
      </c>
      <c r="R491" s="67" t="str">
        <f t="shared" si="194"/>
        <v/>
      </c>
      <c r="S491" s="56" t="str">
        <f t="shared" si="195"/>
        <v/>
      </c>
      <c r="T491" s="56" t="str">
        <f t="shared" si="196"/>
        <v/>
      </c>
      <c r="U491" s="56" t="str">
        <f t="shared" si="197"/>
        <v/>
      </c>
      <c r="V491" s="68" t="str">
        <f t="shared" si="198"/>
        <v/>
      </c>
      <c r="W491" s="80" t="str">
        <f t="shared" si="199"/>
        <v/>
      </c>
      <c r="X491" s="81" t="str">
        <f t="shared" si="200"/>
        <v/>
      </c>
      <c r="Y491" s="81" t="str">
        <f t="shared" si="201"/>
        <v/>
      </c>
      <c r="Z491" s="81" t="str">
        <f t="shared" si="202"/>
        <v/>
      </c>
      <c r="AA491" s="82" t="str">
        <f t="shared" si="203"/>
        <v/>
      </c>
      <c r="AB491" s="83" t="str">
        <f>IF(R491&lt;&gt;"",(W491-SUMPRODUCT(R$3:R491,$B$3:$B491)/SUM($B$3:$B491))/STDEVA(W481:W491),"")</f>
        <v/>
      </c>
      <c r="AC491" s="84" t="str">
        <f>IF(S491&lt;&gt;"",(X491-SUMPRODUCT(S$3:S491,$B$3:$B491)/SUM($B$3:$B491))/STDEVA(X481:X491),"")</f>
        <v/>
      </c>
      <c r="AD491" s="84" t="str">
        <f>IF(T491&lt;&gt;"",(Y491-SUMPRODUCT(T$3:T491,$B$3:$B491)/SUM($B$3:$B491))/STDEVA(Y481:Y491),"")</f>
        <v/>
      </c>
      <c r="AE491" s="84" t="str">
        <f>IF(U491&lt;&gt;"",(Z491-SUMPRODUCT(U$3:U491,$B$3:$B491)/SUM($B$3:$B491))/STDEVA(Z481:Z491),"")</f>
        <v/>
      </c>
      <c r="AF491" s="85" t="str">
        <f>IF(V491&lt;&gt;"",(AA491-SUMPRODUCT(V$3:V491,$B$3:$B491)/SUM($B$3:$B491))/STDEVA(AA481:AA491),"")</f>
        <v/>
      </c>
      <c r="AG491" s="90" t="str">
        <f t="shared" si="204"/>
        <v/>
      </c>
      <c r="AH491" s="90" t="str">
        <f t="shared" si="204"/>
        <v/>
      </c>
      <c r="AI491" s="90" t="str">
        <f t="shared" si="204"/>
        <v/>
      </c>
      <c r="AJ491" s="90" t="str">
        <f t="shared" si="204"/>
        <v/>
      </c>
      <c r="AK491" s="93" t="str">
        <f t="shared" si="205"/>
        <v/>
      </c>
      <c r="BQ491" s="100" t="str">
        <f>IF(A491&lt;&gt;"",(VLOOKUP(A491,MarketData!$D:$BP,MATCH($BQ$1,MarketData!$D$1:$EG$1,0),TRUE)/100/365+1)^(B491)*BQ490,"")</f>
        <v/>
      </c>
      <c r="BR491" s="98" t="str">
        <f t="shared" si="182"/>
        <v/>
      </c>
      <c r="BS491" s="106" t="str">
        <f>IF(A491&lt;&gt;"",VLOOKUP(A491,MarketData!$D:$BP,MATCH($BS$1,MarketData!$D$1:$EG$1,0),TRUE),"")</f>
        <v/>
      </c>
      <c r="BT491" s="98" t="str">
        <f t="shared" si="193"/>
        <v/>
      </c>
    </row>
    <row r="492" spans="2:72" x14ac:dyDescent="0.25">
      <c r="B492" s="60" t="str">
        <f t="shared" si="206"/>
        <v/>
      </c>
      <c r="C492" s="3" t="str">
        <f t="shared" si="183"/>
        <v/>
      </c>
      <c r="D492" s="3" t="str">
        <f t="shared" si="184"/>
        <v/>
      </c>
      <c r="E492" s="3" t="str">
        <f t="shared" si="185"/>
        <v/>
      </c>
      <c r="F492" s="3" t="str">
        <f t="shared" si="186"/>
        <v/>
      </c>
      <c r="G492" s="74" t="str">
        <f t="shared" si="187"/>
        <v/>
      </c>
      <c r="H492" s="78" t="str">
        <f>IFERROR(C492/SUM(M$2:M491),"")</f>
        <v/>
      </c>
      <c r="I492" s="61" t="str">
        <f>IFERROR(D492/SUM(N$2:N492),"")</f>
        <v/>
      </c>
      <c r="J492" s="61" t="str">
        <f>IFERROR(E492/SUM(O$2:O492),"")</f>
        <v/>
      </c>
      <c r="K492" s="61" t="str">
        <f>IFERROR(F492/SUM(P$2:P492),"")</f>
        <v/>
      </c>
      <c r="L492" s="79" t="str">
        <f>IFERROR(G492/SUM(Q$2:Q492),"")</f>
        <v/>
      </c>
      <c r="M492" s="64" t="str">
        <f t="shared" si="188"/>
        <v/>
      </c>
      <c r="N492" s="55" t="str">
        <f t="shared" si="189"/>
        <v/>
      </c>
      <c r="O492" s="55" t="str">
        <f t="shared" si="190"/>
        <v/>
      </c>
      <c r="P492" s="55" t="str">
        <f t="shared" si="191"/>
        <v/>
      </c>
      <c r="Q492" s="65" t="str">
        <f t="shared" si="192"/>
        <v/>
      </c>
      <c r="R492" s="67" t="str">
        <f t="shared" si="194"/>
        <v/>
      </c>
      <c r="S492" s="56" t="str">
        <f t="shared" si="195"/>
        <v/>
      </c>
      <c r="T492" s="56" t="str">
        <f t="shared" si="196"/>
        <v/>
      </c>
      <c r="U492" s="56" t="str">
        <f t="shared" si="197"/>
        <v/>
      </c>
      <c r="V492" s="68" t="str">
        <f t="shared" si="198"/>
        <v/>
      </c>
      <c r="W492" s="80" t="str">
        <f t="shared" si="199"/>
        <v/>
      </c>
      <c r="X492" s="81" t="str">
        <f t="shared" si="200"/>
        <v/>
      </c>
      <c r="Y492" s="81" t="str">
        <f t="shared" si="201"/>
        <v/>
      </c>
      <c r="Z492" s="81" t="str">
        <f t="shared" si="202"/>
        <v/>
      </c>
      <c r="AA492" s="82" t="str">
        <f t="shared" si="203"/>
        <v/>
      </c>
      <c r="AB492" s="83" t="str">
        <f>IF(R492&lt;&gt;"",(W492-SUMPRODUCT(R$3:R492,$B$3:$B492)/SUM($B$3:$B492))/STDEVA(W482:W492),"")</f>
        <v/>
      </c>
      <c r="AC492" s="84" t="str">
        <f>IF(S492&lt;&gt;"",(X492-SUMPRODUCT(S$3:S492,$B$3:$B492)/SUM($B$3:$B492))/STDEVA(X482:X492),"")</f>
        <v/>
      </c>
      <c r="AD492" s="84" t="str">
        <f>IF(T492&lt;&gt;"",(Y492-SUMPRODUCT(T$3:T492,$B$3:$B492)/SUM($B$3:$B492))/STDEVA(Y482:Y492),"")</f>
        <v/>
      </c>
      <c r="AE492" s="84" t="str">
        <f>IF(U492&lt;&gt;"",(Z492-SUMPRODUCT(U$3:U492,$B$3:$B492)/SUM($B$3:$B492))/STDEVA(Z482:Z492),"")</f>
        <v/>
      </c>
      <c r="AF492" s="85" t="str">
        <f>IF(V492&lt;&gt;"",(AA492-SUMPRODUCT(V$3:V492,$B$3:$B492)/SUM($B$3:$B492))/STDEVA(AA482:AA492),"")</f>
        <v/>
      </c>
      <c r="AG492" s="90" t="str">
        <f t="shared" si="204"/>
        <v/>
      </c>
      <c r="AH492" s="90" t="str">
        <f t="shared" si="204"/>
        <v/>
      </c>
      <c r="AI492" s="90" t="str">
        <f t="shared" si="204"/>
        <v/>
      </c>
      <c r="AJ492" s="90" t="str">
        <f t="shared" si="204"/>
        <v/>
      </c>
      <c r="AK492" s="93" t="str">
        <f t="shared" si="205"/>
        <v/>
      </c>
      <c r="BQ492" s="100" t="str">
        <f>IF(A492&lt;&gt;"",(VLOOKUP(A492,MarketData!$D:$BP,MATCH($BQ$1,MarketData!$D$1:$EG$1,0),TRUE)/100/365+1)^(B492)*BQ491,"")</f>
        <v/>
      </c>
      <c r="BR492" s="98" t="str">
        <f t="shared" si="182"/>
        <v/>
      </c>
      <c r="BS492" s="106" t="str">
        <f>IF(A492&lt;&gt;"",VLOOKUP(A492,MarketData!$D:$BP,MATCH($BS$1,MarketData!$D$1:$EG$1,0),TRUE),"")</f>
        <v/>
      </c>
      <c r="BT492" s="98" t="str">
        <f t="shared" si="193"/>
        <v/>
      </c>
    </row>
    <row r="493" spans="2:72" x14ac:dyDescent="0.25">
      <c r="B493" s="60" t="str">
        <f t="shared" si="206"/>
        <v/>
      </c>
      <c r="C493" s="3" t="str">
        <f t="shared" si="183"/>
        <v/>
      </c>
      <c r="D493" s="3" t="str">
        <f t="shared" si="184"/>
        <v/>
      </c>
      <c r="E493" s="3" t="str">
        <f t="shared" si="185"/>
        <v/>
      </c>
      <c r="F493" s="3" t="str">
        <f t="shared" si="186"/>
        <v/>
      </c>
      <c r="G493" s="74" t="str">
        <f t="shared" si="187"/>
        <v/>
      </c>
      <c r="H493" s="78" t="str">
        <f>IFERROR(C493/SUM(M$2:M492),"")</f>
        <v/>
      </c>
      <c r="I493" s="61" t="str">
        <f>IFERROR(D493/SUM(N$2:N493),"")</f>
        <v/>
      </c>
      <c r="J493" s="61" t="str">
        <f>IFERROR(E493/SUM(O$2:O493),"")</f>
        <v/>
      </c>
      <c r="K493" s="61" t="str">
        <f>IFERROR(F493/SUM(P$2:P493),"")</f>
        <v/>
      </c>
      <c r="L493" s="79" t="str">
        <f>IFERROR(G493/SUM(Q$2:Q493),"")</f>
        <v/>
      </c>
      <c r="M493" s="64" t="str">
        <f t="shared" si="188"/>
        <v/>
      </c>
      <c r="N493" s="55" t="str">
        <f t="shared" si="189"/>
        <v/>
      </c>
      <c r="O493" s="55" t="str">
        <f t="shared" si="190"/>
        <v/>
      </c>
      <c r="P493" s="55" t="str">
        <f t="shared" si="191"/>
        <v/>
      </c>
      <c r="Q493" s="65" t="str">
        <f t="shared" si="192"/>
        <v/>
      </c>
      <c r="R493" s="67" t="str">
        <f t="shared" si="194"/>
        <v/>
      </c>
      <c r="S493" s="56" t="str">
        <f t="shared" si="195"/>
        <v/>
      </c>
      <c r="T493" s="56" t="str">
        <f t="shared" si="196"/>
        <v/>
      </c>
      <c r="U493" s="56" t="str">
        <f t="shared" si="197"/>
        <v/>
      </c>
      <c r="V493" s="68" t="str">
        <f t="shared" si="198"/>
        <v/>
      </c>
      <c r="W493" s="80" t="str">
        <f t="shared" si="199"/>
        <v/>
      </c>
      <c r="X493" s="81" t="str">
        <f t="shared" si="200"/>
        <v/>
      </c>
      <c r="Y493" s="81" t="str">
        <f t="shared" si="201"/>
        <v/>
      </c>
      <c r="Z493" s="81" t="str">
        <f t="shared" si="202"/>
        <v/>
      </c>
      <c r="AA493" s="82" t="str">
        <f t="shared" si="203"/>
        <v/>
      </c>
      <c r="AB493" s="83" t="str">
        <f>IF(R493&lt;&gt;"",(W493-SUMPRODUCT(R$3:R493,$B$3:$B493)/SUM($B$3:$B493))/STDEVA(W483:W493),"")</f>
        <v/>
      </c>
      <c r="AC493" s="84" t="str">
        <f>IF(S493&lt;&gt;"",(X493-SUMPRODUCT(S$3:S493,$B$3:$B493)/SUM($B$3:$B493))/STDEVA(X483:X493),"")</f>
        <v/>
      </c>
      <c r="AD493" s="84" t="str">
        <f>IF(T493&lt;&gt;"",(Y493-SUMPRODUCT(T$3:T493,$B$3:$B493)/SUM($B$3:$B493))/STDEVA(Y483:Y493),"")</f>
        <v/>
      </c>
      <c r="AE493" s="84" t="str">
        <f>IF(U493&lt;&gt;"",(Z493-SUMPRODUCT(U$3:U493,$B$3:$B493)/SUM($B$3:$B493))/STDEVA(Z483:Z493),"")</f>
        <v/>
      </c>
      <c r="AF493" s="85" t="str">
        <f>IF(V493&lt;&gt;"",(AA493-SUMPRODUCT(V$3:V493,$B$3:$B493)/SUM($B$3:$B493))/STDEVA(AA483:AA493),"")</f>
        <v/>
      </c>
      <c r="AG493" s="90" t="str">
        <f t="shared" si="204"/>
        <v/>
      </c>
      <c r="AH493" s="90" t="str">
        <f t="shared" si="204"/>
        <v/>
      </c>
      <c r="AI493" s="90" t="str">
        <f t="shared" si="204"/>
        <v/>
      </c>
      <c r="AJ493" s="90" t="str">
        <f t="shared" si="204"/>
        <v/>
      </c>
      <c r="AK493" s="93" t="str">
        <f t="shared" si="205"/>
        <v/>
      </c>
      <c r="BQ493" s="100" t="str">
        <f>IF(A493&lt;&gt;"",(VLOOKUP(A493,MarketData!$D:$BP,MATCH($BQ$1,MarketData!$D$1:$EG$1,0),TRUE)/100/365+1)^(B493)*BQ492,"")</f>
        <v/>
      </c>
      <c r="BR493" s="98" t="str">
        <f t="shared" si="182"/>
        <v/>
      </c>
      <c r="BS493" s="106" t="str">
        <f>IF(A493&lt;&gt;"",VLOOKUP(A493,MarketData!$D:$BP,MATCH($BS$1,MarketData!$D$1:$EG$1,0),TRUE),"")</f>
        <v/>
      </c>
      <c r="BT493" s="98" t="str">
        <f t="shared" si="193"/>
        <v/>
      </c>
    </row>
    <row r="494" spans="2:72" x14ac:dyDescent="0.25">
      <c r="B494" s="60" t="str">
        <f t="shared" si="206"/>
        <v/>
      </c>
      <c r="C494" s="3" t="str">
        <f t="shared" si="183"/>
        <v/>
      </c>
      <c r="D494" s="3" t="str">
        <f t="shared" si="184"/>
        <v/>
      </c>
      <c r="E494" s="3" t="str">
        <f t="shared" si="185"/>
        <v/>
      </c>
      <c r="F494" s="3" t="str">
        <f t="shared" si="186"/>
        <v/>
      </c>
      <c r="G494" s="74" t="str">
        <f t="shared" si="187"/>
        <v/>
      </c>
      <c r="H494" s="78" t="str">
        <f>IFERROR(C494/SUM(M$2:M493),"")</f>
        <v/>
      </c>
      <c r="I494" s="61" t="str">
        <f>IFERROR(D494/SUM(N$2:N494),"")</f>
        <v/>
      </c>
      <c r="J494" s="61" t="str">
        <f>IFERROR(E494/SUM(O$2:O494),"")</f>
        <v/>
      </c>
      <c r="K494" s="61" t="str">
        <f>IFERROR(F494/SUM(P$2:P494),"")</f>
        <v/>
      </c>
      <c r="L494" s="79" t="str">
        <f>IFERROR(G494/SUM(Q$2:Q494),"")</f>
        <v/>
      </c>
      <c r="M494" s="64" t="str">
        <f t="shared" si="188"/>
        <v/>
      </c>
      <c r="N494" s="55" t="str">
        <f t="shared" si="189"/>
        <v/>
      </c>
      <c r="O494" s="55" t="str">
        <f t="shared" si="190"/>
        <v/>
      </c>
      <c r="P494" s="55" t="str">
        <f t="shared" si="191"/>
        <v/>
      </c>
      <c r="Q494" s="65" t="str">
        <f t="shared" si="192"/>
        <v/>
      </c>
      <c r="R494" s="67" t="str">
        <f t="shared" si="194"/>
        <v/>
      </c>
      <c r="S494" s="56" t="str">
        <f t="shared" si="195"/>
        <v/>
      </c>
      <c r="T494" s="56" t="str">
        <f t="shared" si="196"/>
        <v/>
      </c>
      <c r="U494" s="56" t="str">
        <f t="shared" si="197"/>
        <v/>
      </c>
      <c r="V494" s="68" t="str">
        <f t="shared" si="198"/>
        <v/>
      </c>
      <c r="W494" s="80" t="str">
        <f t="shared" si="199"/>
        <v/>
      </c>
      <c r="X494" s="81" t="str">
        <f t="shared" si="200"/>
        <v/>
      </c>
      <c r="Y494" s="81" t="str">
        <f t="shared" si="201"/>
        <v/>
      </c>
      <c r="Z494" s="81" t="str">
        <f t="shared" si="202"/>
        <v/>
      </c>
      <c r="AA494" s="82" t="str">
        <f t="shared" si="203"/>
        <v/>
      </c>
      <c r="AB494" s="83" t="str">
        <f>IF(R494&lt;&gt;"",(W494-SUMPRODUCT(R$3:R494,$B$3:$B494)/SUM($B$3:$B494))/STDEVA(W484:W494),"")</f>
        <v/>
      </c>
      <c r="AC494" s="84" t="str">
        <f>IF(S494&lt;&gt;"",(X494-SUMPRODUCT(S$3:S494,$B$3:$B494)/SUM($B$3:$B494))/STDEVA(X484:X494),"")</f>
        <v/>
      </c>
      <c r="AD494" s="84" t="str">
        <f>IF(T494&lt;&gt;"",(Y494-SUMPRODUCT(T$3:T494,$B$3:$B494)/SUM($B$3:$B494))/STDEVA(Y484:Y494),"")</f>
        <v/>
      </c>
      <c r="AE494" s="84" t="str">
        <f>IF(U494&lt;&gt;"",(Z494-SUMPRODUCT(U$3:U494,$B$3:$B494)/SUM($B$3:$B494))/STDEVA(Z484:Z494),"")</f>
        <v/>
      </c>
      <c r="AF494" s="85" t="str">
        <f>IF(V494&lt;&gt;"",(AA494-SUMPRODUCT(V$3:V494,$B$3:$B494)/SUM($B$3:$B494))/STDEVA(AA484:AA494),"")</f>
        <v/>
      </c>
      <c r="AG494" s="90" t="str">
        <f t="shared" si="204"/>
        <v/>
      </c>
      <c r="AH494" s="90" t="str">
        <f t="shared" si="204"/>
        <v/>
      </c>
      <c r="AI494" s="90" t="str">
        <f t="shared" si="204"/>
        <v/>
      </c>
      <c r="AJ494" s="90" t="str">
        <f t="shared" si="204"/>
        <v/>
      </c>
      <c r="AK494" s="93" t="str">
        <f t="shared" si="205"/>
        <v/>
      </c>
      <c r="BQ494" s="100" t="str">
        <f>IF(A494&lt;&gt;"",(VLOOKUP(A494,MarketData!$D:$BP,MATCH($BQ$1,MarketData!$D$1:$EG$1,0),TRUE)/100/365+1)^(B494)*BQ493,"")</f>
        <v/>
      </c>
      <c r="BR494" s="98" t="str">
        <f t="shared" si="182"/>
        <v/>
      </c>
      <c r="BS494" s="106" t="str">
        <f>IF(A494&lt;&gt;"",VLOOKUP(A494,MarketData!$D:$BP,MATCH($BS$1,MarketData!$D$1:$EG$1,0),TRUE),"")</f>
        <v/>
      </c>
      <c r="BT494" s="98" t="str">
        <f t="shared" si="193"/>
        <v/>
      </c>
    </row>
    <row r="495" spans="2:72" x14ac:dyDescent="0.25">
      <c r="B495" s="60" t="str">
        <f t="shared" si="206"/>
        <v/>
      </c>
      <c r="C495" s="3" t="str">
        <f t="shared" si="183"/>
        <v/>
      </c>
      <c r="D495" s="3" t="str">
        <f t="shared" si="184"/>
        <v/>
      </c>
      <c r="E495" s="3" t="str">
        <f t="shared" si="185"/>
        <v/>
      </c>
      <c r="F495" s="3" t="str">
        <f t="shared" si="186"/>
        <v/>
      </c>
      <c r="G495" s="74" t="str">
        <f t="shared" si="187"/>
        <v/>
      </c>
      <c r="H495" s="78" t="str">
        <f>IFERROR(C495/SUM(M$2:M494),"")</f>
        <v/>
      </c>
      <c r="I495" s="61" t="str">
        <f>IFERROR(D495/SUM(N$2:N495),"")</f>
        <v/>
      </c>
      <c r="J495" s="61" t="str">
        <f>IFERROR(E495/SUM(O$2:O495),"")</f>
        <v/>
      </c>
      <c r="K495" s="61" t="str">
        <f>IFERROR(F495/SUM(P$2:P495),"")</f>
        <v/>
      </c>
      <c r="L495" s="79" t="str">
        <f>IFERROR(G495/SUM(Q$2:Q495),"")</f>
        <v/>
      </c>
      <c r="M495" s="64" t="str">
        <f t="shared" si="188"/>
        <v/>
      </c>
      <c r="N495" s="55" t="str">
        <f t="shared" si="189"/>
        <v/>
      </c>
      <c r="O495" s="55" t="str">
        <f t="shared" si="190"/>
        <v/>
      </c>
      <c r="P495" s="55" t="str">
        <f t="shared" si="191"/>
        <v/>
      </c>
      <c r="Q495" s="65" t="str">
        <f t="shared" si="192"/>
        <v/>
      </c>
      <c r="R495" s="67" t="str">
        <f t="shared" si="194"/>
        <v/>
      </c>
      <c r="S495" s="56" t="str">
        <f t="shared" si="195"/>
        <v/>
      </c>
      <c r="T495" s="56" t="str">
        <f t="shared" si="196"/>
        <v/>
      </c>
      <c r="U495" s="56" t="str">
        <f t="shared" si="197"/>
        <v/>
      </c>
      <c r="V495" s="68" t="str">
        <f t="shared" si="198"/>
        <v/>
      </c>
      <c r="W495" s="80" t="str">
        <f t="shared" si="199"/>
        <v/>
      </c>
      <c r="X495" s="81" t="str">
        <f t="shared" si="200"/>
        <v/>
      </c>
      <c r="Y495" s="81" t="str">
        <f t="shared" si="201"/>
        <v/>
      </c>
      <c r="Z495" s="81" t="str">
        <f t="shared" si="202"/>
        <v/>
      </c>
      <c r="AA495" s="82" t="str">
        <f t="shared" si="203"/>
        <v/>
      </c>
      <c r="AB495" s="83" t="str">
        <f>IF(R495&lt;&gt;"",(W495-SUMPRODUCT(R$3:R495,$B$3:$B495)/SUM($B$3:$B495))/STDEVA(W485:W495),"")</f>
        <v/>
      </c>
      <c r="AC495" s="84" t="str">
        <f>IF(S495&lt;&gt;"",(X495-SUMPRODUCT(S$3:S495,$B$3:$B495)/SUM($B$3:$B495))/STDEVA(X485:X495),"")</f>
        <v/>
      </c>
      <c r="AD495" s="84" t="str">
        <f>IF(T495&lt;&gt;"",(Y495-SUMPRODUCT(T$3:T495,$B$3:$B495)/SUM($B$3:$B495))/STDEVA(Y485:Y495),"")</f>
        <v/>
      </c>
      <c r="AE495" s="84" t="str">
        <f>IF(U495&lt;&gt;"",(Z495-SUMPRODUCT(U$3:U495,$B$3:$B495)/SUM($B$3:$B495))/STDEVA(Z485:Z495),"")</f>
        <v/>
      </c>
      <c r="AF495" s="85" t="str">
        <f>IF(V495&lt;&gt;"",(AA495-SUMPRODUCT(V$3:V495,$B$3:$B495)/SUM($B$3:$B495))/STDEVA(AA485:AA495),"")</f>
        <v/>
      </c>
      <c r="AG495" s="90" t="str">
        <f t="shared" si="204"/>
        <v/>
      </c>
      <c r="AH495" s="90" t="str">
        <f t="shared" si="204"/>
        <v/>
      </c>
      <c r="AI495" s="90" t="str">
        <f t="shared" si="204"/>
        <v/>
      </c>
      <c r="AJ495" s="90" t="str">
        <f t="shared" si="204"/>
        <v/>
      </c>
      <c r="AK495" s="93" t="str">
        <f t="shared" si="205"/>
        <v/>
      </c>
      <c r="BQ495" s="100" t="str">
        <f>IF(A495&lt;&gt;"",(VLOOKUP(A495,MarketData!$D:$BP,MATCH($BQ$1,MarketData!$D$1:$EG$1,0),TRUE)/100/365+1)^(B495)*BQ494,"")</f>
        <v/>
      </c>
      <c r="BR495" s="98" t="str">
        <f t="shared" si="182"/>
        <v/>
      </c>
      <c r="BS495" s="106" t="str">
        <f>IF(A495&lt;&gt;"",VLOOKUP(A495,MarketData!$D:$BP,MATCH($BS$1,MarketData!$D$1:$EG$1,0),TRUE),"")</f>
        <v/>
      </c>
      <c r="BT495" s="98" t="str">
        <f t="shared" si="193"/>
        <v/>
      </c>
    </row>
    <row r="496" spans="2:72" x14ac:dyDescent="0.25">
      <c r="B496" s="60" t="str">
        <f t="shared" si="206"/>
        <v/>
      </c>
      <c r="C496" s="3" t="str">
        <f t="shared" si="183"/>
        <v/>
      </c>
      <c r="D496" s="3" t="str">
        <f t="shared" si="184"/>
        <v/>
      </c>
      <c r="E496" s="3" t="str">
        <f t="shared" si="185"/>
        <v/>
      </c>
      <c r="F496" s="3" t="str">
        <f t="shared" si="186"/>
        <v/>
      </c>
      <c r="G496" s="74" t="str">
        <f t="shared" si="187"/>
        <v/>
      </c>
      <c r="H496" s="78" t="str">
        <f>IFERROR(C496/SUM(M$2:M495),"")</f>
        <v/>
      </c>
      <c r="I496" s="61" t="str">
        <f>IFERROR(D496/SUM(N$2:N496),"")</f>
        <v/>
      </c>
      <c r="J496" s="61" t="str">
        <f>IFERROR(E496/SUM(O$2:O496),"")</f>
        <v/>
      </c>
      <c r="K496" s="61" t="str">
        <f>IFERROR(F496/SUM(P$2:P496),"")</f>
        <v/>
      </c>
      <c r="L496" s="79" t="str">
        <f>IFERROR(G496/SUM(Q$2:Q496),"")</f>
        <v/>
      </c>
      <c r="M496" s="64" t="str">
        <f t="shared" si="188"/>
        <v/>
      </c>
      <c r="N496" s="55" t="str">
        <f t="shared" si="189"/>
        <v/>
      </c>
      <c r="O496" s="55" t="str">
        <f t="shared" si="190"/>
        <v/>
      </c>
      <c r="P496" s="55" t="str">
        <f t="shared" si="191"/>
        <v/>
      </c>
      <c r="Q496" s="65" t="str">
        <f t="shared" si="192"/>
        <v/>
      </c>
      <c r="R496" s="67" t="str">
        <f t="shared" si="194"/>
        <v/>
      </c>
      <c r="S496" s="56" t="str">
        <f t="shared" si="195"/>
        <v/>
      </c>
      <c r="T496" s="56" t="str">
        <f t="shared" si="196"/>
        <v/>
      </c>
      <c r="U496" s="56" t="str">
        <f t="shared" si="197"/>
        <v/>
      </c>
      <c r="V496" s="68" t="str">
        <f t="shared" si="198"/>
        <v/>
      </c>
      <c r="W496" s="80" t="str">
        <f t="shared" si="199"/>
        <v/>
      </c>
      <c r="X496" s="81" t="str">
        <f t="shared" si="200"/>
        <v/>
      </c>
      <c r="Y496" s="81" t="str">
        <f t="shared" si="201"/>
        <v/>
      </c>
      <c r="Z496" s="81" t="str">
        <f t="shared" si="202"/>
        <v/>
      </c>
      <c r="AA496" s="82" t="str">
        <f t="shared" si="203"/>
        <v/>
      </c>
      <c r="AB496" s="83" t="str">
        <f>IF(R496&lt;&gt;"",(W496-SUMPRODUCT(R$3:R496,$B$3:$B496)/SUM($B$3:$B496))/STDEVA(W486:W496),"")</f>
        <v/>
      </c>
      <c r="AC496" s="84" t="str">
        <f>IF(S496&lt;&gt;"",(X496-SUMPRODUCT(S$3:S496,$B$3:$B496)/SUM($B$3:$B496))/STDEVA(X486:X496),"")</f>
        <v/>
      </c>
      <c r="AD496" s="84" t="str">
        <f>IF(T496&lt;&gt;"",(Y496-SUMPRODUCT(T$3:T496,$B$3:$B496)/SUM($B$3:$B496))/STDEVA(Y486:Y496),"")</f>
        <v/>
      </c>
      <c r="AE496" s="84" t="str">
        <f>IF(U496&lt;&gt;"",(Z496-SUMPRODUCT(U$3:U496,$B$3:$B496)/SUM($B$3:$B496))/STDEVA(Z486:Z496),"")</f>
        <v/>
      </c>
      <c r="AF496" s="85" t="str">
        <f>IF(V496&lt;&gt;"",(AA496-SUMPRODUCT(V$3:V496,$B$3:$B496)/SUM($B$3:$B496))/STDEVA(AA486:AA496),"")</f>
        <v/>
      </c>
      <c r="AG496" s="90" t="str">
        <f t="shared" si="204"/>
        <v/>
      </c>
      <c r="AH496" s="90" t="str">
        <f t="shared" si="204"/>
        <v/>
      </c>
      <c r="AI496" s="90" t="str">
        <f t="shared" si="204"/>
        <v/>
      </c>
      <c r="AJ496" s="90" t="str">
        <f t="shared" si="204"/>
        <v/>
      </c>
      <c r="AK496" s="93" t="str">
        <f t="shared" si="205"/>
        <v/>
      </c>
      <c r="BQ496" s="100" t="str">
        <f>IF(A496&lt;&gt;"",(VLOOKUP(A496,MarketData!$D:$BP,MATCH($BQ$1,MarketData!$D$1:$EG$1,0),TRUE)/100/365+1)^(B496)*BQ495,"")</f>
        <v/>
      </c>
      <c r="BR496" s="98" t="str">
        <f t="shared" si="182"/>
        <v/>
      </c>
      <c r="BS496" s="106" t="str">
        <f>IF(A496&lt;&gt;"",VLOOKUP(A496,MarketData!$D:$BP,MATCH($BS$1,MarketData!$D$1:$EG$1,0),TRUE),"")</f>
        <v/>
      </c>
      <c r="BT496" s="98" t="str">
        <f t="shared" si="193"/>
        <v/>
      </c>
    </row>
    <row r="497" spans="2:72" x14ac:dyDescent="0.25">
      <c r="B497" s="60" t="str">
        <f t="shared" si="206"/>
        <v/>
      </c>
      <c r="C497" s="3" t="str">
        <f t="shared" si="183"/>
        <v/>
      </c>
      <c r="D497" s="3" t="str">
        <f t="shared" si="184"/>
        <v/>
      </c>
      <c r="E497" s="3" t="str">
        <f t="shared" si="185"/>
        <v/>
      </c>
      <c r="F497" s="3" t="str">
        <f t="shared" si="186"/>
        <v/>
      </c>
      <c r="G497" s="74" t="str">
        <f t="shared" si="187"/>
        <v/>
      </c>
      <c r="H497" s="78" t="str">
        <f>IFERROR(C497/SUM(M$2:M496),"")</f>
        <v/>
      </c>
      <c r="I497" s="61" t="str">
        <f>IFERROR(D497/SUM(N$2:N497),"")</f>
        <v/>
      </c>
      <c r="J497" s="61" t="str">
        <f>IFERROR(E497/SUM(O$2:O497),"")</f>
        <v/>
      </c>
      <c r="K497" s="61" t="str">
        <f>IFERROR(F497/SUM(P$2:P497),"")</f>
        <v/>
      </c>
      <c r="L497" s="79" t="str">
        <f>IFERROR(G497/SUM(Q$2:Q497),"")</f>
        <v/>
      </c>
      <c r="M497" s="64" t="str">
        <f t="shared" si="188"/>
        <v/>
      </c>
      <c r="N497" s="55" t="str">
        <f t="shared" si="189"/>
        <v/>
      </c>
      <c r="O497" s="55" t="str">
        <f t="shared" si="190"/>
        <v/>
      </c>
      <c r="P497" s="55" t="str">
        <f t="shared" si="191"/>
        <v/>
      </c>
      <c r="Q497" s="65" t="str">
        <f t="shared" si="192"/>
        <v/>
      </c>
      <c r="R497" s="67" t="str">
        <f t="shared" si="194"/>
        <v/>
      </c>
      <c r="S497" s="56" t="str">
        <f t="shared" si="195"/>
        <v/>
      </c>
      <c r="T497" s="56" t="str">
        <f t="shared" si="196"/>
        <v/>
      </c>
      <c r="U497" s="56" t="str">
        <f t="shared" si="197"/>
        <v/>
      </c>
      <c r="V497" s="68" t="str">
        <f t="shared" si="198"/>
        <v/>
      </c>
      <c r="W497" s="80" t="str">
        <f t="shared" si="199"/>
        <v/>
      </c>
      <c r="X497" s="81" t="str">
        <f t="shared" si="200"/>
        <v/>
      </c>
      <c r="Y497" s="81" t="str">
        <f t="shared" si="201"/>
        <v/>
      </c>
      <c r="Z497" s="81" t="str">
        <f t="shared" si="202"/>
        <v/>
      </c>
      <c r="AA497" s="82" t="str">
        <f t="shared" si="203"/>
        <v/>
      </c>
      <c r="AB497" s="83" t="str">
        <f>IF(R497&lt;&gt;"",(W497-SUMPRODUCT(R$3:R497,$B$3:$B497)/SUM($B$3:$B497))/STDEVA(W487:W497),"")</f>
        <v/>
      </c>
      <c r="AC497" s="84" t="str">
        <f>IF(S497&lt;&gt;"",(X497-SUMPRODUCT(S$3:S497,$B$3:$B497)/SUM($B$3:$B497))/STDEVA(X487:X497),"")</f>
        <v/>
      </c>
      <c r="AD497" s="84" t="str">
        <f>IF(T497&lt;&gt;"",(Y497-SUMPRODUCT(T$3:T497,$B$3:$B497)/SUM($B$3:$B497))/STDEVA(Y487:Y497),"")</f>
        <v/>
      </c>
      <c r="AE497" s="84" t="str">
        <f>IF(U497&lt;&gt;"",(Z497-SUMPRODUCT(U$3:U497,$B$3:$B497)/SUM($B$3:$B497))/STDEVA(Z487:Z497),"")</f>
        <v/>
      </c>
      <c r="AF497" s="85" t="str">
        <f>IF(V497&lt;&gt;"",(AA497-SUMPRODUCT(V$3:V497,$B$3:$B497)/SUM($B$3:$B497))/STDEVA(AA487:AA497),"")</f>
        <v/>
      </c>
      <c r="AG497" s="90" t="str">
        <f t="shared" si="204"/>
        <v/>
      </c>
      <c r="AH497" s="90" t="str">
        <f t="shared" si="204"/>
        <v/>
      </c>
      <c r="AI497" s="90" t="str">
        <f t="shared" si="204"/>
        <v/>
      </c>
      <c r="AJ497" s="90" t="str">
        <f t="shared" si="204"/>
        <v/>
      </c>
      <c r="AK497" s="93" t="str">
        <f t="shared" si="205"/>
        <v/>
      </c>
      <c r="BQ497" s="100" t="str">
        <f>IF(A497&lt;&gt;"",(VLOOKUP(A497,MarketData!$D:$BP,MATCH($BQ$1,MarketData!$D$1:$EG$1,0),TRUE)/100/365+1)^(B497)*BQ496,"")</f>
        <v/>
      </c>
      <c r="BR497" s="98" t="str">
        <f t="shared" si="182"/>
        <v/>
      </c>
      <c r="BS497" s="106" t="str">
        <f>IF(A497&lt;&gt;"",VLOOKUP(A497,MarketData!$D:$BP,MATCH($BS$1,MarketData!$D$1:$EG$1,0),TRUE),"")</f>
        <v/>
      </c>
      <c r="BT497" s="98" t="str">
        <f t="shared" si="193"/>
        <v/>
      </c>
    </row>
    <row r="498" spans="2:72" x14ac:dyDescent="0.25">
      <c r="B498" s="60" t="str">
        <f t="shared" si="206"/>
        <v/>
      </c>
      <c r="C498" s="3" t="str">
        <f t="shared" si="183"/>
        <v/>
      </c>
      <c r="D498" s="3" t="str">
        <f t="shared" si="184"/>
        <v/>
      </c>
      <c r="E498" s="3" t="str">
        <f t="shared" si="185"/>
        <v/>
      </c>
      <c r="F498" s="3" t="str">
        <f t="shared" si="186"/>
        <v/>
      </c>
      <c r="G498" s="74" t="str">
        <f t="shared" si="187"/>
        <v/>
      </c>
      <c r="H498" s="78" t="str">
        <f>IFERROR(C498/SUM(M$2:M497),"")</f>
        <v/>
      </c>
      <c r="I498" s="61" t="str">
        <f>IFERROR(D498/SUM(N$2:N498),"")</f>
        <v/>
      </c>
      <c r="J498" s="61" t="str">
        <f>IFERROR(E498/SUM(O$2:O498),"")</f>
        <v/>
      </c>
      <c r="K498" s="61" t="str">
        <f>IFERROR(F498/SUM(P$2:P498),"")</f>
        <v/>
      </c>
      <c r="L498" s="79" t="str">
        <f>IFERROR(G498/SUM(Q$2:Q498),"")</f>
        <v/>
      </c>
      <c r="M498" s="64" t="str">
        <f t="shared" si="188"/>
        <v/>
      </c>
      <c r="N498" s="55" t="str">
        <f t="shared" si="189"/>
        <v/>
      </c>
      <c r="O498" s="55" t="str">
        <f t="shared" si="190"/>
        <v/>
      </c>
      <c r="P498" s="55" t="str">
        <f t="shared" si="191"/>
        <v/>
      </c>
      <c r="Q498" s="65" t="str">
        <f t="shared" si="192"/>
        <v/>
      </c>
      <c r="R498" s="67" t="str">
        <f t="shared" si="194"/>
        <v/>
      </c>
      <c r="S498" s="56" t="str">
        <f t="shared" si="195"/>
        <v/>
      </c>
      <c r="T498" s="56" t="str">
        <f t="shared" si="196"/>
        <v/>
      </c>
      <c r="U498" s="56" t="str">
        <f t="shared" si="197"/>
        <v/>
      </c>
      <c r="V498" s="68" t="str">
        <f t="shared" si="198"/>
        <v/>
      </c>
      <c r="W498" s="80" t="str">
        <f t="shared" si="199"/>
        <v/>
      </c>
      <c r="X498" s="81" t="str">
        <f t="shared" si="200"/>
        <v/>
      </c>
      <c r="Y498" s="81" t="str">
        <f t="shared" si="201"/>
        <v/>
      </c>
      <c r="Z498" s="81" t="str">
        <f t="shared" si="202"/>
        <v/>
      </c>
      <c r="AA498" s="82" t="str">
        <f t="shared" si="203"/>
        <v/>
      </c>
      <c r="AB498" s="83" t="str">
        <f>IF(R498&lt;&gt;"",(W498-SUMPRODUCT(R$3:R498,$B$3:$B498)/SUM($B$3:$B498))/STDEVA(W488:W498),"")</f>
        <v/>
      </c>
      <c r="AC498" s="84" t="str">
        <f>IF(S498&lt;&gt;"",(X498-SUMPRODUCT(S$3:S498,$B$3:$B498)/SUM($B$3:$B498))/STDEVA(X488:X498),"")</f>
        <v/>
      </c>
      <c r="AD498" s="84" t="str">
        <f>IF(T498&lt;&gt;"",(Y498-SUMPRODUCT(T$3:T498,$B$3:$B498)/SUM($B$3:$B498))/STDEVA(Y488:Y498),"")</f>
        <v/>
      </c>
      <c r="AE498" s="84" t="str">
        <f>IF(U498&lt;&gt;"",(Z498-SUMPRODUCT(U$3:U498,$B$3:$B498)/SUM($B$3:$B498))/STDEVA(Z488:Z498),"")</f>
        <v/>
      </c>
      <c r="AF498" s="85" t="str">
        <f>IF(V498&lt;&gt;"",(AA498-SUMPRODUCT(V$3:V498,$B$3:$B498)/SUM($B$3:$B498))/STDEVA(AA488:AA498),"")</f>
        <v/>
      </c>
      <c r="AG498" s="90" t="str">
        <f t="shared" si="204"/>
        <v/>
      </c>
      <c r="AH498" s="90" t="str">
        <f t="shared" si="204"/>
        <v/>
      </c>
      <c r="AI498" s="90" t="str">
        <f t="shared" si="204"/>
        <v/>
      </c>
      <c r="AJ498" s="90" t="str">
        <f t="shared" si="204"/>
        <v/>
      </c>
      <c r="AK498" s="93" t="str">
        <f t="shared" si="205"/>
        <v/>
      </c>
      <c r="BQ498" s="100" t="str">
        <f>IF(A498&lt;&gt;"",(VLOOKUP(A498,MarketData!$D:$BP,MATCH($BQ$1,MarketData!$D$1:$EG$1,0),TRUE)/100/365+1)^(B498)*BQ497,"")</f>
        <v/>
      </c>
      <c r="BR498" s="98" t="str">
        <f t="shared" si="182"/>
        <v/>
      </c>
      <c r="BS498" s="106" t="str">
        <f>IF(A498&lt;&gt;"",VLOOKUP(A498,MarketData!$D:$BP,MATCH($BS$1,MarketData!$D$1:$EG$1,0),TRUE),"")</f>
        <v/>
      </c>
      <c r="BT498" s="98" t="str">
        <f t="shared" si="193"/>
        <v/>
      </c>
    </row>
    <row r="499" spans="2:72" x14ac:dyDescent="0.25">
      <c r="B499" s="60" t="str">
        <f t="shared" si="206"/>
        <v/>
      </c>
      <c r="C499" s="3" t="str">
        <f t="shared" si="183"/>
        <v/>
      </c>
      <c r="D499" s="3" t="str">
        <f t="shared" si="184"/>
        <v/>
      </c>
      <c r="E499" s="3" t="str">
        <f t="shared" si="185"/>
        <v/>
      </c>
      <c r="F499" s="3" t="str">
        <f t="shared" si="186"/>
        <v/>
      </c>
      <c r="G499" s="74" t="str">
        <f t="shared" si="187"/>
        <v/>
      </c>
      <c r="H499" s="78" t="str">
        <f>IFERROR(C499/SUM(M$2:M498),"")</f>
        <v/>
      </c>
      <c r="I499" s="61" t="str">
        <f>IFERROR(D499/SUM(N$2:N499),"")</f>
        <v/>
      </c>
      <c r="J499" s="61" t="str">
        <f>IFERROR(E499/SUM(O$2:O499),"")</f>
        <v/>
      </c>
      <c r="K499" s="61" t="str">
        <f>IFERROR(F499/SUM(P$2:P499),"")</f>
        <v/>
      </c>
      <c r="L499" s="79" t="str">
        <f>IFERROR(G499/SUM(Q$2:Q499),"")</f>
        <v/>
      </c>
      <c r="M499" s="64" t="str">
        <f t="shared" si="188"/>
        <v/>
      </c>
      <c r="N499" s="55" t="str">
        <f t="shared" si="189"/>
        <v/>
      </c>
      <c r="O499" s="55" t="str">
        <f t="shared" si="190"/>
        <v/>
      </c>
      <c r="P499" s="55" t="str">
        <f t="shared" si="191"/>
        <v/>
      </c>
      <c r="Q499" s="65" t="str">
        <f t="shared" si="192"/>
        <v/>
      </c>
      <c r="R499" s="67" t="str">
        <f t="shared" si="194"/>
        <v/>
      </c>
      <c r="S499" s="56" t="str">
        <f t="shared" si="195"/>
        <v/>
      </c>
      <c r="T499" s="56" t="str">
        <f t="shared" si="196"/>
        <v/>
      </c>
      <c r="U499" s="56" t="str">
        <f t="shared" si="197"/>
        <v/>
      </c>
      <c r="V499" s="68" t="str">
        <f t="shared" si="198"/>
        <v/>
      </c>
      <c r="W499" s="80" t="str">
        <f t="shared" si="199"/>
        <v/>
      </c>
      <c r="X499" s="81" t="str">
        <f t="shared" si="200"/>
        <v/>
      </c>
      <c r="Y499" s="81" t="str">
        <f t="shared" si="201"/>
        <v/>
      </c>
      <c r="Z499" s="81" t="str">
        <f t="shared" si="202"/>
        <v/>
      </c>
      <c r="AA499" s="82" t="str">
        <f t="shared" si="203"/>
        <v/>
      </c>
      <c r="AB499" s="83" t="str">
        <f>IF(R499&lt;&gt;"",(W499-SUMPRODUCT(R$3:R499,$B$3:$B499)/SUM($B$3:$B499))/STDEVA(W489:W499),"")</f>
        <v/>
      </c>
      <c r="AC499" s="84" t="str">
        <f>IF(S499&lt;&gt;"",(X499-SUMPRODUCT(S$3:S499,$B$3:$B499)/SUM($B$3:$B499))/STDEVA(X489:X499),"")</f>
        <v/>
      </c>
      <c r="AD499" s="84" t="str">
        <f>IF(T499&lt;&gt;"",(Y499-SUMPRODUCT(T$3:T499,$B$3:$B499)/SUM($B$3:$B499))/STDEVA(Y489:Y499),"")</f>
        <v/>
      </c>
      <c r="AE499" s="84" t="str">
        <f>IF(U499&lt;&gt;"",(Z499-SUMPRODUCT(U$3:U499,$B$3:$B499)/SUM($B$3:$B499))/STDEVA(Z489:Z499),"")</f>
        <v/>
      </c>
      <c r="AF499" s="85" t="str">
        <f>IF(V499&lt;&gt;"",(AA499-SUMPRODUCT(V$3:V499,$B$3:$B499)/SUM($B$3:$B499))/STDEVA(AA489:AA499),"")</f>
        <v/>
      </c>
      <c r="AG499" s="90" t="str">
        <f t="shared" si="204"/>
        <v/>
      </c>
      <c r="AH499" s="90" t="str">
        <f t="shared" si="204"/>
        <v/>
      </c>
      <c r="AI499" s="90" t="str">
        <f t="shared" si="204"/>
        <v/>
      </c>
      <c r="AJ499" s="90" t="str">
        <f t="shared" si="204"/>
        <v/>
      </c>
      <c r="AK499" s="93" t="str">
        <f t="shared" si="205"/>
        <v/>
      </c>
      <c r="BQ499" s="100" t="str">
        <f>IF(A499&lt;&gt;"",(VLOOKUP(A499,MarketData!$D:$BP,MATCH($BQ$1,MarketData!$D$1:$EG$1,0),TRUE)/100/365+1)^(B499)*BQ498,"")</f>
        <v/>
      </c>
      <c r="BR499" s="98" t="str">
        <f t="shared" si="182"/>
        <v/>
      </c>
      <c r="BS499" s="106" t="str">
        <f>IF(A499&lt;&gt;"",VLOOKUP(A499,MarketData!$D:$BP,MATCH($BS$1,MarketData!$D$1:$EG$1,0),TRUE),"")</f>
        <v/>
      </c>
      <c r="BT499" s="98" t="str">
        <f t="shared" si="193"/>
        <v/>
      </c>
    </row>
    <row r="500" spans="2:72" x14ac:dyDescent="0.25">
      <c r="B500" s="60" t="str">
        <f t="shared" si="206"/>
        <v/>
      </c>
      <c r="C500" s="3" t="str">
        <f t="shared" si="183"/>
        <v/>
      </c>
      <c r="D500" s="3" t="str">
        <f t="shared" si="184"/>
        <v/>
      </c>
      <c r="E500" s="3" t="str">
        <f t="shared" si="185"/>
        <v/>
      </c>
      <c r="F500" s="3" t="str">
        <f t="shared" si="186"/>
        <v/>
      </c>
      <c r="G500" s="74" t="str">
        <f t="shared" si="187"/>
        <v/>
      </c>
      <c r="H500" s="78" t="str">
        <f>IFERROR(C500/SUM(M$2:M499),"")</f>
        <v/>
      </c>
      <c r="I500" s="61" t="str">
        <f>IFERROR(D500/SUM(N$2:N500),"")</f>
        <v/>
      </c>
      <c r="J500" s="61" t="str">
        <f>IFERROR(E500/SUM(O$2:O500),"")</f>
        <v/>
      </c>
      <c r="K500" s="61" t="str">
        <f>IFERROR(F500/SUM(P$2:P500),"")</f>
        <v/>
      </c>
      <c r="L500" s="79" t="str">
        <f>IFERROR(G500/SUM(Q$2:Q500),"")</f>
        <v/>
      </c>
      <c r="M500" s="64" t="str">
        <f t="shared" si="188"/>
        <v/>
      </c>
      <c r="N500" s="55" t="str">
        <f t="shared" si="189"/>
        <v/>
      </c>
      <c r="O500" s="55" t="str">
        <f t="shared" si="190"/>
        <v/>
      </c>
      <c r="P500" s="55" t="str">
        <f t="shared" si="191"/>
        <v/>
      </c>
      <c r="Q500" s="65" t="str">
        <f t="shared" si="192"/>
        <v/>
      </c>
      <c r="R500" s="67" t="str">
        <f t="shared" si="194"/>
        <v/>
      </c>
      <c r="S500" s="56" t="str">
        <f t="shared" si="195"/>
        <v/>
      </c>
      <c r="T500" s="56" t="str">
        <f t="shared" si="196"/>
        <v/>
      </c>
      <c r="U500" s="56" t="str">
        <f t="shared" si="197"/>
        <v/>
      </c>
      <c r="V500" s="68" t="str">
        <f t="shared" si="198"/>
        <v/>
      </c>
      <c r="W500" s="80" t="str">
        <f t="shared" si="199"/>
        <v/>
      </c>
      <c r="X500" s="81" t="str">
        <f t="shared" si="200"/>
        <v/>
      </c>
      <c r="Y500" s="81" t="str">
        <f t="shared" si="201"/>
        <v/>
      </c>
      <c r="Z500" s="81" t="str">
        <f t="shared" si="202"/>
        <v/>
      </c>
      <c r="AA500" s="82" t="str">
        <f t="shared" si="203"/>
        <v/>
      </c>
      <c r="AB500" s="83" t="str">
        <f>IF(R500&lt;&gt;"",(W500-SUMPRODUCT(R$3:R500,$B$3:$B500)/SUM($B$3:$B500))/STDEVA(W490:W500),"")</f>
        <v/>
      </c>
      <c r="AC500" s="84" t="str">
        <f>IF(S500&lt;&gt;"",(X500-SUMPRODUCT(S$3:S500,$B$3:$B500)/SUM($B$3:$B500))/STDEVA(X490:X500),"")</f>
        <v/>
      </c>
      <c r="AD500" s="84" t="str">
        <f>IF(T500&lt;&gt;"",(Y500-SUMPRODUCT(T$3:T500,$B$3:$B500)/SUM($B$3:$B500))/STDEVA(Y490:Y500),"")</f>
        <v/>
      </c>
      <c r="AE500" s="84" t="str">
        <f>IF(U500&lt;&gt;"",(Z500-SUMPRODUCT(U$3:U500,$B$3:$B500)/SUM($B$3:$B500))/STDEVA(Z490:Z500),"")</f>
        <v/>
      </c>
      <c r="AF500" s="85" t="str">
        <f>IF(V500&lt;&gt;"",(AA500-SUMPRODUCT(V$3:V500,$B$3:$B500)/SUM($B$3:$B500))/STDEVA(AA490:AA500),"")</f>
        <v/>
      </c>
      <c r="AG500" s="90" t="str">
        <f t="shared" si="204"/>
        <v/>
      </c>
      <c r="AH500" s="90" t="str">
        <f t="shared" si="204"/>
        <v/>
      </c>
      <c r="AI500" s="90" t="str">
        <f t="shared" si="204"/>
        <v/>
      </c>
      <c r="AJ500" s="90" t="str">
        <f t="shared" si="204"/>
        <v/>
      </c>
      <c r="AK500" s="93" t="str">
        <f t="shared" si="205"/>
        <v/>
      </c>
      <c r="BQ500" s="100" t="str">
        <f>IF(A500&lt;&gt;"",(VLOOKUP(A500,MarketData!$D:$BP,MATCH($BQ$1,MarketData!$D$1:$EG$1,0),TRUE)/100/365+1)^(B500)*BQ499,"")</f>
        <v/>
      </c>
      <c r="BR500" s="98" t="str">
        <f t="shared" si="182"/>
        <v/>
      </c>
      <c r="BS500" s="106" t="str">
        <f>IF(A500&lt;&gt;"",VLOOKUP(A500,MarketData!$D:$BP,MATCH($BS$1,MarketData!$D$1:$EG$1,0),TRUE),"")</f>
        <v/>
      </c>
      <c r="BT500" s="98" t="str">
        <f t="shared" si="193"/>
        <v/>
      </c>
    </row>
    <row r="501" spans="2:72" x14ac:dyDescent="0.25">
      <c r="B501" s="60" t="str">
        <f t="shared" si="206"/>
        <v/>
      </c>
      <c r="C501" s="3" t="str">
        <f t="shared" si="183"/>
        <v/>
      </c>
      <c r="D501" s="3" t="str">
        <f t="shared" si="184"/>
        <v/>
      </c>
      <c r="E501" s="3" t="str">
        <f t="shared" si="185"/>
        <v/>
      </c>
      <c r="F501" s="3" t="str">
        <f t="shared" si="186"/>
        <v/>
      </c>
      <c r="G501" s="74" t="str">
        <f t="shared" si="187"/>
        <v/>
      </c>
      <c r="H501" s="78" t="str">
        <f>IFERROR(C501/SUM(M$2:M500),"")</f>
        <v/>
      </c>
      <c r="I501" s="61" t="str">
        <f>IFERROR(D501/SUM(N$2:N501),"")</f>
        <v/>
      </c>
      <c r="J501" s="61" t="str">
        <f>IFERROR(E501/SUM(O$2:O501),"")</f>
        <v/>
      </c>
      <c r="K501" s="61" t="str">
        <f>IFERROR(F501/SUM(P$2:P501),"")</f>
        <v/>
      </c>
      <c r="L501" s="79" t="str">
        <f>IFERROR(G501/SUM(Q$2:Q501),"")</f>
        <v/>
      </c>
      <c r="M501" s="64" t="str">
        <f t="shared" si="188"/>
        <v/>
      </c>
      <c r="N501" s="55" t="str">
        <f t="shared" si="189"/>
        <v/>
      </c>
      <c r="O501" s="55" t="str">
        <f t="shared" si="190"/>
        <v/>
      </c>
      <c r="P501" s="55" t="str">
        <f t="shared" si="191"/>
        <v/>
      </c>
      <c r="Q501" s="65" t="str">
        <f t="shared" si="192"/>
        <v/>
      </c>
      <c r="R501" s="67" t="str">
        <f t="shared" si="194"/>
        <v/>
      </c>
      <c r="S501" s="56" t="str">
        <f t="shared" si="195"/>
        <v/>
      </c>
      <c r="T501" s="56" t="str">
        <f t="shared" si="196"/>
        <v/>
      </c>
      <c r="U501" s="56" t="str">
        <f t="shared" si="197"/>
        <v/>
      </c>
      <c r="V501" s="68" t="str">
        <f t="shared" si="198"/>
        <v/>
      </c>
      <c r="W501" s="80" t="str">
        <f t="shared" si="199"/>
        <v/>
      </c>
      <c r="X501" s="81" t="str">
        <f t="shared" si="200"/>
        <v/>
      </c>
      <c r="Y501" s="81" t="str">
        <f t="shared" si="201"/>
        <v/>
      </c>
      <c r="Z501" s="81" t="str">
        <f t="shared" si="202"/>
        <v/>
      </c>
      <c r="AA501" s="82" t="str">
        <f t="shared" si="203"/>
        <v/>
      </c>
      <c r="AB501" s="83" t="str">
        <f>IF(R501&lt;&gt;"",(W501-SUMPRODUCT(R$3:R501,$B$3:$B501)/SUM($B$3:$B501))/STDEVA(W491:W501),"")</f>
        <v/>
      </c>
      <c r="AC501" s="84" t="str">
        <f>IF(S501&lt;&gt;"",(X501-SUMPRODUCT(S$3:S501,$B$3:$B501)/SUM($B$3:$B501))/STDEVA(X491:X501),"")</f>
        <v/>
      </c>
      <c r="AD501" s="84" t="str">
        <f>IF(T501&lt;&gt;"",(Y501-SUMPRODUCT(T$3:T501,$B$3:$B501)/SUM($B$3:$B501))/STDEVA(Y491:Y501),"")</f>
        <v/>
      </c>
      <c r="AE501" s="84" t="str">
        <f>IF(U501&lt;&gt;"",(Z501-SUMPRODUCT(U$3:U501,$B$3:$B501)/SUM($B$3:$B501))/STDEVA(Z491:Z501),"")</f>
        <v/>
      </c>
      <c r="AF501" s="85" t="str">
        <f>IF(V501&lt;&gt;"",(AA501-SUMPRODUCT(V$3:V501,$B$3:$B501)/SUM($B$3:$B501))/STDEVA(AA491:AA501),"")</f>
        <v/>
      </c>
      <c r="AG501" s="90" t="str">
        <f t="shared" si="204"/>
        <v/>
      </c>
      <c r="AH501" s="90" t="str">
        <f t="shared" si="204"/>
        <v/>
      </c>
      <c r="AI501" s="90" t="str">
        <f t="shared" si="204"/>
        <v/>
      </c>
      <c r="AJ501" s="90" t="str">
        <f t="shared" si="204"/>
        <v/>
      </c>
      <c r="AK501" s="93" t="str">
        <f t="shared" si="205"/>
        <v/>
      </c>
      <c r="BQ501" s="100" t="str">
        <f>IF(A501&lt;&gt;"",(VLOOKUP(A501,MarketData!$D:$BP,MATCH($BQ$1,MarketData!$D$1:$EG$1,0),TRUE)/100/365+1)^(B501)*BQ500,"")</f>
        <v/>
      </c>
      <c r="BR501" s="98" t="str">
        <f t="shared" si="182"/>
        <v/>
      </c>
      <c r="BS501" s="106" t="str">
        <f>IF(A501&lt;&gt;"",VLOOKUP(A501,MarketData!$D:$BP,MATCH($BS$1,MarketData!$D$1:$EG$1,0),TRUE),"")</f>
        <v/>
      </c>
      <c r="BT501" s="98" t="str">
        <f t="shared" si="193"/>
        <v/>
      </c>
    </row>
    <row r="502" spans="2:72" x14ac:dyDescent="0.25">
      <c r="B502" s="60" t="str">
        <f t="shared" si="206"/>
        <v/>
      </c>
      <c r="C502" s="3" t="str">
        <f t="shared" si="183"/>
        <v/>
      </c>
      <c r="D502" s="3" t="str">
        <f t="shared" si="184"/>
        <v/>
      </c>
      <c r="E502" s="3" t="str">
        <f t="shared" si="185"/>
        <v/>
      </c>
      <c r="F502" s="3" t="str">
        <f t="shared" si="186"/>
        <v/>
      </c>
      <c r="G502" s="74" t="str">
        <f t="shared" si="187"/>
        <v/>
      </c>
      <c r="H502" s="78" t="str">
        <f>IFERROR(C502/SUM(M$2:M501),"")</f>
        <v/>
      </c>
      <c r="I502" s="61" t="str">
        <f>IFERROR(D502/SUM(N$2:N502),"")</f>
        <v/>
      </c>
      <c r="J502" s="61" t="str">
        <f>IFERROR(E502/SUM(O$2:O502),"")</f>
        <v/>
      </c>
      <c r="K502" s="61" t="str">
        <f>IFERROR(F502/SUM(P$2:P502),"")</f>
        <v/>
      </c>
      <c r="L502" s="79" t="str">
        <f>IFERROR(G502/SUM(Q$2:Q502),"")</f>
        <v/>
      </c>
      <c r="M502" s="64" t="str">
        <f t="shared" si="188"/>
        <v/>
      </c>
      <c r="N502" s="55" t="str">
        <f t="shared" si="189"/>
        <v/>
      </c>
      <c r="O502" s="55" t="str">
        <f t="shared" si="190"/>
        <v/>
      </c>
      <c r="P502" s="55" t="str">
        <f t="shared" si="191"/>
        <v/>
      </c>
      <c r="Q502" s="65" t="str">
        <f t="shared" si="192"/>
        <v/>
      </c>
      <c r="R502" s="67" t="str">
        <f t="shared" si="194"/>
        <v/>
      </c>
      <c r="S502" s="56" t="str">
        <f t="shared" si="195"/>
        <v/>
      </c>
      <c r="T502" s="56" t="str">
        <f t="shared" si="196"/>
        <v/>
      </c>
      <c r="U502" s="56" t="str">
        <f t="shared" si="197"/>
        <v/>
      </c>
      <c r="V502" s="68" t="str">
        <f t="shared" si="198"/>
        <v/>
      </c>
      <c r="W502" s="80" t="str">
        <f t="shared" si="199"/>
        <v/>
      </c>
      <c r="X502" s="81" t="str">
        <f t="shared" si="200"/>
        <v/>
      </c>
      <c r="Y502" s="81" t="str">
        <f t="shared" si="201"/>
        <v/>
      </c>
      <c r="Z502" s="81" t="str">
        <f t="shared" si="202"/>
        <v/>
      </c>
      <c r="AA502" s="82" t="str">
        <f t="shared" si="203"/>
        <v/>
      </c>
      <c r="AB502" s="83" t="str">
        <f>IF(R502&lt;&gt;"",(W502-SUMPRODUCT(R$3:R502,$B$3:$B502)/SUM($B$3:$B502))/STDEVA(W492:W502),"")</f>
        <v/>
      </c>
      <c r="AC502" s="84" t="str">
        <f>IF(S502&lt;&gt;"",(X502-SUMPRODUCT(S$3:S502,$B$3:$B502)/SUM($B$3:$B502))/STDEVA(X492:X502),"")</f>
        <v/>
      </c>
      <c r="AD502" s="84" t="str">
        <f>IF(T502&lt;&gt;"",(Y502-SUMPRODUCT(T$3:T502,$B$3:$B502)/SUM($B$3:$B502))/STDEVA(Y492:Y502),"")</f>
        <v/>
      </c>
      <c r="AE502" s="84" t="str">
        <f>IF(U502&lt;&gt;"",(Z502-SUMPRODUCT(U$3:U502,$B$3:$B502)/SUM($B$3:$B502))/STDEVA(Z492:Z502),"")</f>
        <v/>
      </c>
      <c r="AF502" s="85" t="str">
        <f>IF(V502&lt;&gt;"",(AA502-SUMPRODUCT(V$3:V502,$B$3:$B502)/SUM($B$3:$B502))/STDEVA(AA492:AA502),"")</f>
        <v/>
      </c>
      <c r="AG502" s="90" t="str">
        <f t="shared" si="204"/>
        <v/>
      </c>
      <c r="AH502" s="90" t="str">
        <f t="shared" si="204"/>
        <v/>
      </c>
      <c r="AI502" s="90" t="str">
        <f t="shared" si="204"/>
        <v/>
      </c>
      <c r="AJ502" s="90" t="str">
        <f t="shared" si="204"/>
        <v/>
      </c>
      <c r="AK502" s="93" t="str">
        <f t="shared" si="205"/>
        <v/>
      </c>
      <c r="BQ502" s="100" t="str">
        <f>IF(A502&lt;&gt;"",(VLOOKUP(A502,MarketData!$D:$BP,MATCH($BQ$1,MarketData!$D$1:$EG$1,0),TRUE)/100/365+1)^(B502)*BQ501,"")</f>
        <v/>
      </c>
      <c r="BR502" s="98" t="str">
        <f t="shared" si="182"/>
        <v/>
      </c>
      <c r="BS502" s="106" t="str">
        <f>IF(A502&lt;&gt;"",VLOOKUP(A502,MarketData!$D:$BP,MATCH($BS$1,MarketData!$D$1:$EG$1,0),TRUE),"")</f>
        <v/>
      </c>
      <c r="BT502" s="98" t="str">
        <f t="shared" si="193"/>
        <v/>
      </c>
    </row>
    <row r="503" spans="2:72" x14ac:dyDescent="0.25">
      <c r="B503" s="60" t="str">
        <f t="shared" si="206"/>
        <v/>
      </c>
      <c r="C503" s="3" t="str">
        <f t="shared" si="183"/>
        <v/>
      </c>
      <c r="D503" s="3" t="str">
        <f t="shared" si="184"/>
        <v/>
      </c>
      <c r="E503" s="3" t="str">
        <f t="shared" si="185"/>
        <v/>
      </c>
      <c r="F503" s="3" t="str">
        <f t="shared" si="186"/>
        <v/>
      </c>
      <c r="G503" s="74" t="str">
        <f t="shared" si="187"/>
        <v/>
      </c>
      <c r="H503" s="78" t="str">
        <f>IFERROR(C503/SUM(M$2:M502),"")</f>
        <v/>
      </c>
      <c r="I503" s="61" t="str">
        <f>IFERROR(D503/SUM(N$2:N503),"")</f>
        <v/>
      </c>
      <c r="J503" s="61" t="str">
        <f>IFERROR(E503/SUM(O$2:O503),"")</f>
        <v/>
      </c>
      <c r="K503" s="61" t="str">
        <f>IFERROR(F503/SUM(P$2:P503),"")</f>
        <v/>
      </c>
      <c r="L503" s="79" t="str">
        <f>IFERROR(G503/SUM(Q$2:Q503),"")</f>
        <v/>
      </c>
      <c r="M503" s="64" t="str">
        <f t="shared" si="188"/>
        <v/>
      </c>
      <c r="N503" s="55" t="str">
        <f t="shared" si="189"/>
        <v/>
      </c>
      <c r="O503" s="55" t="str">
        <f t="shared" si="190"/>
        <v/>
      </c>
      <c r="P503" s="55" t="str">
        <f t="shared" si="191"/>
        <v/>
      </c>
      <c r="Q503" s="65" t="str">
        <f t="shared" si="192"/>
        <v/>
      </c>
      <c r="R503" s="67" t="str">
        <f t="shared" si="194"/>
        <v/>
      </c>
      <c r="S503" s="56" t="str">
        <f t="shared" si="195"/>
        <v/>
      </c>
      <c r="T503" s="56" t="str">
        <f t="shared" si="196"/>
        <v/>
      </c>
      <c r="U503" s="56" t="str">
        <f t="shared" si="197"/>
        <v/>
      </c>
      <c r="V503" s="68" t="str">
        <f t="shared" si="198"/>
        <v/>
      </c>
      <c r="W503" s="80" t="str">
        <f t="shared" si="199"/>
        <v/>
      </c>
      <c r="X503" s="81" t="str">
        <f t="shared" si="200"/>
        <v/>
      </c>
      <c r="Y503" s="81" t="str">
        <f t="shared" si="201"/>
        <v/>
      </c>
      <c r="Z503" s="81" t="str">
        <f t="shared" si="202"/>
        <v/>
      </c>
      <c r="AA503" s="82" t="str">
        <f t="shared" si="203"/>
        <v/>
      </c>
      <c r="AB503" s="83" t="str">
        <f>IF(R503&lt;&gt;"",(W503-SUMPRODUCT(R$3:R503,$B$3:$B503)/SUM($B$3:$B503))/STDEVA(W493:W503),"")</f>
        <v/>
      </c>
      <c r="AC503" s="84" t="str">
        <f>IF(S503&lt;&gt;"",(X503-SUMPRODUCT(S$3:S503,$B$3:$B503)/SUM($B$3:$B503))/STDEVA(X493:X503),"")</f>
        <v/>
      </c>
      <c r="AD503" s="84" t="str">
        <f>IF(T503&lt;&gt;"",(Y503-SUMPRODUCT(T$3:T503,$B$3:$B503)/SUM($B$3:$B503))/STDEVA(Y493:Y503),"")</f>
        <v/>
      </c>
      <c r="AE503" s="84" t="str">
        <f>IF(U503&lt;&gt;"",(Z503-SUMPRODUCT(U$3:U503,$B$3:$B503)/SUM($B$3:$B503))/STDEVA(Z493:Z503),"")</f>
        <v/>
      </c>
      <c r="AF503" s="85" t="str">
        <f>IF(V503&lt;&gt;"",(AA503-SUMPRODUCT(V$3:V503,$B$3:$B503)/SUM($B$3:$B503))/STDEVA(AA493:AA503),"")</f>
        <v/>
      </c>
      <c r="AG503" s="90" t="str">
        <f t="shared" si="204"/>
        <v/>
      </c>
      <c r="AH503" s="90" t="str">
        <f t="shared" si="204"/>
        <v/>
      </c>
      <c r="AI503" s="90" t="str">
        <f t="shared" si="204"/>
        <v/>
      </c>
      <c r="AJ503" s="90" t="str">
        <f t="shared" si="204"/>
        <v/>
      </c>
      <c r="AK503" s="93" t="str">
        <f t="shared" si="205"/>
        <v/>
      </c>
      <c r="BQ503" s="100" t="str">
        <f>IF(A503&lt;&gt;"",(VLOOKUP(A503,MarketData!$D:$BP,MATCH($BQ$1,MarketData!$D$1:$EG$1,0),TRUE)/100/365+1)^(B503)*BQ502,"")</f>
        <v/>
      </c>
      <c r="BR503" s="98" t="str">
        <f t="shared" si="182"/>
        <v/>
      </c>
      <c r="BS503" s="106" t="str">
        <f>IF(A503&lt;&gt;"",VLOOKUP(A503,MarketData!$D:$BP,MATCH($BS$1,MarketData!$D$1:$EG$1,0),TRUE),"")</f>
        <v/>
      </c>
      <c r="BT503" s="98" t="str">
        <f t="shared" si="193"/>
        <v/>
      </c>
    </row>
    <row r="504" spans="2:72" x14ac:dyDescent="0.25">
      <c r="B504" s="60" t="str">
        <f t="shared" si="206"/>
        <v/>
      </c>
      <c r="C504" s="3" t="str">
        <f t="shared" si="183"/>
        <v/>
      </c>
      <c r="D504" s="3" t="str">
        <f t="shared" si="184"/>
        <v/>
      </c>
      <c r="E504" s="3" t="str">
        <f t="shared" si="185"/>
        <v/>
      </c>
      <c r="F504" s="3" t="str">
        <f t="shared" si="186"/>
        <v/>
      </c>
      <c r="G504" s="74" t="str">
        <f t="shared" si="187"/>
        <v/>
      </c>
      <c r="H504" s="78" t="str">
        <f>IFERROR(C504/SUM(M$2:M503),"")</f>
        <v/>
      </c>
      <c r="I504" s="61" t="str">
        <f>IFERROR(D504/SUM(N$2:N504),"")</f>
        <v/>
      </c>
      <c r="J504" s="61" t="str">
        <f>IFERROR(E504/SUM(O$2:O504),"")</f>
        <v/>
      </c>
      <c r="K504" s="61" t="str">
        <f>IFERROR(F504/SUM(P$2:P504),"")</f>
        <v/>
      </c>
      <c r="L504" s="79" t="str">
        <f>IFERROR(G504/SUM(Q$2:Q504),"")</f>
        <v/>
      </c>
      <c r="M504" s="64" t="str">
        <f t="shared" si="188"/>
        <v/>
      </c>
      <c r="N504" s="55" t="str">
        <f t="shared" si="189"/>
        <v/>
      </c>
      <c r="O504" s="55" t="str">
        <f t="shared" si="190"/>
        <v/>
      </c>
      <c r="P504" s="55" t="str">
        <f t="shared" si="191"/>
        <v/>
      </c>
      <c r="Q504" s="65" t="str">
        <f t="shared" si="192"/>
        <v/>
      </c>
      <c r="R504" s="67" t="str">
        <f t="shared" si="194"/>
        <v/>
      </c>
      <c r="S504" s="56" t="str">
        <f t="shared" si="195"/>
        <v/>
      </c>
      <c r="T504" s="56" t="str">
        <f t="shared" si="196"/>
        <v/>
      </c>
      <c r="U504" s="56" t="str">
        <f t="shared" si="197"/>
        <v/>
      </c>
      <c r="V504" s="68" t="str">
        <f t="shared" si="198"/>
        <v/>
      </c>
      <c r="W504" s="80" t="str">
        <f t="shared" si="199"/>
        <v/>
      </c>
      <c r="X504" s="81" t="str">
        <f t="shared" si="200"/>
        <v/>
      </c>
      <c r="Y504" s="81" t="str">
        <f t="shared" si="201"/>
        <v/>
      </c>
      <c r="Z504" s="81" t="str">
        <f t="shared" si="202"/>
        <v/>
      </c>
      <c r="AA504" s="82" t="str">
        <f t="shared" si="203"/>
        <v/>
      </c>
      <c r="AB504" s="83" t="str">
        <f>IF(R504&lt;&gt;"",(W504-SUMPRODUCT(R$3:R504,$B$3:$B504)/SUM($B$3:$B504))/STDEVA(W494:W504),"")</f>
        <v/>
      </c>
      <c r="AC504" s="84" t="str">
        <f>IF(S504&lt;&gt;"",(X504-SUMPRODUCT(S$3:S504,$B$3:$B504)/SUM($B$3:$B504))/STDEVA(X494:X504),"")</f>
        <v/>
      </c>
      <c r="AD504" s="84" t="str">
        <f>IF(T504&lt;&gt;"",(Y504-SUMPRODUCT(T$3:T504,$B$3:$B504)/SUM($B$3:$B504))/STDEVA(Y494:Y504),"")</f>
        <v/>
      </c>
      <c r="AE504" s="84" t="str">
        <f>IF(U504&lt;&gt;"",(Z504-SUMPRODUCT(U$3:U504,$B$3:$B504)/SUM($B$3:$B504))/STDEVA(Z494:Z504),"")</f>
        <v/>
      </c>
      <c r="AF504" s="85" t="str">
        <f>IF(V504&lt;&gt;"",(AA504-SUMPRODUCT(V$3:V504,$B$3:$B504)/SUM($B$3:$B504))/STDEVA(AA494:AA504),"")</f>
        <v/>
      </c>
      <c r="AG504" s="90" t="str">
        <f t="shared" si="204"/>
        <v/>
      </c>
      <c r="AH504" s="90" t="str">
        <f t="shared" si="204"/>
        <v/>
      </c>
      <c r="AI504" s="90" t="str">
        <f t="shared" si="204"/>
        <v/>
      </c>
      <c r="AJ504" s="90" t="str">
        <f t="shared" si="204"/>
        <v/>
      </c>
      <c r="AK504" s="93" t="str">
        <f t="shared" si="205"/>
        <v/>
      </c>
      <c r="BQ504" s="100" t="str">
        <f>IF(A504&lt;&gt;"",(VLOOKUP(A504,MarketData!$D:$BP,MATCH($BQ$1,MarketData!$D$1:$EG$1,0),TRUE)/100/365+1)^(B504)*BQ503,"")</f>
        <v/>
      </c>
      <c r="BR504" s="98" t="str">
        <f t="shared" si="182"/>
        <v/>
      </c>
      <c r="BS504" s="106" t="str">
        <f>IF(A504&lt;&gt;"",VLOOKUP(A504,MarketData!$D:$BP,MATCH($BS$1,MarketData!$D$1:$EG$1,0),TRUE),"")</f>
        <v/>
      </c>
      <c r="BT504" s="98" t="str">
        <f t="shared" si="193"/>
        <v/>
      </c>
    </row>
    <row r="505" spans="2:72" x14ac:dyDescent="0.25">
      <c r="B505" s="60" t="str">
        <f t="shared" si="206"/>
        <v/>
      </c>
      <c r="C505" s="3" t="str">
        <f t="shared" si="183"/>
        <v/>
      </c>
      <c r="D505" s="3" t="str">
        <f t="shared" si="184"/>
        <v/>
      </c>
      <c r="E505" s="3" t="str">
        <f t="shared" si="185"/>
        <v/>
      </c>
      <c r="F505" s="3" t="str">
        <f t="shared" si="186"/>
        <v/>
      </c>
      <c r="G505" s="74" t="str">
        <f t="shared" si="187"/>
        <v/>
      </c>
      <c r="H505" s="78" t="str">
        <f>IFERROR(C505/SUM(M$2:M504),"")</f>
        <v/>
      </c>
      <c r="I505" s="61" t="str">
        <f>IFERROR(D505/SUM(N$2:N505),"")</f>
        <v/>
      </c>
      <c r="J505" s="61" t="str">
        <f>IFERROR(E505/SUM(O$2:O505),"")</f>
        <v/>
      </c>
      <c r="K505" s="61" t="str">
        <f>IFERROR(F505/SUM(P$2:P505),"")</f>
        <v/>
      </c>
      <c r="L505" s="79" t="str">
        <f>IFERROR(G505/SUM(Q$2:Q505),"")</f>
        <v/>
      </c>
      <c r="M505" s="64" t="str">
        <f t="shared" si="188"/>
        <v/>
      </c>
      <c r="N505" s="55" t="str">
        <f t="shared" si="189"/>
        <v/>
      </c>
      <c r="O505" s="55" t="str">
        <f t="shared" si="190"/>
        <v/>
      </c>
      <c r="P505" s="55" t="str">
        <f t="shared" si="191"/>
        <v/>
      </c>
      <c r="Q505" s="65" t="str">
        <f t="shared" si="192"/>
        <v/>
      </c>
      <c r="R505" s="67" t="str">
        <f t="shared" si="194"/>
        <v/>
      </c>
      <c r="S505" s="56" t="str">
        <f t="shared" si="195"/>
        <v/>
      </c>
      <c r="T505" s="56" t="str">
        <f t="shared" si="196"/>
        <v/>
      </c>
      <c r="U505" s="56" t="str">
        <f t="shared" si="197"/>
        <v/>
      </c>
      <c r="V505" s="68" t="str">
        <f t="shared" si="198"/>
        <v/>
      </c>
      <c r="W505" s="80" t="str">
        <f t="shared" si="199"/>
        <v/>
      </c>
      <c r="X505" s="81" t="str">
        <f t="shared" si="200"/>
        <v/>
      </c>
      <c r="Y505" s="81" t="str">
        <f t="shared" si="201"/>
        <v/>
      </c>
      <c r="Z505" s="81" t="str">
        <f t="shared" si="202"/>
        <v/>
      </c>
      <c r="AA505" s="82" t="str">
        <f t="shared" si="203"/>
        <v/>
      </c>
      <c r="AB505" s="83" t="str">
        <f>IF(R505&lt;&gt;"",(W505-SUMPRODUCT(R$3:R505,$B$3:$B505)/SUM($B$3:$B505))/STDEVA(W495:W505),"")</f>
        <v/>
      </c>
      <c r="AC505" s="84" t="str">
        <f>IF(S505&lt;&gt;"",(X505-SUMPRODUCT(S$3:S505,$B$3:$B505)/SUM($B$3:$B505))/STDEVA(X495:X505),"")</f>
        <v/>
      </c>
      <c r="AD505" s="84" t="str">
        <f>IF(T505&lt;&gt;"",(Y505-SUMPRODUCT(T$3:T505,$B$3:$B505)/SUM($B$3:$B505))/STDEVA(Y495:Y505),"")</f>
        <v/>
      </c>
      <c r="AE505" s="84" t="str">
        <f>IF(U505&lt;&gt;"",(Z505-SUMPRODUCT(U$3:U505,$B$3:$B505)/SUM($B$3:$B505))/STDEVA(Z495:Z505),"")</f>
        <v/>
      </c>
      <c r="AF505" s="85" t="str">
        <f>IF(V505&lt;&gt;"",(AA505-SUMPRODUCT(V$3:V505,$B$3:$B505)/SUM($B$3:$B505))/STDEVA(AA495:AA505),"")</f>
        <v/>
      </c>
      <c r="AG505" s="90" t="str">
        <f t="shared" si="204"/>
        <v/>
      </c>
      <c r="AH505" s="90" t="str">
        <f t="shared" si="204"/>
        <v/>
      </c>
      <c r="AI505" s="90" t="str">
        <f t="shared" si="204"/>
        <v/>
      </c>
      <c r="AJ505" s="90" t="str">
        <f t="shared" si="204"/>
        <v/>
      </c>
      <c r="AK505" s="93" t="str">
        <f t="shared" si="205"/>
        <v/>
      </c>
      <c r="BQ505" s="100" t="str">
        <f>IF(A505&lt;&gt;"",(VLOOKUP(A505,MarketData!$D:$BP,MATCH($BQ$1,MarketData!$D$1:$EG$1,0),TRUE)/100/365+1)^(B505)*BQ504,"")</f>
        <v/>
      </c>
      <c r="BR505" s="98" t="str">
        <f t="shared" si="182"/>
        <v/>
      </c>
      <c r="BS505" s="106" t="str">
        <f>IF(A505&lt;&gt;"",VLOOKUP(A505,MarketData!$D:$BP,MATCH($BS$1,MarketData!$D$1:$EG$1,0),TRUE),"")</f>
        <v/>
      </c>
      <c r="BT505" s="98" t="str">
        <f t="shared" si="193"/>
        <v/>
      </c>
    </row>
    <row r="506" spans="2:72" x14ac:dyDescent="0.25">
      <c r="B506" s="60" t="str">
        <f t="shared" si="206"/>
        <v/>
      </c>
      <c r="C506" s="3" t="str">
        <f t="shared" si="183"/>
        <v/>
      </c>
      <c r="D506" s="3" t="str">
        <f t="shared" si="184"/>
        <v/>
      </c>
      <c r="E506" s="3" t="str">
        <f t="shared" si="185"/>
        <v/>
      </c>
      <c r="F506" s="3" t="str">
        <f t="shared" si="186"/>
        <v/>
      </c>
      <c r="G506" s="74" t="str">
        <f t="shared" si="187"/>
        <v/>
      </c>
      <c r="H506" s="78" t="str">
        <f>IFERROR(C506/SUM(M$2:M505),"")</f>
        <v/>
      </c>
      <c r="I506" s="61" t="str">
        <f>IFERROR(D506/SUM(N$2:N506),"")</f>
        <v/>
      </c>
      <c r="J506" s="61" t="str">
        <f>IFERROR(E506/SUM(O$2:O506),"")</f>
        <v/>
      </c>
      <c r="K506" s="61" t="str">
        <f>IFERROR(F506/SUM(P$2:P506),"")</f>
        <v/>
      </c>
      <c r="L506" s="79" t="str">
        <f>IFERROR(G506/SUM(Q$2:Q506),"")</f>
        <v/>
      </c>
      <c r="M506" s="64" t="str">
        <f t="shared" si="188"/>
        <v/>
      </c>
      <c r="N506" s="55" t="str">
        <f t="shared" si="189"/>
        <v/>
      </c>
      <c r="O506" s="55" t="str">
        <f t="shared" si="190"/>
        <v/>
      </c>
      <c r="P506" s="55" t="str">
        <f t="shared" si="191"/>
        <v/>
      </c>
      <c r="Q506" s="65" t="str">
        <f t="shared" si="192"/>
        <v/>
      </c>
      <c r="R506" s="67" t="str">
        <f t="shared" si="194"/>
        <v/>
      </c>
      <c r="S506" s="56" t="str">
        <f t="shared" si="195"/>
        <v/>
      </c>
      <c r="T506" s="56" t="str">
        <f t="shared" si="196"/>
        <v/>
      </c>
      <c r="U506" s="56" t="str">
        <f t="shared" si="197"/>
        <v/>
      </c>
      <c r="V506" s="68" t="str">
        <f t="shared" si="198"/>
        <v/>
      </c>
      <c r="W506" s="80" t="str">
        <f t="shared" si="199"/>
        <v/>
      </c>
      <c r="X506" s="81" t="str">
        <f t="shared" si="200"/>
        <v/>
      </c>
      <c r="Y506" s="81" t="str">
        <f t="shared" si="201"/>
        <v/>
      </c>
      <c r="Z506" s="81" t="str">
        <f t="shared" si="202"/>
        <v/>
      </c>
      <c r="AA506" s="82" t="str">
        <f t="shared" si="203"/>
        <v/>
      </c>
      <c r="AB506" s="83" t="str">
        <f>IF(R506&lt;&gt;"",(W506-SUMPRODUCT(R$3:R506,$B$3:$B506)/SUM($B$3:$B506))/STDEVA(W496:W506),"")</f>
        <v/>
      </c>
      <c r="AC506" s="84" t="str">
        <f>IF(S506&lt;&gt;"",(X506-SUMPRODUCT(S$3:S506,$B$3:$B506)/SUM($B$3:$B506))/STDEVA(X496:X506),"")</f>
        <v/>
      </c>
      <c r="AD506" s="84" t="str">
        <f>IF(T506&lt;&gt;"",(Y506-SUMPRODUCT(T$3:T506,$B$3:$B506)/SUM($B$3:$B506))/STDEVA(Y496:Y506),"")</f>
        <v/>
      </c>
      <c r="AE506" s="84" t="str">
        <f>IF(U506&lt;&gt;"",(Z506-SUMPRODUCT(U$3:U506,$B$3:$B506)/SUM($B$3:$B506))/STDEVA(Z496:Z506),"")</f>
        <v/>
      </c>
      <c r="AF506" s="85" t="str">
        <f>IF(V506&lt;&gt;"",(AA506-SUMPRODUCT(V$3:V506,$B$3:$B506)/SUM($B$3:$B506))/STDEVA(AA496:AA506),"")</f>
        <v/>
      </c>
      <c r="AG506" s="90" t="str">
        <f t="shared" si="204"/>
        <v/>
      </c>
      <c r="AH506" s="90" t="str">
        <f t="shared" si="204"/>
        <v/>
      </c>
      <c r="AI506" s="90" t="str">
        <f t="shared" si="204"/>
        <v/>
      </c>
      <c r="AJ506" s="90" t="str">
        <f t="shared" si="204"/>
        <v/>
      </c>
      <c r="AK506" s="93" t="str">
        <f t="shared" si="205"/>
        <v/>
      </c>
      <c r="BQ506" s="100" t="str">
        <f>IF(A506&lt;&gt;"",(VLOOKUP(A506,MarketData!$D:$BP,MATCH($BQ$1,MarketData!$D$1:$EG$1,0),TRUE)/100/365+1)^(B506)*BQ505,"")</f>
        <v/>
      </c>
      <c r="BR506" s="98" t="str">
        <f t="shared" si="182"/>
        <v/>
      </c>
      <c r="BS506" s="106" t="str">
        <f>IF(A506&lt;&gt;"",VLOOKUP(A506,MarketData!$D:$BP,MATCH($BS$1,MarketData!$D$1:$EG$1,0),TRUE),"")</f>
        <v/>
      </c>
      <c r="BT506" s="98" t="str">
        <f t="shared" si="193"/>
        <v/>
      </c>
    </row>
    <row r="507" spans="2:72" x14ac:dyDescent="0.25">
      <c r="B507" s="60" t="str">
        <f t="shared" si="206"/>
        <v/>
      </c>
      <c r="C507" s="3" t="str">
        <f t="shared" si="183"/>
        <v/>
      </c>
      <c r="D507" s="3" t="str">
        <f t="shared" si="184"/>
        <v/>
      </c>
      <c r="E507" s="3" t="str">
        <f t="shared" si="185"/>
        <v/>
      </c>
      <c r="F507" s="3" t="str">
        <f t="shared" si="186"/>
        <v/>
      </c>
      <c r="G507" s="74" t="str">
        <f t="shared" si="187"/>
        <v/>
      </c>
      <c r="H507" s="78" t="str">
        <f>IFERROR(C507/SUM(M$2:M506),"")</f>
        <v/>
      </c>
      <c r="I507" s="61" t="str">
        <f>IFERROR(D507/SUM(N$2:N507),"")</f>
        <v/>
      </c>
      <c r="J507" s="61" t="str">
        <f>IFERROR(E507/SUM(O$2:O507),"")</f>
        <v/>
      </c>
      <c r="K507" s="61" t="str">
        <f>IFERROR(F507/SUM(P$2:P507),"")</f>
        <v/>
      </c>
      <c r="L507" s="79" t="str">
        <f>IFERROR(G507/SUM(Q$2:Q507),"")</f>
        <v/>
      </c>
      <c r="M507" s="64" t="str">
        <f t="shared" si="188"/>
        <v/>
      </c>
      <c r="N507" s="55" t="str">
        <f t="shared" si="189"/>
        <v/>
      </c>
      <c r="O507" s="55" t="str">
        <f t="shared" si="190"/>
        <v/>
      </c>
      <c r="P507" s="55" t="str">
        <f t="shared" si="191"/>
        <v/>
      </c>
      <c r="Q507" s="65" t="str">
        <f t="shared" si="192"/>
        <v/>
      </c>
      <c r="R507" s="67" t="str">
        <f t="shared" si="194"/>
        <v/>
      </c>
      <c r="S507" s="56" t="str">
        <f t="shared" si="195"/>
        <v/>
      </c>
      <c r="T507" s="56" t="str">
        <f t="shared" si="196"/>
        <v/>
      </c>
      <c r="U507" s="56" t="str">
        <f t="shared" si="197"/>
        <v/>
      </c>
      <c r="V507" s="68" t="str">
        <f t="shared" si="198"/>
        <v/>
      </c>
      <c r="W507" s="80" t="str">
        <f t="shared" si="199"/>
        <v/>
      </c>
      <c r="X507" s="81" t="str">
        <f t="shared" si="200"/>
        <v/>
      </c>
      <c r="Y507" s="81" t="str">
        <f t="shared" si="201"/>
        <v/>
      </c>
      <c r="Z507" s="81" t="str">
        <f t="shared" si="202"/>
        <v/>
      </c>
      <c r="AA507" s="82" t="str">
        <f t="shared" si="203"/>
        <v/>
      </c>
      <c r="AB507" s="83" t="str">
        <f>IF(R507&lt;&gt;"",(W507-SUMPRODUCT(R$3:R507,$B$3:$B507)/SUM($B$3:$B507))/STDEVA(W497:W507),"")</f>
        <v/>
      </c>
      <c r="AC507" s="84" t="str">
        <f>IF(S507&lt;&gt;"",(X507-SUMPRODUCT(S$3:S507,$B$3:$B507)/SUM($B$3:$B507))/STDEVA(X497:X507),"")</f>
        <v/>
      </c>
      <c r="AD507" s="84" t="str">
        <f>IF(T507&lt;&gt;"",(Y507-SUMPRODUCT(T$3:T507,$B$3:$B507)/SUM($B$3:$B507))/STDEVA(Y497:Y507),"")</f>
        <v/>
      </c>
      <c r="AE507" s="84" t="str">
        <f>IF(U507&lt;&gt;"",(Z507-SUMPRODUCT(U$3:U507,$B$3:$B507)/SUM($B$3:$B507))/STDEVA(Z497:Z507),"")</f>
        <v/>
      </c>
      <c r="AF507" s="85" t="str">
        <f>IF(V507&lt;&gt;"",(AA507-SUMPRODUCT(V$3:V507,$B$3:$B507)/SUM($B$3:$B507))/STDEVA(AA497:AA507),"")</f>
        <v/>
      </c>
      <c r="AG507" s="90" t="str">
        <f t="shared" si="204"/>
        <v/>
      </c>
      <c r="AH507" s="90" t="str">
        <f t="shared" si="204"/>
        <v/>
      </c>
      <c r="AI507" s="90" t="str">
        <f t="shared" si="204"/>
        <v/>
      </c>
      <c r="AJ507" s="90" t="str">
        <f t="shared" si="204"/>
        <v/>
      </c>
      <c r="AK507" s="93" t="str">
        <f t="shared" si="205"/>
        <v/>
      </c>
      <c r="BQ507" s="100" t="str">
        <f>IF(A507&lt;&gt;"",(VLOOKUP(A507,MarketData!$D:$BP,MATCH($BQ$1,MarketData!$D$1:$EG$1,0),TRUE)/100/365+1)^(B507)*BQ506,"")</f>
        <v/>
      </c>
      <c r="BR507" s="98" t="str">
        <f t="shared" si="182"/>
        <v/>
      </c>
      <c r="BS507" s="106" t="str">
        <f>IF(A507&lt;&gt;"",VLOOKUP(A507,MarketData!$D:$BP,MATCH($BS$1,MarketData!$D$1:$EG$1,0),TRUE),"")</f>
        <v/>
      </c>
      <c r="BT507" s="98" t="str">
        <f t="shared" si="193"/>
        <v/>
      </c>
    </row>
    <row r="508" spans="2:72" x14ac:dyDescent="0.25">
      <c r="B508" s="60" t="str">
        <f t="shared" si="206"/>
        <v/>
      </c>
      <c r="C508" s="3" t="str">
        <f t="shared" si="183"/>
        <v/>
      </c>
      <c r="D508" s="3" t="str">
        <f t="shared" si="184"/>
        <v/>
      </c>
      <c r="E508" s="3" t="str">
        <f t="shared" si="185"/>
        <v/>
      </c>
      <c r="F508" s="3" t="str">
        <f t="shared" si="186"/>
        <v/>
      </c>
      <c r="G508" s="74" t="str">
        <f t="shared" si="187"/>
        <v/>
      </c>
      <c r="H508" s="78" t="str">
        <f>IFERROR(C508/SUM(M$2:M507),"")</f>
        <v/>
      </c>
      <c r="I508" s="61" t="str">
        <f>IFERROR(D508/SUM(N$2:N508),"")</f>
        <v/>
      </c>
      <c r="J508" s="61" t="str">
        <f>IFERROR(E508/SUM(O$2:O508),"")</f>
        <v/>
      </c>
      <c r="K508" s="61" t="str">
        <f>IFERROR(F508/SUM(P$2:P508),"")</f>
        <v/>
      </c>
      <c r="L508" s="79" t="str">
        <f>IFERROR(G508/SUM(Q$2:Q508),"")</f>
        <v/>
      </c>
      <c r="M508" s="64" t="str">
        <f t="shared" si="188"/>
        <v/>
      </c>
      <c r="N508" s="55" t="str">
        <f t="shared" si="189"/>
        <v/>
      </c>
      <c r="O508" s="55" t="str">
        <f t="shared" si="190"/>
        <v/>
      </c>
      <c r="P508" s="55" t="str">
        <f t="shared" si="191"/>
        <v/>
      </c>
      <c r="Q508" s="65" t="str">
        <f t="shared" si="192"/>
        <v/>
      </c>
      <c r="R508" s="67" t="str">
        <f t="shared" si="194"/>
        <v/>
      </c>
      <c r="S508" s="56" t="str">
        <f t="shared" si="195"/>
        <v/>
      </c>
      <c r="T508" s="56" t="str">
        <f t="shared" si="196"/>
        <v/>
      </c>
      <c r="U508" s="56" t="str">
        <f t="shared" si="197"/>
        <v/>
      </c>
      <c r="V508" s="68" t="str">
        <f t="shared" si="198"/>
        <v/>
      </c>
      <c r="W508" s="80" t="str">
        <f t="shared" si="199"/>
        <v/>
      </c>
      <c r="X508" s="81" t="str">
        <f t="shared" si="200"/>
        <v/>
      </c>
      <c r="Y508" s="81" t="str">
        <f t="shared" si="201"/>
        <v/>
      </c>
      <c r="Z508" s="81" t="str">
        <f t="shared" si="202"/>
        <v/>
      </c>
      <c r="AA508" s="82" t="str">
        <f t="shared" si="203"/>
        <v/>
      </c>
      <c r="AB508" s="83" t="str">
        <f>IF(R508&lt;&gt;"",(W508-SUMPRODUCT(R$3:R508,$B$3:$B508)/SUM($B$3:$B508))/STDEVA(W498:W508),"")</f>
        <v/>
      </c>
      <c r="AC508" s="84" t="str">
        <f>IF(S508&lt;&gt;"",(X508-SUMPRODUCT(S$3:S508,$B$3:$B508)/SUM($B$3:$B508))/STDEVA(X498:X508),"")</f>
        <v/>
      </c>
      <c r="AD508" s="84" t="str">
        <f>IF(T508&lt;&gt;"",(Y508-SUMPRODUCT(T$3:T508,$B$3:$B508)/SUM($B$3:$B508))/STDEVA(Y498:Y508),"")</f>
        <v/>
      </c>
      <c r="AE508" s="84" t="str">
        <f>IF(U508&lt;&gt;"",(Z508-SUMPRODUCT(U$3:U508,$B$3:$B508)/SUM($B$3:$B508))/STDEVA(Z498:Z508),"")</f>
        <v/>
      </c>
      <c r="AF508" s="85" t="str">
        <f>IF(V508&lt;&gt;"",(AA508-SUMPRODUCT(V$3:V508,$B$3:$B508)/SUM($B$3:$B508))/STDEVA(AA498:AA508),"")</f>
        <v/>
      </c>
      <c r="AG508" s="90" t="str">
        <f t="shared" si="204"/>
        <v/>
      </c>
      <c r="AH508" s="90" t="str">
        <f t="shared" si="204"/>
        <v/>
      </c>
      <c r="AI508" s="90" t="str">
        <f t="shared" si="204"/>
        <v/>
      </c>
      <c r="AJ508" s="90" t="str">
        <f t="shared" si="204"/>
        <v/>
      </c>
      <c r="AK508" s="93" t="str">
        <f t="shared" si="205"/>
        <v/>
      </c>
      <c r="BQ508" s="100" t="str">
        <f>IF(A508&lt;&gt;"",(VLOOKUP(A508,MarketData!$D:$BP,MATCH($BQ$1,MarketData!$D$1:$EG$1,0),TRUE)/100/365+1)^(B508)*BQ507,"")</f>
        <v/>
      </c>
      <c r="BR508" s="98" t="str">
        <f t="shared" si="182"/>
        <v/>
      </c>
      <c r="BS508" s="106" t="str">
        <f>IF(A508&lt;&gt;"",VLOOKUP(A508,MarketData!$D:$BP,MATCH($BS$1,MarketData!$D$1:$EG$1,0),TRUE),"")</f>
        <v/>
      </c>
      <c r="BT508" s="98" t="str">
        <f t="shared" si="193"/>
        <v/>
      </c>
    </row>
    <row r="509" spans="2:72" x14ac:dyDescent="0.25">
      <c r="B509" s="60" t="str">
        <f t="shared" si="206"/>
        <v/>
      </c>
      <c r="C509" s="3" t="str">
        <f t="shared" si="183"/>
        <v/>
      </c>
      <c r="D509" s="3" t="str">
        <f t="shared" si="184"/>
        <v/>
      </c>
      <c r="E509" s="3" t="str">
        <f t="shared" si="185"/>
        <v/>
      </c>
      <c r="F509" s="3" t="str">
        <f t="shared" si="186"/>
        <v/>
      </c>
      <c r="G509" s="74" t="str">
        <f t="shared" si="187"/>
        <v/>
      </c>
      <c r="H509" s="78" t="str">
        <f>IFERROR(C509/SUM(M$2:M508),"")</f>
        <v/>
      </c>
      <c r="I509" s="61" t="str">
        <f>IFERROR(D509/SUM(N$2:N509),"")</f>
        <v/>
      </c>
      <c r="J509" s="61" t="str">
        <f>IFERROR(E509/SUM(O$2:O509),"")</f>
        <v/>
      </c>
      <c r="K509" s="61" t="str">
        <f>IFERROR(F509/SUM(P$2:P509),"")</f>
        <v/>
      </c>
      <c r="L509" s="79" t="str">
        <f>IFERROR(G509/SUM(Q$2:Q509),"")</f>
        <v/>
      </c>
      <c r="M509" s="64" t="str">
        <f t="shared" si="188"/>
        <v/>
      </c>
      <c r="N509" s="55" t="str">
        <f t="shared" si="189"/>
        <v/>
      </c>
      <c r="O509" s="55" t="str">
        <f t="shared" si="190"/>
        <v/>
      </c>
      <c r="P509" s="55" t="str">
        <f t="shared" si="191"/>
        <v/>
      </c>
      <c r="Q509" s="65" t="str">
        <f t="shared" si="192"/>
        <v/>
      </c>
      <c r="R509" s="67" t="str">
        <f t="shared" si="194"/>
        <v/>
      </c>
      <c r="S509" s="56" t="str">
        <f t="shared" si="195"/>
        <v/>
      </c>
      <c r="T509" s="56" t="str">
        <f t="shared" si="196"/>
        <v/>
      </c>
      <c r="U509" s="56" t="str">
        <f t="shared" si="197"/>
        <v/>
      </c>
      <c r="V509" s="68" t="str">
        <f t="shared" si="198"/>
        <v/>
      </c>
      <c r="W509" s="80" t="str">
        <f t="shared" si="199"/>
        <v/>
      </c>
      <c r="X509" s="81" t="str">
        <f t="shared" si="200"/>
        <v/>
      </c>
      <c r="Y509" s="81" t="str">
        <f t="shared" si="201"/>
        <v/>
      </c>
      <c r="Z509" s="81" t="str">
        <f t="shared" si="202"/>
        <v/>
      </c>
      <c r="AA509" s="82" t="str">
        <f t="shared" si="203"/>
        <v/>
      </c>
      <c r="AB509" s="83" t="str">
        <f>IF(R509&lt;&gt;"",(W509-SUMPRODUCT(R$3:R509,$B$3:$B509)/SUM($B$3:$B509))/STDEVA(W499:W509),"")</f>
        <v/>
      </c>
      <c r="AC509" s="84" t="str">
        <f>IF(S509&lt;&gt;"",(X509-SUMPRODUCT(S$3:S509,$B$3:$B509)/SUM($B$3:$B509))/STDEVA(X499:X509),"")</f>
        <v/>
      </c>
      <c r="AD509" s="84" t="str">
        <f>IF(T509&lt;&gt;"",(Y509-SUMPRODUCT(T$3:T509,$B$3:$B509)/SUM($B$3:$B509))/STDEVA(Y499:Y509),"")</f>
        <v/>
      </c>
      <c r="AE509" s="84" t="str">
        <f>IF(U509&lt;&gt;"",(Z509-SUMPRODUCT(U$3:U509,$B$3:$B509)/SUM($B$3:$B509))/STDEVA(Z499:Z509),"")</f>
        <v/>
      </c>
      <c r="AF509" s="85" t="str">
        <f>IF(V509&lt;&gt;"",(AA509-SUMPRODUCT(V$3:V509,$B$3:$B509)/SUM($B$3:$B509))/STDEVA(AA499:AA509),"")</f>
        <v/>
      </c>
      <c r="AG509" s="90" t="str">
        <f t="shared" si="204"/>
        <v/>
      </c>
      <c r="AH509" s="90" t="str">
        <f t="shared" si="204"/>
        <v/>
      </c>
      <c r="AI509" s="90" t="str">
        <f t="shared" si="204"/>
        <v/>
      </c>
      <c r="AJ509" s="90" t="str">
        <f t="shared" si="204"/>
        <v/>
      </c>
      <c r="AK509" s="93" t="str">
        <f t="shared" si="205"/>
        <v/>
      </c>
      <c r="BQ509" s="100" t="str">
        <f>IF(A509&lt;&gt;"",(VLOOKUP(A509,MarketData!$D:$BP,MATCH($BQ$1,MarketData!$D$1:$EG$1,0),TRUE)/100/365+1)^(B509)*BQ508,"")</f>
        <v/>
      </c>
      <c r="BR509" s="98" t="str">
        <f t="shared" si="182"/>
        <v/>
      </c>
      <c r="BS509" s="106" t="str">
        <f>IF(A509&lt;&gt;"",VLOOKUP(A509,MarketData!$D:$BP,MATCH($BS$1,MarketData!$D$1:$EG$1,0),TRUE),"")</f>
        <v/>
      </c>
      <c r="BT509" s="98" t="str">
        <f t="shared" si="193"/>
        <v/>
      </c>
    </row>
    <row r="510" spans="2:72" x14ac:dyDescent="0.25">
      <c r="B510" s="60" t="str">
        <f t="shared" si="206"/>
        <v/>
      </c>
      <c r="C510" s="3" t="str">
        <f t="shared" si="183"/>
        <v/>
      </c>
      <c r="D510" s="3" t="str">
        <f t="shared" si="184"/>
        <v/>
      </c>
      <c r="E510" s="3" t="str">
        <f t="shared" si="185"/>
        <v/>
      </c>
      <c r="F510" s="3" t="str">
        <f t="shared" si="186"/>
        <v/>
      </c>
      <c r="G510" s="74" t="str">
        <f t="shared" si="187"/>
        <v/>
      </c>
      <c r="H510" s="78" t="str">
        <f>IFERROR(C510/SUM(M$2:M509),"")</f>
        <v/>
      </c>
      <c r="I510" s="61" t="str">
        <f>IFERROR(D510/SUM(N$2:N510),"")</f>
        <v/>
      </c>
      <c r="J510" s="61" t="str">
        <f>IFERROR(E510/SUM(O$2:O510),"")</f>
        <v/>
      </c>
      <c r="K510" s="61" t="str">
        <f>IFERROR(F510/SUM(P$2:P510),"")</f>
        <v/>
      </c>
      <c r="L510" s="79" t="str">
        <f>IFERROR(G510/SUM(Q$2:Q510),"")</f>
        <v/>
      </c>
      <c r="M510" s="64" t="str">
        <f t="shared" si="188"/>
        <v/>
      </c>
      <c r="N510" s="55" t="str">
        <f t="shared" si="189"/>
        <v/>
      </c>
      <c r="O510" s="55" t="str">
        <f t="shared" si="190"/>
        <v/>
      </c>
      <c r="P510" s="55" t="str">
        <f t="shared" si="191"/>
        <v/>
      </c>
      <c r="Q510" s="65" t="str">
        <f t="shared" si="192"/>
        <v/>
      </c>
      <c r="R510" s="67" t="str">
        <f t="shared" si="194"/>
        <v/>
      </c>
      <c r="S510" s="56" t="str">
        <f t="shared" si="195"/>
        <v/>
      </c>
      <c r="T510" s="56" t="str">
        <f t="shared" si="196"/>
        <v/>
      </c>
      <c r="U510" s="56" t="str">
        <f t="shared" si="197"/>
        <v/>
      </c>
      <c r="V510" s="68" t="str">
        <f t="shared" si="198"/>
        <v/>
      </c>
      <c r="W510" s="80" t="str">
        <f t="shared" si="199"/>
        <v/>
      </c>
      <c r="X510" s="81" t="str">
        <f t="shared" si="200"/>
        <v/>
      </c>
      <c r="Y510" s="81" t="str">
        <f t="shared" si="201"/>
        <v/>
      </c>
      <c r="Z510" s="81" t="str">
        <f t="shared" si="202"/>
        <v/>
      </c>
      <c r="AA510" s="82" t="str">
        <f t="shared" si="203"/>
        <v/>
      </c>
      <c r="AB510" s="83" t="str">
        <f>IF(R510&lt;&gt;"",(W510-SUMPRODUCT(R$3:R510,$B$3:$B510)/SUM($B$3:$B510))/STDEVA(W500:W510),"")</f>
        <v/>
      </c>
      <c r="AC510" s="84" t="str">
        <f>IF(S510&lt;&gt;"",(X510-SUMPRODUCT(S$3:S510,$B$3:$B510)/SUM($B$3:$B510))/STDEVA(X500:X510),"")</f>
        <v/>
      </c>
      <c r="AD510" s="84" t="str">
        <f>IF(T510&lt;&gt;"",(Y510-SUMPRODUCT(T$3:T510,$B$3:$B510)/SUM($B$3:$B510))/STDEVA(Y500:Y510),"")</f>
        <v/>
      </c>
      <c r="AE510" s="84" t="str">
        <f>IF(U510&lt;&gt;"",(Z510-SUMPRODUCT(U$3:U510,$B$3:$B510)/SUM($B$3:$B510))/STDEVA(Z500:Z510),"")</f>
        <v/>
      </c>
      <c r="AF510" s="85" t="str">
        <f>IF(V510&lt;&gt;"",(AA510-SUMPRODUCT(V$3:V510,$B$3:$B510)/SUM($B$3:$B510))/STDEVA(AA500:AA510),"")</f>
        <v/>
      </c>
      <c r="AG510" s="90" t="str">
        <f t="shared" si="204"/>
        <v/>
      </c>
      <c r="AH510" s="90" t="str">
        <f t="shared" si="204"/>
        <v/>
      </c>
      <c r="AI510" s="90" t="str">
        <f t="shared" si="204"/>
        <v/>
      </c>
      <c r="AJ510" s="90" t="str">
        <f t="shared" si="204"/>
        <v/>
      </c>
      <c r="AK510" s="93" t="str">
        <f t="shared" si="205"/>
        <v/>
      </c>
      <c r="BQ510" s="100" t="str">
        <f>IF(A510&lt;&gt;"",(VLOOKUP(A510,MarketData!$D:$BP,MATCH($BQ$1,MarketData!$D$1:$EG$1,0),TRUE)/100/365+1)^(B510)*BQ509,"")</f>
        <v/>
      </c>
      <c r="BR510" s="98" t="str">
        <f t="shared" si="182"/>
        <v/>
      </c>
      <c r="BS510" s="106" t="str">
        <f>IF(A510&lt;&gt;"",VLOOKUP(A510,MarketData!$D:$BP,MATCH($BS$1,MarketData!$D$1:$EG$1,0),TRUE),"")</f>
        <v/>
      </c>
      <c r="BT510" s="98" t="str">
        <f t="shared" si="193"/>
        <v/>
      </c>
    </row>
    <row r="511" spans="2:72" x14ac:dyDescent="0.25">
      <c r="B511" s="60" t="str">
        <f t="shared" si="206"/>
        <v/>
      </c>
      <c r="C511" s="3" t="str">
        <f t="shared" si="183"/>
        <v/>
      </c>
      <c r="D511" s="3" t="str">
        <f t="shared" si="184"/>
        <v/>
      </c>
      <c r="E511" s="3" t="str">
        <f t="shared" si="185"/>
        <v/>
      </c>
      <c r="F511" s="3" t="str">
        <f t="shared" si="186"/>
        <v/>
      </c>
      <c r="G511" s="74" t="str">
        <f t="shared" si="187"/>
        <v/>
      </c>
      <c r="H511" s="78" t="str">
        <f>IFERROR(C511/SUM(M$2:M510),"")</f>
        <v/>
      </c>
      <c r="I511" s="61" t="str">
        <f>IFERROR(D511/SUM(N$2:N511),"")</f>
        <v/>
      </c>
      <c r="J511" s="61" t="str">
        <f>IFERROR(E511/SUM(O$2:O511),"")</f>
        <v/>
      </c>
      <c r="K511" s="61" t="str">
        <f>IFERROR(F511/SUM(P$2:P511),"")</f>
        <v/>
      </c>
      <c r="L511" s="79" t="str">
        <f>IFERROR(G511/SUM(Q$2:Q511),"")</f>
        <v/>
      </c>
      <c r="M511" s="64" t="str">
        <f t="shared" si="188"/>
        <v/>
      </c>
      <c r="N511" s="55" t="str">
        <f t="shared" si="189"/>
        <v/>
      </c>
      <c r="O511" s="55" t="str">
        <f t="shared" si="190"/>
        <v/>
      </c>
      <c r="P511" s="55" t="str">
        <f t="shared" si="191"/>
        <v/>
      </c>
      <c r="Q511" s="65" t="str">
        <f t="shared" si="192"/>
        <v/>
      </c>
      <c r="R511" s="67" t="str">
        <f t="shared" si="194"/>
        <v/>
      </c>
      <c r="S511" s="56" t="str">
        <f t="shared" si="195"/>
        <v/>
      </c>
      <c r="T511" s="56" t="str">
        <f t="shared" si="196"/>
        <v/>
      </c>
      <c r="U511" s="56" t="str">
        <f t="shared" si="197"/>
        <v/>
      </c>
      <c r="V511" s="68" t="str">
        <f t="shared" si="198"/>
        <v/>
      </c>
      <c r="W511" s="80" t="str">
        <f t="shared" si="199"/>
        <v/>
      </c>
      <c r="X511" s="81" t="str">
        <f t="shared" si="200"/>
        <v/>
      </c>
      <c r="Y511" s="81" t="str">
        <f t="shared" si="201"/>
        <v/>
      </c>
      <c r="Z511" s="81" t="str">
        <f t="shared" si="202"/>
        <v/>
      </c>
      <c r="AA511" s="82" t="str">
        <f t="shared" si="203"/>
        <v/>
      </c>
      <c r="AB511" s="83" t="str">
        <f>IF(R511&lt;&gt;"",(W511-SUMPRODUCT(R$3:R511,$B$3:$B511)/SUM($B$3:$B511))/STDEVA(W501:W511),"")</f>
        <v/>
      </c>
      <c r="AC511" s="84" t="str">
        <f>IF(S511&lt;&gt;"",(X511-SUMPRODUCT(S$3:S511,$B$3:$B511)/SUM($B$3:$B511))/STDEVA(X501:X511),"")</f>
        <v/>
      </c>
      <c r="AD511" s="84" t="str">
        <f>IF(T511&lt;&gt;"",(Y511-SUMPRODUCT(T$3:T511,$B$3:$B511)/SUM($B$3:$B511))/STDEVA(Y501:Y511),"")</f>
        <v/>
      </c>
      <c r="AE511" s="84" t="str">
        <f>IF(U511&lt;&gt;"",(Z511-SUMPRODUCT(U$3:U511,$B$3:$B511)/SUM($B$3:$B511))/STDEVA(Z501:Z511),"")</f>
        <v/>
      </c>
      <c r="AF511" s="85" t="str">
        <f>IF(V511&lt;&gt;"",(AA511-SUMPRODUCT(V$3:V511,$B$3:$B511)/SUM($B$3:$B511))/STDEVA(AA501:AA511),"")</f>
        <v/>
      </c>
      <c r="AG511" s="90" t="str">
        <f t="shared" si="204"/>
        <v/>
      </c>
      <c r="AH511" s="90" t="str">
        <f t="shared" si="204"/>
        <v/>
      </c>
      <c r="AI511" s="90" t="str">
        <f t="shared" si="204"/>
        <v/>
      </c>
      <c r="AJ511" s="90" t="str">
        <f t="shared" si="204"/>
        <v/>
      </c>
      <c r="AK511" s="93" t="str">
        <f t="shared" si="205"/>
        <v/>
      </c>
      <c r="BQ511" s="100" t="str">
        <f>IF(A511&lt;&gt;"",(VLOOKUP(A511,MarketData!$D:$BP,MATCH($BQ$1,MarketData!$D$1:$EG$1,0),TRUE)/100/365+1)^(B511)*BQ510,"")</f>
        <v/>
      </c>
      <c r="BR511" s="98" t="str">
        <f t="shared" si="182"/>
        <v/>
      </c>
      <c r="BS511" s="106" t="str">
        <f>IF(A511&lt;&gt;"",VLOOKUP(A511,MarketData!$D:$BP,MATCH($BS$1,MarketData!$D$1:$EG$1,0),TRUE),"")</f>
        <v/>
      </c>
      <c r="BT511" s="98" t="str">
        <f t="shared" si="193"/>
        <v/>
      </c>
    </row>
    <row r="512" spans="2:72" x14ac:dyDescent="0.25">
      <c r="B512" s="60" t="str">
        <f t="shared" si="206"/>
        <v/>
      </c>
      <c r="C512" s="3" t="str">
        <f t="shared" si="183"/>
        <v/>
      </c>
      <c r="D512" s="3" t="str">
        <f t="shared" si="184"/>
        <v/>
      </c>
      <c r="E512" s="3" t="str">
        <f t="shared" si="185"/>
        <v/>
      </c>
      <c r="F512" s="3" t="str">
        <f t="shared" si="186"/>
        <v/>
      </c>
      <c r="G512" s="74" t="str">
        <f t="shared" si="187"/>
        <v/>
      </c>
      <c r="H512" s="78" t="str">
        <f>IFERROR(C512/SUM(M$2:M511),"")</f>
        <v/>
      </c>
      <c r="I512" s="61" t="str">
        <f>IFERROR(D512/SUM(N$2:N512),"")</f>
        <v/>
      </c>
      <c r="J512" s="61" t="str">
        <f>IFERROR(E512/SUM(O$2:O512),"")</f>
        <v/>
      </c>
      <c r="K512" s="61" t="str">
        <f>IFERROR(F512/SUM(P$2:P512),"")</f>
        <v/>
      </c>
      <c r="L512" s="79" t="str">
        <f>IFERROR(G512/SUM(Q$2:Q512),"")</f>
        <v/>
      </c>
      <c r="M512" s="64" t="str">
        <f t="shared" si="188"/>
        <v/>
      </c>
      <c r="N512" s="55" t="str">
        <f t="shared" si="189"/>
        <v/>
      </c>
      <c r="O512" s="55" t="str">
        <f t="shared" si="190"/>
        <v/>
      </c>
      <c r="P512" s="55" t="str">
        <f t="shared" si="191"/>
        <v/>
      </c>
      <c r="Q512" s="65" t="str">
        <f t="shared" si="192"/>
        <v/>
      </c>
      <c r="R512" s="67" t="str">
        <f t="shared" si="194"/>
        <v/>
      </c>
      <c r="S512" s="56" t="str">
        <f t="shared" si="195"/>
        <v/>
      </c>
      <c r="T512" s="56" t="str">
        <f t="shared" si="196"/>
        <v/>
      </c>
      <c r="U512" s="56" t="str">
        <f t="shared" si="197"/>
        <v/>
      </c>
      <c r="V512" s="68" t="str">
        <f t="shared" si="198"/>
        <v/>
      </c>
      <c r="W512" s="80" t="str">
        <f t="shared" si="199"/>
        <v/>
      </c>
      <c r="X512" s="81" t="str">
        <f t="shared" si="200"/>
        <v/>
      </c>
      <c r="Y512" s="81" t="str">
        <f t="shared" si="201"/>
        <v/>
      </c>
      <c r="Z512" s="81" t="str">
        <f t="shared" si="202"/>
        <v/>
      </c>
      <c r="AA512" s="82" t="str">
        <f t="shared" si="203"/>
        <v/>
      </c>
      <c r="AB512" s="83" t="str">
        <f>IF(R512&lt;&gt;"",(W512-SUMPRODUCT(R$3:R512,$B$3:$B512)/SUM($B$3:$B512))/STDEVA(W502:W512),"")</f>
        <v/>
      </c>
      <c r="AC512" s="84" t="str">
        <f>IF(S512&lt;&gt;"",(X512-SUMPRODUCT(S$3:S512,$B$3:$B512)/SUM($B$3:$B512))/STDEVA(X502:X512),"")</f>
        <v/>
      </c>
      <c r="AD512" s="84" t="str">
        <f>IF(T512&lt;&gt;"",(Y512-SUMPRODUCT(T$3:T512,$B$3:$B512)/SUM($B$3:$B512))/STDEVA(Y502:Y512),"")</f>
        <v/>
      </c>
      <c r="AE512" s="84" t="str">
        <f>IF(U512&lt;&gt;"",(Z512-SUMPRODUCT(U$3:U512,$B$3:$B512)/SUM($B$3:$B512))/STDEVA(Z502:Z512),"")</f>
        <v/>
      </c>
      <c r="AF512" s="85" t="str">
        <f>IF(V512&lt;&gt;"",(AA512-SUMPRODUCT(V$3:V512,$B$3:$B512)/SUM($B$3:$B512))/STDEVA(AA502:AA512),"")</f>
        <v/>
      </c>
      <c r="AG512" s="90" t="str">
        <f t="shared" si="204"/>
        <v/>
      </c>
      <c r="AH512" s="90" t="str">
        <f t="shared" si="204"/>
        <v/>
      </c>
      <c r="AI512" s="90" t="str">
        <f t="shared" si="204"/>
        <v/>
      </c>
      <c r="AJ512" s="90" t="str">
        <f t="shared" si="204"/>
        <v/>
      </c>
      <c r="AK512" s="93" t="str">
        <f t="shared" si="205"/>
        <v/>
      </c>
      <c r="BQ512" s="100" t="str">
        <f>IF(A512&lt;&gt;"",(VLOOKUP(A512,MarketData!$D:$BP,MATCH($BQ$1,MarketData!$D$1:$EG$1,0),TRUE)/100/365+1)^(B512)*BQ511,"")</f>
        <v/>
      </c>
      <c r="BR512" s="98" t="str">
        <f t="shared" si="182"/>
        <v/>
      </c>
      <c r="BS512" s="106" t="str">
        <f>IF(A512&lt;&gt;"",VLOOKUP(A512,MarketData!$D:$BP,MATCH($BS$1,MarketData!$D$1:$EG$1,0),TRUE),"")</f>
        <v/>
      </c>
      <c r="BT512" s="98" t="str">
        <f t="shared" si="193"/>
        <v/>
      </c>
    </row>
    <row r="513" spans="2:72" x14ac:dyDescent="0.25">
      <c r="B513" s="60" t="str">
        <f t="shared" si="206"/>
        <v/>
      </c>
      <c r="C513" s="3" t="str">
        <f t="shared" si="183"/>
        <v/>
      </c>
      <c r="D513" s="3" t="str">
        <f t="shared" si="184"/>
        <v/>
      </c>
      <c r="E513" s="3" t="str">
        <f t="shared" si="185"/>
        <v/>
      </c>
      <c r="F513" s="3" t="str">
        <f t="shared" si="186"/>
        <v/>
      </c>
      <c r="G513" s="74" t="str">
        <f t="shared" si="187"/>
        <v/>
      </c>
      <c r="H513" s="78" t="str">
        <f>IFERROR(C513/SUM(M$2:M512),"")</f>
        <v/>
      </c>
      <c r="I513" s="61" t="str">
        <f>IFERROR(D513/SUM(N$2:N513),"")</f>
        <v/>
      </c>
      <c r="J513" s="61" t="str">
        <f>IFERROR(E513/SUM(O$2:O513),"")</f>
        <v/>
      </c>
      <c r="K513" s="61" t="str">
        <f>IFERROR(F513/SUM(P$2:P513),"")</f>
        <v/>
      </c>
      <c r="L513" s="79" t="str">
        <f>IFERROR(G513/SUM(Q$2:Q513),"")</f>
        <v/>
      </c>
      <c r="M513" s="64" t="str">
        <f t="shared" si="188"/>
        <v/>
      </c>
      <c r="N513" s="55" t="str">
        <f t="shared" si="189"/>
        <v/>
      </c>
      <c r="O513" s="55" t="str">
        <f t="shared" si="190"/>
        <v/>
      </c>
      <c r="P513" s="55" t="str">
        <f t="shared" si="191"/>
        <v/>
      </c>
      <c r="Q513" s="65" t="str">
        <f t="shared" si="192"/>
        <v/>
      </c>
      <c r="R513" s="67" t="str">
        <f t="shared" si="194"/>
        <v/>
      </c>
      <c r="S513" s="56" t="str">
        <f t="shared" si="195"/>
        <v/>
      </c>
      <c r="T513" s="56" t="str">
        <f t="shared" si="196"/>
        <v/>
      </c>
      <c r="U513" s="56" t="str">
        <f t="shared" si="197"/>
        <v/>
      </c>
      <c r="V513" s="68" t="str">
        <f t="shared" si="198"/>
        <v/>
      </c>
      <c r="W513" s="80" t="str">
        <f t="shared" si="199"/>
        <v/>
      </c>
      <c r="X513" s="81" t="str">
        <f t="shared" si="200"/>
        <v/>
      </c>
      <c r="Y513" s="81" t="str">
        <f t="shared" si="201"/>
        <v/>
      </c>
      <c r="Z513" s="81" t="str">
        <f t="shared" si="202"/>
        <v/>
      </c>
      <c r="AA513" s="82" t="str">
        <f t="shared" si="203"/>
        <v/>
      </c>
      <c r="AB513" s="83" t="str">
        <f>IF(R513&lt;&gt;"",(W513-SUMPRODUCT(R$3:R513,$B$3:$B513)/SUM($B$3:$B513))/STDEVA(W503:W513),"")</f>
        <v/>
      </c>
      <c r="AC513" s="84" t="str">
        <f>IF(S513&lt;&gt;"",(X513-SUMPRODUCT(S$3:S513,$B$3:$B513)/SUM($B$3:$B513))/STDEVA(X503:X513),"")</f>
        <v/>
      </c>
      <c r="AD513" s="84" t="str">
        <f>IF(T513&lt;&gt;"",(Y513-SUMPRODUCT(T$3:T513,$B$3:$B513)/SUM($B$3:$B513))/STDEVA(Y503:Y513),"")</f>
        <v/>
      </c>
      <c r="AE513" s="84" t="str">
        <f>IF(U513&lt;&gt;"",(Z513-SUMPRODUCT(U$3:U513,$B$3:$B513)/SUM($B$3:$B513))/STDEVA(Z503:Z513),"")</f>
        <v/>
      </c>
      <c r="AF513" s="85" t="str">
        <f>IF(V513&lt;&gt;"",(AA513-SUMPRODUCT(V$3:V513,$B$3:$B513)/SUM($B$3:$B513))/STDEVA(AA503:AA513),"")</f>
        <v/>
      </c>
      <c r="AG513" s="90" t="str">
        <f t="shared" si="204"/>
        <v/>
      </c>
      <c r="AH513" s="90" t="str">
        <f t="shared" si="204"/>
        <v/>
      </c>
      <c r="AI513" s="90" t="str">
        <f t="shared" si="204"/>
        <v/>
      </c>
      <c r="AJ513" s="90" t="str">
        <f t="shared" si="204"/>
        <v/>
      </c>
      <c r="AK513" s="93" t="str">
        <f t="shared" si="205"/>
        <v/>
      </c>
      <c r="BQ513" s="100" t="str">
        <f>IF(A513&lt;&gt;"",(VLOOKUP(A513,MarketData!$D:$BP,MATCH($BQ$1,MarketData!$D$1:$EG$1,0),TRUE)/100/365+1)^(B513)*BQ512,"")</f>
        <v/>
      </c>
      <c r="BR513" s="98" t="str">
        <f t="shared" si="182"/>
        <v/>
      </c>
      <c r="BS513" s="106" t="str">
        <f>IF(A513&lt;&gt;"",VLOOKUP(A513,MarketData!$D:$BP,MATCH($BS$1,MarketData!$D$1:$EG$1,0),TRUE),"")</f>
        <v/>
      </c>
      <c r="BT513" s="98" t="str">
        <f t="shared" si="193"/>
        <v/>
      </c>
    </row>
    <row r="514" spans="2:72" x14ac:dyDescent="0.25">
      <c r="B514" s="60" t="str">
        <f t="shared" si="206"/>
        <v/>
      </c>
      <c r="C514" s="3" t="str">
        <f t="shared" si="183"/>
        <v/>
      </c>
      <c r="D514" s="3" t="str">
        <f t="shared" si="184"/>
        <v/>
      </c>
      <c r="E514" s="3" t="str">
        <f t="shared" si="185"/>
        <v/>
      </c>
      <c r="F514" s="3" t="str">
        <f t="shared" si="186"/>
        <v/>
      </c>
      <c r="G514" s="74" t="str">
        <f t="shared" si="187"/>
        <v/>
      </c>
      <c r="H514" s="78" t="str">
        <f>IFERROR(C514/SUM(M$2:M513),"")</f>
        <v/>
      </c>
      <c r="I514" s="61" t="str">
        <f>IFERROR(D514/SUM(N$2:N514),"")</f>
        <v/>
      </c>
      <c r="J514" s="61" t="str">
        <f>IFERROR(E514/SUM(O$2:O514),"")</f>
        <v/>
      </c>
      <c r="K514" s="61" t="str">
        <f>IFERROR(F514/SUM(P$2:P514),"")</f>
        <v/>
      </c>
      <c r="L514" s="79" t="str">
        <f>IFERROR(G514/SUM(Q$2:Q514),"")</f>
        <v/>
      </c>
      <c r="M514" s="64" t="str">
        <f t="shared" si="188"/>
        <v/>
      </c>
      <c r="N514" s="55" t="str">
        <f t="shared" si="189"/>
        <v/>
      </c>
      <c r="O514" s="55" t="str">
        <f t="shared" si="190"/>
        <v/>
      </c>
      <c r="P514" s="55" t="str">
        <f t="shared" si="191"/>
        <v/>
      </c>
      <c r="Q514" s="65" t="str">
        <f t="shared" si="192"/>
        <v/>
      </c>
      <c r="R514" s="67" t="str">
        <f t="shared" si="194"/>
        <v/>
      </c>
      <c r="S514" s="56" t="str">
        <f t="shared" si="195"/>
        <v/>
      </c>
      <c r="T514" s="56" t="str">
        <f t="shared" si="196"/>
        <v/>
      </c>
      <c r="U514" s="56" t="str">
        <f t="shared" si="197"/>
        <v/>
      </c>
      <c r="V514" s="68" t="str">
        <f t="shared" si="198"/>
        <v/>
      </c>
      <c r="W514" s="80" t="str">
        <f t="shared" si="199"/>
        <v/>
      </c>
      <c r="X514" s="81" t="str">
        <f t="shared" si="200"/>
        <v/>
      </c>
      <c r="Y514" s="81" t="str">
        <f t="shared" si="201"/>
        <v/>
      </c>
      <c r="Z514" s="81" t="str">
        <f t="shared" si="202"/>
        <v/>
      </c>
      <c r="AA514" s="82" t="str">
        <f t="shared" si="203"/>
        <v/>
      </c>
      <c r="AB514" s="83" t="str">
        <f>IF(R514&lt;&gt;"",(W514-SUMPRODUCT(R$3:R514,$B$3:$B514)/SUM($B$3:$B514))/STDEVA(W504:W514),"")</f>
        <v/>
      </c>
      <c r="AC514" s="84" t="str">
        <f>IF(S514&lt;&gt;"",(X514-SUMPRODUCT(S$3:S514,$B$3:$B514)/SUM($B$3:$B514))/STDEVA(X504:X514),"")</f>
        <v/>
      </c>
      <c r="AD514" s="84" t="str">
        <f>IF(T514&lt;&gt;"",(Y514-SUMPRODUCT(T$3:T514,$B$3:$B514)/SUM($B$3:$B514))/STDEVA(Y504:Y514),"")</f>
        <v/>
      </c>
      <c r="AE514" s="84" t="str">
        <f>IF(U514&lt;&gt;"",(Z514-SUMPRODUCT(U$3:U514,$B$3:$B514)/SUM($B$3:$B514))/STDEVA(Z504:Z514),"")</f>
        <v/>
      </c>
      <c r="AF514" s="85" t="str">
        <f>IF(V514&lt;&gt;"",(AA514-SUMPRODUCT(V$3:V514,$B$3:$B514)/SUM($B$3:$B514))/STDEVA(AA504:AA514),"")</f>
        <v/>
      </c>
      <c r="AG514" s="90" t="str">
        <f t="shared" si="204"/>
        <v/>
      </c>
      <c r="AH514" s="90" t="str">
        <f t="shared" si="204"/>
        <v/>
      </c>
      <c r="AI514" s="90" t="str">
        <f t="shared" si="204"/>
        <v/>
      </c>
      <c r="AJ514" s="90" t="str">
        <f t="shared" si="204"/>
        <v/>
      </c>
      <c r="AK514" s="93" t="str">
        <f t="shared" si="205"/>
        <v/>
      </c>
      <c r="BQ514" s="100" t="str">
        <f>IF(A514&lt;&gt;"",(VLOOKUP(A514,MarketData!$D:$BP,MATCH($BQ$1,MarketData!$D$1:$EG$1,0),TRUE)/100/365+1)^(B514)*BQ513,"")</f>
        <v/>
      </c>
      <c r="BR514" s="98" t="str">
        <f t="shared" ref="BR514:BR577" si="207">IF(A514&lt;&gt;"",(BQ514-$BQ$2)/$BQ$2,"")</f>
        <v/>
      </c>
      <c r="BS514" s="106" t="str">
        <f>IF(A514&lt;&gt;"",VLOOKUP(A514,MarketData!$D:$BP,MATCH($BS$1,MarketData!$D$1:$EG$1,0),TRUE),"")</f>
        <v/>
      </c>
      <c r="BT514" s="98" t="str">
        <f t="shared" si="193"/>
        <v/>
      </c>
    </row>
    <row r="515" spans="2:72" x14ac:dyDescent="0.25">
      <c r="B515" s="60" t="str">
        <f t="shared" si="206"/>
        <v/>
      </c>
      <c r="C515" s="3" t="str">
        <f t="shared" ref="C515:C578" si="208">IF($A515&lt;&gt;0,SUMIFS(VM,Fecha,$A515,Linea,C$1)+SUMIFS(FX,Fecha,$A515,Linea,C$1)+C514,"")</f>
        <v/>
      </c>
      <c r="D515" s="3" t="str">
        <f t="shared" ref="D515:D578" si="209">IF($A515&lt;&gt;0,SUMIFS(VM,Fecha,$A515,Linea,D$1)+SUMIFS(FX,Fecha,$A515,Linea,D$1)+D514,"")</f>
        <v/>
      </c>
      <c r="E515" s="3" t="str">
        <f t="shared" ref="E515:E578" si="210">IF($A515&lt;&gt;0,SUMIFS(VM,Fecha,$A515,Linea,E$1)+SUMIFS(FX,Fecha,$A515,Linea,E$1)+E514,"")</f>
        <v/>
      </c>
      <c r="F515" s="3" t="str">
        <f t="shared" ref="F515:F578" si="211">IF($A515&lt;&gt;0,SUMIFS(VM,Fecha,$A515,Linea,F$1)+SUMIFS(FX,Fecha,$A515,Linea,F$1)+F514,"")</f>
        <v/>
      </c>
      <c r="G515" s="74" t="str">
        <f t="shared" ref="G515:G578" si="212">IF($A515&lt;&gt;0,SUMIFS(VM,Fecha,$A515,Linea,G$1)+SUMIFS(FX,Fecha,$A515,Linea,G$1)+G514,"")</f>
        <v/>
      </c>
      <c r="H515" s="78" t="str">
        <f>IFERROR(C515/SUM(M$2:M514),"")</f>
        <v/>
      </c>
      <c r="I515" s="61" t="str">
        <f>IFERROR(D515/SUM(N$2:N515),"")</f>
        <v/>
      </c>
      <c r="J515" s="61" t="str">
        <f>IFERROR(E515/SUM(O$2:O515),"")</f>
        <v/>
      </c>
      <c r="K515" s="61" t="str">
        <f>IFERROR(F515/SUM(P$2:P515),"")</f>
        <v/>
      </c>
      <c r="L515" s="79" t="str">
        <f>IFERROR(G515/SUM(Q$2:Q515),"")</f>
        <v/>
      </c>
      <c r="M515" s="64" t="str">
        <f t="shared" ref="M515:M578" si="213">IF($A515&lt;&gt;"",SUMIFS(Transferencias,Fecha,$A515,Linea,C$1),"")</f>
        <v/>
      </c>
      <c r="N515" s="55" t="str">
        <f t="shared" ref="N515:N578" si="214">IF($A515&lt;&gt;"",SUMIFS(Transferencias,Fecha,$A515,Linea,D$1),"")</f>
        <v/>
      </c>
      <c r="O515" s="55" t="str">
        <f t="shared" ref="O515:O578" si="215">IF($A515&lt;&gt;"",SUMIFS(Transferencias,Fecha,$A515,Linea,E$1),"")</f>
        <v/>
      </c>
      <c r="P515" s="55" t="str">
        <f t="shared" ref="P515:P578" si="216">IF($A515&lt;&gt;"",SUMIFS(Transferencias,Fecha,$A515,Linea,F$1),"")</f>
        <v/>
      </c>
      <c r="Q515" s="65" t="str">
        <f t="shared" ref="Q515:Q578" si="217">IF($A515&lt;&gt;"",SUMIFS(Transferencias,Fecha,$A515,Linea,G$1),"")</f>
        <v/>
      </c>
      <c r="R515" s="67" t="str">
        <f t="shared" si="194"/>
        <v/>
      </c>
      <c r="S515" s="56" t="str">
        <f t="shared" si="195"/>
        <v/>
      </c>
      <c r="T515" s="56" t="str">
        <f t="shared" si="196"/>
        <v/>
      </c>
      <c r="U515" s="56" t="str">
        <f t="shared" si="197"/>
        <v/>
      </c>
      <c r="V515" s="68" t="str">
        <f t="shared" si="198"/>
        <v/>
      </c>
      <c r="W515" s="80" t="str">
        <f t="shared" si="199"/>
        <v/>
      </c>
      <c r="X515" s="81" t="str">
        <f t="shared" si="200"/>
        <v/>
      </c>
      <c r="Y515" s="81" t="str">
        <f t="shared" si="201"/>
        <v/>
      </c>
      <c r="Z515" s="81" t="str">
        <f t="shared" si="202"/>
        <v/>
      </c>
      <c r="AA515" s="82" t="str">
        <f t="shared" si="203"/>
        <v/>
      </c>
      <c r="AB515" s="83" t="str">
        <f>IF(R515&lt;&gt;"",(W515-SUMPRODUCT(R$3:R515,$B$3:$B515)/SUM($B$3:$B515))/STDEVA(W505:W515),"")</f>
        <v/>
      </c>
      <c r="AC515" s="84" t="str">
        <f>IF(S515&lt;&gt;"",(X515-SUMPRODUCT(S$3:S515,$B$3:$B515)/SUM($B$3:$B515))/STDEVA(X505:X515),"")</f>
        <v/>
      </c>
      <c r="AD515" s="84" t="str">
        <f>IF(T515&lt;&gt;"",(Y515-SUMPRODUCT(T$3:T515,$B$3:$B515)/SUM($B$3:$B515))/STDEVA(Y505:Y515),"")</f>
        <v/>
      </c>
      <c r="AE515" s="84" t="str">
        <f>IF(U515&lt;&gt;"",(Z515-SUMPRODUCT(U$3:U515,$B$3:$B515)/SUM($B$3:$B515))/STDEVA(Z505:Z515),"")</f>
        <v/>
      </c>
      <c r="AF515" s="85" t="str">
        <f>IF(V515&lt;&gt;"",(AA515-SUMPRODUCT(V$3:V515,$B$3:$B515)/SUM($B$3:$B515))/STDEVA(AA505:AA515),"")</f>
        <v/>
      </c>
      <c r="AG515" s="90" t="str">
        <f t="shared" si="204"/>
        <v/>
      </c>
      <c r="AH515" s="90" t="str">
        <f t="shared" si="204"/>
        <v/>
      </c>
      <c r="AI515" s="90" t="str">
        <f t="shared" si="204"/>
        <v/>
      </c>
      <c r="AJ515" s="90" t="str">
        <f t="shared" si="204"/>
        <v/>
      </c>
      <c r="AK515" s="93" t="str">
        <f t="shared" si="205"/>
        <v/>
      </c>
      <c r="BQ515" s="100" t="str">
        <f>IF(A515&lt;&gt;"",(VLOOKUP(A515,MarketData!$D:$BP,MATCH($BQ$1,MarketData!$D$1:$EG$1,0),TRUE)/100/365+1)^(B515)*BQ514,"")</f>
        <v/>
      </c>
      <c r="BR515" s="98" t="str">
        <f t="shared" si="207"/>
        <v/>
      </c>
      <c r="BS515" s="106" t="str">
        <f>IF(A515&lt;&gt;"",VLOOKUP(A515,MarketData!$D:$BP,MATCH($BS$1,MarketData!$D$1:$EG$1,0),TRUE),"")</f>
        <v/>
      </c>
      <c r="BT515" s="98" t="str">
        <f t="shared" ref="BT515:BT578" si="218">IF(A515&lt;&gt;"",(BS515-$BS$2)/$BS$2,"")</f>
        <v/>
      </c>
    </row>
    <row r="516" spans="2:72" x14ac:dyDescent="0.25">
      <c r="B516" s="60" t="str">
        <f t="shared" si="206"/>
        <v/>
      </c>
      <c r="C516" s="3" t="str">
        <f t="shared" si="208"/>
        <v/>
      </c>
      <c r="D516" s="3" t="str">
        <f t="shared" si="209"/>
        <v/>
      </c>
      <c r="E516" s="3" t="str">
        <f t="shared" si="210"/>
        <v/>
      </c>
      <c r="F516" s="3" t="str">
        <f t="shared" si="211"/>
        <v/>
      </c>
      <c r="G516" s="74" t="str">
        <f t="shared" si="212"/>
        <v/>
      </c>
      <c r="H516" s="78" t="str">
        <f>IFERROR(C516/SUM(M$2:M515),"")</f>
        <v/>
      </c>
      <c r="I516" s="61" t="str">
        <f>IFERROR(D516/SUM(N$2:N516),"")</f>
        <v/>
      </c>
      <c r="J516" s="61" t="str">
        <f>IFERROR(E516/SUM(O$2:O516),"")</f>
        <v/>
      </c>
      <c r="K516" s="61" t="str">
        <f>IFERROR(F516/SUM(P$2:P516),"")</f>
        <v/>
      </c>
      <c r="L516" s="79" t="str">
        <f>IFERROR(G516/SUM(Q$2:Q516),"")</f>
        <v/>
      </c>
      <c r="M516" s="64" t="str">
        <f t="shared" si="213"/>
        <v/>
      </c>
      <c r="N516" s="55" t="str">
        <f t="shared" si="214"/>
        <v/>
      </c>
      <c r="O516" s="55" t="str">
        <f t="shared" si="215"/>
        <v/>
      </c>
      <c r="P516" s="55" t="str">
        <f t="shared" si="216"/>
        <v/>
      </c>
      <c r="Q516" s="65" t="str">
        <f t="shared" si="217"/>
        <v/>
      </c>
      <c r="R516" s="67" t="str">
        <f t="shared" ref="R516:R579" si="219">IF(C516&lt;&gt;"",LN((C516-C515)/(SUMIFS(Total,Fecha,$A515,Linea,C$1)+M515)+1)*365/($A516-$A515),"")</f>
        <v/>
      </c>
      <c r="S516" s="56" t="str">
        <f t="shared" ref="S516:S579" si="220">IF(D516&lt;&gt;"",LN((D516-D515)/(SUMIFS(Total,Fecha,$A515,Linea,D$1)+N515)+1)*365/($A516-$A515),"")</f>
        <v/>
      </c>
      <c r="T516" s="56" t="str">
        <f t="shared" ref="T516:T579" si="221">IF(E516&lt;&gt;"",LN((E516-E515)/(SUMIFS(Total,Fecha,$A515,Linea,E$1)+O515)+1)*365/($A516-$A515),"")</f>
        <v/>
      </c>
      <c r="U516" s="56" t="str">
        <f t="shared" ref="U516:U579" si="222">IF(F516&lt;&gt;"",LN((F516-F515)/(SUMIFS(Total,Fecha,$A515,Linea,F$1)+P515)+1)*365/($A516-$A515),"")</f>
        <v/>
      </c>
      <c r="V516" s="68" t="str">
        <f t="shared" ref="V516:V579" si="223">IF(G516&lt;&gt;"",LN((G516-G515)/(SUMIFS(Total,Fecha,$A515,Linea,G$1)+Q515)+1)*365/($A516-$A515),"")</f>
        <v/>
      </c>
      <c r="W516" s="80" t="str">
        <f t="shared" si="199"/>
        <v/>
      </c>
      <c r="X516" s="81" t="str">
        <f t="shared" si="200"/>
        <v/>
      </c>
      <c r="Y516" s="81" t="str">
        <f t="shared" si="201"/>
        <v/>
      </c>
      <c r="Z516" s="81" t="str">
        <f t="shared" si="202"/>
        <v/>
      </c>
      <c r="AA516" s="82" t="str">
        <f t="shared" si="203"/>
        <v/>
      </c>
      <c r="AB516" s="83" t="str">
        <f>IF(R516&lt;&gt;"",(W516-SUMPRODUCT(R$3:R516,$B$3:$B516)/SUM($B$3:$B516))/STDEVA(W506:W516),"")</f>
        <v/>
      </c>
      <c r="AC516" s="84" t="str">
        <f>IF(S516&lt;&gt;"",(X516-SUMPRODUCT(S$3:S516,$B$3:$B516)/SUM($B$3:$B516))/STDEVA(X506:X516),"")</f>
        <v/>
      </c>
      <c r="AD516" s="84" t="str">
        <f>IF(T516&lt;&gt;"",(Y516-SUMPRODUCT(T$3:T516,$B$3:$B516)/SUM($B$3:$B516))/STDEVA(Y506:Y516),"")</f>
        <v/>
      </c>
      <c r="AE516" s="84" t="str">
        <f>IF(U516&lt;&gt;"",(Z516-SUMPRODUCT(U$3:U516,$B$3:$B516)/SUM($B$3:$B516))/STDEVA(Z506:Z516),"")</f>
        <v/>
      </c>
      <c r="AF516" s="85" t="str">
        <f>IF(V516&lt;&gt;"",(AA516-SUMPRODUCT(V$3:V516,$B$3:$B516)/SUM($B$3:$B516))/STDEVA(AA506:AA516),"")</f>
        <v/>
      </c>
      <c r="AG516" s="90" t="str">
        <f t="shared" si="204"/>
        <v/>
      </c>
      <c r="AH516" s="90" t="str">
        <f t="shared" si="204"/>
        <v/>
      </c>
      <c r="AI516" s="90" t="str">
        <f t="shared" si="204"/>
        <v/>
      </c>
      <c r="AJ516" s="90" t="str">
        <f t="shared" si="204"/>
        <v/>
      </c>
      <c r="AK516" s="93" t="str">
        <f t="shared" si="205"/>
        <v/>
      </c>
      <c r="BQ516" s="100" t="str">
        <f>IF(A516&lt;&gt;"",(VLOOKUP(A516,MarketData!$D:$BP,MATCH($BQ$1,MarketData!$D$1:$EG$1,0),TRUE)/100/365+1)^(B516)*BQ515,"")</f>
        <v/>
      </c>
      <c r="BR516" s="98" t="str">
        <f t="shared" si="207"/>
        <v/>
      </c>
      <c r="BS516" s="106" t="str">
        <f>IF(A516&lt;&gt;"",VLOOKUP(A516,MarketData!$D:$BP,MATCH($BS$1,MarketData!$D$1:$EG$1,0),TRUE),"")</f>
        <v/>
      </c>
      <c r="BT516" s="98" t="str">
        <f t="shared" si="218"/>
        <v/>
      </c>
    </row>
    <row r="517" spans="2:72" x14ac:dyDescent="0.25">
      <c r="B517" s="60" t="str">
        <f t="shared" si="206"/>
        <v/>
      </c>
      <c r="C517" s="3" t="str">
        <f t="shared" si="208"/>
        <v/>
      </c>
      <c r="D517" s="3" t="str">
        <f t="shared" si="209"/>
        <v/>
      </c>
      <c r="E517" s="3" t="str">
        <f t="shared" si="210"/>
        <v/>
      </c>
      <c r="F517" s="3" t="str">
        <f t="shared" si="211"/>
        <v/>
      </c>
      <c r="G517" s="74" t="str">
        <f t="shared" si="212"/>
        <v/>
      </c>
      <c r="H517" s="78" t="str">
        <f>IFERROR(C517/SUM(M$2:M516),"")</f>
        <v/>
      </c>
      <c r="I517" s="61" t="str">
        <f>IFERROR(D517/SUM(N$2:N517),"")</f>
        <v/>
      </c>
      <c r="J517" s="61" t="str">
        <f>IFERROR(E517/SUM(O$2:O517),"")</f>
        <v/>
      </c>
      <c r="K517" s="61" t="str">
        <f>IFERROR(F517/SUM(P$2:P517),"")</f>
        <v/>
      </c>
      <c r="L517" s="79" t="str">
        <f>IFERROR(G517/SUM(Q$2:Q517),"")</f>
        <v/>
      </c>
      <c r="M517" s="64" t="str">
        <f t="shared" si="213"/>
        <v/>
      </c>
      <c r="N517" s="55" t="str">
        <f t="shared" si="214"/>
        <v/>
      </c>
      <c r="O517" s="55" t="str">
        <f t="shared" si="215"/>
        <v/>
      </c>
      <c r="P517" s="55" t="str">
        <f t="shared" si="216"/>
        <v/>
      </c>
      <c r="Q517" s="65" t="str">
        <f t="shared" si="217"/>
        <v/>
      </c>
      <c r="R517" s="67" t="str">
        <f t="shared" si="219"/>
        <v/>
      </c>
      <c r="S517" s="56" t="str">
        <f t="shared" si="220"/>
        <v/>
      </c>
      <c r="T517" s="56" t="str">
        <f t="shared" si="221"/>
        <v/>
      </c>
      <c r="U517" s="56" t="str">
        <f t="shared" si="222"/>
        <v/>
      </c>
      <c r="V517" s="68" t="str">
        <f t="shared" si="223"/>
        <v/>
      </c>
      <c r="W517" s="80" t="str">
        <f t="shared" si="199"/>
        <v/>
      </c>
      <c r="X517" s="81" t="str">
        <f t="shared" si="200"/>
        <v/>
      </c>
      <c r="Y517" s="81" t="str">
        <f t="shared" si="201"/>
        <v/>
      </c>
      <c r="Z517" s="81" t="str">
        <f t="shared" si="202"/>
        <v/>
      </c>
      <c r="AA517" s="82" t="str">
        <f t="shared" si="203"/>
        <v/>
      </c>
      <c r="AB517" s="83" t="str">
        <f>IF(R517&lt;&gt;"",(W517-SUMPRODUCT(R$3:R517,$B$3:$B517)/SUM($B$3:$B517))/STDEVA(W507:W517),"")</f>
        <v/>
      </c>
      <c r="AC517" s="84" t="str">
        <f>IF(S517&lt;&gt;"",(X517-SUMPRODUCT(S$3:S517,$B$3:$B517)/SUM($B$3:$B517))/STDEVA(X507:X517),"")</f>
        <v/>
      </c>
      <c r="AD517" s="84" t="str">
        <f>IF(T517&lt;&gt;"",(Y517-SUMPRODUCT(T$3:T517,$B$3:$B517)/SUM($B$3:$B517))/STDEVA(Y507:Y517),"")</f>
        <v/>
      </c>
      <c r="AE517" s="84" t="str">
        <f>IF(U517&lt;&gt;"",(Z517-SUMPRODUCT(U$3:U517,$B$3:$B517)/SUM($B$3:$B517))/STDEVA(Z507:Z517),"")</f>
        <v/>
      </c>
      <c r="AF517" s="85" t="str">
        <f>IF(V517&lt;&gt;"",(AA517-SUMPRODUCT(V$3:V517,$B$3:$B517)/SUM($B$3:$B517))/STDEVA(AA507:AA517),"")</f>
        <v/>
      </c>
      <c r="AG517" s="90" t="str">
        <f t="shared" si="204"/>
        <v/>
      </c>
      <c r="AH517" s="90" t="str">
        <f t="shared" si="204"/>
        <v/>
      </c>
      <c r="AI517" s="90" t="str">
        <f t="shared" si="204"/>
        <v/>
      </c>
      <c r="AJ517" s="90" t="str">
        <f t="shared" si="204"/>
        <v/>
      </c>
      <c r="AK517" s="93" t="str">
        <f t="shared" si="205"/>
        <v/>
      </c>
      <c r="BQ517" s="100" t="str">
        <f>IF(A517&lt;&gt;"",(VLOOKUP(A517,MarketData!$D:$BP,MATCH($BQ$1,MarketData!$D$1:$EG$1,0),TRUE)/100/365+1)^(B517)*BQ516,"")</f>
        <v/>
      </c>
      <c r="BR517" s="98" t="str">
        <f t="shared" si="207"/>
        <v/>
      </c>
      <c r="BS517" s="106" t="str">
        <f>IF(A517&lt;&gt;"",VLOOKUP(A517,MarketData!$D:$BP,MATCH($BS$1,MarketData!$D$1:$EG$1,0),TRUE),"")</f>
        <v/>
      </c>
      <c r="BT517" s="98" t="str">
        <f t="shared" si="218"/>
        <v/>
      </c>
    </row>
    <row r="518" spans="2:72" x14ac:dyDescent="0.25">
      <c r="B518" s="60" t="str">
        <f t="shared" si="206"/>
        <v/>
      </c>
      <c r="C518" s="3" t="str">
        <f t="shared" si="208"/>
        <v/>
      </c>
      <c r="D518" s="3" t="str">
        <f t="shared" si="209"/>
        <v/>
      </c>
      <c r="E518" s="3" t="str">
        <f t="shared" si="210"/>
        <v/>
      </c>
      <c r="F518" s="3" t="str">
        <f t="shared" si="211"/>
        <v/>
      </c>
      <c r="G518" s="74" t="str">
        <f t="shared" si="212"/>
        <v/>
      </c>
      <c r="H518" s="78" t="str">
        <f>IFERROR(C518/SUM(M$2:M517),"")</f>
        <v/>
      </c>
      <c r="I518" s="61" t="str">
        <f>IFERROR(D518/SUM(N$2:N518),"")</f>
        <v/>
      </c>
      <c r="J518" s="61" t="str">
        <f>IFERROR(E518/SUM(O$2:O518),"")</f>
        <v/>
      </c>
      <c r="K518" s="61" t="str">
        <f>IFERROR(F518/SUM(P$2:P518),"")</f>
        <v/>
      </c>
      <c r="L518" s="79" t="str">
        <f>IFERROR(G518/SUM(Q$2:Q518),"")</f>
        <v/>
      </c>
      <c r="M518" s="64" t="str">
        <f t="shared" si="213"/>
        <v/>
      </c>
      <c r="N518" s="55" t="str">
        <f t="shared" si="214"/>
        <v/>
      </c>
      <c r="O518" s="55" t="str">
        <f t="shared" si="215"/>
        <v/>
      </c>
      <c r="P518" s="55" t="str">
        <f t="shared" si="216"/>
        <v/>
      </c>
      <c r="Q518" s="65" t="str">
        <f t="shared" si="217"/>
        <v/>
      </c>
      <c r="R518" s="67" t="str">
        <f t="shared" si="219"/>
        <v/>
      </c>
      <c r="S518" s="56" t="str">
        <f t="shared" si="220"/>
        <v/>
      </c>
      <c r="T518" s="56" t="str">
        <f t="shared" si="221"/>
        <v/>
      </c>
      <c r="U518" s="56" t="str">
        <f t="shared" si="222"/>
        <v/>
      </c>
      <c r="V518" s="68" t="str">
        <f t="shared" si="223"/>
        <v/>
      </c>
      <c r="W518" s="80" t="str">
        <f t="shared" si="199"/>
        <v/>
      </c>
      <c r="X518" s="81" t="str">
        <f t="shared" si="200"/>
        <v/>
      </c>
      <c r="Y518" s="81" t="str">
        <f t="shared" si="201"/>
        <v/>
      </c>
      <c r="Z518" s="81" t="str">
        <f t="shared" si="202"/>
        <v/>
      </c>
      <c r="AA518" s="82" t="str">
        <f t="shared" si="203"/>
        <v/>
      </c>
      <c r="AB518" s="83" t="str">
        <f>IF(R518&lt;&gt;"",(W518-SUMPRODUCT(R$3:R518,$B$3:$B518)/SUM($B$3:$B518))/STDEVA(W508:W518),"")</f>
        <v/>
      </c>
      <c r="AC518" s="84" t="str">
        <f>IF(S518&lt;&gt;"",(X518-SUMPRODUCT(S$3:S518,$B$3:$B518)/SUM($B$3:$B518))/STDEVA(X508:X518),"")</f>
        <v/>
      </c>
      <c r="AD518" s="84" t="str">
        <f>IF(T518&lt;&gt;"",(Y518-SUMPRODUCT(T$3:T518,$B$3:$B518)/SUM($B$3:$B518))/STDEVA(Y508:Y518),"")</f>
        <v/>
      </c>
      <c r="AE518" s="84" t="str">
        <f>IF(U518&lt;&gt;"",(Z518-SUMPRODUCT(U$3:U518,$B$3:$B518)/SUM($B$3:$B518))/STDEVA(Z508:Z518),"")</f>
        <v/>
      </c>
      <c r="AF518" s="85" t="str">
        <f>IF(V518&lt;&gt;"",(AA518-SUMPRODUCT(V$3:V518,$B$3:$B518)/SUM($B$3:$B518))/STDEVA(AA508:AA518),"")</f>
        <v/>
      </c>
      <c r="AG518" s="90" t="str">
        <f t="shared" si="204"/>
        <v/>
      </c>
      <c r="AH518" s="90" t="str">
        <f t="shared" si="204"/>
        <v/>
      </c>
      <c r="AI518" s="90" t="str">
        <f t="shared" si="204"/>
        <v/>
      </c>
      <c r="AJ518" s="90" t="str">
        <f t="shared" si="204"/>
        <v/>
      </c>
      <c r="AK518" s="93" t="str">
        <f t="shared" si="205"/>
        <v/>
      </c>
      <c r="BQ518" s="100" t="str">
        <f>IF(A518&lt;&gt;"",(VLOOKUP(A518,MarketData!$D:$BP,MATCH($BQ$1,MarketData!$D$1:$EG$1,0),TRUE)/100/365+1)^(B518)*BQ517,"")</f>
        <v/>
      </c>
      <c r="BR518" s="98" t="str">
        <f t="shared" si="207"/>
        <v/>
      </c>
      <c r="BS518" s="106" t="str">
        <f>IF(A518&lt;&gt;"",VLOOKUP(A518,MarketData!$D:$BP,MATCH($BS$1,MarketData!$D$1:$EG$1,0),TRUE),"")</f>
        <v/>
      </c>
      <c r="BT518" s="98" t="str">
        <f t="shared" si="218"/>
        <v/>
      </c>
    </row>
    <row r="519" spans="2:72" x14ac:dyDescent="0.25">
      <c r="B519" s="60" t="str">
        <f t="shared" si="206"/>
        <v/>
      </c>
      <c r="C519" s="3" t="str">
        <f t="shared" si="208"/>
        <v/>
      </c>
      <c r="D519" s="3" t="str">
        <f t="shared" si="209"/>
        <v/>
      </c>
      <c r="E519" s="3" t="str">
        <f t="shared" si="210"/>
        <v/>
      </c>
      <c r="F519" s="3" t="str">
        <f t="shared" si="211"/>
        <v/>
      </c>
      <c r="G519" s="74" t="str">
        <f t="shared" si="212"/>
        <v/>
      </c>
      <c r="H519" s="78" t="str">
        <f>IFERROR(C519/SUM(M$2:M518),"")</f>
        <v/>
      </c>
      <c r="I519" s="61" t="str">
        <f>IFERROR(D519/SUM(N$2:N519),"")</f>
        <v/>
      </c>
      <c r="J519" s="61" t="str">
        <f>IFERROR(E519/SUM(O$2:O519),"")</f>
        <v/>
      </c>
      <c r="K519" s="61" t="str">
        <f>IFERROR(F519/SUM(P$2:P519),"")</f>
        <v/>
      </c>
      <c r="L519" s="79" t="str">
        <f>IFERROR(G519/SUM(Q$2:Q519),"")</f>
        <v/>
      </c>
      <c r="M519" s="64" t="str">
        <f t="shared" si="213"/>
        <v/>
      </c>
      <c r="N519" s="55" t="str">
        <f t="shared" si="214"/>
        <v/>
      </c>
      <c r="O519" s="55" t="str">
        <f t="shared" si="215"/>
        <v/>
      </c>
      <c r="P519" s="55" t="str">
        <f t="shared" si="216"/>
        <v/>
      </c>
      <c r="Q519" s="65" t="str">
        <f t="shared" si="217"/>
        <v/>
      </c>
      <c r="R519" s="67" t="str">
        <f t="shared" si="219"/>
        <v/>
      </c>
      <c r="S519" s="56" t="str">
        <f t="shared" si="220"/>
        <v/>
      </c>
      <c r="T519" s="56" t="str">
        <f t="shared" si="221"/>
        <v/>
      </c>
      <c r="U519" s="56" t="str">
        <f t="shared" si="222"/>
        <v/>
      </c>
      <c r="V519" s="68" t="str">
        <f t="shared" si="223"/>
        <v/>
      </c>
      <c r="W519" s="80" t="str">
        <f t="shared" si="199"/>
        <v/>
      </c>
      <c r="X519" s="81" t="str">
        <f t="shared" si="200"/>
        <v/>
      </c>
      <c r="Y519" s="81" t="str">
        <f t="shared" si="201"/>
        <v/>
      </c>
      <c r="Z519" s="81" t="str">
        <f t="shared" si="202"/>
        <v/>
      </c>
      <c r="AA519" s="82" t="str">
        <f t="shared" si="203"/>
        <v/>
      </c>
      <c r="AB519" s="83" t="str">
        <f>IF(R519&lt;&gt;"",(W519-SUMPRODUCT(R$3:R519,$B$3:$B519)/SUM($B$3:$B519))/STDEVA(W509:W519),"")</f>
        <v/>
      </c>
      <c r="AC519" s="84" t="str">
        <f>IF(S519&lt;&gt;"",(X519-SUMPRODUCT(S$3:S519,$B$3:$B519)/SUM($B$3:$B519))/STDEVA(X509:X519),"")</f>
        <v/>
      </c>
      <c r="AD519" s="84" t="str">
        <f>IF(T519&lt;&gt;"",(Y519-SUMPRODUCT(T$3:T519,$B$3:$B519)/SUM($B$3:$B519))/STDEVA(Y509:Y519),"")</f>
        <v/>
      </c>
      <c r="AE519" s="84" t="str">
        <f>IF(U519&lt;&gt;"",(Z519-SUMPRODUCT(U$3:U519,$B$3:$B519)/SUM($B$3:$B519))/STDEVA(Z509:Z519),"")</f>
        <v/>
      </c>
      <c r="AF519" s="85" t="str">
        <f>IF(V519&lt;&gt;"",(AA519-SUMPRODUCT(V$3:V519,$B$3:$B519)/SUM($B$3:$B519))/STDEVA(AA509:AA519),"")</f>
        <v/>
      </c>
      <c r="AG519" s="90" t="str">
        <f t="shared" si="204"/>
        <v/>
      </c>
      <c r="AH519" s="90" t="str">
        <f t="shared" si="204"/>
        <v/>
      </c>
      <c r="AI519" s="90" t="str">
        <f t="shared" si="204"/>
        <v/>
      </c>
      <c r="AJ519" s="90" t="str">
        <f t="shared" si="204"/>
        <v/>
      </c>
      <c r="AK519" s="93" t="str">
        <f t="shared" si="205"/>
        <v/>
      </c>
      <c r="BQ519" s="100" t="str">
        <f>IF(A519&lt;&gt;"",(VLOOKUP(A519,MarketData!$D:$BP,MATCH($BQ$1,MarketData!$D$1:$EG$1,0),TRUE)/100/365+1)^(B519)*BQ518,"")</f>
        <v/>
      </c>
      <c r="BR519" s="98" t="str">
        <f t="shared" si="207"/>
        <v/>
      </c>
      <c r="BS519" s="106" t="str">
        <f>IF(A519&lt;&gt;"",VLOOKUP(A519,MarketData!$D:$BP,MATCH($BS$1,MarketData!$D$1:$EG$1,0),TRUE),"")</f>
        <v/>
      </c>
      <c r="BT519" s="98" t="str">
        <f t="shared" si="218"/>
        <v/>
      </c>
    </row>
    <row r="520" spans="2:72" x14ac:dyDescent="0.25">
      <c r="B520" s="60" t="str">
        <f t="shared" si="206"/>
        <v/>
      </c>
      <c r="C520" s="3" t="str">
        <f t="shared" si="208"/>
        <v/>
      </c>
      <c r="D520" s="3" t="str">
        <f t="shared" si="209"/>
        <v/>
      </c>
      <c r="E520" s="3" t="str">
        <f t="shared" si="210"/>
        <v/>
      </c>
      <c r="F520" s="3" t="str">
        <f t="shared" si="211"/>
        <v/>
      </c>
      <c r="G520" s="74" t="str">
        <f t="shared" si="212"/>
        <v/>
      </c>
      <c r="H520" s="78" t="str">
        <f>IFERROR(C520/SUM(M$2:M519),"")</f>
        <v/>
      </c>
      <c r="I520" s="61" t="str">
        <f>IFERROR(D520/SUM(N$2:N520),"")</f>
        <v/>
      </c>
      <c r="J520" s="61" t="str">
        <f>IFERROR(E520/SUM(O$2:O520),"")</f>
        <v/>
      </c>
      <c r="K520" s="61" t="str">
        <f>IFERROR(F520/SUM(P$2:P520),"")</f>
        <v/>
      </c>
      <c r="L520" s="79" t="str">
        <f>IFERROR(G520/SUM(Q$2:Q520),"")</f>
        <v/>
      </c>
      <c r="M520" s="64" t="str">
        <f t="shared" si="213"/>
        <v/>
      </c>
      <c r="N520" s="55" t="str">
        <f t="shared" si="214"/>
        <v/>
      </c>
      <c r="O520" s="55" t="str">
        <f t="shared" si="215"/>
        <v/>
      </c>
      <c r="P520" s="55" t="str">
        <f t="shared" si="216"/>
        <v/>
      </c>
      <c r="Q520" s="65" t="str">
        <f t="shared" si="217"/>
        <v/>
      </c>
      <c r="R520" s="67" t="str">
        <f t="shared" si="219"/>
        <v/>
      </c>
      <c r="S520" s="56" t="str">
        <f t="shared" si="220"/>
        <v/>
      </c>
      <c r="T520" s="56" t="str">
        <f t="shared" si="221"/>
        <v/>
      </c>
      <c r="U520" s="56" t="str">
        <f t="shared" si="222"/>
        <v/>
      </c>
      <c r="V520" s="68" t="str">
        <f t="shared" si="223"/>
        <v/>
      </c>
      <c r="W520" s="80" t="str">
        <f t="shared" si="199"/>
        <v/>
      </c>
      <c r="X520" s="81" t="str">
        <f t="shared" si="200"/>
        <v/>
      </c>
      <c r="Y520" s="81" t="str">
        <f t="shared" si="201"/>
        <v/>
      </c>
      <c r="Z520" s="81" t="str">
        <f t="shared" si="202"/>
        <v/>
      </c>
      <c r="AA520" s="82" t="str">
        <f t="shared" si="203"/>
        <v/>
      </c>
      <c r="AB520" s="83" t="str">
        <f>IF(R520&lt;&gt;"",(W520-SUMPRODUCT(R$3:R520,$B$3:$B520)/SUM($B$3:$B520))/STDEVA(W510:W520),"")</f>
        <v/>
      </c>
      <c r="AC520" s="84" t="str">
        <f>IF(S520&lt;&gt;"",(X520-SUMPRODUCT(S$3:S520,$B$3:$B520)/SUM($B$3:$B520))/STDEVA(X510:X520),"")</f>
        <v/>
      </c>
      <c r="AD520" s="84" t="str">
        <f>IF(T520&lt;&gt;"",(Y520-SUMPRODUCT(T$3:T520,$B$3:$B520)/SUM($B$3:$B520))/STDEVA(Y510:Y520),"")</f>
        <v/>
      </c>
      <c r="AE520" s="84" t="str">
        <f>IF(U520&lt;&gt;"",(Z520-SUMPRODUCT(U$3:U520,$B$3:$B520)/SUM($B$3:$B520))/STDEVA(Z510:Z520),"")</f>
        <v/>
      </c>
      <c r="AF520" s="85" t="str">
        <f>IF(V520&lt;&gt;"",(AA520-SUMPRODUCT(V$3:V520,$B$3:$B520)/SUM($B$3:$B520))/STDEVA(AA510:AA520),"")</f>
        <v/>
      </c>
      <c r="AG520" s="90" t="str">
        <f t="shared" si="204"/>
        <v/>
      </c>
      <c r="AH520" s="90" t="str">
        <f t="shared" si="204"/>
        <v/>
      </c>
      <c r="AI520" s="90" t="str">
        <f t="shared" si="204"/>
        <v/>
      </c>
      <c r="AJ520" s="90" t="str">
        <f t="shared" si="204"/>
        <v/>
      </c>
      <c r="AK520" s="93" t="str">
        <f t="shared" si="205"/>
        <v/>
      </c>
      <c r="BQ520" s="100" t="str">
        <f>IF(A520&lt;&gt;"",(VLOOKUP(A520,MarketData!$D:$BP,MATCH($BQ$1,MarketData!$D$1:$EG$1,0),TRUE)/100/365+1)^(B520)*BQ519,"")</f>
        <v/>
      </c>
      <c r="BR520" s="98" t="str">
        <f t="shared" si="207"/>
        <v/>
      </c>
      <c r="BS520" s="106" t="str">
        <f>IF(A520&lt;&gt;"",VLOOKUP(A520,MarketData!$D:$BP,MATCH($BS$1,MarketData!$D$1:$EG$1,0),TRUE),"")</f>
        <v/>
      </c>
      <c r="BT520" s="98" t="str">
        <f t="shared" si="218"/>
        <v/>
      </c>
    </row>
    <row r="521" spans="2:72" x14ac:dyDescent="0.25">
      <c r="B521" s="60" t="str">
        <f t="shared" si="206"/>
        <v/>
      </c>
      <c r="C521" s="3" t="str">
        <f t="shared" si="208"/>
        <v/>
      </c>
      <c r="D521" s="3" t="str">
        <f t="shared" si="209"/>
        <v/>
      </c>
      <c r="E521" s="3" t="str">
        <f t="shared" si="210"/>
        <v/>
      </c>
      <c r="F521" s="3" t="str">
        <f t="shared" si="211"/>
        <v/>
      </c>
      <c r="G521" s="74" t="str">
        <f t="shared" si="212"/>
        <v/>
      </c>
      <c r="H521" s="78" t="str">
        <f>IFERROR(C521/SUM(M$2:M520),"")</f>
        <v/>
      </c>
      <c r="I521" s="61" t="str">
        <f>IFERROR(D521/SUM(N$2:N521),"")</f>
        <v/>
      </c>
      <c r="J521" s="61" t="str">
        <f>IFERROR(E521/SUM(O$2:O521),"")</f>
        <v/>
      </c>
      <c r="K521" s="61" t="str">
        <f>IFERROR(F521/SUM(P$2:P521),"")</f>
        <v/>
      </c>
      <c r="L521" s="79" t="str">
        <f>IFERROR(G521/SUM(Q$2:Q521),"")</f>
        <v/>
      </c>
      <c r="M521" s="64" t="str">
        <f t="shared" si="213"/>
        <v/>
      </c>
      <c r="N521" s="55" t="str">
        <f t="shared" si="214"/>
        <v/>
      </c>
      <c r="O521" s="55" t="str">
        <f t="shared" si="215"/>
        <v/>
      </c>
      <c r="P521" s="55" t="str">
        <f t="shared" si="216"/>
        <v/>
      </c>
      <c r="Q521" s="65" t="str">
        <f t="shared" si="217"/>
        <v/>
      </c>
      <c r="R521" s="67" t="str">
        <f t="shared" si="219"/>
        <v/>
      </c>
      <c r="S521" s="56" t="str">
        <f t="shared" si="220"/>
        <v/>
      </c>
      <c r="T521" s="56" t="str">
        <f t="shared" si="221"/>
        <v/>
      </c>
      <c r="U521" s="56" t="str">
        <f t="shared" si="222"/>
        <v/>
      </c>
      <c r="V521" s="68" t="str">
        <f t="shared" si="223"/>
        <v/>
      </c>
      <c r="W521" s="80" t="str">
        <f t="shared" si="199"/>
        <v/>
      </c>
      <c r="X521" s="81" t="str">
        <f t="shared" si="200"/>
        <v/>
      </c>
      <c r="Y521" s="81" t="str">
        <f t="shared" si="201"/>
        <v/>
      </c>
      <c r="Z521" s="81" t="str">
        <f t="shared" si="202"/>
        <v/>
      </c>
      <c r="AA521" s="82" t="str">
        <f t="shared" si="203"/>
        <v/>
      </c>
      <c r="AB521" s="83" t="str">
        <f>IF(R521&lt;&gt;"",(W521-SUMPRODUCT(R$3:R521,$B$3:$B521)/SUM($B$3:$B521))/STDEVA(W511:W521),"")</f>
        <v/>
      </c>
      <c r="AC521" s="84" t="str">
        <f>IF(S521&lt;&gt;"",(X521-SUMPRODUCT(S$3:S521,$B$3:$B521)/SUM($B$3:$B521))/STDEVA(X511:X521),"")</f>
        <v/>
      </c>
      <c r="AD521" s="84" t="str">
        <f>IF(T521&lt;&gt;"",(Y521-SUMPRODUCT(T$3:T521,$B$3:$B521)/SUM($B$3:$B521))/STDEVA(Y511:Y521),"")</f>
        <v/>
      </c>
      <c r="AE521" s="84" t="str">
        <f>IF(U521&lt;&gt;"",(Z521-SUMPRODUCT(U$3:U521,$B$3:$B521)/SUM($B$3:$B521))/STDEVA(Z511:Z521),"")</f>
        <v/>
      </c>
      <c r="AF521" s="85" t="str">
        <f>IF(V521&lt;&gt;"",(AA521-SUMPRODUCT(V$3:V521,$B$3:$B521)/SUM($B$3:$B521))/STDEVA(AA511:AA521),"")</f>
        <v/>
      </c>
      <c r="AG521" s="90" t="str">
        <f t="shared" si="204"/>
        <v/>
      </c>
      <c r="AH521" s="90" t="str">
        <f t="shared" si="204"/>
        <v/>
      </c>
      <c r="AI521" s="90" t="str">
        <f t="shared" si="204"/>
        <v/>
      </c>
      <c r="AJ521" s="90" t="str">
        <f t="shared" si="204"/>
        <v/>
      </c>
      <c r="AK521" s="93" t="str">
        <f t="shared" si="205"/>
        <v/>
      </c>
      <c r="BQ521" s="100" t="str">
        <f>IF(A521&lt;&gt;"",(VLOOKUP(A521,MarketData!$D:$BP,MATCH($BQ$1,MarketData!$D$1:$EG$1,0),TRUE)/100/365+1)^(B521)*BQ520,"")</f>
        <v/>
      </c>
      <c r="BR521" s="98" t="str">
        <f t="shared" si="207"/>
        <v/>
      </c>
      <c r="BS521" s="106" t="str">
        <f>IF(A521&lt;&gt;"",VLOOKUP(A521,MarketData!$D:$BP,MATCH($BS$1,MarketData!$D$1:$EG$1,0),TRUE),"")</f>
        <v/>
      </c>
      <c r="BT521" s="98" t="str">
        <f t="shared" si="218"/>
        <v/>
      </c>
    </row>
    <row r="522" spans="2:72" x14ac:dyDescent="0.25">
      <c r="B522" s="60" t="str">
        <f t="shared" si="206"/>
        <v/>
      </c>
      <c r="C522" s="3" t="str">
        <f t="shared" si="208"/>
        <v/>
      </c>
      <c r="D522" s="3" t="str">
        <f t="shared" si="209"/>
        <v/>
      </c>
      <c r="E522" s="3" t="str">
        <f t="shared" si="210"/>
        <v/>
      </c>
      <c r="F522" s="3" t="str">
        <f t="shared" si="211"/>
        <v/>
      </c>
      <c r="G522" s="74" t="str">
        <f t="shared" si="212"/>
        <v/>
      </c>
      <c r="H522" s="78" t="str">
        <f>IFERROR(C522/SUM(M$2:M521),"")</f>
        <v/>
      </c>
      <c r="I522" s="61" t="str">
        <f>IFERROR(D522/SUM(N$2:N522),"")</f>
        <v/>
      </c>
      <c r="J522" s="61" t="str">
        <f>IFERROR(E522/SUM(O$2:O522),"")</f>
        <v/>
      </c>
      <c r="K522" s="61" t="str">
        <f>IFERROR(F522/SUM(P$2:P522),"")</f>
        <v/>
      </c>
      <c r="L522" s="79" t="str">
        <f>IFERROR(G522/SUM(Q$2:Q522),"")</f>
        <v/>
      </c>
      <c r="M522" s="64" t="str">
        <f t="shared" si="213"/>
        <v/>
      </c>
      <c r="N522" s="55" t="str">
        <f t="shared" si="214"/>
        <v/>
      </c>
      <c r="O522" s="55" t="str">
        <f t="shared" si="215"/>
        <v/>
      </c>
      <c r="P522" s="55" t="str">
        <f t="shared" si="216"/>
        <v/>
      </c>
      <c r="Q522" s="65" t="str">
        <f t="shared" si="217"/>
        <v/>
      </c>
      <c r="R522" s="67" t="str">
        <f t="shared" si="219"/>
        <v/>
      </c>
      <c r="S522" s="56" t="str">
        <f t="shared" si="220"/>
        <v/>
      </c>
      <c r="T522" s="56" t="str">
        <f t="shared" si="221"/>
        <v/>
      </c>
      <c r="U522" s="56" t="str">
        <f t="shared" si="222"/>
        <v/>
      </c>
      <c r="V522" s="68" t="str">
        <f t="shared" si="223"/>
        <v/>
      </c>
      <c r="W522" s="80" t="str">
        <f t="shared" si="199"/>
        <v/>
      </c>
      <c r="X522" s="81" t="str">
        <f t="shared" si="200"/>
        <v/>
      </c>
      <c r="Y522" s="81" t="str">
        <f t="shared" si="201"/>
        <v/>
      </c>
      <c r="Z522" s="81" t="str">
        <f t="shared" si="202"/>
        <v/>
      </c>
      <c r="AA522" s="82" t="str">
        <f t="shared" si="203"/>
        <v/>
      </c>
      <c r="AB522" s="83" t="str">
        <f>IF(R522&lt;&gt;"",(W522-SUMPRODUCT(R$3:R522,$B$3:$B522)/SUM($B$3:$B522))/STDEVA(W512:W522),"")</f>
        <v/>
      </c>
      <c r="AC522" s="84" t="str">
        <f>IF(S522&lt;&gt;"",(X522-SUMPRODUCT(S$3:S522,$B$3:$B522)/SUM($B$3:$B522))/STDEVA(X512:X522),"")</f>
        <v/>
      </c>
      <c r="AD522" s="84" t="str">
        <f>IF(T522&lt;&gt;"",(Y522-SUMPRODUCT(T$3:T522,$B$3:$B522)/SUM($B$3:$B522))/STDEVA(Y512:Y522),"")</f>
        <v/>
      </c>
      <c r="AE522" s="84" t="str">
        <f>IF(U522&lt;&gt;"",(Z522-SUMPRODUCT(U$3:U522,$B$3:$B522)/SUM($B$3:$B522))/STDEVA(Z512:Z522),"")</f>
        <v/>
      </c>
      <c r="AF522" s="85" t="str">
        <f>IF(V522&lt;&gt;"",(AA522-SUMPRODUCT(V$3:V522,$B$3:$B522)/SUM($B$3:$B522))/STDEVA(AA512:AA522),"")</f>
        <v/>
      </c>
      <c r="AG522" s="90" t="str">
        <f t="shared" si="204"/>
        <v/>
      </c>
      <c r="AH522" s="90" t="str">
        <f t="shared" si="204"/>
        <v/>
      </c>
      <c r="AI522" s="90" t="str">
        <f t="shared" si="204"/>
        <v/>
      </c>
      <c r="AJ522" s="90" t="str">
        <f t="shared" si="204"/>
        <v/>
      </c>
      <c r="AK522" s="93" t="str">
        <f t="shared" si="205"/>
        <v/>
      </c>
      <c r="BQ522" s="100" t="str">
        <f>IF(A522&lt;&gt;"",(VLOOKUP(A522,MarketData!$D:$BP,MATCH($BQ$1,MarketData!$D$1:$EG$1,0),TRUE)/100/365+1)^(B522)*BQ521,"")</f>
        <v/>
      </c>
      <c r="BR522" s="98" t="str">
        <f t="shared" si="207"/>
        <v/>
      </c>
      <c r="BS522" s="106" t="str">
        <f>IF(A522&lt;&gt;"",VLOOKUP(A522,MarketData!$D:$BP,MATCH($BS$1,MarketData!$D$1:$EG$1,0),TRUE),"")</f>
        <v/>
      </c>
      <c r="BT522" s="98" t="str">
        <f t="shared" si="218"/>
        <v/>
      </c>
    </row>
    <row r="523" spans="2:72" x14ac:dyDescent="0.25">
      <c r="B523" s="60" t="str">
        <f t="shared" si="206"/>
        <v/>
      </c>
      <c r="C523" s="3" t="str">
        <f t="shared" si="208"/>
        <v/>
      </c>
      <c r="D523" s="3" t="str">
        <f t="shared" si="209"/>
        <v/>
      </c>
      <c r="E523" s="3" t="str">
        <f t="shared" si="210"/>
        <v/>
      </c>
      <c r="F523" s="3" t="str">
        <f t="shared" si="211"/>
        <v/>
      </c>
      <c r="G523" s="74" t="str">
        <f t="shared" si="212"/>
        <v/>
      </c>
      <c r="H523" s="78" t="str">
        <f>IFERROR(C523/SUM(M$2:M522),"")</f>
        <v/>
      </c>
      <c r="I523" s="61" t="str">
        <f>IFERROR(D523/SUM(N$2:N523),"")</f>
        <v/>
      </c>
      <c r="J523" s="61" t="str">
        <f>IFERROR(E523/SUM(O$2:O523),"")</f>
        <v/>
      </c>
      <c r="K523" s="61" t="str">
        <f>IFERROR(F523/SUM(P$2:P523),"")</f>
        <v/>
      </c>
      <c r="L523" s="79" t="str">
        <f>IFERROR(G523/SUM(Q$2:Q523),"")</f>
        <v/>
      </c>
      <c r="M523" s="64" t="str">
        <f t="shared" si="213"/>
        <v/>
      </c>
      <c r="N523" s="55" t="str">
        <f t="shared" si="214"/>
        <v/>
      </c>
      <c r="O523" s="55" t="str">
        <f t="shared" si="215"/>
        <v/>
      </c>
      <c r="P523" s="55" t="str">
        <f t="shared" si="216"/>
        <v/>
      </c>
      <c r="Q523" s="65" t="str">
        <f t="shared" si="217"/>
        <v/>
      </c>
      <c r="R523" s="67" t="str">
        <f t="shared" si="219"/>
        <v/>
      </c>
      <c r="S523" s="56" t="str">
        <f t="shared" si="220"/>
        <v/>
      </c>
      <c r="T523" s="56" t="str">
        <f t="shared" si="221"/>
        <v/>
      </c>
      <c r="U523" s="56" t="str">
        <f t="shared" si="222"/>
        <v/>
      </c>
      <c r="V523" s="68" t="str">
        <f t="shared" si="223"/>
        <v/>
      </c>
      <c r="W523" s="80" t="str">
        <f t="shared" si="199"/>
        <v/>
      </c>
      <c r="X523" s="81" t="str">
        <f t="shared" si="200"/>
        <v/>
      </c>
      <c r="Y523" s="81" t="str">
        <f t="shared" si="201"/>
        <v/>
      </c>
      <c r="Z523" s="81" t="str">
        <f t="shared" si="202"/>
        <v/>
      </c>
      <c r="AA523" s="82" t="str">
        <f t="shared" si="203"/>
        <v/>
      </c>
      <c r="AB523" s="83" t="str">
        <f>IF(R523&lt;&gt;"",(W523-SUMPRODUCT(R$3:R523,$B$3:$B523)/SUM($B$3:$B523))/STDEVA(W513:W523),"")</f>
        <v/>
      </c>
      <c r="AC523" s="84" t="str">
        <f>IF(S523&lt;&gt;"",(X523-SUMPRODUCT(S$3:S523,$B$3:$B523)/SUM($B$3:$B523))/STDEVA(X513:X523),"")</f>
        <v/>
      </c>
      <c r="AD523" s="84" t="str">
        <f>IF(T523&lt;&gt;"",(Y523-SUMPRODUCT(T$3:T523,$B$3:$B523)/SUM($B$3:$B523))/STDEVA(Y513:Y523),"")</f>
        <v/>
      </c>
      <c r="AE523" s="84" t="str">
        <f>IF(U523&lt;&gt;"",(Z523-SUMPRODUCT(U$3:U523,$B$3:$B523)/SUM($B$3:$B523))/STDEVA(Z513:Z523),"")</f>
        <v/>
      </c>
      <c r="AF523" s="85" t="str">
        <f>IF(V523&lt;&gt;"",(AA523-SUMPRODUCT(V$3:V523,$B$3:$B523)/SUM($B$3:$B523))/STDEVA(AA513:AA523),"")</f>
        <v/>
      </c>
      <c r="AG523" s="90" t="str">
        <f t="shared" si="204"/>
        <v/>
      </c>
      <c r="AH523" s="90" t="str">
        <f t="shared" si="204"/>
        <v/>
      </c>
      <c r="AI523" s="90" t="str">
        <f t="shared" si="204"/>
        <v/>
      </c>
      <c r="AJ523" s="90" t="str">
        <f t="shared" si="204"/>
        <v/>
      </c>
      <c r="AK523" s="93" t="str">
        <f t="shared" si="205"/>
        <v/>
      </c>
      <c r="BQ523" s="100" t="str">
        <f>IF(A523&lt;&gt;"",(VLOOKUP(A523,MarketData!$D:$BP,MATCH($BQ$1,MarketData!$D$1:$EG$1,0),TRUE)/100/365+1)^(B523)*BQ522,"")</f>
        <v/>
      </c>
      <c r="BR523" s="98" t="str">
        <f t="shared" si="207"/>
        <v/>
      </c>
      <c r="BS523" s="106" t="str">
        <f>IF(A523&lt;&gt;"",VLOOKUP(A523,MarketData!$D:$BP,MATCH($BS$1,MarketData!$D$1:$EG$1,0),TRUE),"")</f>
        <v/>
      </c>
      <c r="BT523" s="98" t="str">
        <f t="shared" si="218"/>
        <v/>
      </c>
    </row>
    <row r="524" spans="2:72" x14ac:dyDescent="0.25">
      <c r="B524" s="60" t="str">
        <f t="shared" si="206"/>
        <v/>
      </c>
      <c r="C524" s="3" t="str">
        <f t="shared" si="208"/>
        <v/>
      </c>
      <c r="D524" s="3" t="str">
        <f t="shared" si="209"/>
        <v/>
      </c>
      <c r="E524" s="3" t="str">
        <f t="shared" si="210"/>
        <v/>
      </c>
      <c r="F524" s="3" t="str">
        <f t="shared" si="211"/>
        <v/>
      </c>
      <c r="G524" s="74" t="str">
        <f t="shared" si="212"/>
        <v/>
      </c>
      <c r="H524" s="78" t="str">
        <f>IFERROR(C524/SUM(M$2:M523),"")</f>
        <v/>
      </c>
      <c r="I524" s="61" t="str">
        <f>IFERROR(D524/SUM(N$2:N524),"")</f>
        <v/>
      </c>
      <c r="J524" s="61" t="str">
        <f>IFERROR(E524/SUM(O$2:O524),"")</f>
        <v/>
      </c>
      <c r="K524" s="61" t="str">
        <f>IFERROR(F524/SUM(P$2:P524),"")</f>
        <v/>
      </c>
      <c r="L524" s="79" t="str">
        <f>IFERROR(G524/SUM(Q$2:Q524),"")</f>
        <v/>
      </c>
      <c r="M524" s="64" t="str">
        <f t="shared" si="213"/>
        <v/>
      </c>
      <c r="N524" s="55" t="str">
        <f t="shared" si="214"/>
        <v/>
      </c>
      <c r="O524" s="55" t="str">
        <f t="shared" si="215"/>
        <v/>
      </c>
      <c r="P524" s="55" t="str">
        <f t="shared" si="216"/>
        <v/>
      </c>
      <c r="Q524" s="65" t="str">
        <f t="shared" si="217"/>
        <v/>
      </c>
      <c r="R524" s="67" t="str">
        <f t="shared" si="219"/>
        <v/>
      </c>
      <c r="S524" s="56" t="str">
        <f t="shared" si="220"/>
        <v/>
      </c>
      <c r="T524" s="56" t="str">
        <f t="shared" si="221"/>
        <v/>
      </c>
      <c r="U524" s="56" t="str">
        <f t="shared" si="222"/>
        <v/>
      </c>
      <c r="V524" s="68" t="str">
        <f t="shared" si="223"/>
        <v/>
      </c>
      <c r="W524" s="80" t="str">
        <f t="shared" ref="W524:W587" si="224">IF(R524&lt;&gt;"",SUMPRODUCT(R515:R524,$B515:$B524)/SUM($B515:$B524),"")</f>
        <v/>
      </c>
      <c r="X524" s="81" t="str">
        <f t="shared" ref="X524:X587" si="225">IF(S524&lt;&gt;"",SUMPRODUCT(S515:S524,$B515:$B524)/SUM($B515:$B524),"")</f>
        <v/>
      </c>
      <c r="Y524" s="81" t="str">
        <f t="shared" ref="Y524:Y587" si="226">IF(T524&lt;&gt;"",SUMPRODUCT(T515:T524,$B515:$B524)/SUM($B515:$B524),"")</f>
        <v/>
      </c>
      <c r="Z524" s="81" t="str">
        <f t="shared" ref="Z524:Z587" si="227">IF(U524&lt;&gt;"",SUMPRODUCT(U515:U524,$B515:$B524)/SUM($B515:$B524),"")</f>
        <v/>
      </c>
      <c r="AA524" s="82" t="str">
        <f t="shared" ref="AA524:AA587" si="228">IF(V524&lt;&gt;"",SUMPRODUCT(V515:V524,$B515:$B524)/SUM($B515:$B524),"")</f>
        <v/>
      </c>
      <c r="AB524" s="83" t="str">
        <f>IF(R524&lt;&gt;"",(W524-SUMPRODUCT(R$3:R524,$B$3:$B524)/SUM($B$3:$B524))/STDEVA(W514:W524),"")</f>
        <v/>
      </c>
      <c r="AC524" s="84" t="str">
        <f>IF(S524&lt;&gt;"",(X524-SUMPRODUCT(S$3:S524,$B$3:$B524)/SUM($B$3:$B524))/STDEVA(X514:X524),"")</f>
        <v/>
      </c>
      <c r="AD524" s="84" t="str">
        <f>IF(T524&lt;&gt;"",(Y524-SUMPRODUCT(T$3:T524,$B$3:$B524)/SUM($B$3:$B524))/STDEVA(Y514:Y524),"")</f>
        <v/>
      </c>
      <c r="AE524" s="84" t="str">
        <f>IF(U524&lt;&gt;"",(Z524-SUMPRODUCT(U$3:U524,$B$3:$B524)/SUM($B$3:$B524))/STDEVA(Z514:Z524),"")</f>
        <v/>
      </c>
      <c r="AF524" s="85" t="str">
        <f>IF(V524&lt;&gt;"",(AA524-SUMPRODUCT(V$3:V524,$B$3:$B524)/SUM($B$3:$B524))/STDEVA(AA514:AA524),"")</f>
        <v/>
      </c>
      <c r="AG524" s="90" t="str">
        <f t="shared" si="204"/>
        <v/>
      </c>
      <c r="AH524" s="90" t="str">
        <f t="shared" si="204"/>
        <v/>
      </c>
      <c r="AI524" s="90" t="str">
        <f t="shared" si="204"/>
        <v/>
      </c>
      <c r="AJ524" s="90" t="str">
        <f t="shared" si="204"/>
        <v/>
      </c>
      <c r="AK524" s="93" t="str">
        <f t="shared" si="205"/>
        <v/>
      </c>
      <c r="BQ524" s="100" t="str">
        <f>IF(A524&lt;&gt;"",(VLOOKUP(A524,MarketData!$D:$BP,MATCH($BQ$1,MarketData!$D$1:$EG$1,0),TRUE)/100/365+1)^(B524)*BQ523,"")</f>
        <v/>
      </c>
      <c r="BR524" s="98" t="str">
        <f t="shared" si="207"/>
        <v/>
      </c>
      <c r="BS524" s="106" t="str">
        <f>IF(A524&lt;&gt;"",VLOOKUP(A524,MarketData!$D:$BP,MATCH($BS$1,MarketData!$D$1:$EG$1,0),TRUE),"")</f>
        <v/>
      </c>
      <c r="BT524" s="98" t="str">
        <f t="shared" si="218"/>
        <v/>
      </c>
    </row>
    <row r="525" spans="2:72" x14ac:dyDescent="0.25">
      <c r="B525" s="60" t="str">
        <f t="shared" si="206"/>
        <v/>
      </c>
      <c r="C525" s="3" t="str">
        <f t="shared" si="208"/>
        <v/>
      </c>
      <c r="D525" s="3" t="str">
        <f t="shared" si="209"/>
        <v/>
      </c>
      <c r="E525" s="3" t="str">
        <f t="shared" si="210"/>
        <v/>
      </c>
      <c r="F525" s="3" t="str">
        <f t="shared" si="211"/>
        <v/>
      </c>
      <c r="G525" s="74" t="str">
        <f t="shared" si="212"/>
        <v/>
      </c>
      <c r="H525" s="78" t="str">
        <f>IFERROR(C525/SUM(M$2:M524),"")</f>
        <v/>
      </c>
      <c r="I525" s="61" t="str">
        <f>IFERROR(D525/SUM(N$2:N525),"")</f>
        <v/>
      </c>
      <c r="J525" s="61" t="str">
        <f>IFERROR(E525/SUM(O$2:O525),"")</f>
        <v/>
      </c>
      <c r="K525" s="61" t="str">
        <f>IFERROR(F525/SUM(P$2:P525),"")</f>
        <v/>
      </c>
      <c r="L525" s="79" t="str">
        <f>IFERROR(G525/SUM(Q$2:Q525),"")</f>
        <v/>
      </c>
      <c r="M525" s="64" t="str">
        <f t="shared" si="213"/>
        <v/>
      </c>
      <c r="N525" s="55" t="str">
        <f t="shared" si="214"/>
        <v/>
      </c>
      <c r="O525" s="55" t="str">
        <f t="shared" si="215"/>
        <v/>
      </c>
      <c r="P525" s="55" t="str">
        <f t="shared" si="216"/>
        <v/>
      </c>
      <c r="Q525" s="65" t="str">
        <f t="shared" si="217"/>
        <v/>
      </c>
      <c r="R525" s="67" t="str">
        <f t="shared" si="219"/>
        <v/>
      </c>
      <c r="S525" s="56" t="str">
        <f t="shared" si="220"/>
        <v/>
      </c>
      <c r="T525" s="56" t="str">
        <f t="shared" si="221"/>
        <v/>
      </c>
      <c r="U525" s="56" t="str">
        <f t="shared" si="222"/>
        <v/>
      </c>
      <c r="V525" s="68" t="str">
        <f t="shared" si="223"/>
        <v/>
      </c>
      <c r="W525" s="80" t="str">
        <f t="shared" si="224"/>
        <v/>
      </c>
      <c r="X525" s="81" t="str">
        <f t="shared" si="225"/>
        <v/>
      </c>
      <c r="Y525" s="81" t="str">
        <f t="shared" si="226"/>
        <v/>
      </c>
      <c r="Z525" s="81" t="str">
        <f t="shared" si="227"/>
        <v/>
      </c>
      <c r="AA525" s="82" t="str">
        <f t="shared" si="228"/>
        <v/>
      </c>
      <c r="AB525" s="83" t="str">
        <f>IF(R525&lt;&gt;"",(W525-SUMPRODUCT(R$3:R525,$B$3:$B525)/SUM($B$3:$B525))/STDEVA(W515:W525),"")</f>
        <v/>
      </c>
      <c r="AC525" s="84" t="str">
        <f>IF(S525&lt;&gt;"",(X525-SUMPRODUCT(S$3:S525,$B$3:$B525)/SUM($B$3:$B525))/STDEVA(X515:X525),"")</f>
        <v/>
      </c>
      <c r="AD525" s="84" t="str">
        <f>IF(T525&lt;&gt;"",(Y525-SUMPRODUCT(T$3:T525,$B$3:$B525)/SUM($B$3:$B525))/STDEVA(Y515:Y525),"")</f>
        <v/>
      </c>
      <c r="AE525" s="84" t="str">
        <f>IF(U525&lt;&gt;"",(Z525-SUMPRODUCT(U$3:U525,$B$3:$B525)/SUM($B$3:$B525))/STDEVA(Z515:Z525),"")</f>
        <v/>
      </c>
      <c r="AF525" s="85" t="str">
        <f>IF(V525&lt;&gt;"",(AA525-SUMPRODUCT(V$3:V525,$B$3:$B525)/SUM($B$3:$B525))/STDEVA(AA515:AA525),"")</f>
        <v/>
      </c>
      <c r="AG525" s="90" t="str">
        <f t="shared" si="204"/>
        <v/>
      </c>
      <c r="AH525" s="90" t="str">
        <f t="shared" si="204"/>
        <v/>
      </c>
      <c r="AI525" s="90" t="str">
        <f t="shared" si="204"/>
        <v/>
      </c>
      <c r="AJ525" s="90" t="str">
        <f t="shared" ref="AJ525:AK588" si="229">IF(AE525&lt;&gt;"",SUMPRODUCT(AE520:AE525,$B520:$B525)/SUM($B520:$B525),"")</f>
        <v/>
      </c>
      <c r="AK525" s="93" t="str">
        <f t="shared" si="205"/>
        <v/>
      </c>
      <c r="BQ525" s="100" t="str">
        <f>IF(A525&lt;&gt;"",(VLOOKUP(A525,MarketData!$D:$BP,MATCH($BQ$1,MarketData!$D$1:$EG$1,0),TRUE)/100/365+1)^(B525)*BQ524,"")</f>
        <v/>
      </c>
      <c r="BR525" s="98" t="str">
        <f t="shared" si="207"/>
        <v/>
      </c>
      <c r="BS525" s="106" t="str">
        <f>IF(A525&lt;&gt;"",VLOOKUP(A525,MarketData!$D:$BP,MATCH($BS$1,MarketData!$D$1:$EG$1,0),TRUE),"")</f>
        <v/>
      </c>
      <c r="BT525" s="98" t="str">
        <f t="shared" si="218"/>
        <v/>
      </c>
    </row>
    <row r="526" spans="2:72" x14ac:dyDescent="0.25">
      <c r="B526" s="60" t="str">
        <f t="shared" si="206"/>
        <v/>
      </c>
      <c r="C526" s="3" t="str">
        <f t="shared" si="208"/>
        <v/>
      </c>
      <c r="D526" s="3" t="str">
        <f t="shared" si="209"/>
        <v/>
      </c>
      <c r="E526" s="3" t="str">
        <f t="shared" si="210"/>
        <v/>
      </c>
      <c r="F526" s="3" t="str">
        <f t="shared" si="211"/>
        <v/>
      </c>
      <c r="G526" s="74" t="str">
        <f t="shared" si="212"/>
        <v/>
      </c>
      <c r="H526" s="78" t="str">
        <f>IFERROR(C526/SUM(M$2:M525),"")</f>
        <v/>
      </c>
      <c r="I526" s="61" t="str">
        <f>IFERROR(D526/SUM(N$2:N526),"")</f>
        <v/>
      </c>
      <c r="J526" s="61" t="str">
        <f>IFERROR(E526/SUM(O$2:O526),"")</f>
        <v/>
      </c>
      <c r="K526" s="61" t="str">
        <f>IFERROR(F526/SUM(P$2:P526),"")</f>
        <v/>
      </c>
      <c r="L526" s="79" t="str">
        <f>IFERROR(G526/SUM(Q$2:Q526),"")</f>
        <v/>
      </c>
      <c r="M526" s="64" t="str">
        <f t="shared" si="213"/>
        <v/>
      </c>
      <c r="N526" s="55" t="str">
        <f t="shared" si="214"/>
        <v/>
      </c>
      <c r="O526" s="55" t="str">
        <f t="shared" si="215"/>
        <v/>
      </c>
      <c r="P526" s="55" t="str">
        <f t="shared" si="216"/>
        <v/>
      </c>
      <c r="Q526" s="65" t="str">
        <f t="shared" si="217"/>
        <v/>
      </c>
      <c r="R526" s="67" t="str">
        <f t="shared" si="219"/>
        <v/>
      </c>
      <c r="S526" s="56" t="str">
        <f t="shared" si="220"/>
        <v/>
      </c>
      <c r="T526" s="56" t="str">
        <f t="shared" si="221"/>
        <v/>
      </c>
      <c r="U526" s="56" t="str">
        <f t="shared" si="222"/>
        <v/>
      </c>
      <c r="V526" s="68" t="str">
        <f t="shared" si="223"/>
        <v/>
      </c>
      <c r="W526" s="80" t="str">
        <f t="shared" si="224"/>
        <v/>
      </c>
      <c r="X526" s="81" t="str">
        <f t="shared" si="225"/>
        <v/>
      </c>
      <c r="Y526" s="81" t="str">
        <f t="shared" si="226"/>
        <v/>
      </c>
      <c r="Z526" s="81" t="str">
        <f t="shared" si="227"/>
        <v/>
      </c>
      <c r="AA526" s="82" t="str">
        <f t="shared" si="228"/>
        <v/>
      </c>
      <c r="AB526" s="83" t="str">
        <f>IF(R526&lt;&gt;"",(W526-SUMPRODUCT(R$3:R526,$B$3:$B526)/SUM($B$3:$B526))/STDEVA(W516:W526),"")</f>
        <v/>
      </c>
      <c r="AC526" s="84" t="str">
        <f>IF(S526&lt;&gt;"",(X526-SUMPRODUCT(S$3:S526,$B$3:$B526)/SUM($B$3:$B526))/STDEVA(X516:X526),"")</f>
        <v/>
      </c>
      <c r="AD526" s="84" t="str">
        <f>IF(T526&lt;&gt;"",(Y526-SUMPRODUCT(T$3:T526,$B$3:$B526)/SUM($B$3:$B526))/STDEVA(Y516:Y526),"")</f>
        <v/>
      </c>
      <c r="AE526" s="84" t="str">
        <f>IF(U526&lt;&gt;"",(Z526-SUMPRODUCT(U$3:U526,$B$3:$B526)/SUM($B$3:$B526))/STDEVA(Z516:Z526),"")</f>
        <v/>
      </c>
      <c r="AF526" s="85" t="str">
        <f>IF(V526&lt;&gt;"",(AA526-SUMPRODUCT(V$3:V526,$B$3:$B526)/SUM($B$3:$B526))/STDEVA(AA516:AA526),"")</f>
        <v/>
      </c>
      <c r="AG526" s="90" t="str">
        <f t="shared" ref="AG526:AK589" si="230">IF(AB526&lt;&gt;"",SUMPRODUCT(AB521:AB526,$B521:$B526)/SUM($B521:$B526),"")</f>
        <v/>
      </c>
      <c r="AH526" s="90" t="str">
        <f t="shared" si="230"/>
        <v/>
      </c>
      <c r="AI526" s="90" t="str">
        <f t="shared" si="230"/>
        <v/>
      </c>
      <c r="AJ526" s="90" t="str">
        <f t="shared" si="229"/>
        <v/>
      </c>
      <c r="AK526" s="93" t="str">
        <f t="shared" si="229"/>
        <v/>
      </c>
      <c r="BQ526" s="100" t="str">
        <f>IF(A526&lt;&gt;"",(VLOOKUP(A526,MarketData!$D:$BP,MATCH($BQ$1,MarketData!$D$1:$EG$1,0),TRUE)/100/365+1)^(B526)*BQ525,"")</f>
        <v/>
      </c>
      <c r="BR526" s="98" t="str">
        <f t="shared" si="207"/>
        <v/>
      </c>
      <c r="BS526" s="106" t="str">
        <f>IF(A526&lt;&gt;"",VLOOKUP(A526,MarketData!$D:$BP,MATCH($BS$1,MarketData!$D$1:$EG$1,0),TRUE),"")</f>
        <v/>
      </c>
      <c r="BT526" s="98" t="str">
        <f t="shared" si="218"/>
        <v/>
      </c>
    </row>
    <row r="527" spans="2:72" x14ac:dyDescent="0.25">
      <c r="B527" s="60" t="str">
        <f t="shared" si="206"/>
        <v/>
      </c>
      <c r="C527" s="3" t="str">
        <f t="shared" si="208"/>
        <v/>
      </c>
      <c r="D527" s="3" t="str">
        <f t="shared" si="209"/>
        <v/>
      </c>
      <c r="E527" s="3" t="str">
        <f t="shared" si="210"/>
        <v/>
      </c>
      <c r="F527" s="3" t="str">
        <f t="shared" si="211"/>
        <v/>
      </c>
      <c r="G527" s="74" t="str">
        <f t="shared" si="212"/>
        <v/>
      </c>
      <c r="H527" s="78" t="str">
        <f>IFERROR(C527/SUM(M$2:M526),"")</f>
        <v/>
      </c>
      <c r="I527" s="61" t="str">
        <f>IFERROR(D527/SUM(N$2:N527),"")</f>
        <v/>
      </c>
      <c r="J527" s="61" t="str">
        <f>IFERROR(E527/SUM(O$2:O527),"")</f>
        <v/>
      </c>
      <c r="K527" s="61" t="str">
        <f>IFERROR(F527/SUM(P$2:P527),"")</f>
        <v/>
      </c>
      <c r="L527" s="79" t="str">
        <f>IFERROR(G527/SUM(Q$2:Q527),"")</f>
        <v/>
      </c>
      <c r="M527" s="64" t="str">
        <f t="shared" si="213"/>
        <v/>
      </c>
      <c r="N527" s="55" t="str">
        <f t="shared" si="214"/>
        <v/>
      </c>
      <c r="O527" s="55" t="str">
        <f t="shared" si="215"/>
        <v/>
      </c>
      <c r="P527" s="55" t="str">
        <f t="shared" si="216"/>
        <v/>
      </c>
      <c r="Q527" s="65" t="str">
        <f t="shared" si="217"/>
        <v/>
      </c>
      <c r="R527" s="67" t="str">
        <f t="shared" si="219"/>
        <v/>
      </c>
      <c r="S527" s="56" t="str">
        <f t="shared" si="220"/>
        <v/>
      </c>
      <c r="T527" s="56" t="str">
        <f t="shared" si="221"/>
        <v/>
      </c>
      <c r="U527" s="56" t="str">
        <f t="shared" si="222"/>
        <v/>
      </c>
      <c r="V527" s="68" t="str">
        <f t="shared" si="223"/>
        <v/>
      </c>
      <c r="W527" s="80" t="str">
        <f t="shared" si="224"/>
        <v/>
      </c>
      <c r="X527" s="81" t="str">
        <f t="shared" si="225"/>
        <v/>
      </c>
      <c r="Y527" s="81" t="str">
        <f t="shared" si="226"/>
        <v/>
      </c>
      <c r="Z527" s="81" t="str">
        <f t="shared" si="227"/>
        <v/>
      </c>
      <c r="AA527" s="82" t="str">
        <f t="shared" si="228"/>
        <v/>
      </c>
      <c r="AB527" s="83" t="str">
        <f>IF(R527&lt;&gt;"",(W527-SUMPRODUCT(R$3:R527,$B$3:$B527)/SUM($B$3:$B527))/STDEVA(W517:W527),"")</f>
        <v/>
      </c>
      <c r="AC527" s="84" t="str">
        <f>IF(S527&lt;&gt;"",(X527-SUMPRODUCT(S$3:S527,$B$3:$B527)/SUM($B$3:$B527))/STDEVA(X517:X527),"")</f>
        <v/>
      </c>
      <c r="AD527" s="84" t="str">
        <f>IF(T527&lt;&gt;"",(Y527-SUMPRODUCT(T$3:T527,$B$3:$B527)/SUM($B$3:$B527))/STDEVA(Y517:Y527),"")</f>
        <v/>
      </c>
      <c r="AE527" s="84" t="str">
        <f>IF(U527&lt;&gt;"",(Z527-SUMPRODUCT(U$3:U527,$B$3:$B527)/SUM($B$3:$B527))/STDEVA(Z517:Z527),"")</f>
        <v/>
      </c>
      <c r="AF527" s="85" t="str">
        <f>IF(V527&lt;&gt;"",(AA527-SUMPRODUCT(V$3:V527,$B$3:$B527)/SUM($B$3:$B527))/STDEVA(AA517:AA527),"")</f>
        <v/>
      </c>
      <c r="AG527" s="90" t="str">
        <f t="shared" si="230"/>
        <v/>
      </c>
      <c r="AH527" s="90" t="str">
        <f t="shared" si="230"/>
        <v/>
      </c>
      <c r="AI527" s="90" t="str">
        <f t="shared" si="230"/>
        <v/>
      </c>
      <c r="AJ527" s="90" t="str">
        <f t="shared" si="229"/>
        <v/>
      </c>
      <c r="AK527" s="93" t="str">
        <f t="shared" si="229"/>
        <v/>
      </c>
      <c r="BQ527" s="100" t="str">
        <f>IF(A527&lt;&gt;"",(VLOOKUP(A527,MarketData!$D:$BP,MATCH($BQ$1,MarketData!$D$1:$EG$1,0),TRUE)/100/365+1)^(B527)*BQ526,"")</f>
        <v/>
      </c>
      <c r="BR527" s="98" t="str">
        <f t="shared" si="207"/>
        <v/>
      </c>
      <c r="BS527" s="106" t="str">
        <f>IF(A527&lt;&gt;"",VLOOKUP(A527,MarketData!$D:$BP,MATCH($BS$1,MarketData!$D$1:$EG$1,0),TRUE),"")</f>
        <v/>
      </c>
      <c r="BT527" s="98" t="str">
        <f t="shared" si="218"/>
        <v/>
      </c>
    </row>
    <row r="528" spans="2:72" x14ac:dyDescent="0.25">
      <c r="B528" s="60" t="str">
        <f t="shared" si="206"/>
        <v/>
      </c>
      <c r="C528" s="3" t="str">
        <f t="shared" si="208"/>
        <v/>
      </c>
      <c r="D528" s="3" t="str">
        <f t="shared" si="209"/>
        <v/>
      </c>
      <c r="E528" s="3" t="str">
        <f t="shared" si="210"/>
        <v/>
      </c>
      <c r="F528" s="3" t="str">
        <f t="shared" si="211"/>
        <v/>
      </c>
      <c r="G528" s="74" t="str">
        <f t="shared" si="212"/>
        <v/>
      </c>
      <c r="H528" s="78" t="str">
        <f>IFERROR(C528/SUM(M$2:M527),"")</f>
        <v/>
      </c>
      <c r="I528" s="61" t="str">
        <f>IFERROR(D528/SUM(N$2:N528),"")</f>
        <v/>
      </c>
      <c r="J528" s="61" t="str">
        <f>IFERROR(E528/SUM(O$2:O528),"")</f>
        <v/>
      </c>
      <c r="K528" s="61" t="str">
        <f>IFERROR(F528/SUM(P$2:P528),"")</f>
        <v/>
      </c>
      <c r="L528" s="79" t="str">
        <f>IFERROR(G528/SUM(Q$2:Q528),"")</f>
        <v/>
      </c>
      <c r="M528" s="64" t="str">
        <f t="shared" si="213"/>
        <v/>
      </c>
      <c r="N528" s="55" t="str">
        <f t="shared" si="214"/>
        <v/>
      </c>
      <c r="O528" s="55" t="str">
        <f t="shared" si="215"/>
        <v/>
      </c>
      <c r="P528" s="55" t="str">
        <f t="shared" si="216"/>
        <v/>
      </c>
      <c r="Q528" s="65" t="str">
        <f t="shared" si="217"/>
        <v/>
      </c>
      <c r="R528" s="67" t="str">
        <f t="shared" si="219"/>
        <v/>
      </c>
      <c r="S528" s="56" t="str">
        <f t="shared" si="220"/>
        <v/>
      </c>
      <c r="T528" s="56" t="str">
        <f t="shared" si="221"/>
        <v/>
      </c>
      <c r="U528" s="56" t="str">
        <f t="shared" si="222"/>
        <v/>
      </c>
      <c r="V528" s="68" t="str">
        <f t="shared" si="223"/>
        <v/>
      </c>
      <c r="W528" s="80" t="str">
        <f t="shared" si="224"/>
        <v/>
      </c>
      <c r="X528" s="81" t="str">
        <f t="shared" si="225"/>
        <v/>
      </c>
      <c r="Y528" s="81" t="str">
        <f t="shared" si="226"/>
        <v/>
      </c>
      <c r="Z528" s="81" t="str">
        <f t="shared" si="227"/>
        <v/>
      </c>
      <c r="AA528" s="82" t="str">
        <f t="shared" si="228"/>
        <v/>
      </c>
      <c r="AB528" s="83" t="str">
        <f>IF(R528&lt;&gt;"",(W528-SUMPRODUCT(R$3:R528,$B$3:$B528)/SUM($B$3:$B528))/STDEVA(W518:W528),"")</f>
        <v/>
      </c>
      <c r="AC528" s="84" t="str">
        <f>IF(S528&lt;&gt;"",(X528-SUMPRODUCT(S$3:S528,$B$3:$B528)/SUM($B$3:$B528))/STDEVA(X518:X528),"")</f>
        <v/>
      </c>
      <c r="AD528" s="84" t="str">
        <f>IF(T528&lt;&gt;"",(Y528-SUMPRODUCT(T$3:T528,$B$3:$B528)/SUM($B$3:$B528))/STDEVA(Y518:Y528),"")</f>
        <v/>
      </c>
      <c r="AE528" s="84" t="str">
        <f>IF(U528&lt;&gt;"",(Z528-SUMPRODUCT(U$3:U528,$B$3:$B528)/SUM($B$3:$B528))/STDEVA(Z518:Z528),"")</f>
        <v/>
      </c>
      <c r="AF528" s="85" t="str">
        <f>IF(V528&lt;&gt;"",(AA528-SUMPRODUCT(V$3:V528,$B$3:$B528)/SUM($B$3:$B528))/STDEVA(AA518:AA528),"")</f>
        <v/>
      </c>
      <c r="AG528" s="90" t="str">
        <f t="shared" si="230"/>
        <v/>
      </c>
      <c r="AH528" s="90" t="str">
        <f t="shared" si="230"/>
        <v/>
      </c>
      <c r="AI528" s="90" t="str">
        <f t="shared" si="230"/>
        <v/>
      </c>
      <c r="AJ528" s="90" t="str">
        <f t="shared" si="229"/>
        <v/>
      </c>
      <c r="AK528" s="93" t="str">
        <f t="shared" si="229"/>
        <v/>
      </c>
      <c r="BQ528" s="100" t="str">
        <f>IF(A528&lt;&gt;"",(VLOOKUP(A528,MarketData!$D:$BP,MATCH($BQ$1,MarketData!$D$1:$EG$1,0),TRUE)/100/365+1)^(B528)*BQ527,"")</f>
        <v/>
      </c>
      <c r="BR528" s="98" t="str">
        <f t="shared" si="207"/>
        <v/>
      </c>
      <c r="BS528" s="106" t="str">
        <f>IF(A528&lt;&gt;"",VLOOKUP(A528,MarketData!$D:$BP,MATCH($BS$1,MarketData!$D$1:$EG$1,0),TRUE),"")</f>
        <v/>
      </c>
      <c r="BT528" s="98" t="str">
        <f t="shared" si="218"/>
        <v/>
      </c>
    </row>
    <row r="529" spans="2:72" x14ac:dyDescent="0.25">
      <c r="B529" s="60" t="str">
        <f t="shared" si="206"/>
        <v/>
      </c>
      <c r="C529" s="3" t="str">
        <f t="shared" si="208"/>
        <v/>
      </c>
      <c r="D529" s="3" t="str">
        <f t="shared" si="209"/>
        <v/>
      </c>
      <c r="E529" s="3" t="str">
        <f t="shared" si="210"/>
        <v/>
      </c>
      <c r="F529" s="3" t="str">
        <f t="shared" si="211"/>
        <v/>
      </c>
      <c r="G529" s="74" t="str">
        <f t="shared" si="212"/>
        <v/>
      </c>
      <c r="H529" s="78" t="str">
        <f>IFERROR(C529/SUM(M$2:M528),"")</f>
        <v/>
      </c>
      <c r="I529" s="61" t="str">
        <f>IFERROR(D529/SUM(N$2:N529),"")</f>
        <v/>
      </c>
      <c r="J529" s="61" t="str">
        <f>IFERROR(E529/SUM(O$2:O529),"")</f>
        <v/>
      </c>
      <c r="K529" s="61" t="str">
        <f>IFERROR(F529/SUM(P$2:P529),"")</f>
        <v/>
      </c>
      <c r="L529" s="79" t="str">
        <f>IFERROR(G529/SUM(Q$2:Q529),"")</f>
        <v/>
      </c>
      <c r="M529" s="64" t="str">
        <f t="shared" si="213"/>
        <v/>
      </c>
      <c r="N529" s="55" t="str">
        <f t="shared" si="214"/>
        <v/>
      </c>
      <c r="O529" s="55" t="str">
        <f t="shared" si="215"/>
        <v/>
      </c>
      <c r="P529" s="55" t="str">
        <f t="shared" si="216"/>
        <v/>
      </c>
      <c r="Q529" s="65" t="str">
        <f t="shared" si="217"/>
        <v/>
      </c>
      <c r="R529" s="67" t="str">
        <f t="shared" si="219"/>
        <v/>
      </c>
      <c r="S529" s="56" t="str">
        <f t="shared" si="220"/>
        <v/>
      </c>
      <c r="T529" s="56" t="str">
        <f t="shared" si="221"/>
        <v/>
      </c>
      <c r="U529" s="56" t="str">
        <f t="shared" si="222"/>
        <v/>
      </c>
      <c r="V529" s="68" t="str">
        <f t="shared" si="223"/>
        <v/>
      </c>
      <c r="W529" s="80" t="str">
        <f t="shared" si="224"/>
        <v/>
      </c>
      <c r="X529" s="81" t="str">
        <f t="shared" si="225"/>
        <v/>
      </c>
      <c r="Y529" s="81" t="str">
        <f t="shared" si="226"/>
        <v/>
      </c>
      <c r="Z529" s="81" t="str">
        <f t="shared" si="227"/>
        <v/>
      </c>
      <c r="AA529" s="82" t="str">
        <f t="shared" si="228"/>
        <v/>
      </c>
      <c r="AB529" s="83" t="str">
        <f>IF(R529&lt;&gt;"",(W529-SUMPRODUCT(R$3:R529,$B$3:$B529)/SUM($B$3:$B529))/STDEVA(W519:W529),"")</f>
        <v/>
      </c>
      <c r="AC529" s="84" t="str">
        <f>IF(S529&lt;&gt;"",(X529-SUMPRODUCT(S$3:S529,$B$3:$B529)/SUM($B$3:$B529))/STDEVA(X519:X529),"")</f>
        <v/>
      </c>
      <c r="AD529" s="84" t="str">
        <f>IF(T529&lt;&gt;"",(Y529-SUMPRODUCT(T$3:T529,$B$3:$B529)/SUM($B$3:$B529))/STDEVA(Y519:Y529),"")</f>
        <v/>
      </c>
      <c r="AE529" s="84" t="str">
        <f>IF(U529&lt;&gt;"",(Z529-SUMPRODUCT(U$3:U529,$B$3:$B529)/SUM($B$3:$B529))/STDEVA(Z519:Z529),"")</f>
        <v/>
      </c>
      <c r="AF529" s="85" t="str">
        <f>IF(V529&lt;&gt;"",(AA529-SUMPRODUCT(V$3:V529,$B$3:$B529)/SUM($B$3:$B529))/STDEVA(AA519:AA529),"")</f>
        <v/>
      </c>
      <c r="AG529" s="90" t="str">
        <f t="shared" si="230"/>
        <v/>
      </c>
      <c r="AH529" s="90" t="str">
        <f t="shared" si="230"/>
        <v/>
      </c>
      <c r="AI529" s="90" t="str">
        <f t="shared" si="230"/>
        <v/>
      </c>
      <c r="AJ529" s="90" t="str">
        <f t="shared" si="229"/>
        <v/>
      </c>
      <c r="AK529" s="93" t="str">
        <f t="shared" si="229"/>
        <v/>
      </c>
      <c r="BQ529" s="100" t="str">
        <f>IF(A529&lt;&gt;"",(VLOOKUP(A529,MarketData!$D:$BP,MATCH($BQ$1,MarketData!$D$1:$EG$1,0),TRUE)/100/365+1)^(B529)*BQ528,"")</f>
        <v/>
      </c>
      <c r="BR529" s="98" t="str">
        <f t="shared" si="207"/>
        <v/>
      </c>
      <c r="BS529" s="106" t="str">
        <f>IF(A529&lt;&gt;"",VLOOKUP(A529,MarketData!$D:$BP,MATCH($BS$1,MarketData!$D$1:$EG$1,0),TRUE),"")</f>
        <v/>
      </c>
      <c r="BT529" s="98" t="str">
        <f t="shared" si="218"/>
        <v/>
      </c>
    </row>
    <row r="530" spans="2:72" x14ac:dyDescent="0.25">
      <c r="B530" s="60" t="str">
        <f t="shared" si="206"/>
        <v/>
      </c>
      <c r="C530" s="3" t="str">
        <f t="shared" si="208"/>
        <v/>
      </c>
      <c r="D530" s="3" t="str">
        <f t="shared" si="209"/>
        <v/>
      </c>
      <c r="E530" s="3" t="str">
        <f t="shared" si="210"/>
        <v/>
      </c>
      <c r="F530" s="3" t="str">
        <f t="shared" si="211"/>
        <v/>
      </c>
      <c r="G530" s="74" t="str">
        <f t="shared" si="212"/>
        <v/>
      </c>
      <c r="H530" s="78" t="str">
        <f>IFERROR(C530/SUM(M$2:M529),"")</f>
        <v/>
      </c>
      <c r="I530" s="61" t="str">
        <f>IFERROR(D530/SUM(N$2:N530),"")</f>
        <v/>
      </c>
      <c r="J530" s="61" t="str">
        <f>IFERROR(E530/SUM(O$2:O530),"")</f>
        <v/>
      </c>
      <c r="K530" s="61" t="str">
        <f>IFERROR(F530/SUM(P$2:P530),"")</f>
        <v/>
      </c>
      <c r="L530" s="79" t="str">
        <f>IFERROR(G530/SUM(Q$2:Q530),"")</f>
        <v/>
      </c>
      <c r="M530" s="64" t="str">
        <f t="shared" si="213"/>
        <v/>
      </c>
      <c r="N530" s="55" t="str">
        <f t="shared" si="214"/>
        <v/>
      </c>
      <c r="O530" s="55" t="str">
        <f t="shared" si="215"/>
        <v/>
      </c>
      <c r="P530" s="55" t="str">
        <f t="shared" si="216"/>
        <v/>
      </c>
      <c r="Q530" s="65" t="str">
        <f t="shared" si="217"/>
        <v/>
      </c>
      <c r="R530" s="67" t="str">
        <f t="shared" si="219"/>
        <v/>
      </c>
      <c r="S530" s="56" t="str">
        <f t="shared" si="220"/>
        <v/>
      </c>
      <c r="T530" s="56" t="str">
        <f t="shared" si="221"/>
        <v/>
      </c>
      <c r="U530" s="56" t="str">
        <f t="shared" si="222"/>
        <v/>
      </c>
      <c r="V530" s="68" t="str">
        <f t="shared" si="223"/>
        <v/>
      </c>
      <c r="W530" s="80" t="str">
        <f t="shared" si="224"/>
        <v/>
      </c>
      <c r="X530" s="81" t="str">
        <f t="shared" si="225"/>
        <v/>
      </c>
      <c r="Y530" s="81" t="str">
        <f t="shared" si="226"/>
        <v/>
      </c>
      <c r="Z530" s="81" t="str">
        <f t="shared" si="227"/>
        <v/>
      </c>
      <c r="AA530" s="82" t="str">
        <f t="shared" si="228"/>
        <v/>
      </c>
      <c r="AB530" s="83" t="str">
        <f>IF(R530&lt;&gt;"",(W530-SUMPRODUCT(R$3:R530,$B$3:$B530)/SUM($B$3:$B530))/STDEVA(W520:W530),"")</f>
        <v/>
      </c>
      <c r="AC530" s="84" t="str">
        <f>IF(S530&lt;&gt;"",(X530-SUMPRODUCT(S$3:S530,$B$3:$B530)/SUM($B$3:$B530))/STDEVA(X520:X530),"")</f>
        <v/>
      </c>
      <c r="AD530" s="84" t="str">
        <f>IF(T530&lt;&gt;"",(Y530-SUMPRODUCT(T$3:T530,$B$3:$B530)/SUM($B$3:$B530))/STDEVA(Y520:Y530),"")</f>
        <v/>
      </c>
      <c r="AE530" s="84" t="str">
        <f>IF(U530&lt;&gt;"",(Z530-SUMPRODUCT(U$3:U530,$B$3:$B530)/SUM($B$3:$B530))/STDEVA(Z520:Z530),"")</f>
        <v/>
      </c>
      <c r="AF530" s="85" t="str">
        <f>IF(V530&lt;&gt;"",(AA530-SUMPRODUCT(V$3:V530,$B$3:$B530)/SUM($B$3:$B530))/STDEVA(AA520:AA530),"")</f>
        <v/>
      </c>
      <c r="AG530" s="90" t="str">
        <f t="shared" si="230"/>
        <v/>
      </c>
      <c r="AH530" s="90" t="str">
        <f t="shared" si="230"/>
        <v/>
      </c>
      <c r="AI530" s="90" t="str">
        <f t="shared" si="230"/>
        <v/>
      </c>
      <c r="AJ530" s="90" t="str">
        <f t="shared" si="229"/>
        <v/>
      </c>
      <c r="AK530" s="93" t="str">
        <f t="shared" si="229"/>
        <v/>
      </c>
      <c r="BQ530" s="100" t="str">
        <f>IF(A530&lt;&gt;"",(VLOOKUP(A530,MarketData!$D:$BP,MATCH($BQ$1,MarketData!$D$1:$EG$1,0),TRUE)/100/365+1)^(B530)*BQ529,"")</f>
        <v/>
      </c>
      <c r="BR530" s="98" t="str">
        <f t="shared" si="207"/>
        <v/>
      </c>
      <c r="BS530" s="106" t="str">
        <f>IF(A530&lt;&gt;"",VLOOKUP(A530,MarketData!$D:$BP,MATCH($BS$1,MarketData!$D$1:$EG$1,0),TRUE),"")</f>
        <v/>
      </c>
      <c r="BT530" s="98" t="str">
        <f t="shared" si="218"/>
        <v/>
      </c>
    </row>
    <row r="531" spans="2:72" x14ac:dyDescent="0.25">
      <c r="B531" s="60" t="str">
        <f t="shared" si="206"/>
        <v/>
      </c>
      <c r="C531" s="3" t="str">
        <f t="shared" si="208"/>
        <v/>
      </c>
      <c r="D531" s="3" t="str">
        <f t="shared" si="209"/>
        <v/>
      </c>
      <c r="E531" s="3" t="str">
        <f t="shared" si="210"/>
        <v/>
      </c>
      <c r="F531" s="3" t="str">
        <f t="shared" si="211"/>
        <v/>
      </c>
      <c r="G531" s="74" t="str">
        <f t="shared" si="212"/>
        <v/>
      </c>
      <c r="H531" s="78" t="str">
        <f>IFERROR(C531/SUM(M$2:M530),"")</f>
        <v/>
      </c>
      <c r="I531" s="61" t="str">
        <f>IFERROR(D531/SUM(N$2:N531),"")</f>
        <v/>
      </c>
      <c r="J531" s="61" t="str">
        <f>IFERROR(E531/SUM(O$2:O531),"")</f>
        <v/>
      </c>
      <c r="K531" s="61" t="str">
        <f>IFERROR(F531/SUM(P$2:P531),"")</f>
        <v/>
      </c>
      <c r="L531" s="79" t="str">
        <f>IFERROR(G531/SUM(Q$2:Q531),"")</f>
        <v/>
      </c>
      <c r="M531" s="64" t="str">
        <f t="shared" si="213"/>
        <v/>
      </c>
      <c r="N531" s="55" t="str">
        <f t="shared" si="214"/>
        <v/>
      </c>
      <c r="O531" s="55" t="str">
        <f t="shared" si="215"/>
        <v/>
      </c>
      <c r="P531" s="55" t="str">
        <f t="shared" si="216"/>
        <v/>
      </c>
      <c r="Q531" s="65" t="str">
        <f t="shared" si="217"/>
        <v/>
      </c>
      <c r="R531" s="67" t="str">
        <f t="shared" si="219"/>
        <v/>
      </c>
      <c r="S531" s="56" t="str">
        <f t="shared" si="220"/>
        <v/>
      </c>
      <c r="T531" s="56" t="str">
        <f t="shared" si="221"/>
        <v/>
      </c>
      <c r="U531" s="56" t="str">
        <f t="shared" si="222"/>
        <v/>
      </c>
      <c r="V531" s="68" t="str">
        <f t="shared" si="223"/>
        <v/>
      </c>
      <c r="W531" s="80" t="str">
        <f t="shared" si="224"/>
        <v/>
      </c>
      <c r="X531" s="81" t="str">
        <f t="shared" si="225"/>
        <v/>
      </c>
      <c r="Y531" s="81" t="str">
        <f t="shared" si="226"/>
        <v/>
      </c>
      <c r="Z531" s="81" t="str">
        <f t="shared" si="227"/>
        <v/>
      </c>
      <c r="AA531" s="82" t="str">
        <f t="shared" si="228"/>
        <v/>
      </c>
      <c r="AB531" s="83" t="str">
        <f>IF(R531&lt;&gt;"",(W531-SUMPRODUCT(R$3:R531,$B$3:$B531)/SUM($B$3:$B531))/STDEVA(W521:W531),"")</f>
        <v/>
      </c>
      <c r="AC531" s="84" t="str">
        <f>IF(S531&lt;&gt;"",(X531-SUMPRODUCT(S$3:S531,$B$3:$B531)/SUM($B$3:$B531))/STDEVA(X521:X531),"")</f>
        <v/>
      </c>
      <c r="AD531" s="84" t="str">
        <f>IF(T531&lt;&gt;"",(Y531-SUMPRODUCT(T$3:T531,$B$3:$B531)/SUM($B$3:$B531))/STDEVA(Y521:Y531),"")</f>
        <v/>
      </c>
      <c r="AE531" s="84" t="str">
        <f>IF(U531&lt;&gt;"",(Z531-SUMPRODUCT(U$3:U531,$B$3:$B531)/SUM($B$3:$B531))/STDEVA(Z521:Z531),"")</f>
        <v/>
      </c>
      <c r="AF531" s="85" t="str">
        <f>IF(V531&lt;&gt;"",(AA531-SUMPRODUCT(V$3:V531,$B$3:$B531)/SUM($B$3:$B531))/STDEVA(AA521:AA531),"")</f>
        <v/>
      </c>
      <c r="AG531" s="90" t="str">
        <f t="shared" si="230"/>
        <v/>
      </c>
      <c r="AH531" s="90" t="str">
        <f t="shared" si="230"/>
        <v/>
      </c>
      <c r="AI531" s="90" t="str">
        <f t="shared" si="230"/>
        <v/>
      </c>
      <c r="AJ531" s="90" t="str">
        <f t="shared" si="229"/>
        <v/>
      </c>
      <c r="AK531" s="93" t="str">
        <f t="shared" si="229"/>
        <v/>
      </c>
      <c r="BQ531" s="100" t="str">
        <f>IF(A531&lt;&gt;"",(VLOOKUP(A531,MarketData!$D:$BP,MATCH($BQ$1,MarketData!$D$1:$EG$1,0),TRUE)/100/365+1)^(B531)*BQ530,"")</f>
        <v/>
      </c>
      <c r="BR531" s="98" t="str">
        <f t="shared" si="207"/>
        <v/>
      </c>
      <c r="BS531" s="106" t="str">
        <f>IF(A531&lt;&gt;"",VLOOKUP(A531,MarketData!$D:$BP,MATCH($BS$1,MarketData!$D$1:$EG$1,0),TRUE),"")</f>
        <v/>
      </c>
      <c r="BT531" s="98" t="str">
        <f t="shared" si="218"/>
        <v/>
      </c>
    </row>
    <row r="532" spans="2:72" x14ac:dyDescent="0.25">
      <c r="B532" s="60" t="str">
        <f t="shared" si="206"/>
        <v/>
      </c>
      <c r="C532" s="3" t="str">
        <f t="shared" si="208"/>
        <v/>
      </c>
      <c r="D532" s="3" t="str">
        <f t="shared" si="209"/>
        <v/>
      </c>
      <c r="E532" s="3" t="str">
        <f t="shared" si="210"/>
        <v/>
      </c>
      <c r="F532" s="3" t="str">
        <f t="shared" si="211"/>
        <v/>
      </c>
      <c r="G532" s="74" t="str">
        <f t="shared" si="212"/>
        <v/>
      </c>
      <c r="H532" s="78" t="str">
        <f>IFERROR(C532/SUM(M$2:M531),"")</f>
        <v/>
      </c>
      <c r="I532" s="61" t="str">
        <f>IFERROR(D532/SUM(N$2:N532),"")</f>
        <v/>
      </c>
      <c r="J532" s="61" t="str">
        <f>IFERROR(E532/SUM(O$2:O532),"")</f>
        <v/>
      </c>
      <c r="K532" s="61" t="str">
        <f>IFERROR(F532/SUM(P$2:P532),"")</f>
        <v/>
      </c>
      <c r="L532" s="79" t="str">
        <f>IFERROR(G532/SUM(Q$2:Q532),"")</f>
        <v/>
      </c>
      <c r="M532" s="64" t="str">
        <f t="shared" si="213"/>
        <v/>
      </c>
      <c r="N532" s="55" t="str">
        <f t="shared" si="214"/>
        <v/>
      </c>
      <c r="O532" s="55" t="str">
        <f t="shared" si="215"/>
        <v/>
      </c>
      <c r="P532" s="55" t="str">
        <f t="shared" si="216"/>
        <v/>
      </c>
      <c r="Q532" s="65" t="str">
        <f t="shared" si="217"/>
        <v/>
      </c>
      <c r="R532" s="67" t="str">
        <f t="shared" si="219"/>
        <v/>
      </c>
      <c r="S532" s="56" t="str">
        <f t="shared" si="220"/>
        <v/>
      </c>
      <c r="T532" s="56" t="str">
        <f t="shared" si="221"/>
        <v/>
      </c>
      <c r="U532" s="56" t="str">
        <f t="shared" si="222"/>
        <v/>
      </c>
      <c r="V532" s="68" t="str">
        <f t="shared" si="223"/>
        <v/>
      </c>
      <c r="W532" s="80" t="str">
        <f t="shared" si="224"/>
        <v/>
      </c>
      <c r="X532" s="81" t="str">
        <f t="shared" si="225"/>
        <v/>
      </c>
      <c r="Y532" s="81" t="str">
        <f t="shared" si="226"/>
        <v/>
      </c>
      <c r="Z532" s="81" t="str">
        <f t="shared" si="227"/>
        <v/>
      </c>
      <c r="AA532" s="82" t="str">
        <f t="shared" si="228"/>
        <v/>
      </c>
      <c r="AB532" s="83" t="str">
        <f>IF(R532&lt;&gt;"",(W532-SUMPRODUCT(R$3:R532,$B$3:$B532)/SUM($B$3:$B532))/STDEVA(W522:W532),"")</f>
        <v/>
      </c>
      <c r="AC532" s="84" t="str">
        <f>IF(S532&lt;&gt;"",(X532-SUMPRODUCT(S$3:S532,$B$3:$B532)/SUM($B$3:$B532))/STDEVA(X522:X532),"")</f>
        <v/>
      </c>
      <c r="AD532" s="84" t="str">
        <f>IF(T532&lt;&gt;"",(Y532-SUMPRODUCT(T$3:T532,$B$3:$B532)/SUM($B$3:$B532))/STDEVA(Y522:Y532),"")</f>
        <v/>
      </c>
      <c r="AE532" s="84" t="str">
        <f>IF(U532&lt;&gt;"",(Z532-SUMPRODUCT(U$3:U532,$B$3:$B532)/SUM($B$3:$B532))/STDEVA(Z522:Z532),"")</f>
        <v/>
      </c>
      <c r="AF532" s="85" t="str">
        <f>IF(V532&lt;&gt;"",(AA532-SUMPRODUCT(V$3:V532,$B$3:$B532)/SUM($B$3:$B532))/STDEVA(AA522:AA532),"")</f>
        <v/>
      </c>
      <c r="AG532" s="90" t="str">
        <f t="shared" si="230"/>
        <v/>
      </c>
      <c r="AH532" s="90" t="str">
        <f t="shared" si="230"/>
        <v/>
      </c>
      <c r="AI532" s="90" t="str">
        <f t="shared" si="230"/>
        <v/>
      </c>
      <c r="AJ532" s="90" t="str">
        <f t="shared" si="229"/>
        <v/>
      </c>
      <c r="AK532" s="93" t="str">
        <f t="shared" si="229"/>
        <v/>
      </c>
      <c r="BQ532" s="100" t="str">
        <f>IF(A532&lt;&gt;"",(VLOOKUP(A532,MarketData!$D:$BP,MATCH($BQ$1,MarketData!$D$1:$EG$1,0),TRUE)/100/365+1)^(B532)*BQ531,"")</f>
        <v/>
      </c>
      <c r="BR532" s="98" t="str">
        <f t="shared" si="207"/>
        <v/>
      </c>
      <c r="BS532" s="106" t="str">
        <f>IF(A532&lt;&gt;"",VLOOKUP(A532,MarketData!$D:$BP,MATCH($BS$1,MarketData!$D$1:$EG$1,0),TRUE),"")</f>
        <v/>
      </c>
      <c r="BT532" s="98" t="str">
        <f t="shared" si="218"/>
        <v/>
      </c>
    </row>
    <row r="533" spans="2:72" x14ac:dyDescent="0.25">
      <c r="B533" s="60" t="str">
        <f t="shared" si="206"/>
        <v/>
      </c>
      <c r="C533" s="3" t="str">
        <f t="shared" si="208"/>
        <v/>
      </c>
      <c r="D533" s="3" t="str">
        <f t="shared" si="209"/>
        <v/>
      </c>
      <c r="E533" s="3" t="str">
        <f t="shared" si="210"/>
        <v/>
      </c>
      <c r="F533" s="3" t="str">
        <f t="shared" si="211"/>
        <v/>
      </c>
      <c r="G533" s="74" t="str">
        <f t="shared" si="212"/>
        <v/>
      </c>
      <c r="H533" s="78" t="str">
        <f>IFERROR(C533/SUM(M$2:M532),"")</f>
        <v/>
      </c>
      <c r="I533" s="61" t="str">
        <f>IFERROR(D533/SUM(N$2:N533),"")</f>
        <v/>
      </c>
      <c r="J533" s="61" t="str">
        <f>IFERROR(E533/SUM(O$2:O533),"")</f>
        <v/>
      </c>
      <c r="K533" s="61" t="str">
        <f>IFERROR(F533/SUM(P$2:P533),"")</f>
        <v/>
      </c>
      <c r="L533" s="79" t="str">
        <f>IFERROR(G533/SUM(Q$2:Q533),"")</f>
        <v/>
      </c>
      <c r="M533" s="64" t="str">
        <f t="shared" si="213"/>
        <v/>
      </c>
      <c r="N533" s="55" t="str">
        <f t="shared" si="214"/>
        <v/>
      </c>
      <c r="O533" s="55" t="str">
        <f t="shared" si="215"/>
        <v/>
      </c>
      <c r="P533" s="55" t="str">
        <f t="shared" si="216"/>
        <v/>
      </c>
      <c r="Q533" s="65" t="str">
        <f t="shared" si="217"/>
        <v/>
      </c>
      <c r="R533" s="67" t="str">
        <f t="shared" si="219"/>
        <v/>
      </c>
      <c r="S533" s="56" t="str">
        <f t="shared" si="220"/>
        <v/>
      </c>
      <c r="T533" s="56" t="str">
        <f t="shared" si="221"/>
        <v/>
      </c>
      <c r="U533" s="56" t="str">
        <f t="shared" si="222"/>
        <v/>
      </c>
      <c r="V533" s="68" t="str">
        <f t="shared" si="223"/>
        <v/>
      </c>
      <c r="W533" s="80" t="str">
        <f t="shared" si="224"/>
        <v/>
      </c>
      <c r="X533" s="81" t="str">
        <f t="shared" si="225"/>
        <v/>
      </c>
      <c r="Y533" s="81" t="str">
        <f t="shared" si="226"/>
        <v/>
      </c>
      <c r="Z533" s="81" t="str">
        <f t="shared" si="227"/>
        <v/>
      </c>
      <c r="AA533" s="82" t="str">
        <f t="shared" si="228"/>
        <v/>
      </c>
      <c r="AB533" s="83" t="str">
        <f>IF(R533&lt;&gt;"",(W533-SUMPRODUCT(R$3:R533,$B$3:$B533)/SUM($B$3:$B533))/STDEVA(W523:W533),"")</f>
        <v/>
      </c>
      <c r="AC533" s="84" t="str">
        <f>IF(S533&lt;&gt;"",(X533-SUMPRODUCT(S$3:S533,$B$3:$B533)/SUM($B$3:$B533))/STDEVA(X523:X533),"")</f>
        <v/>
      </c>
      <c r="AD533" s="84" t="str">
        <f>IF(T533&lt;&gt;"",(Y533-SUMPRODUCT(T$3:T533,$B$3:$B533)/SUM($B$3:$B533))/STDEVA(Y523:Y533),"")</f>
        <v/>
      </c>
      <c r="AE533" s="84" t="str">
        <f>IF(U533&lt;&gt;"",(Z533-SUMPRODUCT(U$3:U533,$B$3:$B533)/SUM($B$3:$B533))/STDEVA(Z523:Z533),"")</f>
        <v/>
      </c>
      <c r="AF533" s="85" t="str">
        <f>IF(V533&lt;&gt;"",(AA533-SUMPRODUCT(V$3:V533,$B$3:$B533)/SUM($B$3:$B533))/STDEVA(AA523:AA533),"")</f>
        <v/>
      </c>
      <c r="AG533" s="90" t="str">
        <f t="shared" si="230"/>
        <v/>
      </c>
      <c r="AH533" s="90" t="str">
        <f t="shared" si="230"/>
        <v/>
      </c>
      <c r="AI533" s="90" t="str">
        <f t="shared" si="230"/>
        <v/>
      </c>
      <c r="AJ533" s="90" t="str">
        <f t="shared" si="229"/>
        <v/>
      </c>
      <c r="AK533" s="93" t="str">
        <f t="shared" si="229"/>
        <v/>
      </c>
      <c r="BQ533" s="100" t="str">
        <f>IF(A533&lt;&gt;"",(VLOOKUP(A533,MarketData!$D:$BP,MATCH($BQ$1,MarketData!$D$1:$EG$1,0),TRUE)/100/365+1)^(B533)*BQ532,"")</f>
        <v/>
      </c>
      <c r="BR533" s="98" t="str">
        <f t="shared" si="207"/>
        <v/>
      </c>
      <c r="BS533" s="106" t="str">
        <f>IF(A533&lt;&gt;"",VLOOKUP(A533,MarketData!$D:$BP,MATCH($BS$1,MarketData!$D$1:$EG$1,0),TRUE),"")</f>
        <v/>
      </c>
      <c r="BT533" s="98" t="str">
        <f t="shared" si="218"/>
        <v/>
      </c>
    </row>
    <row r="534" spans="2:72" x14ac:dyDescent="0.25">
      <c r="B534" s="60" t="str">
        <f t="shared" si="206"/>
        <v/>
      </c>
      <c r="C534" s="3" t="str">
        <f t="shared" si="208"/>
        <v/>
      </c>
      <c r="D534" s="3" t="str">
        <f t="shared" si="209"/>
        <v/>
      </c>
      <c r="E534" s="3" t="str">
        <f t="shared" si="210"/>
        <v/>
      </c>
      <c r="F534" s="3" t="str">
        <f t="shared" si="211"/>
        <v/>
      </c>
      <c r="G534" s="74" t="str">
        <f t="shared" si="212"/>
        <v/>
      </c>
      <c r="H534" s="78" t="str">
        <f>IFERROR(C534/SUM(M$2:M533),"")</f>
        <v/>
      </c>
      <c r="I534" s="61" t="str">
        <f>IFERROR(D534/SUM(N$2:N534),"")</f>
        <v/>
      </c>
      <c r="J534" s="61" t="str">
        <f>IFERROR(E534/SUM(O$2:O534),"")</f>
        <v/>
      </c>
      <c r="K534" s="61" t="str">
        <f>IFERROR(F534/SUM(P$2:P534),"")</f>
        <v/>
      </c>
      <c r="L534" s="79" t="str">
        <f>IFERROR(G534/SUM(Q$2:Q534),"")</f>
        <v/>
      </c>
      <c r="M534" s="64" t="str">
        <f t="shared" si="213"/>
        <v/>
      </c>
      <c r="N534" s="55" t="str">
        <f t="shared" si="214"/>
        <v/>
      </c>
      <c r="O534" s="55" t="str">
        <f t="shared" si="215"/>
        <v/>
      </c>
      <c r="P534" s="55" t="str">
        <f t="shared" si="216"/>
        <v/>
      </c>
      <c r="Q534" s="65" t="str">
        <f t="shared" si="217"/>
        <v/>
      </c>
      <c r="R534" s="67" t="str">
        <f t="shared" si="219"/>
        <v/>
      </c>
      <c r="S534" s="56" t="str">
        <f t="shared" si="220"/>
        <v/>
      </c>
      <c r="T534" s="56" t="str">
        <f t="shared" si="221"/>
        <v/>
      </c>
      <c r="U534" s="56" t="str">
        <f t="shared" si="222"/>
        <v/>
      </c>
      <c r="V534" s="68" t="str">
        <f t="shared" si="223"/>
        <v/>
      </c>
      <c r="W534" s="80" t="str">
        <f t="shared" si="224"/>
        <v/>
      </c>
      <c r="X534" s="81" t="str">
        <f t="shared" si="225"/>
        <v/>
      </c>
      <c r="Y534" s="81" t="str">
        <f t="shared" si="226"/>
        <v/>
      </c>
      <c r="Z534" s="81" t="str">
        <f t="shared" si="227"/>
        <v/>
      </c>
      <c r="AA534" s="82" t="str">
        <f t="shared" si="228"/>
        <v/>
      </c>
      <c r="AB534" s="83" t="str">
        <f>IF(R534&lt;&gt;"",(W534-SUMPRODUCT(R$3:R534,$B$3:$B534)/SUM($B$3:$B534))/STDEVA(W524:W534),"")</f>
        <v/>
      </c>
      <c r="AC534" s="84" t="str">
        <f>IF(S534&lt;&gt;"",(X534-SUMPRODUCT(S$3:S534,$B$3:$B534)/SUM($B$3:$B534))/STDEVA(X524:X534),"")</f>
        <v/>
      </c>
      <c r="AD534" s="84" t="str">
        <f>IF(T534&lt;&gt;"",(Y534-SUMPRODUCT(T$3:T534,$B$3:$B534)/SUM($B$3:$B534))/STDEVA(Y524:Y534),"")</f>
        <v/>
      </c>
      <c r="AE534" s="84" t="str">
        <f>IF(U534&lt;&gt;"",(Z534-SUMPRODUCT(U$3:U534,$B$3:$B534)/SUM($B$3:$B534))/STDEVA(Z524:Z534),"")</f>
        <v/>
      </c>
      <c r="AF534" s="85" t="str">
        <f>IF(V534&lt;&gt;"",(AA534-SUMPRODUCT(V$3:V534,$B$3:$B534)/SUM($B$3:$B534))/STDEVA(AA524:AA534),"")</f>
        <v/>
      </c>
      <c r="AG534" s="90" t="str">
        <f t="shared" si="230"/>
        <v/>
      </c>
      <c r="AH534" s="90" t="str">
        <f t="shared" si="230"/>
        <v/>
      </c>
      <c r="AI534" s="90" t="str">
        <f t="shared" si="230"/>
        <v/>
      </c>
      <c r="AJ534" s="90" t="str">
        <f t="shared" si="229"/>
        <v/>
      </c>
      <c r="AK534" s="93" t="str">
        <f t="shared" si="229"/>
        <v/>
      </c>
      <c r="BQ534" s="100" t="str">
        <f>IF(A534&lt;&gt;"",(VLOOKUP(A534,MarketData!$D:$BP,MATCH($BQ$1,MarketData!$D$1:$EG$1,0),TRUE)/100/365+1)^(B534)*BQ533,"")</f>
        <v/>
      </c>
      <c r="BR534" s="98" t="str">
        <f t="shared" si="207"/>
        <v/>
      </c>
      <c r="BS534" s="106" t="str">
        <f>IF(A534&lt;&gt;"",VLOOKUP(A534,MarketData!$D:$BP,MATCH($BS$1,MarketData!$D$1:$EG$1,0),TRUE),"")</f>
        <v/>
      </c>
      <c r="BT534" s="98" t="str">
        <f t="shared" si="218"/>
        <v/>
      </c>
    </row>
    <row r="535" spans="2:72" x14ac:dyDescent="0.25">
      <c r="B535" s="60" t="str">
        <f t="shared" si="206"/>
        <v/>
      </c>
      <c r="C535" s="3" t="str">
        <f t="shared" si="208"/>
        <v/>
      </c>
      <c r="D535" s="3" t="str">
        <f t="shared" si="209"/>
        <v/>
      </c>
      <c r="E535" s="3" t="str">
        <f t="shared" si="210"/>
        <v/>
      </c>
      <c r="F535" s="3" t="str">
        <f t="shared" si="211"/>
        <v/>
      </c>
      <c r="G535" s="74" t="str">
        <f t="shared" si="212"/>
        <v/>
      </c>
      <c r="H535" s="78" t="str">
        <f>IFERROR(C535/SUM(M$2:M534),"")</f>
        <v/>
      </c>
      <c r="I535" s="61" t="str">
        <f>IFERROR(D535/SUM(N$2:N535),"")</f>
        <v/>
      </c>
      <c r="J535" s="61" t="str">
        <f>IFERROR(E535/SUM(O$2:O535),"")</f>
        <v/>
      </c>
      <c r="K535" s="61" t="str">
        <f>IFERROR(F535/SUM(P$2:P535),"")</f>
        <v/>
      </c>
      <c r="L535" s="79" t="str">
        <f>IFERROR(G535/SUM(Q$2:Q535),"")</f>
        <v/>
      </c>
      <c r="M535" s="64" t="str">
        <f t="shared" si="213"/>
        <v/>
      </c>
      <c r="N535" s="55" t="str">
        <f t="shared" si="214"/>
        <v/>
      </c>
      <c r="O535" s="55" t="str">
        <f t="shared" si="215"/>
        <v/>
      </c>
      <c r="P535" s="55" t="str">
        <f t="shared" si="216"/>
        <v/>
      </c>
      <c r="Q535" s="65" t="str">
        <f t="shared" si="217"/>
        <v/>
      </c>
      <c r="R535" s="67" t="str">
        <f t="shared" si="219"/>
        <v/>
      </c>
      <c r="S535" s="56" t="str">
        <f t="shared" si="220"/>
        <v/>
      </c>
      <c r="T535" s="56" t="str">
        <f t="shared" si="221"/>
        <v/>
      </c>
      <c r="U535" s="56" t="str">
        <f t="shared" si="222"/>
        <v/>
      </c>
      <c r="V535" s="68" t="str">
        <f t="shared" si="223"/>
        <v/>
      </c>
      <c r="W535" s="80" t="str">
        <f t="shared" si="224"/>
        <v/>
      </c>
      <c r="X535" s="81" t="str">
        <f t="shared" si="225"/>
        <v/>
      </c>
      <c r="Y535" s="81" t="str">
        <f t="shared" si="226"/>
        <v/>
      </c>
      <c r="Z535" s="81" t="str">
        <f t="shared" si="227"/>
        <v/>
      </c>
      <c r="AA535" s="82" t="str">
        <f t="shared" si="228"/>
        <v/>
      </c>
      <c r="AB535" s="83" t="str">
        <f>IF(R535&lt;&gt;"",(W535-SUMPRODUCT(R$3:R535,$B$3:$B535)/SUM($B$3:$B535))/STDEVA(W525:W535),"")</f>
        <v/>
      </c>
      <c r="AC535" s="84" t="str">
        <f>IF(S535&lt;&gt;"",(X535-SUMPRODUCT(S$3:S535,$B$3:$B535)/SUM($B$3:$B535))/STDEVA(X525:X535),"")</f>
        <v/>
      </c>
      <c r="AD535" s="84" t="str">
        <f>IF(T535&lt;&gt;"",(Y535-SUMPRODUCT(T$3:T535,$B$3:$B535)/SUM($B$3:$B535))/STDEVA(Y525:Y535),"")</f>
        <v/>
      </c>
      <c r="AE535" s="84" t="str">
        <f>IF(U535&lt;&gt;"",(Z535-SUMPRODUCT(U$3:U535,$B$3:$B535)/SUM($B$3:$B535))/STDEVA(Z525:Z535),"")</f>
        <v/>
      </c>
      <c r="AF535" s="85" t="str">
        <f>IF(V535&lt;&gt;"",(AA535-SUMPRODUCT(V$3:V535,$B$3:$B535)/SUM($B$3:$B535))/STDEVA(AA525:AA535),"")</f>
        <v/>
      </c>
      <c r="AG535" s="90" t="str">
        <f t="shared" si="230"/>
        <v/>
      </c>
      <c r="AH535" s="90" t="str">
        <f t="shared" si="230"/>
        <v/>
      </c>
      <c r="AI535" s="90" t="str">
        <f t="shared" si="230"/>
        <v/>
      </c>
      <c r="AJ535" s="90" t="str">
        <f t="shared" si="229"/>
        <v/>
      </c>
      <c r="AK535" s="93" t="str">
        <f t="shared" si="229"/>
        <v/>
      </c>
      <c r="BQ535" s="100" t="str">
        <f>IF(A535&lt;&gt;"",(VLOOKUP(A535,MarketData!$D:$BP,MATCH($BQ$1,MarketData!$D$1:$EG$1,0),TRUE)/100/365+1)^(B535)*BQ534,"")</f>
        <v/>
      </c>
      <c r="BR535" s="98" t="str">
        <f t="shared" si="207"/>
        <v/>
      </c>
      <c r="BS535" s="106" t="str">
        <f>IF(A535&lt;&gt;"",VLOOKUP(A535,MarketData!$D:$BP,MATCH($BS$1,MarketData!$D$1:$EG$1,0),TRUE),"")</f>
        <v/>
      </c>
      <c r="BT535" s="98" t="str">
        <f t="shared" si="218"/>
        <v/>
      </c>
    </row>
    <row r="536" spans="2:72" x14ac:dyDescent="0.25">
      <c r="B536" s="60" t="str">
        <f t="shared" si="206"/>
        <v/>
      </c>
      <c r="C536" s="3" t="str">
        <f t="shared" si="208"/>
        <v/>
      </c>
      <c r="D536" s="3" t="str">
        <f t="shared" si="209"/>
        <v/>
      </c>
      <c r="E536" s="3" t="str">
        <f t="shared" si="210"/>
        <v/>
      </c>
      <c r="F536" s="3" t="str">
        <f t="shared" si="211"/>
        <v/>
      </c>
      <c r="G536" s="74" t="str">
        <f t="shared" si="212"/>
        <v/>
      </c>
      <c r="H536" s="78" t="str">
        <f>IFERROR(C536/SUM(M$2:M535),"")</f>
        <v/>
      </c>
      <c r="I536" s="61" t="str">
        <f>IFERROR(D536/SUM(N$2:N536),"")</f>
        <v/>
      </c>
      <c r="J536" s="61" t="str">
        <f>IFERROR(E536/SUM(O$2:O536),"")</f>
        <v/>
      </c>
      <c r="K536" s="61" t="str">
        <f>IFERROR(F536/SUM(P$2:P536),"")</f>
        <v/>
      </c>
      <c r="L536" s="79" t="str">
        <f>IFERROR(G536/SUM(Q$2:Q536),"")</f>
        <v/>
      </c>
      <c r="M536" s="64" t="str">
        <f t="shared" si="213"/>
        <v/>
      </c>
      <c r="N536" s="55" t="str">
        <f t="shared" si="214"/>
        <v/>
      </c>
      <c r="O536" s="55" t="str">
        <f t="shared" si="215"/>
        <v/>
      </c>
      <c r="P536" s="55" t="str">
        <f t="shared" si="216"/>
        <v/>
      </c>
      <c r="Q536" s="65" t="str">
        <f t="shared" si="217"/>
        <v/>
      </c>
      <c r="R536" s="67" t="str">
        <f t="shared" si="219"/>
        <v/>
      </c>
      <c r="S536" s="56" t="str">
        <f t="shared" si="220"/>
        <v/>
      </c>
      <c r="T536" s="56" t="str">
        <f t="shared" si="221"/>
        <v/>
      </c>
      <c r="U536" s="56" t="str">
        <f t="shared" si="222"/>
        <v/>
      </c>
      <c r="V536" s="68" t="str">
        <f t="shared" si="223"/>
        <v/>
      </c>
      <c r="W536" s="80" t="str">
        <f t="shared" si="224"/>
        <v/>
      </c>
      <c r="X536" s="81" t="str">
        <f t="shared" si="225"/>
        <v/>
      </c>
      <c r="Y536" s="81" t="str">
        <f t="shared" si="226"/>
        <v/>
      </c>
      <c r="Z536" s="81" t="str">
        <f t="shared" si="227"/>
        <v/>
      </c>
      <c r="AA536" s="82" t="str">
        <f t="shared" si="228"/>
        <v/>
      </c>
      <c r="AB536" s="83" t="str">
        <f>IF(R536&lt;&gt;"",(W536-SUMPRODUCT(R$3:R536,$B$3:$B536)/SUM($B$3:$B536))/STDEVA(W526:W536),"")</f>
        <v/>
      </c>
      <c r="AC536" s="84" t="str">
        <f>IF(S536&lt;&gt;"",(X536-SUMPRODUCT(S$3:S536,$B$3:$B536)/SUM($B$3:$B536))/STDEVA(X526:X536),"")</f>
        <v/>
      </c>
      <c r="AD536" s="84" t="str">
        <f>IF(T536&lt;&gt;"",(Y536-SUMPRODUCT(T$3:T536,$B$3:$B536)/SUM($B$3:$B536))/STDEVA(Y526:Y536),"")</f>
        <v/>
      </c>
      <c r="AE536" s="84" t="str">
        <f>IF(U536&lt;&gt;"",(Z536-SUMPRODUCT(U$3:U536,$B$3:$B536)/SUM($B$3:$B536))/STDEVA(Z526:Z536),"")</f>
        <v/>
      </c>
      <c r="AF536" s="85" t="str">
        <f>IF(V536&lt;&gt;"",(AA536-SUMPRODUCT(V$3:V536,$B$3:$B536)/SUM($B$3:$B536))/STDEVA(AA526:AA536),"")</f>
        <v/>
      </c>
      <c r="AG536" s="90" t="str">
        <f t="shared" si="230"/>
        <v/>
      </c>
      <c r="AH536" s="90" t="str">
        <f t="shared" si="230"/>
        <v/>
      </c>
      <c r="AI536" s="90" t="str">
        <f t="shared" si="230"/>
        <v/>
      </c>
      <c r="AJ536" s="90" t="str">
        <f t="shared" si="229"/>
        <v/>
      </c>
      <c r="AK536" s="93" t="str">
        <f t="shared" si="229"/>
        <v/>
      </c>
      <c r="BQ536" s="100" t="str">
        <f>IF(A536&lt;&gt;"",(VLOOKUP(A536,MarketData!$D:$BP,MATCH($BQ$1,MarketData!$D$1:$EG$1,0),TRUE)/100/365+1)^(B536)*BQ535,"")</f>
        <v/>
      </c>
      <c r="BR536" s="98" t="str">
        <f t="shared" si="207"/>
        <v/>
      </c>
      <c r="BS536" s="106" t="str">
        <f>IF(A536&lt;&gt;"",VLOOKUP(A536,MarketData!$D:$BP,MATCH($BS$1,MarketData!$D$1:$EG$1,0),TRUE),"")</f>
        <v/>
      </c>
      <c r="BT536" s="98" t="str">
        <f t="shared" si="218"/>
        <v/>
      </c>
    </row>
    <row r="537" spans="2:72" x14ac:dyDescent="0.25">
      <c r="B537" s="60" t="str">
        <f t="shared" si="206"/>
        <v/>
      </c>
      <c r="C537" s="3" t="str">
        <f t="shared" si="208"/>
        <v/>
      </c>
      <c r="D537" s="3" t="str">
        <f t="shared" si="209"/>
        <v/>
      </c>
      <c r="E537" s="3" t="str">
        <f t="shared" si="210"/>
        <v/>
      </c>
      <c r="F537" s="3" t="str">
        <f t="shared" si="211"/>
        <v/>
      </c>
      <c r="G537" s="74" t="str">
        <f t="shared" si="212"/>
        <v/>
      </c>
      <c r="H537" s="78" t="str">
        <f>IFERROR(C537/SUM(M$2:M536),"")</f>
        <v/>
      </c>
      <c r="I537" s="61" t="str">
        <f>IFERROR(D537/SUM(N$2:N537),"")</f>
        <v/>
      </c>
      <c r="J537" s="61" t="str">
        <f>IFERROR(E537/SUM(O$2:O537),"")</f>
        <v/>
      </c>
      <c r="K537" s="61" t="str">
        <f>IFERROR(F537/SUM(P$2:P537),"")</f>
        <v/>
      </c>
      <c r="L537" s="79" t="str">
        <f>IFERROR(G537/SUM(Q$2:Q537),"")</f>
        <v/>
      </c>
      <c r="M537" s="64" t="str">
        <f t="shared" si="213"/>
        <v/>
      </c>
      <c r="N537" s="55" t="str">
        <f t="shared" si="214"/>
        <v/>
      </c>
      <c r="O537" s="55" t="str">
        <f t="shared" si="215"/>
        <v/>
      </c>
      <c r="P537" s="55" t="str">
        <f t="shared" si="216"/>
        <v/>
      </c>
      <c r="Q537" s="65" t="str">
        <f t="shared" si="217"/>
        <v/>
      </c>
      <c r="R537" s="67" t="str">
        <f t="shared" si="219"/>
        <v/>
      </c>
      <c r="S537" s="56" t="str">
        <f t="shared" si="220"/>
        <v/>
      </c>
      <c r="T537" s="56" t="str">
        <f t="shared" si="221"/>
        <v/>
      </c>
      <c r="U537" s="56" t="str">
        <f t="shared" si="222"/>
        <v/>
      </c>
      <c r="V537" s="68" t="str">
        <f t="shared" si="223"/>
        <v/>
      </c>
      <c r="W537" s="80" t="str">
        <f t="shared" si="224"/>
        <v/>
      </c>
      <c r="X537" s="81" t="str">
        <f t="shared" si="225"/>
        <v/>
      </c>
      <c r="Y537" s="81" t="str">
        <f t="shared" si="226"/>
        <v/>
      </c>
      <c r="Z537" s="81" t="str">
        <f t="shared" si="227"/>
        <v/>
      </c>
      <c r="AA537" s="82" t="str">
        <f t="shared" si="228"/>
        <v/>
      </c>
      <c r="AB537" s="83" t="str">
        <f>IF(R537&lt;&gt;"",(W537-SUMPRODUCT(R$3:R537,$B$3:$B537)/SUM($B$3:$B537))/STDEVA(W527:W537),"")</f>
        <v/>
      </c>
      <c r="AC537" s="84" t="str">
        <f>IF(S537&lt;&gt;"",(X537-SUMPRODUCT(S$3:S537,$B$3:$B537)/SUM($B$3:$B537))/STDEVA(X527:X537),"")</f>
        <v/>
      </c>
      <c r="AD537" s="84" t="str">
        <f>IF(T537&lt;&gt;"",(Y537-SUMPRODUCT(T$3:T537,$B$3:$B537)/SUM($B$3:$B537))/STDEVA(Y527:Y537),"")</f>
        <v/>
      </c>
      <c r="AE537" s="84" t="str">
        <f>IF(U537&lt;&gt;"",(Z537-SUMPRODUCT(U$3:U537,$B$3:$B537)/SUM($B$3:$B537))/STDEVA(Z527:Z537),"")</f>
        <v/>
      </c>
      <c r="AF537" s="85" t="str">
        <f>IF(V537&lt;&gt;"",(AA537-SUMPRODUCT(V$3:V537,$B$3:$B537)/SUM($B$3:$B537))/STDEVA(AA527:AA537),"")</f>
        <v/>
      </c>
      <c r="AG537" s="90" t="str">
        <f t="shared" si="230"/>
        <v/>
      </c>
      <c r="AH537" s="90" t="str">
        <f t="shared" si="230"/>
        <v/>
      </c>
      <c r="AI537" s="90" t="str">
        <f t="shared" si="230"/>
        <v/>
      </c>
      <c r="AJ537" s="90" t="str">
        <f t="shared" si="229"/>
        <v/>
      </c>
      <c r="AK537" s="93" t="str">
        <f t="shared" si="229"/>
        <v/>
      </c>
      <c r="BQ537" s="100" t="str">
        <f>IF(A537&lt;&gt;"",(VLOOKUP(A537,MarketData!$D:$BP,MATCH($BQ$1,MarketData!$D$1:$EG$1,0),TRUE)/100/365+1)^(B537)*BQ536,"")</f>
        <v/>
      </c>
      <c r="BR537" s="98" t="str">
        <f t="shared" si="207"/>
        <v/>
      </c>
      <c r="BS537" s="106" t="str">
        <f>IF(A537&lt;&gt;"",VLOOKUP(A537,MarketData!$D:$BP,MATCH($BS$1,MarketData!$D$1:$EG$1,0),TRUE),"")</f>
        <v/>
      </c>
      <c r="BT537" s="98" t="str">
        <f t="shared" si="218"/>
        <v/>
      </c>
    </row>
    <row r="538" spans="2:72" x14ac:dyDescent="0.25">
      <c r="B538" s="60" t="str">
        <f t="shared" si="206"/>
        <v/>
      </c>
      <c r="C538" s="3" t="str">
        <f t="shared" si="208"/>
        <v/>
      </c>
      <c r="D538" s="3" t="str">
        <f t="shared" si="209"/>
        <v/>
      </c>
      <c r="E538" s="3" t="str">
        <f t="shared" si="210"/>
        <v/>
      </c>
      <c r="F538" s="3" t="str">
        <f t="shared" si="211"/>
        <v/>
      </c>
      <c r="G538" s="74" t="str">
        <f t="shared" si="212"/>
        <v/>
      </c>
      <c r="H538" s="78" t="str">
        <f>IFERROR(C538/SUM(M$2:M537),"")</f>
        <v/>
      </c>
      <c r="I538" s="61" t="str">
        <f>IFERROR(D538/SUM(N$2:N538),"")</f>
        <v/>
      </c>
      <c r="J538" s="61" t="str">
        <f>IFERROR(E538/SUM(O$2:O538),"")</f>
        <v/>
      </c>
      <c r="K538" s="61" t="str">
        <f>IFERROR(F538/SUM(P$2:P538),"")</f>
        <v/>
      </c>
      <c r="L538" s="79" t="str">
        <f>IFERROR(G538/SUM(Q$2:Q538),"")</f>
        <v/>
      </c>
      <c r="M538" s="64" t="str">
        <f t="shared" si="213"/>
        <v/>
      </c>
      <c r="N538" s="55" t="str">
        <f t="shared" si="214"/>
        <v/>
      </c>
      <c r="O538" s="55" t="str">
        <f t="shared" si="215"/>
        <v/>
      </c>
      <c r="P538" s="55" t="str">
        <f t="shared" si="216"/>
        <v/>
      </c>
      <c r="Q538" s="65" t="str">
        <f t="shared" si="217"/>
        <v/>
      </c>
      <c r="R538" s="67" t="str">
        <f t="shared" si="219"/>
        <v/>
      </c>
      <c r="S538" s="56" t="str">
        <f t="shared" si="220"/>
        <v/>
      </c>
      <c r="T538" s="56" t="str">
        <f t="shared" si="221"/>
        <v/>
      </c>
      <c r="U538" s="56" t="str">
        <f t="shared" si="222"/>
        <v/>
      </c>
      <c r="V538" s="68" t="str">
        <f t="shared" si="223"/>
        <v/>
      </c>
      <c r="W538" s="80" t="str">
        <f t="shared" si="224"/>
        <v/>
      </c>
      <c r="X538" s="81" t="str">
        <f t="shared" si="225"/>
        <v/>
      </c>
      <c r="Y538" s="81" t="str">
        <f t="shared" si="226"/>
        <v/>
      </c>
      <c r="Z538" s="81" t="str">
        <f t="shared" si="227"/>
        <v/>
      </c>
      <c r="AA538" s="82" t="str">
        <f t="shared" si="228"/>
        <v/>
      </c>
      <c r="AB538" s="83" t="str">
        <f>IF(R538&lt;&gt;"",(W538-SUMPRODUCT(R$3:R538,$B$3:$B538)/SUM($B$3:$B538))/STDEVA(W528:W538),"")</f>
        <v/>
      </c>
      <c r="AC538" s="84" t="str">
        <f>IF(S538&lt;&gt;"",(X538-SUMPRODUCT(S$3:S538,$B$3:$B538)/SUM($B$3:$B538))/STDEVA(X528:X538),"")</f>
        <v/>
      </c>
      <c r="AD538" s="84" t="str">
        <f>IF(T538&lt;&gt;"",(Y538-SUMPRODUCT(T$3:T538,$B$3:$B538)/SUM($B$3:$B538))/STDEVA(Y528:Y538),"")</f>
        <v/>
      </c>
      <c r="AE538" s="84" t="str">
        <f>IF(U538&lt;&gt;"",(Z538-SUMPRODUCT(U$3:U538,$B$3:$B538)/SUM($B$3:$B538))/STDEVA(Z528:Z538),"")</f>
        <v/>
      </c>
      <c r="AF538" s="85" t="str">
        <f>IF(V538&lt;&gt;"",(AA538-SUMPRODUCT(V$3:V538,$B$3:$B538)/SUM($B$3:$B538))/STDEVA(AA528:AA538),"")</f>
        <v/>
      </c>
      <c r="AG538" s="90" t="str">
        <f t="shared" si="230"/>
        <v/>
      </c>
      <c r="AH538" s="90" t="str">
        <f t="shared" si="230"/>
        <v/>
      </c>
      <c r="AI538" s="90" t="str">
        <f t="shared" si="230"/>
        <v/>
      </c>
      <c r="AJ538" s="90" t="str">
        <f t="shared" si="229"/>
        <v/>
      </c>
      <c r="AK538" s="93" t="str">
        <f t="shared" si="229"/>
        <v/>
      </c>
      <c r="BQ538" s="100" t="str">
        <f>IF(A538&lt;&gt;"",(VLOOKUP(A538,MarketData!$D:$BP,MATCH($BQ$1,MarketData!$D$1:$EG$1,0),TRUE)/100/365+1)^(B538)*BQ537,"")</f>
        <v/>
      </c>
      <c r="BR538" s="98" t="str">
        <f t="shared" si="207"/>
        <v/>
      </c>
      <c r="BS538" s="106" t="str">
        <f>IF(A538&lt;&gt;"",VLOOKUP(A538,MarketData!$D:$BP,MATCH($BS$1,MarketData!$D$1:$EG$1,0),TRUE),"")</f>
        <v/>
      </c>
      <c r="BT538" s="98" t="str">
        <f t="shared" si="218"/>
        <v/>
      </c>
    </row>
    <row r="539" spans="2:72" x14ac:dyDescent="0.25">
      <c r="B539" s="60" t="str">
        <f t="shared" ref="B539:B602" si="231">IF(A539&lt;&gt;0,A539-A538,"")</f>
        <v/>
      </c>
      <c r="C539" s="3" t="str">
        <f t="shared" si="208"/>
        <v/>
      </c>
      <c r="D539" s="3" t="str">
        <f t="shared" si="209"/>
        <v/>
      </c>
      <c r="E539" s="3" t="str">
        <f t="shared" si="210"/>
        <v/>
      </c>
      <c r="F539" s="3" t="str">
        <f t="shared" si="211"/>
        <v/>
      </c>
      <c r="G539" s="74" t="str">
        <f t="shared" si="212"/>
        <v/>
      </c>
      <c r="H539" s="78" t="str">
        <f>IFERROR(C539/SUM(M$2:M538),"")</f>
        <v/>
      </c>
      <c r="I539" s="61" t="str">
        <f>IFERROR(D539/SUM(N$2:N539),"")</f>
        <v/>
      </c>
      <c r="J539" s="61" t="str">
        <f>IFERROR(E539/SUM(O$2:O539),"")</f>
        <v/>
      </c>
      <c r="K539" s="61" t="str">
        <f>IFERROR(F539/SUM(P$2:P539),"")</f>
        <v/>
      </c>
      <c r="L539" s="79" t="str">
        <f>IFERROR(G539/SUM(Q$2:Q539),"")</f>
        <v/>
      </c>
      <c r="M539" s="64" t="str">
        <f t="shared" si="213"/>
        <v/>
      </c>
      <c r="N539" s="55" t="str">
        <f t="shared" si="214"/>
        <v/>
      </c>
      <c r="O539" s="55" t="str">
        <f t="shared" si="215"/>
        <v/>
      </c>
      <c r="P539" s="55" t="str">
        <f t="shared" si="216"/>
        <v/>
      </c>
      <c r="Q539" s="65" t="str">
        <f t="shared" si="217"/>
        <v/>
      </c>
      <c r="R539" s="67" t="str">
        <f t="shared" si="219"/>
        <v/>
      </c>
      <c r="S539" s="56" t="str">
        <f t="shared" si="220"/>
        <v/>
      </c>
      <c r="T539" s="56" t="str">
        <f t="shared" si="221"/>
        <v/>
      </c>
      <c r="U539" s="56" t="str">
        <f t="shared" si="222"/>
        <v/>
      </c>
      <c r="V539" s="68" t="str">
        <f t="shared" si="223"/>
        <v/>
      </c>
      <c r="W539" s="80" t="str">
        <f t="shared" si="224"/>
        <v/>
      </c>
      <c r="X539" s="81" t="str">
        <f t="shared" si="225"/>
        <v/>
      </c>
      <c r="Y539" s="81" t="str">
        <f t="shared" si="226"/>
        <v/>
      </c>
      <c r="Z539" s="81" t="str">
        <f t="shared" si="227"/>
        <v/>
      </c>
      <c r="AA539" s="82" t="str">
        <f t="shared" si="228"/>
        <v/>
      </c>
      <c r="AB539" s="83" t="str">
        <f>IF(R539&lt;&gt;"",(W539-SUMPRODUCT(R$3:R539,$B$3:$B539)/SUM($B$3:$B539))/STDEVA(W529:W539),"")</f>
        <v/>
      </c>
      <c r="AC539" s="84" t="str">
        <f>IF(S539&lt;&gt;"",(X539-SUMPRODUCT(S$3:S539,$B$3:$B539)/SUM($B$3:$B539))/STDEVA(X529:X539),"")</f>
        <v/>
      </c>
      <c r="AD539" s="84" t="str">
        <f>IF(T539&lt;&gt;"",(Y539-SUMPRODUCT(T$3:T539,$B$3:$B539)/SUM($B$3:$B539))/STDEVA(Y529:Y539),"")</f>
        <v/>
      </c>
      <c r="AE539" s="84" t="str">
        <f>IF(U539&lt;&gt;"",(Z539-SUMPRODUCT(U$3:U539,$B$3:$B539)/SUM($B$3:$B539))/STDEVA(Z529:Z539),"")</f>
        <v/>
      </c>
      <c r="AF539" s="85" t="str">
        <f>IF(V539&lt;&gt;"",(AA539-SUMPRODUCT(V$3:V539,$B$3:$B539)/SUM($B$3:$B539))/STDEVA(AA529:AA539),"")</f>
        <v/>
      </c>
      <c r="AG539" s="90" t="str">
        <f t="shared" si="230"/>
        <v/>
      </c>
      <c r="AH539" s="90" t="str">
        <f t="shared" si="230"/>
        <v/>
      </c>
      <c r="AI539" s="90" t="str">
        <f t="shared" si="230"/>
        <v/>
      </c>
      <c r="AJ539" s="90" t="str">
        <f t="shared" si="229"/>
        <v/>
      </c>
      <c r="AK539" s="93" t="str">
        <f t="shared" si="229"/>
        <v/>
      </c>
      <c r="BQ539" s="100" t="str">
        <f>IF(A539&lt;&gt;"",(VLOOKUP(A539,MarketData!$D:$BP,MATCH($BQ$1,MarketData!$D$1:$EG$1,0),TRUE)/100/365+1)^(B539)*BQ538,"")</f>
        <v/>
      </c>
      <c r="BR539" s="98" t="str">
        <f t="shared" si="207"/>
        <v/>
      </c>
      <c r="BS539" s="106" t="str">
        <f>IF(A539&lt;&gt;"",VLOOKUP(A539,MarketData!$D:$BP,MATCH($BS$1,MarketData!$D$1:$EG$1,0),TRUE),"")</f>
        <v/>
      </c>
      <c r="BT539" s="98" t="str">
        <f t="shared" si="218"/>
        <v/>
      </c>
    </row>
    <row r="540" spans="2:72" x14ac:dyDescent="0.25">
      <c r="B540" s="60" t="str">
        <f t="shared" si="231"/>
        <v/>
      </c>
      <c r="C540" s="3" t="str">
        <f t="shared" si="208"/>
        <v/>
      </c>
      <c r="D540" s="3" t="str">
        <f t="shared" si="209"/>
        <v/>
      </c>
      <c r="E540" s="3" t="str">
        <f t="shared" si="210"/>
        <v/>
      </c>
      <c r="F540" s="3" t="str">
        <f t="shared" si="211"/>
        <v/>
      </c>
      <c r="G540" s="74" t="str">
        <f t="shared" si="212"/>
        <v/>
      </c>
      <c r="H540" s="78" t="str">
        <f>IFERROR(C540/SUM(M$2:M539),"")</f>
        <v/>
      </c>
      <c r="I540" s="61" t="str">
        <f>IFERROR(D540/SUM(N$2:N540),"")</f>
        <v/>
      </c>
      <c r="J540" s="61" t="str">
        <f>IFERROR(E540/SUM(O$2:O540),"")</f>
        <v/>
      </c>
      <c r="K540" s="61" t="str">
        <f>IFERROR(F540/SUM(P$2:P540),"")</f>
        <v/>
      </c>
      <c r="L540" s="79" t="str">
        <f>IFERROR(G540/SUM(Q$2:Q540),"")</f>
        <v/>
      </c>
      <c r="M540" s="64" t="str">
        <f t="shared" si="213"/>
        <v/>
      </c>
      <c r="N540" s="55" t="str">
        <f t="shared" si="214"/>
        <v/>
      </c>
      <c r="O540" s="55" t="str">
        <f t="shared" si="215"/>
        <v/>
      </c>
      <c r="P540" s="55" t="str">
        <f t="shared" si="216"/>
        <v/>
      </c>
      <c r="Q540" s="65" t="str">
        <f t="shared" si="217"/>
        <v/>
      </c>
      <c r="R540" s="67" t="str">
        <f t="shared" si="219"/>
        <v/>
      </c>
      <c r="S540" s="56" t="str">
        <f t="shared" si="220"/>
        <v/>
      </c>
      <c r="T540" s="56" t="str">
        <f t="shared" si="221"/>
        <v/>
      </c>
      <c r="U540" s="56" t="str">
        <f t="shared" si="222"/>
        <v/>
      </c>
      <c r="V540" s="68" t="str">
        <f t="shared" si="223"/>
        <v/>
      </c>
      <c r="W540" s="80" t="str">
        <f t="shared" si="224"/>
        <v/>
      </c>
      <c r="X540" s="81" t="str">
        <f t="shared" si="225"/>
        <v/>
      </c>
      <c r="Y540" s="81" t="str">
        <f t="shared" si="226"/>
        <v/>
      </c>
      <c r="Z540" s="81" t="str">
        <f t="shared" si="227"/>
        <v/>
      </c>
      <c r="AA540" s="82" t="str">
        <f t="shared" si="228"/>
        <v/>
      </c>
      <c r="AB540" s="83" t="str">
        <f>IF(R540&lt;&gt;"",(W540-SUMPRODUCT(R$3:R540,$B$3:$B540)/SUM($B$3:$B540))/STDEVA(W530:W540),"")</f>
        <v/>
      </c>
      <c r="AC540" s="84" t="str">
        <f>IF(S540&lt;&gt;"",(X540-SUMPRODUCT(S$3:S540,$B$3:$B540)/SUM($B$3:$B540))/STDEVA(X530:X540),"")</f>
        <v/>
      </c>
      <c r="AD540" s="84" t="str">
        <f>IF(T540&lt;&gt;"",(Y540-SUMPRODUCT(T$3:T540,$B$3:$B540)/SUM($B$3:$B540))/STDEVA(Y530:Y540),"")</f>
        <v/>
      </c>
      <c r="AE540" s="84" t="str">
        <f>IF(U540&lt;&gt;"",(Z540-SUMPRODUCT(U$3:U540,$B$3:$B540)/SUM($B$3:$B540))/STDEVA(Z530:Z540),"")</f>
        <v/>
      </c>
      <c r="AF540" s="85" t="str">
        <f>IF(V540&lt;&gt;"",(AA540-SUMPRODUCT(V$3:V540,$B$3:$B540)/SUM($B$3:$B540))/STDEVA(AA530:AA540),"")</f>
        <v/>
      </c>
      <c r="AG540" s="90" t="str">
        <f t="shared" si="230"/>
        <v/>
      </c>
      <c r="AH540" s="90" t="str">
        <f t="shared" si="230"/>
        <v/>
      </c>
      <c r="AI540" s="90" t="str">
        <f t="shared" si="230"/>
        <v/>
      </c>
      <c r="AJ540" s="90" t="str">
        <f t="shared" si="229"/>
        <v/>
      </c>
      <c r="AK540" s="93" t="str">
        <f t="shared" si="229"/>
        <v/>
      </c>
      <c r="BQ540" s="100" t="str">
        <f>IF(A540&lt;&gt;"",(VLOOKUP(A540,MarketData!$D:$BP,MATCH($BQ$1,MarketData!$D$1:$EG$1,0),TRUE)/100/365+1)^(B540)*BQ539,"")</f>
        <v/>
      </c>
      <c r="BR540" s="98" t="str">
        <f t="shared" si="207"/>
        <v/>
      </c>
      <c r="BS540" s="106" t="str">
        <f>IF(A540&lt;&gt;"",VLOOKUP(A540,MarketData!$D:$BP,MATCH($BS$1,MarketData!$D$1:$EG$1,0),TRUE),"")</f>
        <v/>
      </c>
      <c r="BT540" s="98" t="str">
        <f t="shared" si="218"/>
        <v/>
      </c>
    </row>
    <row r="541" spans="2:72" x14ac:dyDescent="0.25">
      <c r="B541" s="60" t="str">
        <f t="shared" si="231"/>
        <v/>
      </c>
      <c r="C541" s="3" t="str">
        <f t="shared" si="208"/>
        <v/>
      </c>
      <c r="D541" s="3" t="str">
        <f t="shared" si="209"/>
        <v/>
      </c>
      <c r="E541" s="3" t="str">
        <f t="shared" si="210"/>
        <v/>
      </c>
      <c r="F541" s="3" t="str">
        <f t="shared" si="211"/>
        <v/>
      </c>
      <c r="G541" s="74" t="str">
        <f t="shared" si="212"/>
        <v/>
      </c>
      <c r="H541" s="78" t="str">
        <f>IFERROR(C541/SUM(M$2:M540),"")</f>
        <v/>
      </c>
      <c r="I541" s="61" t="str">
        <f>IFERROR(D541/SUM(N$2:N541),"")</f>
        <v/>
      </c>
      <c r="J541" s="61" t="str">
        <f>IFERROR(E541/SUM(O$2:O541),"")</f>
        <v/>
      </c>
      <c r="K541" s="61" t="str">
        <f>IFERROR(F541/SUM(P$2:P541),"")</f>
        <v/>
      </c>
      <c r="L541" s="79" t="str">
        <f>IFERROR(G541/SUM(Q$2:Q541),"")</f>
        <v/>
      </c>
      <c r="M541" s="64" t="str">
        <f t="shared" si="213"/>
        <v/>
      </c>
      <c r="N541" s="55" t="str">
        <f t="shared" si="214"/>
        <v/>
      </c>
      <c r="O541" s="55" t="str">
        <f t="shared" si="215"/>
        <v/>
      </c>
      <c r="P541" s="55" t="str">
        <f t="shared" si="216"/>
        <v/>
      </c>
      <c r="Q541" s="65" t="str">
        <f t="shared" si="217"/>
        <v/>
      </c>
      <c r="R541" s="67" t="str">
        <f t="shared" si="219"/>
        <v/>
      </c>
      <c r="S541" s="56" t="str">
        <f t="shared" si="220"/>
        <v/>
      </c>
      <c r="T541" s="56" t="str">
        <f t="shared" si="221"/>
        <v/>
      </c>
      <c r="U541" s="56" t="str">
        <f t="shared" si="222"/>
        <v/>
      </c>
      <c r="V541" s="68" t="str">
        <f t="shared" si="223"/>
        <v/>
      </c>
      <c r="W541" s="80" t="str">
        <f t="shared" si="224"/>
        <v/>
      </c>
      <c r="X541" s="81" t="str">
        <f t="shared" si="225"/>
        <v/>
      </c>
      <c r="Y541" s="81" t="str">
        <f t="shared" si="226"/>
        <v/>
      </c>
      <c r="Z541" s="81" t="str">
        <f t="shared" si="227"/>
        <v/>
      </c>
      <c r="AA541" s="82" t="str">
        <f t="shared" si="228"/>
        <v/>
      </c>
      <c r="AB541" s="83" t="str">
        <f>IF(R541&lt;&gt;"",(W541-SUMPRODUCT(R$3:R541,$B$3:$B541)/SUM($B$3:$B541))/STDEVA(W531:W541),"")</f>
        <v/>
      </c>
      <c r="AC541" s="84" t="str">
        <f>IF(S541&lt;&gt;"",(X541-SUMPRODUCT(S$3:S541,$B$3:$B541)/SUM($B$3:$B541))/STDEVA(X531:X541),"")</f>
        <v/>
      </c>
      <c r="AD541" s="84" t="str">
        <f>IF(T541&lt;&gt;"",(Y541-SUMPRODUCT(T$3:T541,$B$3:$B541)/SUM($B$3:$B541))/STDEVA(Y531:Y541),"")</f>
        <v/>
      </c>
      <c r="AE541" s="84" t="str">
        <f>IF(U541&lt;&gt;"",(Z541-SUMPRODUCT(U$3:U541,$B$3:$B541)/SUM($B$3:$B541))/STDEVA(Z531:Z541),"")</f>
        <v/>
      </c>
      <c r="AF541" s="85" t="str">
        <f>IF(V541&lt;&gt;"",(AA541-SUMPRODUCT(V$3:V541,$B$3:$B541)/SUM($B$3:$B541))/STDEVA(AA531:AA541),"")</f>
        <v/>
      </c>
      <c r="AG541" s="90" t="str">
        <f t="shared" si="230"/>
        <v/>
      </c>
      <c r="AH541" s="90" t="str">
        <f t="shared" si="230"/>
        <v/>
      </c>
      <c r="AI541" s="90" t="str">
        <f t="shared" si="230"/>
        <v/>
      </c>
      <c r="AJ541" s="90" t="str">
        <f t="shared" si="229"/>
        <v/>
      </c>
      <c r="AK541" s="93" t="str">
        <f t="shared" si="229"/>
        <v/>
      </c>
      <c r="BQ541" s="100" t="str">
        <f>IF(A541&lt;&gt;"",(VLOOKUP(A541,MarketData!$D:$BP,MATCH($BQ$1,MarketData!$D$1:$EG$1,0),TRUE)/100/365+1)^(B541)*BQ540,"")</f>
        <v/>
      </c>
      <c r="BR541" s="98" t="str">
        <f t="shared" si="207"/>
        <v/>
      </c>
      <c r="BS541" s="106" t="str">
        <f>IF(A541&lt;&gt;"",VLOOKUP(A541,MarketData!$D:$BP,MATCH($BS$1,MarketData!$D$1:$EG$1,0),TRUE),"")</f>
        <v/>
      </c>
      <c r="BT541" s="98" t="str">
        <f t="shared" si="218"/>
        <v/>
      </c>
    </row>
    <row r="542" spans="2:72" x14ac:dyDescent="0.25">
      <c r="B542" s="60" t="str">
        <f t="shared" si="231"/>
        <v/>
      </c>
      <c r="C542" s="3" t="str">
        <f t="shared" si="208"/>
        <v/>
      </c>
      <c r="D542" s="3" t="str">
        <f t="shared" si="209"/>
        <v/>
      </c>
      <c r="E542" s="3" t="str">
        <f t="shared" si="210"/>
        <v/>
      </c>
      <c r="F542" s="3" t="str">
        <f t="shared" si="211"/>
        <v/>
      </c>
      <c r="G542" s="74" t="str">
        <f t="shared" si="212"/>
        <v/>
      </c>
      <c r="H542" s="78" t="str">
        <f>IFERROR(C542/SUM(M$2:M541),"")</f>
        <v/>
      </c>
      <c r="I542" s="61" t="str">
        <f>IFERROR(D542/SUM(N$2:N542),"")</f>
        <v/>
      </c>
      <c r="J542" s="61" t="str">
        <f>IFERROR(E542/SUM(O$2:O542),"")</f>
        <v/>
      </c>
      <c r="K542" s="61" t="str">
        <f>IFERROR(F542/SUM(P$2:P542),"")</f>
        <v/>
      </c>
      <c r="L542" s="79" t="str">
        <f>IFERROR(G542/SUM(Q$2:Q542),"")</f>
        <v/>
      </c>
      <c r="M542" s="64" t="str">
        <f t="shared" si="213"/>
        <v/>
      </c>
      <c r="N542" s="55" t="str">
        <f t="shared" si="214"/>
        <v/>
      </c>
      <c r="O542" s="55" t="str">
        <f t="shared" si="215"/>
        <v/>
      </c>
      <c r="P542" s="55" t="str">
        <f t="shared" si="216"/>
        <v/>
      </c>
      <c r="Q542" s="65" t="str">
        <f t="shared" si="217"/>
        <v/>
      </c>
      <c r="R542" s="67" t="str">
        <f t="shared" si="219"/>
        <v/>
      </c>
      <c r="S542" s="56" t="str">
        <f t="shared" si="220"/>
        <v/>
      </c>
      <c r="T542" s="56" t="str">
        <f t="shared" si="221"/>
        <v/>
      </c>
      <c r="U542" s="56" t="str">
        <f t="shared" si="222"/>
        <v/>
      </c>
      <c r="V542" s="68" t="str">
        <f t="shared" si="223"/>
        <v/>
      </c>
      <c r="W542" s="80" t="str">
        <f t="shared" si="224"/>
        <v/>
      </c>
      <c r="X542" s="81" t="str">
        <f t="shared" si="225"/>
        <v/>
      </c>
      <c r="Y542" s="81" t="str">
        <f t="shared" si="226"/>
        <v/>
      </c>
      <c r="Z542" s="81" t="str">
        <f t="shared" si="227"/>
        <v/>
      </c>
      <c r="AA542" s="82" t="str">
        <f t="shared" si="228"/>
        <v/>
      </c>
      <c r="AB542" s="83" t="str">
        <f>IF(R542&lt;&gt;"",(W542-SUMPRODUCT(R$3:R542,$B$3:$B542)/SUM($B$3:$B542))/STDEVA(W532:W542),"")</f>
        <v/>
      </c>
      <c r="AC542" s="84" t="str">
        <f>IF(S542&lt;&gt;"",(X542-SUMPRODUCT(S$3:S542,$B$3:$B542)/SUM($B$3:$B542))/STDEVA(X532:X542),"")</f>
        <v/>
      </c>
      <c r="AD542" s="84" t="str">
        <f>IF(T542&lt;&gt;"",(Y542-SUMPRODUCT(T$3:T542,$B$3:$B542)/SUM($B$3:$B542))/STDEVA(Y532:Y542),"")</f>
        <v/>
      </c>
      <c r="AE542" s="84" t="str">
        <f>IF(U542&lt;&gt;"",(Z542-SUMPRODUCT(U$3:U542,$B$3:$B542)/SUM($B$3:$B542))/STDEVA(Z532:Z542),"")</f>
        <v/>
      </c>
      <c r="AF542" s="85" t="str">
        <f>IF(V542&lt;&gt;"",(AA542-SUMPRODUCT(V$3:V542,$B$3:$B542)/SUM($B$3:$B542))/STDEVA(AA532:AA542),"")</f>
        <v/>
      </c>
      <c r="AG542" s="90" t="str">
        <f t="shared" si="230"/>
        <v/>
      </c>
      <c r="AH542" s="90" t="str">
        <f t="shared" si="230"/>
        <v/>
      </c>
      <c r="AI542" s="90" t="str">
        <f t="shared" si="230"/>
        <v/>
      </c>
      <c r="AJ542" s="90" t="str">
        <f t="shared" si="229"/>
        <v/>
      </c>
      <c r="AK542" s="93" t="str">
        <f t="shared" si="229"/>
        <v/>
      </c>
      <c r="BQ542" s="100" t="str">
        <f>IF(A542&lt;&gt;"",(VLOOKUP(A542,MarketData!$D:$BP,MATCH($BQ$1,MarketData!$D$1:$EG$1,0),TRUE)/100/365+1)^(B542)*BQ541,"")</f>
        <v/>
      </c>
      <c r="BR542" s="98" t="str">
        <f t="shared" si="207"/>
        <v/>
      </c>
      <c r="BS542" s="106" t="str">
        <f>IF(A542&lt;&gt;"",VLOOKUP(A542,MarketData!$D:$BP,MATCH($BS$1,MarketData!$D$1:$EG$1,0),TRUE),"")</f>
        <v/>
      </c>
      <c r="BT542" s="98" t="str">
        <f t="shared" si="218"/>
        <v/>
      </c>
    </row>
    <row r="543" spans="2:72" x14ac:dyDescent="0.25">
      <c r="B543" s="60" t="str">
        <f t="shared" si="231"/>
        <v/>
      </c>
      <c r="C543" s="3" t="str">
        <f t="shared" si="208"/>
        <v/>
      </c>
      <c r="D543" s="3" t="str">
        <f t="shared" si="209"/>
        <v/>
      </c>
      <c r="E543" s="3" t="str">
        <f t="shared" si="210"/>
        <v/>
      </c>
      <c r="F543" s="3" t="str">
        <f t="shared" si="211"/>
        <v/>
      </c>
      <c r="G543" s="74" t="str">
        <f t="shared" si="212"/>
        <v/>
      </c>
      <c r="H543" s="78" t="str">
        <f>IFERROR(C543/SUM(M$2:M542),"")</f>
        <v/>
      </c>
      <c r="I543" s="61" t="str">
        <f>IFERROR(D543/SUM(N$2:N543),"")</f>
        <v/>
      </c>
      <c r="J543" s="61" t="str">
        <f>IFERROR(E543/SUM(O$2:O543),"")</f>
        <v/>
      </c>
      <c r="K543" s="61" t="str">
        <f>IFERROR(F543/SUM(P$2:P543),"")</f>
        <v/>
      </c>
      <c r="L543" s="79" t="str">
        <f>IFERROR(G543/SUM(Q$2:Q543),"")</f>
        <v/>
      </c>
      <c r="M543" s="64" t="str">
        <f t="shared" si="213"/>
        <v/>
      </c>
      <c r="N543" s="55" t="str">
        <f t="shared" si="214"/>
        <v/>
      </c>
      <c r="O543" s="55" t="str">
        <f t="shared" si="215"/>
        <v/>
      </c>
      <c r="P543" s="55" t="str">
        <f t="shared" si="216"/>
        <v/>
      </c>
      <c r="Q543" s="65" t="str">
        <f t="shared" si="217"/>
        <v/>
      </c>
      <c r="R543" s="67" t="str">
        <f t="shared" si="219"/>
        <v/>
      </c>
      <c r="S543" s="56" t="str">
        <f t="shared" si="220"/>
        <v/>
      </c>
      <c r="T543" s="56" t="str">
        <f t="shared" si="221"/>
        <v/>
      </c>
      <c r="U543" s="56" t="str">
        <f t="shared" si="222"/>
        <v/>
      </c>
      <c r="V543" s="68" t="str">
        <f t="shared" si="223"/>
        <v/>
      </c>
      <c r="W543" s="80" t="str">
        <f t="shared" si="224"/>
        <v/>
      </c>
      <c r="X543" s="81" t="str">
        <f t="shared" si="225"/>
        <v/>
      </c>
      <c r="Y543" s="81" t="str">
        <f t="shared" si="226"/>
        <v/>
      </c>
      <c r="Z543" s="81" t="str">
        <f t="shared" si="227"/>
        <v/>
      </c>
      <c r="AA543" s="82" t="str">
        <f t="shared" si="228"/>
        <v/>
      </c>
      <c r="AB543" s="83" t="str">
        <f>IF(R543&lt;&gt;"",(W543-SUMPRODUCT(R$3:R543,$B$3:$B543)/SUM($B$3:$B543))/STDEVA(W533:W543),"")</f>
        <v/>
      </c>
      <c r="AC543" s="84" t="str">
        <f>IF(S543&lt;&gt;"",(X543-SUMPRODUCT(S$3:S543,$B$3:$B543)/SUM($B$3:$B543))/STDEVA(X533:X543),"")</f>
        <v/>
      </c>
      <c r="AD543" s="84" t="str">
        <f>IF(T543&lt;&gt;"",(Y543-SUMPRODUCT(T$3:T543,$B$3:$B543)/SUM($B$3:$B543))/STDEVA(Y533:Y543),"")</f>
        <v/>
      </c>
      <c r="AE543" s="84" t="str">
        <f>IF(U543&lt;&gt;"",(Z543-SUMPRODUCT(U$3:U543,$B$3:$B543)/SUM($B$3:$B543))/STDEVA(Z533:Z543),"")</f>
        <v/>
      </c>
      <c r="AF543" s="85" t="str">
        <f>IF(V543&lt;&gt;"",(AA543-SUMPRODUCT(V$3:V543,$B$3:$B543)/SUM($B$3:$B543))/STDEVA(AA533:AA543),"")</f>
        <v/>
      </c>
      <c r="AG543" s="90" t="str">
        <f t="shared" si="230"/>
        <v/>
      </c>
      <c r="AH543" s="90" t="str">
        <f t="shared" si="230"/>
        <v/>
      </c>
      <c r="AI543" s="90" t="str">
        <f t="shared" si="230"/>
        <v/>
      </c>
      <c r="AJ543" s="90" t="str">
        <f t="shared" si="229"/>
        <v/>
      </c>
      <c r="AK543" s="93" t="str">
        <f t="shared" si="229"/>
        <v/>
      </c>
      <c r="BQ543" s="100" t="str">
        <f>IF(A543&lt;&gt;"",(VLOOKUP(A543,MarketData!$D:$BP,MATCH($BQ$1,MarketData!$D$1:$EG$1,0),TRUE)/100/365+1)^(B543)*BQ542,"")</f>
        <v/>
      </c>
      <c r="BR543" s="98" t="str">
        <f t="shared" si="207"/>
        <v/>
      </c>
      <c r="BS543" s="106" t="str">
        <f>IF(A543&lt;&gt;"",VLOOKUP(A543,MarketData!$D:$BP,MATCH($BS$1,MarketData!$D$1:$EG$1,0),TRUE),"")</f>
        <v/>
      </c>
      <c r="BT543" s="98" t="str">
        <f t="shared" si="218"/>
        <v/>
      </c>
    </row>
    <row r="544" spans="2:72" x14ac:dyDescent="0.25">
      <c r="B544" s="60" t="str">
        <f t="shared" si="231"/>
        <v/>
      </c>
      <c r="C544" s="3" t="str">
        <f t="shared" si="208"/>
        <v/>
      </c>
      <c r="D544" s="3" t="str">
        <f t="shared" si="209"/>
        <v/>
      </c>
      <c r="E544" s="3" t="str">
        <f t="shared" si="210"/>
        <v/>
      </c>
      <c r="F544" s="3" t="str">
        <f t="shared" si="211"/>
        <v/>
      </c>
      <c r="G544" s="74" t="str">
        <f t="shared" si="212"/>
        <v/>
      </c>
      <c r="H544" s="78" t="str">
        <f>IFERROR(C544/SUM(M$2:M543),"")</f>
        <v/>
      </c>
      <c r="I544" s="61" t="str">
        <f>IFERROR(D544/SUM(N$2:N544),"")</f>
        <v/>
      </c>
      <c r="J544" s="61" t="str">
        <f>IFERROR(E544/SUM(O$2:O544),"")</f>
        <v/>
      </c>
      <c r="K544" s="61" t="str">
        <f>IFERROR(F544/SUM(P$2:P544),"")</f>
        <v/>
      </c>
      <c r="L544" s="79" t="str">
        <f>IFERROR(G544/SUM(Q$2:Q544),"")</f>
        <v/>
      </c>
      <c r="M544" s="64" t="str">
        <f t="shared" si="213"/>
        <v/>
      </c>
      <c r="N544" s="55" t="str">
        <f t="shared" si="214"/>
        <v/>
      </c>
      <c r="O544" s="55" t="str">
        <f t="shared" si="215"/>
        <v/>
      </c>
      <c r="P544" s="55" t="str">
        <f t="shared" si="216"/>
        <v/>
      </c>
      <c r="Q544" s="65" t="str">
        <f t="shared" si="217"/>
        <v/>
      </c>
      <c r="R544" s="67" t="str">
        <f t="shared" si="219"/>
        <v/>
      </c>
      <c r="S544" s="56" t="str">
        <f t="shared" si="220"/>
        <v/>
      </c>
      <c r="T544" s="56" t="str">
        <f t="shared" si="221"/>
        <v/>
      </c>
      <c r="U544" s="56" t="str">
        <f t="shared" si="222"/>
        <v/>
      </c>
      <c r="V544" s="68" t="str">
        <f t="shared" si="223"/>
        <v/>
      </c>
      <c r="W544" s="80" t="str">
        <f t="shared" si="224"/>
        <v/>
      </c>
      <c r="X544" s="81" t="str">
        <f t="shared" si="225"/>
        <v/>
      </c>
      <c r="Y544" s="81" t="str">
        <f t="shared" si="226"/>
        <v/>
      </c>
      <c r="Z544" s="81" t="str">
        <f t="shared" si="227"/>
        <v/>
      </c>
      <c r="AA544" s="82" t="str">
        <f t="shared" si="228"/>
        <v/>
      </c>
      <c r="AB544" s="83" t="str">
        <f>IF(R544&lt;&gt;"",(W544-SUMPRODUCT(R$3:R544,$B$3:$B544)/SUM($B$3:$B544))/STDEVA(W534:W544),"")</f>
        <v/>
      </c>
      <c r="AC544" s="84" t="str">
        <f>IF(S544&lt;&gt;"",(X544-SUMPRODUCT(S$3:S544,$B$3:$B544)/SUM($B$3:$B544))/STDEVA(X534:X544),"")</f>
        <v/>
      </c>
      <c r="AD544" s="84" t="str">
        <f>IF(T544&lt;&gt;"",(Y544-SUMPRODUCT(T$3:T544,$B$3:$B544)/SUM($B$3:$B544))/STDEVA(Y534:Y544),"")</f>
        <v/>
      </c>
      <c r="AE544" s="84" t="str">
        <f>IF(U544&lt;&gt;"",(Z544-SUMPRODUCT(U$3:U544,$B$3:$B544)/SUM($B$3:$B544))/STDEVA(Z534:Z544),"")</f>
        <v/>
      </c>
      <c r="AF544" s="85" t="str">
        <f>IF(V544&lt;&gt;"",(AA544-SUMPRODUCT(V$3:V544,$B$3:$B544)/SUM($B$3:$B544))/STDEVA(AA534:AA544),"")</f>
        <v/>
      </c>
      <c r="AG544" s="90" t="str">
        <f t="shared" si="230"/>
        <v/>
      </c>
      <c r="AH544" s="90" t="str">
        <f t="shared" si="230"/>
        <v/>
      </c>
      <c r="AI544" s="90" t="str">
        <f t="shared" si="230"/>
        <v/>
      </c>
      <c r="AJ544" s="90" t="str">
        <f t="shared" si="229"/>
        <v/>
      </c>
      <c r="AK544" s="93" t="str">
        <f t="shared" si="229"/>
        <v/>
      </c>
      <c r="BQ544" s="100" t="str">
        <f>IF(A544&lt;&gt;"",(VLOOKUP(A544,MarketData!$D:$BP,MATCH($BQ$1,MarketData!$D$1:$EG$1,0),TRUE)/100/365+1)^(B544)*BQ543,"")</f>
        <v/>
      </c>
      <c r="BR544" s="98" t="str">
        <f t="shared" si="207"/>
        <v/>
      </c>
      <c r="BS544" s="106" t="str">
        <f>IF(A544&lt;&gt;"",VLOOKUP(A544,MarketData!$D:$BP,MATCH($BS$1,MarketData!$D$1:$EG$1,0),TRUE),"")</f>
        <v/>
      </c>
      <c r="BT544" s="98" t="str">
        <f t="shared" si="218"/>
        <v/>
      </c>
    </row>
    <row r="545" spans="2:72" x14ac:dyDescent="0.25">
      <c r="B545" s="60" t="str">
        <f t="shared" si="231"/>
        <v/>
      </c>
      <c r="C545" s="3" t="str">
        <f t="shared" si="208"/>
        <v/>
      </c>
      <c r="D545" s="3" t="str">
        <f t="shared" si="209"/>
        <v/>
      </c>
      <c r="E545" s="3" t="str">
        <f t="shared" si="210"/>
        <v/>
      </c>
      <c r="F545" s="3" t="str">
        <f t="shared" si="211"/>
        <v/>
      </c>
      <c r="G545" s="74" t="str">
        <f t="shared" si="212"/>
        <v/>
      </c>
      <c r="H545" s="78" t="str">
        <f>IFERROR(C545/SUM(M$2:M544),"")</f>
        <v/>
      </c>
      <c r="I545" s="61" t="str">
        <f>IFERROR(D545/SUM(N$2:N545),"")</f>
        <v/>
      </c>
      <c r="J545" s="61" t="str">
        <f>IFERROR(E545/SUM(O$2:O545),"")</f>
        <v/>
      </c>
      <c r="K545" s="61" t="str">
        <f>IFERROR(F545/SUM(P$2:P545),"")</f>
        <v/>
      </c>
      <c r="L545" s="79" t="str">
        <f>IFERROR(G545/SUM(Q$2:Q545),"")</f>
        <v/>
      </c>
      <c r="M545" s="64" t="str">
        <f t="shared" si="213"/>
        <v/>
      </c>
      <c r="N545" s="55" t="str">
        <f t="shared" si="214"/>
        <v/>
      </c>
      <c r="O545" s="55" t="str">
        <f t="shared" si="215"/>
        <v/>
      </c>
      <c r="P545" s="55" t="str">
        <f t="shared" si="216"/>
        <v/>
      </c>
      <c r="Q545" s="65" t="str">
        <f t="shared" si="217"/>
        <v/>
      </c>
      <c r="R545" s="67" t="str">
        <f t="shared" si="219"/>
        <v/>
      </c>
      <c r="S545" s="56" t="str">
        <f t="shared" si="220"/>
        <v/>
      </c>
      <c r="T545" s="56" t="str">
        <f t="shared" si="221"/>
        <v/>
      </c>
      <c r="U545" s="56" t="str">
        <f t="shared" si="222"/>
        <v/>
      </c>
      <c r="V545" s="68" t="str">
        <f t="shared" si="223"/>
        <v/>
      </c>
      <c r="W545" s="80" t="str">
        <f t="shared" si="224"/>
        <v/>
      </c>
      <c r="X545" s="81" t="str">
        <f t="shared" si="225"/>
        <v/>
      </c>
      <c r="Y545" s="81" t="str">
        <f t="shared" si="226"/>
        <v/>
      </c>
      <c r="Z545" s="81" t="str">
        <f t="shared" si="227"/>
        <v/>
      </c>
      <c r="AA545" s="82" t="str">
        <f t="shared" si="228"/>
        <v/>
      </c>
      <c r="AB545" s="83" t="str">
        <f>IF(R545&lt;&gt;"",(W545-SUMPRODUCT(R$3:R545,$B$3:$B545)/SUM($B$3:$B545))/STDEVA(W535:W545),"")</f>
        <v/>
      </c>
      <c r="AC545" s="84" t="str">
        <f>IF(S545&lt;&gt;"",(X545-SUMPRODUCT(S$3:S545,$B$3:$B545)/SUM($B$3:$B545))/STDEVA(X535:X545),"")</f>
        <v/>
      </c>
      <c r="AD545" s="84" t="str">
        <f>IF(T545&lt;&gt;"",(Y545-SUMPRODUCT(T$3:T545,$B$3:$B545)/SUM($B$3:$B545))/STDEVA(Y535:Y545),"")</f>
        <v/>
      </c>
      <c r="AE545" s="84" t="str">
        <f>IF(U545&lt;&gt;"",(Z545-SUMPRODUCT(U$3:U545,$B$3:$B545)/SUM($B$3:$B545))/STDEVA(Z535:Z545),"")</f>
        <v/>
      </c>
      <c r="AF545" s="85" t="str">
        <f>IF(V545&lt;&gt;"",(AA545-SUMPRODUCT(V$3:V545,$B$3:$B545)/SUM($B$3:$B545))/STDEVA(AA535:AA545),"")</f>
        <v/>
      </c>
      <c r="AG545" s="90" t="str">
        <f t="shared" si="230"/>
        <v/>
      </c>
      <c r="AH545" s="90" t="str">
        <f t="shared" si="230"/>
        <v/>
      </c>
      <c r="AI545" s="90" t="str">
        <f t="shared" si="230"/>
        <v/>
      </c>
      <c r="AJ545" s="90" t="str">
        <f t="shared" si="229"/>
        <v/>
      </c>
      <c r="AK545" s="93" t="str">
        <f t="shared" si="229"/>
        <v/>
      </c>
      <c r="BQ545" s="100" t="str">
        <f>IF(A545&lt;&gt;"",(VLOOKUP(A545,MarketData!$D:$BP,MATCH($BQ$1,MarketData!$D$1:$EG$1,0),TRUE)/100/365+1)^(B545)*BQ544,"")</f>
        <v/>
      </c>
      <c r="BR545" s="98" t="str">
        <f t="shared" si="207"/>
        <v/>
      </c>
      <c r="BS545" s="106" t="str">
        <f>IF(A545&lt;&gt;"",VLOOKUP(A545,MarketData!$D:$BP,MATCH($BS$1,MarketData!$D$1:$EG$1,0),TRUE),"")</f>
        <v/>
      </c>
      <c r="BT545" s="98" t="str">
        <f t="shared" si="218"/>
        <v/>
      </c>
    </row>
    <row r="546" spans="2:72" x14ac:dyDescent="0.25">
      <c r="B546" s="60" t="str">
        <f t="shared" si="231"/>
        <v/>
      </c>
      <c r="C546" s="3" t="str">
        <f t="shared" si="208"/>
        <v/>
      </c>
      <c r="D546" s="3" t="str">
        <f t="shared" si="209"/>
        <v/>
      </c>
      <c r="E546" s="3" t="str">
        <f t="shared" si="210"/>
        <v/>
      </c>
      <c r="F546" s="3" t="str">
        <f t="shared" si="211"/>
        <v/>
      </c>
      <c r="G546" s="74" t="str">
        <f t="shared" si="212"/>
        <v/>
      </c>
      <c r="H546" s="78" t="str">
        <f>IFERROR(C546/SUM(M$2:M545),"")</f>
        <v/>
      </c>
      <c r="I546" s="61" t="str">
        <f>IFERROR(D546/SUM(N$2:N546),"")</f>
        <v/>
      </c>
      <c r="J546" s="61" t="str">
        <f>IFERROR(E546/SUM(O$2:O546),"")</f>
        <v/>
      </c>
      <c r="K546" s="61" t="str">
        <f>IFERROR(F546/SUM(P$2:P546),"")</f>
        <v/>
      </c>
      <c r="L546" s="79" t="str">
        <f>IFERROR(G546/SUM(Q$2:Q546),"")</f>
        <v/>
      </c>
      <c r="M546" s="64" t="str">
        <f t="shared" si="213"/>
        <v/>
      </c>
      <c r="N546" s="55" t="str">
        <f t="shared" si="214"/>
        <v/>
      </c>
      <c r="O546" s="55" t="str">
        <f t="shared" si="215"/>
        <v/>
      </c>
      <c r="P546" s="55" t="str">
        <f t="shared" si="216"/>
        <v/>
      </c>
      <c r="Q546" s="65" t="str">
        <f t="shared" si="217"/>
        <v/>
      </c>
      <c r="R546" s="67" t="str">
        <f t="shared" si="219"/>
        <v/>
      </c>
      <c r="S546" s="56" t="str">
        <f t="shared" si="220"/>
        <v/>
      </c>
      <c r="T546" s="56" t="str">
        <f t="shared" si="221"/>
        <v/>
      </c>
      <c r="U546" s="56" t="str">
        <f t="shared" si="222"/>
        <v/>
      </c>
      <c r="V546" s="68" t="str">
        <f t="shared" si="223"/>
        <v/>
      </c>
      <c r="W546" s="80" t="str">
        <f t="shared" si="224"/>
        <v/>
      </c>
      <c r="X546" s="81" t="str">
        <f t="shared" si="225"/>
        <v/>
      </c>
      <c r="Y546" s="81" t="str">
        <f t="shared" si="226"/>
        <v/>
      </c>
      <c r="Z546" s="81" t="str">
        <f t="shared" si="227"/>
        <v/>
      </c>
      <c r="AA546" s="82" t="str">
        <f t="shared" si="228"/>
        <v/>
      </c>
      <c r="AB546" s="83" t="str">
        <f>IF(R546&lt;&gt;"",(W546-SUMPRODUCT(R$3:R546,$B$3:$B546)/SUM($B$3:$B546))/STDEVA(W536:W546),"")</f>
        <v/>
      </c>
      <c r="AC546" s="84" t="str">
        <f>IF(S546&lt;&gt;"",(X546-SUMPRODUCT(S$3:S546,$B$3:$B546)/SUM($B$3:$B546))/STDEVA(X536:X546),"")</f>
        <v/>
      </c>
      <c r="AD546" s="84" t="str">
        <f>IF(T546&lt;&gt;"",(Y546-SUMPRODUCT(T$3:T546,$B$3:$B546)/SUM($B$3:$B546))/STDEVA(Y536:Y546),"")</f>
        <v/>
      </c>
      <c r="AE546" s="84" t="str">
        <f>IF(U546&lt;&gt;"",(Z546-SUMPRODUCT(U$3:U546,$B$3:$B546)/SUM($B$3:$B546))/STDEVA(Z536:Z546),"")</f>
        <v/>
      </c>
      <c r="AF546" s="85" t="str">
        <f>IF(V546&lt;&gt;"",(AA546-SUMPRODUCT(V$3:V546,$B$3:$B546)/SUM($B$3:$B546))/STDEVA(AA536:AA546),"")</f>
        <v/>
      </c>
      <c r="AG546" s="90" t="str">
        <f t="shared" si="230"/>
        <v/>
      </c>
      <c r="AH546" s="90" t="str">
        <f t="shared" si="230"/>
        <v/>
      </c>
      <c r="AI546" s="90" t="str">
        <f t="shared" si="230"/>
        <v/>
      </c>
      <c r="AJ546" s="90" t="str">
        <f t="shared" si="229"/>
        <v/>
      </c>
      <c r="AK546" s="93" t="str">
        <f t="shared" si="229"/>
        <v/>
      </c>
      <c r="BQ546" s="100" t="str">
        <f>IF(A546&lt;&gt;"",(VLOOKUP(A546,MarketData!$D:$BP,MATCH($BQ$1,MarketData!$D$1:$EG$1,0),TRUE)/100/365+1)^(B546)*BQ545,"")</f>
        <v/>
      </c>
      <c r="BR546" s="98" t="str">
        <f t="shared" si="207"/>
        <v/>
      </c>
      <c r="BS546" s="106" t="str">
        <f>IF(A546&lt;&gt;"",VLOOKUP(A546,MarketData!$D:$BP,MATCH($BS$1,MarketData!$D$1:$EG$1,0),TRUE),"")</f>
        <v/>
      </c>
      <c r="BT546" s="98" t="str">
        <f t="shared" si="218"/>
        <v/>
      </c>
    </row>
    <row r="547" spans="2:72" x14ac:dyDescent="0.25">
      <c r="B547" s="60" t="str">
        <f t="shared" si="231"/>
        <v/>
      </c>
      <c r="C547" s="3" t="str">
        <f t="shared" si="208"/>
        <v/>
      </c>
      <c r="D547" s="3" t="str">
        <f t="shared" si="209"/>
        <v/>
      </c>
      <c r="E547" s="3" t="str">
        <f t="shared" si="210"/>
        <v/>
      </c>
      <c r="F547" s="3" t="str">
        <f t="shared" si="211"/>
        <v/>
      </c>
      <c r="G547" s="74" t="str">
        <f t="shared" si="212"/>
        <v/>
      </c>
      <c r="H547" s="78" t="str">
        <f>IFERROR(C547/SUM(M$2:M546),"")</f>
        <v/>
      </c>
      <c r="I547" s="61" t="str">
        <f>IFERROR(D547/SUM(N$2:N547),"")</f>
        <v/>
      </c>
      <c r="J547" s="61" t="str">
        <f>IFERROR(E547/SUM(O$2:O547),"")</f>
        <v/>
      </c>
      <c r="K547" s="61" t="str">
        <f>IFERROR(F547/SUM(P$2:P547),"")</f>
        <v/>
      </c>
      <c r="L547" s="79" t="str">
        <f>IFERROR(G547/SUM(Q$2:Q547),"")</f>
        <v/>
      </c>
      <c r="M547" s="64" t="str">
        <f t="shared" si="213"/>
        <v/>
      </c>
      <c r="N547" s="55" t="str">
        <f t="shared" si="214"/>
        <v/>
      </c>
      <c r="O547" s="55" t="str">
        <f t="shared" si="215"/>
        <v/>
      </c>
      <c r="P547" s="55" t="str">
        <f t="shared" si="216"/>
        <v/>
      </c>
      <c r="Q547" s="65" t="str">
        <f t="shared" si="217"/>
        <v/>
      </c>
      <c r="R547" s="67" t="str">
        <f t="shared" si="219"/>
        <v/>
      </c>
      <c r="S547" s="56" t="str">
        <f t="shared" si="220"/>
        <v/>
      </c>
      <c r="T547" s="56" t="str">
        <f t="shared" si="221"/>
        <v/>
      </c>
      <c r="U547" s="56" t="str">
        <f t="shared" si="222"/>
        <v/>
      </c>
      <c r="V547" s="68" t="str">
        <f t="shared" si="223"/>
        <v/>
      </c>
      <c r="W547" s="80" t="str">
        <f t="shared" si="224"/>
        <v/>
      </c>
      <c r="X547" s="81" t="str">
        <f t="shared" si="225"/>
        <v/>
      </c>
      <c r="Y547" s="81" t="str">
        <f t="shared" si="226"/>
        <v/>
      </c>
      <c r="Z547" s="81" t="str">
        <f t="shared" si="227"/>
        <v/>
      </c>
      <c r="AA547" s="82" t="str">
        <f t="shared" si="228"/>
        <v/>
      </c>
      <c r="AB547" s="83" t="str">
        <f>IF(R547&lt;&gt;"",(W547-SUMPRODUCT(R$3:R547,$B$3:$B547)/SUM($B$3:$B547))/STDEVA(W537:W547),"")</f>
        <v/>
      </c>
      <c r="AC547" s="84" t="str">
        <f>IF(S547&lt;&gt;"",(X547-SUMPRODUCT(S$3:S547,$B$3:$B547)/SUM($B$3:$B547))/STDEVA(X537:X547),"")</f>
        <v/>
      </c>
      <c r="AD547" s="84" t="str">
        <f>IF(T547&lt;&gt;"",(Y547-SUMPRODUCT(T$3:T547,$B$3:$B547)/SUM($B$3:$B547))/STDEVA(Y537:Y547),"")</f>
        <v/>
      </c>
      <c r="AE547" s="84" t="str">
        <f>IF(U547&lt;&gt;"",(Z547-SUMPRODUCT(U$3:U547,$B$3:$B547)/SUM($B$3:$B547))/STDEVA(Z537:Z547),"")</f>
        <v/>
      </c>
      <c r="AF547" s="85" t="str">
        <f>IF(V547&lt;&gt;"",(AA547-SUMPRODUCT(V$3:V547,$B$3:$B547)/SUM($B$3:$B547))/STDEVA(AA537:AA547),"")</f>
        <v/>
      </c>
      <c r="AG547" s="90" t="str">
        <f t="shared" si="230"/>
        <v/>
      </c>
      <c r="AH547" s="90" t="str">
        <f t="shared" si="230"/>
        <v/>
      </c>
      <c r="AI547" s="90" t="str">
        <f t="shared" si="230"/>
        <v/>
      </c>
      <c r="AJ547" s="90" t="str">
        <f t="shared" si="229"/>
        <v/>
      </c>
      <c r="AK547" s="93" t="str">
        <f t="shared" si="229"/>
        <v/>
      </c>
      <c r="BQ547" s="100" t="str">
        <f>IF(A547&lt;&gt;"",(VLOOKUP(A547,MarketData!$D:$BP,MATCH($BQ$1,MarketData!$D$1:$EG$1,0),TRUE)/100/365+1)^(B547)*BQ546,"")</f>
        <v/>
      </c>
      <c r="BR547" s="98" t="str">
        <f t="shared" si="207"/>
        <v/>
      </c>
      <c r="BS547" s="106" t="str">
        <f>IF(A547&lt;&gt;"",VLOOKUP(A547,MarketData!$D:$BP,MATCH($BS$1,MarketData!$D$1:$EG$1,0),TRUE),"")</f>
        <v/>
      </c>
      <c r="BT547" s="98" t="str">
        <f t="shared" si="218"/>
        <v/>
      </c>
    </row>
    <row r="548" spans="2:72" x14ac:dyDescent="0.25">
      <c r="B548" s="60" t="str">
        <f t="shared" si="231"/>
        <v/>
      </c>
      <c r="C548" s="3" t="str">
        <f t="shared" si="208"/>
        <v/>
      </c>
      <c r="D548" s="3" t="str">
        <f t="shared" si="209"/>
        <v/>
      </c>
      <c r="E548" s="3" t="str">
        <f t="shared" si="210"/>
        <v/>
      </c>
      <c r="F548" s="3" t="str">
        <f t="shared" si="211"/>
        <v/>
      </c>
      <c r="G548" s="74" t="str">
        <f t="shared" si="212"/>
        <v/>
      </c>
      <c r="H548" s="78" t="str">
        <f>IFERROR(C548/SUM(M$2:M547),"")</f>
        <v/>
      </c>
      <c r="I548" s="61" t="str">
        <f>IFERROR(D548/SUM(N$2:N548),"")</f>
        <v/>
      </c>
      <c r="J548" s="61" t="str">
        <f>IFERROR(E548/SUM(O$2:O548),"")</f>
        <v/>
      </c>
      <c r="K548" s="61" t="str">
        <f>IFERROR(F548/SUM(P$2:P548),"")</f>
        <v/>
      </c>
      <c r="L548" s="79" t="str">
        <f>IFERROR(G548/SUM(Q$2:Q548),"")</f>
        <v/>
      </c>
      <c r="M548" s="64" t="str">
        <f t="shared" si="213"/>
        <v/>
      </c>
      <c r="N548" s="55" t="str">
        <f t="shared" si="214"/>
        <v/>
      </c>
      <c r="O548" s="55" t="str">
        <f t="shared" si="215"/>
        <v/>
      </c>
      <c r="P548" s="55" t="str">
        <f t="shared" si="216"/>
        <v/>
      </c>
      <c r="Q548" s="65" t="str">
        <f t="shared" si="217"/>
        <v/>
      </c>
      <c r="R548" s="67" t="str">
        <f t="shared" si="219"/>
        <v/>
      </c>
      <c r="S548" s="56" t="str">
        <f t="shared" si="220"/>
        <v/>
      </c>
      <c r="T548" s="56" t="str">
        <f t="shared" si="221"/>
        <v/>
      </c>
      <c r="U548" s="56" t="str">
        <f t="shared" si="222"/>
        <v/>
      </c>
      <c r="V548" s="68" t="str">
        <f t="shared" si="223"/>
        <v/>
      </c>
      <c r="W548" s="80" t="str">
        <f t="shared" si="224"/>
        <v/>
      </c>
      <c r="X548" s="81" t="str">
        <f t="shared" si="225"/>
        <v/>
      </c>
      <c r="Y548" s="81" t="str">
        <f t="shared" si="226"/>
        <v/>
      </c>
      <c r="Z548" s="81" t="str">
        <f t="shared" si="227"/>
        <v/>
      </c>
      <c r="AA548" s="82" t="str">
        <f t="shared" si="228"/>
        <v/>
      </c>
      <c r="AB548" s="83" t="str">
        <f>IF(R548&lt;&gt;"",(W548-SUMPRODUCT(R$3:R548,$B$3:$B548)/SUM($B$3:$B548))/STDEVA(W538:W548),"")</f>
        <v/>
      </c>
      <c r="AC548" s="84" t="str">
        <f>IF(S548&lt;&gt;"",(X548-SUMPRODUCT(S$3:S548,$B$3:$B548)/SUM($B$3:$B548))/STDEVA(X538:X548),"")</f>
        <v/>
      </c>
      <c r="AD548" s="84" t="str">
        <f>IF(T548&lt;&gt;"",(Y548-SUMPRODUCT(T$3:T548,$B$3:$B548)/SUM($B$3:$B548))/STDEVA(Y538:Y548),"")</f>
        <v/>
      </c>
      <c r="AE548" s="84" t="str">
        <f>IF(U548&lt;&gt;"",(Z548-SUMPRODUCT(U$3:U548,$B$3:$B548)/SUM($B$3:$B548))/STDEVA(Z538:Z548),"")</f>
        <v/>
      </c>
      <c r="AF548" s="85" t="str">
        <f>IF(V548&lt;&gt;"",(AA548-SUMPRODUCT(V$3:V548,$B$3:$B548)/SUM($B$3:$B548))/STDEVA(AA538:AA548),"")</f>
        <v/>
      </c>
      <c r="AG548" s="90" t="str">
        <f t="shared" si="230"/>
        <v/>
      </c>
      <c r="AH548" s="90" t="str">
        <f t="shared" si="230"/>
        <v/>
      </c>
      <c r="AI548" s="90" t="str">
        <f t="shared" si="230"/>
        <v/>
      </c>
      <c r="AJ548" s="90" t="str">
        <f t="shared" si="229"/>
        <v/>
      </c>
      <c r="AK548" s="93" t="str">
        <f t="shared" si="229"/>
        <v/>
      </c>
      <c r="BQ548" s="100" t="str">
        <f>IF(A548&lt;&gt;"",(VLOOKUP(A548,MarketData!$D:$BP,MATCH($BQ$1,MarketData!$D$1:$EG$1,0),TRUE)/100/365+1)^(B548)*BQ547,"")</f>
        <v/>
      </c>
      <c r="BR548" s="98" t="str">
        <f t="shared" si="207"/>
        <v/>
      </c>
      <c r="BS548" s="106" t="str">
        <f>IF(A548&lt;&gt;"",VLOOKUP(A548,MarketData!$D:$BP,MATCH($BS$1,MarketData!$D$1:$EG$1,0),TRUE),"")</f>
        <v/>
      </c>
      <c r="BT548" s="98" t="str">
        <f t="shared" si="218"/>
        <v/>
      </c>
    </row>
    <row r="549" spans="2:72" x14ac:dyDescent="0.25">
      <c r="B549" s="60" t="str">
        <f t="shared" si="231"/>
        <v/>
      </c>
      <c r="C549" s="3" t="str">
        <f t="shared" si="208"/>
        <v/>
      </c>
      <c r="D549" s="3" t="str">
        <f t="shared" si="209"/>
        <v/>
      </c>
      <c r="E549" s="3" t="str">
        <f t="shared" si="210"/>
        <v/>
      </c>
      <c r="F549" s="3" t="str">
        <f t="shared" si="211"/>
        <v/>
      </c>
      <c r="G549" s="74" t="str">
        <f t="shared" si="212"/>
        <v/>
      </c>
      <c r="H549" s="78" t="str">
        <f>IFERROR(C549/SUM(M$2:M548),"")</f>
        <v/>
      </c>
      <c r="I549" s="61" t="str">
        <f>IFERROR(D549/SUM(N$2:N549),"")</f>
        <v/>
      </c>
      <c r="J549" s="61" t="str">
        <f>IFERROR(E549/SUM(O$2:O549),"")</f>
        <v/>
      </c>
      <c r="K549" s="61" t="str">
        <f>IFERROR(F549/SUM(P$2:P549),"")</f>
        <v/>
      </c>
      <c r="L549" s="79" t="str">
        <f>IFERROR(G549/SUM(Q$2:Q549),"")</f>
        <v/>
      </c>
      <c r="M549" s="64" t="str">
        <f t="shared" si="213"/>
        <v/>
      </c>
      <c r="N549" s="55" t="str">
        <f t="shared" si="214"/>
        <v/>
      </c>
      <c r="O549" s="55" t="str">
        <f t="shared" si="215"/>
        <v/>
      </c>
      <c r="P549" s="55" t="str">
        <f t="shared" si="216"/>
        <v/>
      </c>
      <c r="Q549" s="65" t="str">
        <f t="shared" si="217"/>
        <v/>
      </c>
      <c r="R549" s="67" t="str">
        <f t="shared" si="219"/>
        <v/>
      </c>
      <c r="S549" s="56" t="str">
        <f t="shared" si="220"/>
        <v/>
      </c>
      <c r="T549" s="56" t="str">
        <f t="shared" si="221"/>
        <v/>
      </c>
      <c r="U549" s="56" t="str">
        <f t="shared" si="222"/>
        <v/>
      </c>
      <c r="V549" s="68" t="str">
        <f t="shared" si="223"/>
        <v/>
      </c>
      <c r="W549" s="80" t="str">
        <f t="shared" si="224"/>
        <v/>
      </c>
      <c r="X549" s="81" t="str">
        <f t="shared" si="225"/>
        <v/>
      </c>
      <c r="Y549" s="81" t="str">
        <f t="shared" si="226"/>
        <v/>
      </c>
      <c r="Z549" s="81" t="str">
        <f t="shared" si="227"/>
        <v/>
      </c>
      <c r="AA549" s="82" t="str">
        <f t="shared" si="228"/>
        <v/>
      </c>
      <c r="AB549" s="83" t="str">
        <f>IF(R549&lt;&gt;"",(W549-SUMPRODUCT(R$3:R549,$B$3:$B549)/SUM($B$3:$B549))/STDEVA(W539:W549),"")</f>
        <v/>
      </c>
      <c r="AC549" s="84" t="str">
        <f>IF(S549&lt;&gt;"",(X549-SUMPRODUCT(S$3:S549,$B$3:$B549)/SUM($B$3:$B549))/STDEVA(X539:X549),"")</f>
        <v/>
      </c>
      <c r="AD549" s="84" t="str">
        <f>IF(T549&lt;&gt;"",(Y549-SUMPRODUCT(T$3:T549,$B$3:$B549)/SUM($B$3:$B549))/STDEVA(Y539:Y549),"")</f>
        <v/>
      </c>
      <c r="AE549" s="84" t="str">
        <f>IF(U549&lt;&gt;"",(Z549-SUMPRODUCT(U$3:U549,$B$3:$B549)/SUM($B$3:$B549))/STDEVA(Z539:Z549),"")</f>
        <v/>
      </c>
      <c r="AF549" s="85" t="str">
        <f>IF(V549&lt;&gt;"",(AA549-SUMPRODUCT(V$3:V549,$B$3:$B549)/SUM($B$3:$B549))/STDEVA(AA539:AA549),"")</f>
        <v/>
      </c>
      <c r="AG549" s="90" t="str">
        <f t="shared" si="230"/>
        <v/>
      </c>
      <c r="AH549" s="90" t="str">
        <f t="shared" si="230"/>
        <v/>
      </c>
      <c r="AI549" s="90" t="str">
        <f t="shared" si="230"/>
        <v/>
      </c>
      <c r="AJ549" s="90" t="str">
        <f t="shared" si="229"/>
        <v/>
      </c>
      <c r="AK549" s="93" t="str">
        <f t="shared" si="229"/>
        <v/>
      </c>
      <c r="BQ549" s="100" t="str">
        <f>IF(A549&lt;&gt;"",(VLOOKUP(A549,MarketData!$D:$BP,MATCH($BQ$1,MarketData!$D$1:$EG$1,0),TRUE)/100/365+1)^(B549)*BQ548,"")</f>
        <v/>
      </c>
      <c r="BR549" s="98" t="str">
        <f t="shared" si="207"/>
        <v/>
      </c>
      <c r="BS549" s="106" t="str">
        <f>IF(A549&lt;&gt;"",VLOOKUP(A549,MarketData!$D:$BP,MATCH($BS$1,MarketData!$D$1:$EG$1,0),TRUE),"")</f>
        <v/>
      </c>
      <c r="BT549" s="98" t="str">
        <f t="shared" si="218"/>
        <v/>
      </c>
    </row>
    <row r="550" spans="2:72" x14ac:dyDescent="0.25">
      <c r="B550" s="60" t="str">
        <f t="shared" si="231"/>
        <v/>
      </c>
      <c r="C550" s="3" t="str">
        <f t="shared" si="208"/>
        <v/>
      </c>
      <c r="D550" s="3" t="str">
        <f t="shared" si="209"/>
        <v/>
      </c>
      <c r="E550" s="3" t="str">
        <f t="shared" si="210"/>
        <v/>
      </c>
      <c r="F550" s="3" t="str">
        <f t="shared" si="211"/>
        <v/>
      </c>
      <c r="G550" s="74" t="str">
        <f t="shared" si="212"/>
        <v/>
      </c>
      <c r="H550" s="78" t="str">
        <f>IFERROR(C550/SUM(M$2:M549),"")</f>
        <v/>
      </c>
      <c r="I550" s="61" t="str">
        <f>IFERROR(D550/SUM(N$2:N550),"")</f>
        <v/>
      </c>
      <c r="J550" s="61" t="str">
        <f>IFERROR(E550/SUM(O$2:O550),"")</f>
        <v/>
      </c>
      <c r="K550" s="61" t="str">
        <f>IFERROR(F550/SUM(P$2:P550),"")</f>
        <v/>
      </c>
      <c r="L550" s="79" t="str">
        <f>IFERROR(G550/SUM(Q$2:Q550),"")</f>
        <v/>
      </c>
      <c r="M550" s="64" t="str">
        <f t="shared" si="213"/>
        <v/>
      </c>
      <c r="N550" s="55" t="str">
        <f t="shared" si="214"/>
        <v/>
      </c>
      <c r="O550" s="55" t="str">
        <f t="shared" si="215"/>
        <v/>
      </c>
      <c r="P550" s="55" t="str">
        <f t="shared" si="216"/>
        <v/>
      </c>
      <c r="Q550" s="65" t="str">
        <f t="shared" si="217"/>
        <v/>
      </c>
      <c r="R550" s="67" t="str">
        <f t="shared" si="219"/>
        <v/>
      </c>
      <c r="S550" s="56" t="str">
        <f t="shared" si="220"/>
        <v/>
      </c>
      <c r="T550" s="56" t="str">
        <f t="shared" si="221"/>
        <v/>
      </c>
      <c r="U550" s="56" t="str">
        <f t="shared" si="222"/>
        <v/>
      </c>
      <c r="V550" s="68" t="str">
        <f t="shared" si="223"/>
        <v/>
      </c>
      <c r="W550" s="80" t="str">
        <f t="shared" si="224"/>
        <v/>
      </c>
      <c r="X550" s="81" t="str">
        <f t="shared" si="225"/>
        <v/>
      </c>
      <c r="Y550" s="81" t="str">
        <f t="shared" si="226"/>
        <v/>
      </c>
      <c r="Z550" s="81" t="str">
        <f t="shared" si="227"/>
        <v/>
      </c>
      <c r="AA550" s="82" t="str">
        <f t="shared" si="228"/>
        <v/>
      </c>
      <c r="AB550" s="83" t="str">
        <f>IF(R550&lt;&gt;"",(W550-SUMPRODUCT(R$3:R550,$B$3:$B550)/SUM($B$3:$B550))/STDEVA(W540:W550),"")</f>
        <v/>
      </c>
      <c r="AC550" s="84" t="str">
        <f>IF(S550&lt;&gt;"",(X550-SUMPRODUCT(S$3:S550,$B$3:$B550)/SUM($B$3:$B550))/STDEVA(X540:X550),"")</f>
        <v/>
      </c>
      <c r="AD550" s="84" t="str">
        <f>IF(T550&lt;&gt;"",(Y550-SUMPRODUCT(T$3:T550,$B$3:$B550)/SUM($B$3:$B550))/STDEVA(Y540:Y550),"")</f>
        <v/>
      </c>
      <c r="AE550" s="84" t="str">
        <f>IF(U550&lt;&gt;"",(Z550-SUMPRODUCT(U$3:U550,$B$3:$B550)/SUM($B$3:$B550))/STDEVA(Z540:Z550),"")</f>
        <v/>
      </c>
      <c r="AF550" s="85" t="str">
        <f>IF(V550&lt;&gt;"",(AA550-SUMPRODUCT(V$3:V550,$B$3:$B550)/SUM($B$3:$B550))/STDEVA(AA540:AA550),"")</f>
        <v/>
      </c>
      <c r="AG550" s="90" t="str">
        <f t="shared" si="230"/>
        <v/>
      </c>
      <c r="AH550" s="90" t="str">
        <f t="shared" si="230"/>
        <v/>
      </c>
      <c r="AI550" s="90" t="str">
        <f t="shared" si="230"/>
        <v/>
      </c>
      <c r="AJ550" s="90" t="str">
        <f t="shared" si="229"/>
        <v/>
      </c>
      <c r="AK550" s="93" t="str">
        <f t="shared" si="229"/>
        <v/>
      </c>
      <c r="BQ550" s="100" t="str">
        <f>IF(A550&lt;&gt;"",(VLOOKUP(A550,MarketData!$D:$BP,MATCH($BQ$1,MarketData!$D$1:$EG$1,0),TRUE)/100/365+1)^(B550)*BQ549,"")</f>
        <v/>
      </c>
      <c r="BR550" s="98" t="str">
        <f t="shared" si="207"/>
        <v/>
      </c>
      <c r="BS550" s="106" t="str">
        <f>IF(A550&lt;&gt;"",VLOOKUP(A550,MarketData!$D:$BP,MATCH($BS$1,MarketData!$D$1:$EG$1,0),TRUE),"")</f>
        <v/>
      </c>
      <c r="BT550" s="98" t="str">
        <f t="shared" si="218"/>
        <v/>
      </c>
    </row>
    <row r="551" spans="2:72" x14ac:dyDescent="0.25">
      <c r="B551" s="60" t="str">
        <f t="shared" si="231"/>
        <v/>
      </c>
      <c r="C551" s="3" t="str">
        <f t="shared" si="208"/>
        <v/>
      </c>
      <c r="D551" s="3" t="str">
        <f t="shared" si="209"/>
        <v/>
      </c>
      <c r="E551" s="3" t="str">
        <f t="shared" si="210"/>
        <v/>
      </c>
      <c r="F551" s="3" t="str">
        <f t="shared" si="211"/>
        <v/>
      </c>
      <c r="G551" s="74" t="str">
        <f t="shared" si="212"/>
        <v/>
      </c>
      <c r="H551" s="78" t="str">
        <f>IFERROR(C551/SUM(M$2:M550),"")</f>
        <v/>
      </c>
      <c r="I551" s="61" t="str">
        <f>IFERROR(D551/SUM(N$2:N551),"")</f>
        <v/>
      </c>
      <c r="J551" s="61" t="str">
        <f>IFERROR(E551/SUM(O$2:O551),"")</f>
        <v/>
      </c>
      <c r="K551" s="61" t="str">
        <f>IFERROR(F551/SUM(P$2:P551),"")</f>
        <v/>
      </c>
      <c r="L551" s="79" t="str">
        <f>IFERROR(G551/SUM(Q$2:Q551),"")</f>
        <v/>
      </c>
      <c r="M551" s="64" t="str">
        <f t="shared" si="213"/>
        <v/>
      </c>
      <c r="N551" s="55" t="str">
        <f t="shared" si="214"/>
        <v/>
      </c>
      <c r="O551" s="55" t="str">
        <f t="shared" si="215"/>
        <v/>
      </c>
      <c r="P551" s="55" t="str">
        <f t="shared" si="216"/>
        <v/>
      </c>
      <c r="Q551" s="65" t="str">
        <f t="shared" si="217"/>
        <v/>
      </c>
      <c r="R551" s="67" t="str">
        <f t="shared" si="219"/>
        <v/>
      </c>
      <c r="S551" s="56" t="str">
        <f t="shared" si="220"/>
        <v/>
      </c>
      <c r="T551" s="56" t="str">
        <f t="shared" si="221"/>
        <v/>
      </c>
      <c r="U551" s="56" t="str">
        <f t="shared" si="222"/>
        <v/>
      </c>
      <c r="V551" s="68" t="str">
        <f t="shared" si="223"/>
        <v/>
      </c>
      <c r="W551" s="80" t="str">
        <f t="shared" si="224"/>
        <v/>
      </c>
      <c r="X551" s="81" t="str">
        <f t="shared" si="225"/>
        <v/>
      </c>
      <c r="Y551" s="81" t="str">
        <f t="shared" si="226"/>
        <v/>
      </c>
      <c r="Z551" s="81" t="str">
        <f t="shared" si="227"/>
        <v/>
      </c>
      <c r="AA551" s="82" t="str">
        <f t="shared" si="228"/>
        <v/>
      </c>
      <c r="AB551" s="83" t="str">
        <f>IF(R551&lt;&gt;"",(W551-SUMPRODUCT(R$3:R551,$B$3:$B551)/SUM($B$3:$B551))/STDEVA(W541:W551),"")</f>
        <v/>
      </c>
      <c r="AC551" s="84" t="str">
        <f>IF(S551&lt;&gt;"",(X551-SUMPRODUCT(S$3:S551,$B$3:$B551)/SUM($B$3:$B551))/STDEVA(X541:X551),"")</f>
        <v/>
      </c>
      <c r="AD551" s="84" t="str">
        <f>IF(T551&lt;&gt;"",(Y551-SUMPRODUCT(T$3:T551,$B$3:$B551)/SUM($B$3:$B551))/STDEVA(Y541:Y551),"")</f>
        <v/>
      </c>
      <c r="AE551" s="84" t="str">
        <f>IF(U551&lt;&gt;"",(Z551-SUMPRODUCT(U$3:U551,$B$3:$B551)/SUM($B$3:$B551))/STDEVA(Z541:Z551),"")</f>
        <v/>
      </c>
      <c r="AF551" s="85" t="str">
        <f>IF(V551&lt;&gt;"",(AA551-SUMPRODUCT(V$3:V551,$B$3:$B551)/SUM($B$3:$B551))/STDEVA(AA541:AA551),"")</f>
        <v/>
      </c>
      <c r="AG551" s="90" t="str">
        <f t="shared" si="230"/>
        <v/>
      </c>
      <c r="AH551" s="90" t="str">
        <f t="shared" si="230"/>
        <v/>
      </c>
      <c r="AI551" s="90" t="str">
        <f t="shared" si="230"/>
        <v/>
      </c>
      <c r="AJ551" s="90" t="str">
        <f t="shared" si="229"/>
        <v/>
      </c>
      <c r="AK551" s="93" t="str">
        <f t="shared" si="229"/>
        <v/>
      </c>
      <c r="BQ551" s="100" t="str">
        <f>IF(A551&lt;&gt;"",(VLOOKUP(A551,MarketData!$D:$BP,MATCH($BQ$1,MarketData!$D$1:$EG$1,0),TRUE)/100/365+1)^(B551)*BQ550,"")</f>
        <v/>
      </c>
      <c r="BR551" s="98" t="str">
        <f t="shared" si="207"/>
        <v/>
      </c>
      <c r="BS551" s="106" t="str">
        <f>IF(A551&lt;&gt;"",VLOOKUP(A551,MarketData!$D:$BP,MATCH($BS$1,MarketData!$D$1:$EG$1,0),TRUE),"")</f>
        <v/>
      </c>
      <c r="BT551" s="98" t="str">
        <f t="shared" si="218"/>
        <v/>
      </c>
    </row>
    <row r="552" spans="2:72" x14ac:dyDescent="0.25">
      <c r="B552" s="60" t="str">
        <f t="shared" si="231"/>
        <v/>
      </c>
      <c r="C552" s="3" t="str">
        <f t="shared" si="208"/>
        <v/>
      </c>
      <c r="D552" s="3" t="str">
        <f t="shared" si="209"/>
        <v/>
      </c>
      <c r="E552" s="3" t="str">
        <f t="shared" si="210"/>
        <v/>
      </c>
      <c r="F552" s="3" t="str">
        <f t="shared" si="211"/>
        <v/>
      </c>
      <c r="G552" s="74" t="str">
        <f t="shared" si="212"/>
        <v/>
      </c>
      <c r="H552" s="78" t="str">
        <f>IFERROR(C552/SUM(M$2:M551),"")</f>
        <v/>
      </c>
      <c r="I552" s="61" t="str">
        <f>IFERROR(D552/SUM(N$2:N552),"")</f>
        <v/>
      </c>
      <c r="J552" s="61" t="str">
        <f>IFERROR(E552/SUM(O$2:O552),"")</f>
        <v/>
      </c>
      <c r="K552" s="61" t="str">
        <f>IFERROR(F552/SUM(P$2:P552),"")</f>
        <v/>
      </c>
      <c r="L552" s="79" t="str">
        <f>IFERROR(G552/SUM(Q$2:Q552),"")</f>
        <v/>
      </c>
      <c r="M552" s="64" t="str">
        <f t="shared" si="213"/>
        <v/>
      </c>
      <c r="N552" s="55" t="str">
        <f t="shared" si="214"/>
        <v/>
      </c>
      <c r="O552" s="55" t="str">
        <f t="shared" si="215"/>
        <v/>
      </c>
      <c r="P552" s="55" t="str">
        <f t="shared" si="216"/>
        <v/>
      </c>
      <c r="Q552" s="65" t="str">
        <f t="shared" si="217"/>
        <v/>
      </c>
      <c r="R552" s="67" t="str">
        <f t="shared" si="219"/>
        <v/>
      </c>
      <c r="S552" s="56" t="str">
        <f t="shared" si="220"/>
        <v/>
      </c>
      <c r="T552" s="56" t="str">
        <f t="shared" si="221"/>
        <v/>
      </c>
      <c r="U552" s="56" t="str">
        <f t="shared" si="222"/>
        <v/>
      </c>
      <c r="V552" s="68" t="str">
        <f t="shared" si="223"/>
        <v/>
      </c>
      <c r="W552" s="80" t="str">
        <f t="shared" si="224"/>
        <v/>
      </c>
      <c r="X552" s="81" t="str">
        <f t="shared" si="225"/>
        <v/>
      </c>
      <c r="Y552" s="81" t="str">
        <f t="shared" si="226"/>
        <v/>
      </c>
      <c r="Z552" s="81" t="str">
        <f t="shared" si="227"/>
        <v/>
      </c>
      <c r="AA552" s="82" t="str">
        <f t="shared" si="228"/>
        <v/>
      </c>
      <c r="AB552" s="83" t="str">
        <f>IF(R552&lt;&gt;"",(W552-SUMPRODUCT(R$3:R552,$B$3:$B552)/SUM($B$3:$B552))/STDEVA(W542:W552),"")</f>
        <v/>
      </c>
      <c r="AC552" s="84" t="str">
        <f>IF(S552&lt;&gt;"",(X552-SUMPRODUCT(S$3:S552,$B$3:$B552)/SUM($B$3:$B552))/STDEVA(X542:X552),"")</f>
        <v/>
      </c>
      <c r="AD552" s="84" t="str">
        <f>IF(T552&lt;&gt;"",(Y552-SUMPRODUCT(T$3:T552,$B$3:$B552)/SUM($B$3:$B552))/STDEVA(Y542:Y552),"")</f>
        <v/>
      </c>
      <c r="AE552" s="84" t="str">
        <f>IF(U552&lt;&gt;"",(Z552-SUMPRODUCT(U$3:U552,$B$3:$B552)/SUM($B$3:$B552))/STDEVA(Z542:Z552),"")</f>
        <v/>
      </c>
      <c r="AF552" s="85" t="str">
        <f>IF(V552&lt;&gt;"",(AA552-SUMPRODUCT(V$3:V552,$B$3:$B552)/SUM($B$3:$B552))/STDEVA(AA542:AA552),"")</f>
        <v/>
      </c>
      <c r="AG552" s="90" t="str">
        <f t="shared" si="230"/>
        <v/>
      </c>
      <c r="AH552" s="90" t="str">
        <f t="shared" si="230"/>
        <v/>
      </c>
      <c r="AI552" s="90" t="str">
        <f t="shared" si="230"/>
        <v/>
      </c>
      <c r="AJ552" s="90" t="str">
        <f t="shared" si="229"/>
        <v/>
      </c>
      <c r="AK552" s="93" t="str">
        <f t="shared" si="229"/>
        <v/>
      </c>
      <c r="BQ552" s="100" t="str">
        <f>IF(A552&lt;&gt;"",(VLOOKUP(A552,MarketData!$D:$BP,MATCH($BQ$1,MarketData!$D$1:$EG$1,0),TRUE)/100/365+1)^(B552)*BQ551,"")</f>
        <v/>
      </c>
      <c r="BR552" s="98" t="str">
        <f t="shared" si="207"/>
        <v/>
      </c>
      <c r="BS552" s="106" t="str">
        <f>IF(A552&lt;&gt;"",VLOOKUP(A552,MarketData!$D:$BP,MATCH($BS$1,MarketData!$D$1:$EG$1,0),TRUE),"")</f>
        <v/>
      </c>
      <c r="BT552" s="98" t="str">
        <f t="shared" si="218"/>
        <v/>
      </c>
    </row>
    <row r="553" spans="2:72" x14ac:dyDescent="0.25">
      <c r="B553" s="60" t="str">
        <f t="shared" si="231"/>
        <v/>
      </c>
      <c r="C553" s="3" t="str">
        <f t="shared" si="208"/>
        <v/>
      </c>
      <c r="D553" s="3" t="str">
        <f t="shared" si="209"/>
        <v/>
      </c>
      <c r="E553" s="3" t="str">
        <f t="shared" si="210"/>
        <v/>
      </c>
      <c r="F553" s="3" t="str">
        <f t="shared" si="211"/>
        <v/>
      </c>
      <c r="G553" s="74" t="str">
        <f t="shared" si="212"/>
        <v/>
      </c>
      <c r="H553" s="78" t="str">
        <f>IFERROR(C553/SUM(M$2:M552),"")</f>
        <v/>
      </c>
      <c r="I553" s="61" t="str">
        <f>IFERROR(D553/SUM(N$2:N553),"")</f>
        <v/>
      </c>
      <c r="J553" s="61" t="str">
        <f>IFERROR(E553/SUM(O$2:O553),"")</f>
        <v/>
      </c>
      <c r="K553" s="61" t="str">
        <f>IFERROR(F553/SUM(P$2:P553),"")</f>
        <v/>
      </c>
      <c r="L553" s="79" t="str">
        <f>IFERROR(G553/SUM(Q$2:Q553),"")</f>
        <v/>
      </c>
      <c r="M553" s="64" t="str">
        <f t="shared" si="213"/>
        <v/>
      </c>
      <c r="N553" s="55" t="str">
        <f t="shared" si="214"/>
        <v/>
      </c>
      <c r="O553" s="55" t="str">
        <f t="shared" si="215"/>
        <v/>
      </c>
      <c r="P553" s="55" t="str">
        <f t="shared" si="216"/>
        <v/>
      </c>
      <c r="Q553" s="65" t="str">
        <f t="shared" si="217"/>
        <v/>
      </c>
      <c r="R553" s="67" t="str">
        <f t="shared" si="219"/>
        <v/>
      </c>
      <c r="S553" s="56" t="str">
        <f t="shared" si="220"/>
        <v/>
      </c>
      <c r="T553" s="56" t="str">
        <f t="shared" si="221"/>
        <v/>
      </c>
      <c r="U553" s="56" t="str">
        <f t="shared" si="222"/>
        <v/>
      </c>
      <c r="V553" s="68" t="str">
        <f t="shared" si="223"/>
        <v/>
      </c>
      <c r="W553" s="80" t="str">
        <f t="shared" si="224"/>
        <v/>
      </c>
      <c r="X553" s="81" t="str">
        <f t="shared" si="225"/>
        <v/>
      </c>
      <c r="Y553" s="81" t="str">
        <f t="shared" si="226"/>
        <v/>
      </c>
      <c r="Z553" s="81" t="str">
        <f t="shared" si="227"/>
        <v/>
      </c>
      <c r="AA553" s="82" t="str">
        <f t="shared" si="228"/>
        <v/>
      </c>
      <c r="AB553" s="83" t="str">
        <f>IF(R553&lt;&gt;"",(W553-SUMPRODUCT(R$3:R553,$B$3:$B553)/SUM($B$3:$B553))/STDEVA(W543:W553),"")</f>
        <v/>
      </c>
      <c r="AC553" s="84" t="str">
        <f>IF(S553&lt;&gt;"",(X553-SUMPRODUCT(S$3:S553,$B$3:$B553)/SUM($B$3:$B553))/STDEVA(X543:X553),"")</f>
        <v/>
      </c>
      <c r="AD553" s="84" t="str">
        <f>IF(T553&lt;&gt;"",(Y553-SUMPRODUCT(T$3:T553,$B$3:$B553)/SUM($B$3:$B553))/STDEVA(Y543:Y553),"")</f>
        <v/>
      </c>
      <c r="AE553" s="84" t="str">
        <f>IF(U553&lt;&gt;"",(Z553-SUMPRODUCT(U$3:U553,$B$3:$B553)/SUM($B$3:$B553))/STDEVA(Z543:Z553),"")</f>
        <v/>
      </c>
      <c r="AF553" s="85" t="str">
        <f>IF(V553&lt;&gt;"",(AA553-SUMPRODUCT(V$3:V553,$B$3:$B553)/SUM($B$3:$B553))/STDEVA(AA543:AA553),"")</f>
        <v/>
      </c>
      <c r="AG553" s="90" t="str">
        <f t="shared" si="230"/>
        <v/>
      </c>
      <c r="AH553" s="90" t="str">
        <f t="shared" si="230"/>
        <v/>
      </c>
      <c r="AI553" s="90" t="str">
        <f t="shared" si="230"/>
        <v/>
      </c>
      <c r="AJ553" s="90" t="str">
        <f t="shared" si="229"/>
        <v/>
      </c>
      <c r="AK553" s="93" t="str">
        <f t="shared" si="229"/>
        <v/>
      </c>
      <c r="BQ553" s="100" t="str">
        <f>IF(A553&lt;&gt;"",(VLOOKUP(A553,MarketData!$D:$BP,MATCH($BQ$1,MarketData!$D$1:$EG$1,0),TRUE)/100/365+1)^(B553)*BQ552,"")</f>
        <v/>
      </c>
      <c r="BR553" s="98" t="str">
        <f t="shared" si="207"/>
        <v/>
      </c>
      <c r="BS553" s="106" t="str">
        <f>IF(A553&lt;&gt;"",VLOOKUP(A553,MarketData!$D:$BP,MATCH($BS$1,MarketData!$D$1:$EG$1,0),TRUE),"")</f>
        <v/>
      </c>
      <c r="BT553" s="98" t="str">
        <f t="shared" si="218"/>
        <v/>
      </c>
    </row>
    <row r="554" spans="2:72" x14ac:dyDescent="0.25">
      <c r="B554" s="60" t="str">
        <f t="shared" si="231"/>
        <v/>
      </c>
      <c r="C554" s="3" t="str">
        <f t="shared" si="208"/>
        <v/>
      </c>
      <c r="D554" s="3" t="str">
        <f t="shared" si="209"/>
        <v/>
      </c>
      <c r="E554" s="3" t="str">
        <f t="shared" si="210"/>
        <v/>
      </c>
      <c r="F554" s="3" t="str">
        <f t="shared" si="211"/>
        <v/>
      </c>
      <c r="G554" s="74" t="str">
        <f t="shared" si="212"/>
        <v/>
      </c>
      <c r="H554" s="78" t="str">
        <f>IFERROR(C554/SUM(M$2:M553),"")</f>
        <v/>
      </c>
      <c r="I554" s="61" t="str">
        <f>IFERROR(D554/SUM(N$2:N554),"")</f>
        <v/>
      </c>
      <c r="J554" s="61" t="str">
        <f>IFERROR(E554/SUM(O$2:O554),"")</f>
        <v/>
      </c>
      <c r="K554" s="61" t="str">
        <f>IFERROR(F554/SUM(P$2:P554),"")</f>
        <v/>
      </c>
      <c r="L554" s="79" t="str">
        <f>IFERROR(G554/SUM(Q$2:Q554),"")</f>
        <v/>
      </c>
      <c r="M554" s="64" t="str">
        <f t="shared" si="213"/>
        <v/>
      </c>
      <c r="N554" s="55" t="str">
        <f t="shared" si="214"/>
        <v/>
      </c>
      <c r="O554" s="55" t="str">
        <f t="shared" si="215"/>
        <v/>
      </c>
      <c r="P554" s="55" t="str">
        <f t="shared" si="216"/>
        <v/>
      </c>
      <c r="Q554" s="65" t="str">
        <f t="shared" si="217"/>
        <v/>
      </c>
      <c r="R554" s="67" t="str">
        <f t="shared" si="219"/>
        <v/>
      </c>
      <c r="S554" s="56" t="str">
        <f t="shared" si="220"/>
        <v/>
      </c>
      <c r="T554" s="56" t="str">
        <f t="shared" si="221"/>
        <v/>
      </c>
      <c r="U554" s="56" t="str">
        <f t="shared" si="222"/>
        <v/>
      </c>
      <c r="V554" s="68" t="str">
        <f t="shared" si="223"/>
        <v/>
      </c>
      <c r="W554" s="80" t="str">
        <f t="shared" si="224"/>
        <v/>
      </c>
      <c r="X554" s="81" t="str">
        <f t="shared" si="225"/>
        <v/>
      </c>
      <c r="Y554" s="81" t="str">
        <f t="shared" si="226"/>
        <v/>
      </c>
      <c r="Z554" s="81" t="str">
        <f t="shared" si="227"/>
        <v/>
      </c>
      <c r="AA554" s="82" t="str">
        <f t="shared" si="228"/>
        <v/>
      </c>
      <c r="AB554" s="83" t="str">
        <f>IF(R554&lt;&gt;"",(W554-SUMPRODUCT(R$3:R554,$B$3:$B554)/SUM($B$3:$B554))/STDEVA(W544:W554),"")</f>
        <v/>
      </c>
      <c r="AC554" s="84" t="str">
        <f>IF(S554&lt;&gt;"",(X554-SUMPRODUCT(S$3:S554,$B$3:$B554)/SUM($B$3:$B554))/STDEVA(X544:X554),"")</f>
        <v/>
      </c>
      <c r="AD554" s="84" t="str">
        <f>IF(T554&lt;&gt;"",(Y554-SUMPRODUCT(T$3:T554,$B$3:$B554)/SUM($B$3:$B554))/STDEVA(Y544:Y554),"")</f>
        <v/>
      </c>
      <c r="AE554" s="84" t="str">
        <f>IF(U554&lt;&gt;"",(Z554-SUMPRODUCT(U$3:U554,$B$3:$B554)/SUM($B$3:$B554))/STDEVA(Z544:Z554),"")</f>
        <v/>
      </c>
      <c r="AF554" s="85" t="str">
        <f>IF(V554&lt;&gt;"",(AA554-SUMPRODUCT(V$3:V554,$B$3:$B554)/SUM($B$3:$B554))/STDEVA(AA544:AA554),"")</f>
        <v/>
      </c>
      <c r="AG554" s="90" t="str">
        <f t="shared" si="230"/>
        <v/>
      </c>
      <c r="AH554" s="90" t="str">
        <f t="shared" si="230"/>
        <v/>
      </c>
      <c r="AI554" s="90" t="str">
        <f t="shared" si="230"/>
        <v/>
      </c>
      <c r="AJ554" s="90" t="str">
        <f t="shared" si="229"/>
        <v/>
      </c>
      <c r="AK554" s="93" t="str">
        <f t="shared" si="229"/>
        <v/>
      </c>
      <c r="BQ554" s="100" t="str">
        <f>IF(A554&lt;&gt;"",(VLOOKUP(A554,MarketData!$D:$BP,MATCH($BQ$1,MarketData!$D$1:$EG$1,0),TRUE)/100/365+1)^(B554)*BQ553,"")</f>
        <v/>
      </c>
      <c r="BR554" s="98" t="str">
        <f t="shared" si="207"/>
        <v/>
      </c>
      <c r="BS554" s="106" t="str">
        <f>IF(A554&lt;&gt;"",VLOOKUP(A554,MarketData!$D:$BP,MATCH($BS$1,MarketData!$D$1:$EG$1,0),TRUE),"")</f>
        <v/>
      </c>
      <c r="BT554" s="98" t="str">
        <f t="shared" si="218"/>
        <v/>
      </c>
    </row>
    <row r="555" spans="2:72" x14ac:dyDescent="0.25">
      <c r="B555" s="60" t="str">
        <f t="shared" si="231"/>
        <v/>
      </c>
      <c r="C555" s="3" t="str">
        <f t="shared" si="208"/>
        <v/>
      </c>
      <c r="D555" s="3" t="str">
        <f t="shared" si="209"/>
        <v/>
      </c>
      <c r="E555" s="3" t="str">
        <f t="shared" si="210"/>
        <v/>
      </c>
      <c r="F555" s="3" t="str">
        <f t="shared" si="211"/>
        <v/>
      </c>
      <c r="G555" s="74" t="str">
        <f t="shared" si="212"/>
        <v/>
      </c>
      <c r="H555" s="78" t="str">
        <f>IFERROR(C555/SUM(M$2:M554),"")</f>
        <v/>
      </c>
      <c r="I555" s="61" t="str">
        <f>IFERROR(D555/SUM(N$2:N555),"")</f>
        <v/>
      </c>
      <c r="J555" s="61" t="str">
        <f>IFERROR(E555/SUM(O$2:O555),"")</f>
        <v/>
      </c>
      <c r="K555" s="61" t="str">
        <f>IFERROR(F555/SUM(P$2:P555),"")</f>
        <v/>
      </c>
      <c r="L555" s="79" t="str">
        <f>IFERROR(G555/SUM(Q$2:Q555),"")</f>
        <v/>
      </c>
      <c r="M555" s="64" t="str">
        <f t="shared" si="213"/>
        <v/>
      </c>
      <c r="N555" s="55" t="str">
        <f t="shared" si="214"/>
        <v/>
      </c>
      <c r="O555" s="55" t="str">
        <f t="shared" si="215"/>
        <v/>
      </c>
      <c r="P555" s="55" t="str">
        <f t="shared" si="216"/>
        <v/>
      </c>
      <c r="Q555" s="65" t="str">
        <f t="shared" si="217"/>
        <v/>
      </c>
      <c r="R555" s="67" t="str">
        <f t="shared" si="219"/>
        <v/>
      </c>
      <c r="S555" s="56" t="str">
        <f t="shared" si="220"/>
        <v/>
      </c>
      <c r="T555" s="56" t="str">
        <f t="shared" si="221"/>
        <v/>
      </c>
      <c r="U555" s="56" t="str">
        <f t="shared" si="222"/>
        <v/>
      </c>
      <c r="V555" s="68" t="str">
        <f t="shared" si="223"/>
        <v/>
      </c>
      <c r="W555" s="80" t="str">
        <f t="shared" si="224"/>
        <v/>
      </c>
      <c r="X555" s="81" t="str">
        <f t="shared" si="225"/>
        <v/>
      </c>
      <c r="Y555" s="81" t="str">
        <f t="shared" si="226"/>
        <v/>
      </c>
      <c r="Z555" s="81" t="str">
        <f t="shared" si="227"/>
        <v/>
      </c>
      <c r="AA555" s="82" t="str">
        <f t="shared" si="228"/>
        <v/>
      </c>
      <c r="AB555" s="83" t="str">
        <f>IF(R555&lt;&gt;"",(W555-SUMPRODUCT(R$3:R555,$B$3:$B555)/SUM($B$3:$B555))/STDEVA(W545:W555),"")</f>
        <v/>
      </c>
      <c r="AC555" s="84" t="str">
        <f>IF(S555&lt;&gt;"",(X555-SUMPRODUCT(S$3:S555,$B$3:$B555)/SUM($B$3:$B555))/STDEVA(X545:X555),"")</f>
        <v/>
      </c>
      <c r="AD555" s="84" t="str">
        <f>IF(T555&lt;&gt;"",(Y555-SUMPRODUCT(T$3:T555,$B$3:$B555)/SUM($B$3:$B555))/STDEVA(Y545:Y555),"")</f>
        <v/>
      </c>
      <c r="AE555" s="84" t="str">
        <f>IF(U555&lt;&gt;"",(Z555-SUMPRODUCT(U$3:U555,$B$3:$B555)/SUM($B$3:$B555))/STDEVA(Z545:Z555),"")</f>
        <v/>
      </c>
      <c r="AF555" s="85" t="str">
        <f>IF(V555&lt;&gt;"",(AA555-SUMPRODUCT(V$3:V555,$B$3:$B555)/SUM($B$3:$B555))/STDEVA(AA545:AA555),"")</f>
        <v/>
      </c>
      <c r="AG555" s="90" t="str">
        <f t="shared" si="230"/>
        <v/>
      </c>
      <c r="AH555" s="90" t="str">
        <f t="shared" si="230"/>
        <v/>
      </c>
      <c r="AI555" s="90" t="str">
        <f t="shared" si="230"/>
        <v/>
      </c>
      <c r="AJ555" s="90" t="str">
        <f t="shared" si="229"/>
        <v/>
      </c>
      <c r="AK555" s="93" t="str">
        <f t="shared" si="229"/>
        <v/>
      </c>
      <c r="BQ555" s="100" t="str">
        <f>IF(A555&lt;&gt;"",(VLOOKUP(A555,MarketData!$D:$BP,MATCH($BQ$1,MarketData!$D$1:$EG$1,0),TRUE)/100/365+1)^(B555)*BQ554,"")</f>
        <v/>
      </c>
      <c r="BR555" s="98" t="str">
        <f t="shared" si="207"/>
        <v/>
      </c>
      <c r="BS555" s="106" t="str">
        <f>IF(A555&lt;&gt;"",VLOOKUP(A555,MarketData!$D:$BP,MATCH($BS$1,MarketData!$D$1:$EG$1,0),TRUE),"")</f>
        <v/>
      </c>
      <c r="BT555" s="98" t="str">
        <f t="shared" si="218"/>
        <v/>
      </c>
    </row>
    <row r="556" spans="2:72" x14ac:dyDescent="0.25">
      <c r="B556" s="60" t="str">
        <f t="shared" si="231"/>
        <v/>
      </c>
      <c r="C556" s="3" t="str">
        <f t="shared" si="208"/>
        <v/>
      </c>
      <c r="D556" s="3" t="str">
        <f t="shared" si="209"/>
        <v/>
      </c>
      <c r="E556" s="3" t="str">
        <f t="shared" si="210"/>
        <v/>
      </c>
      <c r="F556" s="3" t="str">
        <f t="shared" si="211"/>
        <v/>
      </c>
      <c r="G556" s="74" t="str">
        <f t="shared" si="212"/>
        <v/>
      </c>
      <c r="H556" s="78" t="str">
        <f>IFERROR(C556/SUM(M$2:M555),"")</f>
        <v/>
      </c>
      <c r="I556" s="61" t="str">
        <f>IFERROR(D556/SUM(N$2:N556),"")</f>
        <v/>
      </c>
      <c r="J556" s="61" t="str">
        <f>IFERROR(E556/SUM(O$2:O556),"")</f>
        <v/>
      </c>
      <c r="K556" s="61" t="str">
        <f>IFERROR(F556/SUM(P$2:P556),"")</f>
        <v/>
      </c>
      <c r="L556" s="79" t="str">
        <f>IFERROR(G556/SUM(Q$2:Q556),"")</f>
        <v/>
      </c>
      <c r="M556" s="64" t="str">
        <f t="shared" si="213"/>
        <v/>
      </c>
      <c r="N556" s="55" t="str">
        <f t="shared" si="214"/>
        <v/>
      </c>
      <c r="O556" s="55" t="str">
        <f t="shared" si="215"/>
        <v/>
      </c>
      <c r="P556" s="55" t="str">
        <f t="shared" si="216"/>
        <v/>
      </c>
      <c r="Q556" s="65" t="str">
        <f t="shared" si="217"/>
        <v/>
      </c>
      <c r="R556" s="67" t="str">
        <f t="shared" si="219"/>
        <v/>
      </c>
      <c r="S556" s="56" t="str">
        <f t="shared" si="220"/>
        <v/>
      </c>
      <c r="T556" s="56" t="str">
        <f t="shared" si="221"/>
        <v/>
      </c>
      <c r="U556" s="56" t="str">
        <f t="shared" si="222"/>
        <v/>
      </c>
      <c r="V556" s="68" t="str">
        <f t="shared" si="223"/>
        <v/>
      </c>
      <c r="W556" s="80" t="str">
        <f t="shared" si="224"/>
        <v/>
      </c>
      <c r="X556" s="81" t="str">
        <f t="shared" si="225"/>
        <v/>
      </c>
      <c r="Y556" s="81" t="str">
        <f t="shared" si="226"/>
        <v/>
      </c>
      <c r="Z556" s="81" t="str">
        <f t="shared" si="227"/>
        <v/>
      </c>
      <c r="AA556" s="82" t="str">
        <f t="shared" si="228"/>
        <v/>
      </c>
      <c r="AB556" s="83" t="str">
        <f>IF(R556&lt;&gt;"",(W556-SUMPRODUCT(R$3:R556,$B$3:$B556)/SUM($B$3:$B556))/STDEVA(W546:W556),"")</f>
        <v/>
      </c>
      <c r="AC556" s="84" t="str">
        <f>IF(S556&lt;&gt;"",(X556-SUMPRODUCT(S$3:S556,$B$3:$B556)/SUM($B$3:$B556))/STDEVA(X546:X556),"")</f>
        <v/>
      </c>
      <c r="AD556" s="84" t="str">
        <f>IF(T556&lt;&gt;"",(Y556-SUMPRODUCT(T$3:T556,$B$3:$B556)/SUM($B$3:$B556))/STDEVA(Y546:Y556),"")</f>
        <v/>
      </c>
      <c r="AE556" s="84" t="str">
        <f>IF(U556&lt;&gt;"",(Z556-SUMPRODUCT(U$3:U556,$B$3:$B556)/SUM($B$3:$B556))/STDEVA(Z546:Z556),"")</f>
        <v/>
      </c>
      <c r="AF556" s="85" t="str">
        <f>IF(V556&lt;&gt;"",(AA556-SUMPRODUCT(V$3:V556,$B$3:$B556)/SUM($B$3:$B556))/STDEVA(AA546:AA556),"")</f>
        <v/>
      </c>
      <c r="AG556" s="90" t="str">
        <f t="shared" si="230"/>
        <v/>
      </c>
      <c r="AH556" s="90" t="str">
        <f t="shared" si="230"/>
        <v/>
      </c>
      <c r="AI556" s="90" t="str">
        <f t="shared" si="230"/>
        <v/>
      </c>
      <c r="AJ556" s="90" t="str">
        <f t="shared" si="229"/>
        <v/>
      </c>
      <c r="AK556" s="93" t="str">
        <f t="shared" si="229"/>
        <v/>
      </c>
      <c r="BQ556" s="100" t="str">
        <f>IF(A556&lt;&gt;"",(VLOOKUP(A556,MarketData!$D:$BP,MATCH($BQ$1,MarketData!$D$1:$EG$1,0),TRUE)/100/365+1)^(B556)*BQ555,"")</f>
        <v/>
      </c>
      <c r="BR556" s="98" t="str">
        <f t="shared" si="207"/>
        <v/>
      </c>
      <c r="BS556" s="106" t="str">
        <f>IF(A556&lt;&gt;"",VLOOKUP(A556,MarketData!$D:$BP,MATCH($BS$1,MarketData!$D$1:$EG$1,0),TRUE),"")</f>
        <v/>
      </c>
      <c r="BT556" s="98" t="str">
        <f t="shared" si="218"/>
        <v/>
      </c>
    </row>
    <row r="557" spans="2:72" x14ac:dyDescent="0.25">
      <c r="B557" s="60" t="str">
        <f t="shared" si="231"/>
        <v/>
      </c>
      <c r="C557" s="3" t="str">
        <f t="shared" si="208"/>
        <v/>
      </c>
      <c r="D557" s="3" t="str">
        <f t="shared" si="209"/>
        <v/>
      </c>
      <c r="E557" s="3" t="str">
        <f t="shared" si="210"/>
        <v/>
      </c>
      <c r="F557" s="3" t="str">
        <f t="shared" si="211"/>
        <v/>
      </c>
      <c r="G557" s="74" t="str">
        <f t="shared" si="212"/>
        <v/>
      </c>
      <c r="H557" s="78" t="str">
        <f>IFERROR(C557/SUM(M$2:M556),"")</f>
        <v/>
      </c>
      <c r="I557" s="61" t="str">
        <f>IFERROR(D557/SUM(N$2:N557),"")</f>
        <v/>
      </c>
      <c r="J557" s="61" t="str">
        <f>IFERROR(E557/SUM(O$2:O557),"")</f>
        <v/>
      </c>
      <c r="K557" s="61" t="str">
        <f>IFERROR(F557/SUM(P$2:P557),"")</f>
        <v/>
      </c>
      <c r="L557" s="79" t="str">
        <f>IFERROR(G557/SUM(Q$2:Q557),"")</f>
        <v/>
      </c>
      <c r="M557" s="64" t="str">
        <f t="shared" si="213"/>
        <v/>
      </c>
      <c r="N557" s="55" t="str">
        <f t="shared" si="214"/>
        <v/>
      </c>
      <c r="O557" s="55" t="str">
        <f t="shared" si="215"/>
        <v/>
      </c>
      <c r="P557" s="55" t="str">
        <f t="shared" si="216"/>
        <v/>
      </c>
      <c r="Q557" s="65" t="str">
        <f t="shared" si="217"/>
        <v/>
      </c>
      <c r="R557" s="67" t="str">
        <f t="shared" si="219"/>
        <v/>
      </c>
      <c r="S557" s="56" t="str">
        <f t="shared" si="220"/>
        <v/>
      </c>
      <c r="T557" s="56" t="str">
        <f t="shared" si="221"/>
        <v/>
      </c>
      <c r="U557" s="56" t="str">
        <f t="shared" si="222"/>
        <v/>
      </c>
      <c r="V557" s="68" t="str">
        <f t="shared" si="223"/>
        <v/>
      </c>
      <c r="W557" s="80" t="str">
        <f t="shared" si="224"/>
        <v/>
      </c>
      <c r="X557" s="81" t="str">
        <f t="shared" si="225"/>
        <v/>
      </c>
      <c r="Y557" s="81" t="str">
        <f t="shared" si="226"/>
        <v/>
      </c>
      <c r="Z557" s="81" t="str">
        <f t="shared" si="227"/>
        <v/>
      </c>
      <c r="AA557" s="82" t="str">
        <f t="shared" si="228"/>
        <v/>
      </c>
      <c r="AB557" s="83" t="str">
        <f>IF(R557&lt;&gt;"",(W557-SUMPRODUCT(R$3:R557,$B$3:$B557)/SUM($B$3:$B557))/STDEVA(W547:W557),"")</f>
        <v/>
      </c>
      <c r="AC557" s="84" t="str">
        <f>IF(S557&lt;&gt;"",(X557-SUMPRODUCT(S$3:S557,$B$3:$B557)/SUM($B$3:$B557))/STDEVA(X547:X557),"")</f>
        <v/>
      </c>
      <c r="AD557" s="84" t="str">
        <f>IF(T557&lt;&gt;"",(Y557-SUMPRODUCT(T$3:T557,$B$3:$B557)/SUM($B$3:$B557))/STDEVA(Y547:Y557),"")</f>
        <v/>
      </c>
      <c r="AE557" s="84" t="str">
        <f>IF(U557&lt;&gt;"",(Z557-SUMPRODUCT(U$3:U557,$B$3:$B557)/SUM($B$3:$B557))/STDEVA(Z547:Z557),"")</f>
        <v/>
      </c>
      <c r="AF557" s="85" t="str">
        <f>IF(V557&lt;&gt;"",(AA557-SUMPRODUCT(V$3:V557,$B$3:$B557)/SUM($B$3:$B557))/STDEVA(AA547:AA557),"")</f>
        <v/>
      </c>
      <c r="AG557" s="90" t="str">
        <f t="shared" si="230"/>
        <v/>
      </c>
      <c r="AH557" s="90" t="str">
        <f t="shared" si="230"/>
        <v/>
      </c>
      <c r="AI557" s="90" t="str">
        <f t="shared" si="230"/>
        <v/>
      </c>
      <c r="AJ557" s="90" t="str">
        <f t="shared" si="229"/>
        <v/>
      </c>
      <c r="AK557" s="93" t="str">
        <f t="shared" si="229"/>
        <v/>
      </c>
      <c r="BQ557" s="100" t="str">
        <f>IF(A557&lt;&gt;"",(VLOOKUP(A557,MarketData!$D:$BP,MATCH($BQ$1,MarketData!$D$1:$EG$1,0),TRUE)/100/365+1)^(B557)*BQ556,"")</f>
        <v/>
      </c>
      <c r="BR557" s="98" t="str">
        <f t="shared" si="207"/>
        <v/>
      </c>
      <c r="BS557" s="106" t="str">
        <f>IF(A557&lt;&gt;"",VLOOKUP(A557,MarketData!$D:$BP,MATCH($BS$1,MarketData!$D$1:$EG$1,0),TRUE),"")</f>
        <v/>
      </c>
      <c r="BT557" s="98" t="str">
        <f t="shared" si="218"/>
        <v/>
      </c>
    </row>
    <row r="558" spans="2:72" x14ac:dyDescent="0.25">
      <c r="B558" s="60" t="str">
        <f t="shared" si="231"/>
        <v/>
      </c>
      <c r="C558" s="3" t="str">
        <f t="shared" si="208"/>
        <v/>
      </c>
      <c r="D558" s="3" t="str">
        <f t="shared" si="209"/>
        <v/>
      </c>
      <c r="E558" s="3" t="str">
        <f t="shared" si="210"/>
        <v/>
      </c>
      <c r="F558" s="3" t="str">
        <f t="shared" si="211"/>
        <v/>
      </c>
      <c r="G558" s="74" t="str">
        <f t="shared" si="212"/>
        <v/>
      </c>
      <c r="H558" s="78" t="str">
        <f>IFERROR(C558/SUM(M$2:M557),"")</f>
        <v/>
      </c>
      <c r="I558" s="61" t="str">
        <f>IFERROR(D558/SUM(N$2:N558),"")</f>
        <v/>
      </c>
      <c r="J558" s="61" t="str">
        <f>IFERROR(E558/SUM(O$2:O558),"")</f>
        <v/>
      </c>
      <c r="K558" s="61" t="str">
        <f>IFERROR(F558/SUM(P$2:P558),"")</f>
        <v/>
      </c>
      <c r="L558" s="79" t="str">
        <f>IFERROR(G558/SUM(Q$2:Q558),"")</f>
        <v/>
      </c>
      <c r="M558" s="64" t="str">
        <f t="shared" si="213"/>
        <v/>
      </c>
      <c r="N558" s="55" t="str">
        <f t="shared" si="214"/>
        <v/>
      </c>
      <c r="O558" s="55" t="str">
        <f t="shared" si="215"/>
        <v/>
      </c>
      <c r="P558" s="55" t="str">
        <f t="shared" si="216"/>
        <v/>
      </c>
      <c r="Q558" s="65" t="str">
        <f t="shared" si="217"/>
        <v/>
      </c>
      <c r="R558" s="67" t="str">
        <f t="shared" si="219"/>
        <v/>
      </c>
      <c r="S558" s="56" t="str">
        <f t="shared" si="220"/>
        <v/>
      </c>
      <c r="T558" s="56" t="str">
        <f t="shared" si="221"/>
        <v/>
      </c>
      <c r="U558" s="56" t="str">
        <f t="shared" si="222"/>
        <v/>
      </c>
      <c r="V558" s="68" t="str">
        <f t="shared" si="223"/>
        <v/>
      </c>
      <c r="W558" s="80" t="str">
        <f t="shared" si="224"/>
        <v/>
      </c>
      <c r="X558" s="81" t="str">
        <f t="shared" si="225"/>
        <v/>
      </c>
      <c r="Y558" s="81" t="str">
        <f t="shared" si="226"/>
        <v/>
      </c>
      <c r="Z558" s="81" t="str">
        <f t="shared" si="227"/>
        <v/>
      </c>
      <c r="AA558" s="82" t="str">
        <f t="shared" si="228"/>
        <v/>
      </c>
      <c r="AB558" s="83" t="str">
        <f>IF(R558&lt;&gt;"",(W558-SUMPRODUCT(R$3:R558,$B$3:$B558)/SUM($B$3:$B558))/STDEVA(W548:W558),"")</f>
        <v/>
      </c>
      <c r="AC558" s="84" t="str">
        <f>IF(S558&lt;&gt;"",(X558-SUMPRODUCT(S$3:S558,$B$3:$B558)/SUM($B$3:$B558))/STDEVA(X548:X558),"")</f>
        <v/>
      </c>
      <c r="AD558" s="84" t="str">
        <f>IF(T558&lt;&gt;"",(Y558-SUMPRODUCT(T$3:T558,$B$3:$B558)/SUM($B$3:$B558))/STDEVA(Y548:Y558),"")</f>
        <v/>
      </c>
      <c r="AE558" s="84" t="str">
        <f>IF(U558&lt;&gt;"",(Z558-SUMPRODUCT(U$3:U558,$B$3:$B558)/SUM($B$3:$B558))/STDEVA(Z548:Z558),"")</f>
        <v/>
      </c>
      <c r="AF558" s="85" t="str">
        <f>IF(V558&lt;&gt;"",(AA558-SUMPRODUCT(V$3:V558,$B$3:$B558)/SUM($B$3:$B558))/STDEVA(AA548:AA558),"")</f>
        <v/>
      </c>
      <c r="AG558" s="90" t="str">
        <f t="shared" si="230"/>
        <v/>
      </c>
      <c r="AH558" s="90" t="str">
        <f t="shared" si="230"/>
        <v/>
      </c>
      <c r="AI558" s="90" t="str">
        <f t="shared" si="230"/>
        <v/>
      </c>
      <c r="AJ558" s="90" t="str">
        <f t="shared" si="229"/>
        <v/>
      </c>
      <c r="AK558" s="93" t="str">
        <f t="shared" si="229"/>
        <v/>
      </c>
      <c r="BQ558" s="100" t="str">
        <f>IF(A558&lt;&gt;"",(VLOOKUP(A558,MarketData!$D:$BP,MATCH($BQ$1,MarketData!$D$1:$EG$1,0),TRUE)/100/365+1)^(B558)*BQ557,"")</f>
        <v/>
      </c>
      <c r="BR558" s="98" t="str">
        <f t="shared" si="207"/>
        <v/>
      </c>
      <c r="BS558" s="106" t="str">
        <f>IF(A558&lt;&gt;"",VLOOKUP(A558,MarketData!$D:$BP,MATCH($BS$1,MarketData!$D$1:$EG$1,0),TRUE),"")</f>
        <v/>
      </c>
      <c r="BT558" s="98" t="str">
        <f t="shared" si="218"/>
        <v/>
      </c>
    </row>
    <row r="559" spans="2:72" x14ac:dyDescent="0.25">
      <c r="B559" s="60" t="str">
        <f t="shared" si="231"/>
        <v/>
      </c>
      <c r="C559" s="3" t="str">
        <f t="shared" si="208"/>
        <v/>
      </c>
      <c r="D559" s="3" t="str">
        <f t="shared" si="209"/>
        <v/>
      </c>
      <c r="E559" s="3" t="str">
        <f t="shared" si="210"/>
        <v/>
      </c>
      <c r="F559" s="3" t="str">
        <f t="shared" si="211"/>
        <v/>
      </c>
      <c r="G559" s="74" t="str">
        <f t="shared" si="212"/>
        <v/>
      </c>
      <c r="H559" s="78" t="str">
        <f>IFERROR(C559/SUM(M$2:M558),"")</f>
        <v/>
      </c>
      <c r="I559" s="61" t="str">
        <f>IFERROR(D559/SUM(N$2:N559),"")</f>
        <v/>
      </c>
      <c r="J559" s="61" t="str">
        <f>IFERROR(E559/SUM(O$2:O559),"")</f>
        <v/>
      </c>
      <c r="K559" s="61" t="str">
        <f>IFERROR(F559/SUM(P$2:P559),"")</f>
        <v/>
      </c>
      <c r="L559" s="79" t="str">
        <f>IFERROR(G559/SUM(Q$2:Q559),"")</f>
        <v/>
      </c>
      <c r="M559" s="64" t="str">
        <f t="shared" si="213"/>
        <v/>
      </c>
      <c r="N559" s="55" t="str">
        <f t="shared" si="214"/>
        <v/>
      </c>
      <c r="O559" s="55" t="str">
        <f t="shared" si="215"/>
        <v/>
      </c>
      <c r="P559" s="55" t="str">
        <f t="shared" si="216"/>
        <v/>
      </c>
      <c r="Q559" s="65" t="str">
        <f t="shared" si="217"/>
        <v/>
      </c>
      <c r="R559" s="67" t="str">
        <f t="shared" si="219"/>
        <v/>
      </c>
      <c r="S559" s="56" t="str">
        <f t="shared" si="220"/>
        <v/>
      </c>
      <c r="T559" s="56" t="str">
        <f t="shared" si="221"/>
        <v/>
      </c>
      <c r="U559" s="56" t="str">
        <f t="shared" si="222"/>
        <v/>
      </c>
      <c r="V559" s="68" t="str">
        <f t="shared" si="223"/>
        <v/>
      </c>
      <c r="W559" s="80" t="str">
        <f t="shared" si="224"/>
        <v/>
      </c>
      <c r="X559" s="81" t="str">
        <f t="shared" si="225"/>
        <v/>
      </c>
      <c r="Y559" s="81" t="str">
        <f t="shared" si="226"/>
        <v/>
      </c>
      <c r="Z559" s="81" t="str">
        <f t="shared" si="227"/>
        <v/>
      </c>
      <c r="AA559" s="82" t="str">
        <f t="shared" si="228"/>
        <v/>
      </c>
      <c r="AB559" s="83" t="str">
        <f>IF(R559&lt;&gt;"",(W559-SUMPRODUCT(R$3:R559,$B$3:$B559)/SUM($B$3:$B559))/STDEVA(W549:W559),"")</f>
        <v/>
      </c>
      <c r="AC559" s="84" t="str">
        <f>IF(S559&lt;&gt;"",(X559-SUMPRODUCT(S$3:S559,$B$3:$B559)/SUM($B$3:$B559))/STDEVA(X549:X559),"")</f>
        <v/>
      </c>
      <c r="AD559" s="84" t="str">
        <f>IF(T559&lt;&gt;"",(Y559-SUMPRODUCT(T$3:T559,$B$3:$B559)/SUM($B$3:$B559))/STDEVA(Y549:Y559),"")</f>
        <v/>
      </c>
      <c r="AE559" s="84" t="str">
        <f>IF(U559&lt;&gt;"",(Z559-SUMPRODUCT(U$3:U559,$B$3:$B559)/SUM($B$3:$B559))/STDEVA(Z549:Z559),"")</f>
        <v/>
      </c>
      <c r="AF559" s="85" t="str">
        <f>IF(V559&lt;&gt;"",(AA559-SUMPRODUCT(V$3:V559,$B$3:$B559)/SUM($B$3:$B559))/STDEVA(AA549:AA559),"")</f>
        <v/>
      </c>
      <c r="AG559" s="90" t="str">
        <f t="shared" si="230"/>
        <v/>
      </c>
      <c r="AH559" s="90" t="str">
        <f t="shared" si="230"/>
        <v/>
      </c>
      <c r="AI559" s="90" t="str">
        <f t="shared" si="230"/>
        <v/>
      </c>
      <c r="AJ559" s="90" t="str">
        <f t="shared" si="229"/>
        <v/>
      </c>
      <c r="AK559" s="93" t="str">
        <f t="shared" si="229"/>
        <v/>
      </c>
      <c r="BQ559" s="100" t="str">
        <f>IF(A559&lt;&gt;"",(VLOOKUP(A559,MarketData!$D:$BP,MATCH($BQ$1,MarketData!$D$1:$EG$1,0),TRUE)/100/365+1)^(B559)*BQ558,"")</f>
        <v/>
      </c>
      <c r="BR559" s="98" t="str">
        <f t="shared" si="207"/>
        <v/>
      </c>
      <c r="BS559" s="106" t="str">
        <f>IF(A559&lt;&gt;"",VLOOKUP(A559,MarketData!$D:$BP,MATCH($BS$1,MarketData!$D$1:$EG$1,0),TRUE),"")</f>
        <v/>
      </c>
      <c r="BT559" s="98" t="str">
        <f t="shared" si="218"/>
        <v/>
      </c>
    </row>
    <row r="560" spans="2:72" x14ac:dyDescent="0.25">
      <c r="B560" s="60" t="str">
        <f t="shared" si="231"/>
        <v/>
      </c>
      <c r="C560" s="3" t="str">
        <f t="shared" si="208"/>
        <v/>
      </c>
      <c r="D560" s="3" t="str">
        <f t="shared" si="209"/>
        <v/>
      </c>
      <c r="E560" s="3" t="str">
        <f t="shared" si="210"/>
        <v/>
      </c>
      <c r="F560" s="3" t="str">
        <f t="shared" si="211"/>
        <v/>
      </c>
      <c r="G560" s="74" t="str">
        <f t="shared" si="212"/>
        <v/>
      </c>
      <c r="H560" s="78" t="str">
        <f>IFERROR(C560/SUM(M$2:M559),"")</f>
        <v/>
      </c>
      <c r="I560" s="61" t="str">
        <f>IFERROR(D560/SUM(N$2:N560),"")</f>
        <v/>
      </c>
      <c r="J560" s="61" t="str">
        <f>IFERROR(E560/SUM(O$2:O560),"")</f>
        <v/>
      </c>
      <c r="K560" s="61" t="str">
        <f>IFERROR(F560/SUM(P$2:P560),"")</f>
        <v/>
      </c>
      <c r="L560" s="79" t="str">
        <f>IFERROR(G560/SUM(Q$2:Q560),"")</f>
        <v/>
      </c>
      <c r="M560" s="64" t="str">
        <f t="shared" si="213"/>
        <v/>
      </c>
      <c r="N560" s="55" t="str">
        <f t="shared" si="214"/>
        <v/>
      </c>
      <c r="O560" s="55" t="str">
        <f t="shared" si="215"/>
        <v/>
      </c>
      <c r="P560" s="55" t="str">
        <f t="shared" si="216"/>
        <v/>
      </c>
      <c r="Q560" s="65" t="str">
        <f t="shared" si="217"/>
        <v/>
      </c>
      <c r="R560" s="67" t="str">
        <f t="shared" si="219"/>
        <v/>
      </c>
      <c r="S560" s="56" t="str">
        <f t="shared" si="220"/>
        <v/>
      </c>
      <c r="T560" s="56" t="str">
        <f t="shared" si="221"/>
        <v/>
      </c>
      <c r="U560" s="56" t="str">
        <f t="shared" si="222"/>
        <v/>
      </c>
      <c r="V560" s="68" t="str">
        <f t="shared" si="223"/>
        <v/>
      </c>
      <c r="W560" s="80" t="str">
        <f t="shared" si="224"/>
        <v/>
      </c>
      <c r="X560" s="81" t="str">
        <f t="shared" si="225"/>
        <v/>
      </c>
      <c r="Y560" s="81" t="str">
        <f t="shared" si="226"/>
        <v/>
      </c>
      <c r="Z560" s="81" t="str">
        <f t="shared" si="227"/>
        <v/>
      </c>
      <c r="AA560" s="82" t="str">
        <f t="shared" si="228"/>
        <v/>
      </c>
      <c r="AB560" s="83" t="str">
        <f>IF(R560&lt;&gt;"",(W560-SUMPRODUCT(R$3:R560,$B$3:$B560)/SUM($B$3:$B560))/STDEVA(W550:W560),"")</f>
        <v/>
      </c>
      <c r="AC560" s="84" t="str">
        <f>IF(S560&lt;&gt;"",(X560-SUMPRODUCT(S$3:S560,$B$3:$B560)/SUM($B$3:$B560))/STDEVA(X550:X560),"")</f>
        <v/>
      </c>
      <c r="AD560" s="84" t="str">
        <f>IF(T560&lt;&gt;"",(Y560-SUMPRODUCT(T$3:T560,$B$3:$B560)/SUM($B$3:$B560))/STDEVA(Y550:Y560),"")</f>
        <v/>
      </c>
      <c r="AE560" s="84" t="str">
        <f>IF(U560&lt;&gt;"",(Z560-SUMPRODUCT(U$3:U560,$B$3:$B560)/SUM($B$3:$B560))/STDEVA(Z550:Z560),"")</f>
        <v/>
      </c>
      <c r="AF560" s="85" t="str">
        <f>IF(V560&lt;&gt;"",(AA560-SUMPRODUCT(V$3:V560,$B$3:$B560)/SUM($B$3:$B560))/STDEVA(AA550:AA560),"")</f>
        <v/>
      </c>
      <c r="AG560" s="90" t="str">
        <f t="shared" si="230"/>
        <v/>
      </c>
      <c r="AH560" s="90" t="str">
        <f t="shared" si="230"/>
        <v/>
      </c>
      <c r="AI560" s="90" t="str">
        <f t="shared" si="230"/>
        <v/>
      </c>
      <c r="AJ560" s="90" t="str">
        <f t="shared" si="229"/>
        <v/>
      </c>
      <c r="AK560" s="93" t="str">
        <f t="shared" si="229"/>
        <v/>
      </c>
      <c r="BQ560" s="100" t="str">
        <f>IF(A560&lt;&gt;"",(VLOOKUP(A560,MarketData!$D:$BP,MATCH($BQ$1,MarketData!$D$1:$EG$1,0),TRUE)/100/365+1)^(B560)*BQ559,"")</f>
        <v/>
      </c>
      <c r="BR560" s="98" t="str">
        <f t="shared" si="207"/>
        <v/>
      </c>
      <c r="BS560" s="106" t="str">
        <f>IF(A560&lt;&gt;"",VLOOKUP(A560,MarketData!$D:$BP,MATCH($BS$1,MarketData!$D$1:$EG$1,0),TRUE),"")</f>
        <v/>
      </c>
      <c r="BT560" s="98" t="str">
        <f t="shared" si="218"/>
        <v/>
      </c>
    </row>
    <row r="561" spans="2:72" x14ac:dyDescent="0.25">
      <c r="B561" s="60" t="str">
        <f t="shared" si="231"/>
        <v/>
      </c>
      <c r="C561" s="3" t="str">
        <f t="shared" si="208"/>
        <v/>
      </c>
      <c r="D561" s="3" t="str">
        <f t="shared" si="209"/>
        <v/>
      </c>
      <c r="E561" s="3" t="str">
        <f t="shared" si="210"/>
        <v/>
      </c>
      <c r="F561" s="3" t="str">
        <f t="shared" si="211"/>
        <v/>
      </c>
      <c r="G561" s="74" t="str">
        <f t="shared" si="212"/>
        <v/>
      </c>
      <c r="H561" s="78" t="str">
        <f>IFERROR(C561/SUM(M$2:M560),"")</f>
        <v/>
      </c>
      <c r="I561" s="61" t="str">
        <f>IFERROR(D561/SUM(N$2:N561),"")</f>
        <v/>
      </c>
      <c r="J561" s="61" t="str">
        <f>IFERROR(E561/SUM(O$2:O561),"")</f>
        <v/>
      </c>
      <c r="K561" s="61" t="str">
        <f>IFERROR(F561/SUM(P$2:P561),"")</f>
        <v/>
      </c>
      <c r="L561" s="79" t="str">
        <f>IFERROR(G561/SUM(Q$2:Q561),"")</f>
        <v/>
      </c>
      <c r="M561" s="64" t="str">
        <f t="shared" si="213"/>
        <v/>
      </c>
      <c r="N561" s="55" t="str">
        <f t="shared" si="214"/>
        <v/>
      </c>
      <c r="O561" s="55" t="str">
        <f t="shared" si="215"/>
        <v/>
      </c>
      <c r="P561" s="55" t="str">
        <f t="shared" si="216"/>
        <v/>
      </c>
      <c r="Q561" s="65" t="str">
        <f t="shared" si="217"/>
        <v/>
      </c>
      <c r="R561" s="67" t="str">
        <f t="shared" si="219"/>
        <v/>
      </c>
      <c r="S561" s="56" t="str">
        <f t="shared" si="220"/>
        <v/>
      </c>
      <c r="T561" s="56" t="str">
        <f t="shared" si="221"/>
        <v/>
      </c>
      <c r="U561" s="56" t="str">
        <f t="shared" si="222"/>
        <v/>
      </c>
      <c r="V561" s="68" t="str">
        <f t="shared" si="223"/>
        <v/>
      </c>
      <c r="W561" s="80" t="str">
        <f t="shared" si="224"/>
        <v/>
      </c>
      <c r="X561" s="81" t="str">
        <f t="shared" si="225"/>
        <v/>
      </c>
      <c r="Y561" s="81" t="str">
        <f t="shared" si="226"/>
        <v/>
      </c>
      <c r="Z561" s="81" t="str">
        <f t="shared" si="227"/>
        <v/>
      </c>
      <c r="AA561" s="82" t="str">
        <f t="shared" si="228"/>
        <v/>
      </c>
      <c r="AB561" s="83" t="str">
        <f>IF(R561&lt;&gt;"",(W561-SUMPRODUCT(R$3:R561,$B$3:$B561)/SUM($B$3:$B561))/STDEVA(W551:W561),"")</f>
        <v/>
      </c>
      <c r="AC561" s="84" t="str">
        <f>IF(S561&lt;&gt;"",(X561-SUMPRODUCT(S$3:S561,$B$3:$B561)/SUM($B$3:$B561))/STDEVA(X551:X561),"")</f>
        <v/>
      </c>
      <c r="AD561" s="84" t="str">
        <f>IF(T561&lt;&gt;"",(Y561-SUMPRODUCT(T$3:T561,$B$3:$B561)/SUM($B$3:$B561))/STDEVA(Y551:Y561),"")</f>
        <v/>
      </c>
      <c r="AE561" s="84" t="str">
        <f>IF(U561&lt;&gt;"",(Z561-SUMPRODUCT(U$3:U561,$B$3:$B561)/SUM($B$3:$B561))/STDEVA(Z551:Z561),"")</f>
        <v/>
      </c>
      <c r="AF561" s="85" t="str">
        <f>IF(V561&lt;&gt;"",(AA561-SUMPRODUCT(V$3:V561,$B$3:$B561)/SUM($B$3:$B561))/STDEVA(AA551:AA561),"")</f>
        <v/>
      </c>
      <c r="AG561" s="90" t="str">
        <f t="shared" si="230"/>
        <v/>
      </c>
      <c r="AH561" s="90" t="str">
        <f t="shared" si="230"/>
        <v/>
      </c>
      <c r="AI561" s="90" t="str">
        <f t="shared" si="230"/>
        <v/>
      </c>
      <c r="AJ561" s="90" t="str">
        <f t="shared" si="229"/>
        <v/>
      </c>
      <c r="AK561" s="93" t="str">
        <f t="shared" si="229"/>
        <v/>
      </c>
      <c r="BQ561" s="100" t="str">
        <f>IF(A561&lt;&gt;"",(VLOOKUP(A561,MarketData!$D:$BP,MATCH($BQ$1,MarketData!$D$1:$EG$1,0),TRUE)/100/365+1)^(B561)*BQ560,"")</f>
        <v/>
      </c>
      <c r="BR561" s="98" t="str">
        <f t="shared" si="207"/>
        <v/>
      </c>
      <c r="BS561" s="106" t="str">
        <f>IF(A561&lt;&gt;"",VLOOKUP(A561,MarketData!$D:$BP,MATCH($BS$1,MarketData!$D$1:$EG$1,0),TRUE),"")</f>
        <v/>
      </c>
      <c r="BT561" s="98" t="str">
        <f t="shared" si="218"/>
        <v/>
      </c>
    </row>
    <row r="562" spans="2:72" x14ac:dyDescent="0.25">
      <c r="B562" s="60" t="str">
        <f t="shared" si="231"/>
        <v/>
      </c>
      <c r="C562" s="3" t="str">
        <f t="shared" si="208"/>
        <v/>
      </c>
      <c r="D562" s="3" t="str">
        <f t="shared" si="209"/>
        <v/>
      </c>
      <c r="E562" s="3" t="str">
        <f t="shared" si="210"/>
        <v/>
      </c>
      <c r="F562" s="3" t="str">
        <f t="shared" si="211"/>
        <v/>
      </c>
      <c r="G562" s="74" t="str">
        <f t="shared" si="212"/>
        <v/>
      </c>
      <c r="H562" s="78" t="str">
        <f>IFERROR(C562/SUM(M$2:M561),"")</f>
        <v/>
      </c>
      <c r="I562" s="61" t="str">
        <f>IFERROR(D562/SUM(N$2:N562),"")</f>
        <v/>
      </c>
      <c r="J562" s="61" t="str">
        <f>IFERROR(E562/SUM(O$2:O562),"")</f>
        <v/>
      </c>
      <c r="K562" s="61" t="str">
        <f>IFERROR(F562/SUM(P$2:P562),"")</f>
        <v/>
      </c>
      <c r="L562" s="79" t="str">
        <f>IFERROR(G562/SUM(Q$2:Q562),"")</f>
        <v/>
      </c>
      <c r="M562" s="64" t="str">
        <f t="shared" si="213"/>
        <v/>
      </c>
      <c r="N562" s="55" t="str">
        <f t="shared" si="214"/>
        <v/>
      </c>
      <c r="O562" s="55" t="str">
        <f t="shared" si="215"/>
        <v/>
      </c>
      <c r="P562" s="55" t="str">
        <f t="shared" si="216"/>
        <v/>
      </c>
      <c r="Q562" s="65" t="str">
        <f t="shared" si="217"/>
        <v/>
      </c>
      <c r="R562" s="67" t="str">
        <f t="shared" si="219"/>
        <v/>
      </c>
      <c r="S562" s="56" t="str">
        <f t="shared" si="220"/>
        <v/>
      </c>
      <c r="T562" s="56" t="str">
        <f t="shared" si="221"/>
        <v/>
      </c>
      <c r="U562" s="56" t="str">
        <f t="shared" si="222"/>
        <v/>
      </c>
      <c r="V562" s="68" t="str">
        <f t="shared" si="223"/>
        <v/>
      </c>
      <c r="W562" s="80" t="str">
        <f t="shared" si="224"/>
        <v/>
      </c>
      <c r="X562" s="81" t="str">
        <f t="shared" si="225"/>
        <v/>
      </c>
      <c r="Y562" s="81" t="str">
        <f t="shared" si="226"/>
        <v/>
      </c>
      <c r="Z562" s="81" t="str">
        <f t="shared" si="227"/>
        <v/>
      </c>
      <c r="AA562" s="82" t="str">
        <f t="shared" si="228"/>
        <v/>
      </c>
      <c r="AB562" s="83" t="str">
        <f>IF(R562&lt;&gt;"",(W562-SUMPRODUCT(R$3:R562,$B$3:$B562)/SUM($B$3:$B562))/STDEVA(W552:W562),"")</f>
        <v/>
      </c>
      <c r="AC562" s="84" t="str">
        <f>IF(S562&lt;&gt;"",(X562-SUMPRODUCT(S$3:S562,$B$3:$B562)/SUM($B$3:$B562))/STDEVA(X552:X562),"")</f>
        <v/>
      </c>
      <c r="AD562" s="84" t="str">
        <f>IF(T562&lt;&gt;"",(Y562-SUMPRODUCT(T$3:T562,$B$3:$B562)/SUM($B$3:$B562))/STDEVA(Y552:Y562),"")</f>
        <v/>
      </c>
      <c r="AE562" s="84" t="str">
        <f>IF(U562&lt;&gt;"",(Z562-SUMPRODUCT(U$3:U562,$B$3:$B562)/SUM($B$3:$B562))/STDEVA(Z552:Z562),"")</f>
        <v/>
      </c>
      <c r="AF562" s="85" t="str">
        <f>IF(V562&lt;&gt;"",(AA562-SUMPRODUCT(V$3:V562,$B$3:$B562)/SUM($B$3:$B562))/STDEVA(AA552:AA562),"")</f>
        <v/>
      </c>
      <c r="AG562" s="90" t="str">
        <f t="shared" si="230"/>
        <v/>
      </c>
      <c r="AH562" s="90" t="str">
        <f t="shared" si="230"/>
        <v/>
      </c>
      <c r="AI562" s="90" t="str">
        <f t="shared" si="230"/>
        <v/>
      </c>
      <c r="AJ562" s="90" t="str">
        <f t="shared" si="229"/>
        <v/>
      </c>
      <c r="AK562" s="93" t="str">
        <f t="shared" si="229"/>
        <v/>
      </c>
      <c r="BQ562" s="100" t="str">
        <f>IF(A562&lt;&gt;"",(VLOOKUP(A562,MarketData!$D:$BP,MATCH($BQ$1,MarketData!$D$1:$EG$1,0),TRUE)/100/365+1)^(B562)*BQ561,"")</f>
        <v/>
      </c>
      <c r="BR562" s="98" t="str">
        <f t="shared" si="207"/>
        <v/>
      </c>
      <c r="BS562" s="106" t="str">
        <f>IF(A562&lt;&gt;"",VLOOKUP(A562,MarketData!$D:$BP,MATCH($BS$1,MarketData!$D$1:$EG$1,0),TRUE),"")</f>
        <v/>
      </c>
      <c r="BT562" s="98" t="str">
        <f t="shared" si="218"/>
        <v/>
      </c>
    </row>
    <row r="563" spans="2:72" x14ac:dyDescent="0.25">
      <c r="B563" s="60" t="str">
        <f t="shared" si="231"/>
        <v/>
      </c>
      <c r="C563" s="3" t="str">
        <f t="shared" si="208"/>
        <v/>
      </c>
      <c r="D563" s="3" t="str">
        <f t="shared" si="209"/>
        <v/>
      </c>
      <c r="E563" s="3" t="str">
        <f t="shared" si="210"/>
        <v/>
      </c>
      <c r="F563" s="3" t="str">
        <f t="shared" si="211"/>
        <v/>
      </c>
      <c r="G563" s="74" t="str">
        <f t="shared" si="212"/>
        <v/>
      </c>
      <c r="H563" s="78" t="str">
        <f>IFERROR(C563/SUM(M$2:M562),"")</f>
        <v/>
      </c>
      <c r="I563" s="61" t="str">
        <f>IFERROR(D563/SUM(N$2:N563),"")</f>
        <v/>
      </c>
      <c r="J563" s="61" t="str">
        <f>IFERROR(E563/SUM(O$2:O563),"")</f>
        <v/>
      </c>
      <c r="K563" s="61" t="str">
        <f>IFERROR(F563/SUM(P$2:P563),"")</f>
        <v/>
      </c>
      <c r="L563" s="79" t="str">
        <f>IFERROR(G563/SUM(Q$2:Q563),"")</f>
        <v/>
      </c>
      <c r="M563" s="64" t="str">
        <f t="shared" si="213"/>
        <v/>
      </c>
      <c r="N563" s="55" t="str">
        <f t="shared" si="214"/>
        <v/>
      </c>
      <c r="O563" s="55" t="str">
        <f t="shared" si="215"/>
        <v/>
      </c>
      <c r="P563" s="55" t="str">
        <f t="shared" si="216"/>
        <v/>
      </c>
      <c r="Q563" s="65" t="str">
        <f t="shared" si="217"/>
        <v/>
      </c>
      <c r="R563" s="67" t="str">
        <f t="shared" si="219"/>
        <v/>
      </c>
      <c r="S563" s="56" t="str">
        <f t="shared" si="220"/>
        <v/>
      </c>
      <c r="T563" s="56" t="str">
        <f t="shared" si="221"/>
        <v/>
      </c>
      <c r="U563" s="56" t="str">
        <f t="shared" si="222"/>
        <v/>
      </c>
      <c r="V563" s="68" t="str">
        <f t="shared" si="223"/>
        <v/>
      </c>
      <c r="W563" s="80" t="str">
        <f t="shared" si="224"/>
        <v/>
      </c>
      <c r="X563" s="81" t="str">
        <f t="shared" si="225"/>
        <v/>
      </c>
      <c r="Y563" s="81" t="str">
        <f t="shared" si="226"/>
        <v/>
      </c>
      <c r="Z563" s="81" t="str">
        <f t="shared" si="227"/>
        <v/>
      </c>
      <c r="AA563" s="82" t="str">
        <f t="shared" si="228"/>
        <v/>
      </c>
      <c r="AB563" s="83" t="str">
        <f>IF(R563&lt;&gt;"",(W563-SUMPRODUCT(R$3:R563,$B$3:$B563)/SUM($B$3:$B563))/STDEVA(W553:W563),"")</f>
        <v/>
      </c>
      <c r="AC563" s="84" t="str">
        <f>IF(S563&lt;&gt;"",(X563-SUMPRODUCT(S$3:S563,$B$3:$B563)/SUM($B$3:$B563))/STDEVA(X553:X563),"")</f>
        <v/>
      </c>
      <c r="AD563" s="84" t="str">
        <f>IF(T563&lt;&gt;"",(Y563-SUMPRODUCT(T$3:T563,$B$3:$B563)/SUM($B$3:$B563))/STDEVA(Y553:Y563),"")</f>
        <v/>
      </c>
      <c r="AE563" s="84" t="str">
        <f>IF(U563&lt;&gt;"",(Z563-SUMPRODUCT(U$3:U563,$B$3:$B563)/SUM($B$3:$B563))/STDEVA(Z553:Z563),"")</f>
        <v/>
      </c>
      <c r="AF563" s="85" t="str">
        <f>IF(V563&lt;&gt;"",(AA563-SUMPRODUCT(V$3:V563,$B$3:$B563)/SUM($B$3:$B563))/STDEVA(AA553:AA563),"")</f>
        <v/>
      </c>
      <c r="AG563" s="90" t="str">
        <f t="shared" si="230"/>
        <v/>
      </c>
      <c r="AH563" s="90" t="str">
        <f t="shared" si="230"/>
        <v/>
      </c>
      <c r="AI563" s="90" t="str">
        <f t="shared" si="230"/>
        <v/>
      </c>
      <c r="AJ563" s="90" t="str">
        <f t="shared" si="229"/>
        <v/>
      </c>
      <c r="AK563" s="93" t="str">
        <f t="shared" si="229"/>
        <v/>
      </c>
      <c r="BQ563" s="100" t="str">
        <f>IF(A563&lt;&gt;"",(VLOOKUP(A563,MarketData!$D:$BP,MATCH($BQ$1,MarketData!$D$1:$EG$1,0),TRUE)/100/365+1)^(B563)*BQ562,"")</f>
        <v/>
      </c>
      <c r="BR563" s="98" t="str">
        <f t="shared" si="207"/>
        <v/>
      </c>
      <c r="BS563" s="106" t="str">
        <f>IF(A563&lt;&gt;"",VLOOKUP(A563,MarketData!$D:$BP,MATCH($BS$1,MarketData!$D$1:$EG$1,0),TRUE),"")</f>
        <v/>
      </c>
      <c r="BT563" s="98" t="str">
        <f t="shared" si="218"/>
        <v/>
      </c>
    </row>
    <row r="564" spans="2:72" x14ac:dyDescent="0.25">
      <c r="B564" s="60" t="str">
        <f t="shared" si="231"/>
        <v/>
      </c>
      <c r="C564" s="3" t="str">
        <f t="shared" si="208"/>
        <v/>
      </c>
      <c r="D564" s="3" t="str">
        <f t="shared" si="209"/>
        <v/>
      </c>
      <c r="E564" s="3" t="str">
        <f t="shared" si="210"/>
        <v/>
      </c>
      <c r="F564" s="3" t="str">
        <f t="shared" si="211"/>
        <v/>
      </c>
      <c r="G564" s="74" t="str">
        <f t="shared" si="212"/>
        <v/>
      </c>
      <c r="H564" s="78" t="str">
        <f>IFERROR(C564/SUM(M$2:M563),"")</f>
        <v/>
      </c>
      <c r="I564" s="61" t="str">
        <f>IFERROR(D564/SUM(N$2:N564),"")</f>
        <v/>
      </c>
      <c r="J564" s="61" t="str">
        <f>IFERROR(E564/SUM(O$2:O564),"")</f>
        <v/>
      </c>
      <c r="K564" s="61" t="str">
        <f>IFERROR(F564/SUM(P$2:P564),"")</f>
        <v/>
      </c>
      <c r="L564" s="79" t="str">
        <f>IFERROR(G564/SUM(Q$2:Q564),"")</f>
        <v/>
      </c>
      <c r="M564" s="64" t="str">
        <f t="shared" si="213"/>
        <v/>
      </c>
      <c r="N564" s="55" t="str">
        <f t="shared" si="214"/>
        <v/>
      </c>
      <c r="O564" s="55" t="str">
        <f t="shared" si="215"/>
        <v/>
      </c>
      <c r="P564" s="55" t="str">
        <f t="shared" si="216"/>
        <v/>
      </c>
      <c r="Q564" s="65" t="str">
        <f t="shared" si="217"/>
        <v/>
      </c>
      <c r="R564" s="67" t="str">
        <f t="shared" si="219"/>
        <v/>
      </c>
      <c r="S564" s="56" t="str">
        <f t="shared" si="220"/>
        <v/>
      </c>
      <c r="T564" s="56" t="str">
        <f t="shared" si="221"/>
        <v/>
      </c>
      <c r="U564" s="56" t="str">
        <f t="shared" si="222"/>
        <v/>
      </c>
      <c r="V564" s="68" t="str">
        <f t="shared" si="223"/>
        <v/>
      </c>
      <c r="W564" s="80" t="str">
        <f t="shared" si="224"/>
        <v/>
      </c>
      <c r="X564" s="81" t="str">
        <f t="shared" si="225"/>
        <v/>
      </c>
      <c r="Y564" s="81" t="str">
        <f t="shared" si="226"/>
        <v/>
      </c>
      <c r="Z564" s="81" t="str">
        <f t="shared" si="227"/>
        <v/>
      </c>
      <c r="AA564" s="82" t="str">
        <f t="shared" si="228"/>
        <v/>
      </c>
      <c r="AB564" s="83" t="str">
        <f>IF(R564&lt;&gt;"",(W564-SUMPRODUCT(R$3:R564,$B$3:$B564)/SUM($B$3:$B564))/STDEVA(W554:W564),"")</f>
        <v/>
      </c>
      <c r="AC564" s="84" t="str">
        <f>IF(S564&lt;&gt;"",(X564-SUMPRODUCT(S$3:S564,$B$3:$B564)/SUM($B$3:$B564))/STDEVA(X554:X564),"")</f>
        <v/>
      </c>
      <c r="AD564" s="84" t="str">
        <f>IF(T564&lt;&gt;"",(Y564-SUMPRODUCT(T$3:T564,$B$3:$B564)/SUM($B$3:$B564))/STDEVA(Y554:Y564),"")</f>
        <v/>
      </c>
      <c r="AE564" s="84" t="str">
        <f>IF(U564&lt;&gt;"",(Z564-SUMPRODUCT(U$3:U564,$B$3:$B564)/SUM($B$3:$B564))/STDEVA(Z554:Z564),"")</f>
        <v/>
      </c>
      <c r="AF564" s="85" t="str">
        <f>IF(V564&lt;&gt;"",(AA564-SUMPRODUCT(V$3:V564,$B$3:$B564)/SUM($B$3:$B564))/STDEVA(AA554:AA564),"")</f>
        <v/>
      </c>
      <c r="AG564" s="90" t="str">
        <f t="shared" si="230"/>
        <v/>
      </c>
      <c r="AH564" s="90" t="str">
        <f t="shared" si="230"/>
        <v/>
      </c>
      <c r="AI564" s="90" t="str">
        <f t="shared" si="230"/>
        <v/>
      </c>
      <c r="AJ564" s="90" t="str">
        <f t="shared" si="229"/>
        <v/>
      </c>
      <c r="AK564" s="93" t="str">
        <f t="shared" si="229"/>
        <v/>
      </c>
      <c r="BQ564" s="100" t="str">
        <f>IF(A564&lt;&gt;"",(VLOOKUP(A564,MarketData!$D:$BP,MATCH($BQ$1,MarketData!$D$1:$EG$1,0),TRUE)/100/365+1)^(B564)*BQ563,"")</f>
        <v/>
      </c>
      <c r="BR564" s="98" t="str">
        <f t="shared" si="207"/>
        <v/>
      </c>
      <c r="BS564" s="106" t="str">
        <f>IF(A564&lt;&gt;"",VLOOKUP(A564,MarketData!$D:$BP,MATCH($BS$1,MarketData!$D$1:$EG$1,0),TRUE),"")</f>
        <v/>
      </c>
      <c r="BT564" s="98" t="str">
        <f t="shared" si="218"/>
        <v/>
      </c>
    </row>
    <row r="565" spans="2:72" x14ac:dyDescent="0.25">
      <c r="B565" s="60" t="str">
        <f t="shared" si="231"/>
        <v/>
      </c>
      <c r="C565" s="3" t="str">
        <f t="shared" si="208"/>
        <v/>
      </c>
      <c r="D565" s="3" t="str">
        <f t="shared" si="209"/>
        <v/>
      </c>
      <c r="E565" s="3" t="str">
        <f t="shared" si="210"/>
        <v/>
      </c>
      <c r="F565" s="3" t="str">
        <f t="shared" si="211"/>
        <v/>
      </c>
      <c r="G565" s="74" t="str">
        <f t="shared" si="212"/>
        <v/>
      </c>
      <c r="H565" s="78" t="str">
        <f>IFERROR(C565/SUM(M$2:M564),"")</f>
        <v/>
      </c>
      <c r="I565" s="61" t="str">
        <f>IFERROR(D565/SUM(N$2:N565),"")</f>
        <v/>
      </c>
      <c r="J565" s="61" t="str">
        <f>IFERROR(E565/SUM(O$2:O565),"")</f>
        <v/>
      </c>
      <c r="K565" s="61" t="str">
        <f>IFERROR(F565/SUM(P$2:P565),"")</f>
        <v/>
      </c>
      <c r="L565" s="79" t="str">
        <f>IFERROR(G565/SUM(Q$2:Q565),"")</f>
        <v/>
      </c>
      <c r="M565" s="64" t="str">
        <f t="shared" si="213"/>
        <v/>
      </c>
      <c r="N565" s="55" t="str">
        <f t="shared" si="214"/>
        <v/>
      </c>
      <c r="O565" s="55" t="str">
        <f t="shared" si="215"/>
        <v/>
      </c>
      <c r="P565" s="55" t="str">
        <f t="shared" si="216"/>
        <v/>
      </c>
      <c r="Q565" s="65" t="str">
        <f t="shared" si="217"/>
        <v/>
      </c>
      <c r="R565" s="67" t="str">
        <f t="shared" si="219"/>
        <v/>
      </c>
      <c r="S565" s="56" t="str">
        <f t="shared" si="220"/>
        <v/>
      </c>
      <c r="T565" s="56" t="str">
        <f t="shared" si="221"/>
        <v/>
      </c>
      <c r="U565" s="56" t="str">
        <f t="shared" si="222"/>
        <v/>
      </c>
      <c r="V565" s="68" t="str">
        <f t="shared" si="223"/>
        <v/>
      </c>
      <c r="W565" s="80" t="str">
        <f t="shared" si="224"/>
        <v/>
      </c>
      <c r="X565" s="81" t="str">
        <f t="shared" si="225"/>
        <v/>
      </c>
      <c r="Y565" s="81" t="str">
        <f t="shared" si="226"/>
        <v/>
      </c>
      <c r="Z565" s="81" t="str">
        <f t="shared" si="227"/>
        <v/>
      </c>
      <c r="AA565" s="82" t="str">
        <f t="shared" si="228"/>
        <v/>
      </c>
      <c r="AB565" s="83" t="str">
        <f>IF(R565&lt;&gt;"",(W565-SUMPRODUCT(R$3:R565,$B$3:$B565)/SUM($B$3:$B565))/STDEVA(W555:W565),"")</f>
        <v/>
      </c>
      <c r="AC565" s="84" t="str">
        <f>IF(S565&lt;&gt;"",(X565-SUMPRODUCT(S$3:S565,$B$3:$B565)/SUM($B$3:$B565))/STDEVA(X555:X565),"")</f>
        <v/>
      </c>
      <c r="AD565" s="84" t="str">
        <f>IF(T565&lt;&gt;"",(Y565-SUMPRODUCT(T$3:T565,$B$3:$B565)/SUM($B$3:$B565))/STDEVA(Y555:Y565),"")</f>
        <v/>
      </c>
      <c r="AE565" s="84" t="str">
        <f>IF(U565&lt;&gt;"",(Z565-SUMPRODUCT(U$3:U565,$B$3:$B565)/SUM($B$3:$B565))/STDEVA(Z555:Z565),"")</f>
        <v/>
      </c>
      <c r="AF565" s="85" t="str">
        <f>IF(V565&lt;&gt;"",(AA565-SUMPRODUCT(V$3:V565,$B$3:$B565)/SUM($B$3:$B565))/STDEVA(AA555:AA565),"")</f>
        <v/>
      </c>
      <c r="AG565" s="90" t="str">
        <f t="shared" si="230"/>
        <v/>
      </c>
      <c r="AH565" s="90" t="str">
        <f t="shared" si="230"/>
        <v/>
      </c>
      <c r="AI565" s="90" t="str">
        <f t="shared" si="230"/>
        <v/>
      </c>
      <c r="AJ565" s="90" t="str">
        <f t="shared" si="229"/>
        <v/>
      </c>
      <c r="AK565" s="93" t="str">
        <f t="shared" si="229"/>
        <v/>
      </c>
      <c r="BQ565" s="100" t="str">
        <f>IF(A565&lt;&gt;"",(VLOOKUP(A565,MarketData!$D:$BP,MATCH($BQ$1,MarketData!$D$1:$EG$1,0),TRUE)/100/365+1)^(B565)*BQ564,"")</f>
        <v/>
      </c>
      <c r="BR565" s="98" t="str">
        <f t="shared" si="207"/>
        <v/>
      </c>
      <c r="BS565" s="106" t="str">
        <f>IF(A565&lt;&gt;"",VLOOKUP(A565,MarketData!$D:$BP,MATCH($BS$1,MarketData!$D$1:$EG$1,0),TRUE),"")</f>
        <v/>
      </c>
      <c r="BT565" s="98" t="str">
        <f t="shared" si="218"/>
        <v/>
      </c>
    </row>
    <row r="566" spans="2:72" x14ac:dyDescent="0.25">
      <c r="B566" s="60" t="str">
        <f t="shared" si="231"/>
        <v/>
      </c>
      <c r="C566" s="3" t="str">
        <f t="shared" si="208"/>
        <v/>
      </c>
      <c r="D566" s="3" t="str">
        <f t="shared" si="209"/>
        <v/>
      </c>
      <c r="E566" s="3" t="str">
        <f t="shared" si="210"/>
        <v/>
      </c>
      <c r="F566" s="3" t="str">
        <f t="shared" si="211"/>
        <v/>
      </c>
      <c r="G566" s="74" t="str">
        <f t="shared" si="212"/>
        <v/>
      </c>
      <c r="H566" s="78" t="str">
        <f>IFERROR(C566/SUM(M$2:M565),"")</f>
        <v/>
      </c>
      <c r="I566" s="61" t="str">
        <f>IFERROR(D566/SUM(N$2:N566),"")</f>
        <v/>
      </c>
      <c r="J566" s="61" t="str">
        <f>IFERROR(E566/SUM(O$2:O566),"")</f>
        <v/>
      </c>
      <c r="K566" s="61" t="str">
        <f>IFERROR(F566/SUM(P$2:P566),"")</f>
        <v/>
      </c>
      <c r="L566" s="79" t="str">
        <f>IFERROR(G566/SUM(Q$2:Q566),"")</f>
        <v/>
      </c>
      <c r="M566" s="64" t="str">
        <f t="shared" si="213"/>
        <v/>
      </c>
      <c r="N566" s="55" t="str">
        <f t="shared" si="214"/>
        <v/>
      </c>
      <c r="O566" s="55" t="str">
        <f t="shared" si="215"/>
        <v/>
      </c>
      <c r="P566" s="55" t="str">
        <f t="shared" si="216"/>
        <v/>
      </c>
      <c r="Q566" s="65" t="str">
        <f t="shared" si="217"/>
        <v/>
      </c>
      <c r="R566" s="67" t="str">
        <f t="shared" si="219"/>
        <v/>
      </c>
      <c r="S566" s="56" t="str">
        <f t="shared" si="220"/>
        <v/>
      </c>
      <c r="T566" s="56" t="str">
        <f t="shared" si="221"/>
        <v/>
      </c>
      <c r="U566" s="56" t="str">
        <f t="shared" si="222"/>
        <v/>
      </c>
      <c r="V566" s="68" t="str">
        <f t="shared" si="223"/>
        <v/>
      </c>
      <c r="W566" s="80" t="str">
        <f t="shared" si="224"/>
        <v/>
      </c>
      <c r="X566" s="81" t="str">
        <f t="shared" si="225"/>
        <v/>
      </c>
      <c r="Y566" s="81" t="str">
        <f t="shared" si="226"/>
        <v/>
      </c>
      <c r="Z566" s="81" t="str">
        <f t="shared" si="227"/>
        <v/>
      </c>
      <c r="AA566" s="82" t="str">
        <f t="shared" si="228"/>
        <v/>
      </c>
      <c r="AB566" s="83" t="str">
        <f>IF(R566&lt;&gt;"",(W566-SUMPRODUCT(R$3:R566,$B$3:$B566)/SUM($B$3:$B566))/STDEVA(W556:W566),"")</f>
        <v/>
      </c>
      <c r="AC566" s="84" t="str">
        <f>IF(S566&lt;&gt;"",(X566-SUMPRODUCT(S$3:S566,$B$3:$B566)/SUM($B$3:$B566))/STDEVA(X556:X566),"")</f>
        <v/>
      </c>
      <c r="AD566" s="84" t="str">
        <f>IF(T566&lt;&gt;"",(Y566-SUMPRODUCT(T$3:T566,$B$3:$B566)/SUM($B$3:$B566))/STDEVA(Y556:Y566),"")</f>
        <v/>
      </c>
      <c r="AE566" s="84" t="str">
        <f>IF(U566&lt;&gt;"",(Z566-SUMPRODUCT(U$3:U566,$B$3:$B566)/SUM($B$3:$B566))/STDEVA(Z556:Z566),"")</f>
        <v/>
      </c>
      <c r="AF566" s="85" t="str">
        <f>IF(V566&lt;&gt;"",(AA566-SUMPRODUCT(V$3:V566,$B$3:$B566)/SUM($B$3:$B566))/STDEVA(AA556:AA566),"")</f>
        <v/>
      </c>
      <c r="AG566" s="90" t="str">
        <f t="shared" si="230"/>
        <v/>
      </c>
      <c r="AH566" s="90" t="str">
        <f t="shared" si="230"/>
        <v/>
      </c>
      <c r="AI566" s="90" t="str">
        <f t="shared" si="230"/>
        <v/>
      </c>
      <c r="AJ566" s="90" t="str">
        <f t="shared" si="229"/>
        <v/>
      </c>
      <c r="AK566" s="93" t="str">
        <f t="shared" si="229"/>
        <v/>
      </c>
      <c r="BQ566" s="100" t="str">
        <f>IF(A566&lt;&gt;"",(VLOOKUP(A566,MarketData!$D:$BP,MATCH($BQ$1,MarketData!$D$1:$EG$1,0),TRUE)/100/365+1)^(B566)*BQ565,"")</f>
        <v/>
      </c>
      <c r="BR566" s="98" t="str">
        <f t="shared" si="207"/>
        <v/>
      </c>
      <c r="BS566" s="106" t="str">
        <f>IF(A566&lt;&gt;"",VLOOKUP(A566,MarketData!$D:$BP,MATCH($BS$1,MarketData!$D$1:$EG$1,0),TRUE),"")</f>
        <v/>
      </c>
      <c r="BT566" s="98" t="str">
        <f t="shared" si="218"/>
        <v/>
      </c>
    </row>
    <row r="567" spans="2:72" x14ac:dyDescent="0.25">
      <c r="B567" s="60" t="str">
        <f t="shared" si="231"/>
        <v/>
      </c>
      <c r="C567" s="3" t="str">
        <f t="shared" si="208"/>
        <v/>
      </c>
      <c r="D567" s="3" t="str">
        <f t="shared" si="209"/>
        <v/>
      </c>
      <c r="E567" s="3" t="str">
        <f t="shared" si="210"/>
        <v/>
      </c>
      <c r="F567" s="3" t="str">
        <f t="shared" si="211"/>
        <v/>
      </c>
      <c r="G567" s="74" t="str">
        <f t="shared" si="212"/>
        <v/>
      </c>
      <c r="H567" s="78" t="str">
        <f>IFERROR(C567/SUM(M$2:M566),"")</f>
        <v/>
      </c>
      <c r="I567" s="61" t="str">
        <f>IFERROR(D567/SUM(N$2:N567),"")</f>
        <v/>
      </c>
      <c r="J567" s="61" t="str">
        <f>IFERROR(E567/SUM(O$2:O567),"")</f>
        <v/>
      </c>
      <c r="K567" s="61" t="str">
        <f>IFERROR(F567/SUM(P$2:P567),"")</f>
        <v/>
      </c>
      <c r="L567" s="79" t="str">
        <f>IFERROR(G567/SUM(Q$2:Q567),"")</f>
        <v/>
      </c>
      <c r="M567" s="64" t="str">
        <f t="shared" si="213"/>
        <v/>
      </c>
      <c r="N567" s="55" t="str">
        <f t="shared" si="214"/>
        <v/>
      </c>
      <c r="O567" s="55" t="str">
        <f t="shared" si="215"/>
        <v/>
      </c>
      <c r="P567" s="55" t="str">
        <f t="shared" si="216"/>
        <v/>
      </c>
      <c r="Q567" s="65" t="str">
        <f t="shared" si="217"/>
        <v/>
      </c>
      <c r="R567" s="67" t="str">
        <f t="shared" si="219"/>
        <v/>
      </c>
      <c r="S567" s="56" t="str">
        <f t="shared" si="220"/>
        <v/>
      </c>
      <c r="T567" s="56" t="str">
        <f t="shared" si="221"/>
        <v/>
      </c>
      <c r="U567" s="56" t="str">
        <f t="shared" si="222"/>
        <v/>
      </c>
      <c r="V567" s="68" t="str">
        <f t="shared" si="223"/>
        <v/>
      </c>
      <c r="W567" s="80" t="str">
        <f t="shared" si="224"/>
        <v/>
      </c>
      <c r="X567" s="81" t="str">
        <f t="shared" si="225"/>
        <v/>
      </c>
      <c r="Y567" s="81" t="str">
        <f t="shared" si="226"/>
        <v/>
      </c>
      <c r="Z567" s="81" t="str">
        <f t="shared" si="227"/>
        <v/>
      </c>
      <c r="AA567" s="82" t="str">
        <f t="shared" si="228"/>
        <v/>
      </c>
      <c r="AB567" s="83" t="str">
        <f>IF(R567&lt;&gt;"",(W567-SUMPRODUCT(R$3:R567,$B$3:$B567)/SUM($B$3:$B567))/STDEVA(W557:W567),"")</f>
        <v/>
      </c>
      <c r="AC567" s="84" t="str">
        <f>IF(S567&lt;&gt;"",(X567-SUMPRODUCT(S$3:S567,$B$3:$B567)/SUM($B$3:$B567))/STDEVA(X557:X567),"")</f>
        <v/>
      </c>
      <c r="AD567" s="84" t="str">
        <f>IF(T567&lt;&gt;"",(Y567-SUMPRODUCT(T$3:T567,$B$3:$B567)/SUM($B$3:$B567))/STDEVA(Y557:Y567),"")</f>
        <v/>
      </c>
      <c r="AE567" s="84" t="str">
        <f>IF(U567&lt;&gt;"",(Z567-SUMPRODUCT(U$3:U567,$B$3:$B567)/SUM($B$3:$B567))/STDEVA(Z557:Z567),"")</f>
        <v/>
      </c>
      <c r="AF567" s="85" t="str">
        <f>IF(V567&lt;&gt;"",(AA567-SUMPRODUCT(V$3:V567,$B$3:$B567)/SUM($B$3:$B567))/STDEVA(AA557:AA567),"")</f>
        <v/>
      </c>
      <c r="AG567" s="90" t="str">
        <f t="shared" si="230"/>
        <v/>
      </c>
      <c r="AH567" s="90" t="str">
        <f t="shared" si="230"/>
        <v/>
      </c>
      <c r="AI567" s="90" t="str">
        <f t="shared" si="230"/>
        <v/>
      </c>
      <c r="AJ567" s="90" t="str">
        <f t="shared" si="229"/>
        <v/>
      </c>
      <c r="AK567" s="93" t="str">
        <f t="shared" si="229"/>
        <v/>
      </c>
      <c r="BQ567" s="100" t="str">
        <f>IF(A567&lt;&gt;"",(VLOOKUP(A567,MarketData!$D:$BP,MATCH($BQ$1,MarketData!$D$1:$EG$1,0),TRUE)/100/365+1)^(B567)*BQ566,"")</f>
        <v/>
      </c>
      <c r="BR567" s="98" t="str">
        <f t="shared" si="207"/>
        <v/>
      </c>
      <c r="BS567" s="106" t="str">
        <f>IF(A567&lt;&gt;"",VLOOKUP(A567,MarketData!$D:$BP,MATCH($BS$1,MarketData!$D$1:$EG$1,0),TRUE),"")</f>
        <v/>
      </c>
      <c r="BT567" s="98" t="str">
        <f t="shared" si="218"/>
        <v/>
      </c>
    </row>
    <row r="568" spans="2:72" x14ac:dyDescent="0.25">
      <c r="B568" s="60" t="str">
        <f t="shared" si="231"/>
        <v/>
      </c>
      <c r="C568" s="3" t="str">
        <f t="shared" si="208"/>
        <v/>
      </c>
      <c r="D568" s="3" t="str">
        <f t="shared" si="209"/>
        <v/>
      </c>
      <c r="E568" s="3" t="str">
        <f t="shared" si="210"/>
        <v/>
      </c>
      <c r="F568" s="3" t="str">
        <f t="shared" si="211"/>
        <v/>
      </c>
      <c r="G568" s="74" t="str">
        <f t="shared" si="212"/>
        <v/>
      </c>
      <c r="H568" s="78" t="str">
        <f>IFERROR(C568/SUM(M$2:M567),"")</f>
        <v/>
      </c>
      <c r="I568" s="61" t="str">
        <f>IFERROR(D568/SUM(N$2:N568),"")</f>
        <v/>
      </c>
      <c r="J568" s="61" t="str">
        <f>IFERROR(E568/SUM(O$2:O568),"")</f>
        <v/>
      </c>
      <c r="K568" s="61" t="str">
        <f>IFERROR(F568/SUM(P$2:P568),"")</f>
        <v/>
      </c>
      <c r="L568" s="79" t="str">
        <f>IFERROR(G568/SUM(Q$2:Q568),"")</f>
        <v/>
      </c>
      <c r="M568" s="64" t="str">
        <f t="shared" si="213"/>
        <v/>
      </c>
      <c r="N568" s="55" t="str">
        <f t="shared" si="214"/>
        <v/>
      </c>
      <c r="O568" s="55" t="str">
        <f t="shared" si="215"/>
        <v/>
      </c>
      <c r="P568" s="55" t="str">
        <f t="shared" si="216"/>
        <v/>
      </c>
      <c r="Q568" s="65" t="str">
        <f t="shared" si="217"/>
        <v/>
      </c>
      <c r="R568" s="67" t="str">
        <f t="shared" si="219"/>
        <v/>
      </c>
      <c r="S568" s="56" t="str">
        <f t="shared" si="220"/>
        <v/>
      </c>
      <c r="T568" s="56" t="str">
        <f t="shared" si="221"/>
        <v/>
      </c>
      <c r="U568" s="56" t="str">
        <f t="shared" si="222"/>
        <v/>
      </c>
      <c r="V568" s="68" t="str">
        <f t="shared" si="223"/>
        <v/>
      </c>
      <c r="W568" s="80" t="str">
        <f t="shared" si="224"/>
        <v/>
      </c>
      <c r="X568" s="81" t="str">
        <f t="shared" si="225"/>
        <v/>
      </c>
      <c r="Y568" s="81" t="str">
        <f t="shared" si="226"/>
        <v/>
      </c>
      <c r="Z568" s="81" t="str">
        <f t="shared" si="227"/>
        <v/>
      </c>
      <c r="AA568" s="82" t="str">
        <f t="shared" si="228"/>
        <v/>
      </c>
      <c r="AB568" s="83" t="str">
        <f>IF(R568&lt;&gt;"",(W568-SUMPRODUCT(R$3:R568,$B$3:$B568)/SUM($B$3:$B568))/STDEVA(W558:W568),"")</f>
        <v/>
      </c>
      <c r="AC568" s="84" t="str">
        <f>IF(S568&lt;&gt;"",(X568-SUMPRODUCT(S$3:S568,$B$3:$B568)/SUM($B$3:$B568))/STDEVA(X558:X568),"")</f>
        <v/>
      </c>
      <c r="AD568" s="84" t="str">
        <f>IF(T568&lt;&gt;"",(Y568-SUMPRODUCT(T$3:T568,$B$3:$B568)/SUM($B$3:$B568))/STDEVA(Y558:Y568),"")</f>
        <v/>
      </c>
      <c r="AE568" s="84" t="str">
        <f>IF(U568&lt;&gt;"",(Z568-SUMPRODUCT(U$3:U568,$B$3:$B568)/SUM($B$3:$B568))/STDEVA(Z558:Z568),"")</f>
        <v/>
      </c>
      <c r="AF568" s="85" t="str">
        <f>IF(V568&lt;&gt;"",(AA568-SUMPRODUCT(V$3:V568,$B$3:$B568)/SUM($B$3:$B568))/STDEVA(AA558:AA568),"")</f>
        <v/>
      </c>
      <c r="AG568" s="90" t="str">
        <f t="shared" si="230"/>
        <v/>
      </c>
      <c r="AH568" s="90" t="str">
        <f t="shared" si="230"/>
        <v/>
      </c>
      <c r="AI568" s="90" t="str">
        <f t="shared" si="230"/>
        <v/>
      </c>
      <c r="AJ568" s="90" t="str">
        <f t="shared" si="229"/>
        <v/>
      </c>
      <c r="AK568" s="93" t="str">
        <f t="shared" si="229"/>
        <v/>
      </c>
      <c r="BQ568" s="100" t="str">
        <f>IF(A568&lt;&gt;"",(VLOOKUP(A568,MarketData!$D:$BP,MATCH($BQ$1,MarketData!$D$1:$EG$1,0),TRUE)/100/365+1)^(B568)*BQ567,"")</f>
        <v/>
      </c>
      <c r="BR568" s="98" t="str">
        <f t="shared" si="207"/>
        <v/>
      </c>
      <c r="BS568" s="106" t="str">
        <f>IF(A568&lt;&gt;"",VLOOKUP(A568,MarketData!$D:$BP,MATCH($BS$1,MarketData!$D$1:$EG$1,0),TRUE),"")</f>
        <v/>
      </c>
      <c r="BT568" s="98" t="str">
        <f t="shared" si="218"/>
        <v/>
      </c>
    </row>
    <row r="569" spans="2:72" x14ac:dyDescent="0.25">
      <c r="B569" s="60" t="str">
        <f t="shared" si="231"/>
        <v/>
      </c>
      <c r="C569" s="3" t="str">
        <f t="shared" si="208"/>
        <v/>
      </c>
      <c r="D569" s="3" t="str">
        <f t="shared" si="209"/>
        <v/>
      </c>
      <c r="E569" s="3" t="str">
        <f t="shared" si="210"/>
        <v/>
      </c>
      <c r="F569" s="3" t="str">
        <f t="shared" si="211"/>
        <v/>
      </c>
      <c r="G569" s="74" t="str">
        <f t="shared" si="212"/>
        <v/>
      </c>
      <c r="H569" s="78" t="str">
        <f>IFERROR(C569/SUM(M$2:M568),"")</f>
        <v/>
      </c>
      <c r="I569" s="61" t="str">
        <f>IFERROR(D569/SUM(N$2:N569),"")</f>
        <v/>
      </c>
      <c r="J569" s="61" t="str">
        <f>IFERROR(E569/SUM(O$2:O569),"")</f>
        <v/>
      </c>
      <c r="K569" s="61" t="str">
        <f>IFERROR(F569/SUM(P$2:P569),"")</f>
        <v/>
      </c>
      <c r="L569" s="79" t="str">
        <f>IFERROR(G569/SUM(Q$2:Q569),"")</f>
        <v/>
      </c>
      <c r="M569" s="64" t="str">
        <f t="shared" si="213"/>
        <v/>
      </c>
      <c r="N569" s="55" t="str">
        <f t="shared" si="214"/>
        <v/>
      </c>
      <c r="O569" s="55" t="str">
        <f t="shared" si="215"/>
        <v/>
      </c>
      <c r="P569" s="55" t="str">
        <f t="shared" si="216"/>
        <v/>
      </c>
      <c r="Q569" s="65" t="str">
        <f t="shared" si="217"/>
        <v/>
      </c>
      <c r="R569" s="67" t="str">
        <f t="shared" si="219"/>
        <v/>
      </c>
      <c r="S569" s="56" t="str">
        <f t="shared" si="220"/>
        <v/>
      </c>
      <c r="T569" s="56" t="str">
        <f t="shared" si="221"/>
        <v/>
      </c>
      <c r="U569" s="56" t="str">
        <f t="shared" si="222"/>
        <v/>
      </c>
      <c r="V569" s="68" t="str">
        <f t="shared" si="223"/>
        <v/>
      </c>
      <c r="W569" s="80" t="str">
        <f t="shared" si="224"/>
        <v/>
      </c>
      <c r="X569" s="81" t="str">
        <f t="shared" si="225"/>
        <v/>
      </c>
      <c r="Y569" s="81" t="str">
        <f t="shared" si="226"/>
        <v/>
      </c>
      <c r="Z569" s="81" t="str">
        <f t="shared" si="227"/>
        <v/>
      </c>
      <c r="AA569" s="82" t="str">
        <f t="shared" si="228"/>
        <v/>
      </c>
      <c r="AB569" s="83" t="str">
        <f>IF(R569&lt;&gt;"",(W569-SUMPRODUCT(R$3:R569,$B$3:$B569)/SUM($B$3:$B569))/STDEVA(W559:W569),"")</f>
        <v/>
      </c>
      <c r="AC569" s="84" t="str">
        <f>IF(S569&lt;&gt;"",(X569-SUMPRODUCT(S$3:S569,$B$3:$B569)/SUM($B$3:$B569))/STDEVA(X559:X569),"")</f>
        <v/>
      </c>
      <c r="AD569" s="84" t="str">
        <f>IF(T569&lt;&gt;"",(Y569-SUMPRODUCT(T$3:T569,$B$3:$B569)/SUM($B$3:$B569))/STDEVA(Y559:Y569),"")</f>
        <v/>
      </c>
      <c r="AE569" s="84" t="str">
        <f>IF(U569&lt;&gt;"",(Z569-SUMPRODUCT(U$3:U569,$B$3:$B569)/SUM($B$3:$B569))/STDEVA(Z559:Z569),"")</f>
        <v/>
      </c>
      <c r="AF569" s="85" t="str">
        <f>IF(V569&lt;&gt;"",(AA569-SUMPRODUCT(V$3:V569,$B$3:$B569)/SUM($B$3:$B569))/STDEVA(AA559:AA569),"")</f>
        <v/>
      </c>
      <c r="AG569" s="90" t="str">
        <f t="shared" si="230"/>
        <v/>
      </c>
      <c r="AH569" s="90" t="str">
        <f t="shared" si="230"/>
        <v/>
      </c>
      <c r="AI569" s="90" t="str">
        <f t="shared" si="230"/>
        <v/>
      </c>
      <c r="AJ569" s="90" t="str">
        <f t="shared" si="229"/>
        <v/>
      </c>
      <c r="AK569" s="93" t="str">
        <f t="shared" si="229"/>
        <v/>
      </c>
      <c r="BQ569" s="100" t="str">
        <f>IF(A569&lt;&gt;"",(VLOOKUP(A569,MarketData!$D:$BP,MATCH($BQ$1,MarketData!$D$1:$EG$1,0),TRUE)/100/365+1)^(B569)*BQ568,"")</f>
        <v/>
      </c>
      <c r="BR569" s="98" t="str">
        <f t="shared" si="207"/>
        <v/>
      </c>
      <c r="BS569" s="106" t="str">
        <f>IF(A569&lt;&gt;"",VLOOKUP(A569,MarketData!$D:$BP,MATCH($BS$1,MarketData!$D$1:$EG$1,0),TRUE),"")</f>
        <v/>
      </c>
      <c r="BT569" s="98" t="str">
        <f t="shared" si="218"/>
        <v/>
      </c>
    </row>
    <row r="570" spans="2:72" x14ac:dyDescent="0.25">
      <c r="B570" s="60" t="str">
        <f t="shared" si="231"/>
        <v/>
      </c>
      <c r="C570" s="3" t="str">
        <f t="shared" si="208"/>
        <v/>
      </c>
      <c r="D570" s="3" t="str">
        <f t="shared" si="209"/>
        <v/>
      </c>
      <c r="E570" s="3" t="str">
        <f t="shared" si="210"/>
        <v/>
      </c>
      <c r="F570" s="3" t="str">
        <f t="shared" si="211"/>
        <v/>
      </c>
      <c r="G570" s="74" t="str">
        <f t="shared" si="212"/>
        <v/>
      </c>
      <c r="H570" s="78" t="str">
        <f>IFERROR(C570/SUM(M$2:M569),"")</f>
        <v/>
      </c>
      <c r="I570" s="61" t="str">
        <f>IFERROR(D570/SUM(N$2:N570),"")</f>
        <v/>
      </c>
      <c r="J570" s="61" t="str">
        <f>IFERROR(E570/SUM(O$2:O570),"")</f>
        <v/>
      </c>
      <c r="K570" s="61" t="str">
        <f>IFERROR(F570/SUM(P$2:P570),"")</f>
        <v/>
      </c>
      <c r="L570" s="79" t="str">
        <f>IFERROR(G570/SUM(Q$2:Q570),"")</f>
        <v/>
      </c>
      <c r="M570" s="64" t="str">
        <f t="shared" si="213"/>
        <v/>
      </c>
      <c r="N570" s="55" t="str">
        <f t="shared" si="214"/>
        <v/>
      </c>
      <c r="O570" s="55" t="str">
        <f t="shared" si="215"/>
        <v/>
      </c>
      <c r="P570" s="55" t="str">
        <f t="shared" si="216"/>
        <v/>
      </c>
      <c r="Q570" s="65" t="str">
        <f t="shared" si="217"/>
        <v/>
      </c>
      <c r="R570" s="67" t="str">
        <f t="shared" si="219"/>
        <v/>
      </c>
      <c r="S570" s="56" t="str">
        <f t="shared" si="220"/>
        <v/>
      </c>
      <c r="T570" s="56" t="str">
        <f t="shared" si="221"/>
        <v/>
      </c>
      <c r="U570" s="56" t="str">
        <f t="shared" si="222"/>
        <v/>
      </c>
      <c r="V570" s="68" t="str">
        <f t="shared" si="223"/>
        <v/>
      </c>
      <c r="W570" s="80" t="str">
        <f t="shared" si="224"/>
        <v/>
      </c>
      <c r="X570" s="81" t="str">
        <f t="shared" si="225"/>
        <v/>
      </c>
      <c r="Y570" s="81" t="str">
        <f t="shared" si="226"/>
        <v/>
      </c>
      <c r="Z570" s="81" t="str">
        <f t="shared" si="227"/>
        <v/>
      </c>
      <c r="AA570" s="82" t="str">
        <f t="shared" si="228"/>
        <v/>
      </c>
      <c r="AB570" s="83" t="str">
        <f>IF(R570&lt;&gt;"",(W570-SUMPRODUCT(R$3:R570,$B$3:$B570)/SUM($B$3:$B570))/STDEVA(W560:W570),"")</f>
        <v/>
      </c>
      <c r="AC570" s="84" t="str">
        <f>IF(S570&lt;&gt;"",(X570-SUMPRODUCT(S$3:S570,$B$3:$B570)/SUM($B$3:$B570))/STDEVA(X560:X570),"")</f>
        <v/>
      </c>
      <c r="AD570" s="84" t="str">
        <f>IF(T570&lt;&gt;"",(Y570-SUMPRODUCT(T$3:T570,$B$3:$B570)/SUM($B$3:$B570))/STDEVA(Y560:Y570),"")</f>
        <v/>
      </c>
      <c r="AE570" s="84" t="str">
        <f>IF(U570&lt;&gt;"",(Z570-SUMPRODUCT(U$3:U570,$B$3:$B570)/SUM($B$3:$B570))/STDEVA(Z560:Z570),"")</f>
        <v/>
      </c>
      <c r="AF570" s="85" t="str">
        <f>IF(V570&lt;&gt;"",(AA570-SUMPRODUCT(V$3:V570,$B$3:$B570)/SUM($B$3:$B570))/STDEVA(AA560:AA570),"")</f>
        <v/>
      </c>
      <c r="AG570" s="90" t="str">
        <f t="shared" si="230"/>
        <v/>
      </c>
      <c r="AH570" s="90" t="str">
        <f t="shared" si="230"/>
        <v/>
      </c>
      <c r="AI570" s="90" t="str">
        <f t="shared" si="230"/>
        <v/>
      </c>
      <c r="AJ570" s="90" t="str">
        <f t="shared" si="229"/>
        <v/>
      </c>
      <c r="AK570" s="93" t="str">
        <f t="shared" si="229"/>
        <v/>
      </c>
      <c r="BQ570" s="100" t="str">
        <f>IF(A570&lt;&gt;"",(VLOOKUP(A570,MarketData!$D:$BP,MATCH($BQ$1,MarketData!$D$1:$EG$1,0),TRUE)/100/365+1)^(B570)*BQ569,"")</f>
        <v/>
      </c>
      <c r="BR570" s="98" t="str">
        <f t="shared" si="207"/>
        <v/>
      </c>
      <c r="BS570" s="106" t="str">
        <f>IF(A570&lt;&gt;"",VLOOKUP(A570,MarketData!$D:$BP,MATCH($BS$1,MarketData!$D$1:$EG$1,0),TRUE),"")</f>
        <v/>
      </c>
      <c r="BT570" s="98" t="str">
        <f t="shared" si="218"/>
        <v/>
      </c>
    </row>
    <row r="571" spans="2:72" x14ac:dyDescent="0.25">
      <c r="B571" s="60" t="str">
        <f t="shared" si="231"/>
        <v/>
      </c>
      <c r="C571" s="3" t="str">
        <f t="shared" si="208"/>
        <v/>
      </c>
      <c r="D571" s="3" t="str">
        <f t="shared" si="209"/>
        <v/>
      </c>
      <c r="E571" s="3" t="str">
        <f t="shared" si="210"/>
        <v/>
      </c>
      <c r="F571" s="3" t="str">
        <f t="shared" si="211"/>
        <v/>
      </c>
      <c r="G571" s="74" t="str">
        <f t="shared" si="212"/>
        <v/>
      </c>
      <c r="H571" s="78" t="str">
        <f>IFERROR(C571/SUM(M$2:M570),"")</f>
        <v/>
      </c>
      <c r="I571" s="61" t="str">
        <f>IFERROR(D571/SUM(N$2:N571),"")</f>
        <v/>
      </c>
      <c r="J571" s="61" t="str">
        <f>IFERROR(E571/SUM(O$2:O571),"")</f>
        <v/>
      </c>
      <c r="K571" s="61" t="str">
        <f>IFERROR(F571/SUM(P$2:P571),"")</f>
        <v/>
      </c>
      <c r="L571" s="79" t="str">
        <f>IFERROR(G571/SUM(Q$2:Q571),"")</f>
        <v/>
      </c>
      <c r="M571" s="64" t="str">
        <f t="shared" si="213"/>
        <v/>
      </c>
      <c r="N571" s="55" t="str">
        <f t="shared" si="214"/>
        <v/>
      </c>
      <c r="O571" s="55" t="str">
        <f t="shared" si="215"/>
        <v/>
      </c>
      <c r="P571" s="55" t="str">
        <f t="shared" si="216"/>
        <v/>
      </c>
      <c r="Q571" s="65" t="str">
        <f t="shared" si="217"/>
        <v/>
      </c>
      <c r="R571" s="67" t="str">
        <f t="shared" si="219"/>
        <v/>
      </c>
      <c r="S571" s="56" t="str">
        <f t="shared" si="220"/>
        <v/>
      </c>
      <c r="T571" s="56" t="str">
        <f t="shared" si="221"/>
        <v/>
      </c>
      <c r="U571" s="56" t="str">
        <f t="shared" si="222"/>
        <v/>
      </c>
      <c r="V571" s="68" t="str">
        <f t="shared" si="223"/>
        <v/>
      </c>
      <c r="W571" s="80" t="str">
        <f t="shared" si="224"/>
        <v/>
      </c>
      <c r="X571" s="81" t="str">
        <f t="shared" si="225"/>
        <v/>
      </c>
      <c r="Y571" s="81" t="str">
        <f t="shared" si="226"/>
        <v/>
      </c>
      <c r="Z571" s="81" t="str">
        <f t="shared" si="227"/>
        <v/>
      </c>
      <c r="AA571" s="82" t="str">
        <f t="shared" si="228"/>
        <v/>
      </c>
      <c r="AB571" s="83" t="str">
        <f>IF(R571&lt;&gt;"",(W571-SUMPRODUCT(R$3:R571,$B$3:$B571)/SUM($B$3:$B571))/STDEVA(W561:W571),"")</f>
        <v/>
      </c>
      <c r="AC571" s="84" t="str">
        <f>IF(S571&lt;&gt;"",(X571-SUMPRODUCT(S$3:S571,$B$3:$B571)/SUM($B$3:$B571))/STDEVA(X561:X571),"")</f>
        <v/>
      </c>
      <c r="AD571" s="84" t="str">
        <f>IF(T571&lt;&gt;"",(Y571-SUMPRODUCT(T$3:T571,$B$3:$B571)/SUM($B$3:$B571))/STDEVA(Y561:Y571),"")</f>
        <v/>
      </c>
      <c r="AE571" s="84" t="str">
        <f>IF(U571&lt;&gt;"",(Z571-SUMPRODUCT(U$3:U571,$B$3:$B571)/SUM($B$3:$B571))/STDEVA(Z561:Z571),"")</f>
        <v/>
      </c>
      <c r="AF571" s="85" t="str">
        <f>IF(V571&lt;&gt;"",(AA571-SUMPRODUCT(V$3:V571,$B$3:$B571)/SUM($B$3:$B571))/STDEVA(AA561:AA571),"")</f>
        <v/>
      </c>
      <c r="AG571" s="90" t="str">
        <f t="shared" si="230"/>
        <v/>
      </c>
      <c r="AH571" s="90" t="str">
        <f t="shared" si="230"/>
        <v/>
      </c>
      <c r="AI571" s="90" t="str">
        <f t="shared" si="230"/>
        <v/>
      </c>
      <c r="AJ571" s="90" t="str">
        <f t="shared" si="229"/>
        <v/>
      </c>
      <c r="AK571" s="93" t="str">
        <f t="shared" si="229"/>
        <v/>
      </c>
      <c r="BQ571" s="100" t="str">
        <f>IF(A571&lt;&gt;"",(VLOOKUP(A571,MarketData!$D:$BP,MATCH($BQ$1,MarketData!$D$1:$EG$1,0),TRUE)/100/365+1)^(B571)*BQ570,"")</f>
        <v/>
      </c>
      <c r="BR571" s="98" t="str">
        <f t="shared" si="207"/>
        <v/>
      </c>
      <c r="BS571" s="106" t="str">
        <f>IF(A571&lt;&gt;"",VLOOKUP(A571,MarketData!$D:$BP,MATCH($BS$1,MarketData!$D$1:$EG$1,0),TRUE),"")</f>
        <v/>
      </c>
      <c r="BT571" s="98" t="str">
        <f t="shared" si="218"/>
        <v/>
      </c>
    </row>
    <row r="572" spans="2:72" x14ac:dyDescent="0.25">
      <c r="B572" s="60" t="str">
        <f t="shared" si="231"/>
        <v/>
      </c>
      <c r="C572" s="3" t="str">
        <f t="shared" si="208"/>
        <v/>
      </c>
      <c r="D572" s="3" t="str">
        <f t="shared" si="209"/>
        <v/>
      </c>
      <c r="E572" s="3" t="str">
        <f t="shared" si="210"/>
        <v/>
      </c>
      <c r="F572" s="3" t="str">
        <f t="shared" si="211"/>
        <v/>
      </c>
      <c r="G572" s="74" t="str">
        <f t="shared" si="212"/>
        <v/>
      </c>
      <c r="H572" s="78" t="str">
        <f>IFERROR(C572/SUM(M$2:M571),"")</f>
        <v/>
      </c>
      <c r="I572" s="61" t="str">
        <f>IFERROR(D572/SUM(N$2:N572),"")</f>
        <v/>
      </c>
      <c r="J572" s="61" t="str">
        <f>IFERROR(E572/SUM(O$2:O572),"")</f>
        <v/>
      </c>
      <c r="K572" s="61" t="str">
        <f>IFERROR(F572/SUM(P$2:P572),"")</f>
        <v/>
      </c>
      <c r="L572" s="79" t="str">
        <f>IFERROR(G572/SUM(Q$2:Q572),"")</f>
        <v/>
      </c>
      <c r="M572" s="64" t="str">
        <f t="shared" si="213"/>
        <v/>
      </c>
      <c r="N572" s="55" t="str">
        <f t="shared" si="214"/>
        <v/>
      </c>
      <c r="O572" s="55" t="str">
        <f t="shared" si="215"/>
        <v/>
      </c>
      <c r="P572" s="55" t="str">
        <f t="shared" si="216"/>
        <v/>
      </c>
      <c r="Q572" s="65" t="str">
        <f t="shared" si="217"/>
        <v/>
      </c>
      <c r="R572" s="67" t="str">
        <f t="shared" si="219"/>
        <v/>
      </c>
      <c r="S572" s="56" t="str">
        <f t="shared" si="220"/>
        <v/>
      </c>
      <c r="T572" s="56" t="str">
        <f t="shared" si="221"/>
        <v/>
      </c>
      <c r="U572" s="56" t="str">
        <f t="shared" si="222"/>
        <v/>
      </c>
      <c r="V572" s="68" t="str">
        <f t="shared" si="223"/>
        <v/>
      </c>
      <c r="W572" s="80" t="str">
        <f t="shared" si="224"/>
        <v/>
      </c>
      <c r="X572" s="81" t="str">
        <f t="shared" si="225"/>
        <v/>
      </c>
      <c r="Y572" s="81" t="str">
        <f t="shared" si="226"/>
        <v/>
      </c>
      <c r="Z572" s="81" t="str">
        <f t="shared" si="227"/>
        <v/>
      </c>
      <c r="AA572" s="82" t="str">
        <f t="shared" si="228"/>
        <v/>
      </c>
      <c r="AB572" s="83" t="str">
        <f>IF(R572&lt;&gt;"",(W572-SUMPRODUCT(R$3:R572,$B$3:$B572)/SUM($B$3:$B572))/STDEVA(W562:W572),"")</f>
        <v/>
      </c>
      <c r="AC572" s="84" t="str">
        <f>IF(S572&lt;&gt;"",(X572-SUMPRODUCT(S$3:S572,$B$3:$B572)/SUM($B$3:$B572))/STDEVA(X562:X572),"")</f>
        <v/>
      </c>
      <c r="AD572" s="84" t="str">
        <f>IF(T572&lt;&gt;"",(Y572-SUMPRODUCT(T$3:T572,$B$3:$B572)/SUM($B$3:$B572))/STDEVA(Y562:Y572),"")</f>
        <v/>
      </c>
      <c r="AE572" s="84" t="str">
        <f>IF(U572&lt;&gt;"",(Z572-SUMPRODUCT(U$3:U572,$B$3:$B572)/SUM($B$3:$B572))/STDEVA(Z562:Z572),"")</f>
        <v/>
      </c>
      <c r="AF572" s="85" t="str">
        <f>IF(V572&lt;&gt;"",(AA572-SUMPRODUCT(V$3:V572,$B$3:$B572)/SUM($B$3:$B572))/STDEVA(AA562:AA572),"")</f>
        <v/>
      </c>
      <c r="AG572" s="90" t="str">
        <f t="shared" si="230"/>
        <v/>
      </c>
      <c r="AH572" s="90" t="str">
        <f t="shared" si="230"/>
        <v/>
      </c>
      <c r="AI572" s="90" t="str">
        <f t="shared" si="230"/>
        <v/>
      </c>
      <c r="AJ572" s="90" t="str">
        <f t="shared" si="229"/>
        <v/>
      </c>
      <c r="AK572" s="93" t="str">
        <f t="shared" si="229"/>
        <v/>
      </c>
      <c r="BQ572" s="100" t="str">
        <f>IF(A572&lt;&gt;"",(VLOOKUP(A572,MarketData!$D:$BP,MATCH($BQ$1,MarketData!$D$1:$EG$1,0),TRUE)/100/365+1)^(B572)*BQ571,"")</f>
        <v/>
      </c>
      <c r="BR572" s="98" t="str">
        <f t="shared" si="207"/>
        <v/>
      </c>
      <c r="BS572" s="106" t="str">
        <f>IF(A572&lt;&gt;"",VLOOKUP(A572,MarketData!$D:$BP,MATCH($BS$1,MarketData!$D$1:$EG$1,0),TRUE),"")</f>
        <v/>
      </c>
      <c r="BT572" s="98" t="str">
        <f t="shared" si="218"/>
        <v/>
      </c>
    </row>
    <row r="573" spans="2:72" x14ac:dyDescent="0.25">
      <c r="B573" s="60" t="str">
        <f t="shared" si="231"/>
        <v/>
      </c>
      <c r="C573" s="3" t="str">
        <f t="shared" si="208"/>
        <v/>
      </c>
      <c r="D573" s="3" t="str">
        <f t="shared" si="209"/>
        <v/>
      </c>
      <c r="E573" s="3" t="str">
        <f t="shared" si="210"/>
        <v/>
      </c>
      <c r="F573" s="3" t="str">
        <f t="shared" si="211"/>
        <v/>
      </c>
      <c r="G573" s="74" t="str">
        <f t="shared" si="212"/>
        <v/>
      </c>
      <c r="H573" s="78" t="str">
        <f>IFERROR(C573/SUM(M$2:M572),"")</f>
        <v/>
      </c>
      <c r="I573" s="61" t="str">
        <f>IFERROR(D573/SUM(N$2:N573),"")</f>
        <v/>
      </c>
      <c r="J573" s="61" t="str">
        <f>IFERROR(E573/SUM(O$2:O573),"")</f>
        <v/>
      </c>
      <c r="K573" s="61" t="str">
        <f>IFERROR(F573/SUM(P$2:P573),"")</f>
        <v/>
      </c>
      <c r="L573" s="79" t="str">
        <f>IFERROR(G573/SUM(Q$2:Q573),"")</f>
        <v/>
      </c>
      <c r="M573" s="64" t="str">
        <f t="shared" si="213"/>
        <v/>
      </c>
      <c r="N573" s="55" t="str">
        <f t="shared" si="214"/>
        <v/>
      </c>
      <c r="O573" s="55" t="str">
        <f t="shared" si="215"/>
        <v/>
      </c>
      <c r="P573" s="55" t="str">
        <f t="shared" si="216"/>
        <v/>
      </c>
      <c r="Q573" s="65" t="str">
        <f t="shared" si="217"/>
        <v/>
      </c>
      <c r="R573" s="67" t="str">
        <f t="shared" si="219"/>
        <v/>
      </c>
      <c r="S573" s="56" t="str">
        <f t="shared" si="220"/>
        <v/>
      </c>
      <c r="T573" s="56" t="str">
        <f t="shared" si="221"/>
        <v/>
      </c>
      <c r="U573" s="56" t="str">
        <f t="shared" si="222"/>
        <v/>
      </c>
      <c r="V573" s="68" t="str">
        <f t="shared" si="223"/>
        <v/>
      </c>
      <c r="W573" s="80" t="str">
        <f t="shared" si="224"/>
        <v/>
      </c>
      <c r="X573" s="81" t="str">
        <f t="shared" si="225"/>
        <v/>
      </c>
      <c r="Y573" s="81" t="str">
        <f t="shared" si="226"/>
        <v/>
      </c>
      <c r="Z573" s="81" t="str">
        <f t="shared" si="227"/>
        <v/>
      </c>
      <c r="AA573" s="82" t="str">
        <f t="shared" si="228"/>
        <v/>
      </c>
      <c r="AB573" s="83" t="str">
        <f>IF(R573&lt;&gt;"",(W573-SUMPRODUCT(R$3:R573,$B$3:$B573)/SUM($B$3:$B573))/STDEVA(W563:W573),"")</f>
        <v/>
      </c>
      <c r="AC573" s="84" t="str">
        <f>IF(S573&lt;&gt;"",(X573-SUMPRODUCT(S$3:S573,$B$3:$B573)/SUM($B$3:$B573))/STDEVA(X563:X573),"")</f>
        <v/>
      </c>
      <c r="AD573" s="84" t="str">
        <f>IF(T573&lt;&gt;"",(Y573-SUMPRODUCT(T$3:T573,$B$3:$B573)/SUM($B$3:$B573))/STDEVA(Y563:Y573),"")</f>
        <v/>
      </c>
      <c r="AE573" s="84" t="str">
        <f>IF(U573&lt;&gt;"",(Z573-SUMPRODUCT(U$3:U573,$B$3:$B573)/SUM($B$3:$B573))/STDEVA(Z563:Z573),"")</f>
        <v/>
      </c>
      <c r="AF573" s="85" t="str">
        <f>IF(V573&lt;&gt;"",(AA573-SUMPRODUCT(V$3:V573,$B$3:$B573)/SUM($B$3:$B573))/STDEVA(AA563:AA573),"")</f>
        <v/>
      </c>
      <c r="AG573" s="90" t="str">
        <f t="shared" si="230"/>
        <v/>
      </c>
      <c r="AH573" s="90" t="str">
        <f t="shared" si="230"/>
        <v/>
      </c>
      <c r="AI573" s="90" t="str">
        <f t="shared" si="230"/>
        <v/>
      </c>
      <c r="AJ573" s="90" t="str">
        <f t="shared" si="229"/>
        <v/>
      </c>
      <c r="AK573" s="93" t="str">
        <f t="shared" si="229"/>
        <v/>
      </c>
      <c r="BQ573" s="100" t="str">
        <f>IF(A573&lt;&gt;"",(VLOOKUP(A573,MarketData!$D:$BP,MATCH($BQ$1,MarketData!$D$1:$EG$1,0),TRUE)/100/365+1)^(B573)*BQ572,"")</f>
        <v/>
      </c>
      <c r="BR573" s="98" t="str">
        <f t="shared" si="207"/>
        <v/>
      </c>
      <c r="BS573" s="106" t="str">
        <f>IF(A573&lt;&gt;"",VLOOKUP(A573,MarketData!$D:$BP,MATCH($BS$1,MarketData!$D$1:$EG$1,0),TRUE),"")</f>
        <v/>
      </c>
      <c r="BT573" s="98" t="str">
        <f t="shared" si="218"/>
        <v/>
      </c>
    </row>
    <row r="574" spans="2:72" x14ac:dyDescent="0.25">
      <c r="B574" s="60" t="str">
        <f t="shared" si="231"/>
        <v/>
      </c>
      <c r="C574" s="3" t="str">
        <f t="shared" si="208"/>
        <v/>
      </c>
      <c r="D574" s="3" t="str">
        <f t="shared" si="209"/>
        <v/>
      </c>
      <c r="E574" s="3" t="str">
        <f t="shared" si="210"/>
        <v/>
      </c>
      <c r="F574" s="3" t="str">
        <f t="shared" si="211"/>
        <v/>
      </c>
      <c r="G574" s="74" t="str">
        <f t="shared" si="212"/>
        <v/>
      </c>
      <c r="H574" s="78" t="str">
        <f>IFERROR(C574/SUM(M$2:M573),"")</f>
        <v/>
      </c>
      <c r="I574" s="61" t="str">
        <f>IFERROR(D574/SUM(N$2:N574),"")</f>
        <v/>
      </c>
      <c r="J574" s="61" t="str">
        <f>IFERROR(E574/SUM(O$2:O574),"")</f>
        <v/>
      </c>
      <c r="K574" s="61" t="str">
        <f>IFERROR(F574/SUM(P$2:P574),"")</f>
        <v/>
      </c>
      <c r="L574" s="79" t="str">
        <f>IFERROR(G574/SUM(Q$2:Q574),"")</f>
        <v/>
      </c>
      <c r="M574" s="64" t="str">
        <f t="shared" si="213"/>
        <v/>
      </c>
      <c r="N574" s="55" t="str">
        <f t="shared" si="214"/>
        <v/>
      </c>
      <c r="O574" s="55" t="str">
        <f t="shared" si="215"/>
        <v/>
      </c>
      <c r="P574" s="55" t="str">
        <f t="shared" si="216"/>
        <v/>
      </c>
      <c r="Q574" s="65" t="str">
        <f t="shared" si="217"/>
        <v/>
      </c>
      <c r="R574" s="67" t="str">
        <f t="shared" si="219"/>
        <v/>
      </c>
      <c r="S574" s="56" t="str">
        <f t="shared" si="220"/>
        <v/>
      </c>
      <c r="T574" s="56" t="str">
        <f t="shared" si="221"/>
        <v/>
      </c>
      <c r="U574" s="56" t="str">
        <f t="shared" si="222"/>
        <v/>
      </c>
      <c r="V574" s="68" t="str">
        <f t="shared" si="223"/>
        <v/>
      </c>
      <c r="W574" s="80" t="str">
        <f t="shared" si="224"/>
        <v/>
      </c>
      <c r="X574" s="81" t="str">
        <f t="shared" si="225"/>
        <v/>
      </c>
      <c r="Y574" s="81" t="str">
        <f t="shared" si="226"/>
        <v/>
      </c>
      <c r="Z574" s="81" t="str">
        <f t="shared" si="227"/>
        <v/>
      </c>
      <c r="AA574" s="82" t="str">
        <f t="shared" si="228"/>
        <v/>
      </c>
      <c r="AB574" s="83" t="str">
        <f>IF(R574&lt;&gt;"",(W574-SUMPRODUCT(R$3:R574,$B$3:$B574)/SUM($B$3:$B574))/STDEVA(W564:W574),"")</f>
        <v/>
      </c>
      <c r="AC574" s="84" t="str">
        <f>IF(S574&lt;&gt;"",(X574-SUMPRODUCT(S$3:S574,$B$3:$B574)/SUM($B$3:$B574))/STDEVA(X564:X574),"")</f>
        <v/>
      </c>
      <c r="AD574" s="84" t="str">
        <f>IF(T574&lt;&gt;"",(Y574-SUMPRODUCT(T$3:T574,$B$3:$B574)/SUM($B$3:$B574))/STDEVA(Y564:Y574),"")</f>
        <v/>
      </c>
      <c r="AE574" s="84" t="str">
        <f>IF(U574&lt;&gt;"",(Z574-SUMPRODUCT(U$3:U574,$B$3:$B574)/SUM($B$3:$B574))/STDEVA(Z564:Z574),"")</f>
        <v/>
      </c>
      <c r="AF574" s="85" t="str">
        <f>IF(V574&lt;&gt;"",(AA574-SUMPRODUCT(V$3:V574,$B$3:$B574)/SUM($B$3:$B574))/STDEVA(AA564:AA574),"")</f>
        <v/>
      </c>
      <c r="AG574" s="90" t="str">
        <f t="shared" si="230"/>
        <v/>
      </c>
      <c r="AH574" s="90" t="str">
        <f t="shared" si="230"/>
        <v/>
      </c>
      <c r="AI574" s="90" t="str">
        <f t="shared" si="230"/>
        <v/>
      </c>
      <c r="AJ574" s="90" t="str">
        <f t="shared" si="229"/>
        <v/>
      </c>
      <c r="AK574" s="93" t="str">
        <f t="shared" si="229"/>
        <v/>
      </c>
      <c r="BQ574" s="100" t="str">
        <f>IF(A574&lt;&gt;"",(VLOOKUP(A574,MarketData!$D:$BP,MATCH($BQ$1,MarketData!$D$1:$EG$1,0),TRUE)/100/365+1)^(B574)*BQ573,"")</f>
        <v/>
      </c>
      <c r="BR574" s="98" t="str">
        <f t="shared" si="207"/>
        <v/>
      </c>
      <c r="BS574" s="106" t="str">
        <f>IF(A574&lt;&gt;"",VLOOKUP(A574,MarketData!$D:$BP,MATCH($BS$1,MarketData!$D$1:$EG$1,0),TRUE),"")</f>
        <v/>
      </c>
      <c r="BT574" s="98" t="str">
        <f t="shared" si="218"/>
        <v/>
      </c>
    </row>
    <row r="575" spans="2:72" x14ac:dyDescent="0.25">
      <c r="B575" s="60" t="str">
        <f t="shared" si="231"/>
        <v/>
      </c>
      <c r="C575" s="3" t="str">
        <f t="shared" si="208"/>
        <v/>
      </c>
      <c r="D575" s="3" t="str">
        <f t="shared" si="209"/>
        <v/>
      </c>
      <c r="E575" s="3" t="str">
        <f t="shared" si="210"/>
        <v/>
      </c>
      <c r="F575" s="3" t="str">
        <f t="shared" si="211"/>
        <v/>
      </c>
      <c r="G575" s="74" t="str">
        <f t="shared" si="212"/>
        <v/>
      </c>
      <c r="H575" s="78" t="str">
        <f>IFERROR(C575/SUM(M$2:M574),"")</f>
        <v/>
      </c>
      <c r="I575" s="61" t="str">
        <f>IFERROR(D575/SUM(N$2:N575),"")</f>
        <v/>
      </c>
      <c r="J575" s="61" t="str">
        <f>IFERROR(E575/SUM(O$2:O575),"")</f>
        <v/>
      </c>
      <c r="K575" s="61" t="str">
        <f>IFERROR(F575/SUM(P$2:P575),"")</f>
        <v/>
      </c>
      <c r="L575" s="79" t="str">
        <f>IFERROR(G575/SUM(Q$2:Q575),"")</f>
        <v/>
      </c>
      <c r="M575" s="64" t="str">
        <f t="shared" si="213"/>
        <v/>
      </c>
      <c r="N575" s="55" t="str">
        <f t="shared" si="214"/>
        <v/>
      </c>
      <c r="O575" s="55" t="str">
        <f t="shared" si="215"/>
        <v/>
      </c>
      <c r="P575" s="55" t="str">
        <f t="shared" si="216"/>
        <v/>
      </c>
      <c r="Q575" s="65" t="str">
        <f t="shared" si="217"/>
        <v/>
      </c>
      <c r="R575" s="67" t="str">
        <f t="shared" si="219"/>
        <v/>
      </c>
      <c r="S575" s="56" t="str">
        <f t="shared" si="220"/>
        <v/>
      </c>
      <c r="T575" s="56" t="str">
        <f t="shared" si="221"/>
        <v/>
      </c>
      <c r="U575" s="56" t="str">
        <f t="shared" si="222"/>
        <v/>
      </c>
      <c r="V575" s="68" t="str">
        <f t="shared" si="223"/>
        <v/>
      </c>
      <c r="W575" s="80" t="str">
        <f t="shared" si="224"/>
        <v/>
      </c>
      <c r="X575" s="81" t="str">
        <f t="shared" si="225"/>
        <v/>
      </c>
      <c r="Y575" s="81" t="str">
        <f t="shared" si="226"/>
        <v/>
      </c>
      <c r="Z575" s="81" t="str">
        <f t="shared" si="227"/>
        <v/>
      </c>
      <c r="AA575" s="82" t="str">
        <f t="shared" si="228"/>
        <v/>
      </c>
      <c r="AB575" s="83" t="str">
        <f>IF(R575&lt;&gt;"",(W575-SUMPRODUCT(R$3:R575,$B$3:$B575)/SUM($B$3:$B575))/STDEVA(W565:W575),"")</f>
        <v/>
      </c>
      <c r="AC575" s="84" t="str">
        <f>IF(S575&lt;&gt;"",(X575-SUMPRODUCT(S$3:S575,$B$3:$B575)/SUM($B$3:$B575))/STDEVA(X565:X575),"")</f>
        <v/>
      </c>
      <c r="AD575" s="84" t="str">
        <f>IF(T575&lt;&gt;"",(Y575-SUMPRODUCT(T$3:T575,$B$3:$B575)/SUM($B$3:$B575))/STDEVA(Y565:Y575),"")</f>
        <v/>
      </c>
      <c r="AE575" s="84" t="str">
        <f>IF(U575&lt;&gt;"",(Z575-SUMPRODUCT(U$3:U575,$B$3:$B575)/SUM($B$3:$B575))/STDEVA(Z565:Z575),"")</f>
        <v/>
      </c>
      <c r="AF575" s="85" t="str">
        <f>IF(V575&lt;&gt;"",(AA575-SUMPRODUCT(V$3:V575,$B$3:$B575)/SUM($B$3:$B575))/STDEVA(AA565:AA575),"")</f>
        <v/>
      </c>
      <c r="AG575" s="90" t="str">
        <f t="shared" si="230"/>
        <v/>
      </c>
      <c r="AH575" s="90" t="str">
        <f t="shared" si="230"/>
        <v/>
      </c>
      <c r="AI575" s="90" t="str">
        <f t="shared" si="230"/>
        <v/>
      </c>
      <c r="AJ575" s="90" t="str">
        <f t="shared" si="229"/>
        <v/>
      </c>
      <c r="AK575" s="93" t="str">
        <f t="shared" si="229"/>
        <v/>
      </c>
      <c r="BQ575" s="100" t="str">
        <f>IF(A575&lt;&gt;"",(VLOOKUP(A575,MarketData!$D:$BP,MATCH($BQ$1,MarketData!$D$1:$EG$1,0),TRUE)/100/365+1)^(B575)*BQ574,"")</f>
        <v/>
      </c>
      <c r="BR575" s="98" t="str">
        <f t="shared" si="207"/>
        <v/>
      </c>
      <c r="BS575" s="106" t="str">
        <f>IF(A575&lt;&gt;"",VLOOKUP(A575,MarketData!$D:$BP,MATCH($BS$1,MarketData!$D$1:$EG$1,0),TRUE),"")</f>
        <v/>
      </c>
      <c r="BT575" s="98" t="str">
        <f t="shared" si="218"/>
        <v/>
      </c>
    </row>
    <row r="576" spans="2:72" x14ac:dyDescent="0.25">
      <c r="B576" s="60" t="str">
        <f t="shared" si="231"/>
        <v/>
      </c>
      <c r="C576" s="3" t="str">
        <f t="shared" si="208"/>
        <v/>
      </c>
      <c r="D576" s="3" t="str">
        <f t="shared" si="209"/>
        <v/>
      </c>
      <c r="E576" s="3" t="str">
        <f t="shared" si="210"/>
        <v/>
      </c>
      <c r="F576" s="3" t="str">
        <f t="shared" si="211"/>
        <v/>
      </c>
      <c r="G576" s="74" t="str">
        <f t="shared" si="212"/>
        <v/>
      </c>
      <c r="H576" s="78" t="str">
        <f>IFERROR(C576/SUM(M$2:M575),"")</f>
        <v/>
      </c>
      <c r="I576" s="61" t="str">
        <f>IFERROR(D576/SUM(N$2:N576),"")</f>
        <v/>
      </c>
      <c r="J576" s="61" t="str">
        <f>IFERROR(E576/SUM(O$2:O576),"")</f>
        <v/>
      </c>
      <c r="K576" s="61" t="str">
        <f>IFERROR(F576/SUM(P$2:P576),"")</f>
        <v/>
      </c>
      <c r="L576" s="79" t="str">
        <f>IFERROR(G576/SUM(Q$2:Q576),"")</f>
        <v/>
      </c>
      <c r="M576" s="64" t="str">
        <f t="shared" si="213"/>
        <v/>
      </c>
      <c r="N576" s="55" t="str">
        <f t="shared" si="214"/>
        <v/>
      </c>
      <c r="O576" s="55" t="str">
        <f t="shared" si="215"/>
        <v/>
      </c>
      <c r="P576" s="55" t="str">
        <f t="shared" si="216"/>
        <v/>
      </c>
      <c r="Q576" s="65" t="str">
        <f t="shared" si="217"/>
        <v/>
      </c>
      <c r="R576" s="67" t="str">
        <f t="shared" si="219"/>
        <v/>
      </c>
      <c r="S576" s="56" t="str">
        <f t="shared" si="220"/>
        <v/>
      </c>
      <c r="T576" s="56" t="str">
        <f t="shared" si="221"/>
        <v/>
      </c>
      <c r="U576" s="56" t="str">
        <f t="shared" si="222"/>
        <v/>
      </c>
      <c r="V576" s="68" t="str">
        <f t="shared" si="223"/>
        <v/>
      </c>
      <c r="W576" s="80" t="str">
        <f t="shared" si="224"/>
        <v/>
      </c>
      <c r="X576" s="81" t="str">
        <f t="shared" si="225"/>
        <v/>
      </c>
      <c r="Y576" s="81" t="str">
        <f t="shared" si="226"/>
        <v/>
      </c>
      <c r="Z576" s="81" t="str">
        <f t="shared" si="227"/>
        <v/>
      </c>
      <c r="AA576" s="82" t="str">
        <f t="shared" si="228"/>
        <v/>
      </c>
      <c r="AB576" s="83" t="str">
        <f>IF(R576&lt;&gt;"",(W576-SUMPRODUCT(R$3:R576,$B$3:$B576)/SUM($B$3:$B576))/STDEVA(W566:W576),"")</f>
        <v/>
      </c>
      <c r="AC576" s="84" t="str">
        <f>IF(S576&lt;&gt;"",(X576-SUMPRODUCT(S$3:S576,$B$3:$B576)/SUM($B$3:$B576))/STDEVA(X566:X576),"")</f>
        <v/>
      </c>
      <c r="AD576" s="84" t="str">
        <f>IF(T576&lt;&gt;"",(Y576-SUMPRODUCT(T$3:T576,$B$3:$B576)/SUM($B$3:$B576))/STDEVA(Y566:Y576),"")</f>
        <v/>
      </c>
      <c r="AE576" s="84" t="str">
        <f>IF(U576&lt;&gt;"",(Z576-SUMPRODUCT(U$3:U576,$B$3:$B576)/SUM($B$3:$B576))/STDEVA(Z566:Z576),"")</f>
        <v/>
      </c>
      <c r="AF576" s="85" t="str">
        <f>IF(V576&lt;&gt;"",(AA576-SUMPRODUCT(V$3:V576,$B$3:$B576)/SUM($B$3:$B576))/STDEVA(AA566:AA576),"")</f>
        <v/>
      </c>
      <c r="AG576" s="90" t="str">
        <f t="shared" si="230"/>
        <v/>
      </c>
      <c r="AH576" s="90" t="str">
        <f t="shared" si="230"/>
        <v/>
      </c>
      <c r="AI576" s="90" t="str">
        <f t="shared" si="230"/>
        <v/>
      </c>
      <c r="AJ576" s="90" t="str">
        <f t="shared" si="229"/>
        <v/>
      </c>
      <c r="AK576" s="93" t="str">
        <f t="shared" si="229"/>
        <v/>
      </c>
      <c r="BQ576" s="100" t="str">
        <f>IF(A576&lt;&gt;"",(VLOOKUP(A576,MarketData!$D:$BP,MATCH($BQ$1,MarketData!$D$1:$EG$1,0),TRUE)/100/365+1)^(B576)*BQ575,"")</f>
        <v/>
      </c>
      <c r="BR576" s="98" t="str">
        <f t="shared" si="207"/>
        <v/>
      </c>
      <c r="BS576" s="106" t="str">
        <f>IF(A576&lt;&gt;"",VLOOKUP(A576,MarketData!$D:$BP,MATCH($BS$1,MarketData!$D$1:$EG$1,0),TRUE),"")</f>
        <v/>
      </c>
      <c r="BT576" s="98" t="str">
        <f t="shared" si="218"/>
        <v/>
      </c>
    </row>
    <row r="577" spans="2:72" x14ac:dyDescent="0.25">
      <c r="B577" s="60" t="str">
        <f t="shared" si="231"/>
        <v/>
      </c>
      <c r="C577" s="3" t="str">
        <f t="shared" si="208"/>
        <v/>
      </c>
      <c r="D577" s="3" t="str">
        <f t="shared" si="209"/>
        <v/>
      </c>
      <c r="E577" s="3" t="str">
        <f t="shared" si="210"/>
        <v/>
      </c>
      <c r="F577" s="3" t="str">
        <f t="shared" si="211"/>
        <v/>
      </c>
      <c r="G577" s="74" t="str">
        <f t="shared" si="212"/>
        <v/>
      </c>
      <c r="H577" s="78" t="str">
        <f>IFERROR(C577/SUM(M$2:M576),"")</f>
        <v/>
      </c>
      <c r="I577" s="61" t="str">
        <f>IFERROR(D577/SUM(N$2:N577),"")</f>
        <v/>
      </c>
      <c r="J577" s="61" t="str">
        <f>IFERROR(E577/SUM(O$2:O577),"")</f>
        <v/>
      </c>
      <c r="K577" s="61" t="str">
        <f>IFERROR(F577/SUM(P$2:P577),"")</f>
        <v/>
      </c>
      <c r="L577" s="79" t="str">
        <f>IFERROR(G577/SUM(Q$2:Q577),"")</f>
        <v/>
      </c>
      <c r="M577" s="64" t="str">
        <f t="shared" si="213"/>
        <v/>
      </c>
      <c r="N577" s="55" t="str">
        <f t="shared" si="214"/>
        <v/>
      </c>
      <c r="O577" s="55" t="str">
        <f t="shared" si="215"/>
        <v/>
      </c>
      <c r="P577" s="55" t="str">
        <f t="shared" si="216"/>
        <v/>
      </c>
      <c r="Q577" s="65" t="str">
        <f t="shared" si="217"/>
        <v/>
      </c>
      <c r="R577" s="67" t="str">
        <f t="shared" si="219"/>
        <v/>
      </c>
      <c r="S577" s="56" t="str">
        <f t="shared" si="220"/>
        <v/>
      </c>
      <c r="T577" s="56" t="str">
        <f t="shared" si="221"/>
        <v/>
      </c>
      <c r="U577" s="56" t="str">
        <f t="shared" si="222"/>
        <v/>
      </c>
      <c r="V577" s="68" t="str">
        <f t="shared" si="223"/>
        <v/>
      </c>
      <c r="W577" s="80" t="str">
        <f t="shared" si="224"/>
        <v/>
      </c>
      <c r="X577" s="81" t="str">
        <f t="shared" si="225"/>
        <v/>
      </c>
      <c r="Y577" s="81" t="str">
        <f t="shared" si="226"/>
        <v/>
      </c>
      <c r="Z577" s="81" t="str">
        <f t="shared" si="227"/>
        <v/>
      </c>
      <c r="AA577" s="82" t="str">
        <f t="shared" si="228"/>
        <v/>
      </c>
      <c r="AB577" s="83" t="str">
        <f>IF(R577&lt;&gt;"",(W577-SUMPRODUCT(R$3:R577,$B$3:$B577)/SUM($B$3:$B577))/STDEVA(W567:W577),"")</f>
        <v/>
      </c>
      <c r="AC577" s="84" t="str">
        <f>IF(S577&lt;&gt;"",(X577-SUMPRODUCT(S$3:S577,$B$3:$B577)/SUM($B$3:$B577))/STDEVA(X567:X577),"")</f>
        <v/>
      </c>
      <c r="AD577" s="84" t="str">
        <f>IF(T577&lt;&gt;"",(Y577-SUMPRODUCT(T$3:T577,$B$3:$B577)/SUM($B$3:$B577))/STDEVA(Y567:Y577),"")</f>
        <v/>
      </c>
      <c r="AE577" s="84" t="str">
        <f>IF(U577&lt;&gt;"",(Z577-SUMPRODUCT(U$3:U577,$B$3:$B577)/SUM($B$3:$B577))/STDEVA(Z567:Z577),"")</f>
        <v/>
      </c>
      <c r="AF577" s="85" t="str">
        <f>IF(V577&lt;&gt;"",(AA577-SUMPRODUCT(V$3:V577,$B$3:$B577)/SUM($B$3:$B577))/STDEVA(AA567:AA577),"")</f>
        <v/>
      </c>
      <c r="AG577" s="90" t="str">
        <f t="shared" si="230"/>
        <v/>
      </c>
      <c r="AH577" s="90" t="str">
        <f t="shared" si="230"/>
        <v/>
      </c>
      <c r="AI577" s="90" t="str">
        <f t="shared" si="230"/>
        <v/>
      </c>
      <c r="AJ577" s="90" t="str">
        <f t="shared" si="229"/>
        <v/>
      </c>
      <c r="AK577" s="93" t="str">
        <f t="shared" si="229"/>
        <v/>
      </c>
      <c r="BQ577" s="100" t="str">
        <f>IF(A577&lt;&gt;"",(VLOOKUP(A577,MarketData!$D:$BP,MATCH($BQ$1,MarketData!$D$1:$EG$1,0),TRUE)/100/365+1)^(B577)*BQ576,"")</f>
        <v/>
      </c>
      <c r="BR577" s="98" t="str">
        <f t="shared" si="207"/>
        <v/>
      </c>
      <c r="BS577" s="106" t="str">
        <f>IF(A577&lt;&gt;"",VLOOKUP(A577,MarketData!$D:$BP,MATCH($BS$1,MarketData!$D$1:$EG$1,0),TRUE),"")</f>
        <v/>
      </c>
      <c r="BT577" s="98" t="str">
        <f t="shared" si="218"/>
        <v/>
      </c>
    </row>
    <row r="578" spans="2:72" x14ac:dyDescent="0.25">
      <c r="B578" s="60" t="str">
        <f t="shared" si="231"/>
        <v/>
      </c>
      <c r="C578" s="3" t="str">
        <f t="shared" si="208"/>
        <v/>
      </c>
      <c r="D578" s="3" t="str">
        <f t="shared" si="209"/>
        <v/>
      </c>
      <c r="E578" s="3" t="str">
        <f t="shared" si="210"/>
        <v/>
      </c>
      <c r="F578" s="3" t="str">
        <f t="shared" si="211"/>
        <v/>
      </c>
      <c r="G578" s="74" t="str">
        <f t="shared" si="212"/>
        <v/>
      </c>
      <c r="H578" s="78" t="str">
        <f>IFERROR(C578/SUM(M$2:M577),"")</f>
        <v/>
      </c>
      <c r="I578" s="61" t="str">
        <f>IFERROR(D578/SUM(N$2:N578),"")</f>
        <v/>
      </c>
      <c r="J578" s="61" t="str">
        <f>IFERROR(E578/SUM(O$2:O578),"")</f>
        <v/>
      </c>
      <c r="K578" s="61" t="str">
        <f>IFERROR(F578/SUM(P$2:P578),"")</f>
        <v/>
      </c>
      <c r="L578" s="79" t="str">
        <f>IFERROR(G578/SUM(Q$2:Q578),"")</f>
        <v/>
      </c>
      <c r="M578" s="64" t="str">
        <f t="shared" si="213"/>
        <v/>
      </c>
      <c r="N578" s="55" t="str">
        <f t="shared" si="214"/>
        <v/>
      </c>
      <c r="O578" s="55" t="str">
        <f t="shared" si="215"/>
        <v/>
      </c>
      <c r="P578" s="55" t="str">
        <f t="shared" si="216"/>
        <v/>
      </c>
      <c r="Q578" s="65" t="str">
        <f t="shared" si="217"/>
        <v/>
      </c>
      <c r="R578" s="67" t="str">
        <f t="shared" si="219"/>
        <v/>
      </c>
      <c r="S578" s="56" t="str">
        <f t="shared" si="220"/>
        <v/>
      </c>
      <c r="T578" s="56" t="str">
        <f t="shared" si="221"/>
        <v/>
      </c>
      <c r="U578" s="56" t="str">
        <f t="shared" si="222"/>
        <v/>
      </c>
      <c r="V578" s="68" t="str">
        <f t="shared" si="223"/>
        <v/>
      </c>
      <c r="W578" s="80" t="str">
        <f t="shared" si="224"/>
        <v/>
      </c>
      <c r="X578" s="81" t="str">
        <f t="shared" si="225"/>
        <v/>
      </c>
      <c r="Y578" s="81" t="str">
        <f t="shared" si="226"/>
        <v/>
      </c>
      <c r="Z578" s="81" t="str">
        <f t="shared" si="227"/>
        <v/>
      </c>
      <c r="AA578" s="82" t="str">
        <f t="shared" si="228"/>
        <v/>
      </c>
      <c r="AB578" s="83" t="str">
        <f>IF(R578&lt;&gt;"",(W578-SUMPRODUCT(R$3:R578,$B$3:$B578)/SUM($B$3:$B578))/STDEVA(W568:W578),"")</f>
        <v/>
      </c>
      <c r="AC578" s="84" t="str">
        <f>IF(S578&lt;&gt;"",(X578-SUMPRODUCT(S$3:S578,$B$3:$B578)/SUM($B$3:$B578))/STDEVA(X568:X578),"")</f>
        <v/>
      </c>
      <c r="AD578" s="84" t="str">
        <f>IF(T578&lt;&gt;"",(Y578-SUMPRODUCT(T$3:T578,$B$3:$B578)/SUM($B$3:$B578))/STDEVA(Y568:Y578),"")</f>
        <v/>
      </c>
      <c r="AE578" s="84" t="str">
        <f>IF(U578&lt;&gt;"",(Z578-SUMPRODUCT(U$3:U578,$B$3:$B578)/SUM($B$3:$B578))/STDEVA(Z568:Z578),"")</f>
        <v/>
      </c>
      <c r="AF578" s="85" t="str">
        <f>IF(V578&lt;&gt;"",(AA578-SUMPRODUCT(V$3:V578,$B$3:$B578)/SUM($B$3:$B578))/STDEVA(AA568:AA578),"")</f>
        <v/>
      </c>
      <c r="AG578" s="90" t="str">
        <f t="shared" si="230"/>
        <v/>
      </c>
      <c r="AH578" s="90" t="str">
        <f t="shared" si="230"/>
        <v/>
      </c>
      <c r="AI578" s="90" t="str">
        <f t="shared" si="230"/>
        <v/>
      </c>
      <c r="AJ578" s="90" t="str">
        <f t="shared" si="229"/>
        <v/>
      </c>
      <c r="AK578" s="93" t="str">
        <f t="shared" si="229"/>
        <v/>
      </c>
      <c r="BQ578" s="100" t="str">
        <f>IF(A578&lt;&gt;"",(VLOOKUP(A578,MarketData!$D:$BP,MATCH($BQ$1,MarketData!$D$1:$EG$1,0),TRUE)/100/365+1)^(B578)*BQ577,"")</f>
        <v/>
      </c>
      <c r="BR578" s="98" t="str">
        <f t="shared" ref="BR578:BR641" si="232">IF(A578&lt;&gt;"",(BQ578-$BQ$2)/$BQ$2,"")</f>
        <v/>
      </c>
      <c r="BS578" s="106" t="str">
        <f>IF(A578&lt;&gt;"",VLOOKUP(A578,MarketData!$D:$BP,MATCH($BS$1,MarketData!$D$1:$EG$1,0),TRUE),"")</f>
        <v/>
      </c>
      <c r="BT578" s="98" t="str">
        <f t="shared" si="218"/>
        <v/>
      </c>
    </row>
    <row r="579" spans="2:72" x14ac:dyDescent="0.25">
      <c r="B579" s="60" t="str">
        <f t="shared" si="231"/>
        <v/>
      </c>
      <c r="C579" s="3" t="str">
        <f t="shared" ref="C579:C642" si="233">IF($A579&lt;&gt;0,SUMIFS(VM,Fecha,$A579,Linea,C$1)+SUMIFS(FX,Fecha,$A579,Linea,C$1)+C578,"")</f>
        <v/>
      </c>
      <c r="D579" s="3" t="str">
        <f t="shared" ref="D579:D642" si="234">IF($A579&lt;&gt;0,SUMIFS(VM,Fecha,$A579,Linea,D$1)+SUMIFS(FX,Fecha,$A579,Linea,D$1)+D578,"")</f>
        <v/>
      </c>
      <c r="E579" s="3" t="str">
        <f t="shared" ref="E579:E642" si="235">IF($A579&lt;&gt;0,SUMIFS(VM,Fecha,$A579,Linea,E$1)+SUMIFS(FX,Fecha,$A579,Linea,E$1)+E578,"")</f>
        <v/>
      </c>
      <c r="F579" s="3" t="str">
        <f t="shared" ref="F579:F642" si="236">IF($A579&lt;&gt;0,SUMIFS(VM,Fecha,$A579,Linea,F$1)+SUMIFS(FX,Fecha,$A579,Linea,F$1)+F578,"")</f>
        <v/>
      </c>
      <c r="G579" s="74" t="str">
        <f t="shared" ref="G579:G642" si="237">IF($A579&lt;&gt;0,SUMIFS(VM,Fecha,$A579,Linea,G$1)+SUMIFS(FX,Fecha,$A579,Linea,G$1)+G578,"")</f>
        <v/>
      </c>
      <c r="H579" s="78" t="str">
        <f>IFERROR(C579/SUM(M$2:M578),"")</f>
        <v/>
      </c>
      <c r="I579" s="61" t="str">
        <f>IFERROR(D579/SUM(N$2:N579),"")</f>
        <v/>
      </c>
      <c r="J579" s="61" t="str">
        <f>IFERROR(E579/SUM(O$2:O579),"")</f>
        <v/>
      </c>
      <c r="K579" s="61" t="str">
        <f>IFERROR(F579/SUM(P$2:P579),"")</f>
        <v/>
      </c>
      <c r="L579" s="79" t="str">
        <f>IFERROR(G579/SUM(Q$2:Q579),"")</f>
        <v/>
      </c>
      <c r="M579" s="64" t="str">
        <f t="shared" ref="M579:M642" si="238">IF($A579&lt;&gt;"",SUMIFS(Transferencias,Fecha,$A579,Linea,C$1),"")</f>
        <v/>
      </c>
      <c r="N579" s="55" t="str">
        <f t="shared" ref="N579:N642" si="239">IF($A579&lt;&gt;"",SUMIFS(Transferencias,Fecha,$A579,Linea,D$1),"")</f>
        <v/>
      </c>
      <c r="O579" s="55" t="str">
        <f t="shared" ref="O579:O642" si="240">IF($A579&lt;&gt;"",SUMIFS(Transferencias,Fecha,$A579,Linea,E$1),"")</f>
        <v/>
      </c>
      <c r="P579" s="55" t="str">
        <f t="shared" ref="P579:P642" si="241">IF($A579&lt;&gt;"",SUMIFS(Transferencias,Fecha,$A579,Linea,F$1),"")</f>
        <v/>
      </c>
      <c r="Q579" s="65" t="str">
        <f t="shared" ref="Q579:Q642" si="242">IF($A579&lt;&gt;"",SUMIFS(Transferencias,Fecha,$A579,Linea,G$1),"")</f>
        <v/>
      </c>
      <c r="R579" s="67" t="str">
        <f t="shared" si="219"/>
        <v/>
      </c>
      <c r="S579" s="56" t="str">
        <f t="shared" si="220"/>
        <v/>
      </c>
      <c r="T579" s="56" t="str">
        <f t="shared" si="221"/>
        <v/>
      </c>
      <c r="U579" s="56" t="str">
        <f t="shared" si="222"/>
        <v/>
      </c>
      <c r="V579" s="68" t="str">
        <f t="shared" si="223"/>
        <v/>
      </c>
      <c r="W579" s="80" t="str">
        <f t="shared" si="224"/>
        <v/>
      </c>
      <c r="X579" s="81" t="str">
        <f t="shared" si="225"/>
        <v/>
      </c>
      <c r="Y579" s="81" t="str">
        <f t="shared" si="226"/>
        <v/>
      </c>
      <c r="Z579" s="81" t="str">
        <f t="shared" si="227"/>
        <v/>
      </c>
      <c r="AA579" s="82" t="str">
        <f t="shared" si="228"/>
        <v/>
      </c>
      <c r="AB579" s="83" t="str">
        <f>IF(R579&lt;&gt;"",(W579-SUMPRODUCT(R$3:R579,$B$3:$B579)/SUM($B$3:$B579))/STDEVA(W569:W579),"")</f>
        <v/>
      </c>
      <c r="AC579" s="84" t="str">
        <f>IF(S579&lt;&gt;"",(X579-SUMPRODUCT(S$3:S579,$B$3:$B579)/SUM($B$3:$B579))/STDEVA(X569:X579),"")</f>
        <v/>
      </c>
      <c r="AD579" s="84" t="str">
        <f>IF(T579&lt;&gt;"",(Y579-SUMPRODUCT(T$3:T579,$B$3:$B579)/SUM($B$3:$B579))/STDEVA(Y569:Y579),"")</f>
        <v/>
      </c>
      <c r="AE579" s="84" t="str">
        <f>IF(U579&lt;&gt;"",(Z579-SUMPRODUCT(U$3:U579,$B$3:$B579)/SUM($B$3:$B579))/STDEVA(Z569:Z579),"")</f>
        <v/>
      </c>
      <c r="AF579" s="85" t="str">
        <f>IF(V579&lt;&gt;"",(AA579-SUMPRODUCT(V$3:V579,$B$3:$B579)/SUM($B$3:$B579))/STDEVA(AA569:AA579),"")</f>
        <v/>
      </c>
      <c r="AG579" s="90" t="str">
        <f t="shared" si="230"/>
        <v/>
      </c>
      <c r="AH579" s="90" t="str">
        <f t="shared" si="230"/>
        <v/>
      </c>
      <c r="AI579" s="90" t="str">
        <f t="shared" si="230"/>
        <v/>
      </c>
      <c r="AJ579" s="90" t="str">
        <f t="shared" si="229"/>
        <v/>
      </c>
      <c r="AK579" s="93" t="str">
        <f t="shared" si="229"/>
        <v/>
      </c>
      <c r="BQ579" s="100" t="str">
        <f>IF(A579&lt;&gt;"",(VLOOKUP(A579,MarketData!$D:$BP,MATCH($BQ$1,MarketData!$D$1:$EG$1,0),TRUE)/100/365+1)^(B579)*BQ578,"")</f>
        <v/>
      </c>
      <c r="BR579" s="98" t="str">
        <f t="shared" si="232"/>
        <v/>
      </c>
      <c r="BS579" s="106" t="str">
        <f>IF(A579&lt;&gt;"",VLOOKUP(A579,MarketData!$D:$BP,MATCH($BS$1,MarketData!$D$1:$EG$1,0),TRUE),"")</f>
        <v/>
      </c>
      <c r="BT579" s="98" t="str">
        <f t="shared" ref="BT579:BT642" si="243">IF(A579&lt;&gt;"",(BS579-$BS$2)/$BS$2,"")</f>
        <v/>
      </c>
    </row>
    <row r="580" spans="2:72" x14ac:dyDescent="0.25">
      <c r="B580" s="60" t="str">
        <f t="shared" si="231"/>
        <v/>
      </c>
      <c r="C580" s="3" t="str">
        <f t="shared" si="233"/>
        <v/>
      </c>
      <c r="D580" s="3" t="str">
        <f t="shared" si="234"/>
        <v/>
      </c>
      <c r="E580" s="3" t="str">
        <f t="shared" si="235"/>
        <v/>
      </c>
      <c r="F580" s="3" t="str">
        <f t="shared" si="236"/>
        <v/>
      </c>
      <c r="G580" s="74" t="str">
        <f t="shared" si="237"/>
        <v/>
      </c>
      <c r="H580" s="78" t="str">
        <f>IFERROR(C580/SUM(M$2:M579),"")</f>
        <v/>
      </c>
      <c r="I580" s="61" t="str">
        <f>IFERROR(D580/SUM(N$2:N580),"")</f>
        <v/>
      </c>
      <c r="J580" s="61" t="str">
        <f>IFERROR(E580/SUM(O$2:O580),"")</f>
        <v/>
      </c>
      <c r="K580" s="61" t="str">
        <f>IFERROR(F580/SUM(P$2:P580),"")</f>
        <v/>
      </c>
      <c r="L580" s="79" t="str">
        <f>IFERROR(G580/SUM(Q$2:Q580),"")</f>
        <v/>
      </c>
      <c r="M580" s="64" t="str">
        <f t="shared" si="238"/>
        <v/>
      </c>
      <c r="N580" s="55" t="str">
        <f t="shared" si="239"/>
        <v/>
      </c>
      <c r="O580" s="55" t="str">
        <f t="shared" si="240"/>
        <v/>
      </c>
      <c r="P580" s="55" t="str">
        <f t="shared" si="241"/>
        <v/>
      </c>
      <c r="Q580" s="65" t="str">
        <f t="shared" si="242"/>
        <v/>
      </c>
      <c r="R580" s="67" t="str">
        <f t="shared" ref="R580:R643" si="244">IF(C580&lt;&gt;"",LN((C580-C579)/(SUMIFS(Total,Fecha,$A579,Linea,C$1)+M579)+1)*365/($A580-$A579),"")</f>
        <v/>
      </c>
      <c r="S580" s="56" t="str">
        <f t="shared" ref="S580:S643" si="245">IF(D580&lt;&gt;"",LN((D580-D579)/(SUMIFS(Total,Fecha,$A579,Linea,D$1)+N579)+1)*365/($A580-$A579),"")</f>
        <v/>
      </c>
      <c r="T580" s="56" t="str">
        <f t="shared" ref="T580:T643" si="246">IF(E580&lt;&gt;"",LN((E580-E579)/(SUMIFS(Total,Fecha,$A579,Linea,E$1)+O579)+1)*365/($A580-$A579),"")</f>
        <v/>
      </c>
      <c r="U580" s="56" t="str">
        <f t="shared" ref="U580:U643" si="247">IF(F580&lt;&gt;"",LN((F580-F579)/(SUMIFS(Total,Fecha,$A579,Linea,F$1)+P579)+1)*365/($A580-$A579),"")</f>
        <v/>
      </c>
      <c r="V580" s="68" t="str">
        <f t="shared" ref="V580:V643" si="248">IF(G580&lt;&gt;"",LN((G580-G579)/(SUMIFS(Total,Fecha,$A579,Linea,G$1)+Q579)+1)*365/($A580-$A579),"")</f>
        <v/>
      </c>
      <c r="W580" s="80" t="str">
        <f t="shared" si="224"/>
        <v/>
      </c>
      <c r="X580" s="81" t="str">
        <f t="shared" si="225"/>
        <v/>
      </c>
      <c r="Y580" s="81" t="str">
        <f t="shared" si="226"/>
        <v/>
      </c>
      <c r="Z580" s="81" t="str">
        <f t="shared" si="227"/>
        <v/>
      </c>
      <c r="AA580" s="82" t="str">
        <f t="shared" si="228"/>
        <v/>
      </c>
      <c r="AB580" s="83" t="str">
        <f>IF(R580&lt;&gt;"",(W580-SUMPRODUCT(R$3:R580,$B$3:$B580)/SUM($B$3:$B580))/STDEVA(W570:W580),"")</f>
        <v/>
      </c>
      <c r="AC580" s="84" t="str">
        <f>IF(S580&lt;&gt;"",(X580-SUMPRODUCT(S$3:S580,$B$3:$B580)/SUM($B$3:$B580))/STDEVA(X570:X580),"")</f>
        <v/>
      </c>
      <c r="AD580" s="84" t="str">
        <f>IF(T580&lt;&gt;"",(Y580-SUMPRODUCT(T$3:T580,$B$3:$B580)/SUM($B$3:$B580))/STDEVA(Y570:Y580),"")</f>
        <v/>
      </c>
      <c r="AE580" s="84" t="str">
        <f>IF(U580&lt;&gt;"",(Z580-SUMPRODUCT(U$3:U580,$B$3:$B580)/SUM($B$3:$B580))/STDEVA(Z570:Z580),"")</f>
        <v/>
      </c>
      <c r="AF580" s="85" t="str">
        <f>IF(V580&lt;&gt;"",(AA580-SUMPRODUCT(V$3:V580,$B$3:$B580)/SUM($B$3:$B580))/STDEVA(AA570:AA580),"")</f>
        <v/>
      </c>
      <c r="AG580" s="90" t="str">
        <f t="shared" si="230"/>
        <v/>
      </c>
      <c r="AH580" s="90" t="str">
        <f t="shared" si="230"/>
        <v/>
      </c>
      <c r="AI580" s="90" t="str">
        <f t="shared" si="230"/>
        <v/>
      </c>
      <c r="AJ580" s="90" t="str">
        <f t="shared" si="229"/>
        <v/>
      </c>
      <c r="AK580" s="93" t="str">
        <f t="shared" si="229"/>
        <v/>
      </c>
      <c r="BQ580" s="100" t="str">
        <f>IF(A580&lt;&gt;"",(VLOOKUP(A580,MarketData!$D:$BP,MATCH($BQ$1,MarketData!$D$1:$EG$1,0),TRUE)/100/365+1)^(B580)*BQ579,"")</f>
        <v/>
      </c>
      <c r="BR580" s="98" t="str">
        <f t="shared" si="232"/>
        <v/>
      </c>
      <c r="BS580" s="106" t="str">
        <f>IF(A580&lt;&gt;"",VLOOKUP(A580,MarketData!$D:$BP,MATCH($BS$1,MarketData!$D$1:$EG$1,0),TRUE),"")</f>
        <v/>
      </c>
      <c r="BT580" s="98" t="str">
        <f t="shared" si="243"/>
        <v/>
      </c>
    </row>
    <row r="581" spans="2:72" x14ac:dyDescent="0.25">
      <c r="B581" s="60" t="str">
        <f t="shared" si="231"/>
        <v/>
      </c>
      <c r="C581" s="3" t="str">
        <f t="shared" si="233"/>
        <v/>
      </c>
      <c r="D581" s="3" t="str">
        <f t="shared" si="234"/>
        <v/>
      </c>
      <c r="E581" s="3" t="str">
        <f t="shared" si="235"/>
        <v/>
      </c>
      <c r="F581" s="3" t="str">
        <f t="shared" si="236"/>
        <v/>
      </c>
      <c r="G581" s="74" t="str">
        <f t="shared" si="237"/>
        <v/>
      </c>
      <c r="H581" s="78" t="str">
        <f>IFERROR(C581/SUM(M$2:M580),"")</f>
        <v/>
      </c>
      <c r="I581" s="61" t="str">
        <f>IFERROR(D581/SUM(N$2:N581),"")</f>
        <v/>
      </c>
      <c r="J581" s="61" t="str">
        <f>IFERROR(E581/SUM(O$2:O581),"")</f>
        <v/>
      </c>
      <c r="K581" s="61" t="str">
        <f>IFERROR(F581/SUM(P$2:P581),"")</f>
        <v/>
      </c>
      <c r="L581" s="79" t="str">
        <f>IFERROR(G581/SUM(Q$2:Q581),"")</f>
        <v/>
      </c>
      <c r="M581" s="64" t="str">
        <f t="shared" si="238"/>
        <v/>
      </c>
      <c r="N581" s="55" t="str">
        <f t="shared" si="239"/>
        <v/>
      </c>
      <c r="O581" s="55" t="str">
        <f t="shared" si="240"/>
        <v/>
      </c>
      <c r="P581" s="55" t="str">
        <f t="shared" si="241"/>
        <v/>
      </c>
      <c r="Q581" s="65" t="str">
        <f t="shared" si="242"/>
        <v/>
      </c>
      <c r="R581" s="67" t="str">
        <f t="shared" si="244"/>
        <v/>
      </c>
      <c r="S581" s="56" t="str">
        <f t="shared" si="245"/>
        <v/>
      </c>
      <c r="T581" s="56" t="str">
        <f t="shared" si="246"/>
        <v/>
      </c>
      <c r="U581" s="56" t="str">
        <f t="shared" si="247"/>
        <v/>
      </c>
      <c r="V581" s="68" t="str">
        <f t="shared" si="248"/>
        <v/>
      </c>
      <c r="W581" s="80" t="str">
        <f t="shared" si="224"/>
        <v/>
      </c>
      <c r="X581" s="81" t="str">
        <f t="shared" si="225"/>
        <v/>
      </c>
      <c r="Y581" s="81" t="str">
        <f t="shared" si="226"/>
        <v/>
      </c>
      <c r="Z581" s="81" t="str">
        <f t="shared" si="227"/>
        <v/>
      </c>
      <c r="AA581" s="82" t="str">
        <f t="shared" si="228"/>
        <v/>
      </c>
      <c r="AB581" s="83" t="str">
        <f>IF(R581&lt;&gt;"",(W581-SUMPRODUCT(R$3:R581,$B$3:$B581)/SUM($B$3:$B581))/STDEVA(W571:W581),"")</f>
        <v/>
      </c>
      <c r="AC581" s="84" t="str">
        <f>IF(S581&lt;&gt;"",(X581-SUMPRODUCT(S$3:S581,$B$3:$B581)/SUM($B$3:$B581))/STDEVA(X571:X581),"")</f>
        <v/>
      </c>
      <c r="AD581" s="84" t="str">
        <f>IF(T581&lt;&gt;"",(Y581-SUMPRODUCT(T$3:T581,$B$3:$B581)/SUM($B$3:$B581))/STDEVA(Y571:Y581),"")</f>
        <v/>
      </c>
      <c r="AE581" s="84" t="str">
        <f>IF(U581&lt;&gt;"",(Z581-SUMPRODUCT(U$3:U581,$B$3:$B581)/SUM($B$3:$B581))/STDEVA(Z571:Z581),"")</f>
        <v/>
      </c>
      <c r="AF581" s="85" t="str">
        <f>IF(V581&lt;&gt;"",(AA581-SUMPRODUCT(V$3:V581,$B$3:$B581)/SUM($B$3:$B581))/STDEVA(AA571:AA581),"")</f>
        <v/>
      </c>
      <c r="AG581" s="90" t="str">
        <f t="shared" si="230"/>
        <v/>
      </c>
      <c r="AH581" s="90" t="str">
        <f t="shared" si="230"/>
        <v/>
      </c>
      <c r="AI581" s="90" t="str">
        <f t="shared" si="230"/>
        <v/>
      </c>
      <c r="AJ581" s="90" t="str">
        <f t="shared" si="229"/>
        <v/>
      </c>
      <c r="AK581" s="93" t="str">
        <f t="shared" si="229"/>
        <v/>
      </c>
      <c r="BQ581" s="100" t="str">
        <f>IF(A581&lt;&gt;"",(VLOOKUP(A581,MarketData!$D:$BP,MATCH($BQ$1,MarketData!$D$1:$EG$1,0),TRUE)/100/365+1)^(B581)*BQ580,"")</f>
        <v/>
      </c>
      <c r="BR581" s="98" t="str">
        <f t="shared" si="232"/>
        <v/>
      </c>
      <c r="BS581" s="106" t="str">
        <f>IF(A581&lt;&gt;"",VLOOKUP(A581,MarketData!$D:$BP,MATCH($BS$1,MarketData!$D$1:$EG$1,0),TRUE),"")</f>
        <v/>
      </c>
      <c r="BT581" s="98" t="str">
        <f t="shared" si="243"/>
        <v/>
      </c>
    </row>
    <row r="582" spans="2:72" x14ac:dyDescent="0.25">
      <c r="B582" s="60" t="str">
        <f t="shared" si="231"/>
        <v/>
      </c>
      <c r="C582" s="3" t="str">
        <f t="shared" si="233"/>
        <v/>
      </c>
      <c r="D582" s="3" t="str">
        <f t="shared" si="234"/>
        <v/>
      </c>
      <c r="E582" s="3" t="str">
        <f t="shared" si="235"/>
        <v/>
      </c>
      <c r="F582" s="3" t="str">
        <f t="shared" si="236"/>
        <v/>
      </c>
      <c r="G582" s="74" t="str">
        <f t="shared" si="237"/>
        <v/>
      </c>
      <c r="H582" s="78" t="str">
        <f>IFERROR(C582/SUM(M$2:M581),"")</f>
        <v/>
      </c>
      <c r="I582" s="61" t="str">
        <f>IFERROR(D582/SUM(N$2:N582),"")</f>
        <v/>
      </c>
      <c r="J582" s="61" t="str">
        <f>IFERROR(E582/SUM(O$2:O582),"")</f>
        <v/>
      </c>
      <c r="K582" s="61" t="str">
        <f>IFERROR(F582/SUM(P$2:P582),"")</f>
        <v/>
      </c>
      <c r="L582" s="79" t="str">
        <f>IFERROR(G582/SUM(Q$2:Q582),"")</f>
        <v/>
      </c>
      <c r="M582" s="64" t="str">
        <f t="shared" si="238"/>
        <v/>
      </c>
      <c r="N582" s="55" t="str">
        <f t="shared" si="239"/>
        <v/>
      </c>
      <c r="O582" s="55" t="str">
        <f t="shared" si="240"/>
        <v/>
      </c>
      <c r="P582" s="55" t="str">
        <f t="shared" si="241"/>
        <v/>
      </c>
      <c r="Q582" s="65" t="str">
        <f t="shared" si="242"/>
        <v/>
      </c>
      <c r="R582" s="67" t="str">
        <f t="shared" si="244"/>
        <v/>
      </c>
      <c r="S582" s="56" t="str">
        <f t="shared" si="245"/>
        <v/>
      </c>
      <c r="T582" s="56" t="str">
        <f t="shared" si="246"/>
        <v/>
      </c>
      <c r="U582" s="56" t="str">
        <f t="shared" si="247"/>
        <v/>
      </c>
      <c r="V582" s="68" t="str">
        <f t="shared" si="248"/>
        <v/>
      </c>
      <c r="W582" s="80" t="str">
        <f t="shared" si="224"/>
        <v/>
      </c>
      <c r="X582" s="81" t="str">
        <f t="shared" si="225"/>
        <v/>
      </c>
      <c r="Y582" s="81" t="str">
        <f t="shared" si="226"/>
        <v/>
      </c>
      <c r="Z582" s="81" t="str">
        <f t="shared" si="227"/>
        <v/>
      </c>
      <c r="AA582" s="82" t="str">
        <f t="shared" si="228"/>
        <v/>
      </c>
      <c r="AB582" s="83" t="str">
        <f>IF(R582&lt;&gt;"",(W582-SUMPRODUCT(R$3:R582,$B$3:$B582)/SUM($B$3:$B582))/STDEVA(W572:W582),"")</f>
        <v/>
      </c>
      <c r="AC582" s="84" t="str">
        <f>IF(S582&lt;&gt;"",(X582-SUMPRODUCT(S$3:S582,$B$3:$B582)/SUM($B$3:$B582))/STDEVA(X572:X582),"")</f>
        <v/>
      </c>
      <c r="AD582" s="84" t="str">
        <f>IF(T582&lt;&gt;"",(Y582-SUMPRODUCT(T$3:T582,$B$3:$B582)/SUM($B$3:$B582))/STDEVA(Y572:Y582),"")</f>
        <v/>
      </c>
      <c r="AE582" s="84" t="str">
        <f>IF(U582&lt;&gt;"",(Z582-SUMPRODUCT(U$3:U582,$B$3:$B582)/SUM($B$3:$B582))/STDEVA(Z572:Z582),"")</f>
        <v/>
      </c>
      <c r="AF582" s="85" t="str">
        <f>IF(V582&lt;&gt;"",(AA582-SUMPRODUCT(V$3:V582,$B$3:$B582)/SUM($B$3:$B582))/STDEVA(AA572:AA582),"")</f>
        <v/>
      </c>
      <c r="AG582" s="90" t="str">
        <f t="shared" si="230"/>
        <v/>
      </c>
      <c r="AH582" s="90" t="str">
        <f t="shared" si="230"/>
        <v/>
      </c>
      <c r="AI582" s="90" t="str">
        <f t="shared" si="230"/>
        <v/>
      </c>
      <c r="AJ582" s="90" t="str">
        <f t="shared" si="229"/>
        <v/>
      </c>
      <c r="AK582" s="93" t="str">
        <f t="shared" si="229"/>
        <v/>
      </c>
      <c r="BQ582" s="100" t="str">
        <f>IF(A582&lt;&gt;"",(VLOOKUP(A582,MarketData!$D:$BP,MATCH($BQ$1,MarketData!$D$1:$EG$1,0),TRUE)/100/365+1)^(B582)*BQ581,"")</f>
        <v/>
      </c>
      <c r="BR582" s="98" t="str">
        <f t="shared" si="232"/>
        <v/>
      </c>
      <c r="BS582" s="106" t="str">
        <f>IF(A582&lt;&gt;"",VLOOKUP(A582,MarketData!$D:$BP,MATCH($BS$1,MarketData!$D$1:$EG$1,0),TRUE),"")</f>
        <v/>
      </c>
      <c r="BT582" s="98" t="str">
        <f t="shared" si="243"/>
        <v/>
      </c>
    </row>
    <row r="583" spans="2:72" x14ac:dyDescent="0.25">
      <c r="B583" s="60" t="str">
        <f t="shared" si="231"/>
        <v/>
      </c>
      <c r="C583" s="3" t="str">
        <f t="shared" si="233"/>
        <v/>
      </c>
      <c r="D583" s="3" t="str">
        <f t="shared" si="234"/>
        <v/>
      </c>
      <c r="E583" s="3" t="str">
        <f t="shared" si="235"/>
        <v/>
      </c>
      <c r="F583" s="3" t="str">
        <f t="shared" si="236"/>
        <v/>
      </c>
      <c r="G583" s="74" t="str">
        <f t="shared" si="237"/>
        <v/>
      </c>
      <c r="H583" s="78" t="str">
        <f>IFERROR(C583/SUM(M$2:M582),"")</f>
        <v/>
      </c>
      <c r="I583" s="61" t="str">
        <f>IFERROR(D583/SUM(N$2:N583),"")</f>
        <v/>
      </c>
      <c r="J583" s="61" t="str">
        <f>IFERROR(E583/SUM(O$2:O583),"")</f>
        <v/>
      </c>
      <c r="K583" s="61" t="str">
        <f>IFERROR(F583/SUM(P$2:P583),"")</f>
        <v/>
      </c>
      <c r="L583" s="79" t="str">
        <f>IFERROR(G583/SUM(Q$2:Q583),"")</f>
        <v/>
      </c>
      <c r="M583" s="64" t="str">
        <f t="shared" si="238"/>
        <v/>
      </c>
      <c r="N583" s="55" t="str">
        <f t="shared" si="239"/>
        <v/>
      </c>
      <c r="O583" s="55" t="str">
        <f t="shared" si="240"/>
        <v/>
      </c>
      <c r="P583" s="55" t="str">
        <f t="shared" si="241"/>
        <v/>
      </c>
      <c r="Q583" s="65" t="str">
        <f t="shared" si="242"/>
        <v/>
      </c>
      <c r="R583" s="67" t="str">
        <f t="shared" si="244"/>
        <v/>
      </c>
      <c r="S583" s="56" t="str">
        <f t="shared" si="245"/>
        <v/>
      </c>
      <c r="T583" s="56" t="str">
        <f t="shared" si="246"/>
        <v/>
      </c>
      <c r="U583" s="56" t="str">
        <f t="shared" si="247"/>
        <v/>
      </c>
      <c r="V583" s="68" t="str">
        <f t="shared" si="248"/>
        <v/>
      </c>
      <c r="W583" s="80" t="str">
        <f t="shared" si="224"/>
        <v/>
      </c>
      <c r="X583" s="81" t="str">
        <f t="shared" si="225"/>
        <v/>
      </c>
      <c r="Y583" s="81" t="str">
        <f t="shared" si="226"/>
        <v/>
      </c>
      <c r="Z583" s="81" t="str">
        <f t="shared" si="227"/>
        <v/>
      </c>
      <c r="AA583" s="82" t="str">
        <f t="shared" si="228"/>
        <v/>
      </c>
      <c r="AB583" s="83" t="str">
        <f>IF(R583&lt;&gt;"",(W583-SUMPRODUCT(R$3:R583,$B$3:$B583)/SUM($B$3:$B583))/STDEVA(W573:W583),"")</f>
        <v/>
      </c>
      <c r="AC583" s="84" t="str">
        <f>IF(S583&lt;&gt;"",(X583-SUMPRODUCT(S$3:S583,$B$3:$B583)/SUM($B$3:$B583))/STDEVA(X573:X583),"")</f>
        <v/>
      </c>
      <c r="AD583" s="84" t="str">
        <f>IF(T583&lt;&gt;"",(Y583-SUMPRODUCT(T$3:T583,$B$3:$B583)/SUM($B$3:$B583))/STDEVA(Y573:Y583),"")</f>
        <v/>
      </c>
      <c r="AE583" s="84" t="str">
        <f>IF(U583&lt;&gt;"",(Z583-SUMPRODUCT(U$3:U583,$B$3:$B583)/SUM($B$3:$B583))/STDEVA(Z573:Z583),"")</f>
        <v/>
      </c>
      <c r="AF583" s="85" t="str">
        <f>IF(V583&lt;&gt;"",(AA583-SUMPRODUCT(V$3:V583,$B$3:$B583)/SUM($B$3:$B583))/STDEVA(AA573:AA583),"")</f>
        <v/>
      </c>
      <c r="AG583" s="90" t="str">
        <f t="shared" si="230"/>
        <v/>
      </c>
      <c r="AH583" s="90" t="str">
        <f t="shared" si="230"/>
        <v/>
      </c>
      <c r="AI583" s="90" t="str">
        <f t="shared" si="230"/>
        <v/>
      </c>
      <c r="AJ583" s="90" t="str">
        <f t="shared" si="229"/>
        <v/>
      </c>
      <c r="AK583" s="93" t="str">
        <f t="shared" si="229"/>
        <v/>
      </c>
      <c r="BQ583" s="100" t="str">
        <f>IF(A583&lt;&gt;"",(VLOOKUP(A583,MarketData!$D:$BP,MATCH($BQ$1,MarketData!$D$1:$EG$1,0),TRUE)/100/365+1)^(B583)*BQ582,"")</f>
        <v/>
      </c>
      <c r="BR583" s="98" t="str">
        <f t="shared" si="232"/>
        <v/>
      </c>
      <c r="BS583" s="106" t="str">
        <f>IF(A583&lt;&gt;"",VLOOKUP(A583,MarketData!$D:$BP,MATCH($BS$1,MarketData!$D$1:$EG$1,0),TRUE),"")</f>
        <v/>
      </c>
      <c r="BT583" s="98" t="str">
        <f t="shared" si="243"/>
        <v/>
      </c>
    </row>
    <row r="584" spans="2:72" x14ac:dyDescent="0.25">
      <c r="B584" s="60" t="str">
        <f t="shared" si="231"/>
        <v/>
      </c>
      <c r="C584" s="3" t="str">
        <f t="shared" si="233"/>
        <v/>
      </c>
      <c r="D584" s="3" t="str">
        <f t="shared" si="234"/>
        <v/>
      </c>
      <c r="E584" s="3" t="str">
        <f t="shared" si="235"/>
        <v/>
      </c>
      <c r="F584" s="3" t="str">
        <f t="shared" si="236"/>
        <v/>
      </c>
      <c r="G584" s="74" t="str">
        <f t="shared" si="237"/>
        <v/>
      </c>
      <c r="H584" s="78" t="str">
        <f>IFERROR(C584/SUM(M$2:M583),"")</f>
        <v/>
      </c>
      <c r="I584" s="61" t="str">
        <f>IFERROR(D584/SUM(N$2:N584),"")</f>
        <v/>
      </c>
      <c r="J584" s="61" t="str">
        <f>IFERROR(E584/SUM(O$2:O584),"")</f>
        <v/>
      </c>
      <c r="K584" s="61" t="str">
        <f>IFERROR(F584/SUM(P$2:P584),"")</f>
        <v/>
      </c>
      <c r="L584" s="79" t="str">
        <f>IFERROR(G584/SUM(Q$2:Q584),"")</f>
        <v/>
      </c>
      <c r="M584" s="64" t="str">
        <f t="shared" si="238"/>
        <v/>
      </c>
      <c r="N584" s="55" t="str">
        <f t="shared" si="239"/>
        <v/>
      </c>
      <c r="O584" s="55" t="str">
        <f t="shared" si="240"/>
        <v/>
      </c>
      <c r="P584" s="55" t="str">
        <f t="shared" si="241"/>
        <v/>
      </c>
      <c r="Q584" s="65" t="str">
        <f t="shared" si="242"/>
        <v/>
      </c>
      <c r="R584" s="67" t="str">
        <f t="shared" si="244"/>
        <v/>
      </c>
      <c r="S584" s="56" t="str">
        <f t="shared" si="245"/>
        <v/>
      </c>
      <c r="T584" s="56" t="str">
        <f t="shared" si="246"/>
        <v/>
      </c>
      <c r="U584" s="56" t="str">
        <f t="shared" si="247"/>
        <v/>
      </c>
      <c r="V584" s="68" t="str">
        <f t="shared" si="248"/>
        <v/>
      </c>
      <c r="W584" s="80" t="str">
        <f t="shared" si="224"/>
        <v/>
      </c>
      <c r="X584" s="81" t="str">
        <f t="shared" si="225"/>
        <v/>
      </c>
      <c r="Y584" s="81" t="str">
        <f t="shared" si="226"/>
        <v/>
      </c>
      <c r="Z584" s="81" t="str">
        <f t="shared" si="227"/>
        <v/>
      </c>
      <c r="AA584" s="82" t="str">
        <f t="shared" si="228"/>
        <v/>
      </c>
      <c r="AB584" s="83" t="str">
        <f>IF(R584&lt;&gt;"",(W584-SUMPRODUCT(R$3:R584,$B$3:$B584)/SUM($B$3:$B584))/STDEVA(W574:W584),"")</f>
        <v/>
      </c>
      <c r="AC584" s="84" t="str">
        <f>IF(S584&lt;&gt;"",(X584-SUMPRODUCT(S$3:S584,$B$3:$B584)/SUM($B$3:$B584))/STDEVA(X574:X584),"")</f>
        <v/>
      </c>
      <c r="AD584" s="84" t="str">
        <f>IF(T584&lt;&gt;"",(Y584-SUMPRODUCT(T$3:T584,$B$3:$B584)/SUM($B$3:$B584))/STDEVA(Y574:Y584),"")</f>
        <v/>
      </c>
      <c r="AE584" s="84" t="str">
        <f>IF(U584&lt;&gt;"",(Z584-SUMPRODUCT(U$3:U584,$B$3:$B584)/SUM($B$3:$B584))/STDEVA(Z574:Z584),"")</f>
        <v/>
      </c>
      <c r="AF584" s="85" t="str">
        <f>IF(V584&lt;&gt;"",(AA584-SUMPRODUCT(V$3:V584,$B$3:$B584)/SUM($B$3:$B584))/STDEVA(AA574:AA584),"")</f>
        <v/>
      </c>
      <c r="AG584" s="90" t="str">
        <f t="shared" si="230"/>
        <v/>
      </c>
      <c r="AH584" s="90" t="str">
        <f t="shared" si="230"/>
        <v/>
      </c>
      <c r="AI584" s="90" t="str">
        <f t="shared" si="230"/>
        <v/>
      </c>
      <c r="AJ584" s="90" t="str">
        <f t="shared" si="229"/>
        <v/>
      </c>
      <c r="AK584" s="93" t="str">
        <f t="shared" si="229"/>
        <v/>
      </c>
      <c r="BQ584" s="100" t="str">
        <f>IF(A584&lt;&gt;"",(VLOOKUP(A584,MarketData!$D:$BP,MATCH($BQ$1,MarketData!$D$1:$EG$1,0),TRUE)/100/365+1)^(B584)*BQ583,"")</f>
        <v/>
      </c>
      <c r="BR584" s="98" t="str">
        <f t="shared" si="232"/>
        <v/>
      </c>
      <c r="BS584" s="106" t="str">
        <f>IF(A584&lt;&gt;"",VLOOKUP(A584,MarketData!$D:$BP,MATCH($BS$1,MarketData!$D$1:$EG$1,0),TRUE),"")</f>
        <v/>
      </c>
      <c r="BT584" s="98" t="str">
        <f t="shared" si="243"/>
        <v/>
      </c>
    </row>
    <row r="585" spans="2:72" x14ac:dyDescent="0.25">
      <c r="B585" s="60" t="str">
        <f t="shared" si="231"/>
        <v/>
      </c>
      <c r="C585" s="3" t="str">
        <f t="shared" si="233"/>
        <v/>
      </c>
      <c r="D585" s="3" t="str">
        <f t="shared" si="234"/>
        <v/>
      </c>
      <c r="E585" s="3" t="str">
        <f t="shared" si="235"/>
        <v/>
      </c>
      <c r="F585" s="3" t="str">
        <f t="shared" si="236"/>
        <v/>
      </c>
      <c r="G585" s="74" t="str">
        <f t="shared" si="237"/>
        <v/>
      </c>
      <c r="H585" s="78" t="str">
        <f>IFERROR(C585/SUM(M$2:M584),"")</f>
        <v/>
      </c>
      <c r="I585" s="61" t="str">
        <f>IFERROR(D585/SUM(N$2:N585),"")</f>
        <v/>
      </c>
      <c r="J585" s="61" t="str">
        <f>IFERROR(E585/SUM(O$2:O585),"")</f>
        <v/>
      </c>
      <c r="K585" s="61" t="str">
        <f>IFERROR(F585/SUM(P$2:P585),"")</f>
        <v/>
      </c>
      <c r="L585" s="79" t="str">
        <f>IFERROR(G585/SUM(Q$2:Q585),"")</f>
        <v/>
      </c>
      <c r="M585" s="64" t="str">
        <f t="shared" si="238"/>
        <v/>
      </c>
      <c r="N585" s="55" t="str">
        <f t="shared" si="239"/>
        <v/>
      </c>
      <c r="O585" s="55" t="str">
        <f t="shared" si="240"/>
        <v/>
      </c>
      <c r="P585" s="55" t="str">
        <f t="shared" si="241"/>
        <v/>
      </c>
      <c r="Q585" s="65" t="str">
        <f t="shared" si="242"/>
        <v/>
      </c>
      <c r="R585" s="67" t="str">
        <f t="shared" si="244"/>
        <v/>
      </c>
      <c r="S585" s="56" t="str">
        <f t="shared" si="245"/>
        <v/>
      </c>
      <c r="T585" s="56" t="str">
        <f t="shared" si="246"/>
        <v/>
      </c>
      <c r="U585" s="56" t="str">
        <f t="shared" si="247"/>
        <v/>
      </c>
      <c r="V585" s="68" t="str">
        <f t="shared" si="248"/>
        <v/>
      </c>
      <c r="W585" s="80" t="str">
        <f t="shared" si="224"/>
        <v/>
      </c>
      <c r="X585" s="81" t="str">
        <f t="shared" si="225"/>
        <v/>
      </c>
      <c r="Y585" s="81" t="str">
        <f t="shared" si="226"/>
        <v/>
      </c>
      <c r="Z585" s="81" t="str">
        <f t="shared" si="227"/>
        <v/>
      </c>
      <c r="AA585" s="82" t="str">
        <f t="shared" si="228"/>
        <v/>
      </c>
      <c r="AB585" s="83" t="str">
        <f>IF(R585&lt;&gt;"",(W585-SUMPRODUCT(R$3:R585,$B$3:$B585)/SUM($B$3:$B585))/STDEVA(W575:W585),"")</f>
        <v/>
      </c>
      <c r="AC585" s="84" t="str">
        <f>IF(S585&lt;&gt;"",(X585-SUMPRODUCT(S$3:S585,$B$3:$B585)/SUM($B$3:$B585))/STDEVA(X575:X585),"")</f>
        <v/>
      </c>
      <c r="AD585" s="84" t="str">
        <f>IF(T585&lt;&gt;"",(Y585-SUMPRODUCT(T$3:T585,$B$3:$B585)/SUM($B$3:$B585))/STDEVA(Y575:Y585),"")</f>
        <v/>
      </c>
      <c r="AE585" s="84" t="str">
        <f>IF(U585&lt;&gt;"",(Z585-SUMPRODUCT(U$3:U585,$B$3:$B585)/SUM($B$3:$B585))/STDEVA(Z575:Z585),"")</f>
        <v/>
      </c>
      <c r="AF585" s="85" t="str">
        <f>IF(V585&lt;&gt;"",(AA585-SUMPRODUCT(V$3:V585,$B$3:$B585)/SUM($B$3:$B585))/STDEVA(AA575:AA585),"")</f>
        <v/>
      </c>
      <c r="AG585" s="90" t="str">
        <f t="shared" si="230"/>
        <v/>
      </c>
      <c r="AH585" s="90" t="str">
        <f t="shared" si="230"/>
        <v/>
      </c>
      <c r="AI585" s="90" t="str">
        <f t="shared" si="230"/>
        <v/>
      </c>
      <c r="AJ585" s="90" t="str">
        <f t="shared" si="229"/>
        <v/>
      </c>
      <c r="AK585" s="93" t="str">
        <f t="shared" si="229"/>
        <v/>
      </c>
      <c r="BQ585" s="100" t="str">
        <f>IF(A585&lt;&gt;"",(VLOOKUP(A585,MarketData!$D:$BP,MATCH($BQ$1,MarketData!$D$1:$EG$1,0),TRUE)/100/365+1)^(B585)*BQ584,"")</f>
        <v/>
      </c>
      <c r="BR585" s="98" t="str">
        <f t="shared" si="232"/>
        <v/>
      </c>
      <c r="BS585" s="106" t="str">
        <f>IF(A585&lt;&gt;"",VLOOKUP(A585,MarketData!$D:$BP,MATCH($BS$1,MarketData!$D$1:$EG$1,0),TRUE),"")</f>
        <v/>
      </c>
      <c r="BT585" s="98" t="str">
        <f t="shared" si="243"/>
        <v/>
      </c>
    </row>
    <row r="586" spans="2:72" x14ac:dyDescent="0.25">
      <c r="B586" s="60" t="str">
        <f t="shared" si="231"/>
        <v/>
      </c>
      <c r="C586" s="3" t="str">
        <f t="shared" si="233"/>
        <v/>
      </c>
      <c r="D586" s="3" t="str">
        <f t="shared" si="234"/>
        <v/>
      </c>
      <c r="E586" s="3" t="str">
        <f t="shared" si="235"/>
        <v/>
      </c>
      <c r="F586" s="3" t="str">
        <f t="shared" si="236"/>
        <v/>
      </c>
      <c r="G586" s="74" t="str">
        <f t="shared" si="237"/>
        <v/>
      </c>
      <c r="H586" s="78" t="str">
        <f>IFERROR(C586/SUM(M$2:M585),"")</f>
        <v/>
      </c>
      <c r="I586" s="61" t="str">
        <f>IFERROR(D586/SUM(N$2:N586),"")</f>
        <v/>
      </c>
      <c r="J586" s="61" t="str">
        <f>IFERROR(E586/SUM(O$2:O586),"")</f>
        <v/>
      </c>
      <c r="K586" s="61" t="str">
        <f>IFERROR(F586/SUM(P$2:P586),"")</f>
        <v/>
      </c>
      <c r="L586" s="79" t="str">
        <f>IFERROR(G586/SUM(Q$2:Q586),"")</f>
        <v/>
      </c>
      <c r="M586" s="64" t="str">
        <f t="shared" si="238"/>
        <v/>
      </c>
      <c r="N586" s="55" t="str">
        <f t="shared" si="239"/>
        <v/>
      </c>
      <c r="O586" s="55" t="str">
        <f t="shared" si="240"/>
        <v/>
      </c>
      <c r="P586" s="55" t="str">
        <f t="shared" si="241"/>
        <v/>
      </c>
      <c r="Q586" s="65" t="str">
        <f t="shared" si="242"/>
        <v/>
      </c>
      <c r="R586" s="67" t="str">
        <f t="shared" si="244"/>
        <v/>
      </c>
      <c r="S586" s="56" t="str">
        <f t="shared" si="245"/>
        <v/>
      </c>
      <c r="T586" s="56" t="str">
        <f t="shared" si="246"/>
        <v/>
      </c>
      <c r="U586" s="56" t="str">
        <f t="shared" si="247"/>
        <v/>
      </c>
      <c r="V586" s="68" t="str">
        <f t="shared" si="248"/>
        <v/>
      </c>
      <c r="W586" s="80" t="str">
        <f t="shared" si="224"/>
        <v/>
      </c>
      <c r="X586" s="81" t="str">
        <f t="shared" si="225"/>
        <v/>
      </c>
      <c r="Y586" s="81" t="str">
        <f t="shared" si="226"/>
        <v/>
      </c>
      <c r="Z586" s="81" t="str">
        <f t="shared" si="227"/>
        <v/>
      </c>
      <c r="AA586" s="82" t="str">
        <f t="shared" si="228"/>
        <v/>
      </c>
      <c r="AB586" s="83" t="str">
        <f>IF(R586&lt;&gt;"",(W586-SUMPRODUCT(R$3:R586,$B$3:$B586)/SUM($B$3:$B586))/STDEVA(W576:W586),"")</f>
        <v/>
      </c>
      <c r="AC586" s="84" t="str">
        <f>IF(S586&lt;&gt;"",(X586-SUMPRODUCT(S$3:S586,$B$3:$B586)/SUM($B$3:$B586))/STDEVA(X576:X586),"")</f>
        <v/>
      </c>
      <c r="AD586" s="84" t="str">
        <f>IF(T586&lt;&gt;"",(Y586-SUMPRODUCT(T$3:T586,$B$3:$B586)/SUM($B$3:$B586))/STDEVA(Y576:Y586),"")</f>
        <v/>
      </c>
      <c r="AE586" s="84" t="str">
        <f>IF(U586&lt;&gt;"",(Z586-SUMPRODUCT(U$3:U586,$B$3:$B586)/SUM($B$3:$B586))/STDEVA(Z576:Z586),"")</f>
        <v/>
      </c>
      <c r="AF586" s="85" t="str">
        <f>IF(V586&lt;&gt;"",(AA586-SUMPRODUCT(V$3:V586,$B$3:$B586)/SUM($B$3:$B586))/STDEVA(AA576:AA586),"")</f>
        <v/>
      </c>
      <c r="AG586" s="90" t="str">
        <f t="shared" si="230"/>
        <v/>
      </c>
      <c r="AH586" s="90" t="str">
        <f t="shared" si="230"/>
        <v/>
      </c>
      <c r="AI586" s="90" t="str">
        <f t="shared" si="230"/>
        <v/>
      </c>
      <c r="AJ586" s="90" t="str">
        <f t="shared" si="229"/>
        <v/>
      </c>
      <c r="AK586" s="93" t="str">
        <f t="shared" si="229"/>
        <v/>
      </c>
      <c r="BQ586" s="100" t="str">
        <f>IF(A586&lt;&gt;"",(VLOOKUP(A586,MarketData!$D:$BP,MATCH($BQ$1,MarketData!$D$1:$EG$1,0),TRUE)/100/365+1)^(B586)*BQ585,"")</f>
        <v/>
      </c>
      <c r="BR586" s="98" t="str">
        <f t="shared" si="232"/>
        <v/>
      </c>
      <c r="BS586" s="106" t="str">
        <f>IF(A586&lt;&gt;"",VLOOKUP(A586,MarketData!$D:$BP,MATCH($BS$1,MarketData!$D$1:$EG$1,0),TRUE),"")</f>
        <v/>
      </c>
      <c r="BT586" s="98" t="str">
        <f t="shared" si="243"/>
        <v/>
      </c>
    </row>
    <row r="587" spans="2:72" x14ac:dyDescent="0.25">
      <c r="B587" s="60" t="str">
        <f t="shared" si="231"/>
        <v/>
      </c>
      <c r="C587" s="3" t="str">
        <f t="shared" si="233"/>
        <v/>
      </c>
      <c r="D587" s="3" t="str">
        <f t="shared" si="234"/>
        <v/>
      </c>
      <c r="E587" s="3" t="str">
        <f t="shared" si="235"/>
        <v/>
      </c>
      <c r="F587" s="3" t="str">
        <f t="shared" si="236"/>
        <v/>
      </c>
      <c r="G587" s="74" t="str">
        <f t="shared" si="237"/>
        <v/>
      </c>
      <c r="H587" s="78" t="str">
        <f>IFERROR(C587/SUM(M$2:M586),"")</f>
        <v/>
      </c>
      <c r="I587" s="61" t="str">
        <f>IFERROR(D587/SUM(N$2:N587),"")</f>
        <v/>
      </c>
      <c r="J587" s="61" t="str">
        <f>IFERROR(E587/SUM(O$2:O587),"")</f>
        <v/>
      </c>
      <c r="K587" s="61" t="str">
        <f>IFERROR(F587/SUM(P$2:P587),"")</f>
        <v/>
      </c>
      <c r="L587" s="79" t="str">
        <f>IFERROR(G587/SUM(Q$2:Q587),"")</f>
        <v/>
      </c>
      <c r="M587" s="64" t="str">
        <f t="shared" si="238"/>
        <v/>
      </c>
      <c r="N587" s="55" t="str">
        <f t="shared" si="239"/>
        <v/>
      </c>
      <c r="O587" s="55" t="str">
        <f t="shared" si="240"/>
        <v/>
      </c>
      <c r="P587" s="55" t="str">
        <f t="shared" si="241"/>
        <v/>
      </c>
      <c r="Q587" s="65" t="str">
        <f t="shared" si="242"/>
        <v/>
      </c>
      <c r="R587" s="67" t="str">
        <f t="shared" si="244"/>
        <v/>
      </c>
      <c r="S587" s="56" t="str">
        <f t="shared" si="245"/>
        <v/>
      </c>
      <c r="T587" s="56" t="str">
        <f t="shared" si="246"/>
        <v/>
      </c>
      <c r="U587" s="56" t="str">
        <f t="shared" si="247"/>
        <v/>
      </c>
      <c r="V587" s="68" t="str">
        <f t="shared" si="248"/>
        <v/>
      </c>
      <c r="W587" s="80" t="str">
        <f t="shared" si="224"/>
        <v/>
      </c>
      <c r="X587" s="81" t="str">
        <f t="shared" si="225"/>
        <v/>
      </c>
      <c r="Y587" s="81" t="str">
        <f t="shared" si="226"/>
        <v/>
      </c>
      <c r="Z587" s="81" t="str">
        <f t="shared" si="227"/>
        <v/>
      </c>
      <c r="AA587" s="82" t="str">
        <f t="shared" si="228"/>
        <v/>
      </c>
      <c r="AB587" s="83" t="str">
        <f>IF(R587&lt;&gt;"",(W587-SUMPRODUCT(R$3:R587,$B$3:$B587)/SUM($B$3:$B587))/STDEVA(W577:W587),"")</f>
        <v/>
      </c>
      <c r="AC587" s="84" t="str">
        <f>IF(S587&lt;&gt;"",(X587-SUMPRODUCT(S$3:S587,$B$3:$B587)/SUM($B$3:$B587))/STDEVA(X577:X587),"")</f>
        <v/>
      </c>
      <c r="AD587" s="84" t="str">
        <f>IF(T587&lt;&gt;"",(Y587-SUMPRODUCT(T$3:T587,$B$3:$B587)/SUM($B$3:$B587))/STDEVA(Y577:Y587),"")</f>
        <v/>
      </c>
      <c r="AE587" s="84" t="str">
        <f>IF(U587&lt;&gt;"",(Z587-SUMPRODUCT(U$3:U587,$B$3:$B587)/SUM($B$3:$B587))/STDEVA(Z577:Z587),"")</f>
        <v/>
      </c>
      <c r="AF587" s="85" t="str">
        <f>IF(V587&lt;&gt;"",(AA587-SUMPRODUCT(V$3:V587,$B$3:$B587)/SUM($B$3:$B587))/STDEVA(AA577:AA587),"")</f>
        <v/>
      </c>
      <c r="AG587" s="90" t="str">
        <f t="shared" si="230"/>
        <v/>
      </c>
      <c r="AH587" s="90" t="str">
        <f t="shared" si="230"/>
        <v/>
      </c>
      <c r="AI587" s="90" t="str">
        <f t="shared" si="230"/>
        <v/>
      </c>
      <c r="AJ587" s="90" t="str">
        <f t="shared" si="229"/>
        <v/>
      </c>
      <c r="AK587" s="93" t="str">
        <f t="shared" si="229"/>
        <v/>
      </c>
      <c r="BQ587" s="100" t="str">
        <f>IF(A587&lt;&gt;"",(VLOOKUP(A587,MarketData!$D:$BP,MATCH($BQ$1,MarketData!$D$1:$EG$1,0),TRUE)/100/365+1)^(B587)*BQ586,"")</f>
        <v/>
      </c>
      <c r="BR587" s="98" t="str">
        <f t="shared" si="232"/>
        <v/>
      </c>
      <c r="BS587" s="106" t="str">
        <f>IF(A587&lt;&gt;"",VLOOKUP(A587,MarketData!$D:$BP,MATCH($BS$1,MarketData!$D$1:$EG$1,0),TRUE),"")</f>
        <v/>
      </c>
      <c r="BT587" s="98" t="str">
        <f t="shared" si="243"/>
        <v/>
      </c>
    </row>
    <row r="588" spans="2:72" x14ac:dyDescent="0.25">
      <c r="B588" s="60" t="str">
        <f t="shared" si="231"/>
        <v/>
      </c>
      <c r="C588" s="3" t="str">
        <f t="shared" si="233"/>
        <v/>
      </c>
      <c r="D588" s="3" t="str">
        <f t="shared" si="234"/>
        <v/>
      </c>
      <c r="E588" s="3" t="str">
        <f t="shared" si="235"/>
        <v/>
      </c>
      <c r="F588" s="3" t="str">
        <f t="shared" si="236"/>
        <v/>
      </c>
      <c r="G588" s="74" t="str">
        <f t="shared" si="237"/>
        <v/>
      </c>
      <c r="H588" s="78" t="str">
        <f>IFERROR(C588/SUM(M$2:M587),"")</f>
        <v/>
      </c>
      <c r="I588" s="61" t="str">
        <f>IFERROR(D588/SUM(N$2:N588),"")</f>
        <v/>
      </c>
      <c r="J588" s="61" t="str">
        <f>IFERROR(E588/SUM(O$2:O588),"")</f>
        <v/>
      </c>
      <c r="K588" s="61" t="str">
        <f>IFERROR(F588/SUM(P$2:P588),"")</f>
        <v/>
      </c>
      <c r="L588" s="79" t="str">
        <f>IFERROR(G588/SUM(Q$2:Q588),"")</f>
        <v/>
      </c>
      <c r="M588" s="64" t="str">
        <f t="shared" si="238"/>
        <v/>
      </c>
      <c r="N588" s="55" t="str">
        <f t="shared" si="239"/>
        <v/>
      </c>
      <c r="O588" s="55" t="str">
        <f t="shared" si="240"/>
        <v/>
      </c>
      <c r="P588" s="55" t="str">
        <f t="shared" si="241"/>
        <v/>
      </c>
      <c r="Q588" s="65" t="str">
        <f t="shared" si="242"/>
        <v/>
      </c>
      <c r="R588" s="67" t="str">
        <f t="shared" si="244"/>
        <v/>
      </c>
      <c r="S588" s="56" t="str">
        <f t="shared" si="245"/>
        <v/>
      </c>
      <c r="T588" s="56" t="str">
        <f t="shared" si="246"/>
        <v/>
      </c>
      <c r="U588" s="56" t="str">
        <f t="shared" si="247"/>
        <v/>
      </c>
      <c r="V588" s="68" t="str">
        <f t="shared" si="248"/>
        <v/>
      </c>
      <c r="W588" s="80" t="str">
        <f t="shared" ref="W588:W651" si="249">IF(R588&lt;&gt;"",SUMPRODUCT(R579:R588,$B579:$B588)/SUM($B579:$B588),"")</f>
        <v/>
      </c>
      <c r="X588" s="81" t="str">
        <f t="shared" ref="X588:X651" si="250">IF(S588&lt;&gt;"",SUMPRODUCT(S579:S588,$B579:$B588)/SUM($B579:$B588),"")</f>
        <v/>
      </c>
      <c r="Y588" s="81" t="str">
        <f t="shared" ref="Y588:Y651" si="251">IF(T588&lt;&gt;"",SUMPRODUCT(T579:T588,$B579:$B588)/SUM($B579:$B588),"")</f>
        <v/>
      </c>
      <c r="Z588" s="81" t="str">
        <f t="shared" ref="Z588:Z651" si="252">IF(U588&lt;&gt;"",SUMPRODUCT(U579:U588,$B579:$B588)/SUM($B579:$B588),"")</f>
        <v/>
      </c>
      <c r="AA588" s="82" t="str">
        <f t="shared" ref="AA588:AA651" si="253">IF(V588&lt;&gt;"",SUMPRODUCT(V579:V588,$B579:$B588)/SUM($B579:$B588),"")</f>
        <v/>
      </c>
      <c r="AB588" s="83" t="str">
        <f>IF(R588&lt;&gt;"",(W588-SUMPRODUCT(R$3:R588,$B$3:$B588)/SUM($B$3:$B588))/STDEVA(W578:W588),"")</f>
        <v/>
      </c>
      <c r="AC588" s="84" t="str">
        <f>IF(S588&lt;&gt;"",(X588-SUMPRODUCT(S$3:S588,$B$3:$B588)/SUM($B$3:$B588))/STDEVA(X578:X588),"")</f>
        <v/>
      </c>
      <c r="AD588" s="84" t="str">
        <f>IF(T588&lt;&gt;"",(Y588-SUMPRODUCT(T$3:T588,$B$3:$B588)/SUM($B$3:$B588))/STDEVA(Y578:Y588),"")</f>
        <v/>
      </c>
      <c r="AE588" s="84" t="str">
        <f>IF(U588&lt;&gt;"",(Z588-SUMPRODUCT(U$3:U588,$B$3:$B588)/SUM($B$3:$B588))/STDEVA(Z578:Z588),"")</f>
        <v/>
      </c>
      <c r="AF588" s="85" t="str">
        <f>IF(V588&lt;&gt;"",(AA588-SUMPRODUCT(V$3:V588,$B$3:$B588)/SUM($B$3:$B588))/STDEVA(AA578:AA588),"")</f>
        <v/>
      </c>
      <c r="AG588" s="90" t="str">
        <f t="shared" si="230"/>
        <v/>
      </c>
      <c r="AH588" s="90" t="str">
        <f t="shared" si="230"/>
        <v/>
      </c>
      <c r="AI588" s="90" t="str">
        <f t="shared" si="230"/>
        <v/>
      </c>
      <c r="AJ588" s="90" t="str">
        <f t="shared" si="229"/>
        <v/>
      </c>
      <c r="AK588" s="93" t="str">
        <f t="shared" si="229"/>
        <v/>
      </c>
      <c r="BQ588" s="100" t="str">
        <f>IF(A588&lt;&gt;"",(VLOOKUP(A588,MarketData!$D:$BP,MATCH($BQ$1,MarketData!$D$1:$EG$1,0),TRUE)/100/365+1)^(B588)*BQ587,"")</f>
        <v/>
      </c>
      <c r="BR588" s="98" t="str">
        <f t="shared" si="232"/>
        <v/>
      </c>
      <c r="BS588" s="106" t="str">
        <f>IF(A588&lt;&gt;"",VLOOKUP(A588,MarketData!$D:$BP,MATCH($BS$1,MarketData!$D$1:$EG$1,0),TRUE),"")</f>
        <v/>
      </c>
      <c r="BT588" s="98" t="str">
        <f t="shared" si="243"/>
        <v/>
      </c>
    </row>
    <row r="589" spans="2:72" x14ac:dyDescent="0.25">
      <c r="B589" s="60" t="str">
        <f t="shared" si="231"/>
        <v/>
      </c>
      <c r="C589" s="3" t="str">
        <f t="shared" si="233"/>
        <v/>
      </c>
      <c r="D589" s="3" t="str">
        <f t="shared" si="234"/>
        <v/>
      </c>
      <c r="E589" s="3" t="str">
        <f t="shared" si="235"/>
        <v/>
      </c>
      <c r="F589" s="3" t="str">
        <f t="shared" si="236"/>
        <v/>
      </c>
      <c r="G589" s="74" t="str">
        <f t="shared" si="237"/>
        <v/>
      </c>
      <c r="H589" s="78" t="str">
        <f>IFERROR(C589/SUM(M$2:M588),"")</f>
        <v/>
      </c>
      <c r="I589" s="61" t="str">
        <f>IFERROR(D589/SUM(N$2:N589),"")</f>
        <v/>
      </c>
      <c r="J589" s="61" t="str">
        <f>IFERROR(E589/SUM(O$2:O589),"")</f>
        <v/>
      </c>
      <c r="K589" s="61" t="str">
        <f>IFERROR(F589/SUM(P$2:P589),"")</f>
        <v/>
      </c>
      <c r="L589" s="79" t="str">
        <f>IFERROR(G589/SUM(Q$2:Q589),"")</f>
        <v/>
      </c>
      <c r="M589" s="64" t="str">
        <f t="shared" si="238"/>
        <v/>
      </c>
      <c r="N589" s="55" t="str">
        <f t="shared" si="239"/>
        <v/>
      </c>
      <c r="O589" s="55" t="str">
        <f t="shared" si="240"/>
        <v/>
      </c>
      <c r="P589" s="55" t="str">
        <f t="shared" si="241"/>
        <v/>
      </c>
      <c r="Q589" s="65" t="str">
        <f t="shared" si="242"/>
        <v/>
      </c>
      <c r="R589" s="67" t="str">
        <f t="shared" si="244"/>
        <v/>
      </c>
      <c r="S589" s="56" t="str">
        <f t="shared" si="245"/>
        <v/>
      </c>
      <c r="T589" s="56" t="str">
        <f t="shared" si="246"/>
        <v/>
      </c>
      <c r="U589" s="56" t="str">
        <f t="shared" si="247"/>
        <v/>
      </c>
      <c r="V589" s="68" t="str">
        <f t="shared" si="248"/>
        <v/>
      </c>
      <c r="W589" s="80" t="str">
        <f t="shared" si="249"/>
        <v/>
      </c>
      <c r="X589" s="81" t="str">
        <f t="shared" si="250"/>
        <v/>
      </c>
      <c r="Y589" s="81" t="str">
        <f t="shared" si="251"/>
        <v/>
      </c>
      <c r="Z589" s="81" t="str">
        <f t="shared" si="252"/>
        <v/>
      </c>
      <c r="AA589" s="82" t="str">
        <f t="shared" si="253"/>
        <v/>
      </c>
      <c r="AB589" s="83" t="str">
        <f>IF(R589&lt;&gt;"",(W589-SUMPRODUCT(R$3:R589,$B$3:$B589)/SUM($B$3:$B589))/STDEVA(W579:W589),"")</f>
        <v/>
      </c>
      <c r="AC589" s="84" t="str">
        <f>IF(S589&lt;&gt;"",(X589-SUMPRODUCT(S$3:S589,$B$3:$B589)/SUM($B$3:$B589))/STDEVA(X579:X589),"")</f>
        <v/>
      </c>
      <c r="AD589" s="84" t="str">
        <f>IF(T589&lt;&gt;"",(Y589-SUMPRODUCT(T$3:T589,$B$3:$B589)/SUM($B$3:$B589))/STDEVA(Y579:Y589),"")</f>
        <v/>
      </c>
      <c r="AE589" s="84" t="str">
        <f>IF(U589&lt;&gt;"",(Z589-SUMPRODUCT(U$3:U589,$B$3:$B589)/SUM($B$3:$B589))/STDEVA(Z579:Z589),"")</f>
        <v/>
      </c>
      <c r="AF589" s="85" t="str">
        <f>IF(V589&lt;&gt;"",(AA589-SUMPRODUCT(V$3:V589,$B$3:$B589)/SUM($B$3:$B589))/STDEVA(AA579:AA589),"")</f>
        <v/>
      </c>
      <c r="AG589" s="90" t="str">
        <f t="shared" si="230"/>
        <v/>
      </c>
      <c r="AH589" s="90" t="str">
        <f t="shared" si="230"/>
        <v/>
      </c>
      <c r="AI589" s="90" t="str">
        <f t="shared" si="230"/>
        <v/>
      </c>
      <c r="AJ589" s="90" t="str">
        <f t="shared" si="230"/>
        <v/>
      </c>
      <c r="AK589" s="93" t="str">
        <f t="shared" si="230"/>
        <v/>
      </c>
      <c r="BQ589" s="100" t="str">
        <f>IF(A589&lt;&gt;"",(VLOOKUP(A589,MarketData!$D:$BP,MATCH($BQ$1,MarketData!$D$1:$EG$1,0),TRUE)/100/365+1)^(B589)*BQ588,"")</f>
        <v/>
      </c>
      <c r="BR589" s="98" t="str">
        <f t="shared" si="232"/>
        <v/>
      </c>
      <c r="BS589" s="106" t="str">
        <f>IF(A589&lt;&gt;"",VLOOKUP(A589,MarketData!$D:$BP,MATCH($BS$1,MarketData!$D$1:$EG$1,0),TRUE),"")</f>
        <v/>
      </c>
      <c r="BT589" s="98" t="str">
        <f t="shared" si="243"/>
        <v/>
      </c>
    </row>
    <row r="590" spans="2:72" x14ac:dyDescent="0.25">
      <c r="B590" s="60" t="str">
        <f t="shared" si="231"/>
        <v/>
      </c>
      <c r="C590" s="3" t="str">
        <f t="shared" si="233"/>
        <v/>
      </c>
      <c r="D590" s="3" t="str">
        <f t="shared" si="234"/>
        <v/>
      </c>
      <c r="E590" s="3" t="str">
        <f t="shared" si="235"/>
        <v/>
      </c>
      <c r="F590" s="3" t="str">
        <f t="shared" si="236"/>
        <v/>
      </c>
      <c r="G590" s="74" t="str">
        <f t="shared" si="237"/>
        <v/>
      </c>
      <c r="H590" s="78" t="str">
        <f>IFERROR(C590/SUM(M$2:M589),"")</f>
        <v/>
      </c>
      <c r="I590" s="61" t="str">
        <f>IFERROR(D590/SUM(N$2:N590),"")</f>
        <v/>
      </c>
      <c r="J590" s="61" t="str">
        <f>IFERROR(E590/SUM(O$2:O590),"")</f>
        <v/>
      </c>
      <c r="K590" s="61" t="str">
        <f>IFERROR(F590/SUM(P$2:P590),"")</f>
        <v/>
      </c>
      <c r="L590" s="79" t="str">
        <f>IFERROR(G590/SUM(Q$2:Q590),"")</f>
        <v/>
      </c>
      <c r="M590" s="64" t="str">
        <f t="shared" si="238"/>
        <v/>
      </c>
      <c r="N590" s="55" t="str">
        <f t="shared" si="239"/>
        <v/>
      </c>
      <c r="O590" s="55" t="str">
        <f t="shared" si="240"/>
        <v/>
      </c>
      <c r="P590" s="55" t="str">
        <f t="shared" si="241"/>
        <v/>
      </c>
      <c r="Q590" s="65" t="str">
        <f t="shared" si="242"/>
        <v/>
      </c>
      <c r="R590" s="67" t="str">
        <f t="shared" si="244"/>
        <v/>
      </c>
      <c r="S590" s="56" t="str">
        <f t="shared" si="245"/>
        <v/>
      </c>
      <c r="T590" s="56" t="str">
        <f t="shared" si="246"/>
        <v/>
      </c>
      <c r="U590" s="56" t="str">
        <f t="shared" si="247"/>
        <v/>
      </c>
      <c r="V590" s="68" t="str">
        <f t="shared" si="248"/>
        <v/>
      </c>
      <c r="W590" s="80" t="str">
        <f t="shared" si="249"/>
        <v/>
      </c>
      <c r="X590" s="81" t="str">
        <f t="shared" si="250"/>
        <v/>
      </c>
      <c r="Y590" s="81" t="str">
        <f t="shared" si="251"/>
        <v/>
      </c>
      <c r="Z590" s="81" t="str">
        <f t="shared" si="252"/>
        <v/>
      </c>
      <c r="AA590" s="82" t="str">
        <f t="shared" si="253"/>
        <v/>
      </c>
      <c r="AB590" s="83" t="str">
        <f>IF(R590&lt;&gt;"",(W590-SUMPRODUCT(R$3:R590,$B$3:$B590)/SUM($B$3:$B590))/STDEVA(W580:W590),"")</f>
        <v/>
      </c>
      <c r="AC590" s="84" t="str">
        <f>IF(S590&lt;&gt;"",(X590-SUMPRODUCT(S$3:S590,$B$3:$B590)/SUM($B$3:$B590))/STDEVA(X580:X590),"")</f>
        <v/>
      </c>
      <c r="AD590" s="84" t="str">
        <f>IF(T590&lt;&gt;"",(Y590-SUMPRODUCT(T$3:T590,$B$3:$B590)/SUM($B$3:$B590))/STDEVA(Y580:Y590),"")</f>
        <v/>
      </c>
      <c r="AE590" s="84" t="str">
        <f>IF(U590&lt;&gt;"",(Z590-SUMPRODUCT(U$3:U590,$B$3:$B590)/SUM($B$3:$B590))/STDEVA(Z580:Z590),"")</f>
        <v/>
      </c>
      <c r="AF590" s="85" t="str">
        <f>IF(V590&lt;&gt;"",(AA590-SUMPRODUCT(V$3:V590,$B$3:$B590)/SUM($B$3:$B590))/STDEVA(AA580:AA590),"")</f>
        <v/>
      </c>
      <c r="AG590" s="90" t="str">
        <f t="shared" ref="AG590:AJ653" si="254">IF(AB590&lt;&gt;"",SUMPRODUCT(AB585:AB590,$B585:$B590)/SUM($B585:$B590),"")</f>
        <v/>
      </c>
      <c r="AH590" s="90" t="str">
        <f t="shared" si="254"/>
        <v/>
      </c>
      <c r="AI590" s="90" t="str">
        <f t="shared" si="254"/>
        <v/>
      </c>
      <c r="AJ590" s="90" t="str">
        <f t="shared" si="254"/>
        <v/>
      </c>
      <c r="AK590" s="93" t="str">
        <f t="shared" ref="AK590:AK653" si="255">IF(AF590&lt;&gt;"",SUMPRODUCT(AF585:AF590,$B585:$B590)/SUM($B585:$B590),"")</f>
        <v/>
      </c>
      <c r="BQ590" s="100" t="str">
        <f>IF(A590&lt;&gt;"",(VLOOKUP(A590,MarketData!$D:$BP,MATCH($BQ$1,MarketData!$D$1:$EG$1,0),TRUE)/100/365+1)^(B590)*BQ589,"")</f>
        <v/>
      </c>
      <c r="BR590" s="98" t="str">
        <f t="shared" si="232"/>
        <v/>
      </c>
      <c r="BS590" s="106" t="str">
        <f>IF(A590&lt;&gt;"",VLOOKUP(A590,MarketData!$D:$BP,MATCH($BS$1,MarketData!$D$1:$EG$1,0),TRUE),"")</f>
        <v/>
      </c>
      <c r="BT590" s="98" t="str">
        <f t="shared" si="243"/>
        <v/>
      </c>
    </row>
    <row r="591" spans="2:72" x14ac:dyDescent="0.25">
      <c r="B591" s="60" t="str">
        <f t="shared" si="231"/>
        <v/>
      </c>
      <c r="C591" s="3" t="str">
        <f t="shared" si="233"/>
        <v/>
      </c>
      <c r="D591" s="3" t="str">
        <f t="shared" si="234"/>
        <v/>
      </c>
      <c r="E591" s="3" t="str">
        <f t="shared" si="235"/>
        <v/>
      </c>
      <c r="F591" s="3" t="str">
        <f t="shared" si="236"/>
        <v/>
      </c>
      <c r="G591" s="74" t="str">
        <f t="shared" si="237"/>
        <v/>
      </c>
      <c r="H591" s="78" t="str">
        <f>IFERROR(C591/SUM(M$2:M590),"")</f>
        <v/>
      </c>
      <c r="I591" s="61" t="str">
        <f>IFERROR(D591/SUM(N$2:N591),"")</f>
        <v/>
      </c>
      <c r="J591" s="61" t="str">
        <f>IFERROR(E591/SUM(O$2:O591),"")</f>
        <v/>
      </c>
      <c r="K591" s="61" t="str">
        <f>IFERROR(F591/SUM(P$2:P591),"")</f>
        <v/>
      </c>
      <c r="L591" s="79" t="str">
        <f>IFERROR(G591/SUM(Q$2:Q591),"")</f>
        <v/>
      </c>
      <c r="M591" s="64" t="str">
        <f t="shared" si="238"/>
        <v/>
      </c>
      <c r="N591" s="55" t="str">
        <f t="shared" si="239"/>
        <v/>
      </c>
      <c r="O591" s="55" t="str">
        <f t="shared" si="240"/>
        <v/>
      </c>
      <c r="P591" s="55" t="str">
        <f t="shared" si="241"/>
        <v/>
      </c>
      <c r="Q591" s="65" t="str">
        <f t="shared" si="242"/>
        <v/>
      </c>
      <c r="R591" s="67" t="str">
        <f t="shared" si="244"/>
        <v/>
      </c>
      <c r="S591" s="56" t="str">
        <f t="shared" si="245"/>
        <v/>
      </c>
      <c r="T591" s="56" t="str">
        <f t="shared" si="246"/>
        <v/>
      </c>
      <c r="U591" s="56" t="str">
        <f t="shared" si="247"/>
        <v/>
      </c>
      <c r="V591" s="68" t="str">
        <f t="shared" si="248"/>
        <v/>
      </c>
      <c r="W591" s="80" t="str">
        <f t="shared" si="249"/>
        <v/>
      </c>
      <c r="X591" s="81" t="str">
        <f t="shared" si="250"/>
        <v/>
      </c>
      <c r="Y591" s="81" t="str">
        <f t="shared" si="251"/>
        <v/>
      </c>
      <c r="Z591" s="81" t="str">
        <f t="shared" si="252"/>
        <v/>
      </c>
      <c r="AA591" s="82" t="str">
        <f t="shared" si="253"/>
        <v/>
      </c>
      <c r="AB591" s="83" t="str">
        <f>IF(R591&lt;&gt;"",(W591-SUMPRODUCT(R$3:R591,$B$3:$B591)/SUM($B$3:$B591))/STDEVA(W581:W591),"")</f>
        <v/>
      </c>
      <c r="AC591" s="84" t="str">
        <f>IF(S591&lt;&gt;"",(X591-SUMPRODUCT(S$3:S591,$B$3:$B591)/SUM($B$3:$B591))/STDEVA(X581:X591),"")</f>
        <v/>
      </c>
      <c r="AD591" s="84" t="str">
        <f>IF(T591&lt;&gt;"",(Y591-SUMPRODUCT(T$3:T591,$B$3:$B591)/SUM($B$3:$B591))/STDEVA(Y581:Y591),"")</f>
        <v/>
      </c>
      <c r="AE591" s="84" t="str">
        <f>IF(U591&lt;&gt;"",(Z591-SUMPRODUCT(U$3:U591,$B$3:$B591)/SUM($B$3:$B591))/STDEVA(Z581:Z591),"")</f>
        <v/>
      </c>
      <c r="AF591" s="85" t="str">
        <f>IF(V591&lt;&gt;"",(AA591-SUMPRODUCT(V$3:V591,$B$3:$B591)/SUM($B$3:$B591))/STDEVA(AA581:AA591),"")</f>
        <v/>
      </c>
      <c r="AG591" s="90" t="str">
        <f t="shared" si="254"/>
        <v/>
      </c>
      <c r="AH591" s="90" t="str">
        <f t="shared" si="254"/>
        <v/>
      </c>
      <c r="AI591" s="90" t="str">
        <f t="shared" si="254"/>
        <v/>
      </c>
      <c r="AJ591" s="90" t="str">
        <f t="shared" si="254"/>
        <v/>
      </c>
      <c r="AK591" s="93" t="str">
        <f t="shared" si="255"/>
        <v/>
      </c>
      <c r="BQ591" s="100" t="str">
        <f>IF(A591&lt;&gt;"",(VLOOKUP(A591,MarketData!$D:$BP,MATCH($BQ$1,MarketData!$D$1:$EG$1,0),TRUE)/100/365+1)^(B591)*BQ590,"")</f>
        <v/>
      </c>
      <c r="BR591" s="98" t="str">
        <f t="shared" si="232"/>
        <v/>
      </c>
      <c r="BS591" s="106" t="str">
        <f>IF(A591&lt;&gt;"",VLOOKUP(A591,MarketData!$D:$BP,MATCH($BS$1,MarketData!$D$1:$EG$1,0),TRUE),"")</f>
        <v/>
      </c>
      <c r="BT591" s="98" t="str">
        <f t="shared" si="243"/>
        <v/>
      </c>
    </row>
    <row r="592" spans="2:72" x14ac:dyDescent="0.25">
      <c r="B592" s="60" t="str">
        <f t="shared" si="231"/>
        <v/>
      </c>
      <c r="C592" s="3" t="str">
        <f t="shared" si="233"/>
        <v/>
      </c>
      <c r="D592" s="3" t="str">
        <f t="shared" si="234"/>
        <v/>
      </c>
      <c r="E592" s="3" t="str">
        <f t="shared" si="235"/>
        <v/>
      </c>
      <c r="F592" s="3" t="str">
        <f t="shared" si="236"/>
        <v/>
      </c>
      <c r="G592" s="74" t="str">
        <f t="shared" si="237"/>
        <v/>
      </c>
      <c r="H592" s="78" t="str">
        <f>IFERROR(C592/SUM(M$2:M591),"")</f>
        <v/>
      </c>
      <c r="I592" s="61" t="str">
        <f>IFERROR(D592/SUM(N$2:N592),"")</f>
        <v/>
      </c>
      <c r="J592" s="61" t="str">
        <f>IFERROR(E592/SUM(O$2:O592),"")</f>
        <v/>
      </c>
      <c r="K592" s="61" t="str">
        <f>IFERROR(F592/SUM(P$2:P592),"")</f>
        <v/>
      </c>
      <c r="L592" s="79" t="str">
        <f>IFERROR(G592/SUM(Q$2:Q592),"")</f>
        <v/>
      </c>
      <c r="M592" s="64" t="str">
        <f t="shared" si="238"/>
        <v/>
      </c>
      <c r="N592" s="55" t="str">
        <f t="shared" si="239"/>
        <v/>
      </c>
      <c r="O592" s="55" t="str">
        <f t="shared" si="240"/>
        <v/>
      </c>
      <c r="P592" s="55" t="str">
        <f t="shared" si="241"/>
        <v/>
      </c>
      <c r="Q592" s="65" t="str">
        <f t="shared" si="242"/>
        <v/>
      </c>
      <c r="R592" s="67" t="str">
        <f t="shared" si="244"/>
        <v/>
      </c>
      <c r="S592" s="56" t="str">
        <f t="shared" si="245"/>
        <v/>
      </c>
      <c r="T592" s="56" t="str">
        <f t="shared" si="246"/>
        <v/>
      </c>
      <c r="U592" s="56" t="str">
        <f t="shared" si="247"/>
        <v/>
      </c>
      <c r="V592" s="68" t="str">
        <f t="shared" si="248"/>
        <v/>
      </c>
      <c r="W592" s="80" t="str">
        <f t="shared" si="249"/>
        <v/>
      </c>
      <c r="X592" s="81" t="str">
        <f t="shared" si="250"/>
        <v/>
      </c>
      <c r="Y592" s="81" t="str">
        <f t="shared" si="251"/>
        <v/>
      </c>
      <c r="Z592" s="81" t="str">
        <f t="shared" si="252"/>
        <v/>
      </c>
      <c r="AA592" s="82" t="str">
        <f t="shared" si="253"/>
        <v/>
      </c>
      <c r="AB592" s="83" t="str">
        <f>IF(R592&lt;&gt;"",(W592-SUMPRODUCT(R$3:R592,$B$3:$B592)/SUM($B$3:$B592))/STDEVA(W582:W592),"")</f>
        <v/>
      </c>
      <c r="AC592" s="84" t="str">
        <f>IF(S592&lt;&gt;"",(X592-SUMPRODUCT(S$3:S592,$B$3:$B592)/SUM($B$3:$B592))/STDEVA(X582:X592),"")</f>
        <v/>
      </c>
      <c r="AD592" s="84" t="str">
        <f>IF(T592&lt;&gt;"",(Y592-SUMPRODUCT(T$3:T592,$B$3:$B592)/SUM($B$3:$B592))/STDEVA(Y582:Y592),"")</f>
        <v/>
      </c>
      <c r="AE592" s="84" t="str">
        <f>IF(U592&lt;&gt;"",(Z592-SUMPRODUCT(U$3:U592,$B$3:$B592)/SUM($B$3:$B592))/STDEVA(Z582:Z592),"")</f>
        <v/>
      </c>
      <c r="AF592" s="85" t="str">
        <f>IF(V592&lt;&gt;"",(AA592-SUMPRODUCT(V$3:V592,$B$3:$B592)/SUM($B$3:$B592))/STDEVA(AA582:AA592),"")</f>
        <v/>
      </c>
      <c r="AG592" s="90" t="str">
        <f t="shared" si="254"/>
        <v/>
      </c>
      <c r="AH592" s="90" t="str">
        <f t="shared" si="254"/>
        <v/>
      </c>
      <c r="AI592" s="90" t="str">
        <f t="shared" si="254"/>
        <v/>
      </c>
      <c r="AJ592" s="90" t="str">
        <f t="shared" si="254"/>
        <v/>
      </c>
      <c r="AK592" s="93" t="str">
        <f t="shared" si="255"/>
        <v/>
      </c>
      <c r="BQ592" s="100" t="str">
        <f>IF(A592&lt;&gt;"",(VLOOKUP(A592,MarketData!$D:$BP,MATCH($BQ$1,MarketData!$D$1:$EG$1,0),TRUE)/100/365+1)^(B592)*BQ591,"")</f>
        <v/>
      </c>
      <c r="BR592" s="98" t="str">
        <f t="shared" si="232"/>
        <v/>
      </c>
      <c r="BS592" s="106" t="str">
        <f>IF(A592&lt;&gt;"",VLOOKUP(A592,MarketData!$D:$BP,MATCH($BS$1,MarketData!$D$1:$EG$1,0),TRUE),"")</f>
        <v/>
      </c>
      <c r="BT592" s="98" t="str">
        <f t="shared" si="243"/>
        <v/>
      </c>
    </row>
    <row r="593" spans="2:72" x14ac:dyDescent="0.25">
      <c r="B593" s="60" t="str">
        <f t="shared" si="231"/>
        <v/>
      </c>
      <c r="C593" s="3" t="str">
        <f t="shared" si="233"/>
        <v/>
      </c>
      <c r="D593" s="3" t="str">
        <f t="shared" si="234"/>
        <v/>
      </c>
      <c r="E593" s="3" t="str">
        <f t="shared" si="235"/>
        <v/>
      </c>
      <c r="F593" s="3" t="str">
        <f t="shared" si="236"/>
        <v/>
      </c>
      <c r="G593" s="74" t="str">
        <f t="shared" si="237"/>
        <v/>
      </c>
      <c r="H593" s="78" t="str">
        <f>IFERROR(C593/SUM(M$2:M592),"")</f>
        <v/>
      </c>
      <c r="I593" s="61" t="str">
        <f>IFERROR(D593/SUM(N$2:N593),"")</f>
        <v/>
      </c>
      <c r="J593" s="61" t="str">
        <f>IFERROR(E593/SUM(O$2:O593),"")</f>
        <v/>
      </c>
      <c r="K593" s="61" t="str">
        <f>IFERROR(F593/SUM(P$2:P593),"")</f>
        <v/>
      </c>
      <c r="L593" s="79" t="str">
        <f>IFERROR(G593/SUM(Q$2:Q593),"")</f>
        <v/>
      </c>
      <c r="M593" s="64" t="str">
        <f t="shared" si="238"/>
        <v/>
      </c>
      <c r="N593" s="55" t="str">
        <f t="shared" si="239"/>
        <v/>
      </c>
      <c r="O593" s="55" t="str">
        <f t="shared" si="240"/>
        <v/>
      </c>
      <c r="P593" s="55" t="str">
        <f t="shared" si="241"/>
        <v/>
      </c>
      <c r="Q593" s="65" t="str">
        <f t="shared" si="242"/>
        <v/>
      </c>
      <c r="R593" s="67" t="str">
        <f t="shared" si="244"/>
        <v/>
      </c>
      <c r="S593" s="56" t="str">
        <f t="shared" si="245"/>
        <v/>
      </c>
      <c r="T593" s="56" t="str">
        <f t="shared" si="246"/>
        <v/>
      </c>
      <c r="U593" s="56" t="str">
        <f t="shared" si="247"/>
        <v/>
      </c>
      <c r="V593" s="68" t="str">
        <f t="shared" si="248"/>
        <v/>
      </c>
      <c r="W593" s="80" t="str">
        <f t="shared" si="249"/>
        <v/>
      </c>
      <c r="X593" s="81" t="str">
        <f t="shared" si="250"/>
        <v/>
      </c>
      <c r="Y593" s="81" t="str">
        <f t="shared" si="251"/>
        <v/>
      </c>
      <c r="Z593" s="81" t="str">
        <f t="shared" si="252"/>
        <v/>
      </c>
      <c r="AA593" s="82" t="str">
        <f t="shared" si="253"/>
        <v/>
      </c>
      <c r="AB593" s="83" t="str">
        <f>IF(R593&lt;&gt;"",(W593-SUMPRODUCT(R$3:R593,$B$3:$B593)/SUM($B$3:$B593))/STDEVA(W583:W593),"")</f>
        <v/>
      </c>
      <c r="AC593" s="84" t="str">
        <f>IF(S593&lt;&gt;"",(X593-SUMPRODUCT(S$3:S593,$B$3:$B593)/SUM($B$3:$B593))/STDEVA(X583:X593),"")</f>
        <v/>
      </c>
      <c r="AD593" s="84" t="str">
        <f>IF(T593&lt;&gt;"",(Y593-SUMPRODUCT(T$3:T593,$B$3:$B593)/SUM($B$3:$B593))/STDEVA(Y583:Y593),"")</f>
        <v/>
      </c>
      <c r="AE593" s="84" t="str">
        <f>IF(U593&lt;&gt;"",(Z593-SUMPRODUCT(U$3:U593,$B$3:$B593)/SUM($B$3:$B593))/STDEVA(Z583:Z593),"")</f>
        <v/>
      </c>
      <c r="AF593" s="85" t="str">
        <f>IF(V593&lt;&gt;"",(AA593-SUMPRODUCT(V$3:V593,$B$3:$B593)/SUM($B$3:$B593))/STDEVA(AA583:AA593),"")</f>
        <v/>
      </c>
      <c r="AG593" s="90" t="str">
        <f t="shared" si="254"/>
        <v/>
      </c>
      <c r="AH593" s="90" t="str">
        <f t="shared" si="254"/>
        <v/>
      </c>
      <c r="AI593" s="90" t="str">
        <f t="shared" si="254"/>
        <v/>
      </c>
      <c r="AJ593" s="90" t="str">
        <f t="shared" si="254"/>
        <v/>
      </c>
      <c r="AK593" s="93" t="str">
        <f t="shared" si="255"/>
        <v/>
      </c>
      <c r="BQ593" s="100" t="str">
        <f>IF(A593&lt;&gt;"",(VLOOKUP(A593,MarketData!$D:$BP,MATCH($BQ$1,MarketData!$D$1:$EG$1,0),TRUE)/100/365+1)^(B593)*BQ592,"")</f>
        <v/>
      </c>
      <c r="BR593" s="98" t="str">
        <f t="shared" si="232"/>
        <v/>
      </c>
      <c r="BS593" s="106" t="str">
        <f>IF(A593&lt;&gt;"",VLOOKUP(A593,MarketData!$D:$BP,MATCH($BS$1,MarketData!$D$1:$EG$1,0),TRUE),"")</f>
        <v/>
      </c>
      <c r="BT593" s="98" t="str">
        <f t="shared" si="243"/>
        <v/>
      </c>
    </row>
    <row r="594" spans="2:72" x14ac:dyDescent="0.25">
      <c r="B594" s="60" t="str">
        <f t="shared" si="231"/>
        <v/>
      </c>
      <c r="C594" s="3" t="str">
        <f t="shared" si="233"/>
        <v/>
      </c>
      <c r="D594" s="3" t="str">
        <f t="shared" si="234"/>
        <v/>
      </c>
      <c r="E594" s="3" t="str">
        <f t="shared" si="235"/>
        <v/>
      </c>
      <c r="F594" s="3" t="str">
        <f t="shared" si="236"/>
        <v/>
      </c>
      <c r="G594" s="74" t="str">
        <f t="shared" si="237"/>
        <v/>
      </c>
      <c r="H594" s="78" t="str">
        <f>IFERROR(C594/SUM(M$2:M593),"")</f>
        <v/>
      </c>
      <c r="I594" s="61" t="str">
        <f>IFERROR(D594/SUM(N$2:N594),"")</f>
        <v/>
      </c>
      <c r="J594" s="61" t="str">
        <f>IFERROR(E594/SUM(O$2:O594),"")</f>
        <v/>
      </c>
      <c r="K594" s="61" t="str">
        <f>IFERROR(F594/SUM(P$2:P594),"")</f>
        <v/>
      </c>
      <c r="L594" s="79" t="str">
        <f>IFERROR(G594/SUM(Q$2:Q594),"")</f>
        <v/>
      </c>
      <c r="M594" s="64" t="str">
        <f t="shared" si="238"/>
        <v/>
      </c>
      <c r="N594" s="55" t="str">
        <f t="shared" si="239"/>
        <v/>
      </c>
      <c r="O594" s="55" t="str">
        <f t="shared" si="240"/>
        <v/>
      </c>
      <c r="P594" s="55" t="str">
        <f t="shared" si="241"/>
        <v/>
      </c>
      <c r="Q594" s="65" t="str">
        <f t="shared" si="242"/>
        <v/>
      </c>
      <c r="R594" s="67" t="str">
        <f t="shared" si="244"/>
        <v/>
      </c>
      <c r="S594" s="56" t="str">
        <f t="shared" si="245"/>
        <v/>
      </c>
      <c r="T594" s="56" t="str">
        <f t="shared" si="246"/>
        <v/>
      </c>
      <c r="U594" s="56" t="str">
        <f t="shared" si="247"/>
        <v/>
      </c>
      <c r="V594" s="68" t="str">
        <f t="shared" si="248"/>
        <v/>
      </c>
      <c r="W594" s="80" t="str">
        <f t="shared" si="249"/>
        <v/>
      </c>
      <c r="X594" s="81" t="str">
        <f t="shared" si="250"/>
        <v/>
      </c>
      <c r="Y594" s="81" t="str">
        <f t="shared" si="251"/>
        <v/>
      </c>
      <c r="Z594" s="81" t="str">
        <f t="shared" si="252"/>
        <v/>
      </c>
      <c r="AA594" s="82" t="str">
        <f t="shared" si="253"/>
        <v/>
      </c>
      <c r="AB594" s="83" t="str">
        <f>IF(R594&lt;&gt;"",(W594-SUMPRODUCT(R$3:R594,$B$3:$B594)/SUM($B$3:$B594))/STDEVA(W584:W594),"")</f>
        <v/>
      </c>
      <c r="AC594" s="84" t="str">
        <f>IF(S594&lt;&gt;"",(X594-SUMPRODUCT(S$3:S594,$B$3:$B594)/SUM($B$3:$B594))/STDEVA(X584:X594),"")</f>
        <v/>
      </c>
      <c r="AD594" s="84" t="str">
        <f>IF(T594&lt;&gt;"",(Y594-SUMPRODUCT(T$3:T594,$B$3:$B594)/SUM($B$3:$B594))/STDEVA(Y584:Y594),"")</f>
        <v/>
      </c>
      <c r="AE594" s="84" t="str">
        <f>IF(U594&lt;&gt;"",(Z594-SUMPRODUCT(U$3:U594,$B$3:$B594)/SUM($B$3:$B594))/STDEVA(Z584:Z594),"")</f>
        <v/>
      </c>
      <c r="AF594" s="85" t="str">
        <f>IF(V594&lt;&gt;"",(AA594-SUMPRODUCT(V$3:V594,$B$3:$B594)/SUM($B$3:$B594))/STDEVA(AA584:AA594),"")</f>
        <v/>
      </c>
      <c r="AG594" s="90" t="str">
        <f t="shared" si="254"/>
        <v/>
      </c>
      <c r="AH594" s="90" t="str">
        <f t="shared" si="254"/>
        <v/>
      </c>
      <c r="AI594" s="90" t="str">
        <f t="shared" si="254"/>
        <v/>
      </c>
      <c r="AJ594" s="90" t="str">
        <f t="shared" si="254"/>
        <v/>
      </c>
      <c r="AK594" s="93" t="str">
        <f t="shared" si="255"/>
        <v/>
      </c>
      <c r="BQ594" s="100" t="str">
        <f>IF(A594&lt;&gt;"",(VLOOKUP(A594,MarketData!$D:$BP,MATCH($BQ$1,MarketData!$D$1:$EG$1,0),TRUE)/100/365+1)^(B594)*BQ593,"")</f>
        <v/>
      </c>
      <c r="BR594" s="98" t="str">
        <f t="shared" si="232"/>
        <v/>
      </c>
      <c r="BS594" s="106" t="str">
        <f>IF(A594&lt;&gt;"",VLOOKUP(A594,MarketData!$D:$BP,MATCH($BS$1,MarketData!$D$1:$EG$1,0),TRUE),"")</f>
        <v/>
      </c>
      <c r="BT594" s="98" t="str">
        <f t="shared" si="243"/>
        <v/>
      </c>
    </row>
    <row r="595" spans="2:72" x14ac:dyDescent="0.25">
      <c r="B595" s="60" t="str">
        <f t="shared" si="231"/>
        <v/>
      </c>
      <c r="C595" s="3" t="str">
        <f t="shared" si="233"/>
        <v/>
      </c>
      <c r="D595" s="3" t="str">
        <f t="shared" si="234"/>
        <v/>
      </c>
      <c r="E595" s="3" t="str">
        <f t="shared" si="235"/>
        <v/>
      </c>
      <c r="F595" s="3" t="str">
        <f t="shared" si="236"/>
        <v/>
      </c>
      <c r="G595" s="74" t="str">
        <f t="shared" si="237"/>
        <v/>
      </c>
      <c r="H595" s="78" t="str">
        <f>IFERROR(C595/SUM(M$2:M594),"")</f>
        <v/>
      </c>
      <c r="I595" s="61" t="str">
        <f>IFERROR(D595/SUM(N$2:N595),"")</f>
        <v/>
      </c>
      <c r="J595" s="61" t="str">
        <f>IFERROR(E595/SUM(O$2:O595),"")</f>
        <v/>
      </c>
      <c r="K595" s="61" t="str">
        <f>IFERROR(F595/SUM(P$2:P595),"")</f>
        <v/>
      </c>
      <c r="L595" s="79" t="str">
        <f>IFERROR(G595/SUM(Q$2:Q595),"")</f>
        <v/>
      </c>
      <c r="M595" s="64" t="str">
        <f t="shared" si="238"/>
        <v/>
      </c>
      <c r="N595" s="55" t="str">
        <f t="shared" si="239"/>
        <v/>
      </c>
      <c r="O595" s="55" t="str">
        <f t="shared" si="240"/>
        <v/>
      </c>
      <c r="P595" s="55" t="str">
        <f t="shared" si="241"/>
        <v/>
      </c>
      <c r="Q595" s="65" t="str">
        <f t="shared" si="242"/>
        <v/>
      </c>
      <c r="R595" s="67" t="str">
        <f t="shared" si="244"/>
        <v/>
      </c>
      <c r="S595" s="56" t="str">
        <f t="shared" si="245"/>
        <v/>
      </c>
      <c r="T595" s="56" t="str">
        <f t="shared" si="246"/>
        <v/>
      </c>
      <c r="U595" s="56" t="str">
        <f t="shared" si="247"/>
        <v/>
      </c>
      <c r="V595" s="68" t="str">
        <f t="shared" si="248"/>
        <v/>
      </c>
      <c r="W595" s="80" t="str">
        <f t="shared" si="249"/>
        <v/>
      </c>
      <c r="X595" s="81" t="str">
        <f t="shared" si="250"/>
        <v/>
      </c>
      <c r="Y595" s="81" t="str">
        <f t="shared" si="251"/>
        <v/>
      </c>
      <c r="Z595" s="81" t="str">
        <f t="shared" si="252"/>
        <v/>
      </c>
      <c r="AA595" s="82" t="str">
        <f t="shared" si="253"/>
        <v/>
      </c>
      <c r="AB595" s="83" t="str">
        <f>IF(R595&lt;&gt;"",(W595-SUMPRODUCT(R$3:R595,$B$3:$B595)/SUM($B$3:$B595))/STDEVA(W585:W595),"")</f>
        <v/>
      </c>
      <c r="AC595" s="84" t="str">
        <f>IF(S595&lt;&gt;"",(X595-SUMPRODUCT(S$3:S595,$B$3:$B595)/SUM($B$3:$B595))/STDEVA(X585:X595),"")</f>
        <v/>
      </c>
      <c r="AD595" s="84" t="str">
        <f>IF(T595&lt;&gt;"",(Y595-SUMPRODUCT(T$3:T595,$B$3:$B595)/SUM($B$3:$B595))/STDEVA(Y585:Y595),"")</f>
        <v/>
      </c>
      <c r="AE595" s="84" t="str">
        <f>IF(U595&lt;&gt;"",(Z595-SUMPRODUCT(U$3:U595,$B$3:$B595)/SUM($B$3:$B595))/STDEVA(Z585:Z595),"")</f>
        <v/>
      </c>
      <c r="AF595" s="85" t="str">
        <f>IF(V595&lt;&gt;"",(AA595-SUMPRODUCT(V$3:V595,$B$3:$B595)/SUM($B$3:$B595))/STDEVA(AA585:AA595),"")</f>
        <v/>
      </c>
      <c r="AG595" s="90" t="str">
        <f t="shared" si="254"/>
        <v/>
      </c>
      <c r="AH595" s="90" t="str">
        <f t="shared" si="254"/>
        <v/>
      </c>
      <c r="AI595" s="90" t="str">
        <f t="shared" si="254"/>
        <v/>
      </c>
      <c r="AJ595" s="90" t="str">
        <f t="shared" si="254"/>
        <v/>
      </c>
      <c r="AK595" s="93" t="str">
        <f t="shared" si="255"/>
        <v/>
      </c>
      <c r="BQ595" s="100" t="str">
        <f>IF(A595&lt;&gt;"",(VLOOKUP(A595,MarketData!$D:$BP,MATCH($BQ$1,MarketData!$D$1:$EG$1,0),TRUE)/100/365+1)^(B595)*BQ594,"")</f>
        <v/>
      </c>
      <c r="BR595" s="98" t="str">
        <f t="shared" si="232"/>
        <v/>
      </c>
      <c r="BS595" s="106" t="str">
        <f>IF(A595&lt;&gt;"",VLOOKUP(A595,MarketData!$D:$BP,MATCH($BS$1,MarketData!$D$1:$EG$1,0),TRUE),"")</f>
        <v/>
      </c>
      <c r="BT595" s="98" t="str">
        <f t="shared" si="243"/>
        <v/>
      </c>
    </row>
    <row r="596" spans="2:72" x14ac:dyDescent="0.25">
      <c r="B596" s="60" t="str">
        <f t="shared" si="231"/>
        <v/>
      </c>
      <c r="C596" s="3" t="str">
        <f t="shared" si="233"/>
        <v/>
      </c>
      <c r="D596" s="3" t="str">
        <f t="shared" si="234"/>
        <v/>
      </c>
      <c r="E596" s="3" t="str">
        <f t="shared" si="235"/>
        <v/>
      </c>
      <c r="F596" s="3" t="str">
        <f t="shared" si="236"/>
        <v/>
      </c>
      <c r="G596" s="74" t="str">
        <f t="shared" si="237"/>
        <v/>
      </c>
      <c r="H596" s="78" t="str">
        <f>IFERROR(C596/SUM(M$2:M595),"")</f>
        <v/>
      </c>
      <c r="I596" s="61" t="str">
        <f>IFERROR(D596/SUM(N$2:N596),"")</f>
        <v/>
      </c>
      <c r="J596" s="61" t="str">
        <f>IFERROR(E596/SUM(O$2:O596),"")</f>
        <v/>
      </c>
      <c r="K596" s="61" t="str">
        <f>IFERROR(F596/SUM(P$2:P596),"")</f>
        <v/>
      </c>
      <c r="L596" s="79" t="str">
        <f>IFERROR(G596/SUM(Q$2:Q596),"")</f>
        <v/>
      </c>
      <c r="M596" s="64" t="str">
        <f t="shared" si="238"/>
        <v/>
      </c>
      <c r="N596" s="55" t="str">
        <f t="shared" si="239"/>
        <v/>
      </c>
      <c r="O596" s="55" t="str">
        <f t="shared" si="240"/>
        <v/>
      </c>
      <c r="P596" s="55" t="str">
        <f t="shared" si="241"/>
        <v/>
      </c>
      <c r="Q596" s="65" t="str">
        <f t="shared" si="242"/>
        <v/>
      </c>
      <c r="R596" s="67" t="str">
        <f t="shared" si="244"/>
        <v/>
      </c>
      <c r="S596" s="56" t="str">
        <f t="shared" si="245"/>
        <v/>
      </c>
      <c r="T596" s="56" t="str">
        <f t="shared" si="246"/>
        <v/>
      </c>
      <c r="U596" s="56" t="str">
        <f t="shared" si="247"/>
        <v/>
      </c>
      <c r="V596" s="68" t="str">
        <f t="shared" si="248"/>
        <v/>
      </c>
      <c r="W596" s="80" t="str">
        <f t="shared" si="249"/>
        <v/>
      </c>
      <c r="X596" s="81" t="str">
        <f t="shared" si="250"/>
        <v/>
      </c>
      <c r="Y596" s="81" t="str">
        <f t="shared" si="251"/>
        <v/>
      </c>
      <c r="Z596" s="81" t="str">
        <f t="shared" si="252"/>
        <v/>
      </c>
      <c r="AA596" s="82" t="str">
        <f t="shared" si="253"/>
        <v/>
      </c>
      <c r="AB596" s="83" t="str">
        <f>IF(R596&lt;&gt;"",(W596-SUMPRODUCT(R$3:R596,$B$3:$B596)/SUM($B$3:$B596))/STDEVA(W586:W596),"")</f>
        <v/>
      </c>
      <c r="AC596" s="84" t="str">
        <f>IF(S596&lt;&gt;"",(X596-SUMPRODUCT(S$3:S596,$B$3:$B596)/SUM($B$3:$B596))/STDEVA(X586:X596),"")</f>
        <v/>
      </c>
      <c r="AD596" s="84" t="str">
        <f>IF(T596&lt;&gt;"",(Y596-SUMPRODUCT(T$3:T596,$B$3:$B596)/SUM($B$3:$B596))/STDEVA(Y586:Y596),"")</f>
        <v/>
      </c>
      <c r="AE596" s="84" t="str">
        <f>IF(U596&lt;&gt;"",(Z596-SUMPRODUCT(U$3:U596,$B$3:$B596)/SUM($B$3:$B596))/STDEVA(Z586:Z596),"")</f>
        <v/>
      </c>
      <c r="AF596" s="85" t="str">
        <f>IF(V596&lt;&gt;"",(AA596-SUMPRODUCT(V$3:V596,$B$3:$B596)/SUM($B$3:$B596))/STDEVA(AA586:AA596),"")</f>
        <v/>
      </c>
      <c r="AG596" s="90" t="str">
        <f t="shared" si="254"/>
        <v/>
      </c>
      <c r="AH596" s="90" t="str">
        <f t="shared" si="254"/>
        <v/>
      </c>
      <c r="AI596" s="90" t="str">
        <f t="shared" si="254"/>
        <v/>
      </c>
      <c r="AJ596" s="90" t="str">
        <f t="shared" si="254"/>
        <v/>
      </c>
      <c r="AK596" s="93" t="str">
        <f t="shared" si="255"/>
        <v/>
      </c>
      <c r="BQ596" s="100" t="str">
        <f>IF(A596&lt;&gt;"",(VLOOKUP(A596,MarketData!$D:$BP,MATCH($BQ$1,MarketData!$D$1:$EG$1,0),TRUE)/100/365+1)^(B596)*BQ595,"")</f>
        <v/>
      </c>
      <c r="BR596" s="98" t="str">
        <f t="shared" si="232"/>
        <v/>
      </c>
      <c r="BS596" s="106" t="str">
        <f>IF(A596&lt;&gt;"",VLOOKUP(A596,MarketData!$D:$BP,MATCH($BS$1,MarketData!$D$1:$EG$1,0),TRUE),"")</f>
        <v/>
      </c>
      <c r="BT596" s="98" t="str">
        <f t="shared" si="243"/>
        <v/>
      </c>
    </row>
    <row r="597" spans="2:72" x14ac:dyDescent="0.25">
      <c r="B597" s="60" t="str">
        <f t="shared" si="231"/>
        <v/>
      </c>
      <c r="C597" s="3" t="str">
        <f t="shared" si="233"/>
        <v/>
      </c>
      <c r="D597" s="3" t="str">
        <f t="shared" si="234"/>
        <v/>
      </c>
      <c r="E597" s="3" t="str">
        <f t="shared" si="235"/>
        <v/>
      </c>
      <c r="F597" s="3" t="str">
        <f t="shared" si="236"/>
        <v/>
      </c>
      <c r="G597" s="74" t="str">
        <f t="shared" si="237"/>
        <v/>
      </c>
      <c r="H597" s="78" t="str">
        <f>IFERROR(C597/SUM(M$2:M596),"")</f>
        <v/>
      </c>
      <c r="I597" s="61" t="str">
        <f>IFERROR(D597/SUM(N$2:N597),"")</f>
        <v/>
      </c>
      <c r="J597" s="61" t="str">
        <f>IFERROR(E597/SUM(O$2:O597),"")</f>
        <v/>
      </c>
      <c r="K597" s="61" t="str">
        <f>IFERROR(F597/SUM(P$2:P597),"")</f>
        <v/>
      </c>
      <c r="L597" s="79" t="str">
        <f>IFERROR(G597/SUM(Q$2:Q597),"")</f>
        <v/>
      </c>
      <c r="M597" s="64" t="str">
        <f t="shared" si="238"/>
        <v/>
      </c>
      <c r="N597" s="55" t="str">
        <f t="shared" si="239"/>
        <v/>
      </c>
      <c r="O597" s="55" t="str">
        <f t="shared" si="240"/>
        <v/>
      </c>
      <c r="P597" s="55" t="str">
        <f t="shared" si="241"/>
        <v/>
      </c>
      <c r="Q597" s="65" t="str">
        <f t="shared" si="242"/>
        <v/>
      </c>
      <c r="R597" s="67" t="str">
        <f t="shared" si="244"/>
        <v/>
      </c>
      <c r="S597" s="56" t="str">
        <f t="shared" si="245"/>
        <v/>
      </c>
      <c r="T597" s="56" t="str">
        <f t="shared" si="246"/>
        <v/>
      </c>
      <c r="U597" s="56" t="str">
        <f t="shared" si="247"/>
        <v/>
      </c>
      <c r="V597" s="68" t="str">
        <f t="shared" si="248"/>
        <v/>
      </c>
      <c r="W597" s="80" t="str">
        <f t="shared" si="249"/>
        <v/>
      </c>
      <c r="X597" s="81" t="str">
        <f t="shared" si="250"/>
        <v/>
      </c>
      <c r="Y597" s="81" t="str">
        <f t="shared" si="251"/>
        <v/>
      </c>
      <c r="Z597" s="81" t="str">
        <f t="shared" si="252"/>
        <v/>
      </c>
      <c r="AA597" s="82" t="str">
        <f t="shared" si="253"/>
        <v/>
      </c>
      <c r="AB597" s="83" t="str">
        <f>IF(R597&lt;&gt;"",(W597-SUMPRODUCT(R$3:R597,$B$3:$B597)/SUM($B$3:$B597))/STDEVA(W587:W597),"")</f>
        <v/>
      </c>
      <c r="AC597" s="84" t="str">
        <f>IF(S597&lt;&gt;"",(X597-SUMPRODUCT(S$3:S597,$B$3:$B597)/SUM($B$3:$B597))/STDEVA(X587:X597),"")</f>
        <v/>
      </c>
      <c r="AD597" s="84" t="str">
        <f>IF(T597&lt;&gt;"",(Y597-SUMPRODUCT(T$3:T597,$B$3:$B597)/SUM($B$3:$B597))/STDEVA(Y587:Y597),"")</f>
        <v/>
      </c>
      <c r="AE597" s="84" t="str">
        <f>IF(U597&lt;&gt;"",(Z597-SUMPRODUCT(U$3:U597,$B$3:$B597)/SUM($B$3:$B597))/STDEVA(Z587:Z597),"")</f>
        <v/>
      </c>
      <c r="AF597" s="85" t="str">
        <f>IF(V597&lt;&gt;"",(AA597-SUMPRODUCT(V$3:V597,$B$3:$B597)/SUM($B$3:$B597))/STDEVA(AA587:AA597),"")</f>
        <v/>
      </c>
      <c r="AG597" s="90" t="str">
        <f t="shared" si="254"/>
        <v/>
      </c>
      <c r="AH597" s="90" t="str">
        <f t="shared" si="254"/>
        <v/>
      </c>
      <c r="AI597" s="90" t="str">
        <f t="shared" si="254"/>
        <v/>
      </c>
      <c r="AJ597" s="90" t="str">
        <f t="shared" si="254"/>
        <v/>
      </c>
      <c r="AK597" s="93" t="str">
        <f t="shared" si="255"/>
        <v/>
      </c>
      <c r="BQ597" s="100" t="str">
        <f>IF(A597&lt;&gt;"",(VLOOKUP(A597,MarketData!$D:$BP,MATCH($BQ$1,MarketData!$D$1:$EG$1,0),TRUE)/100/365+1)^(B597)*BQ596,"")</f>
        <v/>
      </c>
      <c r="BR597" s="98" t="str">
        <f t="shared" si="232"/>
        <v/>
      </c>
      <c r="BS597" s="106" t="str">
        <f>IF(A597&lt;&gt;"",VLOOKUP(A597,MarketData!$D:$BP,MATCH($BS$1,MarketData!$D$1:$EG$1,0),TRUE),"")</f>
        <v/>
      </c>
      <c r="BT597" s="98" t="str">
        <f t="shared" si="243"/>
        <v/>
      </c>
    </row>
    <row r="598" spans="2:72" x14ac:dyDescent="0.25">
      <c r="B598" s="60" t="str">
        <f t="shared" si="231"/>
        <v/>
      </c>
      <c r="C598" s="3" t="str">
        <f t="shared" si="233"/>
        <v/>
      </c>
      <c r="D598" s="3" t="str">
        <f t="shared" si="234"/>
        <v/>
      </c>
      <c r="E598" s="3" t="str">
        <f t="shared" si="235"/>
        <v/>
      </c>
      <c r="F598" s="3" t="str">
        <f t="shared" si="236"/>
        <v/>
      </c>
      <c r="G598" s="74" t="str">
        <f t="shared" si="237"/>
        <v/>
      </c>
      <c r="H598" s="78" t="str">
        <f>IFERROR(C598/SUM(M$2:M597),"")</f>
        <v/>
      </c>
      <c r="I598" s="61" t="str">
        <f>IFERROR(D598/SUM(N$2:N598),"")</f>
        <v/>
      </c>
      <c r="J598" s="61" t="str">
        <f>IFERROR(E598/SUM(O$2:O598),"")</f>
        <v/>
      </c>
      <c r="K598" s="61" t="str">
        <f>IFERROR(F598/SUM(P$2:P598),"")</f>
        <v/>
      </c>
      <c r="L598" s="79" t="str">
        <f>IFERROR(G598/SUM(Q$2:Q598),"")</f>
        <v/>
      </c>
      <c r="M598" s="64" t="str">
        <f t="shared" si="238"/>
        <v/>
      </c>
      <c r="N598" s="55" t="str">
        <f t="shared" si="239"/>
        <v/>
      </c>
      <c r="O598" s="55" t="str">
        <f t="shared" si="240"/>
        <v/>
      </c>
      <c r="P598" s="55" t="str">
        <f t="shared" si="241"/>
        <v/>
      </c>
      <c r="Q598" s="65" t="str">
        <f t="shared" si="242"/>
        <v/>
      </c>
      <c r="R598" s="67" t="str">
        <f t="shared" si="244"/>
        <v/>
      </c>
      <c r="S598" s="56" t="str">
        <f t="shared" si="245"/>
        <v/>
      </c>
      <c r="T598" s="56" t="str">
        <f t="shared" si="246"/>
        <v/>
      </c>
      <c r="U598" s="56" t="str">
        <f t="shared" si="247"/>
        <v/>
      </c>
      <c r="V598" s="68" t="str">
        <f t="shared" si="248"/>
        <v/>
      </c>
      <c r="W598" s="80" t="str">
        <f t="shared" si="249"/>
        <v/>
      </c>
      <c r="X598" s="81" t="str">
        <f t="shared" si="250"/>
        <v/>
      </c>
      <c r="Y598" s="81" t="str">
        <f t="shared" si="251"/>
        <v/>
      </c>
      <c r="Z598" s="81" t="str">
        <f t="shared" si="252"/>
        <v/>
      </c>
      <c r="AA598" s="82" t="str">
        <f t="shared" si="253"/>
        <v/>
      </c>
      <c r="AB598" s="83" t="str">
        <f>IF(R598&lt;&gt;"",(W598-SUMPRODUCT(R$3:R598,$B$3:$B598)/SUM($B$3:$B598))/STDEVA(W588:W598),"")</f>
        <v/>
      </c>
      <c r="AC598" s="84" t="str">
        <f>IF(S598&lt;&gt;"",(X598-SUMPRODUCT(S$3:S598,$B$3:$B598)/SUM($B$3:$B598))/STDEVA(X588:X598),"")</f>
        <v/>
      </c>
      <c r="AD598" s="84" t="str">
        <f>IF(T598&lt;&gt;"",(Y598-SUMPRODUCT(T$3:T598,$B$3:$B598)/SUM($B$3:$B598))/STDEVA(Y588:Y598),"")</f>
        <v/>
      </c>
      <c r="AE598" s="84" t="str">
        <f>IF(U598&lt;&gt;"",(Z598-SUMPRODUCT(U$3:U598,$B$3:$B598)/SUM($B$3:$B598))/STDEVA(Z588:Z598),"")</f>
        <v/>
      </c>
      <c r="AF598" s="85" t="str">
        <f>IF(V598&lt;&gt;"",(AA598-SUMPRODUCT(V$3:V598,$B$3:$B598)/SUM($B$3:$B598))/STDEVA(AA588:AA598),"")</f>
        <v/>
      </c>
      <c r="AG598" s="90" t="str">
        <f t="shared" si="254"/>
        <v/>
      </c>
      <c r="AH598" s="90" t="str">
        <f t="shared" si="254"/>
        <v/>
      </c>
      <c r="AI598" s="90" t="str">
        <f t="shared" si="254"/>
        <v/>
      </c>
      <c r="AJ598" s="90" t="str">
        <f t="shared" si="254"/>
        <v/>
      </c>
      <c r="AK598" s="93" t="str">
        <f t="shared" si="255"/>
        <v/>
      </c>
      <c r="BQ598" s="100" t="str">
        <f>IF(A598&lt;&gt;"",(VLOOKUP(A598,MarketData!$D:$BP,MATCH($BQ$1,MarketData!$D$1:$EG$1,0),TRUE)/100/365+1)^(B598)*BQ597,"")</f>
        <v/>
      </c>
      <c r="BR598" s="98" t="str">
        <f t="shared" si="232"/>
        <v/>
      </c>
      <c r="BS598" s="106" t="str">
        <f>IF(A598&lt;&gt;"",VLOOKUP(A598,MarketData!$D:$BP,MATCH($BS$1,MarketData!$D$1:$EG$1,0),TRUE),"")</f>
        <v/>
      </c>
      <c r="BT598" s="98" t="str">
        <f t="shared" si="243"/>
        <v/>
      </c>
    </row>
    <row r="599" spans="2:72" x14ac:dyDescent="0.25">
      <c r="B599" s="60" t="str">
        <f t="shared" si="231"/>
        <v/>
      </c>
      <c r="C599" s="3" t="str">
        <f t="shared" si="233"/>
        <v/>
      </c>
      <c r="D599" s="3" t="str">
        <f t="shared" si="234"/>
        <v/>
      </c>
      <c r="E599" s="3" t="str">
        <f t="shared" si="235"/>
        <v/>
      </c>
      <c r="F599" s="3" t="str">
        <f t="shared" si="236"/>
        <v/>
      </c>
      <c r="G599" s="74" t="str">
        <f t="shared" si="237"/>
        <v/>
      </c>
      <c r="H599" s="78" t="str">
        <f>IFERROR(C599/SUM(M$2:M598),"")</f>
        <v/>
      </c>
      <c r="I599" s="61" t="str">
        <f>IFERROR(D599/SUM(N$2:N599),"")</f>
        <v/>
      </c>
      <c r="J599" s="61" t="str">
        <f>IFERROR(E599/SUM(O$2:O599),"")</f>
        <v/>
      </c>
      <c r="K599" s="61" t="str">
        <f>IFERROR(F599/SUM(P$2:P599),"")</f>
        <v/>
      </c>
      <c r="L599" s="79" t="str">
        <f>IFERROR(G599/SUM(Q$2:Q599),"")</f>
        <v/>
      </c>
      <c r="M599" s="64" t="str">
        <f t="shared" si="238"/>
        <v/>
      </c>
      <c r="N599" s="55" t="str">
        <f t="shared" si="239"/>
        <v/>
      </c>
      <c r="O599" s="55" t="str">
        <f t="shared" si="240"/>
        <v/>
      </c>
      <c r="P599" s="55" t="str">
        <f t="shared" si="241"/>
        <v/>
      </c>
      <c r="Q599" s="65" t="str">
        <f t="shared" si="242"/>
        <v/>
      </c>
      <c r="R599" s="67" t="str">
        <f t="shared" si="244"/>
        <v/>
      </c>
      <c r="S599" s="56" t="str">
        <f t="shared" si="245"/>
        <v/>
      </c>
      <c r="T599" s="56" t="str">
        <f t="shared" si="246"/>
        <v/>
      </c>
      <c r="U599" s="56" t="str">
        <f t="shared" si="247"/>
        <v/>
      </c>
      <c r="V599" s="68" t="str">
        <f t="shared" si="248"/>
        <v/>
      </c>
      <c r="W599" s="80" t="str">
        <f t="shared" si="249"/>
        <v/>
      </c>
      <c r="X599" s="81" t="str">
        <f t="shared" si="250"/>
        <v/>
      </c>
      <c r="Y599" s="81" t="str">
        <f t="shared" si="251"/>
        <v/>
      </c>
      <c r="Z599" s="81" t="str">
        <f t="shared" si="252"/>
        <v/>
      </c>
      <c r="AA599" s="82" t="str">
        <f t="shared" si="253"/>
        <v/>
      </c>
      <c r="AB599" s="83" t="str">
        <f>IF(R599&lt;&gt;"",(W599-SUMPRODUCT(R$3:R599,$B$3:$B599)/SUM($B$3:$B599))/STDEVA(W589:W599),"")</f>
        <v/>
      </c>
      <c r="AC599" s="84" t="str">
        <f>IF(S599&lt;&gt;"",(X599-SUMPRODUCT(S$3:S599,$B$3:$B599)/SUM($B$3:$B599))/STDEVA(X589:X599),"")</f>
        <v/>
      </c>
      <c r="AD599" s="84" t="str">
        <f>IF(T599&lt;&gt;"",(Y599-SUMPRODUCT(T$3:T599,$B$3:$B599)/SUM($B$3:$B599))/STDEVA(Y589:Y599),"")</f>
        <v/>
      </c>
      <c r="AE599" s="84" t="str">
        <f>IF(U599&lt;&gt;"",(Z599-SUMPRODUCT(U$3:U599,$B$3:$B599)/SUM($B$3:$B599))/STDEVA(Z589:Z599),"")</f>
        <v/>
      </c>
      <c r="AF599" s="85" t="str">
        <f>IF(V599&lt;&gt;"",(AA599-SUMPRODUCT(V$3:V599,$B$3:$B599)/SUM($B$3:$B599))/STDEVA(AA589:AA599),"")</f>
        <v/>
      </c>
      <c r="AG599" s="90" t="str">
        <f t="shared" si="254"/>
        <v/>
      </c>
      <c r="AH599" s="90" t="str">
        <f t="shared" si="254"/>
        <v/>
      </c>
      <c r="AI599" s="90" t="str">
        <f t="shared" si="254"/>
        <v/>
      </c>
      <c r="AJ599" s="90" t="str">
        <f t="shared" si="254"/>
        <v/>
      </c>
      <c r="AK599" s="93" t="str">
        <f t="shared" si="255"/>
        <v/>
      </c>
      <c r="BQ599" s="100" t="str">
        <f>IF(A599&lt;&gt;"",(VLOOKUP(A599,MarketData!$D:$BP,MATCH($BQ$1,MarketData!$D$1:$EG$1,0),TRUE)/100/365+1)^(B599)*BQ598,"")</f>
        <v/>
      </c>
      <c r="BR599" s="98" t="str">
        <f t="shared" si="232"/>
        <v/>
      </c>
      <c r="BS599" s="106" t="str">
        <f>IF(A599&lt;&gt;"",VLOOKUP(A599,MarketData!$D:$BP,MATCH($BS$1,MarketData!$D$1:$EG$1,0),TRUE),"")</f>
        <v/>
      </c>
      <c r="BT599" s="98" t="str">
        <f t="shared" si="243"/>
        <v/>
      </c>
    </row>
    <row r="600" spans="2:72" x14ac:dyDescent="0.25">
      <c r="B600" s="60" t="str">
        <f t="shared" si="231"/>
        <v/>
      </c>
      <c r="C600" s="3" t="str">
        <f t="shared" si="233"/>
        <v/>
      </c>
      <c r="D600" s="3" t="str">
        <f t="shared" si="234"/>
        <v/>
      </c>
      <c r="E600" s="3" t="str">
        <f t="shared" si="235"/>
        <v/>
      </c>
      <c r="F600" s="3" t="str">
        <f t="shared" si="236"/>
        <v/>
      </c>
      <c r="G600" s="74" t="str">
        <f t="shared" si="237"/>
        <v/>
      </c>
      <c r="H600" s="78" t="str">
        <f>IFERROR(C600/SUM(M$2:M599),"")</f>
        <v/>
      </c>
      <c r="I600" s="61" t="str">
        <f>IFERROR(D600/SUM(N$2:N600),"")</f>
        <v/>
      </c>
      <c r="J600" s="61" t="str">
        <f>IFERROR(E600/SUM(O$2:O600),"")</f>
        <v/>
      </c>
      <c r="K600" s="61" t="str">
        <f>IFERROR(F600/SUM(P$2:P600),"")</f>
        <v/>
      </c>
      <c r="L600" s="79" t="str">
        <f>IFERROR(G600/SUM(Q$2:Q600),"")</f>
        <v/>
      </c>
      <c r="M600" s="64" t="str">
        <f t="shared" si="238"/>
        <v/>
      </c>
      <c r="N600" s="55" t="str">
        <f t="shared" si="239"/>
        <v/>
      </c>
      <c r="O600" s="55" t="str">
        <f t="shared" si="240"/>
        <v/>
      </c>
      <c r="P600" s="55" t="str">
        <f t="shared" si="241"/>
        <v/>
      </c>
      <c r="Q600" s="65" t="str">
        <f t="shared" si="242"/>
        <v/>
      </c>
      <c r="R600" s="67" t="str">
        <f t="shared" si="244"/>
        <v/>
      </c>
      <c r="S600" s="56" t="str">
        <f t="shared" si="245"/>
        <v/>
      </c>
      <c r="T600" s="56" t="str">
        <f t="shared" si="246"/>
        <v/>
      </c>
      <c r="U600" s="56" t="str">
        <f t="shared" si="247"/>
        <v/>
      </c>
      <c r="V600" s="68" t="str">
        <f t="shared" si="248"/>
        <v/>
      </c>
      <c r="W600" s="80" t="str">
        <f t="shared" si="249"/>
        <v/>
      </c>
      <c r="X600" s="81" t="str">
        <f t="shared" si="250"/>
        <v/>
      </c>
      <c r="Y600" s="81" t="str">
        <f t="shared" si="251"/>
        <v/>
      </c>
      <c r="Z600" s="81" t="str">
        <f t="shared" si="252"/>
        <v/>
      </c>
      <c r="AA600" s="82" t="str">
        <f t="shared" si="253"/>
        <v/>
      </c>
      <c r="AB600" s="83" t="str">
        <f>IF(R600&lt;&gt;"",(W600-SUMPRODUCT(R$3:R600,$B$3:$B600)/SUM($B$3:$B600))/STDEVA(W590:W600),"")</f>
        <v/>
      </c>
      <c r="AC600" s="84" t="str">
        <f>IF(S600&lt;&gt;"",(X600-SUMPRODUCT(S$3:S600,$B$3:$B600)/SUM($B$3:$B600))/STDEVA(X590:X600),"")</f>
        <v/>
      </c>
      <c r="AD600" s="84" t="str">
        <f>IF(T600&lt;&gt;"",(Y600-SUMPRODUCT(T$3:T600,$B$3:$B600)/SUM($B$3:$B600))/STDEVA(Y590:Y600),"")</f>
        <v/>
      </c>
      <c r="AE600" s="84" t="str">
        <f>IF(U600&lt;&gt;"",(Z600-SUMPRODUCT(U$3:U600,$B$3:$B600)/SUM($B$3:$B600))/STDEVA(Z590:Z600),"")</f>
        <v/>
      </c>
      <c r="AF600" s="85" t="str">
        <f>IF(V600&lt;&gt;"",(AA600-SUMPRODUCT(V$3:V600,$B$3:$B600)/SUM($B$3:$B600))/STDEVA(AA590:AA600),"")</f>
        <v/>
      </c>
      <c r="AG600" s="90" t="str">
        <f t="shared" si="254"/>
        <v/>
      </c>
      <c r="AH600" s="90" t="str">
        <f t="shared" si="254"/>
        <v/>
      </c>
      <c r="AI600" s="90" t="str">
        <f t="shared" si="254"/>
        <v/>
      </c>
      <c r="AJ600" s="90" t="str">
        <f t="shared" si="254"/>
        <v/>
      </c>
      <c r="AK600" s="93" t="str">
        <f t="shared" si="255"/>
        <v/>
      </c>
      <c r="BQ600" s="100" t="str">
        <f>IF(A600&lt;&gt;"",(VLOOKUP(A600,MarketData!$D:$BP,MATCH($BQ$1,MarketData!$D$1:$EG$1,0),TRUE)/100/365+1)^(B600)*BQ599,"")</f>
        <v/>
      </c>
      <c r="BR600" s="98" t="str">
        <f t="shared" si="232"/>
        <v/>
      </c>
      <c r="BS600" s="106" t="str">
        <f>IF(A600&lt;&gt;"",VLOOKUP(A600,MarketData!$D:$BP,MATCH($BS$1,MarketData!$D$1:$EG$1,0),TRUE),"")</f>
        <v/>
      </c>
      <c r="BT600" s="98" t="str">
        <f t="shared" si="243"/>
        <v/>
      </c>
    </row>
    <row r="601" spans="2:72" x14ac:dyDescent="0.25">
      <c r="B601" s="60" t="str">
        <f t="shared" si="231"/>
        <v/>
      </c>
      <c r="C601" s="3" t="str">
        <f t="shared" si="233"/>
        <v/>
      </c>
      <c r="D601" s="3" t="str">
        <f t="shared" si="234"/>
        <v/>
      </c>
      <c r="E601" s="3" t="str">
        <f t="shared" si="235"/>
        <v/>
      </c>
      <c r="F601" s="3" t="str">
        <f t="shared" si="236"/>
        <v/>
      </c>
      <c r="G601" s="74" t="str">
        <f t="shared" si="237"/>
        <v/>
      </c>
      <c r="H601" s="78" t="str">
        <f>IFERROR(C601/SUM(M$2:M600),"")</f>
        <v/>
      </c>
      <c r="I601" s="61" t="str">
        <f>IFERROR(D601/SUM(N$2:N601),"")</f>
        <v/>
      </c>
      <c r="J601" s="61" t="str">
        <f>IFERROR(E601/SUM(O$2:O601),"")</f>
        <v/>
      </c>
      <c r="K601" s="61" t="str">
        <f>IFERROR(F601/SUM(P$2:P601),"")</f>
        <v/>
      </c>
      <c r="L601" s="79" t="str">
        <f>IFERROR(G601/SUM(Q$2:Q601),"")</f>
        <v/>
      </c>
      <c r="M601" s="64" t="str">
        <f t="shared" si="238"/>
        <v/>
      </c>
      <c r="N601" s="55" t="str">
        <f t="shared" si="239"/>
        <v/>
      </c>
      <c r="O601" s="55" t="str">
        <f t="shared" si="240"/>
        <v/>
      </c>
      <c r="P601" s="55" t="str">
        <f t="shared" si="241"/>
        <v/>
      </c>
      <c r="Q601" s="65" t="str">
        <f t="shared" si="242"/>
        <v/>
      </c>
      <c r="R601" s="67" t="str">
        <f t="shared" si="244"/>
        <v/>
      </c>
      <c r="S601" s="56" t="str">
        <f t="shared" si="245"/>
        <v/>
      </c>
      <c r="T601" s="56" t="str">
        <f t="shared" si="246"/>
        <v/>
      </c>
      <c r="U601" s="56" t="str">
        <f t="shared" si="247"/>
        <v/>
      </c>
      <c r="V601" s="68" t="str">
        <f t="shared" si="248"/>
        <v/>
      </c>
      <c r="W601" s="80" t="str">
        <f t="shared" si="249"/>
        <v/>
      </c>
      <c r="X601" s="81" t="str">
        <f t="shared" si="250"/>
        <v/>
      </c>
      <c r="Y601" s="81" t="str">
        <f t="shared" si="251"/>
        <v/>
      </c>
      <c r="Z601" s="81" t="str">
        <f t="shared" si="252"/>
        <v/>
      </c>
      <c r="AA601" s="82" t="str">
        <f t="shared" si="253"/>
        <v/>
      </c>
      <c r="AB601" s="83" t="str">
        <f>IF(R601&lt;&gt;"",(W601-SUMPRODUCT(R$3:R601,$B$3:$B601)/SUM($B$3:$B601))/STDEVA(W591:W601),"")</f>
        <v/>
      </c>
      <c r="AC601" s="84" t="str">
        <f>IF(S601&lt;&gt;"",(X601-SUMPRODUCT(S$3:S601,$B$3:$B601)/SUM($B$3:$B601))/STDEVA(X591:X601),"")</f>
        <v/>
      </c>
      <c r="AD601" s="84" t="str">
        <f>IF(T601&lt;&gt;"",(Y601-SUMPRODUCT(T$3:T601,$B$3:$B601)/SUM($B$3:$B601))/STDEVA(Y591:Y601),"")</f>
        <v/>
      </c>
      <c r="AE601" s="84" t="str">
        <f>IF(U601&lt;&gt;"",(Z601-SUMPRODUCT(U$3:U601,$B$3:$B601)/SUM($B$3:$B601))/STDEVA(Z591:Z601),"")</f>
        <v/>
      </c>
      <c r="AF601" s="85" t="str">
        <f>IF(V601&lt;&gt;"",(AA601-SUMPRODUCT(V$3:V601,$B$3:$B601)/SUM($B$3:$B601))/STDEVA(AA591:AA601),"")</f>
        <v/>
      </c>
      <c r="AG601" s="90" t="str">
        <f t="shared" si="254"/>
        <v/>
      </c>
      <c r="AH601" s="90" t="str">
        <f t="shared" si="254"/>
        <v/>
      </c>
      <c r="AI601" s="90" t="str">
        <f t="shared" si="254"/>
        <v/>
      </c>
      <c r="AJ601" s="90" t="str">
        <f t="shared" si="254"/>
        <v/>
      </c>
      <c r="AK601" s="93" t="str">
        <f t="shared" si="255"/>
        <v/>
      </c>
      <c r="BQ601" s="100" t="str">
        <f>IF(A601&lt;&gt;"",(VLOOKUP(A601,MarketData!$D:$BP,MATCH($BQ$1,MarketData!$D$1:$EG$1,0),TRUE)/100/365+1)^(B601)*BQ600,"")</f>
        <v/>
      </c>
      <c r="BR601" s="98" t="str">
        <f t="shared" si="232"/>
        <v/>
      </c>
      <c r="BS601" s="106" t="str">
        <f>IF(A601&lt;&gt;"",VLOOKUP(A601,MarketData!$D:$BP,MATCH($BS$1,MarketData!$D$1:$EG$1,0),TRUE),"")</f>
        <v/>
      </c>
      <c r="BT601" s="98" t="str">
        <f t="shared" si="243"/>
        <v/>
      </c>
    </row>
    <row r="602" spans="2:72" x14ac:dyDescent="0.25">
      <c r="B602" s="60" t="str">
        <f t="shared" si="231"/>
        <v/>
      </c>
      <c r="C602" s="3" t="str">
        <f t="shared" si="233"/>
        <v/>
      </c>
      <c r="D602" s="3" t="str">
        <f t="shared" si="234"/>
        <v/>
      </c>
      <c r="E602" s="3" t="str">
        <f t="shared" si="235"/>
        <v/>
      </c>
      <c r="F602" s="3" t="str">
        <f t="shared" si="236"/>
        <v/>
      </c>
      <c r="G602" s="74" t="str">
        <f t="shared" si="237"/>
        <v/>
      </c>
      <c r="H602" s="78" t="str">
        <f>IFERROR(C602/SUM(M$2:M601),"")</f>
        <v/>
      </c>
      <c r="I602" s="61" t="str">
        <f>IFERROR(D602/SUM(N$2:N602),"")</f>
        <v/>
      </c>
      <c r="J602" s="61" t="str">
        <f>IFERROR(E602/SUM(O$2:O602),"")</f>
        <v/>
      </c>
      <c r="K602" s="61" t="str">
        <f>IFERROR(F602/SUM(P$2:P602),"")</f>
        <v/>
      </c>
      <c r="L602" s="79" t="str">
        <f>IFERROR(G602/SUM(Q$2:Q602),"")</f>
        <v/>
      </c>
      <c r="M602" s="64" t="str">
        <f t="shared" si="238"/>
        <v/>
      </c>
      <c r="N602" s="55" t="str">
        <f t="shared" si="239"/>
        <v/>
      </c>
      <c r="O602" s="55" t="str">
        <f t="shared" si="240"/>
        <v/>
      </c>
      <c r="P602" s="55" t="str">
        <f t="shared" si="241"/>
        <v/>
      </c>
      <c r="Q602" s="65" t="str">
        <f t="shared" si="242"/>
        <v/>
      </c>
      <c r="R602" s="67" t="str">
        <f t="shared" si="244"/>
        <v/>
      </c>
      <c r="S602" s="56" t="str">
        <f t="shared" si="245"/>
        <v/>
      </c>
      <c r="T602" s="56" t="str">
        <f t="shared" si="246"/>
        <v/>
      </c>
      <c r="U602" s="56" t="str">
        <f t="shared" si="247"/>
        <v/>
      </c>
      <c r="V602" s="68" t="str">
        <f t="shared" si="248"/>
        <v/>
      </c>
      <c r="W602" s="80" t="str">
        <f t="shared" si="249"/>
        <v/>
      </c>
      <c r="X602" s="81" t="str">
        <f t="shared" si="250"/>
        <v/>
      </c>
      <c r="Y602" s="81" t="str">
        <f t="shared" si="251"/>
        <v/>
      </c>
      <c r="Z602" s="81" t="str">
        <f t="shared" si="252"/>
        <v/>
      </c>
      <c r="AA602" s="82" t="str">
        <f t="shared" si="253"/>
        <v/>
      </c>
      <c r="AB602" s="83" t="str">
        <f>IF(R602&lt;&gt;"",(W602-SUMPRODUCT(R$3:R602,$B$3:$B602)/SUM($B$3:$B602))/STDEVA(W592:W602),"")</f>
        <v/>
      </c>
      <c r="AC602" s="84" t="str">
        <f>IF(S602&lt;&gt;"",(X602-SUMPRODUCT(S$3:S602,$B$3:$B602)/SUM($B$3:$B602))/STDEVA(X592:X602),"")</f>
        <v/>
      </c>
      <c r="AD602" s="84" t="str">
        <f>IF(T602&lt;&gt;"",(Y602-SUMPRODUCT(T$3:T602,$B$3:$B602)/SUM($B$3:$B602))/STDEVA(Y592:Y602),"")</f>
        <v/>
      </c>
      <c r="AE602" s="84" t="str">
        <f>IF(U602&lt;&gt;"",(Z602-SUMPRODUCT(U$3:U602,$B$3:$B602)/SUM($B$3:$B602))/STDEVA(Z592:Z602),"")</f>
        <v/>
      </c>
      <c r="AF602" s="85" t="str">
        <f>IF(V602&lt;&gt;"",(AA602-SUMPRODUCT(V$3:V602,$B$3:$B602)/SUM($B$3:$B602))/STDEVA(AA592:AA602),"")</f>
        <v/>
      </c>
      <c r="AG602" s="90" t="str">
        <f t="shared" si="254"/>
        <v/>
      </c>
      <c r="AH602" s="90" t="str">
        <f t="shared" si="254"/>
        <v/>
      </c>
      <c r="AI602" s="90" t="str">
        <f t="shared" si="254"/>
        <v/>
      </c>
      <c r="AJ602" s="90" t="str">
        <f t="shared" si="254"/>
        <v/>
      </c>
      <c r="AK602" s="93" t="str">
        <f t="shared" si="255"/>
        <v/>
      </c>
      <c r="BQ602" s="100" t="str">
        <f>IF(A602&lt;&gt;"",(VLOOKUP(A602,MarketData!$D:$BP,MATCH($BQ$1,MarketData!$D$1:$EG$1,0),TRUE)/100/365+1)^(B602)*BQ601,"")</f>
        <v/>
      </c>
      <c r="BR602" s="98" t="str">
        <f t="shared" si="232"/>
        <v/>
      </c>
      <c r="BS602" s="106" t="str">
        <f>IF(A602&lt;&gt;"",VLOOKUP(A602,MarketData!$D:$BP,MATCH($BS$1,MarketData!$D$1:$EG$1,0),TRUE),"")</f>
        <v/>
      </c>
      <c r="BT602" s="98" t="str">
        <f t="shared" si="243"/>
        <v/>
      </c>
    </row>
    <row r="603" spans="2:72" x14ac:dyDescent="0.25">
      <c r="B603" s="60" t="str">
        <f t="shared" ref="B603:B666" si="256">IF(A603&lt;&gt;0,A603-A602,"")</f>
        <v/>
      </c>
      <c r="C603" s="3" t="str">
        <f t="shared" si="233"/>
        <v/>
      </c>
      <c r="D603" s="3" t="str">
        <f t="shared" si="234"/>
        <v/>
      </c>
      <c r="E603" s="3" t="str">
        <f t="shared" si="235"/>
        <v/>
      </c>
      <c r="F603" s="3" t="str">
        <f t="shared" si="236"/>
        <v/>
      </c>
      <c r="G603" s="74" t="str">
        <f t="shared" si="237"/>
        <v/>
      </c>
      <c r="H603" s="78" t="str">
        <f>IFERROR(C603/SUM(M$2:M602),"")</f>
        <v/>
      </c>
      <c r="I603" s="61" t="str">
        <f>IFERROR(D603/SUM(N$2:N603),"")</f>
        <v/>
      </c>
      <c r="J603" s="61" t="str">
        <f>IFERROR(E603/SUM(O$2:O603),"")</f>
        <v/>
      </c>
      <c r="K603" s="61" t="str">
        <f>IFERROR(F603/SUM(P$2:P603),"")</f>
        <v/>
      </c>
      <c r="L603" s="79" t="str">
        <f>IFERROR(G603/SUM(Q$2:Q603),"")</f>
        <v/>
      </c>
      <c r="M603" s="64" t="str">
        <f t="shared" si="238"/>
        <v/>
      </c>
      <c r="N603" s="55" t="str">
        <f t="shared" si="239"/>
        <v/>
      </c>
      <c r="O603" s="55" t="str">
        <f t="shared" si="240"/>
        <v/>
      </c>
      <c r="P603" s="55" t="str">
        <f t="shared" si="241"/>
        <v/>
      </c>
      <c r="Q603" s="65" t="str">
        <f t="shared" si="242"/>
        <v/>
      </c>
      <c r="R603" s="67" t="str">
        <f t="shared" si="244"/>
        <v/>
      </c>
      <c r="S603" s="56" t="str">
        <f t="shared" si="245"/>
        <v/>
      </c>
      <c r="T603" s="56" t="str">
        <f t="shared" si="246"/>
        <v/>
      </c>
      <c r="U603" s="56" t="str">
        <f t="shared" si="247"/>
        <v/>
      </c>
      <c r="V603" s="68" t="str">
        <f t="shared" si="248"/>
        <v/>
      </c>
      <c r="W603" s="80" t="str">
        <f t="shared" si="249"/>
        <v/>
      </c>
      <c r="X603" s="81" t="str">
        <f t="shared" si="250"/>
        <v/>
      </c>
      <c r="Y603" s="81" t="str">
        <f t="shared" si="251"/>
        <v/>
      </c>
      <c r="Z603" s="81" t="str">
        <f t="shared" si="252"/>
        <v/>
      </c>
      <c r="AA603" s="82" t="str">
        <f t="shared" si="253"/>
        <v/>
      </c>
      <c r="AB603" s="83" t="str">
        <f>IF(R603&lt;&gt;"",(W603-SUMPRODUCT(R$3:R603,$B$3:$B603)/SUM($B$3:$B603))/STDEVA(W593:W603),"")</f>
        <v/>
      </c>
      <c r="AC603" s="84" t="str">
        <f>IF(S603&lt;&gt;"",(X603-SUMPRODUCT(S$3:S603,$B$3:$B603)/SUM($B$3:$B603))/STDEVA(X593:X603),"")</f>
        <v/>
      </c>
      <c r="AD603" s="84" t="str">
        <f>IF(T603&lt;&gt;"",(Y603-SUMPRODUCT(T$3:T603,$B$3:$B603)/SUM($B$3:$B603))/STDEVA(Y593:Y603),"")</f>
        <v/>
      </c>
      <c r="AE603" s="84" t="str">
        <f>IF(U603&lt;&gt;"",(Z603-SUMPRODUCT(U$3:U603,$B$3:$B603)/SUM($B$3:$B603))/STDEVA(Z593:Z603),"")</f>
        <v/>
      </c>
      <c r="AF603" s="85" t="str">
        <f>IF(V603&lt;&gt;"",(AA603-SUMPRODUCT(V$3:V603,$B$3:$B603)/SUM($B$3:$B603))/STDEVA(AA593:AA603),"")</f>
        <v/>
      </c>
      <c r="AG603" s="90" t="str">
        <f t="shared" si="254"/>
        <v/>
      </c>
      <c r="AH603" s="90" t="str">
        <f t="shared" si="254"/>
        <v/>
      </c>
      <c r="AI603" s="90" t="str">
        <f t="shared" si="254"/>
        <v/>
      </c>
      <c r="AJ603" s="90" t="str">
        <f t="shared" si="254"/>
        <v/>
      </c>
      <c r="AK603" s="93" t="str">
        <f t="shared" si="255"/>
        <v/>
      </c>
      <c r="BQ603" s="100" t="str">
        <f>IF(A603&lt;&gt;"",(VLOOKUP(A603,MarketData!$D:$BP,MATCH($BQ$1,MarketData!$D$1:$EG$1,0),TRUE)/100/365+1)^(B603)*BQ602,"")</f>
        <v/>
      </c>
      <c r="BR603" s="98" t="str">
        <f t="shared" si="232"/>
        <v/>
      </c>
      <c r="BS603" s="106" t="str">
        <f>IF(A603&lt;&gt;"",VLOOKUP(A603,MarketData!$D:$BP,MATCH($BS$1,MarketData!$D$1:$EG$1,0),TRUE),"")</f>
        <v/>
      </c>
      <c r="BT603" s="98" t="str">
        <f t="shared" si="243"/>
        <v/>
      </c>
    </row>
    <row r="604" spans="2:72" x14ac:dyDescent="0.25">
      <c r="B604" s="60" t="str">
        <f t="shared" si="256"/>
        <v/>
      </c>
      <c r="C604" s="3" t="str">
        <f t="shared" si="233"/>
        <v/>
      </c>
      <c r="D604" s="3" t="str">
        <f t="shared" si="234"/>
        <v/>
      </c>
      <c r="E604" s="3" t="str">
        <f t="shared" si="235"/>
        <v/>
      </c>
      <c r="F604" s="3" t="str">
        <f t="shared" si="236"/>
        <v/>
      </c>
      <c r="G604" s="74" t="str">
        <f t="shared" si="237"/>
        <v/>
      </c>
      <c r="H604" s="78" t="str">
        <f>IFERROR(C604/SUM(M$2:M603),"")</f>
        <v/>
      </c>
      <c r="I604" s="61" t="str">
        <f>IFERROR(D604/SUM(N$2:N604),"")</f>
        <v/>
      </c>
      <c r="J604" s="61" t="str">
        <f>IFERROR(E604/SUM(O$2:O604),"")</f>
        <v/>
      </c>
      <c r="K604" s="61" t="str">
        <f>IFERROR(F604/SUM(P$2:P604),"")</f>
        <v/>
      </c>
      <c r="L604" s="79" t="str">
        <f>IFERROR(G604/SUM(Q$2:Q604),"")</f>
        <v/>
      </c>
      <c r="M604" s="64" t="str">
        <f t="shared" si="238"/>
        <v/>
      </c>
      <c r="N604" s="55" t="str">
        <f t="shared" si="239"/>
        <v/>
      </c>
      <c r="O604" s="55" t="str">
        <f t="shared" si="240"/>
        <v/>
      </c>
      <c r="P604" s="55" t="str">
        <f t="shared" si="241"/>
        <v/>
      </c>
      <c r="Q604" s="65" t="str">
        <f t="shared" si="242"/>
        <v/>
      </c>
      <c r="R604" s="67" t="str">
        <f t="shared" si="244"/>
        <v/>
      </c>
      <c r="S604" s="56" t="str">
        <f t="shared" si="245"/>
        <v/>
      </c>
      <c r="T604" s="56" t="str">
        <f t="shared" si="246"/>
        <v/>
      </c>
      <c r="U604" s="56" t="str">
        <f t="shared" si="247"/>
        <v/>
      </c>
      <c r="V604" s="68" t="str">
        <f t="shared" si="248"/>
        <v/>
      </c>
      <c r="W604" s="80" t="str">
        <f t="shared" si="249"/>
        <v/>
      </c>
      <c r="X604" s="81" t="str">
        <f t="shared" si="250"/>
        <v/>
      </c>
      <c r="Y604" s="81" t="str">
        <f t="shared" si="251"/>
        <v/>
      </c>
      <c r="Z604" s="81" t="str">
        <f t="shared" si="252"/>
        <v/>
      </c>
      <c r="AA604" s="82" t="str">
        <f t="shared" si="253"/>
        <v/>
      </c>
      <c r="AB604" s="83" t="str">
        <f>IF(R604&lt;&gt;"",(W604-SUMPRODUCT(R$3:R604,$B$3:$B604)/SUM($B$3:$B604))/STDEVA(W594:W604),"")</f>
        <v/>
      </c>
      <c r="AC604" s="84" t="str">
        <f>IF(S604&lt;&gt;"",(X604-SUMPRODUCT(S$3:S604,$B$3:$B604)/SUM($B$3:$B604))/STDEVA(X594:X604),"")</f>
        <v/>
      </c>
      <c r="AD604" s="84" t="str">
        <f>IF(T604&lt;&gt;"",(Y604-SUMPRODUCT(T$3:T604,$B$3:$B604)/SUM($B$3:$B604))/STDEVA(Y594:Y604),"")</f>
        <v/>
      </c>
      <c r="AE604" s="84" t="str">
        <f>IF(U604&lt;&gt;"",(Z604-SUMPRODUCT(U$3:U604,$B$3:$B604)/SUM($B$3:$B604))/STDEVA(Z594:Z604),"")</f>
        <v/>
      </c>
      <c r="AF604" s="85" t="str">
        <f>IF(V604&lt;&gt;"",(AA604-SUMPRODUCT(V$3:V604,$B$3:$B604)/SUM($B$3:$B604))/STDEVA(AA594:AA604),"")</f>
        <v/>
      </c>
      <c r="AG604" s="90" t="str">
        <f t="shared" si="254"/>
        <v/>
      </c>
      <c r="AH604" s="90" t="str">
        <f t="shared" si="254"/>
        <v/>
      </c>
      <c r="AI604" s="90" t="str">
        <f t="shared" si="254"/>
        <v/>
      </c>
      <c r="AJ604" s="90" t="str">
        <f t="shared" si="254"/>
        <v/>
      </c>
      <c r="AK604" s="93" t="str">
        <f t="shared" si="255"/>
        <v/>
      </c>
      <c r="BQ604" s="100" t="str">
        <f>IF(A604&lt;&gt;"",(VLOOKUP(A604,MarketData!$D:$BP,MATCH($BQ$1,MarketData!$D$1:$EG$1,0),TRUE)/100/365+1)^(B604)*BQ603,"")</f>
        <v/>
      </c>
      <c r="BR604" s="98" t="str">
        <f t="shared" si="232"/>
        <v/>
      </c>
      <c r="BS604" s="106" t="str">
        <f>IF(A604&lt;&gt;"",VLOOKUP(A604,MarketData!$D:$BP,MATCH($BS$1,MarketData!$D$1:$EG$1,0),TRUE),"")</f>
        <v/>
      </c>
      <c r="BT604" s="98" t="str">
        <f t="shared" si="243"/>
        <v/>
      </c>
    </row>
    <row r="605" spans="2:72" x14ac:dyDescent="0.25">
      <c r="B605" s="60" t="str">
        <f t="shared" si="256"/>
        <v/>
      </c>
      <c r="C605" s="3" t="str">
        <f t="shared" si="233"/>
        <v/>
      </c>
      <c r="D605" s="3" t="str">
        <f t="shared" si="234"/>
        <v/>
      </c>
      <c r="E605" s="3" t="str">
        <f t="shared" si="235"/>
        <v/>
      </c>
      <c r="F605" s="3" t="str">
        <f t="shared" si="236"/>
        <v/>
      </c>
      <c r="G605" s="74" t="str">
        <f t="shared" si="237"/>
        <v/>
      </c>
      <c r="H605" s="78" t="str">
        <f>IFERROR(C605/SUM(M$2:M604),"")</f>
        <v/>
      </c>
      <c r="I605" s="61" t="str">
        <f>IFERROR(D605/SUM(N$2:N605),"")</f>
        <v/>
      </c>
      <c r="J605" s="61" t="str">
        <f>IFERROR(E605/SUM(O$2:O605),"")</f>
        <v/>
      </c>
      <c r="K605" s="61" t="str">
        <f>IFERROR(F605/SUM(P$2:P605),"")</f>
        <v/>
      </c>
      <c r="L605" s="79" t="str">
        <f>IFERROR(G605/SUM(Q$2:Q605),"")</f>
        <v/>
      </c>
      <c r="M605" s="64" t="str">
        <f t="shared" si="238"/>
        <v/>
      </c>
      <c r="N605" s="55" t="str">
        <f t="shared" si="239"/>
        <v/>
      </c>
      <c r="O605" s="55" t="str">
        <f t="shared" si="240"/>
        <v/>
      </c>
      <c r="P605" s="55" t="str">
        <f t="shared" si="241"/>
        <v/>
      </c>
      <c r="Q605" s="65" t="str">
        <f t="shared" si="242"/>
        <v/>
      </c>
      <c r="R605" s="67" t="str">
        <f t="shared" si="244"/>
        <v/>
      </c>
      <c r="S605" s="56" t="str">
        <f t="shared" si="245"/>
        <v/>
      </c>
      <c r="T605" s="56" t="str">
        <f t="shared" si="246"/>
        <v/>
      </c>
      <c r="U605" s="56" t="str">
        <f t="shared" si="247"/>
        <v/>
      </c>
      <c r="V605" s="68" t="str">
        <f t="shared" si="248"/>
        <v/>
      </c>
      <c r="W605" s="80" t="str">
        <f t="shared" si="249"/>
        <v/>
      </c>
      <c r="X605" s="81" t="str">
        <f t="shared" si="250"/>
        <v/>
      </c>
      <c r="Y605" s="81" t="str">
        <f t="shared" si="251"/>
        <v/>
      </c>
      <c r="Z605" s="81" t="str">
        <f t="shared" si="252"/>
        <v/>
      </c>
      <c r="AA605" s="82" t="str">
        <f t="shared" si="253"/>
        <v/>
      </c>
      <c r="AB605" s="83" t="str">
        <f>IF(R605&lt;&gt;"",(W605-SUMPRODUCT(R$3:R605,$B$3:$B605)/SUM($B$3:$B605))/STDEVA(W595:W605),"")</f>
        <v/>
      </c>
      <c r="AC605" s="84" t="str">
        <f>IF(S605&lt;&gt;"",(X605-SUMPRODUCT(S$3:S605,$B$3:$B605)/SUM($B$3:$B605))/STDEVA(X595:X605),"")</f>
        <v/>
      </c>
      <c r="AD605" s="84" t="str">
        <f>IF(T605&lt;&gt;"",(Y605-SUMPRODUCT(T$3:T605,$B$3:$B605)/SUM($B$3:$B605))/STDEVA(Y595:Y605),"")</f>
        <v/>
      </c>
      <c r="AE605" s="84" t="str">
        <f>IF(U605&lt;&gt;"",(Z605-SUMPRODUCT(U$3:U605,$B$3:$B605)/SUM($B$3:$B605))/STDEVA(Z595:Z605),"")</f>
        <v/>
      </c>
      <c r="AF605" s="85" t="str">
        <f>IF(V605&lt;&gt;"",(AA605-SUMPRODUCT(V$3:V605,$B$3:$B605)/SUM($B$3:$B605))/STDEVA(AA595:AA605),"")</f>
        <v/>
      </c>
      <c r="AG605" s="90" t="str">
        <f t="shared" si="254"/>
        <v/>
      </c>
      <c r="AH605" s="90" t="str">
        <f t="shared" si="254"/>
        <v/>
      </c>
      <c r="AI605" s="90" t="str">
        <f t="shared" si="254"/>
        <v/>
      </c>
      <c r="AJ605" s="90" t="str">
        <f t="shared" si="254"/>
        <v/>
      </c>
      <c r="AK605" s="93" t="str">
        <f t="shared" si="255"/>
        <v/>
      </c>
      <c r="BQ605" s="100" t="str">
        <f>IF(A605&lt;&gt;"",(VLOOKUP(A605,MarketData!$D:$BP,MATCH($BQ$1,MarketData!$D$1:$EG$1,0),TRUE)/100/365+1)^(B605)*BQ604,"")</f>
        <v/>
      </c>
      <c r="BR605" s="98" t="str">
        <f t="shared" si="232"/>
        <v/>
      </c>
      <c r="BS605" s="106" t="str">
        <f>IF(A605&lt;&gt;"",VLOOKUP(A605,MarketData!$D:$BP,MATCH($BS$1,MarketData!$D$1:$EG$1,0),TRUE),"")</f>
        <v/>
      </c>
      <c r="BT605" s="98" t="str">
        <f t="shared" si="243"/>
        <v/>
      </c>
    </row>
    <row r="606" spans="2:72" x14ac:dyDescent="0.25">
      <c r="B606" s="60" t="str">
        <f t="shared" si="256"/>
        <v/>
      </c>
      <c r="C606" s="3" t="str">
        <f t="shared" si="233"/>
        <v/>
      </c>
      <c r="D606" s="3" t="str">
        <f t="shared" si="234"/>
        <v/>
      </c>
      <c r="E606" s="3" t="str">
        <f t="shared" si="235"/>
        <v/>
      </c>
      <c r="F606" s="3" t="str">
        <f t="shared" si="236"/>
        <v/>
      </c>
      <c r="G606" s="74" t="str">
        <f t="shared" si="237"/>
        <v/>
      </c>
      <c r="H606" s="78" t="str">
        <f>IFERROR(C606/SUM(M$2:M605),"")</f>
        <v/>
      </c>
      <c r="I606" s="61" t="str">
        <f>IFERROR(D606/SUM(N$2:N606),"")</f>
        <v/>
      </c>
      <c r="J606" s="61" t="str">
        <f>IFERROR(E606/SUM(O$2:O606),"")</f>
        <v/>
      </c>
      <c r="K606" s="61" t="str">
        <f>IFERROR(F606/SUM(P$2:P606),"")</f>
        <v/>
      </c>
      <c r="L606" s="79" t="str">
        <f>IFERROR(G606/SUM(Q$2:Q606),"")</f>
        <v/>
      </c>
      <c r="M606" s="64" t="str">
        <f t="shared" si="238"/>
        <v/>
      </c>
      <c r="N606" s="55" t="str">
        <f t="shared" si="239"/>
        <v/>
      </c>
      <c r="O606" s="55" t="str">
        <f t="shared" si="240"/>
        <v/>
      </c>
      <c r="P606" s="55" t="str">
        <f t="shared" si="241"/>
        <v/>
      </c>
      <c r="Q606" s="65" t="str">
        <f t="shared" si="242"/>
        <v/>
      </c>
      <c r="R606" s="67" t="str">
        <f t="shared" si="244"/>
        <v/>
      </c>
      <c r="S606" s="56" t="str">
        <f t="shared" si="245"/>
        <v/>
      </c>
      <c r="T606" s="56" t="str">
        <f t="shared" si="246"/>
        <v/>
      </c>
      <c r="U606" s="56" t="str">
        <f t="shared" si="247"/>
        <v/>
      </c>
      <c r="V606" s="68" t="str">
        <f t="shared" si="248"/>
        <v/>
      </c>
      <c r="W606" s="80" t="str">
        <f t="shared" si="249"/>
        <v/>
      </c>
      <c r="X606" s="81" t="str">
        <f t="shared" si="250"/>
        <v/>
      </c>
      <c r="Y606" s="81" t="str">
        <f t="shared" si="251"/>
        <v/>
      </c>
      <c r="Z606" s="81" t="str">
        <f t="shared" si="252"/>
        <v/>
      </c>
      <c r="AA606" s="82" t="str">
        <f t="shared" si="253"/>
        <v/>
      </c>
      <c r="AB606" s="83" t="str">
        <f>IF(R606&lt;&gt;"",(W606-SUMPRODUCT(R$3:R606,$B$3:$B606)/SUM($B$3:$B606))/STDEVA(W596:W606),"")</f>
        <v/>
      </c>
      <c r="AC606" s="84" t="str">
        <f>IF(S606&lt;&gt;"",(X606-SUMPRODUCT(S$3:S606,$B$3:$B606)/SUM($B$3:$B606))/STDEVA(X596:X606),"")</f>
        <v/>
      </c>
      <c r="AD606" s="84" t="str">
        <f>IF(T606&lt;&gt;"",(Y606-SUMPRODUCT(T$3:T606,$B$3:$B606)/SUM($B$3:$B606))/STDEVA(Y596:Y606),"")</f>
        <v/>
      </c>
      <c r="AE606" s="84" t="str">
        <f>IF(U606&lt;&gt;"",(Z606-SUMPRODUCT(U$3:U606,$B$3:$B606)/SUM($B$3:$B606))/STDEVA(Z596:Z606),"")</f>
        <v/>
      </c>
      <c r="AF606" s="85" t="str">
        <f>IF(V606&lt;&gt;"",(AA606-SUMPRODUCT(V$3:V606,$B$3:$B606)/SUM($B$3:$B606))/STDEVA(AA596:AA606),"")</f>
        <v/>
      </c>
      <c r="AG606" s="90" t="str">
        <f t="shared" si="254"/>
        <v/>
      </c>
      <c r="AH606" s="90" t="str">
        <f t="shared" si="254"/>
        <v/>
      </c>
      <c r="AI606" s="90" t="str">
        <f t="shared" si="254"/>
        <v/>
      </c>
      <c r="AJ606" s="90" t="str">
        <f t="shared" si="254"/>
        <v/>
      </c>
      <c r="AK606" s="93" t="str">
        <f t="shared" si="255"/>
        <v/>
      </c>
      <c r="BQ606" s="100" t="str">
        <f>IF(A606&lt;&gt;"",(VLOOKUP(A606,MarketData!$D:$BP,MATCH($BQ$1,MarketData!$D$1:$EG$1,0),TRUE)/100/365+1)^(B606)*BQ605,"")</f>
        <v/>
      </c>
      <c r="BR606" s="98" t="str">
        <f t="shared" si="232"/>
        <v/>
      </c>
      <c r="BS606" s="106" t="str">
        <f>IF(A606&lt;&gt;"",VLOOKUP(A606,MarketData!$D:$BP,MATCH($BS$1,MarketData!$D$1:$EG$1,0),TRUE),"")</f>
        <v/>
      </c>
      <c r="BT606" s="98" t="str">
        <f t="shared" si="243"/>
        <v/>
      </c>
    </row>
    <row r="607" spans="2:72" x14ac:dyDescent="0.25">
      <c r="B607" s="60" t="str">
        <f t="shared" si="256"/>
        <v/>
      </c>
      <c r="C607" s="3" t="str">
        <f t="shared" si="233"/>
        <v/>
      </c>
      <c r="D607" s="3" t="str">
        <f t="shared" si="234"/>
        <v/>
      </c>
      <c r="E607" s="3" t="str">
        <f t="shared" si="235"/>
        <v/>
      </c>
      <c r="F607" s="3" t="str">
        <f t="shared" si="236"/>
        <v/>
      </c>
      <c r="G607" s="74" t="str">
        <f t="shared" si="237"/>
        <v/>
      </c>
      <c r="H607" s="78" t="str">
        <f>IFERROR(C607/SUM(M$2:M606),"")</f>
        <v/>
      </c>
      <c r="I607" s="61" t="str">
        <f>IFERROR(D607/SUM(N$2:N607),"")</f>
        <v/>
      </c>
      <c r="J607" s="61" t="str">
        <f>IFERROR(E607/SUM(O$2:O607),"")</f>
        <v/>
      </c>
      <c r="K607" s="61" t="str">
        <f>IFERROR(F607/SUM(P$2:P607),"")</f>
        <v/>
      </c>
      <c r="L607" s="79" t="str">
        <f>IFERROR(G607/SUM(Q$2:Q607),"")</f>
        <v/>
      </c>
      <c r="M607" s="64" t="str">
        <f t="shared" si="238"/>
        <v/>
      </c>
      <c r="N607" s="55" t="str">
        <f t="shared" si="239"/>
        <v/>
      </c>
      <c r="O607" s="55" t="str">
        <f t="shared" si="240"/>
        <v/>
      </c>
      <c r="P607" s="55" t="str">
        <f t="shared" si="241"/>
        <v/>
      </c>
      <c r="Q607" s="65" t="str">
        <f t="shared" si="242"/>
        <v/>
      </c>
      <c r="R607" s="67" t="str">
        <f t="shared" si="244"/>
        <v/>
      </c>
      <c r="S607" s="56" t="str">
        <f t="shared" si="245"/>
        <v/>
      </c>
      <c r="T607" s="56" t="str">
        <f t="shared" si="246"/>
        <v/>
      </c>
      <c r="U607" s="56" t="str">
        <f t="shared" si="247"/>
        <v/>
      </c>
      <c r="V607" s="68" t="str">
        <f t="shared" si="248"/>
        <v/>
      </c>
      <c r="W607" s="80" t="str">
        <f t="shared" si="249"/>
        <v/>
      </c>
      <c r="X607" s="81" t="str">
        <f t="shared" si="250"/>
        <v/>
      </c>
      <c r="Y607" s="81" t="str">
        <f t="shared" si="251"/>
        <v/>
      </c>
      <c r="Z607" s="81" t="str">
        <f t="shared" si="252"/>
        <v/>
      </c>
      <c r="AA607" s="82" t="str">
        <f t="shared" si="253"/>
        <v/>
      </c>
      <c r="AB607" s="83" t="str">
        <f>IF(R607&lt;&gt;"",(W607-SUMPRODUCT(R$3:R607,$B$3:$B607)/SUM($B$3:$B607))/STDEVA(W597:W607),"")</f>
        <v/>
      </c>
      <c r="AC607" s="84" t="str">
        <f>IF(S607&lt;&gt;"",(X607-SUMPRODUCT(S$3:S607,$B$3:$B607)/SUM($B$3:$B607))/STDEVA(X597:X607),"")</f>
        <v/>
      </c>
      <c r="AD607" s="84" t="str">
        <f>IF(T607&lt;&gt;"",(Y607-SUMPRODUCT(T$3:T607,$B$3:$B607)/SUM($B$3:$B607))/STDEVA(Y597:Y607),"")</f>
        <v/>
      </c>
      <c r="AE607" s="84" t="str">
        <f>IF(U607&lt;&gt;"",(Z607-SUMPRODUCT(U$3:U607,$B$3:$B607)/SUM($B$3:$B607))/STDEVA(Z597:Z607),"")</f>
        <v/>
      </c>
      <c r="AF607" s="85" t="str">
        <f>IF(V607&lt;&gt;"",(AA607-SUMPRODUCT(V$3:V607,$B$3:$B607)/SUM($B$3:$B607))/STDEVA(AA597:AA607),"")</f>
        <v/>
      </c>
      <c r="AG607" s="90" t="str">
        <f t="shared" si="254"/>
        <v/>
      </c>
      <c r="AH607" s="90" t="str">
        <f t="shared" si="254"/>
        <v/>
      </c>
      <c r="AI607" s="90" t="str">
        <f t="shared" si="254"/>
        <v/>
      </c>
      <c r="AJ607" s="90" t="str">
        <f t="shared" si="254"/>
        <v/>
      </c>
      <c r="AK607" s="93" t="str">
        <f t="shared" si="255"/>
        <v/>
      </c>
      <c r="BQ607" s="100" t="str">
        <f>IF(A607&lt;&gt;"",(VLOOKUP(A607,MarketData!$D:$BP,MATCH($BQ$1,MarketData!$D$1:$EG$1,0),TRUE)/100/365+1)^(B607)*BQ606,"")</f>
        <v/>
      </c>
      <c r="BR607" s="98" t="str">
        <f t="shared" si="232"/>
        <v/>
      </c>
      <c r="BS607" s="106" t="str">
        <f>IF(A607&lt;&gt;"",VLOOKUP(A607,MarketData!$D:$BP,MATCH($BS$1,MarketData!$D$1:$EG$1,0),TRUE),"")</f>
        <v/>
      </c>
      <c r="BT607" s="98" t="str">
        <f t="shared" si="243"/>
        <v/>
      </c>
    </row>
    <row r="608" spans="2:72" x14ac:dyDescent="0.25">
      <c r="B608" s="60" t="str">
        <f t="shared" si="256"/>
        <v/>
      </c>
      <c r="C608" s="3" t="str">
        <f t="shared" si="233"/>
        <v/>
      </c>
      <c r="D608" s="3" t="str">
        <f t="shared" si="234"/>
        <v/>
      </c>
      <c r="E608" s="3" t="str">
        <f t="shared" si="235"/>
        <v/>
      </c>
      <c r="F608" s="3" t="str">
        <f t="shared" si="236"/>
        <v/>
      </c>
      <c r="G608" s="74" t="str">
        <f t="shared" si="237"/>
        <v/>
      </c>
      <c r="H608" s="78" t="str">
        <f>IFERROR(C608/SUM(M$2:M607),"")</f>
        <v/>
      </c>
      <c r="I608" s="61" t="str">
        <f>IFERROR(D608/SUM(N$2:N608),"")</f>
        <v/>
      </c>
      <c r="J608" s="61" t="str">
        <f>IFERROR(E608/SUM(O$2:O608),"")</f>
        <v/>
      </c>
      <c r="K608" s="61" t="str">
        <f>IFERROR(F608/SUM(P$2:P608),"")</f>
        <v/>
      </c>
      <c r="L608" s="79" t="str">
        <f>IFERROR(G608/SUM(Q$2:Q608),"")</f>
        <v/>
      </c>
      <c r="M608" s="64" t="str">
        <f t="shared" si="238"/>
        <v/>
      </c>
      <c r="N608" s="55" t="str">
        <f t="shared" si="239"/>
        <v/>
      </c>
      <c r="O608" s="55" t="str">
        <f t="shared" si="240"/>
        <v/>
      </c>
      <c r="P608" s="55" t="str">
        <f t="shared" si="241"/>
        <v/>
      </c>
      <c r="Q608" s="65" t="str">
        <f t="shared" si="242"/>
        <v/>
      </c>
      <c r="R608" s="67" t="str">
        <f t="shared" si="244"/>
        <v/>
      </c>
      <c r="S608" s="56" t="str">
        <f t="shared" si="245"/>
        <v/>
      </c>
      <c r="T608" s="56" t="str">
        <f t="shared" si="246"/>
        <v/>
      </c>
      <c r="U608" s="56" t="str">
        <f t="shared" si="247"/>
        <v/>
      </c>
      <c r="V608" s="68" t="str">
        <f t="shared" si="248"/>
        <v/>
      </c>
      <c r="W608" s="80" t="str">
        <f t="shared" si="249"/>
        <v/>
      </c>
      <c r="X608" s="81" t="str">
        <f t="shared" si="250"/>
        <v/>
      </c>
      <c r="Y608" s="81" t="str">
        <f t="shared" si="251"/>
        <v/>
      </c>
      <c r="Z608" s="81" t="str">
        <f t="shared" si="252"/>
        <v/>
      </c>
      <c r="AA608" s="82" t="str">
        <f t="shared" si="253"/>
        <v/>
      </c>
      <c r="AB608" s="83" t="str">
        <f>IF(R608&lt;&gt;"",(W608-SUMPRODUCT(R$3:R608,$B$3:$B608)/SUM($B$3:$B608))/STDEVA(W598:W608),"")</f>
        <v/>
      </c>
      <c r="AC608" s="84" t="str">
        <f>IF(S608&lt;&gt;"",(X608-SUMPRODUCT(S$3:S608,$B$3:$B608)/SUM($B$3:$B608))/STDEVA(X598:X608),"")</f>
        <v/>
      </c>
      <c r="AD608" s="84" t="str">
        <f>IF(T608&lt;&gt;"",(Y608-SUMPRODUCT(T$3:T608,$B$3:$B608)/SUM($B$3:$B608))/STDEVA(Y598:Y608),"")</f>
        <v/>
      </c>
      <c r="AE608" s="84" t="str">
        <f>IF(U608&lt;&gt;"",(Z608-SUMPRODUCT(U$3:U608,$B$3:$B608)/SUM($B$3:$B608))/STDEVA(Z598:Z608),"")</f>
        <v/>
      </c>
      <c r="AF608" s="85" t="str">
        <f>IF(V608&lt;&gt;"",(AA608-SUMPRODUCT(V$3:V608,$B$3:$B608)/SUM($B$3:$B608))/STDEVA(AA598:AA608),"")</f>
        <v/>
      </c>
      <c r="AG608" s="90" t="str">
        <f t="shared" si="254"/>
        <v/>
      </c>
      <c r="AH608" s="90" t="str">
        <f t="shared" si="254"/>
        <v/>
      </c>
      <c r="AI608" s="90" t="str">
        <f t="shared" si="254"/>
        <v/>
      </c>
      <c r="AJ608" s="90" t="str">
        <f t="shared" si="254"/>
        <v/>
      </c>
      <c r="AK608" s="93" t="str">
        <f t="shared" si="255"/>
        <v/>
      </c>
      <c r="BQ608" s="100" t="str">
        <f>IF(A608&lt;&gt;"",(VLOOKUP(A608,MarketData!$D:$BP,MATCH($BQ$1,MarketData!$D$1:$EG$1,0),TRUE)/100/365+1)^(B608)*BQ607,"")</f>
        <v/>
      </c>
      <c r="BR608" s="98" t="str">
        <f t="shared" si="232"/>
        <v/>
      </c>
      <c r="BS608" s="106" t="str">
        <f>IF(A608&lt;&gt;"",VLOOKUP(A608,MarketData!$D:$BP,MATCH($BS$1,MarketData!$D$1:$EG$1,0),TRUE),"")</f>
        <v/>
      </c>
      <c r="BT608" s="98" t="str">
        <f t="shared" si="243"/>
        <v/>
      </c>
    </row>
    <row r="609" spans="2:72" x14ac:dyDescent="0.25">
      <c r="B609" s="60" t="str">
        <f t="shared" si="256"/>
        <v/>
      </c>
      <c r="C609" s="3" t="str">
        <f t="shared" si="233"/>
        <v/>
      </c>
      <c r="D609" s="3" t="str">
        <f t="shared" si="234"/>
        <v/>
      </c>
      <c r="E609" s="3" t="str">
        <f t="shared" si="235"/>
        <v/>
      </c>
      <c r="F609" s="3" t="str">
        <f t="shared" si="236"/>
        <v/>
      </c>
      <c r="G609" s="74" t="str">
        <f t="shared" si="237"/>
        <v/>
      </c>
      <c r="H609" s="78" t="str">
        <f>IFERROR(C609/SUM(M$2:M608),"")</f>
        <v/>
      </c>
      <c r="I609" s="61" t="str">
        <f>IFERROR(D609/SUM(N$2:N609),"")</f>
        <v/>
      </c>
      <c r="J609" s="61" t="str">
        <f>IFERROR(E609/SUM(O$2:O609),"")</f>
        <v/>
      </c>
      <c r="K609" s="61" t="str">
        <f>IFERROR(F609/SUM(P$2:P609),"")</f>
        <v/>
      </c>
      <c r="L609" s="79" t="str">
        <f>IFERROR(G609/SUM(Q$2:Q609),"")</f>
        <v/>
      </c>
      <c r="M609" s="64" t="str">
        <f t="shared" si="238"/>
        <v/>
      </c>
      <c r="N609" s="55" t="str">
        <f t="shared" si="239"/>
        <v/>
      </c>
      <c r="O609" s="55" t="str">
        <f t="shared" si="240"/>
        <v/>
      </c>
      <c r="P609" s="55" t="str">
        <f t="shared" si="241"/>
        <v/>
      </c>
      <c r="Q609" s="65" t="str">
        <f t="shared" si="242"/>
        <v/>
      </c>
      <c r="R609" s="67" t="str">
        <f t="shared" si="244"/>
        <v/>
      </c>
      <c r="S609" s="56" t="str">
        <f t="shared" si="245"/>
        <v/>
      </c>
      <c r="T609" s="56" t="str">
        <f t="shared" si="246"/>
        <v/>
      </c>
      <c r="U609" s="56" t="str">
        <f t="shared" si="247"/>
        <v/>
      </c>
      <c r="V609" s="68" t="str">
        <f t="shared" si="248"/>
        <v/>
      </c>
      <c r="W609" s="80" t="str">
        <f t="shared" si="249"/>
        <v/>
      </c>
      <c r="X609" s="81" t="str">
        <f t="shared" si="250"/>
        <v/>
      </c>
      <c r="Y609" s="81" t="str">
        <f t="shared" si="251"/>
        <v/>
      </c>
      <c r="Z609" s="81" t="str">
        <f t="shared" si="252"/>
        <v/>
      </c>
      <c r="AA609" s="82" t="str">
        <f t="shared" si="253"/>
        <v/>
      </c>
      <c r="AB609" s="83" t="str">
        <f>IF(R609&lt;&gt;"",(W609-SUMPRODUCT(R$3:R609,$B$3:$B609)/SUM($B$3:$B609))/STDEVA(W599:W609),"")</f>
        <v/>
      </c>
      <c r="AC609" s="84" t="str">
        <f>IF(S609&lt;&gt;"",(X609-SUMPRODUCT(S$3:S609,$B$3:$B609)/SUM($B$3:$B609))/STDEVA(X599:X609),"")</f>
        <v/>
      </c>
      <c r="AD609" s="84" t="str">
        <f>IF(T609&lt;&gt;"",(Y609-SUMPRODUCT(T$3:T609,$B$3:$B609)/SUM($B$3:$B609))/STDEVA(Y599:Y609),"")</f>
        <v/>
      </c>
      <c r="AE609" s="84" t="str">
        <f>IF(U609&lt;&gt;"",(Z609-SUMPRODUCT(U$3:U609,$B$3:$B609)/SUM($B$3:$B609))/STDEVA(Z599:Z609),"")</f>
        <v/>
      </c>
      <c r="AF609" s="85" t="str">
        <f>IF(V609&lt;&gt;"",(AA609-SUMPRODUCT(V$3:V609,$B$3:$B609)/SUM($B$3:$B609))/STDEVA(AA599:AA609),"")</f>
        <v/>
      </c>
      <c r="AG609" s="90" t="str">
        <f t="shared" si="254"/>
        <v/>
      </c>
      <c r="AH609" s="90" t="str">
        <f t="shared" si="254"/>
        <v/>
      </c>
      <c r="AI609" s="90" t="str">
        <f t="shared" si="254"/>
        <v/>
      </c>
      <c r="AJ609" s="90" t="str">
        <f t="shared" si="254"/>
        <v/>
      </c>
      <c r="AK609" s="93" t="str">
        <f t="shared" si="255"/>
        <v/>
      </c>
      <c r="BQ609" s="100" t="str">
        <f>IF(A609&lt;&gt;"",(VLOOKUP(A609,MarketData!$D:$BP,MATCH($BQ$1,MarketData!$D$1:$EG$1,0),TRUE)/100/365+1)^(B609)*BQ608,"")</f>
        <v/>
      </c>
      <c r="BR609" s="98" t="str">
        <f t="shared" si="232"/>
        <v/>
      </c>
      <c r="BS609" s="106" t="str">
        <f>IF(A609&lt;&gt;"",VLOOKUP(A609,MarketData!$D:$BP,MATCH($BS$1,MarketData!$D$1:$EG$1,0),TRUE),"")</f>
        <v/>
      </c>
      <c r="BT609" s="98" t="str">
        <f t="shared" si="243"/>
        <v/>
      </c>
    </row>
    <row r="610" spans="2:72" x14ac:dyDescent="0.25">
      <c r="B610" s="60" t="str">
        <f t="shared" si="256"/>
        <v/>
      </c>
      <c r="C610" s="3" t="str">
        <f t="shared" si="233"/>
        <v/>
      </c>
      <c r="D610" s="3" t="str">
        <f t="shared" si="234"/>
        <v/>
      </c>
      <c r="E610" s="3" t="str">
        <f t="shared" si="235"/>
        <v/>
      </c>
      <c r="F610" s="3" t="str">
        <f t="shared" si="236"/>
        <v/>
      </c>
      <c r="G610" s="74" t="str">
        <f t="shared" si="237"/>
        <v/>
      </c>
      <c r="H610" s="78" t="str">
        <f>IFERROR(C610/SUM(M$2:M609),"")</f>
        <v/>
      </c>
      <c r="I610" s="61" t="str">
        <f>IFERROR(D610/SUM(N$2:N610),"")</f>
        <v/>
      </c>
      <c r="J610" s="61" t="str">
        <f>IFERROR(E610/SUM(O$2:O610),"")</f>
        <v/>
      </c>
      <c r="K610" s="61" t="str">
        <f>IFERROR(F610/SUM(P$2:P610),"")</f>
        <v/>
      </c>
      <c r="L610" s="79" t="str">
        <f>IFERROR(G610/SUM(Q$2:Q610),"")</f>
        <v/>
      </c>
      <c r="M610" s="64" t="str">
        <f t="shared" si="238"/>
        <v/>
      </c>
      <c r="N610" s="55" t="str">
        <f t="shared" si="239"/>
        <v/>
      </c>
      <c r="O610" s="55" t="str">
        <f t="shared" si="240"/>
        <v/>
      </c>
      <c r="P610" s="55" t="str">
        <f t="shared" si="241"/>
        <v/>
      </c>
      <c r="Q610" s="65" t="str">
        <f t="shared" si="242"/>
        <v/>
      </c>
      <c r="R610" s="67" t="str">
        <f t="shared" si="244"/>
        <v/>
      </c>
      <c r="S610" s="56" t="str">
        <f t="shared" si="245"/>
        <v/>
      </c>
      <c r="T610" s="56" t="str">
        <f t="shared" si="246"/>
        <v/>
      </c>
      <c r="U610" s="56" t="str">
        <f t="shared" si="247"/>
        <v/>
      </c>
      <c r="V610" s="68" t="str">
        <f t="shared" si="248"/>
        <v/>
      </c>
      <c r="W610" s="80" t="str">
        <f t="shared" si="249"/>
        <v/>
      </c>
      <c r="X610" s="81" t="str">
        <f t="shared" si="250"/>
        <v/>
      </c>
      <c r="Y610" s="81" t="str">
        <f t="shared" si="251"/>
        <v/>
      </c>
      <c r="Z610" s="81" t="str">
        <f t="shared" si="252"/>
        <v/>
      </c>
      <c r="AA610" s="82" t="str">
        <f t="shared" si="253"/>
        <v/>
      </c>
      <c r="AB610" s="83" t="str">
        <f>IF(R610&lt;&gt;"",(W610-SUMPRODUCT(R$3:R610,$B$3:$B610)/SUM($B$3:$B610))/STDEVA(W600:W610),"")</f>
        <v/>
      </c>
      <c r="AC610" s="84" t="str">
        <f>IF(S610&lt;&gt;"",(X610-SUMPRODUCT(S$3:S610,$B$3:$B610)/SUM($B$3:$B610))/STDEVA(X600:X610),"")</f>
        <v/>
      </c>
      <c r="AD610" s="84" t="str">
        <f>IF(T610&lt;&gt;"",(Y610-SUMPRODUCT(T$3:T610,$B$3:$B610)/SUM($B$3:$B610))/STDEVA(Y600:Y610),"")</f>
        <v/>
      </c>
      <c r="AE610" s="84" t="str">
        <f>IF(U610&lt;&gt;"",(Z610-SUMPRODUCT(U$3:U610,$B$3:$B610)/SUM($B$3:$B610))/STDEVA(Z600:Z610),"")</f>
        <v/>
      </c>
      <c r="AF610" s="85" t="str">
        <f>IF(V610&lt;&gt;"",(AA610-SUMPRODUCT(V$3:V610,$B$3:$B610)/SUM($B$3:$B610))/STDEVA(AA600:AA610),"")</f>
        <v/>
      </c>
      <c r="AG610" s="90" t="str">
        <f t="shared" si="254"/>
        <v/>
      </c>
      <c r="AH610" s="90" t="str">
        <f t="shared" si="254"/>
        <v/>
      </c>
      <c r="AI610" s="90" t="str">
        <f t="shared" si="254"/>
        <v/>
      </c>
      <c r="AJ610" s="90" t="str">
        <f t="shared" si="254"/>
        <v/>
      </c>
      <c r="AK610" s="93" t="str">
        <f t="shared" si="255"/>
        <v/>
      </c>
      <c r="BQ610" s="100" t="str">
        <f>IF(A610&lt;&gt;"",(VLOOKUP(A610,MarketData!$D:$BP,MATCH($BQ$1,MarketData!$D$1:$EG$1,0),TRUE)/100/365+1)^(B610)*BQ609,"")</f>
        <v/>
      </c>
      <c r="BR610" s="98" t="str">
        <f t="shared" si="232"/>
        <v/>
      </c>
      <c r="BS610" s="106" t="str">
        <f>IF(A610&lt;&gt;"",VLOOKUP(A610,MarketData!$D:$BP,MATCH($BS$1,MarketData!$D$1:$EG$1,0),TRUE),"")</f>
        <v/>
      </c>
      <c r="BT610" s="98" t="str">
        <f t="shared" si="243"/>
        <v/>
      </c>
    </row>
    <row r="611" spans="2:72" x14ac:dyDescent="0.25">
      <c r="B611" s="60" t="str">
        <f t="shared" si="256"/>
        <v/>
      </c>
      <c r="C611" s="3" t="str">
        <f t="shared" si="233"/>
        <v/>
      </c>
      <c r="D611" s="3" t="str">
        <f t="shared" si="234"/>
        <v/>
      </c>
      <c r="E611" s="3" t="str">
        <f t="shared" si="235"/>
        <v/>
      </c>
      <c r="F611" s="3" t="str">
        <f t="shared" si="236"/>
        <v/>
      </c>
      <c r="G611" s="74" t="str">
        <f t="shared" si="237"/>
        <v/>
      </c>
      <c r="H611" s="78" t="str">
        <f>IFERROR(C611/SUM(M$2:M610),"")</f>
        <v/>
      </c>
      <c r="I611" s="61" t="str">
        <f>IFERROR(D611/SUM(N$2:N611),"")</f>
        <v/>
      </c>
      <c r="J611" s="61" t="str">
        <f>IFERROR(E611/SUM(O$2:O611),"")</f>
        <v/>
      </c>
      <c r="K611" s="61" t="str">
        <f>IFERROR(F611/SUM(P$2:P611),"")</f>
        <v/>
      </c>
      <c r="L611" s="79" t="str">
        <f>IFERROR(G611/SUM(Q$2:Q611),"")</f>
        <v/>
      </c>
      <c r="M611" s="64" t="str">
        <f t="shared" si="238"/>
        <v/>
      </c>
      <c r="N611" s="55" t="str">
        <f t="shared" si="239"/>
        <v/>
      </c>
      <c r="O611" s="55" t="str">
        <f t="shared" si="240"/>
        <v/>
      </c>
      <c r="P611" s="55" t="str">
        <f t="shared" si="241"/>
        <v/>
      </c>
      <c r="Q611" s="65" t="str">
        <f t="shared" si="242"/>
        <v/>
      </c>
      <c r="R611" s="67" t="str">
        <f t="shared" si="244"/>
        <v/>
      </c>
      <c r="S611" s="56" t="str">
        <f t="shared" si="245"/>
        <v/>
      </c>
      <c r="T611" s="56" t="str">
        <f t="shared" si="246"/>
        <v/>
      </c>
      <c r="U611" s="56" t="str">
        <f t="shared" si="247"/>
        <v/>
      </c>
      <c r="V611" s="68" t="str">
        <f t="shared" si="248"/>
        <v/>
      </c>
      <c r="W611" s="80" t="str">
        <f t="shared" si="249"/>
        <v/>
      </c>
      <c r="X611" s="81" t="str">
        <f t="shared" si="250"/>
        <v/>
      </c>
      <c r="Y611" s="81" t="str">
        <f t="shared" si="251"/>
        <v/>
      </c>
      <c r="Z611" s="81" t="str">
        <f t="shared" si="252"/>
        <v/>
      </c>
      <c r="AA611" s="82" t="str">
        <f t="shared" si="253"/>
        <v/>
      </c>
      <c r="AB611" s="83" t="str">
        <f>IF(R611&lt;&gt;"",(W611-SUMPRODUCT(R$3:R611,$B$3:$B611)/SUM($B$3:$B611))/STDEVA(W601:W611),"")</f>
        <v/>
      </c>
      <c r="AC611" s="84" t="str">
        <f>IF(S611&lt;&gt;"",(X611-SUMPRODUCT(S$3:S611,$B$3:$B611)/SUM($B$3:$B611))/STDEVA(X601:X611),"")</f>
        <v/>
      </c>
      <c r="AD611" s="84" t="str">
        <f>IF(T611&lt;&gt;"",(Y611-SUMPRODUCT(T$3:T611,$B$3:$B611)/SUM($B$3:$B611))/STDEVA(Y601:Y611),"")</f>
        <v/>
      </c>
      <c r="AE611" s="84" t="str">
        <f>IF(U611&lt;&gt;"",(Z611-SUMPRODUCT(U$3:U611,$B$3:$B611)/SUM($B$3:$B611))/STDEVA(Z601:Z611),"")</f>
        <v/>
      </c>
      <c r="AF611" s="85" t="str">
        <f>IF(V611&lt;&gt;"",(AA611-SUMPRODUCT(V$3:V611,$B$3:$B611)/SUM($B$3:$B611))/STDEVA(AA601:AA611),"")</f>
        <v/>
      </c>
      <c r="AG611" s="90" t="str">
        <f t="shared" si="254"/>
        <v/>
      </c>
      <c r="AH611" s="90" t="str">
        <f t="shared" si="254"/>
        <v/>
      </c>
      <c r="AI611" s="90" t="str">
        <f t="shared" si="254"/>
        <v/>
      </c>
      <c r="AJ611" s="90" t="str">
        <f t="shared" si="254"/>
        <v/>
      </c>
      <c r="AK611" s="93" t="str">
        <f t="shared" si="255"/>
        <v/>
      </c>
      <c r="BQ611" s="100" t="str">
        <f>IF(A611&lt;&gt;"",(VLOOKUP(A611,MarketData!$D:$BP,MATCH($BQ$1,MarketData!$D$1:$EG$1,0),TRUE)/100/365+1)^(B611)*BQ610,"")</f>
        <v/>
      </c>
      <c r="BR611" s="98" t="str">
        <f t="shared" si="232"/>
        <v/>
      </c>
      <c r="BS611" s="106" t="str">
        <f>IF(A611&lt;&gt;"",VLOOKUP(A611,MarketData!$D:$BP,MATCH($BS$1,MarketData!$D$1:$EG$1,0),TRUE),"")</f>
        <v/>
      </c>
      <c r="BT611" s="98" t="str">
        <f t="shared" si="243"/>
        <v/>
      </c>
    </row>
    <row r="612" spans="2:72" x14ac:dyDescent="0.25">
      <c r="B612" s="60" t="str">
        <f t="shared" si="256"/>
        <v/>
      </c>
      <c r="C612" s="3" t="str">
        <f t="shared" si="233"/>
        <v/>
      </c>
      <c r="D612" s="3" t="str">
        <f t="shared" si="234"/>
        <v/>
      </c>
      <c r="E612" s="3" t="str">
        <f t="shared" si="235"/>
        <v/>
      </c>
      <c r="F612" s="3" t="str">
        <f t="shared" si="236"/>
        <v/>
      </c>
      <c r="G612" s="74" t="str">
        <f t="shared" si="237"/>
        <v/>
      </c>
      <c r="H612" s="78" t="str">
        <f>IFERROR(C612/SUM(M$2:M611),"")</f>
        <v/>
      </c>
      <c r="I612" s="61" t="str">
        <f>IFERROR(D612/SUM(N$2:N612),"")</f>
        <v/>
      </c>
      <c r="J612" s="61" t="str">
        <f>IFERROR(E612/SUM(O$2:O612),"")</f>
        <v/>
      </c>
      <c r="K612" s="61" t="str">
        <f>IFERROR(F612/SUM(P$2:P612),"")</f>
        <v/>
      </c>
      <c r="L612" s="79" t="str">
        <f>IFERROR(G612/SUM(Q$2:Q612),"")</f>
        <v/>
      </c>
      <c r="M612" s="64" t="str">
        <f t="shared" si="238"/>
        <v/>
      </c>
      <c r="N612" s="55" t="str">
        <f t="shared" si="239"/>
        <v/>
      </c>
      <c r="O612" s="55" t="str">
        <f t="shared" si="240"/>
        <v/>
      </c>
      <c r="P612" s="55" t="str">
        <f t="shared" si="241"/>
        <v/>
      </c>
      <c r="Q612" s="65" t="str">
        <f t="shared" si="242"/>
        <v/>
      </c>
      <c r="R612" s="67" t="str">
        <f t="shared" si="244"/>
        <v/>
      </c>
      <c r="S612" s="56" t="str">
        <f t="shared" si="245"/>
        <v/>
      </c>
      <c r="T612" s="56" t="str">
        <f t="shared" si="246"/>
        <v/>
      </c>
      <c r="U612" s="56" t="str">
        <f t="shared" si="247"/>
        <v/>
      </c>
      <c r="V612" s="68" t="str">
        <f t="shared" si="248"/>
        <v/>
      </c>
      <c r="W612" s="80" t="str">
        <f t="shared" si="249"/>
        <v/>
      </c>
      <c r="X612" s="81" t="str">
        <f t="shared" si="250"/>
        <v/>
      </c>
      <c r="Y612" s="81" t="str">
        <f t="shared" si="251"/>
        <v/>
      </c>
      <c r="Z612" s="81" t="str">
        <f t="shared" si="252"/>
        <v/>
      </c>
      <c r="AA612" s="82" t="str">
        <f t="shared" si="253"/>
        <v/>
      </c>
      <c r="AB612" s="83" t="str">
        <f>IF(R612&lt;&gt;"",(W612-SUMPRODUCT(R$3:R612,$B$3:$B612)/SUM($B$3:$B612))/STDEVA(W602:W612),"")</f>
        <v/>
      </c>
      <c r="AC612" s="84" t="str">
        <f>IF(S612&lt;&gt;"",(X612-SUMPRODUCT(S$3:S612,$B$3:$B612)/SUM($B$3:$B612))/STDEVA(X602:X612),"")</f>
        <v/>
      </c>
      <c r="AD612" s="84" t="str">
        <f>IF(T612&lt;&gt;"",(Y612-SUMPRODUCT(T$3:T612,$B$3:$B612)/SUM($B$3:$B612))/STDEVA(Y602:Y612),"")</f>
        <v/>
      </c>
      <c r="AE612" s="84" t="str">
        <f>IF(U612&lt;&gt;"",(Z612-SUMPRODUCT(U$3:U612,$B$3:$B612)/SUM($B$3:$B612))/STDEVA(Z602:Z612),"")</f>
        <v/>
      </c>
      <c r="AF612" s="85" t="str">
        <f>IF(V612&lt;&gt;"",(AA612-SUMPRODUCT(V$3:V612,$B$3:$B612)/SUM($B$3:$B612))/STDEVA(AA602:AA612),"")</f>
        <v/>
      </c>
      <c r="AG612" s="90" t="str">
        <f t="shared" si="254"/>
        <v/>
      </c>
      <c r="AH612" s="90" t="str">
        <f t="shared" si="254"/>
        <v/>
      </c>
      <c r="AI612" s="90" t="str">
        <f t="shared" si="254"/>
        <v/>
      </c>
      <c r="AJ612" s="90" t="str">
        <f t="shared" si="254"/>
        <v/>
      </c>
      <c r="AK612" s="93" t="str">
        <f t="shared" si="255"/>
        <v/>
      </c>
      <c r="BQ612" s="100" t="str">
        <f>IF(A612&lt;&gt;"",(VLOOKUP(A612,MarketData!$D:$BP,MATCH($BQ$1,MarketData!$D$1:$EG$1,0),TRUE)/100/365+1)^(B612)*BQ611,"")</f>
        <v/>
      </c>
      <c r="BR612" s="98" t="str">
        <f t="shared" si="232"/>
        <v/>
      </c>
      <c r="BS612" s="106" t="str">
        <f>IF(A612&lt;&gt;"",VLOOKUP(A612,MarketData!$D:$BP,MATCH($BS$1,MarketData!$D$1:$EG$1,0),TRUE),"")</f>
        <v/>
      </c>
      <c r="BT612" s="98" t="str">
        <f t="shared" si="243"/>
        <v/>
      </c>
    </row>
    <row r="613" spans="2:72" x14ac:dyDescent="0.25">
      <c r="B613" s="60" t="str">
        <f t="shared" si="256"/>
        <v/>
      </c>
      <c r="C613" s="3" t="str">
        <f t="shared" si="233"/>
        <v/>
      </c>
      <c r="D613" s="3" t="str">
        <f t="shared" si="234"/>
        <v/>
      </c>
      <c r="E613" s="3" t="str">
        <f t="shared" si="235"/>
        <v/>
      </c>
      <c r="F613" s="3" t="str">
        <f t="shared" si="236"/>
        <v/>
      </c>
      <c r="G613" s="74" t="str">
        <f t="shared" si="237"/>
        <v/>
      </c>
      <c r="H613" s="78" t="str">
        <f>IFERROR(C613/SUM(M$2:M612),"")</f>
        <v/>
      </c>
      <c r="I613" s="61" t="str">
        <f>IFERROR(D613/SUM(N$2:N613),"")</f>
        <v/>
      </c>
      <c r="J613" s="61" t="str">
        <f>IFERROR(E613/SUM(O$2:O613),"")</f>
        <v/>
      </c>
      <c r="K613" s="61" t="str">
        <f>IFERROR(F613/SUM(P$2:P613),"")</f>
        <v/>
      </c>
      <c r="L613" s="79" t="str">
        <f>IFERROR(G613/SUM(Q$2:Q613),"")</f>
        <v/>
      </c>
      <c r="M613" s="64" t="str">
        <f t="shared" si="238"/>
        <v/>
      </c>
      <c r="N613" s="55" t="str">
        <f t="shared" si="239"/>
        <v/>
      </c>
      <c r="O613" s="55" t="str">
        <f t="shared" si="240"/>
        <v/>
      </c>
      <c r="P613" s="55" t="str">
        <f t="shared" si="241"/>
        <v/>
      </c>
      <c r="Q613" s="65" t="str">
        <f t="shared" si="242"/>
        <v/>
      </c>
      <c r="R613" s="67" t="str">
        <f t="shared" si="244"/>
        <v/>
      </c>
      <c r="S613" s="56" t="str">
        <f t="shared" si="245"/>
        <v/>
      </c>
      <c r="T613" s="56" t="str">
        <f t="shared" si="246"/>
        <v/>
      </c>
      <c r="U613" s="56" t="str">
        <f t="shared" si="247"/>
        <v/>
      </c>
      <c r="V613" s="68" t="str">
        <f t="shared" si="248"/>
        <v/>
      </c>
      <c r="W613" s="80" t="str">
        <f t="shared" si="249"/>
        <v/>
      </c>
      <c r="X613" s="81" t="str">
        <f t="shared" si="250"/>
        <v/>
      </c>
      <c r="Y613" s="81" t="str">
        <f t="shared" si="251"/>
        <v/>
      </c>
      <c r="Z613" s="81" t="str">
        <f t="shared" si="252"/>
        <v/>
      </c>
      <c r="AA613" s="82" t="str">
        <f t="shared" si="253"/>
        <v/>
      </c>
      <c r="AB613" s="83" t="str">
        <f>IF(R613&lt;&gt;"",(W613-SUMPRODUCT(R$3:R613,$B$3:$B613)/SUM($B$3:$B613))/STDEVA(W603:W613),"")</f>
        <v/>
      </c>
      <c r="AC613" s="84" t="str">
        <f>IF(S613&lt;&gt;"",(X613-SUMPRODUCT(S$3:S613,$B$3:$B613)/SUM($B$3:$B613))/STDEVA(X603:X613),"")</f>
        <v/>
      </c>
      <c r="AD613" s="84" t="str">
        <f>IF(T613&lt;&gt;"",(Y613-SUMPRODUCT(T$3:T613,$B$3:$B613)/SUM($B$3:$B613))/STDEVA(Y603:Y613),"")</f>
        <v/>
      </c>
      <c r="AE613" s="84" t="str">
        <f>IF(U613&lt;&gt;"",(Z613-SUMPRODUCT(U$3:U613,$B$3:$B613)/SUM($B$3:$B613))/STDEVA(Z603:Z613),"")</f>
        <v/>
      </c>
      <c r="AF613" s="85" t="str">
        <f>IF(V613&lt;&gt;"",(AA613-SUMPRODUCT(V$3:V613,$B$3:$B613)/SUM($B$3:$B613))/STDEVA(AA603:AA613),"")</f>
        <v/>
      </c>
      <c r="AG613" s="90" t="str">
        <f t="shared" si="254"/>
        <v/>
      </c>
      <c r="AH613" s="90" t="str">
        <f t="shared" si="254"/>
        <v/>
      </c>
      <c r="AI613" s="90" t="str">
        <f t="shared" si="254"/>
        <v/>
      </c>
      <c r="AJ613" s="90" t="str">
        <f t="shared" si="254"/>
        <v/>
      </c>
      <c r="AK613" s="93" t="str">
        <f t="shared" si="255"/>
        <v/>
      </c>
      <c r="BQ613" s="100" t="str">
        <f>IF(A613&lt;&gt;"",(VLOOKUP(A613,MarketData!$D:$BP,MATCH($BQ$1,MarketData!$D$1:$EG$1,0),TRUE)/100/365+1)^(B613)*BQ612,"")</f>
        <v/>
      </c>
      <c r="BR613" s="98" t="str">
        <f t="shared" si="232"/>
        <v/>
      </c>
      <c r="BS613" s="106" t="str">
        <f>IF(A613&lt;&gt;"",VLOOKUP(A613,MarketData!$D:$BP,MATCH($BS$1,MarketData!$D$1:$EG$1,0),TRUE),"")</f>
        <v/>
      </c>
      <c r="BT613" s="98" t="str">
        <f t="shared" si="243"/>
        <v/>
      </c>
    </row>
    <row r="614" spans="2:72" x14ac:dyDescent="0.25">
      <c r="B614" s="60" t="str">
        <f t="shared" si="256"/>
        <v/>
      </c>
      <c r="C614" s="3" t="str">
        <f t="shared" si="233"/>
        <v/>
      </c>
      <c r="D614" s="3" t="str">
        <f t="shared" si="234"/>
        <v/>
      </c>
      <c r="E614" s="3" t="str">
        <f t="shared" si="235"/>
        <v/>
      </c>
      <c r="F614" s="3" t="str">
        <f t="shared" si="236"/>
        <v/>
      </c>
      <c r="G614" s="74" t="str">
        <f t="shared" si="237"/>
        <v/>
      </c>
      <c r="H614" s="78" t="str">
        <f>IFERROR(C614/SUM(M$2:M613),"")</f>
        <v/>
      </c>
      <c r="I614" s="61" t="str">
        <f>IFERROR(D614/SUM(N$2:N614),"")</f>
        <v/>
      </c>
      <c r="J614" s="61" t="str">
        <f>IFERROR(E614/SUM(O$2:O614),"")</f>
        <v/>
      </c>
      <c r="K614" s="61" t="str">
        <f>IFERROR(F614/SUM(P$2:P614),"")</f>
        <v/>
      </c>
      <c r="L614" s="79" t="str">
        <f>IFERROR(G614/SUM(Q$2:Q614),"")</f>
        <v/>
      </c>
      <c r="M614" s="64" t="str">
        <f t="shared" si="238"/>
        <v/>
      </c>
      <c r="N614" s="55" t="str">
        <f t="shared" si="239"/>
        <v/>
      </c>
      <c r="O614" s="55" t="str">
        <f t="shared" si="240"/>
        <v/>
      </c>
      <c r="P614" s="55" t="str">
        <f t="shared" si="241"/>
        <v/>
      </c>
      <c r="Q614" s="65" t="str">
        <f t="shared" si="242"/>
        <v/>
      </c>
      <c r="R614" s="67" t="str">
        <f t="shared" si="244"/>
        <v/>
      </c>
      <c r="S614" s="56" t="str">
        <f t="shared" si="245"/>
        <v/>
      </c>
      <c r="T614" s="56" t="str">
        <f t="shared" si="246"/>
        <v/>
      </c>
      <c r="U614" s="56" t="str">
        <f t="shared" si="247"/>
        <v/>
      </c>
      <c r="V614" s="68" t="str">
        <f t="shared" si="248"/>
        <v/>
      </c>
      <c r="W614" s="80" t="str">
        <f t="shared" si="249"/>
        <v/>
      </c>
      <c r="X614" s="81" t="str">
        <f t="shared" si="250"/>
        <v/>
      </c>
      <c r="Y614" s="81" t="str">
        <f t="shared" si="251"/>
        <v/>
      </c>
      <c r="Z614" s="81" t="str">
        <f t="shared" si="252"/>
        <v/>
      </c>
      <c r="AA614" s="82" t="str">
        <f t="shared" si="253"/>
        <v/>
      </c>
      <c r="AB614" s="83" t="str">
        <f>IF(R614&lt;&gt;"",(W614-SUMPRODUCT(R$3:R614,$B$3:$B614)/SUM($B$3:$B614))/STDEVA(W604:W614),"")</f>
        <v/>
      </c>
      <c r="AC614" s="84" t="str">
        <f>IF(S614&lt;&gt;"",(X614-SUMPRODUCT(S$3:S614,$B$3:$B614)/SUM($B$3:$B614))/STDEVA(X604:X614),"")</f>
        <v/>
      </c>
      <c r="AD614" s="84" t="str">
        <f>IF(T614&lt;&gt;"",(Y614-SUMPRODUCT(T$3:T614,$B$3:$B614)/SUM($B$3:$B614))/STDEVA(Y604:Y614),"")</f>
        <v/>
      </c>
      <c r="AE614" s="84" t="str">
        <f>IF(U614&lt;&gt;"",(Z614-SUMPRODUCT(U$3:U614,$B$3:$B614)/SUM($B$3:$B614))/STDEVA(Z604:Z614),"")</f>
        <v/>
      </c>
      <c r="AF614" s="85" t="str">
        <f>IF(V614&lt;&gt;"",(AA614-SUMPRODUCT(V$3:V614,$B$3:$B614)/SUM($B$3:$B614))/STDEVA(AA604:AA614),"")</f>
        <v/>
      </c>
      <c r="AG614" s="90" t="str">
        <f t="shared" si="254"/>
        <v/>
      </c>
      <c r="AH614" s="90" t="str">
        <f t="shared" si="254"/>
        <v/>
      </c>
      <c r="AI614" s="90" t="str">
        <f t="shared" si="254"/>
        <v/>
      </c>
      <c r="AJ614" s="90" t="str">
        <f t="shared" si="254"/>
        <v/>
      </c>
      <c r="AK614" s="93" t="str">
        <f t="shared" si="255"/>
        <v/>
      </c>
      <c r="BQ614" s="100" t="str">
        <f>IF(A614&lt;&gt;"",(VLOOKUP(A614,MarketData!$D:$BP,MATCH($BQ$1,MarketData!$D$1:$EG$1,0),TRUE)/100/365+1)^(B614)*BQ613,"")</f>
        <v/>
      </c>
      <c r="BR614" s="98" t="str">
        <f t="shared" si="232"/>
        <v/>
      </c>
      <c r="BS614" s="106" t="str">
        <f>IF(A614&lt;&gt;"",VLOOKUP(A614,MarketData!$D:$BP,MATCH($BS$1,MarketData!$D$1:$EG$1,0),TRUE),"")</f>
        <v/>
      </c>
      <c r="BT614" s="98" t="str">
        <f t="shared" si="243"/>
        <v/>
      </c>
    </row>
    <row r="615" spans="2:72" x14ac:dyDescent="0.25">
      <c r="B615" s="60" t="str">
        <f t="shared" si="256"/>
        <v/>
      </c>
      <c r="C615" s="3" t="str">
        <f t="shared" si="233"/>
        <v/>
      </c>
      <c r="D615" s="3" t="str">
        <f t="shared" si="234"/>
        <v/>
      </c>
      <c r="E615" s="3" t="str">
        <f t="shared" si="235"/>
        <v/>
      </c>
      <c r="F615" s="3" t="str">
        <f t="shared" si="236"/>
        <v/>
      </c>
      <c r="G615" s="74" t="str">
        <f t="shared" si="237"/>
        <v/>
      </c>
      <c r="H615" s="78" t="str">
        <f>IFERROR(C615/SUM(M$2:M614),"")</f>
        <v/>
      </c>
      <c r="I615" s="61" t="str">
        <f>IFERROR(D615/SUM(N$2:N615),"")</f>
        <v/>
      </c>
      <c r="J615" s="61" t="str">
        <f>IFERROR(E615/SUM(O$2:O615),"")</f>
        <v/>
      </c>
      <c r="K615" s="61" t="str">
        <f>IFERROR(F615/SUM(P$2:P615),"")</f>
        <v/>
      </c>
      <c r="L615" s="79" t="str">
        <f>IFERROR(G615/SUM(Q$2:Q615),"")</f>
        <v/>
      </c>
      <c r="M615" s="64" t="str">
        <f t="shared" si="238"/>
        <v/>
      </c>
      <c r="N615" s="55" t="str">
        <f t="shared" si="239"/>
        <v/>
      </c>
      <c r="O615" s="55" t="str">
        <f t="shared" si="240"/>
        <v/>
      </c>
      <c r="P615" s="55" t="str">
        <f t="shared" si="241"/>
        <v/>
      </c>
      <c r="Q615" s="65" t="str">
        <f t="shared" si="242"/>
        <v/>
      </c>
      <c r="R615" s="67" t="str">
        <f t="shared" si="244"/>
        <v/>
      </c>
      <c r="S615" s="56" t="str">
        <f t="shared" si="245"/>
        <v/>
      </c>
      <c r="T615" s="56" t="str">
        <f t="shared" si="246"/>
        <v/>
      </c>
      <c r="U615" s="56" t="str">
        <f t="shared" si="247"/>
        <v/>
      </c>
      <c r="V615" s="68" t="str">
        <f t="shared" si="248"/>
        <v/>
      </c>
      <c r="W615" s="80" t="str">
        <f t="shared" si="249"/>
        <v/>
      </c>
      <c r="X615" s="81" t="str">
        <f t="shared" si="250"/>
        <v/>
      </c>
      <c r="Y615" s="81" t="str">
        <f t="shared" si="251"/>
        <v/>
      </c>
      <c r="Z615" s="81" t="str">
        <f t="shared" si="252"/>
        <v/>
      </c>
      <c r="AA615" s="82" t="str">
        <f t="shared" si="253"/>
        <v/>
      </c>
      <c r="AB615" s="83" t="str">
        <f>IF(R615&lt;&gt;"",(W615-SUMPRODUCT(R$3:R615,$B$3:$B615)/SUM($B$3:$B615))/STDEVA(W605:W615),"")</f>
        <v/>
      </c>
      <c r="AC615" s="84" t="str">
        <f>IF(S615&lt;&gt;"",(X615-SUMPRODUCT(S$3:S615,$B$3:$B615)/SUM($B$3:$B615))/STDEVA(X605:X615),"")</f>
        <v/>
      </c>
      <c r="AD615" s="84" t="str">
        <f>IF(T615&lt;&gt;"",(Y615-SUMPRODUCT(T$3:T615,$B$3:$B615)/SUM($B$3:$B615))/STDEVA(Y605:Y615),"")</f>
        <v/>
      </c>
      <c r="AE615" s="84" t="str">
        <f>IF(U615&lt;&gt;"",(Z615-SUMPRODUCT(U$3:U615,$B$3:$B615)/SUM($B$3:$B615))/STDEVA(Z605:Z615),"")</f>
        <v/>
      </c>
      <c r="AF615" s="85" t="str">
        <f>IF(V615&lt;&gt;"",(AA615-SUMPRODUCT(V$3:V615,$B$3:$B615)/SUM($B$3:$B615))/STDEVA(AA605:AA615),"")</f>
        <v/>
      </c>
      <c r="AG615" s="90" t="str">
        <f t="shared" si="254"/>
        <v/>
      </c>
      <c r="AH615" s="90" t="str">
        <f t="shared" si="254"/>
        <v/>
      </c>
      <c r="AI615" s="90" t="str">
        <f t="shared" si="254"/>
        <v/>
      </c>
      <c r="AJ615" s="90" t="str">
        <f t="shared" si="254"/>
        <v/>
      </c>
      <c r="AK615" s="93" t="str">
        <f t="shared" si="255"/>
        <v/>
      </c>
      <c r="BQ615" s="100" t="str">
        <f>IF(A615&lt;&gt;"",(VLOOKUP(A615,MarketData!$D:$BP,MATCH($BQ$1,MarketData!$D$1:$EG$1,0),TRUE)/100/365+1)^(B615)*BQ614,"")</f>
        <v/>
      </c>
      <c r="BR615" s="98" t="str">
        <f t="shared" si="232"/>
        <v/>
      </c>
      <c r="BS615" s="106" t="str">
        <f>IF(A615&lt;&gt;"",VLOOKUP(A615,MarketData!$D:$BP,MATCH($BS$1,MarketData!$D$1:$EG$1,0),TRUE),"")</f>
        <v/>
      </c>
      <c r="BT615" s="98" t="str">
        <f t="shared" si="243"/>
        <v/>
      </c>
    </row>
    <row r="616" spans="2:72" x14ac:dyDescent="0.25">
      <c r="B616" s="60" t="str">
        <f t="shared" si="256"/>
        <v/>
      </c>
      <c r="C616" s="3" t="str">
        <f t="shared" si="233"/>
        <v/>
      </c>
      <c r="D616" s="3" t="str">
        <f t="shared" si="234"/>
        <v/>
      </c>
      <c r="E616" s="3" t="str">
        <f t="shared" si="235"/>
        <v/>
      </c>
      <c r="F616" s="3" t="str">
        <f t="shared" si="236"/>
        <v/>
      </c>
      <c r="G616" s="74" t="str">
        <f t="shared" si="237"/>
        <v/>
      </c>
      <c r="H616" s="78" t="str">
        <f>IFERROR(C616/SUM(M$2:M615),"")</f>
        <v/>
      </c>
      <c r="I616" s="61" t="str">
        <f>IFERROR(D616/SUM(N$2:N616),"")</f>
        <v/>
      </c>
      <c r="J616" s="61" t="str">
        <f>IFERROR(E616/SUM(O$2:O616),"")</f>
        <v/>
      </c>
      <c r="K616" s="61" t="str">
        <f>IFERROR(F616/SUM(P$2:P616),"")</f>
        <v/>
      </c>
      <c r="L616" s="79" t="str">
        <f>IFERROR(G616/SUM(Q$2:Q616),"")</f>
        <v/>
      </c>
      <c r="M616" s="64" t="str">
        <f t="shared" si="238"/>
        <v/>
      </c>
      <c r="N616" s="55" t="str">
        <f t="shared" si="239"/>
        <v/>
      </c>
      <c r="O616" s="55" t="str">
        <f t="shared" si="240"/>
        <v/>
      </c>
      <c r="P616" s="55" t="str">
        <f t="shared" si="241"/>
        <v/>
      </c>
      <c r="Q616" s="65" t="str">
        <f t="shared" si="242"/>
        <v/>
      </c>
      <c r="R616" s="67" t="str">
        <f t="shared" si="244"/>
        <v/>
      </c>
      <c r="S616" s="56" t="str">
        <f t="shared" si="245"/>
        <v/>
      </c>
      <c r="T616" s="56" t="str">
        <f t="shared" si="246"/>
        <v/>
      </c>
      <c r="U616" s="56" t="str">
        <f t="shared" si="247"/>
        <v/>
      </c>
      <c r="V616" s="68" t="str">
        <f t="shared" si="248"/>
        <v/>
      </c>
      <c r="W616" s="80" t="str">
        <f t="shared" si="249"/>
        <v/>
      </c>
      <c r="X616" s="81" t="str">
        <f t="shared" si="250"/>
        <v/>
      </c>
      <c r="Y616" s="81" t="str">
        <f t="shared" si="251"/>
        <v/>
      </c>
      <c r="Z616" s="81" t="str">
        <f t="shared" si="252"/>
        <v/>
      </c>
      <c r="AA616" s="82" t="str">
        <f t="shared" si="253"/>
        <v/>
      </c>
      <c r="AB616" s="83" t="str">
        <f>IF(R616&lt;&gt;"",(W616-SUMPRODUCT(R$3:R616,$B$3:$B616)/SUM($B$3:$B616))/STDEVA(W606:W616),"")</f>
        <v/>
      </c>
      <c r="AC616" s="84" t="str">
        <f>IF(S616&lt;&gt;"",(X616-SUMPRODUCT(S$3:S616,$B$3:$B616)/SUM($B$3:$B616))/STDEVA(X606:X616),"")</f>
        <v/>
      </c>
      <c r="AD616" s="84" t="str">
        <f>IF(T616&lt;&gt;"",(Y616-SUMPRODUCT(T$3:T616,$B$3:$B616)/SUM($B$3:$B616))/STDEVA(Y606:Y616),"")</f>
        <v/>
      </c>
      <c r="AE616" s="84" t="str">
        <f>IF(U616&lt;&gt;"",(Z616-SUMPRODUCT(U$3:U616,$B$3:$B616)/SUM($B$3:$B616))/STDEVA(Z606:Z616),"")</f>
        <v/>
      </c>
      <c r="AF616" s="85" t="str">
        <f>IF(V616&lt;&gt;"",(AA616-SUMPRODUCT(V$3:V616,$B$3:$B616)/SUM($B$3:$B616))/STDEVA(AA606:AA616),"")</f>
        <v/>
      </c>
      <c r="AG616" s="90" t="str">
        <f t="shared" si="254"/>
        <v/>
      </c>
      <c r="AH616" s="90" t="str">
        <f t="shared" si="254"/>
        <v/>
      </c>
      <c r="AI616" s="90" t="str">
        <f t="shared" si="254"/>
        <v/>
      </c>
      <c r="AJ616" s="90" t="str">
        <f t="shared" si="254"/>
        <v/>
      </c>
      <c r="AK616" s="93" t="str">
        <f t="shared" si="255"/>
        <v/>
      </c>
      <c r="BQ616" s="100" t="str">
        <f>IF(A616&lt;&gt;"",(VLOOKUP(A616,MarketData!$D:$BP,MATCH($BQ$1,MarketData!$D$1:$EG$1,0),TRUE)/100/365+1)^(B616)*BQ615,"")</f>
        <v/>
      </c>
      <c r="BR616" s="98" t="str">
        <f t="shared" si="232"/>
        <v/>
      </c>
      <c r="BS616" s="106" t="str">
        <f>IF(A616&lt;&gt;"",VLOOKUP(A616,MarketData!$D:$BP,MATCH($BS$1,MarketData!$D$1:$EG$1,0),TRUE),"")</f>
        <v/>
      </c>
      <c r="BT616" s="98" t="str">
        <f t="shared" si="243"/>
        <v/>
      </c>
    </row>
    <row r="617" spans="2:72" x14ac:dyDescent="0.25">
      <c r="B617" s="60" t="str">
        <f t="shared" si="256"/>
        <v/>
      </c>
      <c r="C617" s="3" t="str">
        <f t="shared" si="233"/>
        <v/>
      </c>
      <c r="D617" s="3" t="str">
        <f t="shared" si="234"/>
        <v/>
      </c>
      <c r="E617" s="3" t="str">
        <f t="shared" si="235"/>
        <v/>
      </c>
      <c r="F617" s="3" t="str">
        <f t="shared" si="236"/>
        <v/>
      </c>
      <c r="G617" s="74" t="str">
        <f t="shared" si="237"/>
        <v/>
      </c>
      <c r="H617" s="78" t="str">
        <f>IFERROR(C617/SUM(M$2:M616),"")</f>
        <v/>
      </c>
      <c r="I617" s="61" t="str">
        <f>IFERROR(D617/SUM(N$2:N617),"")</f>
        <v/>
      </c>
      <c r="J617" s="61" t="str">
        <f>IFERROR(E617/SUM(O$2:O617),"")</f>
        <v/>
      </c>
      <c r="K617" s="61" t="str">
        <f>IFERROR(F617/SUM(P$2:P617),"")</f>
        <v/>
      </c>
      <c r="L617" s="79" t="str">
        <f>IFERROR(G617/SUM(Q$2:Q617),"")</f>
        <v/>
      </c>
      <c r="M617" s="64" t="str">
        <f t="shared" si="238"/>
        <v/>
      </c>
      <c r="N617" s="55" t="str">
        <f t="shared" si="239"/>
        <v/>
      </c>
      <c r="O617" s="55" t="str">
        <f t="shared" si="240"/>
        <v/>
      </c>
      <c r="P617" s="55" t="str">
        <f t="shared" si="241"/>
        <v/>
      </c>
      <c r="Q617" s="65" t="str">
        <f t="shared" si="242"/>
        <v/>
      </c>
      <c r="R617" s="67" t="str">
        <f t="shared" si="244"/>
        <v/>
      </c>
      <c r="S617" s="56" t="str">
        <f t="shared" si="245"/>
        <v/>
      </c>
      <c r="T617" s="56" t="str">
        <f t="shared" si="246"/>
        <v/>
      </c>
      <c r="U617" s="56" t="str">
        <f t="shared" si="247"/>
        <v/>
      </c>
      <c r="V617" s="68" t="str">
        <f t="shared" si="248"/>
        <v/>
      </c>
      <c r="W617" s="80" t="str">
        <f t="shared" si="249"/>
        <v/>
      </c>
      <c r="X617" s="81" t="str">
        <f t="shared" si="250"/>
        <v/>
      </c>
      <c r="Y617" s="81" t="str">
        <f t="shared" si="251"/>
        <v/>
      </c>
      <c r="Z617" s="81" t="str">
        <f t="shared" si="252"/>
        <v/>
      </c>
      <c r="AA617" s="82" t="str">
        <f t="shared" si="253"/>
        <v/>
      </c>
      <c r="AB617" s="83" t="str">
        <f>IF(R617&lt;&gt;"",(W617-SUMPRODUCT(R$3:R617,$B$3:$B617)/SUM($B$3:$B617))/STDEVA(W607:W617),"")</f>
        <v/>
      </c>
      <c r="AC617" s="84" t="str">
        <f>IF(S617&lt;&gt;"",(X617-SUMPRODUCT(S$3:S617,$B$3:$B617)/SUM($B$3:$B617))/STDEVA(X607:X617),"")</f>
        <v/>
      </c>
      <c r="AD617" s="84" t="str">
        <f>IF(T617&lt;&gt;"",(Y617-SUMPRODUCT(T$3:T617,$B$3:$B617)/SUM($B$3:$B617))/STDEVA(Y607:Y617),"")</f>
        <v/>
      </c>
      <c r="AE617" s="84" t="str">
        <f>IF(U617&lt;&gt;"",(Z617-SUMPRODUCT(U$3:U617,$B$3:$B617)/SUM($B$3:$B617))/STDEVA(Z607:Z617),"")</f>
        <v/>
      </c>
      <c r="AF617" s="85" t="str">
        <f>IF(V617&lt;&gt;"",(AA617-SUMPRODUCT(V$3:V617,$B$3:$B617)/SUM($B$3:$B617))/STDEVA(AA607:AA617),"")</f>
        <v/>
      </c>
      <c r="AG617" s="90" t="str">
        <f t="shared" si="254"/>
        <v/>
      </c>
      <c r="AH617" s="90" t="str">
        <f t="shared" si="254"/>
        <v/>
      </c>
      <c r="AI617" s="90" t="str">
        <f t="shared" si="254"/>
        <v/>
      </c>
      <c r="AJ617" s="90" t="str">
        <f t="shared" si="254"/>
        <v/>
      </c>
      <c r="AK617" s="93" t="str">
        <f t="shared" si="255"/>
        <v/>
      </c>
      <c r="BQ617" s="100" t="str">
        <f>IF(A617&lt;&gt;"",(VLOOKUP(A617,MarketData!$D:$BP,MATCH($BQ$1,MarketData!$D$1:$EG$1,0),TRUE)/100/365+1)^(B617)*BQ616,"")</f>
        <v/>
      </c>
      <c r="BR617" s="98" t="str">
        <f t="shared" si="232"/>
        <v/>
      </c>
      <c r="BS617" s="106" t="str">
        <f>IF(A617&lt;&gt;"",VLOOKUP(A617,MarketData!$D:$BP,MATCH($BS$1,MarketData!$D$1:$EG$1,0),TRUE),"")</f>
        <v/>
      </c>
      <c r="BT617" s="98" t="str">
        <f t="shared" si="243"/>
        <v/>
      </c>
    </row>
    <row r="618" spans="2:72" x14ac:dyDescent="0.25">
      <c r="B618" s="60" t="str">
        <f t="shared" si="256"/>
        <v/>
      </c>
      <c r="C618" s="3" t="str">
        <f t="shared" si="233"/>
        <v/>
      </c>
      <c r="D618" s="3" t="str">
        <f t="shared" si="234"/>
        <v/>
      </c>
      <c r="E618" s="3" t="str">
        <f t="shared" si="235"/>
        <v/>
      </c>
      <c r="F618" s="3" t="str">
        <f t="shared" si="236"/>
        <v/>
      </c>
      <c r="G618" s="74" t="str">
        <f t="shared" si="237"/>
        <v/>
      </c>
      <c r="H618" s="78" t="str">
        <f>IFERROR(C618/SUM(M$2:M617),"")</f>
        <v/>
      </c>
      <c r="I618" s="61" t="str">
        <f>IFERROR(D618/SUM(N$2:N618),"")</f>
        <v/>
      </c>
      <c r="J618" s="61" t="str">
        <f>IFERROR(E618/SUM(O$2:O618),"")</f>
        <v/>
      </c>
      <c r="K618" s="61" t="str">
        <f>IFERROR(F618/SUM(P$2:P618),"")</f>
        <v/>
      </c>
      <c r="L618" s="79" t="str">
        <f>IFERROR(G618/SUM(Q$2:Q618),"")</f>
        <v/>
      </c>
      <c r="M618" s="64" t="str">
        <f t="shared" si="238"/>
        <v/>
      </c>
      <c r="N618" s="55" t="str">
        <f t="shared" si="239"/>
        <v/>
      </c>
      <c r="O618" s="55" t="str">
        <f t="shared" si="240"/>
        <v/>
      </c>
      <c r="P618" s="55" t="str">
        <f t="shared" si="241"/>
        <v/>
      </c>
      <c r="Q618" s="65" t="str">
        <f t="shared" si="242"/>
        <v/>
      </c>
      <c r="R618" s="67" t="str">
        <f t="shared" si="244"/>
        <v/>
      </c>
      <c r="S618" s="56" t="str">
        <f t="shared" si="245"/>
        <v/>
      </c>
      <c r="T618" s="56" t="str">
        <f t="shared" si="246"/>
        <v/>
      </c>
      <c r="U618" s="56" t="str">
        <f t="shared" si="247"/>
        <v/>
      </c>
      <c r="V618" s="68" t="str">
        <f t="shared" si="248"/>
        <v/>
      </c>
      <c r="W618" s="80" t="str">
        <f t="shared" si="249"/>
        <v/>
      </c>
      <c r="X618" s="81" t="str">
        <f t="shared" si="250"/>
        <v/>
      </c>
      <c r="Y618" s="81" t="str">
        <f t="shared" si="251"/>
        <v/>
      </c>
      <c r="Z618" s="81" t="str">
        <f t="shared" si="252"/>
        <v/>
      </c>
      <c r="AA618" s="82" t="str">
        <f t="shared" si="253"/>
        <v/>
      </c>
      <c r="AB618" s="83" t="str">
        <f>IF(R618&lt;&gt;"",(W618-SUMPRODUCT(R$3:R618,$B$3:$B618)/SUM($B$3:$B618))/STDEVA(W608:W618),"")</f>
        <v/>
      </c>
      <c r="AC618" s="84" t="str">
        <f>IF(S618&lt;&gt;"",(X618-SUMPRODUCT(S$3:S618,$B$3:$B618)/SUM($B$3:$B618))/STDEVA(X608:X618),"")</f>
        <v/>
      </c>
      <c r="AD618" s="84" t="str">
        <f>IF(T618&lt;&gt;"",(Y618-SUMPRODUCT(T$3:T618,$B$3:$B618)/SUM($B$3:$B618))/STDEVA(Y608:Y618),"")</f>
        <v/>
      </c>
      <c r="AE618" s="84" t="str">
        <f>IF(U618&lt;&gt;"",(Z618-SUMPRODUCT(U$3:U618,$B$3:$B618)/SUM($B$3:$B618))/STDEVA(Z608:Z618),"")</f>
        <v/>
      </c>
      <c r="AF618" s="85" t="str">
        <f>IF(V618&lt;&gt;"",(AA618-SUMPRODUCT(V$3:V618,$B$3:$B618)/SUM($B$3:$B618))/STDEVA(AA608:AA618),"")</f>
        <v/>
      </c>
      <c r="AG618" s="90" t="str">
        <f t="shared" si="254"/>
        <v/>
      </c>
      <c r="AH618" s="90" t="str">
        <f t="shared" si="254"/>
        <v/>
      </c>
      <c r="AI618" s="90" t="str">
        <f t="shared" si="254"/>
        <v/>
      </c>
      <c r="AJ618" s="90" t="str">
        <f t="shared" si="254"/>
        <v/>
      </c>
      <c r="AK618" s="93" t="str">
        <f t="shared" si="255"/>
        <v/>
      </c>
      <c r="BQ618" s="100" t="str">
        <f>IF(A618&lt;&gt;"",(VLOOKUP(A618,MarketData!$D:$BP,MATCH($BQ$1,MarketData!$D$1:$EG$1,0),TRUE)/100/365+1)^(B618)*BQ617,"")</f>
        <v/>
      </c>
      <c r="BR618" s="98" t="str">
        <f t="shared" si="232"/>
        <v/>
      </c>
      <c r="BS618" s="106" t="str">
        <f>IF(A618&lt;&gt;"",VLOOKUP(A618,MarketData!$D:$BP,MATCH($BS$1,MarketData!$D$1:$EG$1,0),TRUE),"")</f>
        <v/>
      </c>
      <c r="BT618" s="98" t="str">
        <f t="shared" si="243"/>
        <v/>
      </c>
    </row>
    <row r="619" spans="2:72" x14ac:dyDescent="0.25">
      <c r="B619" s="60" t="str">
        <f t="shared" si="256"/>
        <v/>
      </c>
      <c r="C619" s="3" t="str">
        <f t="shared" si="233"/>
        <v/>
      </c>
      <c r="D619" s="3" t="str">
        <f t="shared" si="234"/>
        <v/>
      </c>
      <c r="E619" s="3" t="str">
        <f t="shared" si="235"/>
        <v/>
      </c>
      <c r="F619" s="3" t="str">
        <f t="shared" si="236"/>
        <v/>
      </c>
      <c r="G619" s="74" t="str">
        <f t="shared" si="237"/>
        <v/>
      </c>
      <c r="H619" s="78" t="str">
        <f>IFERROR(C619/SUM(M$2:M618),"")</f>
        <v/>
      </c>
      <c r="I619" s="61" t="str">
        <f>IFERROR(D619/SUM(N$2:N619),"")</f>
        <v/>
      </c>
      <c r="J619" s="61" t="str">
        <f>IFERROR(E619/SUM(O$2:O619),"")</f>
        <v/>
      </c>
      <c r="K619" s="61" t="str">
        <f>IFERROR(F619/SUM(P$2:P619),"")</f>
        <v/>
      </c>
      <c r="L619" s="79" t="str">
        <f>IFERROR(G619/SUM(Q$2:Q619),"")</f>
        <v/>
      </c>
      <c r="M619" s="64" t="str">
        <f t="shared" si="238"/>
        <v/>
      </c>
      <c r="N619" s="55" t="str">
        <f t="shared" si="239"/>
        <v/>
      </c>
      <c r="O619" s="55" t="str">
        <f t="shared" si="240"/>
        <v/>
      </c>
      <c r="P619" s="55" t="str">
        <f t="shared" si="241"/>
        <v/>
      </c>
      <c r="Q619" s="65" t="str">
        <f t="shared" si="242"/>
        <v/>
      </c>
      <c r="R619" s="67" t="str">
        <f t="shared" si="244"/>
        <v/>
      </c>
      <c r="S619" s="56" t="str">
        <f t="shared" si="245"/>
        <v/>
      </c>
      <c r="T619" s="56" t="str">
        <f t="shared" si="246"/>
        <v/>
      </c>
      <c r="U619" s="56" t="str">
        <f t="shared" si="247"/>
        <v/>
      </c>
      <c r="V619" s="68" t="str">
        <f t="shared" si="248"/>
        <v/>
      </c>
      <c r="W619" s="80" t="str">
        <f t="shared" si="249"/>
        <v/>
      </c>
      <c r="X619" s="81" t="str">
        <f t="shared" si="250"/>
        <v/>
      </c>
      <c r="Y619" s="81" t="str">
        <f t="shared" si="251"/>
        <v/>
      </c>
      <c r="Z619" s="81" t="str">
        <f t="shared" si="252"/>
        <v/>
      </c>
      <c r="AA619" s="82" t="str">
        <f t="shared" si="253"/>
        <v/>
      </c>
      <c r="AB619" s="83" t="str">
        <f>IF(R619&lt;&gt;"",(W619-SUMPRODUCT(R$3:R619,$B$3:$B619)/SUM($B$3:$B619))/STDEVA(W609:W619),"")</f>
        <v/>
      </c>
      <c r="AC619" s="84" t="str">
        <f>IF(S619&lt;&gt;"",(X619-SUMPRODUCT(S$3:S619,$B$3:$B619)/SUM($B$3:$B619))/STDEVA(X609:X619),"")</f>
        <v/>
      </c>
      <c r="AD619" s="84" t="str">
        <f>IF(T619&lt;&gt;"",(Y619-SUMPRODUCT(T$3:T619,$B$3:$B619)/SUM($B$3:$B619))/STDEVA(Y609:Y619),"")</f>
        <v/>
      </c>
      <c r="AE619" s="84" t="str">
        <f>IF(U619&lt;&gt;"",(Z619-SUMPRODUCT(U$3:U619,$B$3:$B619)/SUM($B$3:$B619))/STDEVA(Z609:Z619),"")</f>
        <v/>
      </c>
      <c r="AF619" s="85" t="str">
        <f>IF(V619&lt;&gt;"",(AA619-SUMPRODUCT(V$3:V619,$B$3:$B619)/SUM($B$3:$B619))/STDEVA(AA609:AA619),"")</f>
        <v/>
      </c>
      <c r="AG619" s="90" t="str">
        <f t="shared" si="254"/>
        <v/>
      </c>
      <c r="AH619" s="90" t="str">
        <f t="shared" si="254"/>
        <v/>
      </c>
      <c r="AI619" s="90" t="str">
        <f t="shared" si="254"/>
        <v/>
      </c>
      <c r="AJ619" s="90" t="str">
        <f t="shared" si="254"/>
        <v/>
      </c>
      <c r="AK619" s="93" t="str">
        <f t="shared" si="255"/>
        <v/>
      </c>
      <c r="BQ619" s="100" t="str">
        <f>IF(A619&lt;&gt;"",(VLOOKUP(A619,MarketData!$D:$BP,MATCH($BQ$1,MarketData!$D$1:$EG$1,0),TRUE)/100/365+1)^(B619)*BQ618,"")</f>
        <v/>
      </c>
      <c r="BR619" s="98" t="str">
        <f t="shared" si="232"/>
        <v/>
      </c>
      <c r="BS619" s="106" t="str">
        <f>IF(A619&lt;&gt;"",VLOOKUP(A619,MarketData!$D:$BP,MATCH($BS$1,MarketData!$D$1:$EG$1,0),TRUE),"")</f>
        <v/>
      </c>
      <c r="BT619" s="98" t="str">
        <f t="shared" si="243"/>
        <v/>
      </c>
    </row>
    <row r="620" spans="2:72" x14ac:dyDescent="0.25">
      <c r="B620" s="60" t="str">
        <f t="shared" si="256"/>
        <v/>
      </c>
      <c r="C620" s="3" t="str">
        <f t="shared" si="233"/>
        <v/>
      </c>
      <c r="D620" s="3" t="str">
        <f t="shared" si="234"/>
        <v/>
      </c>
      <c r="E620" s="3" t="str">
        <f t="shared" si="235"/>
        <v/>
      </c>
      <c r="F620" s="3" t="str">
        <f t="shared" si="236"/>
        <v/>
      </c>
      <c r="G620" s="74" t="str">
        <f t="shared" si="237"/>
        <v/>
      </c>
      <c r="H620" s="78" t="str">
        <f>IFERROR(C620/SUM(M$2:M619),"")</f>
        <v/>
      </c>
      <c r="I620" s="61" t="str">
        <f>IFERROR(D620/SUM(N$2:N620),"")</f>
        <v/>
      </c>
      <c r="J620" s="61" t="str">
        <f>IFERROR(E620/SUM(O$2:O620),"")</f>
        <v/>
      </c>
      <c r="K620" s="61" t="str">
        <f>IFERROR(F620/SUM(P$2:P620),"")</f>
        <v/>
      </c>
      <c r="L620" s="79" t="str">
        <f>IFERROR(G620/SUM(Q$2:Q620),"")</f>
        <v/>
      </c>
      <c r="M620" s="64" t="str">
        <f t="shared" si="238"/>
        <v/>
      </c>
      <c r="N620" s="55" t="str">
        <f t="shared" si="239"/>
        <v/>
      </c>
      <c r="O620" s="55" t="str">
        <f t="shared" si="240"/>
        <v/>
      </c>
      <c r="P620" s="55" t="str">
        <f t="shared" si="241"/>
        <v/>
      </c>
      <c r="Q620" s="65" t="str">
        <f t="shared" si="242"/>
        <v/>
      </c>
      <c r="R620" s="67" t="str">
        <f t="shared" si="244"/>
        <v/>
      </c>
      <c r="S620" s="56" t="str">
        <f t="shared" si="245"/>
        <v/>
      </c>
      <c r="T620" s="56" t="str">
        <f t="shared" si="246"/>
        <v/>
      </c>
      <c r="U620" s="56" t="str">
        <f t="shared" si="247"/>
        <v/>
      </c>
      <c r="V620" s="68" t="str">
        <f t="shared" si="248"/>
        <v/>
      </c>
      <c r="W620" s="80" t="str">
        <f t="shared" si="249"/>
        <v/>
      </c>
      <c r="X620" s="81" t="str">
        <f t="shared" si="250"/>
        <v/>
      </c>
      <c r="Y620" s="81" t="str">
        <f t="shared" si="251"/>
        <v/>
      </c>
      <c r="Z620" s="81" t="str">
        <f t="shared" si="252"/>
        <v/>
      </c>
      <c r="AA620" s="82" t="str">
        <f t="shared" si="253"/>
        <v/>
      </c>
      <c r="AB620" s="83" t="str">
        <f>IF(R620&lt;&gt;"",(W620-SUMPRODUCT(R$3:R620,$B$3:$B620)/SUM($B$3:$B620))/STDEVA(W610:W620),"")</f>
        <v/>
      </c>
      <c r="AC620" s="84" t="str">
        <f>IF(S620&lt;&gt;"",(X620-SUMPRODUCT(S$3:S620,$B$3:$B620)/SUM($B$3:$B620))/STDEVA(X610:X620),"")</f>
        <v/>
      </c>
      <c r="AD620" s="84" t="str">
        <f>IF(T620&lt;&gt;"",(Y620-SUMPRODUCT(T$3:T620,$B$3:$B620)/SUM($B$3:$B620))/STDEVA(Y610:Y620),"")</f>
        <v/>
      </c>
      <c r="AE620" s="84" t="str">
        <f>IF(U620&lt;&gt;"",(Z620-SUMPRODUCT(U$3:U620,$B$3:$B620)/SUM($B$3:$B620))/STDEVA(Z610:Z620),"")</f>
        <v/>
      </c>
      <c r="AF620" s="85" t="str">
        <f>IF(V620&lt;&gt;"",(AA620-SUMPRODUCT(V$3:V620,$B$3:$B620)/SUM($B$3:$B620))/STDEVA(AA610:AA620),"")</f>
        <v/>
      </c>
      <c r="AG620" s="90" t="str">
        <f t="shared" si="254"/>
        <v/>
      </c>
      <c r="AH620" s="90" t="str">
        <f t="shared" si="254"/>
        <v/>
      </c>
      <c r="AI620" s="90" t="str">
        <f t="shared" si="254"/>
        <v/>
      </c>
      <c r="AJ620" s="90" t="str">
        <f t="shared" si="254"/>
        <v/>
      </c>
      <c r="AK620" s="93" t="str">
        <f t="shared" si="255"/>
        <v/>
      </c>
      <c r="BQ620" s="100" t="str">
        <f>IF(A620&lt;&gt;"",(VLOOKUP(A620,MarketData!$D:$BP,MATCH($BQ$1,MarketData!$D$1:$EG$1,0),TRUE)/100/365+1)^(B620)*BQ619,"")</f>
        <v/>
      </c>
      <c r="BR620" s="98" t="str">
        <f t="shared" si="232"/>
        <v/>
      </c>
      <c r="BS620" s="106" t="str">
        <f>IF(A620&lt;&gt;"",VLOOKUP(A620,MarketData!$D:$BP,MATCH($BS$1,MarketData!$D$1:$EG$1,0),TRUE),"")</f>
        <v/>
      </c>
      <c r="BT620" s="98" t="str">
        <f t="shared" si="243"/>
        <v/>
      </c>
    </row>
    <row r="621" spans="2:72" x14ac:dyDescent="0.25">
      <c r="B621" s="60" t="str">
        <f t="shared" si="256"/>
        <v/>
      </c>
      <c r="C621" s="3" t="str">
        <f t="shared" si="233"/>
        <v/>
      </c>
      <c r="D621" s="3" t="str">
        <f t="shared" si="234"/>
        <v/>
      </c>
      <c r="E621" s="3" t="str">
        <f t="shared" si="235"/>
        <v/>
      </c>
      <c r="F621" s="3" t="str">
        <f t="shared" si="236"/>
        <v/>
      </c>
      <c r="G621" s="74" t="str">
        <f t="shared" si="237"/>
        <v/>
      </c>
      <c r="H621" s="78" t="str">
        <f>IFERROR(C621/SUM(M$2:M620),"")</f>
        <v/>
      </c>
      <c r="I621" s="61" t="str">
        <f>IFERROR(D621/SUM(N$2:N621),"")</f>
        <v/>
      </c>
      <c r="J621" s="61" t="str">
        <f>IFERROR(E621/SUM(O$2:O621),"")</f>
        <v/>
      </c>
      <c r="K621" s="61" t="str">
        <f>IFERROR(F621/SUM(P$2:P621),"")</f>
        <v/>
      </c>
      <c r="L621" s="79" t="str">
        <f>IFERROR(G621/SUM(Q$2:Q621),"")</f>
        <v/>
      </c>
      <c r="M621" s="64" t="str">
        <f t="shared" si="238"/>
        <v/>
      </c>
      <c r="N621" s="55" t="str">
        <f t="shared" si="239"/>
        <v/>
      </c>
      <c r="O621" s="55" t="str">
        <f t="shared" si="240"/>
        <v/>
      </c>
      <c r="P621" s="55" t="str">
        <f t="shared" si="241"/>
        <v/>
      </c>
      <c r="Q621" s="65" t="str">
        <f t="shared" si="242"/>
        <v/>
      </c>
      <c r="R621" s="67" t="str">
        <f t="shared" si="244"/>
        <v/>
      </c>
      <c r="S621" s="56" t="str">
        <f t="shared" si="245"/>
        <v/>
      </c>
      <c r="T621" s="56" t="str">
        <f t="shared" si="246"/>
        <v/>
      </c>
      <c r="U621" s="56" t="str">
        <f t="shared" si="247"/>
        <v/>
      </c>
      <c r="V621" s="68" t="str">
        <f t="shared" si="248"/>
        <v/>
      </c>
      <c r="W621" s="80" t="str">
        <f t="shared" si="249"/>
        <v/>
      </c>
      <c r="X621" s="81" t="str">
        <f t="shared" si="250"/>
        <v/>
      </c>
      <c r="Y621" s="81" t="str">
        <f t="shared" si="251"/>
        <v/>
      </c>
      <c r="Z621" s="81" t="str">
        <f t="shared" si="252"/>
        <v/>
      </c>
      <c r="AA621" s="82" t="str">
        <f t="shared" si="253"/>
        <v/>
      </c>
      <c r="AB621" s="83" t="str">
        <f>IF(R621&lt;&gt;"",(W621-SUMPRODUCT(R$3:R621,$B$3:$B621)/SUM($B$3:$B621))/STDEVA(W611:W621),"")</f>
        <v/>
      </c>
      <c r="AC621" s="84" t="str">
        <f>IF(S621&lt;&gt;"",(X621-SUMPRODUCT(S$3:S621,$B$3:$B621)/SUM($B$3:$B621))/STDEVA(X611:X621),"")</f>
        <v/>
      </c>
      <c r="AD621" s="84" t="str">
        <f>IF(T621&lt;&gt;"",(Y621-SUMPRODUCT(T$3:T621,$B$3:$B621)/SUM($B$3:$B621))/STDEVA(Y611:Y621),"")</f>
        <v/>
      </c>
      <c r="AE621" s="84" t="str">
        <f>IF(U621&lt;&gt;"",(Z621-SUMPRODUCT(U$3:U621,$B$3:$B621)/SUM($B$3:$B621))/STDEVA(Z611:Z621),"")</f>
        <v/>
      </c>
      <c r="AF621" s="85" t="str">
        <f>IF(V621&lt;&gt;"",(AA621-SUMPRODUCT(V$3:V621,$B$3:$B621)/SUM($B$3:$B621))/STDEVA(AA611:AA621),"")</f>
        <v/>
      </c>
      <c r="AG621" s="90" t="str">
        <f t="shared" si="254"/>
        <v/>
      </c>
      <c r="AH621" s="90" t="str">
        <f t="shared" si="254"/>
        <v/>
      </c>
      <c r="AI621" s="90" t="str">
        <f t="shared" si="254"/>
        <v/>
      </c>
      <c r="AJ621" s="90" t="str">
        <f t="shared" si="254"/>
        <v/>
      </c>
      <c r="AK621" s="93" t="str">
        <f t="shared" si="255"/>
        <v/>
      </c>
      <c r="BQ621" s="100" t="str">
        <f>IF(A621&lt;&gt;"",(VLOOKUP(A621,MarketData!$D:$BP,MATCH($BQ$1,MarketData!$D$1:$EG$1,0),TRUE)/100/365+1)^(B621)*BQ620,"")</f>
        <v/>
      </c>
      <c r="BR621" s="98" t="str">
        <f t="shared" si="232"/>
        <v/>
      </c>
      <c r="BS621" s="106" t="str">
        <f>IF(A621&lt;&gt;"",VLOOKUP(A621,MarketData!$D:$BP,MATCH($BS$1,MarketData!$D$1:$EG$1,0),TRUE),"")</f>
        <v/>
      </c>
      <c r="BT621" s="98" t="str">
        <f t="shared" si="243"/>
        <v/>
      </c>
    </row>
    <row r="622" spans="2:72" x14ac:dyDescent="0.25">
      <c r="B622" s="60" t="str">
        <f t="shared" si="256"/>
        <v/>
      </c>
      <c r="C622" s="3" t="str">
        <f t="shared" si="233"/>
        <v/>
      </c>
      <c r="D622" s="3" t="str">
        <f t="shared" si="234"/>
        <v/>
      </c>
      <c r="E622" s="3" t="str">
        <f t="shared" si="235"/>
        <v/>
      </c>
      <c r="F622" s="3" t="str">
        <f t="shared" si="236"/>
        <v/>
      </c>
      <c r="G622" s="74" t="str">
        <f t="shared" si="237"/>
        <v/>
      </c>
      <c r="H622" s="78" t="str">
        <f>IFERROR(C622/SUM(M$2:M621),"")</f>
        <v/>
      </c>
      <c r="I622" s="61" t="str">
        <f>IFERROR(D622/SUM(N$2:N622),"")</f>
        <v/>
      </c>
      <c r="J622" s="61" t="str">
        <f>IFERROR(E622/SUM(O$2:O622),"")</f>
        <v/>
      </c>
      <c r="K622" s="61" t="str">
        <f>IFERROR(F622/SUM(P$2:P622),"")</f>
        <v/>
      </c>
      <c r="L622" s="79" t="str">
        <f>IFERROR(G622/SUM(Q$2:Q622),"")</f>
        <v/>
      </c>
      <c r="M622" s="64" t="str">
        <f t="shared" si="238"/>
        <v/>
      </c>
      <c r="N622" s="55" t="str">
        <f t="shared" si="239"/>
        <v/>
      </c>
      <c r="O622" s="55" t="str">
        <f t="shared" si="240"/>
        <v/>
      </c>
      <c r="P622" s="55" t="str">
        <f t="shared" si="241"/>
        <v/>
      </c>
      <c r="Q622" s="65" t="str">
        <f t="shared" si="242"/>
        <v/>
      </c>
      <c r="R622" s="67" t="str">
        <f t="shared" si="244"/>
        <v/>
      </c>
      <c r="S622" s="56" t="str">
        <f t="shared" si="245"/>
        <v/>
      </c>
      <c r="T622" s="56" t="str">
        <f t="shared" si="246"/>
        <v/>
      </c>
      <c r="U622" s="56" t="str">
        <f t="shared" si="247"/>
        <v/>
      </c>
      <c r="V622" s="68" t="str">
        <f t="shared" si="248"/>
        <v/>
      </c>
      <c r="W622" s="80" t="str">
        <f t="shared" si="249"/>
        <v/>
      </c>
      <c r="X622" s="81" t="str">
        <f t="shared" si="250"/>
        <v/>
      </c>
      <c r="Y622" s="81" t="str">
        <f t="shared" si="251"/>
        <v/>
      </c>
      <c r="Z622" s="81" t="str">
        <f t="shared" si="252"/>
        <v/>
      </c>
      <c r="AA622" s="82" t="str">
        <f t="shared" si="253"/>
        <v/>
      </c>
      <c r="AB622" s="83" t="str">
        <f>IF(R622&lt;&gt;"",(W622-SUMPRODUCT(R$3:R622,$B$3:$B622)/SUM($B$3:$B622))/STDEVA(W612:W622),"")</f>
        <v/>
      </c>
      <c r="AC622" s="84" t="str">
        <f>IF(S622&lt;&gt;"",(X622-SUMPRODUCT(S$3:S622,$B$3:$B622)/SUM($B$3:$B622))/STDEVA(X612:X622),"")</f>
        <v/>
      </c>
      <c r="AD622" s="84" t="str">
        <f>IF(T622&lt;&gt;"",(Y622-SUMPRODUCT(T$3:T622,$B$3:$B622)/SUM($B$3:$B622))/STDEVA(Y612:Y622),"")</f>
        <v/>
      </c>
      <c r="AE622" s="84" t="str">
        <f>IF(U622&lt;&gt;"",(Z622-SUMPRODUCT(U$3:U622,$B$3:$B622)/SUM($B$3:$B622))/STDEVA(Z612:Z622),"")</f>
        <v/>
      </c>
      <c r="AF622" s="85" t="str">
        <f>IF(V622&lt;&gt;"",(AA622-SUMPRODUCT(V$3:V622,$B$3:$B622)/SUM($B$3:$B622))/STDEVA(AA612:AA622),"")</f>
        <v/>
      </c>
      <c r="AG622" s="90" t="str">
        <f t="shared" si="254"/>
        <v/>
      </c>
      <c r="AH622" s="90" t="str">
        <f t="shared" si="254"/>
        <v/>
      </c>
      <c r="AI622" s="90" t="str">
        <f t="shared" si="254"/>
        <v/>
      </c>
      <c r="AJ622" s="90" t="str">
        <f t="shared" si="254"/>
        <v/>
      </c>
      <c r="AK622" s="93" t="str">
        <f t="shared" si="255"/>
        <v/>
      </c>
      <c r="BQ622" s="100" t="str">
        <f>IF(A622&lt;&gt;"",(VLOOKUP(A622,MarketData!$D:$BP,MATCH($BQ$1,MarketData!$D$1:$EG$1,0),TRUE)/100/365+1)^(B622)*BQ621,"")</f>
        <v/>
      </c>
      <c r="BR622" s="98" t="str">
        <f t="shared" si="232"/>
        <v/>
      </c>
      <c r="BS622" s="106" t="str">
        <f>IF(A622&lt;&gt;"",VLOOKUP(A622,MarketData!$D:$BP,MATCH($BS$1,MarketData!$D$1:$EG$1,0),TRUE),"")</f>
        <v/>
      </c>
      <c r="BT622" s="98" t="str">
        <f t="shared" si="243"/>
        <v/>
      </c>
    </row>
    <row r="623" spans="2:72" x14ac:dyDescent="0.25">
      <c r="B623" s="60" t="str">
        <f t="shared" si="256"/>
        <v/>
      </c>
      <c r="C623" s="3" t="str">
        <f t="shared" si="233"/>
        <v/>
      </c>
      <c r="D623" s="3" t="str">
        <f t="shared" si="234"/>
        <v/>
      </c>
      <c r="E623" s="3" t="str">
        <f t="shared" si="235"/>
        <v/>
      </c>
      <c r="F623" s="3" t="str">
        <f t="shared" si="236"/>
        <v/>
      </c>
      <c r="G623" s="74" t="str">
        <f t="shared" si="237"/>
        <v/>
      </c>
      <c r="H623" s="78" t="str">
        <f>IFERROR(C623/SUM(M$2:M622),"")</f>
        <v/>
      </c>
      <c r="I623" s="61" t="str">
        <f>IFERROR(D623/SUM(N$2:N623),"")</f>
        <v/>
      </c>
      <c r="J623" s="61" t="str">
        <f>IFERROR(E623/SUM(O$2:O623),"")</f>
        <v/>
      </c>
      <c r="K623" s="61" t="str">
        <f>IFERROR(F623/SUM(P$2:P623),"")</f>
        <v/>
      </c>
      <c r="L623" s="79" t="str">
        <f>IFERROR(G623/SUM(Q$2:Q623),"")</f>
        <v/>
      </c>
      <c r="M623" s="64" t="str">
        <f t="shared" si="238"/>
        <v/>
      </c>
      <c r="N623" s="55" t="str">
        <f t="shared" si="239"/>
        <v/>
      </c>
      <c r="O623" s="55" t="str">
        <f t="shared" si="240"/>
        <v/>
      </c>
      <c r="P623" s="55" t="str">
        <f t="shared" si="241"/>
        <v/>
      </c>
      <c r="Q623" s="65" t="str">
        <f t="shared" si="242"/>
        <v/>
      </c>
      <c r="R623" s="67" t="str">
        <f t="shared" si="244"/>
        <v/>
      </c>
      <c r="S623" s="56" t="str">
        <f t="shared" si="245"/>
        <v/>
      </c>
      <c r="T623" s="56" t="str">
        <f t="shared" si="246"/>
        <v/>
      </c>
      <c r="U623" s="56" t="str">
        <f t="shared" si="247"/>
        <v/>
      </c>
      <c r="V623" s="68" t="str">
        <f t="shared" si="248"/>
        <v/>
      </c>
      <c r="W623" s="80" t="str">
        <f t="shared" si="249"/>
        <v/>
      </c>
      <c r="X623" s="81" t="str">
        <f t="shared" si="250"/>
        <v/>
      </c>
      <c r="Y623" s="81" t="str">
        <f t="shared" si="251"/>
        <v/>
      </c>
      <c r="Z623" s="81" t="str">
        <f t="shared" si="252"/>
        <v/>
      </c>
      <c r="AA623" s="82" t="str">
        <f t="shared" si="253"/>
        <v/>
      </c>
      <c r="AB623" s="83" t="str">
        <f>IF(R623&lt;&gt;"",(W623-SUMPRODUCT(R$3:R623,$B$3:$B623)/SUM($B$3:$B623))/STDEVA(W613:W623),"")</f>
        <v/>
      </c>
      <c r="AC623" s="84" t="str">
        <f>IF(S623&lt;&gt;"",(X623-SUMPRODUCT(S$3:S623,$B$3:$B623)/SUM($B$3:$B623))/STDEVA(X613:X623),"")</f>
        <v/>
      </c>
      <c r="AD623" s="84" t="str">
        <f>IF(T623&lt;&gt;"",(Y623-SUMPRODUCT(T$3:T623,$B$3:$B623)/SUM($B$3:$B623))/STDEVA(Y613:Y623),"")</f>
        <v/>
      </c>
      <c r="AE623" s="84" t="str">
        <f>IF(U623&lt;&gt;"",(Z623-SUMPRODUCT(U$3:U623,$B$3:$B623)/SUM($B$3:$B623))/STDEVA(Z613:Z623),"")</f>
        <v/>
      </c>
      <c r="AF623" s="85" t="str">
        <f>IF(V623&lt;&gt;"",(AA623-SUMPRODUCT(V$3:V623,$B$3:$B623)/SUM($B$3:$B623))/STDEVA(AA613:AA623),"")</f>
        <v/>
      </c>
      <c r="AG623" s="90" t="str">
        <f t="shared" si="254"/>
        <v/>
      </c>
      <c r="AH623" s="90" t="str">
        <f t="shared" si="254"/>
        <v/>
      </c>
      <c r="AI623" s="90" t="str">
        <f t="shared" si="254"/>
        <v/>
      </c>
      <c r="AJ623" s="90" t="str">
        <f t="shared" si="254"/>
        <v/>
      </c>
      <c r="AK623" s="93" t="str">
        <f t="shared" si="255"/>
        <v/>
      </c>
      <c r="BQ623" s="100" t="str">
        <f>IF(A623&lt;&gt;"",(VLOOKUP(A623,MarketData!$D:$BP,MATCH($BQ$1,MarketData!$D$1:$EG$1,0),TRUE)/100/365+1)^(B623)*BQ622,"")</f>
        <v/>
      </c>
      <c r="BR623" s="98" t="str">
        <f t="shared" si="232"/>
        <v/>
      </c>
      <c r="BS623" s="106" t="str">
        <f>IF(A623&lt;&gt;"",VLOOKUP(A623,MarketData!$D:$BP,MATCH($BS$1,MarketData!$D$1:$EG$1,0),TRUE),"")</f>
        <v/>
      </c>
      <c r="BT623" s="98" t="str">
        <f t="shared" si="243"/>
        <v/>
      </c>
    </row>
    <row r="624" spans="2:72" x14ac:dyDescent="0.25">
      <c r="B624" s="60" t="str">
        <f t="shared" si="256"/>
        <v/>
      </c>
      <c r="C624" s="3" t="str">
        <f t="shared" si="233"/>
        <v/>
      </c>
      <c r="D624" s="3" t="str">
        <f t="shared" si="234"/>
        <v/>
      </c>
      <c r="E624" s="3" t="str">
        <f t="shared" si="235"/>
        <v/>
      </c>
      <c r="F624" s="3" t="str">
        <f t="shared" si="236"/>
        <v/>
      </c>
      <c r="G624" s="74" t="str">
        <f t="shared" si="237"/>
        <v/>
      </c>
      <c r="H624" s="78" t="str">
        <f>IFERROR(C624/SUM(M$2:M623),"")</f>
        <v/>
      </c>
      <c r="I624" s="61" t="str">
        <f>IFERROR(D624/SUM(N$2:N624),"")</f>
        <v/>
      </c>
      <c r="J624" s="61" t="str">
        <f>IFERROR(E624/SUM(O$2:O624),"")</f>
        <v/>
      </c>
      <c r="K624" s="61" t="str">
        <f>IFERROR(F624/SUM(P$2:P624),"")</f>
        <v/>
      </c>
      <c r="L624" s="79" t="str">
        <f>IFERROR(G624/SUM(Q$2:Q624),"")</f>
        <v/>
      </c>
      <c r="M624" s="64" t="str">
        <f t="shared" si="238"/>
        <v/>
      </c>
      <c r="N624" s="55" t="str">
        <f t="shared" si="239"/>
        <v/>
      </c>
      <c r="O624" s="55" t="str">
        <f t="shared" si="240"/>
        <v/>
      </c>
      <c r="P624" s="55" t="str">
        <f t="shared" si="241"/>
        <v/>
      </c>
      <c r="Q624" s="65" t="str">
        <f t="shared" si="242"/>
        <v/>
      </c>
      <c r="R624" s="67" t="str">
        <f t="shared" si="244"/>
        <v/>
      </c>
      <c r="S624" s="56" t="str">
        <f t="shared" si="245"/>
        <v/>
      </c>
      <c r="T624" s="56" t="str">
        <f t="shared" si="246"/>
        <v/>
      </c>
      <c r="U624" s="56" t="str">
        <f t="shared" si="247"/>
        <v/>
      </c>
      <c r="V624" s="68" t="str">
        <f t="shared" si="248"/>
        <v/>
      </c>
      <c r="W624" s="80" t="str">
        <f t="shared" si="249"/>
        <v/>
      </c>
      <c r="X624" s="81" t="str">
        <f t="shared" si="250"/>
        <v/>
      </c>
      <c r="Y624" s="81" t="str">
        <f t="shared" si="251"/>
        <v/>
      </c>
      <c r="Z624" s="81" t="str">
        <f t="shared" si="252"/>
        <v/>
      </c>
      <c r="AA624" s="82" t="str">
        <f t="shared" si="253"/>
        <v/>
      </c>
      <c r="AB624" s="83" t="str">
        <f>IF(R624&lt;&gt;"",(W624-SUMPRODUCT(R$3:R624,$B$3:$B624)/SUM($B$3:$B624))/STDEVA(W614:W624),"")</f>
        <v/>
      </c>
      <c r="AC624" s="84" t="str">
        <f>IF(S624&lt;&gt;"",(X624-SUMPRODUCT(S$3:S624,$B$3:$B624)/SUM($B$3:$B624))/STDEVA(X614:X624),"")</f>
        <v/>
      </c>
      <c r="AD624" s="84" t="str">
        <f>IF(T624&lt;&gt;"",(Y624-SUMPRODUCT(T$3:T624,$B$3:$B624)/SUM($B$3:$B624))/STDEVA(Y614:Y624),"")</f>
        <v/>
      </c>
      <c r="AE624" s="84" t="str">
        <f>IF(U624&lt;&gt;"",(Z624-SUMPRODUCT(U$3:U624,$B$3:$B624)/SUM($B$3:$B624))/STDEVA(Z614:Z624),"")</f>
        <v/>
      </c>
      <c r="AF624" s="85" t="str">
        <f>IF(V624&lt;&gt;"",(AA624-SUMPRODUCT(V$3:V624,$B$3:$B624)/SUM($B$3:$B624))/STDEVA(AA614:AA624),"")</f>
        <v/>
      </c>
      <c r="AG624" s="90" t="str">
        <f t="shared" si="254"/>
        <v/>
      </c>
      <c r="AH624" s="90" t="str">
        <f t="shared" si="254"/>
        <v/>
      </c>
      <c r="AI624" s="90" t="str">
        <f t="shared" si="254"/>
        <v/>
      </c>
      <c r="AJ624" s="90" t="str">
        <f t="shared" si="254"/>
        <v/>
      </c>
      <c r="AK624" s="93" t="str">
        <f t="shared" si="255"/>
        <v/>
      </c>
      <c r="BQ624" s="100" t="str">
        <f>IF(A624&lt;&gt;"",(VLOOKUP(A624,MarketData!$D:$BP,MATCH($BQ$1,MarketData!$D$1:$EG$1,0),TRUE)/100/365+1)^(B624)*BQ623,"")</f>
        <v/>
      </c>
      <c r="BR624" s="98" t="str">
        <f t="shared" si="232"/>
        <v/>
      </c>
      <c r="BS624" s="106" t="str">
        <f>IF(A624&lt;&gt;"",VLOOKUP(A624,MarketData!$D:$BP,MATCH($BS$1,MarketData!$D$1:$EG$1,0),TRUE),"")</f>
        <v/>
      </c>
      <c r="BT624" s="98" t="str">
        <f t="shared" si="243"/>
        <v/>
      </c>
    </row>
    <row r="625" spans="2:72" x14ac:dyDescent="0.25">
      <c r="B625" s="60" t="str">
        <f t="shared" si="256"/>
        <v/>
      </c>
      <c r="C625" s="3" t="str">
        <f t="shared" si="233"/>
        <v/>
      </c>
      <c r="D625" s="3" t="str">
        <f t="shared" si="234"/>
        <v/>
      </c>
      <c r="E625" s="3" t="str">
        <f t="shared" si="235"/>
        <v/>
      </c>
      <c r="F625" s="3" t="str">
        <f t="shared" si="236"/>
        <v/>
      </c>
      <c r="G625" s="74" t="str">
        <f t="shared" si="237"/>
        <v/>
      </c>
      <c r="H625" s="78" t="str">
        <f>IFERROR(C625/SUM(M$2:M624),"")</f>
        <v/>
      </c>
      <c r="I625" s="61" t="str">
        <f>IFERROR(D625/SUM(N$2:N625),"")</f>
        <v/>
      </c>
      <c r="J625" s="61" t="str">
        <f>IFERROR(E625/SUM(O$2:O625),"")</f>
        <v/>
      </c>
      <c r="K625" s="61" t="str">
        <f>IFERROR(F625/SUM(P$2:P625),"")</f>
        <v/>
      </c>
      <c r="L625" s="79" t="str">
        <f>IFERROR(G625/SUM(Q$2:Q625),"")</f>
        <v/>
      </c>
      <c r="M625" s="64" t="str">
        <f t="shared" si="238"/>
        <v/>
      </c>
      <c r="N625" s="55" t="str">
        <f t="shared" si="239"/>
        <v/>
      </c>
      <c r="O625" s="55" t="str">
        <f t="shared" si="240"/>
        <v/>
      </c>
      <c r="P625" s="55" t="str">
        <f t="shared" si="241"/>
        <v/>
      </c>
      <c r="Q625" s="65" t="str">
        <f t="shared" si="242"/>
        <v/>
      </c>
      <c r="R625" s="67" t="str">
        <f t="shared" si="244"/>
        <v/>
      </c>
      <c r="S625" s="56" t="str">
        <f t="shared" si="245"/>
        <v/>
      </c>
      <c r="T625" s="56" t="str">
        <f t="shared" si="246"/>
        <v/>
      </c>
      <c r="U625" s="56" t="str">
        <f t="shared" si="247"/>
        <v/>
      </c>
      <c r="V625" s="68" t="str">
        <f t="shared" si="248"/>
        <v/>
      </c>
      <c r="W625" s="80" t="str">
        <f t="shared" si="249"/>
        <v/>
      </c>
      <c r="X625" s="81" t="str">
        <f t="shared" si="250"/>
        <v/>
      </c>
      <c r="Y625" s="81" t="str">
        <f t="shared" si="251"/>
        <v/>
      </c>
      <c r="Z625" s="81" t="str">
        <f t="shared" si="252"/>
        <v/>
      </c>
      <c r="AA625" s="82" t="str">
        <f t="shared" si="253"/>
        <v/>
      </c>
      <c r="AB625" s="83" t="str">
        <f>IF(R625&lt;&gt;"",(W625-SUMPRODUCT(R$3:R625,$B$3:$B625)/SUM($B$3:$B625))/STDEVA(W615:W625),"")</f>
        <v/>
      </c>
      <c r="AC625" s="84" t="str">
        <f>IF(S625&lt;&gt;"",(X625-SUMPRODUCT(S$3:S625,$B$3:$B625)/SUM($B$3:$B625))/STDEVA(X615:X625),"")</f>
        <v/>
      </c>
      <c r="AD625" s="84" t="str">
        <f>IF(T625&lt;&gt;"",(Y625-SUMPRODUCT(T$3:T625,$B$3:$B625)/SUM($B$3:$B625))/STDEVA(Y615:Y625),"")</f>
        <v/>
      </c>
      <c r="AE625" s="84" t="str">
        <f>IF(U625&lt;&gt;"",(Z625-SUMPRODUCT(U$3:U625,$B$3:$B625)/SUM($B$3:$B625))/STDEVA(Z615:Z625),"")</f>
        <v/>
      </c>
      <c r="AF625" s="85" t="str">
        <f>IF(V625&lt;&gt;"",(AA625-SUMPRODUCT(V$3:V625,$B$3:$B625)/SUM($B$3:$B625))/STDEVA(AA615:AA625),"")</f>
        <v/>
      </c>
      <c r="AG625" s="90" t="str">
        <f t="shared" si="254"/>
        <v/>
      </c>
      <c r="AH625" s="90" t="str">
        <f t="shared" si="254"/>
        <v/>
      </c>
      <c r="AI625" s="90" t="str">
        <f t="shared" si="254"/>
        <v/>
      </c>
      <c r="AJ625" s="90" t="str">
        <f t="shared" si="254"/>
        <v/>
      </c>
      <c r="AK625" s="93" t="str">
        <f t="shared" si="255"/>
        <v/>
      </c>
      <c r="BQ625" s="100" t="str">
        <f>IF(A625&lt;&gt;"",(VLOOKUP(A625,MarketData!$D:$BP,MATCH($BQ$1,MarketData!$D$1:$EG$1,0),TRUE)/100/365+1)^(B625)*BQ624,"")</f>
        <v/>
      </c>
      <c r="BR625" s="98" t="str">
        <f t="shared" si="232"/>
        <v/>
      </c>
      <c r="BS625" s="106" t="str">
        <f>IF(A625&lt;&gt;"",VLOOKUP(A625,MarketData!$D:$BP,MATCH($BS$1,MarketData!$D$1:$EG$1,0),TRUE),"")</f>
        <v/>
      </c>
      <c r="BT625" s="98" t="str">
        <f t="shared" si="243"/>
        <v/>
      </c>
    </row>
    <row r="626" spans="2:72" x14ac:dyDescent="0.25">
      <c r="B626" s="60" t="str">
        <f t="shared" si="256"/>
        <v/>
      </c>
      <c r="C626" s="3" t="str">
        <f t="shared" si="233"/>
        <v/>
      </c>
      <c r="D626" s="3" t="str">
        <f t="shared" si="234"/>
        <v/>
      </c>
      <c r="E626" s="3" t="str">
        <f t="shared" si="235"/>
        <v/>
      </c>
      <c r="F626" s="3" t="str">
        <f t="shared" si="236"/>
        <v/>
      </c>
      <c r="G626" s="74" t="str">
        <f t="shared" si="237"/>
        <v/>
      </c>
      <c r="H626" s="78" t="str">
        <f>IFERROR(C626/SUM(M$2:M625),"")</f>
        <v/>
      </c>
      <c r="I626" s="61" t="str">
        <f>IFERROR(D626/SUM(N$2:N626),"")</f>
        <v/>
      </c>
      <c r="J626" s="61" t="str">
        <f>IFERROR(E626/SUM(O$2:O626),"")</f>
        <v/>
      </c>
      <c r="K626" s="61" t="str">
        <f>IFERROR(F626/SUM(P$2:P626),"")</f>
        <v/>
      </c>
      <c r="L626" s="79" t="str">
        <f>IFERROR(G626/SUM(Q$2:Q626),"")</f>
        <v/>
      </c>
      <c r="M626" s="64" t="str">
        <f t="shared" si="238"/>
        <v/>
      </c>
      <c r="N626" s="55" t="str">
        <f t="shared" si="239"/>
        <v/>
      </c>
      <c r="O626" s="55" t="str">
        <f t="shared" si="240"/>
        <v/>
      </c>
      <c r="P626" s="55" t="str">
        <f t="shared" si="241"/>
        <v/>
      </c>
      <c r="Q626" s="65" t="str">
        <f t="shared" si="242"/>
        <v/>
      </c>
      <c r="R626" s="67" t="str">
        <f t="shared" si="244"/>
        <v/>
      </c>
      <c r="S626" s="56" t="str">
        <f t="shared" si="245"/>
        <v/>
      </c>
      <c r="T626" s="56" t="str">
        <f t="shared" si="246"/>
        <v/>
      </c>
      <c r="U626" s="56" t="str">
        <f t="shared" si="247"/>
        <v/>
      </c>
      <c r="V626" s="68" t="str">
        <f t="shared" si="248"/>
        <v/>
      </c>
      <c r="W626" s="80" t="str">
        <f t="shared" si="249"/>
        <v/>
      </c>
      <c r="X626" s="81" t="str">
        <f t="shared" si="250"/>
        <v/>
      </c>
      <c r="Y626" s="81" t="str">
        <f t="shared" si="251"/>
        <v/>
      </c>
      <c r="Z626" s="81" t="str">
        <f t="shared" si="252"/>
        <v/>
      </c>
      <c r="AA626" s="82" t="str">
        <f t="shared" si="253"/>
        <v/>
      </c>
      <c r="AB626" s="83" t="str">
        <f>IF(R626&lt;&gt;"",(W626-SUMPRODUCT(R$3:R626,$B$3:$B626)/SUM($B$3:$B626))/STDEVA(W616:W626),"")</f>
        <v/>
      </c>
      <c r="AC626" s="84" t="str">
        <f>IF(S626&lt;&gt;"",(X626-SUMPRODUCT(S$3:S626,$B$3:$B626)/SUM($B$3:$B626))/STDEVA(X616:X626),"")</f>
        <v/>
      </c>
      <c r="AD626" s="84" t="str">
        <f>IF(T626&lt;&gt;"",(Y626-SUMPRODUCT(T$3:T626,$B$3:$B626)/SUM($B$3:$B626))/STDEVA(Y616:Y626),"")</f>
        <v/>
      </c>
      <c r="AE626" s="84" t="str">
        <f>IF(U626&lt;&gt;"",(Z626-SUMPRODUCT(U$3:U626,$B$3:$B626)/SUM($B$3:$B626))/STDEVA(Z616:Z626),"")</f>
        <v/>
      </c>
      <c r="AF626" s="85" t="str">
        <f>IF(V626&lt;&gt;"",(AA626-SUMPRODUCT(V$3:V626,$B$3:$B626)/SUM($B$3:$B626))/STDEVA(AA616:AA626),"")</f>
        <v/>
      </c>
      <c r="AG626" s="90" t="str">
        <f t="shared" si="254"/>
        <v/>
      </c>
      <c r="AH626" s="90" t="str">
        <f t="shared" si="254"/>
        <v/>
      </c>
      <c r="AI626" s="90" t="str">
        <f t="shared" si="254"/>
        <v/>
      </c>
      <c r="AJ626" s="90" t="str">
        <f t="shared" si="254"/>
        <v/>
      </c>
      <c r="AK626" s="93" t="str">
        <f t="shared" si="255"/>
        <v/>
      </c>
      <c r="BQ626" s="100" t="str">
        <f>IF(A626&lt;&gt;"",(VLOOKUP(A626,MarketData!$D:$BP,MATCH($BQ$1,MarketData!$D$1:$EG$1,0),TRUE)/100/365+1)^(B626)*BQ625,"")</f>
        <v/>
      </c>
      <c r="BR626" s="98" t="str">
        <f t="shared" si="232"/>
        <v/>
      </c>
      <c r="BS626" s="106" t="str">
        <f>IF(A626&lt;&gt;"",VLOOKUP(A626,MarketData!$D:$BP,MATCH($BS$1,MarketData!$D$1:$EG$1,0),TRUE),"")</f>
        <v/>
      </c>
      <c r="BT626" s="98" t="str">
        <f t="shared" si="243"/>
        <v/>
      </c>
    </row>
    <row r="627" spans="2:72" x14ac:dyDescent="0.25">
      <c r="B627" s="60" t="str">
        <f t="shared" si="256"/>
        <v/>
      </c>
      <c r="C627" s="3" t="str">
        <f t="shared" si="233"/>
        <v/>
      </c>
      <c r="D627" s="3" t="str">
        <f t="shared" si="234"/>
        <v/>
      </c>
      <c r="E627" s="3" t="str">
        <f t="shared" si="235"/>
        <v/>
      </c>
      <c r="F627" s="3" t="str">
        <f t="shared" si="236"/>
        <v/>
      </c>
      <c r="G627" s="74" t="str">
        <f t="shared" si="237"/>
        <v/>
      </c>
      <c r="H627" s="78" t="str">
        <f>IFERROR(C627/SUM(M$2:M626),"")</f>
        <v/>
      </c>
      <c r="I627" s="61" t="str">
        <f>IFERROR(D627/SUM(N$2:N627),"")</f>
        <v/>
      </c>
      <c r="J627" s="61" t="str">
        <f>IFERROR(E627/SUM(O$2:O627),"")</f>
        <v/>
      </c>
      <c r="K627" s="61" t="str">
        <f>IFERROR(F627/SUM(P$2:P627),"")</f>
        <v/>
      </c>
      <c r="L627" s="79" t="str">
        <f>IFERROR(G627/SUM(Q$2:Q627),"")</f>
        <v/>
      </c>
      <c r="M627" s="64" t="str">
        <f t="shared" si="238"/>
        <v/>
      </c>
      <c r="N627" s="55" t="str">
        <f t="shared" si="239"/>
        <v/>
      </c>
      <c r="O627" s="55" t="str">
        <f t="shared" si="240"/>
        <v/>
      </c>
      <c r="P627" s="55" t="str">
        <f t="shared" si="241"/>
        <v/>
      </c>
      <c r="Q627" s="65" t="str">
        <f t="shared" si="242"/>
        <v/>
      </c>
      <c r="R627" s="67" t="str">
        <f t="shared" si="244"/>
        <v/>
      </c>
      <c r="S627" s="56" t="str">
        <f t="shared" si="245"/>
        <v/>
      </c>
      <c r="T627" s="56" t="str">
        <f t="shared" si="246"/>
        <v/>
      </c>
      <c r="U627" s="56" t="str">
        <f t="shared" si="247"/>
        <v/>
      </c>
      <c r="V627" s="68" t="str">
        <f t="shared" si="248"/>
        <v/>
      </c>
      <c r="W627" s="80" t="str">
        <f t="shared" si="249"/>
        <v/>
      </c>
      <c r="X627" s="81" t="str">
        <f t="shared" si="250"/>
        <v/>
      </c>
      <c r="Y627" s="81" t="str">
        <f t="shared" si="251"/>
        <v/>
      </c>
      <c r="Z627" s="81" t="str">
        <f t="shared" si="252"/>
        <v/>
      </c>
      <c r="AA627" s="82" t="str">
        <f t="shared" si="253"/>
        <v/>
      </c>
      <c r="AB627" s="83" t="str">
        <f>IF(R627&lt;&gt;"",(W627-SUMPRODUCT(R$3:R627,$B$3:$B627)/SUM($B$3:$B627))/STDEVA(W617:W627),"")</f>
        <v/>
      </c>
      <c r="AC627" s="84" t="str">
        <f>IF(S627&lt;&gt;"",(X627-SUMPRODUCT(S$3:S627,$B$3:$B627)/SUM($B$3:$B627))/STDEVA(X617:X627),"")</f>
        <v/>
      </c>
      <c r="AD627" s="84" t="str">
        <f>IF(T627&lt;&gt;"",(Y627-SUMPRODUCT(T$3:T627,$B$3:$B627)/SUM($B$3:$B627))/STDEVA(Y617:Y627),"")</f>
        <v/>
      </c>
      <c r="AE627" s="84" t="str">
        <f>IF(U627&lt;&gt;"",(Z627-SUMPRODUCT(U$3:U627,$B$3:$B627)/SUM($B$3:$B627))/STDEVA(Z617:Z627),"")</f>
        <v/>
      </c>
      <c r="AF627" s="85" t="str">
        <f>IF(V627&lt;&gt;"",(AA627-SUMPRODUCT(V$3:V627,$B$3:$B627)/SUM($B$3:$B627))/STDEVA(AA617:AA627),"")</f>
        <v/>
      </c>
      <c r="AG627" s="90" t="str">
        <f t="shared" si="254"/>
        <v/>
      </c>
      <c r="AH627" s="90" t="str">
        <f t="shared" si="254"/>
        <v/>
      </c>
      <c r="AI627" s="90" t="str">
        <f t="shared" si="254"/>
        <v/>
      </c>
      <c r="AJ627" s="90" t="str">
        <f t="shared" si="254"/>
        <v/>
      </c>
      <c r="AK627" s="93" t="str">
        <f t="shared" si="255"/>
        <v/>
      </c>
      <c r="BQ627" s="100" t="str">
        <f>IF(A627&lt;&gt;"",(VLOOKUP(A627,MarketData!$D:$BP,MATCH($BQ$1,MarketData!$D$1:$EG$1,0),TRUE)/100/365+1)^(B627)*BQ626,"")</f>
        <v/>
      </c>
      <c r="BR627" s="98" t="str">
        <f t="shared" si="232"/>
        <v/>
      </c>
      <c r="BS627" s="106" t="str">
        <f>IF(A627&lt;&gt;"",VLOOKUP(A627,MarketData!$D:$BP,MATCH($BS$1,MarketData!$D$1:$EG$1,0),TRUE),"")</f>
        <v/>
      </c>
      <c r="BT627" s="98" t="str">
        <f t="shared" si="243"/>
        <v/>
      </c>
    </row>
    <row r="628" spans="2:72" x14ac:dyDescent="0.25">
      <c r="B628" s="60" t="str">
        <f t="shared" si="256"/>
        <v/>
      </c>
      <c r="C628" s="3" t="str">
        <f t="shared" si="233"/>
        <v/>
      </c>
      <c r="D628" s="3" t="str">
        <f t="shared" si="234"/>
        <v/>
      </c>
      <c r="E628" s="3" t="str">
        <f t="shared" si="235"/>
        <v/>
      </c>
      <c r="F628" s="3" t="str">
        <f t="shared" si="236"/>
        <v/>
      </c>
      <c r="G628" s="74" t="str">
        <f t="shared" si="237"/>
        <v/>
      </c>
      <c r="H628" s="78" t="str">
        <f>IFERROR(C628/SUM(M$2:M627),"")</f>
        <v/>
      </c>
      <c r="I628" s="61" t="str">
        <f>IFERROR(D628/SUM(N$2:N628),"")</f>
        <v/>
      </c>
      <c r="J628" s="61" t="str">
        <f>IFERROR(E628/SUM(O$2:O628),"")</f>
        <v/>
      </c>
      <c r="K628" s="61" t="str">
        <f>IFERROR(F628/SUM(P$2:P628),"")</f>
        <v/>
      </c>
      <c r="L628" s="79" t="str">
        <f>IFERROR(G628/SUM(Q$2:Q628),"")</f>
        <v/>
      </c>
      <c r="M628" s="64" t="str">
        <f t="shared" si="238"/>
        <v/>
      </c>
      <c r="N628" s="55" t="str">
        <f t="shared" si="239"/>
        <v/>
      </c>
      <c r="O628" s="55" t="str">
        <f t="shared" si="240"/>
        <v/>
      </c>
      <c r="P628" s="55" t="str">
        <f t="shared" si="241"/>
        <v/>
      </c>
      <c r="Q628" s="65" t="str">
        <f t="shared" si="242"/>
        <v/>
      </c>
      <c r="R628" s="67" t="str">
        <f t="shared" si="244"/>
        <v/>
      </c>
      <c r="S628" s="56" t="str">
        <f t="shared" si="245"/>
        <v/>
      </c>
      <c r="T628" s="56" t="str">
        <f t="shared" si="246"/>
        <v/>
      </c>
      <c r="U628" s="56" t="str">
        <f t="shared" si="247"/>
        <v/>
      </c>
      <c r="V628" s="68" t="str">
        <f t="shared" si="248"/>
        <v/>
      </c>
      <c r="W628" s="80" t="str">
        <f t="shared" si="249"/>
        <v/>
      </c>
      <c r="X628" s="81" t="str">
        <f t="shared" si="250"/>
        <v/>
      </c>
      <c r="Y628" s="81" t="str">
        <f t="shared" si="251"/>
        <v/>
      </c>
      <c r="Z628" s="81" t="str">
        <f t="shared" si="252"/>
        <v/>
      </c>
      <c r="AA628" s="82" t="str">
        <f t="shared" si="253"/>
        <v/>
      </c>
      <c r="AB628" s="83" t="str">
        <f>IF(R628&lt;&gt;"",(W628-SUMPRODUCT(R$3:R628,$B$3:$B628)/SUM($B$3:$B628))/STDEVA(W618:W628),"")</f>
        <v/>
      </c>
      <c r="AC628" s="84" t="str">
        <f>IF(S628&lt;&gt;"",(X628-SUMPRODUCT(S$3:S628,$B$3:$B628)/SUM($B$3:$B628))/STDEVA(X618:X628),"")</f>
        <v/>
      </c>
      <c r="AD628" s="84" t="str">
        <f>IF(T628&lt;&gt;"",(Y628-SUMPRODUCT(T$3:T628,$B$3:$B628)/SUM($B$3:$B628))/STDEVA(Y618:Y628),"")</f>
        <v/>
      </c>
      <c r="AE628" s="84" t="str">
        <f>IF(U628&lt;&gt;"",(Z628-SUMPRODUCT(U$3:U628,$B$3:$B628)/SUM($B$3:$B628))/STDEVA(Z618:Z628),"")</f>
        <v/>
      </c>
      <c r="AF628" s="85" t="str">
        <f>IF(V628&lt;&gt;"",(AA628-SUMPRODUCT(V$3:V628,$B$3:$B628)/SUM($B$3:$B628))/STDEVA(AA618:AA628),"")</f>
        <v/>
      </c>
      <c r="AG628" s="90" t="str">
        <f t="shared" si="254"/>
        <v/>
      </c>
      <c r="AH628" s="90" t="str">
        <f t="shared" si="254"/>
        <v/>
      </c>
      <c r="AI628" s="90" t="str">
        <f t="shared" si="254"/>
        <v/>
      </c>
      <c r="AJ628" s="90" t="str">
        <f t="shared" si="254"/>
        <v/>
      </c>
      <c r="AK628" s="93" t="str">
        <f t="shared" si="255"/>
        <v/>
      </c>
      <c r="BQ628" s="100" t="str">
        <f>IF(A628&lt;&gt;"",(VLOOKUP(A628,MarketData!$D:$BP,MATCH($BQ$1,MarketData!$D$1:$EG$1,0),TRUE)/100/365+1)^(B628)*BQ627,"")</f>
        <v/>
      </c>
      <c r="BR628" s="98" t="str">
        <f t="shared" si="232"/>
        <v/>
      </c>
      <c r="BS628" s="106" t="str">
        <f>IF(A628&lt;&gt;"",VLOOKUP(A628,MarketData!$D:$BP,MATCH($BS$1,MarketData!$D$1:$EG$1,0),TRUE),"")</f>
        <v/>
      </c>
      <c r="BT628" s="98" t="str">
        <f t="shared" si="243"/>
        <v/>
      </c>
    </row>
    <row r="629" spans="2:72" x14ac:dyDescent="0.25">
      <c r="B629" s="60" t="str">
        <f t="shared" si="256"/>
        <v/>
      </c>
      <c r="C629" s="3" t="str">
        <f t="shared" si="233"/>
        <v/>
      </c>
      <c r="D629" s="3" t="str">
        <f t="shared" si="234"/>
        <v/>
      </c>
      <c r="E629" s="3" t="str">
        <f t="shared" si="235"/>
        <v/>
      </c>
      <c r="F629" s="3" t="str">
        <f t="shared" si="236"/>
        <v/>
      </c>
      <c r="G629" s="74" t="str">
        <f t="shared" si="237"/>
        <v/>
      </c>
      <c r="H629" s="78" t="str">
        <f>IFERROR(C629/SUM(M$2:M628),"")</f>
        <v/>
      </c>
      <c r="I629" s="61" t="str">
        <f>IFERROR(D629/SUM(N$2:N629),"")</f>
        <v/>
      </c>
      <c r="J629" s="61" t="str">
        <f>IFERROR(E629/SUM(O$2:O629),"")</f>
        <v/>
      </c>
      <c r="K629" s="61" t="str">
        <f>IFERROR(F629/SUM(P$2:P629),"")</f>
        <v/>
      </c>
      <c r="L629" s="79" t="str">
        <f>IFERROR(G629/SUM(Q$2:Q629),"")</f>
        <v/>
      </c>
      <c r="M629" s="64" t="str">
        <f t="shared" si="238"/>
        <v/>
      </c>
      <c r="N629" s="55" t="str">
        <f t="shared" si="239"/>
        <v/>
      </c>
      <c r="O629" s="55" t="str">
        <f t="shared" si="240"/>
        <v/>
      </c>
      <c r="P629" s="55" t="str">
        <f t="shared" si="241"/>
        <v/>
      </c>
      <c r="Q629" s="65" t="str">
        <f t="shared" si="242"/>
        <v/>
      </c>
      <c r="R629" s="67" t="str">
        <f t="shared" si="244"/>
        <v/>
      </c>
      <c r="S629" s="56" t="str">
        <f t="shared" si="245"/>
        <v/>
      </c>
      <c r="T629" s="56" t="str">
        <f t="shared" si="246"/>
        <v/>
      </c>
      <c r="U629" s="56" t="str">
        <f t="shared" si="247"/>
        <v/>
      </c>
      <c r="V629" s="68" t="str">
        <f t="shared" si="248"/>
        <v/>
      </c>
      <c r="W629" s="80" t="str">
        <f t="shared" si="249"/>
        <v/>
      </c>
      <c r="X629" s="81" t="str">
        <f t="shared" si="250"/>
        <v/>
      </c>
      <c r="Y629" s="81" t="str">
        <f t="shared" si="251"/>
        <v/>
      </c>
      <c r="Z629" s="81" t="str">
        <f t="shared" si="252"/>
        <v/>
      </c>
      <c r="AA629" s="82" t="str">
        <f t="shared" si="253"/>
        <v/>
      </c>
      <c r="AB629" s="83" t="str">
        <f>IF(R629&lt;&gt;"",(W629-SUMPRODUCT(R$3:R629,$B$3:$B629)/SUM($B$3:$B629))/STDEVA(W619:W629),"")</f>
        <v/>
      </c>
      <c r="AC629" s="84" t="str">
        <f>IF(S629&lt;&gt;"",(X629-SUMPRODUCT(S$3:S629,$B$3:$B629)/SUM($B$3:$B629))/STDEVA(X619:X629),"")</f>
        <v/>
      </c>
      <c r="AD629" s="84" t="str">
        <f>IF(T629&lt;&gt;"",(Y629-SUMPRODUCT(T$3:T629,$B$3:$B629)/SUM($B$3:$B629))/STDEVA(Y619:Y629),"")</f>
        <v/>
      </c>
      <c r="AE629" s="84" t="str">
        <f>IF(U629&lt;&gt;"",(Z629-SUMPRODUCT(U$3:U629,$B$3:$B629)/SUM($B$3:$B629))/STDEVA(Z619:Z629),"")</f>
        <v/>
      </c>
      <c r="AF629" s="85" t="str">
        <f>IF(V629&lt;&gt;"",(AA629-SUMPRODUCT(V$3:V629,$B$3:$B629)/SUM($B$3:$B629))/STDEVA(AA619:AA629),"")</f>
        <v/>
      </c>
      <c r="AG629" s="90" t="str">
        <f t="shared" si="254"/>
        <v/>
      </c>
      <c r="AH629" s="90" t="str">
        <f t="shared" si="254"/>
        <v/>
      </c>
      <c r="AI629" s="90" t="str">
        <f t="shared" si="254"/>
        <v/>
      </c>
      <c r="AJ629" s="90" t="str">
        <f t="shared" si="254"/>
        <v/>
      </c>
      <c r="AK629" s="93" t="str">
        <f t="shared" si="255"/>
        <v/>
      </c>
      <c r="BQ629" s="100" t="str">
        <f>IF(A629&lt;&gt;"",(VLOOKUP(A629,MarketData!$D:$BP,MATCH($BQ$1,MarketData!$D$1:$EG$1,0),TRUE)/100/365+1)^(B629)*BQ628,"")</f>
        <v/>
      </c>
      <c r="BR629" s="98" t="str">
        <f t="shared" si="232"/>
        <v/>
      </c>
      <c r="BS629" s="106" t="str">
        <f>IF(A629&lt;&gt;"",VLOOKUP(A629,MarketData!$D:$BP,MATCH($BS$1,MarketData!$D$1:$EG$1,0),TRUE),"")</f>
        <v/>
      </c>
      <c r="BT629" s="98" t="str">
        <f t="shared" si="243"/>
        <v/>
      </c>
    </row>
    <row r="630" spans="2:72" x14ac:dyDescent="0.25">
      <c r="B630" s="60" t="str">
        <f t="shared" si="256"/>
        <v/>
      </c>
      <c r="C630" s="3" t="str">
        <f t="shared" si="233"/>
        <v/>
      </c>
      <c r="D630" s="3" t="str">
        <f t="shared" si="234"/>
        <v/>
      </c>
      <c r="E630" s="3" t="str">
        <f t="shared" si="235"/>
        <v/>
      </c>
      <c r="F630" s="3" t="str">
        <f t="shared" si="236"/>
        <v/>
      </c>
      <c r="G630" s="74" t="str">
        <f t="shared" si="237"/>
        <v/>
      </c>
      <c r="H630" s="78" t="str">
        <f>IFERROR(C630/SUM(M$2:M629),"")</f>
        <v/>
      </c>
      <c r="I630" s="61" t="str">
        <f>IFERROR(D630/SUM(N$2:N630),"")</f>
        <v/>
      </c>
      <c r="J630" s="61" t="str">
        <f>IFERROR(E630/SUM(O$2:O630),"")</f>
        <v/>
      </c>
      <c r="K630" s="61" t="str">
        <f>IFERROR(F630/SUM(P$2:P630),"")</f>
        <v/>
      </c>
      <c r="L630" s="79" t="str">
        <f>IFERROR(G630/SUM(Q$2:Q630),"")</f>
        <v/>
      </c>
      <c r="M630" s="64" t="str">
        <f t="shared" si="238"/>
        <v/>
      </c>
      <c r="N630" s="55" t="str">
        <f t="shared" si="239"/>
        <v/>
      </c>
      <c r="O630" s="55" t="str">
        <f t="shared" si="240"/>
        <v/>
      </c>
      <c r="P630" s="55" t="str">
        <f t="shared" si="241"/>
        <v/>
      </c>
      <c r="Q630" s="65" t="str">
        <f t="shared" si="242"/>
        <v/>
      </c>
      <c r="R630" s="67" t="str">
        <f t="shared" si="244"/>
        <v/>
      </c>
      <c r="S630" s="56" t="str">
        <f t="shared" si="245"/>
        <v/>
      </c>
      <c r="T630" s="56" t="str">
        <f t="shared" si="246"/>
        <v/>
      </c>
      <c r="U630" s="56" t="str">
        <f t="shared" si="247"/>
        <v/>
      </c>
      <c r="V630" s="68" t="str">
        <f t="shared" si="248"/>
        <v/>
      </c>
      <c r="W630" s="80" t="str">
        <f t="shared" si="249"/>
        <v/>
      </c>
      <c r="X630" s="81" t="str">
        <f t="shared" si="250"/>
        <v/>
      </c>
      <c r="Y630" s="81" t="str">
        <f t="shared" si="251"/>
        <v/>
      </c>
      <c r="Z630" s="81" t="str">
        <f t="shared" si="252"/>
        <v/>
      </c>
      <c r="AA630" s="82" t="str">
        <f t="shared" si="253"/>
        <v/>
      </c>
      <c r="AB630" s="83" t="str">
        <f>IF(R630&lt;&gt;"",(W630-SUMPRODUCT(R$3:R630,$B$3:$B630)/SUM($B$3:$B630))/STDEVA(W620:W630),"")</f>
        <v/>
      </c>
      <c r="AC630" s="84" t="str">
        <f>IF(S630&lt;&gt;"",(X630-SUMPRODUCT(S$3:S630,$B$3:$B630)/SUM($B$3:$B630))/STDEVA(X620:X630),"")</f>
        <v/>
      </c>
      <c r="AD630" s="84" t="str">
        <f>IF(T630&lt;&gt;"",(Y630-SUMPRODUCT(T$3:T630,$B$3:$B630)/SUM($B$3:$B630))/STDEVA(Y620:Y630),"")</f>
        <v/>
      </c>
      <c r="AE630" s="84" t="str">
        <f>IF(U630&lt;&gt;"",(Z630-SUMPRODUCT(U$3:U630,$B$3:$B630)/SUM($B$3:$B630))/STDEVA(Z620:Z630),"")</f>
        <v/>
      </c>
      <c r="AF630" s="85" t="str">
        <f>IF(V630&lt;&gt;"",(AA630-SUMPRODUCT(V$3:V630,$B$3:$B630)/SUM($B$3:$B630))/STDEVA(AA620:AA630),"")</f>
        <v/>
      </c>
      <c r="AG630" s="90" t="str">
        <f t="shared" si="254"/>
        <v/>
      </c>
      <c r="AH630" s="90" t="str">
        <f t="shared" si="254"/>
        <v/>
      </c>
      <c r="AI630" s="90" t="str">
        <f t="shared" si="254"/>
        <v/>
      </c>
      <c r="AJ630" s="90" t="str">
        <f t="shared" si="254"/>
        <v/>
      </c>
      <c r="AK630" s="93" t="str">
        <f t="shared" si="255"/>
        <v/>
      </c>
      <c r="BQ630" s="100" t="str">
        <f>IF(A630&lt;&gt;"",(VLOOKUP(A630,MarketData!$D:$BP,MATCH($BQ$1,MarketData!$D$1:$EG$1,0),TRUE)/100/365+1)^(B630)*BQ629,"")</f>
        <v/>
      </c>
      <c r="BR630" s="98" t="str">
        <f t="shared" si="232"/>
        <v/>
      </c>
      <c r="BS630" s="106" t="str">
        <f>IF(A630&lt;&gt;"",VLOOKUP(A630,MarketData!$D:$BP,MATCH($BS$1,MarketData!$D$1:$EG$1,0),TRUE),"")</f>
        <v/>
      </c>
      <c r="BT630" s="98" t="str">
        <f t="shared" si="243"/>
        <v/>
      </c>
    </row>
    <row r="631" spans="2:72" x14ac:dyDescent="0.25">
      <c r="B631" s="60" t="str">
        <f t="shared" si="256"/>
        <v/>
      </c>
      <c r="C631" s="3" t="str">
        <f t="shared" si="233"/>
        <v/>
      </c>
      <c r="D631" s="3" t="str">
        <f t="shared" si="234"/>
        <v/>
      </c>
      <c r="E631" s="3" t="str">
        <f t="shared" si="235"/>
        <v/>
      </c>
      <c r="F631" s="3" t="str">
        <f t="shared" si="236"/>
        <v/>
      </c>
      <c r="G631" s="74" t="str">
        <f t="shared" si="237"/>
        <v/>
      </c>
      <c r="H631" s="78" t="str">
        <f>IFERROR(C631/SUM(M$2:M630),"")</f>
        <v/>
      </c>
      <c r="I631" s="61" t="str">
        <f>IFERROR(D631/SUM(N$2:N631),"")</f>
        <v/>
      </c>
      <c r="J631" s="61" t="str">
        <f>IFERROR(E631/SUM(O$2:O631),"")</f>
        <v/>
      </c>
      <c r="K631" s="61" t="str">
        <f>IFERROR(F631/SUM(P$2:P631),"")</f>
        <v/>
      </c>
      <c r="L631" s="79" t="str">
        <f>IFERROR(G631/SUM(Q$2:Q631),"")</f>
        <v/>
      </c>
      <c r="M631" s="64" t="str">
        <f t="shared" si="238"/>
        <v/>
      </c>
      <c r="N631" s="55" t="str">
        <f t="shared" si="239"/>
        <v/>
      </c>
      <c r="O631" s="55" t="str">
        <f t="shared" si="240"/>
        <v/>
      </c>
      <c r="P631" s="55" t="str">
        <f t="shared" si="241"/>
        <v/>
      </c>
      <c r="Q631" s="65" t="str">
        <f t="shared" si="242"/>
        <v/>
      </c>
      <c r="R631" s="67" t="str">
        <f t="shared" si="244"/>
        <v/>
      </c>
      <c r="S631" s="56" t="str">
        <f t="shared" si="245"/>
        <v/>
      </c>
      <c r="T631" s="56" t="str">
        <f t="shared" si="246"/>
        <v/>
      </c>
      <c r="U631" s="56" t="str">
        <f t="shared" si="247"/>
        <v/>
      </c>
      <c r="V631" s="68" t="str">
        <f t="shared" si="248"/>
        <v/>
      </c>
      <c r="W631" s="80" t="str">
        <f t="shared" si="249"/>
        <v/>
      </c>
      <c r="X631" s="81" t="str">
        <f t="shared" si="250"/>
        <v/>
      </c>
      <c r="Y631" s="81" t="str">
        <f t="shared" si="251"/>
        <v/>
      </c>
      <c r="Z631" s="81" t="str">
        <f t="shared" si="252"/>
        <v/>
      </c>
      <c r="AA631" s="82" t="str">
        <f t="shared" si="253"/>
        <v/>
      </c>
      <c r="AB631" s="83" t="str">
        <f>IF(R631&lt;&gt;"",(W631-SUMPRODUCT(R$3:R631,$B$3:$B631)/SUM($B$3:$B631))/STDEVA(W621:W631),"")</f>
        <v/>
      </c>
      <c r="AC631" s="84" t="str">
        <f>IF(S631&lt;&gt;"",(X631-SUMPRODUCT(S$3:S631,$B$3:$B631)/SUM($B$3:$B631))/STDEVA(X621:X631),"")</f>
        <v/>
      </c>
      <c r="AD631" s="84" t="str">
        <f>IF(T631&lt;&gt;"",(Y631-SUMPRODUCT(T$3:T631,$B$3:$B631)/SUM($B$3:$B631))/STDEVA(Y621:Y631),"")</f>
        <v/>
      </c>
      <c r="AE631" s="84" t="str">
        <f>IF(U631&lt;&gt;"",(Z631-SUMPRODUCT(U$3:U631,$B$3:$B631)/SUM($B$3:$B631))/STDEVA(Z621:Z631),"")</f>
        <v/>
      </c>
      <c r="AF631" s="85" t="str">
        <f>IF(V631&lt;&gt;"",(AA631-SUMPRODUCT(V$3:V631,$B$3:$B631)/SUM($B$3:$B631))/STDEVA(AA621:AA631),"")</f>
        <v/>
      </c>
      <c r="AG631" s="90" t="str">
        <f t="shared" si="254"/>
        <v/>
      </c>
      <c r="AH631" s="90" t="str">
        <f t="shared" si="254"/>
        <v/>
      </c>
      <c r="AI631" s="90" t="str">
        <f t="shared" si="254"/>
        <v/>
      </c>
      <c r="AJ631" s="90" t="str">
        <f t="shared" si="254"/>
        <v/>
      </c>
      <c r="AK631" s="93" t="str">
        <f t="shared" si="255"/>
        <v/>
      </c>
      <c r="BQ631" s="100" t="str">
        <f>IF(A631&lt;&gt;"",(VLOOKUP(A631,MarketData!$D:$BP,MATCH($BQ$1,MarketData!$D$1:$EG$1,0),TRUE)/100/365+1)^(B631)*BQ630,"")</f>
        <v/>
      </c>
      <c r="BR631" s="98" t="str">
        <f t="shared" si="232"/>
        <v/>
      </c>
      <c r="BS631" s="106" t="str">
        <f>IF(A631&lt;&gt;"",VLOOKUP(A631,MarketData!$D:$BP,MATCH($BS$1,MarketData!$D$1:$EG$1,0),TRUE),"")</f>
        <v/>
      </c>
      <c r="BT631" s="98" t="str">
        <f t="shared" si="243"/>
        <v/>
      </c>
    </row>
    <row r="632" spans="2:72" x14ac:dyDescent="0.25">
      <c r="B632" s="60" t="str">
        <f t="shared" si="256"/>
        <v/>
      </c>
      <c r="C632" s="3" t="str">
        <f t="shared" si="233"/>
        <v/>
      </c>
      <c r="D632" s="3" t="str">
        <f t="shared" si="234"/>
        <v/>
      </c>
      <c r="E632" s="3" t="str">
        <f t="shared" si="235"/>
        <v/>
      </c>
      <c r="F632" s="3" t="str">
        <f t="shared" si="236"/>
        <v/>
      </c>
      <c r="G632" s="74" t="str">
        <f t="shared" si="237"/>
        <v/>
      </c>
      <c r="H632" s="78" t="str">
        <f>IFERROR(C632/SUM(M$2:M631),"")</f>
        <v/>
      </c>
      <c r="I632" s="61" t="str">
        <f>IFERROR(D632/SUM(N$2:N632),"")</f>
        <v/>
      </c>
      <c r="J632" s="61" t="str">
        <f>IFERROR(E632/SUM(O$2:O632),"")</f>
        <v/>
      </c>
      <c r="K632" s="61" t="str">
        <f>IFERROR(F632/SUM(P$2:P632),"")</f>
        <v/>
      </c>
      <c r="L632" s="79" t="str">
        <f>IFERROR(G632/SUM(Q$2:Q632),"")</f>
        <v/>
      </c>
      <c r="M632" s="64" t="str">
        <f t="shared" si="238"/>
        <v/>
      </c>
      <c r="N632" s="55" t="str">
        <f t="shared" si="239"/>
        <v/>
      </c>
      <c r="O632" s="55" t="str">
        <f t="shared" si="240"/>
        <v/>
      </c>
      <c r="P632" s="55" t="str">
        <f t="shared" si="241"/>
        <v/>
      </c>
      <c r="Q632" s="65" t="str">
        <f t="shared" si="242"/>
        <v/>
      </c>
      <c r="R632" s="67" t="str">
        <f t="shared" si="244"/>
        <v/>
      </c>
      <c r="S632" s="56" t="str">
        <f t="shared" si="245"/>
        <v/>
      </c>
      <c r="T632" s="56" t="str">
        <f t="shared" si="246"/>
        <v/>
      </c>
      <c r="U632" s="56" t="str">
        <f t="shared" si="247"/>
        <v/>
      </c>
      <c r="V632" s="68" t="str">
        <f t="shared" si="248"/>
        <v/>
      </c>
      <c r="W632" s="80" t="str">
        <f t="shared" si="249"/>
        <v/>
      </c>
      <c r="X632" s="81" t="str">
        <f t="shared" si="250"/>
        <v/>
      </c>
      <c r="Y632" s="81" t="str">
        <f t="shared" si="251"/>
        <v/>
      </c>
      <c r="Z632" s="81" t="str">
        <f t="shared" si="252"/>
        <v/>
      </c>
      <c r="AA632" s="82" t="str">
        <f t="shared" si="253"/>
        <v/>
      </c>
      <c r="AB632" s="83" t="str">
        <f>IF(R632&lt;&gt;"",(W632-SUMPRODUCT(R$3:R632,$B$3:$B632)/SUM($B$3:$B632))/STDEVA(W622:W632),"")</f>
        <v/>
      </c>
      <c r="AC632" s="84" t="str">
        <f>IF(S632&lt;&gt;"",(X632-SUMPRODUCT(S$3:S632,$B$3:$B632)/SUM($B$3:$B632))/STDEVA(X622:X632),"")</f>
        <v/>
      </c>
      <c r="AD632" s="84" t="str">
        <f>IF(T632&lt;&gt;"",(Y632-SUMPRODUCT(T$3:T632,$B$3:$B632)/SUM($B$3:$B632))/STDEVA(Y622:Y632),"")</f>
        <v/>
      </c>
      <c r="AE632" s="84" t="str">
        <f>IF(U632&lt;&gt;"",(Z632-SUMPRODUCT(U$3:U632,$B$3:$B632)/SUM($B$3:$B632))/STDEVA(Z622:Z632),"")</f>
        <v/>
      </c>
      <c r="AF632" s="85" t="str">
        <f>IF(V632&lt;&gt;"",(AA632-SUMPRODUCT(V$3:V632,$B$3:$B632)/SUM($B$3:$B632))/STDEVA(AA622:AA632),"")</f>
        <v/>
      </c>
      <c r="AG632" s="90" t="str">
        <f t="shared" si="254"/>
        <v/>
      </c>
      <c r="AH632" s="90" t="str">
        <f t="shared" si="254"/>
        <v/>
      </c>
      <c r="AI632" s="90" t="str">
        <f t="shared" si="254"/>
        <v/>
      </c>
      <c r="AJ632" s="90" t="str">
        <f t="shared" si="254"/>
        <v/>
      </c>
      <c r="AK632" s="93" t="str">
        <f t="shared" si="255"/>
        <v/>
      </c>
      <c r="BQ632" s="100" t="str">
        <f>IF(A632&lt;&gt;"",(VLOOKUP(A632,MarketData!$D:$BP,MATCH($BQ$1,MarketData!$D$1:$EG$1,0),TRUE)/100/365+1)^(B632)*BQ631,"")</f>
        <v/>
      </c>
      <c r="BR632" s="98" t="str">
        <f t="shared" si="232"/>
        <v/>
      </c>
      <c r="BS632" s="106" t="str">
        <f>IF(A632&lt;&gt;"",VLOOKUP(A632,MarketData!$D:$BP,MATCH($BS$1,MarketData!$D$1:$EG$1,0),TRUE),"")</f>
        <v/>
      </c>
      <c r="BT632" s="98" t="str">
        <f t="shared" si="243"/>
        <v/>
      </c>
    </row>
    <row r="633" spans="2:72" x14ac:dyDescent="0.25">
      <c r="B633" s="60" t="str">
        <f t="shared" si="256"/>
        <v/>
      </c>
      <c r="C633" s="3" t="str">
        <f t="shared" si="233"/>
        <v/>
      </c>
      <c r="D633" s="3" t="str">
        <f t="shared" si="234"/>
        <v/>
      </c>
      <c r="E633" s="3" t="str">
        <f t="shared" si="235"/>
        <v/>
      </c>
      <c r="F633" s="3" t="str">
        <f t="shared" si="236"/>
        <v/>
      </c>
      <c r="G633" s="74" t="str">
        <f t="shared" si="237"/>
        <v/>
      </c>
      <c r="H633" s="78" t="str">
        <f>IFERROR(C633/SUM(M$2:M632),"")</f>
        <v/>
      </c>
      <c r="I633" s="61" t="str">
        <f>IFERROR(D633/SUM(N$2:N633),"")</f>
        <v/>
      </c>
      <c r="J633" s="61" t="str">
        <f>IFERROR(E633/SUM(O$2:O633),"")</f>
        <v/>
      </c>
      <c r="K633" s="61" t="str">
        <f>IFERROR(F633/SUM(P$2:P633),"")</f>
        <v/>
      </c>
      <c r="L633" s="79" t="str">
        <f>IFERROR(G633/SUM(Q$2:Q633),"")</f>
        <v/>
      </c>
      <c r="M633" s="64" t="str">
        <f t="shared" si="238"/>
        <v/>
      </c>
      <c r="N633" s="55" t="str">
        <f t="shared" si="239"/>
        <v/>
      </c>
      <c r="O633" s="55" t="str">
        <f t="shared" si="240"/>
        <v/>
      </c>
      <c r="P633" s="55" t="str">
        <f t="shared" si="241"/>
        <v/>
      </c>
      <c r="Q633" s="65" t="str">
        <f t="shared" si="242"/>
        <v/>
      </c>
      <c r="R633" s="67" t="str">
        <f t="shared" si="244"/>
        <v/>
      </c>
      <c r="S633" s="56" t="str">
        <f t="shared" si="245"/>
        <v/>
      </c>
      <c r="T633" s="56" t="str">
        <f t="shared" si="246"/>
        <v/>
      </c>
      <c r="U633" s="56" t="str">
        <f t="shared" si="247"/>
        <v/>
      </c>
      <c r="V633" s="68" t="str">
        <f t="shared" si="248"/>
        <v/>
      </c>
      <c r="W633" s="80" t="str">
        <f t="shared" si="249"/>
        <v/>
      </c>
      <c r="X633" s="81" t="str">
        <f t="shared" si="250"/>
        <v/>
      </c>
      <c r="Y633" s="81" t="str">
        <f t="shared" si="251"/>
        <v/>
      </c>
      <c r="Z633" s="81" t="str">
        <f t="shared" si="252"/>
        <v/>
      </c>
      <c r="AA633" s="82" t="str">
        <f t="shared" si="253"/>
        <v/>
      </c>
      <c r="AB633" s="83" t="str">
        <f>IF(R633&lt;&gt;"",(W633-SUMPRODUCT(R$3:R633,$B$3:$B633)/SUM($B$3:$B633))/STDEVA(W623:W633),"")</f>
        <v/>
      </c>
      <c r="AC633" s="84" t="str">
        <f>IF(S633&lt;&gt;"",(X633-SUMPRODUCT(S$3:S633,$B$3:$B633)/SUM($B$3:$B633))/STDEVA(X623:X633),"")</f>
        <v/>
      </c>
      <c r="AD633" s="84" t="str">
        <f>IF(T633&lt;&gt;"",(Y633-SUMPRODUCT(T$3:T633,$B$3:$B633)/SUM($B$3:$B633))/STDEVA(Y623:Y633),"")</f>
        <v/>
      </c>
      <c r="AE633" s="84" t="str">
        <f>IF(U633&lt;&gt;"",(Z633-SUMPRODUCT(U$3:U633,$B$3:$B633)/SUM($B$3:$B633))/STDEVA(Z623:Z633),"")</f>
        <v/>
      </c>
      <c r="AF633" s="85" t="str">
        <f>IF(V633&lt;&gt;"",(AA633-SUMPRODUCT(V$3:V633,$B$3:$B633)/SUM($B$3:$B633))/STDEVA(AA623:AA633),"")</f>
        <v/>
      </c>
      <c r="AG633" s="90" t="str">
        <f t="shared" si="254"/>
        <v/>
      </c>
      <c r="AH633" s="90" t="str">
        <f t="shared" si="254"/>
        <v/>
      </c>
      <c r="AI633" s="90" t="str">
        <f t="shared" si="254"/>
        <v/>
      </c>
      <c r="AJ633" s="90" t="str">
        <f t="shared" si="254"/>
        <v/>
      </c>
      <c r="AK633" s="93" t="str">
        <f t="shared" si="255"/>
        <v/>
      </c>
      <c r="BQ633" s="100" t="str">
        <f>IF(A633&lt;&gt;"",(VLOOKUP(A633,MarketData!$D:$BP,MATCH($BQ$1,MarketData!$D$1:$EG$1,0),TRUE)/100/365+1)^(B633)*BQ632,"")</f>
        <v/>
      </c>
      <c r="BR633" s="98" t="str">
        <f t="shared" si="232"/>
        <v/>
      </c>
      <c r="BS633" s="106" t="str">
        <f>IF(A633&lt;&gt;"",VLOOKUP(A633,MarketData!$D:$BP,MATCH($BS$1,MarketData!$D$1:$EG$1,0),TRUE),"")</f>
        <v/>
      </c>
      <c r="BT633" s="98" t="str">
        <f t="shared" si="243"/>
        <v/>
      </c>
    </row>
    <row r="634" spans="2:72" x14ac:dyDescent="0.25">
      <c r="B634" s="60" t="str">
        <f t="shared" si="256"/>
        <v/>
      </c>
      <c r="C634" s="3" t="str">
        <f t="shared" si="233"/>
        <v/>
      </c>
      <c r="D634" s="3" t="str">
        <f t="shared" si="234"/>
        <v/>
      </c>
      <c r="E634" s="3" t="str">
        <f t="shared" si="235"/>
        <v/>
      </c>
      <c r="F634" s="3" t="str">
        <f t="shared" si="236"/>
        <v/>
      </c>
      <c r="G634" s="74" t="str">
        <f t="shared" si="237"/>
        <v/>
      </c>
      <c r="H634" s="78" t="str">
        <f>IFERROR(C634/SUM(M$2:M633),"")</f>
        <v/>
      </c>
      <c r="I634" s="61" t="str">
        <f>IFERROR(D634/SUM(N$2:N634),"")</f>
        <v/>
      </c>
      <c r="J634" s="61" t="str">
        <f>IFERROR(E634/SUM(O$2:O634),"")</f>
        <v/>
      </c>
      <c r="K634" s="61" t="str">
        <f>IFERROR(F634/SUM(P$2:P634),"")</f>
        <v/>
      </c>
      <c r="L634" s="79" t="str">
        <f>IFERROR(G634/SUM(Q$2:Q634),"")</f>
        <v/>
      </c>
      <c r="M634" s="64" t="str">
        <f t="shared" si="238"/>
        <v/>
      </c>
      <c r="N634" s="55" t="str">
        <f t="shared" si="239"/>
        <v/>
      </c>
      <c r="O634" s="55" t="str">
        <f t="shared" si="240"/>
        <v/>
      </c>
      <c r="P634" s="55" t="str">
        <f t="shared" si="241"/>
        <v/>
      </c>
      <c r="Q634" s="65" t="str">
        <f t="shared" si="242"/>
        <v/>
      </c>
      <c r="R634" s="67" t="str">
        <f t="shared" si="244"/>
        <v/>
      </c>
      <c r="S634" s="56" t="str">
        <f t="shared" si="245"/>
        <v/>
      </c>
      <c r="T634" s="56" t="str">
        <f t="shared" si="246"/>
        <v/>
      </c>
      <c r="U634" s="56" t="str">
        <f t="shared" si="247"/>
        <v/>
      </c>
      <c r="V634" s="68" t="str">
        <f t="shared" si="248"/>
        <v/>
      </c>
      <c r="W634" s="80" t="str">
        <f t="shared" si="249"/>
        <v/>
      </c>
      <c r="X634" s="81" t="str">
        <f t="shared" si="250"/>
        <v/>
      </c>
      <c r="Y634" s="81" t="str">
        <f t="shared" si="251"/>
        <v/>
      </c>
      <c r="Z634" s="81" t="str">
        <f t="shared" si="252"/>
        <v/>
      </c>
      <c r="AA634" s="82" t="str">
        <f t="shared" si="253"/>
        <v/>
      </c>
      <c r="AB634" s="83" t="str">
        <f>IF(R634&lt;&gt;"",(W634-SUMPRODUCT(R$3:R634,$B$3:$B634)/SUM($B$3:$B634))/STDEVA(W624:W634),"")</f>
        <v/>
      </c>
      <c r="AC634" s="84" t="str">
        <f>IF(S634&lt;&gt;"",(X634-SUMPRODUCT(S$3:S634,$B$3:$B634)/SUM($B$3:$B634))/STDEVA(X624:X634),"")</f>
        <v/>
      </c>
      <c r="AD634" s="84" t="str">
        <f>IF(T634&lt;&gt;"",(Y634-SUMPRODUCT(T$3:T634,$B$3:$B634)/SUM($B$3:$B634))/STDEVA(Y624:Y634),"")</f>
        <v/>
      </c>
      <c r="AE634" s="84" t="str">
        <f>IF(U634&lt;&gt;"",(Z634-SUMPRODUCT(U$3:U634,$B$3:$B634)/SUM($B$3:$B634))/STDEVA(Z624:Z634),"")</f>
        <v/>
      </c>
      <c r="AF634" s="85" t="str">
        <f>IF(V634&lt;&gt;"",(AA634-SUMPRODUCT(V$3:V634,$B$3:$B634)/SUM($B$3:$B634))/STDEVA(AA624:AA634),"")</f>
        <v/>
      </c>
      <c r="AG634" s="90" t="str">
        <f t="shared" si="254"/>
        <v/>
      </c>
      <c r="AH634" s="90" t="str">
        <f t="shared" si="254"/>
        <v/>
      </c>
      <c r="AI634" s="90" t="str">
        <f t="shared" si="254"/>
        <v/>
      </c>
      <c r="AJ634" s="90" t="str">
        <f t="shared" si="254"/>
        <v/>
      </c>
      <c r="AK634" s="93" t="str">
        <f t="shared" si="255"/>
        <v/>
      </c>
      <c r="BQ634" s="100" t="str">
        <f>IF(A634&lt;&gt;"",(VLOOKUP(A634,MarketData!$D:$BP,MATCH($BQ$1,MarketData!$D$1:$EG$1,0),TRUE)/100/365+1)^(B634)*BQ633,"")</f>
        <v/>
      </c>
      <c r="BR634" s="98" t="str">
        <f t="shared" si="232"/>
        <v/>
      </c>
      <c r="BS634" s="106" t="str">
        <f>IF(A634&lt;&gt;"",VLOOKUP(A634,MarketData!$D:$BP,MATCH($BS$1,MarketData!$D$1:$EG$1,0),TRUE),"")</f>
        <v/>
      </c>
      <c r="BT634" s="98" t="str">
        <f t="shared" si="243"/>
        <v/>
      </c>
    </row>
    <row r="635" spans="2:72" x14ac:dyDescent="0.25">
      <c r="B635" s="60" t="str">
        <f t="shared" si="256"/>
        <v/>
      </c>
      <c r="C635" s="3" t="str">
        <f t="shared" si="233"/>
        <v/>
      </c>
      <c r="D635" s="3" t="str">
        <f t="shared" si="234"/>
        <v/>
      </c>
      <c r="E635" s="3" t="str">
        <f t="shared" si="235"/>
        <v/>
      </c>
      <c r="F635" s="3" t="str">
        <f t="shared" si="236"/>
        <v/>
      </c>
      <c r="G635" s="74" t="str">
        <f t="shared" si="237"/>
        <v/>
      </c>
      <c r="H635" s="78" t="str">
        <f>IFERROR(C635/SUM(M$2:M634),"")</f>
        <v/>
      </c>
      <c r="I635" s="61" t="str">
        <f>IFERROR(D635/SUM(N$2:N635),"")</f>
        <v/>
      </c>
      <c r="J635" s="61" t="str">
        <f>IFERROR(E635/SUM(O$2:O635),"")</f>
        <v/>
      </c>
      <c r="K635" s="61" t="str">
        <f>IFERROR(F635/SUM(P$2:P635),"")</f>
        <v/>
      </c>
      <c r="L635" s="79" t="str">
        <f>IFERROR(G635/SUM(Q$2:Q635),"")</f>
        <v/>
      </c>
      <c r="M635" s="64" t="str">
        <f t="shared" si="238"/>
        <v/>
      </c>
      <c r="N635" s="55" t="str">
        <f t="shared" si="239"/>
        <v/>
      </c>
      <c r="O635" s="55" t="str">
        <f t="shared" si="240"/>
        <v/>
      </c>
      <c r="P635" s="55" t="str">
        <f t="shared" si="241"/>
        <v/>
      </c>
      <c r="Q635" s="65" t="str">
        <f t="shared" si="242"/>
        <v/>
      </c>
      <c r="R635" s="67" t="str">
        <f t="shared" si="244"/>
        <v/>
      </c>
      <c r="S635" s="56" t="str">
        <f t="shared" si="245"/>
        <v/>
      </c>
      <c r="T635" s="56" t="str">
        <f t="shared" si="246"/>
        <v/>
      </c>
      <c r="U635" s="56" t="str">
        <f t="shared" si="247"/>
        <v/>
      </c>
      <c r="V635" s="68" t="str">
        <f t="shared" si="248"/>
        <v/>
      </c>
      <c r="W635" s="80" t="str">
        <f t="shared" si="249"/>
        <v/>
      </c>
      <c r="X635" s="81" t="str">
        <f t="shared" si="250"/>
        <v/>
      </c>
      <c r="Y635" s="81" t="str">
        <f t="shared" si="251"/>
        <v/>
      </c>
      <c r="Z635" s="81" t="str">
        <f t="shared" si="252"/>
        <v/>
      </c>
      <c r="AA635" s="82" t="str">
        <f t="shared" si="253"/>
        <v/>
      </c>
      <c r="AB635" s="83" t="str">
        <f>IF(R635&lt;&gt;"",(W635-SUMPRODUCT(R$3:R635,$B$3:$B635)/SUM($B$3:$B635))/STDEVA(W625:W635),"")</f>
        <v/>
      </c>
      <c r="AC635" s="84" t="str">
        <f>IF(S635&lt;&gt;"",(X635-SUMPRODUCT(S$3:S635,$B$3:$B635)/SUM($B$3:$B635))/STDEVA(X625:X635),"")</f>
        <v/>
      </c>
      <c r="AD635" s="84" t="str">
        <f>IF(T635&lt;&gt;"",(Y635-SUMPRODUCT(T$3:T635,$B$3:$B635)/SUM($B$3:$B635))/STDEVA(Y625:Y635),"")</f>
        <v/>
      </c>
      <c r="AE635" s="84" t="str">
        <f>IF(U635&lt;&gt;"",(Z635-SUMPRODUCT(U$3:U635,$B$3:$B635)/SUM($B$3:$B635))/STDEVA(Z625:Z635),"")</f>
        <v/>
      </c>
      <c r="AF635" s="85" t="str">
        <f>IF(V635&lt;&gt;"",(AA635-SUMPRODUCT(V$3:V635,$B$3:$B635)/SUM($B$3:$B635))/STDEVA(AA625:AA635),"")</f>
        <v/>
      </c>
      <c r="AG635" s="90" t="str">
        <f t="shared" si="254"/>
        <v/>
      </c>
      <c r="AH635" s="90" t="str">
        <f t="shared" si="254"/>
        <v/>
      </c>
      <c r="AI635" s="90" t="str">
        <f t="shared" si="254"/>
        <v/>
      </c>
      <c r="AJ635" s="90" t="str">
        <f t="shared" si="254"/>
        <v/>
      </c>
      <c r="AK635" s="93" t="str">
        <f t="shared" si="255"/>
        <v/>
      </c>
      <c r="BQ635" s="100" t="str">
        <f>IF(A635&lt;&gt;"",(VLOOKUP(A635,MarketData!$D:$BP,MATCH($BQ$1,MarketData!$D$1:$EG$1,0),TRUE)/100/365+1)^(B635)*BQ634,"")</f>
        <v/>
      </c>
      <c r="BR635" s="98" t="str">
        <f t="shared" si="232"/>
        <v/>
      </c>
      <c r="BS635" s="106" t="str">
        <f>IF(A635&lt;&gt;"",VLOOKUP(A635,MarketData!$D:$BP,MATCH($BS$1,MarketData!$D$1:$EG$1,0),TRUE),"")</f>
        <v/>
      </c>
      <c r="BT635" s="98" t="str">
        <f t="shared" si="243"/>
        <v/>
      </c>
    </row>
    <row r="636" spans="2:72" x14ac:dyDescent="0.25">
      <c r="B636" s="60" t="str">
        <f t="shared" si="256"/>
        <v/>
      </c>
      <c r="C636" s="3" t="str">
        <f t="shared" si="233"/>
        <v/>
      </c>
      <c r="D636" s="3" t="str">
        <f t="shared" si="234"/>
        <v/>
      </c>
      <c r="E636" s="3" t="str">
        <f t="shared" si="235"/>
        <v/>
      </c>
      <c r="F636" s="3" t="str">
        <f t="shared" si="236"/>
        <v/>
      </c>
      <c r="G636" s="74" t="str">
        <f t="shared" si="237"/>
        <v/>
      </c>
      <c r="H636" s="78" t="str">
        <f>IFERROR(C636/SUM(M$2:M635),"")</f>
        <v/>
      </c>
      <c r="I636" s="61" t="str">
        <f>IFERROR(D636/SUM(N$2:N636),"")</f>
        <v/>
      </c>
      <c r="J636" s="61" t="str">
        <f>IFERROR(E636/SUM(O$2:O636),"")</f>
        <v/>
      </c>
      <c r="K636" s="61" t="str">
        <f>IFERROR(F636/SUM(P$2:P636),"")</f>
        <v/>
      </c>
      <c r="L636" s="79" t="str">
        <f>IFERROR(G636/SUM(Q$2:Q636),"")</f>
        <v/>
      </c>
      <c r="M636" s="64" t="str">
        <f t="shared" si="238"/>
        <v/>
      </c>
      <c r="N636" s="55" t="str">
        <f t="shared" si="239"/>
        <v/>
      </c>
      <c r="O636" s="55" t="str">
        <f t="shared" si="240"/>
        <v/>
      </c>
      <c r="P636" s="55" t="str">
        <f t="shared" si="241"/>
        <v/>
      </c>
      <c r="Q636" s="65" t="str">
        <f t="shared" si="242"/>
        <v/>
      </c>
      <c r="R636" s="67" t="str">
        <f t="shared" si="244"/>
        <v/>
      </c>
      <c r="S636" s="56" t="str">
        <f t="shared" si="245"/>
        <v/>
      </c>
      <c r="T636" s="56" t="str">
        <f t="shared" si="246"/>
        <v/>
      </c>
      <c r="U636" s="56" t="str">
        <f t="shared" si="247"/>
        <v/>
      </c>
      <c r="V636" s="68" t="str">
        <f t="shared" si="248"/>
        <v/>
      </c>
      <c r="W636" s="80" t="str">
        <f t="shared" si="249"/>
        <v/>
      </c>
      <c r="X636" s="81" t="str">
        <f t="shared" si="250"/>
        <v/>
      </c>
      <c r="Y636" s="81" t="str">
        <f t="shared" si="251"/>
        <v/>
      </c>
      <c r="Z636" s="81" t="str">
        <f t="shared" si="252"/>
        <v/>
      </c>
      <c r="AA636" s="82" t="str">
        <f t="shared" si="253"/>
        <v/>
      </c>
      <c r="AB636" s="83" t="str">
        <f>IF(R636&lt;&gt;"",(W636-SUMPRODUCT(R$3:R636,$B$3:$B636)/SUM($B$3:$B636))/STDEVA(W626:W636),"")</f>
        <v/>
      </c>
      <c r="AC636" s="84" t="str">
        <f>IF(S636&lt;&gt;"",(X636-SUMPRODUCT(S$3:S636,$B$3:$B636)/SUM($B$3:$B636))/STDEVA(X626:X636),"")</f>
        <v/>
      </c>
      <c r="AD636" s="84" t="str">
        <f>IF(T636&lt;&gt;"",(Y636-SUMPRODUCT(T$3:T636,$B$3:$B636)/SUM($B$3:$B636))/STDEVA(Y626:Y636),"")</f>
        <v/>
      </c>
      <c r="AE636" s="84" t="str">
        <f>IF(U636&lt;&gt;"",(Z636-SUMPRODUCT(U$3:U636,$B$3:$B636)/SUM($B$3:$B636))/STDEVA(Z626:Z636),"")</f>
        <v/>
      </c>
      <c r="AF636" s="85" t="str">
        <f>IF(V636&lt;&gt;"",(AA636-SUMPRODUCT(V$3:V636,$B$3:$B636)/SUM($B$3:$B636))/STDEVA(AA626:AA636),"")</f>
        <v/>
      </c>
      <c r="AG636" s="90" t="str">
        <f t="shared" si="254"/>
        <v/>
      </c>
      <c r="AH636" s="90" t="str">
        <f t="shared" si="254"/>
        <v/>
      </c>
      <c r="AI636" s="90" t="str">
        <f t="shared" si="254"/>
        <v/>
      </c>
      <c r="AJ636" s="90" t="str">
        <f t="shared" si="254"/>
        <v/>
      </c>
      <c r="AK636" s="93" t="str">
        <f t="shared" si="255"/>
        <v/>
      </c>
      <c r="BQ636" s="100" t="str">
        <f>IF(A636&lt;&gt;"",(VLOOKUP(A636,MarketData!$D:$BP,MATCH($BQ$1,MarketData!$D$1:$EG$1,0),TRUE)/100/365+1)^(B636)*BQ635,"")</f>
        <v/>
      </c>
      <c r="BR636" s="98" t="str">
        <f t="shared" si="232"/>
        <v/>
      </c>
      <c r="BS636" s="106" t="str">
        <f>IF(A636&lt;&gt;"",VLOOKUP(A636,MarketData!$D:$BP,MATCH($BS$1,MarketData!$D$1:$EG$1,0),TRUE),"")</f>
        <v/>
      </c>
      <c r="BT636" s="98" t="str">
        <f t="shared" si="243"/>
        <v/>
      </c>
    </row>
    <row r="637" spans="2:72" x14ac:dyDescent="0.25">
      <c r="B637" s="60" t="str">
        <f t="shared" si="256"/>
        <v/>
      </c>
      <c r="C637" s="3" t="str">
        <f t="shared" si="233"/>
        <v/>
      </c>
      <c r="D637" s="3" t="str">
        <f t="shared" si="234"/>
        <v/>
      </c>
      <c r="E637" s="3" t="str">
        <f t="shared" si="235"/>
        <v/>
      </c>
      <c r="F637" s="3" t="str">
        <f t="shared" si="236"/>
        <v/>
      </c>
      <c r="G637" s="74" t="str">
        <f t="shared" si="237"/>
        <v/>
      </c>
      <c r="H637" s="78" t="str">
        <f>IFERROR(C637/SUM(M$2:M636),"")</f>
        <v/>
      </c>
      <c r="I637" s="61" t="str">
        <f>IFERROR(D637/SUM(N$2:N637),"")</f>
        <v/>
      </c>
      <c r="J637" s="61" t="str">
        <f>IFERROR(E637/SUM(O$2:O637),"")</f>
        <v/>
      </c>
      <c r="K637" s="61" t="str">
        <f>IFERROR(F637/SUM(P$2:P637),"")</f>
        <v/>
      </c>
      <c r="L637" s="79" t="str">
        <f>IFERROR(G637/SUM(Q$2:Q637),"")</f>
        <v/>
      </c>
      <c r="M637" s="64" t="str">
        <f t="shared" si="238"/>
        <v/>
      </c>
      <c r="N637" s="55" t="str">
        <f t="shared" si="239"/>
        <v/>
      </c>
      <c r="O637" s="55" t="str">
        <f t="shared" si="240"/>
        <v/>
      </c>
      <c r="P637" s="55" t="str">
        <f t="shared" si="241"/>
        <v/>
      </c>
      <c r="Q637" s="65" t="str">
        <f t="shared" si="242"/>
        <v/>
      </c>
      <c r="R637" s="67" t="str">
        <f t="shared" si="244"/>
        <v/>
      </c>
      <c r="S637" s="56" t="str">
        <f t="shared" si="245"/>
        <v/>
      </c>
      <c r="T637" s="56" t="str">
        <f t="shared" si="246"/>
        <v/>
      </c>
      <c r="U637" s="56" t="str">
        <f t="shared" si="247"/>
        <v/>
      </c>
      <c r="V637" s="68" t="str">
        <f t="shared" si="248"/>
        <v/>
      </c>
      <c r="W637" s="80" t="str">
        <f t="shared" si="249"/>
        <v/>
      </c>
      <c r="X637" s="81" t="str">
        <f t="shared" si="250"/>
        <v/>
      </c>
      <c r="Y637" s="81" t="str">
        <f t="shared" si="251"/>
        <v/>
      </c>
      <c r="Z637" s="81" t="str">
        <f t="shared" si="252"/>
        <v/>
      </c>
      <c r="AA637" s="82" t="str">
        <f t="shared" si="253"/>
        <v/>
      </c>
      <c r="AB637" s="83" t="str">
        <f>IF(R637&lt;&gt;"",(W637-SUMPRODUCT(R$3:R637,$B$3:$B637)/SUM($B$3:$B637))/STDEVA(W627:W637),"")</f>
        <v/>
      </c>
      <c r="AC637" s="84" t="str">
        <f>IF(S637&lt;&gt;"",(X637-SUMPRODUCT(S$3:S637,$B$3:$B637)/SUM($B$3:$B637))/STDEVA(X627:X637),"")</f>
        <v/>
      </c>
      <c r="AD637" s="84" t="str">
        <f>IF(T637&lt;&gt;"",(Y637-SUMPRODUCT(T$3:T637,$B$3:$B637)/SUM($B$3:$B637))/STDEVA(Y627:Y637),"")</f>
        <v/>
      </c>
      <c r="AE637" s="84" t="str">
        <f>IF(U637&lt;&gt;"",(Z637-SUMPRODUCT(U$3:U637,$B$3:$B637)/SUM($B$3:$B637))/STDEVA(Z627:Z637),"")</f>
        <v/>
      </c>
      <c r="AF637" s="85" t="str">
        <f>IF(V637&lt;&gt;"",(AA637-SUMPRODUCT(V$3:V637,$B$3:$B637)/SUM($B$3:$B637))/STDEVA(AA627:AA637),"")</f>
        <v/>
      </c>
      <c r="AG637" s="90" t="str">
        <f t="shared" si="254"/>
        <v/>
      </c>
      <c r="AH637" s="90" t="str">
        <f t="shared" si="254"/>
        <v/>
      </c>
      <c r="AI637" s="90" t="str">
        <f t="shared" si="254"/>
        <v/>
      </c>
      <c r="AJ637" s="90" t="str">
        <f t="shared" si="254"/>
        <v/>
      </c>
      <c r="AK637" s="93" t="str">
        <f t="shared" si="255"/>
        <v/>
      </c>
      <c r="BQ637" s="100" t="str">
        <f>IF(A637&lt;&gt;"",(VLOOKUP(A637,MarketData!$D:$BP,MATCH($BQ$1,MarketData!$D$1:$EG$1,0),TRUE)/100/365+1)^(B637)*BQ636,"")</f>
        <v/>
      </c>
      <c r="BR637" s="98" t="str">
        <f t="shared" si="232"/>
        <v/>
      </c>
      <c r="BS637" s="106" t="str">
        <f>IF(A637&lt;&gt;"",VLOOKUP(A637,MarketData!$D:$BP,MATCH($BS$1,MarketData!$D$1:$EG$1,0),TRUE),"")</f>
        <v/>
      </c>
      <c r="BT637" s="98" t="str">
        <f t="shared" si="243"/>
        <v/>
      </c>
    </row>
    <row r="638" spans="2:72" x14ac:dyDescent="0.25">
      <c r="B638" s="60" t="str">
        <f t="shared" si="256"/>
        <v/>
      </c>
      <c r="C638" s="3" t="str">
        <f t="shared" si="233"/>
        <v/>
      </c>
      <c r="D638" s="3" t="str">
        <f t="shared" si="234"/>
        <v/>
      </c>
      <c r="E638" s="3" t="str">
        <f t="shared" si="235"/>
        <v/>
      </c>
      <c r="F638" s="3" t="str">
        <f t="shared" si="236"/>
        <v/>
      </c>
      <c r="G638" s="74" t="str">
        <f t="shared" si="237"/>
        <v/>
      </c>
      <c r="H638" s="78" t="str">
        <f>IFERROR(C638/SUM(M$2:M637),"")</f>
        <v/>
      </c>
      <c r="I638" s="61" t="str">
        <f>IFERROR(D638/SUM(N$2:N638),"")</f>
        <v/>
      </c>
      <c r="J638" s="61" t="str">
        <f>IFERROR(E638/SUM(O$2:O638),"")</f>
        <v/>
      </c>
      <c r="K638" s="61" t="str">
        <f>IFERROR(F638/SUM(P$2:P638),"")</f>
        <v/>
      </c>
      <c r="L638" s="79" t="str">
        <f>IFERROR(G638/SUM(Q$2:Q638),"")</f>
        <v/>
      </c>
      <c r="M638" s="64" t="str">
        <f t="shared" si="238"/>
        <v/>
      </c>
      <c r="N638" s="55" t="str">
        <f t="shared" si="239"/>
        <v/>
      </c>
      <c r="O638" s="55" t="str">
        <f t="shared" si="240"/>
        <v/>
      </c>
      <c r="P638" s="55" t="str">
        <f t="shared" si="241"/>
        <v/>
      </c>
      <c r="Q638" s="65" t="str">
        <f t="shared" si="242"/>
        <v/>
      </c>
      <c r="R638" s="67" t="str">
        <f t="shared" si="244"/>
        <v/>
      </c>
      <c r="S638" s="56" t="str">
        <f t="shared" si="245"/>
        <v/>
      </c>
      <c r="T638" s="56" t="str">
        <f t="shared" si="246"/>
        <v/>
      </c>
      <c r="U638" s="56" t="str">
        <f t="shared" si="247"/>
        <v/>
      </c>
      <c r="V638" s="68" t="str">
        <f t="shared" si="248"/>
        <v/>
      </c>
      <c r="W638" s="80" t="str">
        <f t="shared" si="249"/>
        <v/>
      </c>
      <c r="X638" s="81" t="str">
        <f t="shared" si="250"/>
        <v/>
      </c>
      <c r="Y638" s="81" t="str">
        <f t="shared" si="251"/>
        <v/>
      </c>
      <c r="Z638" s="81" t="str">
        <f t="shared" si="252"/>
        <v/>
      </c>
      <c r="AA638" s="82" t="str">
        <f t="shared" si="253"/>
        <v/>
      </c>
      <c r="AB638" s="83" t="str">
        <f>IF(R638&lt;&gt;"",(W638-SUMPRODUCT(R$3:R638,$B$3:$B638)/SUM($B$3:$B638))/STDEVA(W628:W638),"")</f>
        <v/>
      </c>
      <c r="AC638" s="84" t="str">
        <f>IF(S638&lt;&gt;"",(X638-SUMPRODUCT(S$3:S638,$B$3:$B638)/SUM($B$3:$B638))/STDEVA(X628:X638),"")</f>
        <v/>
      </c>
      <c r="AD638" s="84" t="str">
        <f>IF(T638&lt;&gt;"",(Y638-SUMPRODUCT(T$3:T638,$B$3:$B638)/SUM($B$3:$B638))/STDEVA(Y628:Y638),"")</f>
        <v/>
      </c>
      <c r="AE638" s="84" t="str">
        <f>IF(U638&lt;&gt;"",(Z638-SUMPRODUCT(U$3:U638,$B$3:$B638)/SUM($B$3:$B638))/STDEVA(Z628:Z638),"")</f>
        <v/>
      </c>
      <c r="AF638" s="85" t="str">
        <f>IF(V638&lt;&gt;"",(AA638-SUMPRODUCT(V$3:V638,$B$3:$B638)/SUM($B$3:$B638))/STDEVA(AA628:AA638),"")</f>
        <v/>
      </c>
      <c r="AG638" s="90" t="str">
        <f t="shared" si="254"/>
        <v/>
      </c>
      <c r="AH638" s="90" t="str">
        <f t="shared" si="254"/>
        <v/>
      </c>
      <c r="AI638" s="90" t="str">
        <f t="shared" si="254"/>
        <v/>
      </c>
      <c r="AJ638" s="90" t="str">
        <f t="shared" si="254"/>
        <v/>
      </c>
      <c r="AK638" s="93" t="str">
        <f t="shared" si="255"/>
        <v/>
      </c>
      <c r="BQ638" s="100" t="str">
        <f>IF(A638&lt;&gt;"",(VLOOKUP(A638,MarketData!$D:$BP,MATCH($BQ$1,MarketData!$D$1:$EG$1,0),TRUE)/100/365+1)^(B638)*BQ637,"")</f>
        <v/>
      </c>
      <c r="BR638" s="98" t="str">
        <f t="shared" si="232"/>
        <v/>
      </c>
      <c r="BS638" s="106" t="str">
        <f>IF(A638&lt;&gt;"",VLOOKUP(A638,MarketData!$D:$BP,MATCH($BS$1,MarketData!$D$1:$EG$1,0),TRUE),"")</f>
        <v/>
      </c>
      <c r="BT638" s="98" t="str">
        <f t="shared" si="243"/>
        <v/>
      </c>
    </row>
    <row r="639" spans="2:72" x14ac:dyDescent="0.25">
      <c r="B639" s="60" t="str">
        <f t="shared" si="256"/>
        <v/>
      </c>
      <c r="C639" s="3" t="str">
        <f t="shared" si="233"/>
        <v/>
      </c>
      <c r="D639" s="3" t="str">
        <f t="shared" si="234"/>
        <v/>
      </c>
      <c r="E639" s="3" t="str">
        <f t="shared" si="235"/>
        <v/>
      </c>
      <c r="F639" s="3" t="str">
        <f t="shared" si="236"/>
        <v/>
      </c>
      <c r="G639" s="74" t="str">
        <f t="shared" si="237"/>
        <v/>
      </c>
      <c r="H639" s="78" t="str">
        <f>IFERROR(C639/SUM(M$2:M638),"")</f>
        <v/>
      </c>
      <c r="I639" s="61" t="str">
        <f>IFERROR(D639/SUM(N$2:N639),"")</f>
        <v/>
      </c>
      <c r="J639" s="61" t="str">
        <f>IFERROR(E639/SUM(O$2:O639),"")</f>
        <v/>
      </c>
      <c r="K639" s="61" t="str">
        <f>IFERROR(F639/SUM(P$2:P639),"")</f>
        <v/>
      </c>
      <c r="L639" s="79" t="str">
        <f>IFERROR(G639/SUM(Q$2:Q639),"")</f>
        <v/>
      </c>
      <c r="M639" s="64" t="str">
        <f t="shared" si="238"/>
        <v/>
      </c>
      <c r="N639" s="55" t="str">
        <f t="shared" si="239"/>
        <v/>
      </c>
      <c r="O639" s="55" t="str">
        <f t="shared" si="240"/>
        <v/>
      </c>
      <c r="P639" s="55" t="str">
        <f t="shared" si="241"/>
        <v/>
      </c>
      <c r="Q639" s="65" t="str">
        <f t="shared" si="242"/>
        <v/>
      </c>
      <c r="R639" s="67" t="str">
        <f t="shared" si="244"/>
        <v/>
      </c>
      <c r="S639" s="56" t="str">
        <f t="shared" si="245"/>
        <v/>
      </c>
      <c r="T639" s="56" t="str">
        <f t="shared" si="246"/>
        <v/>
      </c>
      <c r="U639" s="56" t="str">
        <f t="shared" si="247"/>
        <v/>
      </c>
      <c r="V639" s="68" t="str">
        <f t="shared" si="248"/>
        <v/>
      </c>
      <c r="W639" s="80" t="str">
        <f t="shared" si="249"/>
        <v/>
      </c>
      <c r="X639" s="81" t="str">
        <f t="shared" si="250"/>
        <v/>
      </c>
      <c r="Y639" s="81" t="str">
        <f t="shared" si="251"/>
        <v/>
      </c>
      <c r="Z639" s="81" t="str">
        <f t="shared" si="252"/>
        <v/>
      </c>
      <c r="AA639" s="82" t="str">
        <f t="shared" si="253"/>
        <v/>
      </c>
      <c r="AB639" s="83" t="str">
        <f>IF(R639&lt;&gt;"",(W639-SUMPRODUCT(R$3:R639,$B$3:$B639)/SUM($B$3:$B639))/STDEVA(W629:W639),"")</f>
        <v/>
      </c>
      <c r="AC639" s="84" t="str">
        <f>IF(S639&lt;&gt;"",(X639-SUMPRODUCT(S$3:S639,$B$3:$B639)/SUM($B$3:$B639))/STDEVA(X629:X639),"")</f>
        <v/>
      </c>
      <c r="AD639" s="84" t="str">
        <f>IF(T639&lt;&gt;"",(Y639-SUMPRODUCT(T$3:T639,$B$3:$B639)/SUM($B$3:$B639))/STDEVA(Y629:Y639),"")</f>
        <v/>
      </c>
      <c r="AE639" s="84" t="str">
        <f>IF(U639&lt;&gt;"",(Z639-SUMPRODUCT(U$3:U639,$B$3:$B639)/SUM($B$3:$B639))/STDEVA(Z629:Z639),"")</f>
        <v/>
      </c>
      <c r="AF639" s="85" t="str">
        <f>IF(V639&lt;&gt;"",(AA639-SUMPRODUCT(V$3:V639,$B$3:$B639)/SUM($B$3:$B639))/STDEVA(AA629:AA639),"")</f>
        <v/>
      </c>
      <c r="AG639" s="90" t="str">
        <f t="shared" si="254"/>
        <v/>
      </c>
      <c r="AH639" s="90" t="str">
        <f t="shared" si="254"/>
        <v/>
      </c>
      <c r="AI639" s="90" t="str">
        <f t="shared" si="254"/>
        <v/>
      </c>
      <c r="AJ639" s="90" t="str">
        <f t="shared" si="254"/>
        <v/>
      </c>
      <c r="AK639" s="93" t="str">
        <f t="shared" si="255"/>
        <v/>
      </c>
      <c r="BQ639" s="100" t="str">
        <f>IF(A639&lt;&gt;"",(VLOOKUP(A639,MarketData!$D:$BP,MATCH($BQ$1,MarketData!$D$1:$EG$1,0),TRUE)/100/365+1)^(B639)*BQ638,"")</f>
        <v/>
      </c>
      <c r="BR639" s="98" t="str">
        <f t="shared" si="232"/>
        <v/>
      </c>
      <c r="BS639" s="106" t="str">
        <f>IF(A639&lt;&gt;"",VLOOKUP(A639,MarketData!$D:$BP,MATCH($BS$1,MarketData!$D$1:$EG$1,0),TRUE),"")</f>
        <v/>
      </c>
      <c r="BT639" s="98" t="str">
        <f t="shared" si="243"/>
        <v/>
      </c>
    </row>
    <row r="640" spans="2:72" x14ac:dyDescent="0.25">
      <c r="B640" s="60" t="str">
        <f t="shared" si="256"/>
        <v/>
      </c>
      <c r="C640" s="3" t="str">
        <f t="shared" si="233"/>
        <v/>
      </c>
      <c r="D640" s="3" t="str">
        <f t="shared" si="234"/>
        <v/>
      </c>
      <c r="E640" s="3" t="str">
        <f t="shared" si="235"/>
        <v/>
      </c>
      <c r="F640" s="3" t="str">
        <f t="shared" si="236"/>
        <v/>
      </c>
      <c r="G640" s="74" t="str">
        <f t="shared" si="237"/>
        <v/>
      </c>
      <c r="H640" s="78" t="str">
        <f>IFERROR(C640/SUM(M$2:M639),"")</f>
        <v/>
      </c>
      <c r="I640" s="61" t="str">
        <f>IFERROR(D640/SUM(N$2:N640),"")</f>
        <v/>
      </c>
      <c r="J640" s="61" t="str">
        <f>IFERROR(E640/SUM(O$2:O640),"")</f>
        <v/>
      </c>
      <c r="K640" s="61" t="str">
        <f>IFERROR(F640/SUM(P$2:P640),"")</f>
        <v/>
      </c>
      <c r="L640" s="79" t="str">
        <f>IFERROR(G640/SUM(Q$2:Q640),"")</f>
        <v/>
      </c>
      <c r="M640" s="64" t="str">
        <f t="shared" si="238"/>
        <v/>
      </c>
      <c r="N640" s="55" t="str">
        <f t="shared" si="239"/>
        <v/>
      </c>
      <c r="O640" s="55" t="str">
        <f t="shared" si="240"/>
        <v/>
      </c>
      <c r="P640" s="55" t="str">
        <f t="shared" si="241"/>
        <v/>
      </c>
      <c r="Q640" s="65" t="str">
        <f t="shared" si="242"/>
        <v/>
      </c>
      <c r="R640" s="67" t="str">
        <f t="shared" si="244"/>
        <v/>
      </c>
      <c r="S640" s="56" t="str">
        <f t="shared" si="245"/>
        <v/>
      </c>
      <c r="T640" s="56" t="str">
        <f t="shared" si="246"/>
        <v/>
      </c>
      <c r="U640" s="56" t="str">
        <f t="shared" si="247"/>
        <v/>
      </c>
      <c r="V640" s="68" t="str">
        <f t="shared" si="248"/>
        <v/>
      </c>
      <c r="W640" s="80" t="str">
        <f t="shared" si="249"/>
        <v/>
      </c>
      <c r="X640" s="81" t="str">
        <f t="shared" si="250"/>
        <v/>
      </c>
      <c r="Y640" s="81" t="str">
        <f t="shared" si="251"/>
        <v/>
      </c>
      <c r="Z640" s="81" t="str">
        <f t="shared" si="252"/>
        <v/>
      </c>
      <c r="AA640" s="82" t="str">
        <f t="shared" si="253"/>
        <v/>
      </c>
      <c r="AB640" s="83" t="str">
        <f>IF(R640&lt;&gt;"",(W640-SUMPRODUCT(R$3:R640,$B$3:$B640)/SUM($B$3:$B640))/STDEVA(W630:W640),"")</f>
        <v/>
      </c>
      <c r="AC640" s="84" t="str">
        <f>IF(S640&lt;&gt;"",(X640-SUMPRODUCT(S$3:S640,$B$3:$B640)/SUM($B$3:$B640))/STDEVA(X630:X640),"")</f>
        <v/>
      </c>
      <c r="AD640" s="84" t="str">
        <f>IF(T640&lt;&gt;"",(Y640-SUMPRODUCT(T$3:T640,$B$3:$B640)/SUM($B$3:$B640))/STDEVA(Y630:Y640),"")</f>
        <v/>
      </c>
      <c r="AE640" s="84" t="str">
        <f>IF(U640&lt;&gt;"",(Z640-SUMPRODUCT(U$3:U640,$B$3:$B640)/SUM($B$3:$B640))/STDEVA(Z630:Z640),"")</f>
        <v/>
      </c>
      <c r="AF640" s="85" t="str">
        <f>IF(V640&lt;&gt;"",(AA640-SUMPRODUCT(V$3:V640,$B$3:$B640)/SUM($B$3:$B640))/STDEVA(AA630:AA640),"")</f>
        <v/>
      </c>
      <c r="AG640" s="90" t="str">
        <f t="shared" si="254"/>
        <v/>
      </c>
      <c r="AH640" s="90" t="str">
        <f t="shared" si="254"/>
        <v/>
      </c>
      <c r="AI640" s="90" t="str">
        <f t="shared" si="254"/>
        <v/>
      </c>
      <c r="AJ640" s="90" t="str">
        <f t="shared" si="254"/>
        <v/>
      </c>
      <c r="AK640" s="93" t="str">
        <f t="shared" si="255"/>
        <v/>
      </c>
      <c r="BQ640" s="100" t="str">
        <f>IF(A640&lt;&gt;"",(VLOOKUP(A640,MarketData!$D:$BP,MATCH($BQ$1,MarketData!$D$1:$EG$1,0),TRUE)/100/365+1)^(B640)*BQ639,"")</f>
        <v/>
      </c>
      <c r="BR640" s="98" t="str">
        <f t="shared" si="232"/>
        <v/>
      </c>
      <c r="BS640" s="106" t="str">
        <f>IF(A640&lt;&gt;"",VLOOKUP(A640,MarketData!$D:$BP,MATCH($BS$1,MarketData!$D$1:$EG$1,0),TRUE),"")</f>
        <v/>
      </c>
      <c r="BT640" s="98" t="str">
        <f t="shared" si="243"/>
        <v/>
      </c>
    </row>
    <row r="641" spans="2:72" x14ac:dyDescent="0.25">
      <c r="B641" s="60" t="str">
        <f t="shared" si="256"/>
        <v/>
      </c>
      <c r="C641" s="3" t="str">
        <f t="shared" si="233"/>
        <v/>
      </c>
      <c r="D641" s="3" t="str">
        <f t="shared" si="234"/>
        <v/>
      </c>
      <c r="E641" s="3" t="str">
        <f t="shared" si="235"/>
        <v/>
      </c>
      <c r="F641" s="3" t="str">
        <f t="shared" si="236"/>
        <v/>
      </c>
      <c r="G641" s="74" t="str">
        <f t="shared" si="237"/>
        <v/>
      </c>
      <c r="H641" s="78" t="str">
        <f>IFERROR(C641/SUM(M$2:M640),"")</f>
        <v/>
      </c>
      <c r="I641" s="61" t="str">
        <f>IFERROR(D641/SUM(N$2:N641),"")</f>
        <v/>
      </c>
      <c r="J641" s="61" t="str">
        <f>IFERROR(E641/SUM(O$2:O641),"")</f>
        <v/>
      </c>
      <c r="K641" s="61" t="str">
        <f>IFERROR(F641/SUM(P$2:P641),"")</f>
        <v/>
      </c>
      <c r="L641" s="79" t="str">
        <f>IFERROR(G641/SUM(Q$2:Q641),"")</f>
        <v/>
      </c>
      <c r="M641" s="64" t="str">
        <f t="shared" si="238"/>
        <v/>
      </c>
      <c r="N641" s="55" t="str">
        <f t="shared" si="239"/>
        <v/>
      </c>
      <c r="O641" s="55" t="str">
        <f t="shared" si="240"/>
        <v/>
      </c>
      <c r="P641" s="55" t="str">
        <f t="shared" si="241"/>
        <v/>
      </c>
      <c r="Q641" s="65" t="str">
        <f t="shared" si="242"/>
        <v/>
      </c>
      <c r="R641" s="67" t="str">
        <f t="shared" si="244"/>
        <v/>
      </c>
      <c r="S641" s="56" t="str">
        <f t="shared" si="245"/>
        <v/>
      </c>
      <c r="T641" s="56" t="str">
        <f t="shared" si="246"/>
        <v/>
      </c>
      <c r="U641" s="56" t="str">
        <f t="shared" si="247"/>
        <v/>
      </c>
      <c r="V641" s="68" t="str">
        <f t="shared" si="248"/>
        <v/>
      </c>
      <c r="W641" s="80" t="str">
        <f t="shared" si="249"/>
        <v/>
      </c>
      <c r="X641" s="81" t="str">
        <f t="shared" si="250"/>
        <v/>
      </c>
      <c r="Y641" s="81" t="str">
        <f t="shared" si="251"/>
        <v/>
      </c>
      <c r="Z641" s="81" t="str">
        <f t="shared" si="252"/>
        <v/>
      </c>
      <c r="AA641" s="82" t="str">
        <f t="shared" si="253"/>
        <v/>
      </c>
      <c r="AB641" s="83" t="str">
        <f>IF(R641&lt;&gt;"",(W641-SUMPRODUCT(R$3:R641,$B$3:$B641)/SUM($B$3:$B641))/STDEVA(W631:W641),"")</f>
        <v/>
      </c>
      <c r="AC641" s="84" t="str">
        <f>IF(S641&lt;&gt;"",(X641-SUMPRODUCT(S$3:S641,$B$3:$B641)/SUM($B$3:$B641))/STDEVA(X631:X641),"")</f>
        <v/>
      </c>
      <c r="AD641" s="84" t="str">
        <f>IF(T641&lt;&gt;"",(Y641-SUMPRODUCT(T$3:T641,$B$3:$B641)/SUM($B$3:$B641))/STDEVA(Y631:Y641),"")</f>
        <v/>
      </c>
      <c r="AE641" s="84" t="str">
        <f>IF(U641&lt;&gt;"",(Z641-SUMPRODUCT(U$3:U641,$B$3:$B641)/SUM($B$3:$B641))/STDEVA(Z631:Z641),"")</f>
        <v/>
      </c>
      <c r="AF641" s="85" t="str">
        <f>IF(V641&lt;&gt;"",(AA641-SUMPRODUCT(V$3:V641,$B$3:$B641)/SUM($B$3:$B641))/STDEVA(AA631:AA641),"")</f>
        <v/>
      </c>
      <c r="AG641" s="90" t="str">
        <f t="shared" si="254"/>
        <v/>
      </c>
      <c r="AH641" s="90" t="str">
        <f t="shared" si="254"/>
        <v/>
      </c>
      <c r="AI641" s="90" t="str">
        <f t="shared" si="254"/>
        <v/>
      </c>
      <c r="AJ641" s="90" t="str">
        <f t="shared" si="254"/>
        <v/>
      </c>
      <c r="AK641" s="93" t="str">
        <f t="shared" si="255"/>
        <v/>
      </c>
      <c r="BQ641" s="100" t="str">
        <f>IF(A641&lt;&gt;"",(VLOOKUP(A641,MarketData!$D:$BP,MATCH($BQ$1,MarketData!$D$1:$EG$1,0),TRUE)/100/365+1)^(B641)*BQ640,"")</f>
        <v/>
      </c>
      <c r="BR641" s="98" t="str">
        <f t="shared" si="232"/>
        <v/>
      </c>
      <c r="BS641" s="106" t="str">
        <f>IF(A641&lt;&gt;"",VLOOKUP(A641,MarketData!$D:$BP,MATCH($BS$1,MarketData!$D$1:$EG$1,0),TRUE),"")</f>
        <v/>
      </c>
      <c r="BT641" s="98" t="str">
        <f t="shared" si="243"/>
        <v/>
      </c>
    </row>
    <row r="642" spans="2:72" x14ac:dyDescent="0.25">
      <c r="B642" s="60" t="str">
        <f t="shared" si="256"/>
        <v/>
      </c>
      <c r="C642" s="3" t="str">
        <f t="shared" si="233"/>
        <v/>
      </c>
      <c r="D642" s="3" t="str">
        <f t="shared" si="234"/>
        <v/>
      </c>
      <c r="E642" s="3" t="str">
        <f t="shared" si="235"/>
        <v/>
      </c>
      <c r="F642" s="3" t="str">
        <f t="shared" si="236"/>
        <v/>
      </c>
      <c r="G642" s="74" t="str">
        <f t="shared" si="237"/>
        <v/>
      </c>
      <c r="H642" s="78" t="str">
        <f>IFERROR(C642/SUM(M$2:M641),"")</f>
        <v/>
      </c>
      <c r="I642" s="61" t="str">
        <f>IFERROR(D642/SUM(N$2:N642),"")</f>
        <v/>
      </c>
      <c r="J642" s="61" t="str">
        <f>IFERROR(E642/SUM(O$2:O642),"")</f>
        <v/>
      </c>
      <c r="K642" s="61" t="str">
        <f>IFERROR(F642/SUM(P$2:P642),"")</f>
        <v/>
      </c>
      <c r="L642" s="79" t="str">
        <f>IFERROR(G642/SUM(Q$2:Q642),"")</f>
        <v/>
      </c>
      <c r="M642" s="64" t="str">
        <f t="shared" si="238"/>
        <v/>
      </c>
      <c r="N642" s="55" t="str">
        <f t="shared" si="239"/>
        <v/>
      </c>
      <c r="O642" s="55" t="str">
        <f t="shared" si="240"/>
        <v/>
      </c>
      <c r="P642" s="55" t="str">
        <f t="shared" si="241"/>
        <v/>
      </c>
      <c r="Q642" s="65" t="str">
        <f t="shared" si="242"/>
        <v/>
      </c>
      <c r="R642" s="67" t="str">
        <f t="shared" si="244"/>
        <v/>
      </c>
      <c r="S642" s="56" t="str">
        <f t="shared" si="245"/>
        <v/>
      </c>
      <c r="T642" s="56" t="str">
        <f t="shared" si="246"/>
        <v/>
      </c>
      <c r="U642" s="56" t="str">
        <f t="shared" si="247"/>
        <v/>
      </c>
      <c r="V642" s="68" t="str">
        <f t="shared" si="248"/>
        <v/>
      </c>
      <c r="W642" s="80" t="str">
        <f t="shared" si="249"/>
        <v/>
      </c>
      <c r="X642" s="81" t="str">
        <f t="shared" si="250"/>
        <v/>
      </c>
      <c r="Y642" s="81" t="str">
        <f t="shared" si="251"/>
        <v/>
      </c>
      <c r="Z642" s="81" t="str">
        <f t="shared" si="252"/>
        <v/>
      </c>
      <c r="AA642" s="82" t="str">
        <f t="shared" si="253"/>
        <v/>
      </c>
      <c r="AB642" s="83" t="str">
        <f>IF(R642&lt;&gt;"",(W642-SUMPRODUCT(R$3:R642,$B$3:$B642)/SUM($B$3:$B642))/STDEVA(W632:W642),"")</f>
        <v/>
      </c>
      <c r="AC642" s="84" t="str">
        <f>IF(S642&lt;&gt;"",(X642-SUMPRODUCT(S$3:S642,$B$3:$B642)/SUM($B$3:$B642))/STDEVA(X632:X642),"")</f>
        <v/>
      </c>
      <c r="AD642" s="84" t="str">
        <f>IF(T642&lt;&gt;"",(Y642-SUMPRODUCT(T$3:T642,$B$3:$B642)/SUM($B$3:$B642))/STDEVA(Y632:Y642),"")</f>
        <v/>
      </c>
      <c r="AE642" s="84" t="str">
        <f>IF(U642&lt;&gt;"",(Z642-SUMPRODUCT(U$3:U642,$B$3:$B642)/SUM($B$3:$B642))/STDEVA(Z632:Z642),"")</f>
        <v/>
      </c>
      <c r="AF642" s="85" t="str">
        <f>IF(V642&lt;&gt;"",(AA642-SUMPRODUCT(V$3:V642,$B$3:$B642)/SUM($B$3:$B642))/STDEVA(AA632:AA642),"")</f>
        <v/>
      </c>
      <c r="AG642" s="90" t="str">
        <f t="shared" si="254"/>
        <v/>
      </c>
      <c r="AH642" s="90" t="str">
        <f t="shared" si="254"/>
        <v/>
      </c>
      <c r="AI642" s="90" t="str">
        <f t="shared" si="254"/>
        <v/>
      </c>
      <c r="AJ642" s="90" t="str">
        <f t="shared" si="254"/>
        <v/>
      </c>
      <c r="AK642" s="93" t="str">
        <f t="shared" si="255"/>
        <v/>
      </c>
      <c r="BQ642" s="100" t="str">
        <f>IF(A642&lt;&gt;"",(VLOOKUP(A642,MarketData!$D:$BP,MATCH($BQ$1,MarketData!$D$1:$EG$1,0),TRUE)/100/365+1)^(B642)*BQ641,"")</f>
        <v/>
      </c>
      <c r="BR642" s="98" t="str">
        <f t="shared" ref="BR642:BR705" si="257">IF(A642&lt;&gt;"",(BQ642-$BQ$2)/$BQ$2,"")</f>
        <v/>
      </c>
      <c r="BS642" s="106" t="str">
        <f>IF(A642&lt;&gt;"",VLOOKUP(A642,MarketData!$D:$BP,MATCH($BS$1,MarketData!$D$1:$EG$1,0),TRUE),"")</f>
        <v/>
      </c>
      <c r="BT642" s="98" t="str">
        <f t="shared" si="243"/>
        <v/>
      </c>
    </row>
    <row r="643" spans="2:72" x14ac:dyDescent="0.25">
      <c r="B643" s="60" t="str">
        <f t="shared" si="256"/>
        <v/>
      </c>
      <c r="C643" s="3" t="str">
        <f t="shared" ref="C643:C706" si="258">IF($A643&lt;&gt;0,SUMIFS(VM,Fecha,$A643,Linea,C$1)+SUMIFS(FX,Fecha,$A643,Linea,C$1)+C642,"")</f>
        <v/>
      </c>
      <c r="D643" s="3" t="str">
        <f t="shared" ref="D643:D706" si="259">IF($A643&lt;&gt;0,SUMIFS(VM,Fecha,$A643,Linea,D$1)+SUMIFS(FX,Fecha,$A643,Linea,D$1)+D642,"")</f>
        <v/>
      </c>
      <c r="E643" s="3" t="str">
        <f t="shared" ref="E643:E706" si="260">IF($A643&lt;&gt;0,SUMIFS(VM,Fecha,$A643,Linea,E$1)+SUMIFS(FX,Fecha,$A643,Linea,E$1)+E642,"")</f>
        <v/>
      </c>
      <c r="F643" s="3" t="str">
        <f t="shared" ref="F643:F706" si="261">IF($A643&lt;&gt;0,SUMIFS(VM,Fecha,$A643,Linea,F$1)+SUMIFS(FX,Fecha,$A643,Linea,F$1)+F642,"")</f>
        <v/>
      </c>
      <c r="G643" s="74" t="str">
        <f t="shared" ref="G643:G706" si="262">IF($A643&lt;&gt;0,SUMIFS(VM,Fecha,$A643,Linea,G$1)+SUMIFS(FX,Fecha,$A643,Linea,G$1)+G642,"")</f>
        <v/>
      </c>
      <c r="H643" s="78" t="str">
        <f>IFERROR(C643/SUM(M$2:M642),"")</f>
        <v/>
      </c>
      <c r="I643" s="61" t="str">
        <f>IFERROR(D643/SUM(N$2:N643),"")</f>
        <v/>
      </c>
      <c r="J643" s="61" t="str">
        <f>IFERROR(E643/SUM(O$2:O643),"")</f>
        <v/>
      </c>
      <c r="K643" s="61" t="str">
        <f>IFERROR(F643/SUM(P$2:P643),"")</f>
        <v/>
      </c>
      <c r="L643" s="79" t="str">
        <f>IFERROR(G643/SUM(Q$2:Q643),"")</f>
        <v/>
      </c>
      <c r="M643" s="64" t="str">
        <f t="shared" ref="M643:M706" si="263">IF($A643&lt;&gt;"",SUMIFS(Transferencias,Fecha,$A643,Linea,C$1),"")</f>
        <v/>
      </c>
      <c r="N643" s="55" t="str">
        <f t="shared" ref="N643:N706" si="264">IF($A643&lt;&gt;"",SUMIFS(Transferencias,Fecha,$A643,Linea,D$1),"")</f>
        <v/>
      </c>
      <c r="O643" s="55" t="str">
        <f t="shared" ref="O643:O706" si="265">IF($A643&lt;&gt;"",SUMIFS(Transferencias,Fecha,$A643,Linea,E$1),"")</f>
        <v/>
      </c>
      <c r="P643" s="55" t="str">
        <f t="shared" ref="P643:P706" si="266">IF($A643&lt;&gt;"",SUMIFS(Transferencias,Fecha,$A643,Linea,F$1),"")</f>
        <v/>
      </c>
      <c r="Q643" s="65" t="str">
        <f t="shared" ref="Q643:Q706" si="267">IF($A643&lt;&gt;"",SUMIFS(Transferencias,Fecha,$A643,Linea,G$1),"")</f>
        <v/>
      </c>
      <c r="R643" s="67" t="str">
        <f t="shared" si="244"/>
        <v/>
      </c>
      <c r="S643" s="56" t="str">
        <f t="shared" si="245"/>
        <v/>
      </c>
      <c r="T643" s="56" t="str">
        <f t="shared" si="246"/>
        <v/>
      </c>
      <c r="U643" s="56" t="str">
        <f t="shared" si="247"/>
        <v/>
      </c>
      <c r="V643" s="68" t="str">
        <f t="shared" si="248"/>
        <v/>
      </c>
      <c r="W643" s="80" t="str">
        <f t="shared" si="249"/>
        <v/>
      </c>
      <c r="X643" s="81" t="str">
        <f t="shared" si="250"/>
        <v/>
      </c>
      <c r="Y643" s="81" t="str">
        <f t="shared" si="251"/>
        <v/>
      </c>
      <c r="Z643" s="81" t="str">
        <f t="shared" si="252"/>
        <v/>
      </c>
      <c r="AA643" s="82" t="str">
        <f t="shared" si="253"/>
        <v/>
      </c>
      <c r="AB643" s="83" t="str">
        <f>IF(R643&lt;&gt;"",(W643-SUMPRODUCT(R$3:R643,$B$3:$B643)/SUM($B$3:$B643))/STDEVA(W633:W643),"")</f>
        <v/>
      </c>
      <c r="AC643" s="84" t="str">
        <f>IF(S643&lt;&gt;"",(X643-SUMPRODUCT(S$3:S643,$B$3:$B643)/SUM($B$3:$B643))/STDEVA(X633:X643),"")</f>
        <v/>
      </c>
      <c r="AD643" s="84" t="str">
        <f>IF(T643&lt;&gt;"",(Y643-SUMPRODUCT(T$3:T643,$B$3:$B643)/SUM($B$3:$B643))/STDEVA(Y633:Y643),"")</f>
        <v/>
      </c>
      <c r="AE643" s="84" t="str">
        <f>IF(U643&lt;&gt;"",(Z643-SUMPRODUCT(U$3:U643,$B$3:$B643)/SUM($B$3:$B643))/STDEVA(Z633:Z643),"")</f>
        <v/>
      </c>
      <c r="AF643" s="85" t="str">
        <f>IF(V643&lt;&gt;"",(AA643-SUMPRODUCT(V$3:V643,$B$3:$B643)/SUM($B$3:$B643))/STDEVA(AA633:AA643),"")</f>
        <v/>
      </c>
      <c r="AG643" s="90" t="str">
        <f t="shared" si="254"/>
        <v/>
      </c>
      <c r="AH643" s="90" t="str">
        <f t="shared" si="254"/>
        <v/>
      </c>
      <c r="AI643" s="90" t="str">
        <f t="shared" si="254"/>
        <v/>
      </c>
      <c r="AJ643" s="90" t="str">
        <f t="shared" si="254"/>
        <v/>
      </c>
      <c r="AK643" s="93" t="str">
        <f t="shared" si="255"/>
        <v/>
      </c>
      <c r="BQ643" s="100" t="str">
        <f>IF(A643&lt;&gt;"",(VLOOKUP(A643,MarketData!$D:$BP,MATCH($BQ$1,MarketData!$D$1:$EG$1,0),TRUE)/100/365+1)^(B643)*BQ642,"")</f>
        <v/>
      </c>
      <c r="BR643" s="98" t="str">
        <f t="shared" si="257"/>
        <v/>
      </c>
      <c r="BS643" s="106" t="str">
        <f>IF(A643&lt;&gt;"",VLOOKUP(A643,MarketData!$D:$BP,MATCH($BS$1,MarketData!$D$1:$EG$1,0),TRUE),"")</f>
        <v/>
      </c>
      <c r="BT643" s="98" t="str">
        <f t="shared" ref="BT643:BT706" si="268">IF(A643&lt;&gt;"",(BS643-$BS$2)/$BS$2,"")</f>
        <v/>
      </c>
    </row>
    <row r="644" spans="2:72" x14ac:dyDescent="0.25">
      <c r="B644" s="60" t="str">
        <f t="shared" si="256"/>
        <v/>
      </c>
      <c r="C644" s="3" t="str">
        <f t="shared" si="258"/>
        <v/>
      </c>
      <c r="D644" s="3" t="str">
        <f t="shared" si="259"/>
        <v/>
      </c>
      <c r="E644" s="3" t="str">
        <f t="shared" si="260"/>
        <v/>
      </c>
      <c r="F644" s="3" t="str">
        <f t="shared" si="261"/>
        <v/>
      </c>
      <c r="G644" s="74" t="str">
        <f t="shared" si="262"/>
        <v/>
      </c>
      <c r="H644" s="78" t="str">
        <f>IFERROR(C644/SUM(M$2:M643),"")</f>
        <v/>
      </c>
      <c r="I644" s="61" t="str">
        <f>IFERROR(D644/SUM(N$2:N644),"")</f>
        <v/>
      </c>
      <c r="J644" s="61" t="str">
        <f>IFERROR(E644/SUM(O$2:O644),"")</f>
        <v/>
      </c>
      <c r="K644" s="61" t="str">
        <f>IFERROR(F644/SUM(P$2:P644),"")</f>
        <v/>
      </c>
      <c r="L644" s="79" t="str">
        <f>IFERROR(G644/SUM(Q$2:Q644),"")</f>
        <v/>
      </c>
      <c r="M644" s="64" t="str">
        <f t="shared" si="263"/>
        <v/>
      </c>
      <c r="N644" s="55" t="str">
        <f t="shared" si="264"/>
        <v/>
      </c>
      <c r="O644" s="55" t="str">
        <f t="shared" si="265"/>
        <v/>
      </c>
      <c r="P644" s="55" t="str">
        <f t="shared" si="266"/>
        <v/>
      </c>
      <c r="Q644" s="65" t="str">
        <f t="shared" si="267"/>
        <v/>
      </c>
      <c r="R644" s="67" t="str">
        <f t="shared" ref="R644:R707" si="269">IF(C644&lt;&gt;"",LN((C644-C643)/(SUMIFS(Total,Fecha,$A643,Linea,C$1)+M643)+1)*365/($A644-$A643),"")</f>
        <v/>
      </c>
      <c r="S644" s="56" t="str">
        <f t="shared" ref="S644:S707" si="270">IF(D644&lt;&gt;"",LN((D644-D643)/(SUMIFS(Total,Fecha,$A643,Linea,D$1)+N643)+1)*365/($A644-$A643),"")</f>
        <v/>
      </c>
      <c r="T644" s="56" t="str">
        <f t="shared" ref="T644:T707" si="271">IF(E644&lt;&gt;"",LN((E644-E643)/(SUMIFS(Total,Fecha,$A643,Linea,E$1)+O643)+1)*365/($A644-$A643),"")</f>
        <v/>
      </c>
      <c r="U644" s="56" t="str">
        <f t="shared" ref="U644:U707" si="272">IF(F644&lt;&gt;"",LN((F644-F643)/(SUMIFS(Total,Fecha,$A643,Linea,F$1)+P643)+1)*365/($A644-$A643),"")</f>
        <v/>
      </c>
      <c r="V644" s="68" t="str">
        <f t="shared" ref="V644:V707" si="273">IF(G644&lt;&gt;"",LN((G644-G643)/(SUMIFS(Total,Fecha,$A643,Linea,G$1)+Q643)+1)*365/($A644-$A643),"")</f>
        <v/>
      </c>
      <c r="W644" s="80" t="str">
        <f t="shared" si="249"/>
        <v/>
      </c>
      <c r="X644" s="81" t="str">
        <f t="shared" si="250"/>
        <v/>
      </c>
      <c r="Y644" s="81" t="str">
        <f t="shared" si="251"/>
        <v/>
      </c>
      <c r="Z644" s="81" t="str">
        <f t="shared" si="252"/>
        <v/>
      </c>
      <c r="AA644" s="82" t="str">
        <f t="shared" si="253"/>
        <v/>
      </c>
      <c r="AB644" s="83" t="str">
        <f>IF(R644&lt;&gt;"",(W644-SUMPRODUCT(R$3:R644,$B$3:$B644)/SUM($B$3:$B644))/STDEVA(W634:W644),"")</f>
        <v/>
      </c>
      <c r="AC644" s="84" t="str">
        <f>IF(S644&lt;&gt;"",(X644-SUMPRODUCT(S$3:S644,$B$3:$B644)/SUM($B$3:$B644))/STDEVA(X634:X644),"")</f>
        <v/>
      </c>
      <c r="AD644" s="84" t="str">
        <f>IF(T644&lt;&gt;"",(Y644-SUMPRODUCT(T$3:T644,$B$3:$B644)/SUM($B$3:$B644))/STDEVA(Y634:Y644),"")</f>
        <v/>
      </c>
      <c r="AE644" s="84" t="str">
        <f>IF(U644&lt;&gt;"",(Z644-SUMPRODUCT(U$3:U644,$B$3:$B644)/SUM($B$3:$B644))/STDEVA(Z634:Z644),"")</f>
        <v/>
      </c>
      <c r="AF644" s="85" t="str">
        <f>IF(V644&lt;&gt;"",(AA644-SUMPRODUCT(V$3:V644,$B$3:$B644)/SUM($B$3:$B644))/STDEVA(AA634:AA644),"")</f>
        <v/>
      </c>
      <c r="AG644" s="90" t="str">
        <f t="shared" si="254"/>
        <v/>
      </c>
      <c r="AH644" s="90" t="str">
        <f t="shared" si="254"/>
        <v/>
      </c>
      <c r="AI644" s="90" t="str">
        <f t="shared" si="254"/>
        <v/>
      </c>
      <c r="AJ644" s="90" t="str">
        <f t="shared" si="254"/>
        <v/>
      </c>
      <c r="AK644" s="93" t="str">
        <f t="shared" si="255"/>
        <v/>
      </c>
      <c r="BQ644" s="100" t="str">
        <f>IF(A644&lt;&gt;"",(VLOOKUP(A644,MarketData!$D:$BP,MATCH($BQ$1,MarketData!$D$1:$EG$1,0),TRUE)/100/365+1)^(B644)*BQ643,"")</f>
        <v/>
      </c>
      <c r="BR644" s="98" t="str">
        <f t="shared" si="257"/>
        <v/>
      </c>
      <c r="BS644" s="106" t="str">
        <f>IF(A644&lt;&gt;"",VLOOKUP(A644,MarketData!$D:$BP,MATCH($BS$1,MarketData!$D$1:$EG$1,0),TRUE),"")</f>
        <v/>
      </c>
      <c r="BT644" s="98" t="str">
        <f t="shared" si="268"/>
        <v/>
      </c>
    </row>
    <row r="645" spans="2:72" x14ac:dyDescent="0.25">
      <c r="B645" s="60" t="str">
        <f t="shared" si="256"/>
        <v/>
      </c>
      <c r="C645" s="3" t="str">
        <f t="shared" si="258"/>
        <v/>
      </c>
      <c r="D645" s="3" t="str">
        <f t="shared" si="259"/>
        <v/>
      </c>
      <c r="E645" s="3" t="str">
        <f t="shared" si="260"/>
        <v/>
      </c>
      <c r="F645" s="3" t="str">
        <f t="shared" si="261"/>
        <v/>
      </c>
      <c r="G645" s="74" t="str">
        <f t="shared" si="262"/>
        <v/>
      </c>
      <c r="H645" s="78" t="str">
        <f>IFERROR(C645/SUM(M$2:M644),"")</f>
        <v/>
      </c>
      <c r="I645" s="61" t="str">
        <f>IFERROR(D645/SUM(N$2:N645),"")</f>
        <v/>
      </c>
      <c r="J645" s="61" t="str">
        <f>IFERROR(E645/SUM(O$2:O645),"")</f>
        <v/>
      </c>
      <c r="K645" s="61" t="str">
        <f>IFERROR(F645/SUM(P$2:P645),"")</f>
        <v/>
      </c>
      <c r="L645" s="79" t="str">
        <f>IFERROR(G645/SUM(Q$2:Q645),"")</f>
        <v/>
      </c>
      <c r="M645" s="64" t="str">
        <f t="shared" si="263"/>
        <v/>
      </c>
      <c r="N645" s="55" t="str">
        <f t="shared" si="264"/>
        <v/>
      </c>
      <c r="O645" s="55" t="str">
        <f t="shared" si="265"/>
        <v/>
      </c>
      <c r="P645" s="55" t="str">
        <f t="shared" si="266"/>
        <v/>
      </c>
      <c r="Q645" s="65" t="str">
        <f t="shared" si="267"/>
        <v/>
      </c>
      <c r="R645" s="67" t="str">
        <f t="shared" si="269"/>
        <v/>
      </c>
      <c r="S645" s="56" t="str">
        <f t="shared" si="270"/>
        <v/>
      </c>
      <c r="T645" s="56" t="str">
        <f t="shared" si="271"/>
        <v/>
      </c>
      <c r="U645" s="56" t="str">
        <f t="shared" si="272"/>
        <v/>
      </c>
      <c r="V645" s="68" t="str">
        <f t="shared" si="273"/>
        <v/>
      </c>
      <c r="W645" s="80" t="str">
        <f t="shared" si="249"/>
        <v/>
      </c>
      <c r="X645" s="81" t="str">
        <f t="shared" si="250"/>
        <v/>
      </c>
      <c r="Y645" s="81" t="str">
        <f t="shared" si="251"/>
        <v/>
      </c>
      <c r="Z645" s="81" t="str">
        <f t="shared" si="252"/>
        <v/>
      </c>
      <c r="AA645" s="82" t="str">
        <f t="shared" si="253"/>
        <v/>
      </c>
      <c r="AB645" s="83" t="str">
        <f>IF(R645&lt;&gt;"",(W645-SUMPRODUCT(R$3:R645,$B$3:$B645)/SUM($B$3:$B645))/STDEVA(W635:W645),"")</f>
        <v/>
      </c>
      <c r="AC645" s="84" t="str">
        <f>IF(S645&lt;&gt;"",(X645-SUMPRODUCT(S$3:S645,$B$3:$B645)/SUM($B$3:$B645))/STDEVA(X635:X645),"")</f>
        <v/>
      </c>
      <c r="AD645" s="84" t="str">
        <f>IF(T645&lt;&gt;"",(Y645-SUMPRODUCT(T$3:T645,$B$3:$B645)/SUM($B$3:$B645))/STDEVA(Y635:Y645),"")</f>
        <v/>
      </c>
      <c r="AE645" s="84" t="str">
        <f>IF(U645&lt;&gt;"",(Z645-SUMPRODUCT(U$3:U645,$B$3:$B645)/SUM($B$3:$B645))/STDEVA(Z635:Z645),"")</f>
        <v/>
      </c>
      <c r="AF645" s="85" t="str">
        <f>IF(V645&lt;&gt;"",(AA645-SUMPRODUCT(V$3:V645,$B$3:$B645)/SUM($B$3:$B645))/STDEVA(AA635:AA645),"")</f>
        <v/>
      </c>
      <c r="AG645" s="90" t="str">
        <f t="shared" si="254"/>
        <v/>
      </c>
      <c r="AH645" s="90" t="str">
        <f t="shared" si="254"/>
        <v/>
      </c>
      <c r="AI645" s="90" t="str">
        <f t="shared" si="254"/>
        <v/>
      </c>
      <c r="AJ645" s="90" t="str">
        <f t="shared" si="254"/>
        <v/>
      </c>
      <c r="AK645" s="93" t="str">
        <f t="shared" si="255"/>
        <v/>
      </c>
      <c r="BQ645" s="100" t="str">
        <f>IF(A645&lt;&gt;"",(VLOOKUP(A645,MarketData!$D:$BP,MATCH($BQ$1,MarketData!$D$1:$EG$1,0),TRUE)/100/365+1)^(B645)*BQ644,"")</f>
        <v/>
      </c>
      <c r="BR645" s="98" t="str">
        <f t="shared" si="257"/>
        <v/>
      </c>
      <c r="BS645" s="106" t="str">
        <f>IF(A645&lt;&gt;"",VLOOKUP(A645,MarketData!$D:$BP,MATCH($BS$1,MarketData!$D$1:$EG$1,0),TRUE),"")</f>
        <v/>
      </c>
      <c r="BT645" s="98" t="str">
        <f t="shared" si="268"/>
        <v/>
      </c>
    </row>
    <row r="646" spans="2:72" x14ac:dyDescent="0.25">
      <c r="B646" s="60" t="str">
        <f t="shared" si="256"/>
        <v/>
      </c>
      <c r="C646" s="3" t="str">
        <f t="shared" si="258"/>
        <v/>
      </c>
      <c r="D646" s="3" t="str">
        <f t="shared" si="259"/>
        <v/>
      </c>
      <c r="E646" s="3" t="str">
        <f t="shared" si="260"/>
        <v/>
      </c>
      <c r="F646" s="3" t="str">
        <f t="shared" si="261"/>
        <v/>
      </c>
      <c r="G646" s="74" t="str">
        <f t="shared" si="262"/>
        <v/>
      </c>
      <c r="H646" s="78" t="str">
        <f>IFERROR(C646/SUM(M$2:M645),"")</f>
        <v/>
      </c>
      <c r="I646" s="61" t="str">
        <f>IFERROR(D646/SUM(N$2:N646),"")</f>
        <v/>
      </c>
      <c r="J646" s="61" t="str">
        <f>IFERROR(E646/SUM(O$2:O646),"")</f>
        <v/>
      </c>
      <c r="K646" s="61" t="str">
        <f>IFERROR(F646/SUM(P$2:P646),"")</f>
        <v/>
      </c>
      <c r="L646" s="79" t="str">
        <f>IFERROR(G646/SUM(Q$2:Q646),"")</f>
        <v/>
      </c>
      <c r="M646" s="64" t="str">
        <f t="shared" si="263"/>
        <v/>
      </c>
      <c r="N646" s="55" t="str">
        <f t="shared" si="264"/>
        <v/>
      </c>
      <c r="O646" s="55" t="str">
        <f t="shared" si="265"/>
        <v/>
      </c>
      <c r="P646" s="55" t="str">
        <f t="shared" si="266"/>
        <v/>
      </c>
      <c r="Q646" s="65" t="str">
        <f t="shared" si="267"/>
        <v/>
      </c>
      <c r="R646" s="67" t="str">
        <f t="shared" si="269"/>
        <v/>
      </c>
      <c r="S646" s="56" t="str">
        <f t="shared" si="270"/>
        <v/>
      </c>
      <c r="T646" s="56" t="str">
        <f t="shared" si="271"/>
        <v/>
      </c>
      <c r="U646" s="56" t="str">
        <f t="shared" si="272"/>
        <v/>
      </c>
      <c r="V646" s="68" t="str">
        <f t="shared" si="273"/>
        <v/>
      </c>
      <c r="W646" s="80" t="str">
        <f t="shared" si="249"/>
        <v/>
      </c>
      <c r="X646" s="81" t="str">
        <f t="shared" si="250"/>
        <v/>
      </c>
      <c r="Y646" s="81" t="str">
        <f t="shared" si="251"/>
        <v/>
      </c>
      <c r="Z646" s="81" t="str">
        <f t="shared" si="252"/>
        <v/>
      </c>
      <c r="AA646" s="82" t="str">
        <f t="shared" si="253"/>
        <v/>
      </c>
      <c r="AB646" s="83" t="str">
        <f>IF(R646&lt;&gt;"",(W646-SUMPRODUCT(R$3:R646,$B$3:$B646)/SUM($B$3:$B646))/STDEVA(W636:W646),"")</f>
        <v/>
      </c>
      <c r="AC646" s="84" t="str">
        <f>IF(S646&lt;&gt;"",(X646-SUMPRODUCT(S$3:S646,$B$3:$B646)/SUM($B$3:$B646))/STDEVA(X636:X646),"")</f>
        <v/>
      </c>
      <c r="AD646" s="84" t="str">
        <f>IF(T646&lt;&gt;"",(Y646-SUMPRODUCT(T$3:T646,$B$3:$B646)/SUM($B$3:$B646))/STDEVA(Y636:Y646),"")</f>
        <v/>
      </c>
      <c r="AE646" s="84" t="str">
        <f>IF(U646&lt;&gt;"",(Z646-SUMPRODUCT(U$3:U646,$B$3:$B646)/SUM($B$3:$B646))/STDEVA(Z636:Z646),"")</f>
        <v/>
      </c>
      <c r="AF646" s="85" t="str">
        <f>IF(V646&lt;&gt;"",(AA646-SUMPRODUCT(V$3:V646,$B$3:$B646)/SUM($B$3:$B646))/STDEVA(AA636:AA646),"")</f>
        <v/>
      </c>
      <c r="AG646" s="90" t="str">
        <f t="shared" si="254"/>
        <v/>
      </c>
      <c r="AH646" s="90" t="str">
        <f t="shared" si="254"/>
        <v/>
      </c>
      <c r="AI646" s="90" t="str">
        <f t="shared" si="254"/>
        <v/>
      </c>
      <c r="AJ646" s="90" t="str">
        <f t="shared" si="254"/>
        <v/>
      </c>
      <c r="AK646" s="93" t="str">
        <f t="shared" si="255"/>
        <v/>
      </c>
      <c r="BQ646" s="100" t="str">
        <f>IF(A646&lt;&gt;"",(VLOOKUP(A646,MarketData!$D:$BP,MATCH($BQ$1,MarketData!$D$1:$EG$1,0),TRUE)/100/365+1)^(B646)*BQ645,"")</f>
        <v/>
      </c>
      <c r="BR646" s="98" t="str">
        <f t="shared" si="257"/>
        <v/>
      </c>
      <c r="BS646" s="106" t="str">
        <f>IF(A646&lt;&gt;"",VLOOKUP(A646,MarketData!$D:$BP,MATCH($BS$1,MarketData!$D$1:$EG$1,0),TRUE),"")</f>
        <v/>
      </c>
      <c r="BT646" s="98" t="str">
        <f t="shared" si="268"/>
        <v/>
      </c>
    </row>
    <row r="647" spans="2:72" x14ac:dyDescent="0.25">
      <c r="B647" s="60" t="str">
        <f t="shared" si="256"/>
        <v/>
      </c>
      <c r="C647" s="3" t="str">
        <f t="shared" si="258"/>
        <v/>
      </c>
      <c r="D647" s="3" t="str">
        <f t="shared" si="259"/>
        <v/>
      </c>
      <c r="E647" s="3" t="str">
        <f t="shared" si="260"/>
        <v/>
      </c>
      <c r="F647" s="3" t="str">
        <f t="shared" si="261"/>
        <v/>
      </c>
      <c r="G647" s="74" t="str">
        <f t="shared" si="262"/>
        <v/>
      </c>
      <c r="H647" s="78" t="str">
        <f>IFERROR(C647/SUM(M$2:M646),"")</f>
        <v/>
      </c>
      <c r="I647" s="61" t="str">
        <f>IFERROR(D647/SUM(N$2:N647),"")</f>
        <v/>
      </c>
      <c r="J647" s="61" t="str">
        <f>IFERROR(E647/SUM(O$2:O647),"")</f>
        <v/>
      </c>
      <c r="K647" s="61" t="str">
        <f>IFERROR(F647/SUM(P$2:P647),"")</f>
        <v/>
      </c>
      <c r="L647" s="79" t="str">
        <f>IFERROR(G647/SUM(Q$2:Q647),"")</f>
        <v/>
      </c>
      <c r="M647" s="64" t="str">
        <f t="shared" si="263"/>
        <v/>
      </c>
      <c r="N647" s="55" t="str">
        <f t="shared" si="264"/>
        <v/>
      </c>
      <c r="O647" s="55" t="str">
        <f t="shared" si="265"/>
        <v/>
      </c>
      <c r="P647" s="55" t="str">
        <f t="shared" si="266"/>
        <v/>
      </c>
      <c r="Q647" s="65" t="str">
        <f t="shared" si="267"/>
        <v/>
      </c>
      <c r="R647" s="67" t="str">
        <f t="shared" si="269"/>
        <v/>
      </c>
      <c r="S647" s="56" t="str">
        <f t="shared" si="270"/>
        <v/>
      </c>
      <c r="T647" s="56" t="str">
        <f t="shared" si="271"/>
        <v/>
      </c>
      <c r="U647" s="56" t="str">
        <f t="shared" si="272"/>
        <v/>
      </c>
      <c r="V647" s="68" t="str">
        <f t="shared" si="273"/>
        <v/>
      </c>
      <c r="W647" s="80" t="str">
        <f t="shared" si="249"/>
        <v/>
      </c>
      <c r="X647" s="81" t="str">
        <f t="shared" si="250"/>
        <v/>
      </c>
      <c r="Y647" s="81" t="str">
        <f t="shared" si="251"/>
        <v/>
      </c>
      <c r="Z647" s="81" t="str">
        <f t="shared" si="252"/>
        <v/>
      </c>
      <c r="AA647" s="82" t="str">
        <f t="shared" si="253"/>
        <v/>
      </c>
      <c r="AB647" s="83" t="str">
        <f>IF(R647&lt;&gt;"",(W647-SUMPRODUCT(R$3:R647,$B$3:$B647)/SUM($B$3:$B647))/STDEVA(W637:W647),"")</f>
        <v/>
      </c>
      <c r="AC647" s="84" t="str">
        <f>IF(S647&lt;&gt;"",(X647-SUMPRODUCT(S$3:S647,$B$3:$B647)/SUM($B$3:$B647))/STDEVA(X637:X647),"")</f>
        <v/>
      </c>
      <c r="AD647" s="84" t="str">
        <f>IF(T647&lt;&gt;"",(Y647-SUMPRODUCT(T$3:T647,$B$3:$B647)/SUM($B$3:$B647))/STDEVA(Y637:Y647),"")</f>
        <v/>
      </c>
      <c r="AE647" s="84" t="str">
        <f>IF(U647&lt;&gt;"",(Z647-SUMPRODUCT(U$3:U647,$B$3:$B647)/SUM($B$3:$B647))/STDEVA(Z637:Z647),"")</f>
        <v/>
      </c>
      <c r="AF647" s="85" t="str">
        <f>IF(V647&lt;&gt;"",(AA647-SUMPRODUCT(V$3:V647,$B$3:$B647)/SUM($B$3:$B647))/STDEVA(AA637:AA647),"")</f>
        <v/>
      </c>
      <c r="AG647" s="90" t="str">
        <f t="shared" si="254"/>
        <v/>
      </c>
      <c r="AH647" s="90" t="str">
        <f t="shared" si="254"/>
        <v/>
      </c>
      <c r="AI647" s="90" t="str">
        <f t="shared" si="254"/>
        <v/>
      </c>
      <c r="AJ647" s="90" t="str">
        <f t="shared" si="254"/>
        <v/>
      </c>
      <c r="AK647" s="93" t="str">
        <f t="shared" si="255"/>
        <v/>
      </c>
      <c r="BQ647" s="100" t="str">
        <f>IF(A647&lt;&gt;"",(VLOOKUP(A647,MarketData!$D:$BP,MATCH($BQ$1,MarketData!$D$1:$EG$1,0),TRUE)/100/365+1)^(B647)*BQ646,"")</f>
        <v/>
      </c>
      <c r="BR647" s="98" t="str">
        <f t="shared" si="257"/>
        <v/>
      </c>
      <c r="BS647" s="106" t="str">
        <f>IF(A647&lt;&gt;"",VLOOKUP(A647,MarketData!$D:$BP,MATCH($BS$1,MarketData!$D$1:$EG$1,0),TRUE),"")</f>
        <v/>
      </c>
      <c r="BT647" s="98" t="str">
        <f t="shared" si="268"/>
        <v/>
      </c>
    </row>
    <row r="648" spans="2:72" x14ac:dyDescent="0.25">
      <c r="B648" s="60" t="str">
        <f t="shared" si="256"/>
        <v/>
      </c>
      <c r="C648" s="3" t="str">
        <f t="shared" si="258"/>
        <v/>
      </c>
      <c r="D648" s="3" t="str">
        <f t="shared" si="259"/>
        <v/>
      </c>
      <c r="E648" s="3" t="str">
        <f t="shared" si="260"/>
        <v/>
      </c>
      <c r="F648" s="3" t="str">
        <f t="shared" si="261"/>
        <v/>
      </c>
      <c r="G648" s="74" t="str">
        <f t="shared" si="262"/>
        <v/>
      </c>
      <c r="H648" s="78" t="str">
        <f>IFERROR(C648/SUM(M$2:M647),"")</f>
        <v/>
      </c>
      <c r="I648" s="61" t="str">
        <f>IFERROR(D648/SUM(N$2:N648),"")</f>
        <v/>
      </c>
      <c r="J648" s="61" t="str">
        <f>IFERROR(E648/SUM(O$2:O648),"")</f>
        <v/>
      </c>
      <c r="K648" s="61" t="str">
        <f>IFERROR(F648/SUM(P$2:P648),"")</f>
        <v/>
      </c>
      <c r="L648" s="79" t="str">
        <f>IFERROR(G648/SUM(Q$2:Q648),"")</f>
        <v/>
      </c>
      <c r="M648" s="64" t="str">
        <f t="shared" si="263"/>
        <v/>
      </c>
      <c r="N648" s="55" t="str">
        <f t="shared" si="264"/>
        <v/>
      </c>
      <c r="O648" s="55" t="str">
        <f t="shared" si="265"/>
        <v/>
      </c>
      <c r="P648" s="55" t="str">
        <f t="shared" si="266"/>
        <v/>
      </c>
      <c r="Q648" s="65" t="str">
        <f t="shared" si="267"/>
        <v/>
      </c>
      <c r="R648" s="67" t="str">
        <f t="shared" si="269"/>
        <v/>
      </c>
      <c r="S648" s="56" t="str">
        <f t="shared" si="270"/>
        <v/>
      </c>
      <c r="T648" s="56" t="str">
        <f t="shared" si="271"/>
        <v/>
      </c>
      <c r="U648" s="56" t="str">
        <f t="shared" si="272"/>
        <v/>
      </c>
      <c r="V648" s="68" t="str">
        <f t="shared" si="273"/>
        <v/>
      </c>
      <c r="W648" s="80" t="str">
        <f t="shared" si="249"/>
        <v/>
      </c>
      <c r="X648" s="81" t="str">
        <f t="shared" si="250"/>
        <v/>
      </c>
      <c r="Y648" s="81" t="str">
        <f t="shared" si="251"/>
        <v/>
      </c>
      <c r="Z648" s="81" t="str">
        <f t="shared" si="252"/>
        <v/>
      </c>
      <c r="AA648" s="82" t="str">
        <f t="shared" si="253"/>
        <v/>
      </c>
      <c r="AB648" s="83" t="str">
        <f>IF(R648&lt;&gt;"",(W648-SUMPRODUCT(R$3:R648,$B$3:$B648)/SUM($B$3:$B648))/STDEVA(W638:W648),"")</f>
        <v/>
      </c>
      <c r="AC648" s="84" t="str">
        <f>IF(S648&lt;&gt;"",(X648-SUMPRODUCT(S$3:S648,$B$3:$B648)/SUM($B$3:$B648))/STDEVA(X638:X648),"")</f>
        <v/>
      </c>
      <c r="AD648" s="84" t="str">
        <f>IF(T648&lt;&gt;"",(Y648-SUMPRODUCT(T$3:T648,$B$3:$B648)/SUM($B$3:$B648))/STDEVA(Y638:Y648),"")</f>
        <v/>
      </c>
      <c r="AE648" s="84" t="str">
        <f>IF(U648&lt;&gt;"",(Z648-SUMPRODUCT(U$3:U648,$B$3:$B648)/SUM($B$3:$B648))/STDEVA(Z638:Z648),"")</f>
        <v/>
      </c>
      <c r="AF648" s="85" t="str">
        <f>IF(V648&lt;&gt;"",(AA648-SUMPRODUCT(V$3:V648,$B$3:$B648)/SUM($B$3:$B648))/STDEVA(AA638:AA648),"")</f>
        <v/>
      </c>
      <c r="AG648" s="90" t="str">
        <f t="shared" si="254"/>
        <v/>
      </c>
      <c r="AH648" s="90" t="str">
        <f t="shared" si="254"/>
        <v/>
      </c>
      <c r="AI648" s="90" t="str">
        <f t="shared" si="254"/>
        <v/>
      </c>
      <c r="AJ648" s="90" t="str">
        <f t="shared" si="254"/>
        <v/>
      </c>
      <c r="AK648" s="93" t="str">
        <f t="shared" si="255"/>
        <v/>
      </c>
      <c r="BQ648" s="100" t="str">
        <f>IF(A648&lt;&gt;"",(VLOOKUP(A648,MarketData!$D:$BP,MATCH($BQ$1,MarketData!$D$1:$EG$1,0),TRUE)/100/365+1)^(B648)*BQ647,"")</f>
        <v/>
      </c>
      <c r="BR648" s="98" t="str">
        <f t="shared" si="257"/>
        <v/>
      </c>
      <c r="BS648" s="106" t="str">
        <f>IF(A648&lt;&gt;"",VLOOKUP(A648,MarketData!$D:$BP,MATCH($BS$1,MarketData!$D$1:$EG$1,0),TRUE),"")</f>
        <v/>
      </c>
      <c r="BT648" s="98" t="str">
        <f t="shared" si="268"/>
        <v/>
      </c>
    </row>
    <row r="649" spans="2:72" x14ac:dyDescent="0.25">
      <c r="B649" s="60" t="str">
        <f t="shared" si="256"/>
        <v/>
      </c>
      <c r="C649" s="3" t="str">
        <f t="shared" si="258"/>
        <v/>
      </c>
      <c r="D649" s="3" t="str">
        <f t="shared" si="259"/>
        <v/>
      </c>
      <c r="E649" s="3" t="str">
        <f t="shared" si="260"/>
        <v/>
      </c>
      <c r="F649" s="3" t="str">
        <f t="shared" si="261"/>
        <v/>
      </c>
      <c r="G649" s="74" t="str">
        <f t="shared" si="262"/>
        <v/>
      </c>
      <c r="H649" s="78" t="str">
        <f>IFERROR(C649/SUM(M$2:M648),"")</f>
        <v/>
      </c>
      <c r="I649" s="61" t="str">
        <f>IFERROR(D649/SUM(N$2:N649),"")</f>
        <v/>
      </c>
      <c r="J649" s="61" t="str">
        <f>IFERROR(E649/SUM(O$2:O649),"")</f>
        <v/>
      </c>
      <c r="K649" s="61" t="str">
        <f>IFERROR(F649/SUM(P$2:P649),"")</f>
        <v/>
      </c>
      <c r="L649" s="79" t="str">
        <f>IFERROR(G649/SUM(Q$2:Q649),"")</f>
        <v/>
      </c>
      <c r="M649" s="64" t="str">
        <f t="shared" si="263"/>
        <v/>
      </c>
      <c r="N649" s="55" t="str">
        <f t="shared" si="264"/>
        <v/>
      </c>
      <c r="O649" s="55" t="str">
        <f t="shared" si="265"/>
        <v/>
      </c>
      <c r="P649" s="55" t="str">
        <f t="shared" si="266"/>
        <v/>
      </c>
      <c r="Q649" s="65" t="str">
        <f t="shared" si="267"/>
        <v/>
      </c>
      <c r="R649" s="67" t="str">
        <f t="shared" si="269"/>
        <v/>
      </c>
      <c r="S649" s="56" t="str">
        <f t="shared" si="270"/>
        <v/>
      </c>
      <c r="T649" s="56" t="str">
        <f t="shared" si="271"/>
        <v/>
      </c>
      <c r="U649" s="56" t="str">
        <f t="shared" si="272"/>
        <v/>
      </c>
      <c r="V649" s="68" t="str">
        <f t="shared" si="273"/>
        <v/>
      </c>
      <c r="W649" s="80" t="str">
        <f t="shared" si="249"/>
        <v/>
      </c>
      <c r="X649" s="81" t="str">
        <f t="shared" si="250"/>
        <v/>
      </c>
      <c r="Y649" s="81" t="str">
        <f t="shared" si="251"/>
        <v/>
      </c>
      <c r="Z649" s="81" t="str">
        <f t="shared" si="252"/>
        <v/>
      </c>
      <c r="AA649" s="82" t="str">
        <f t="shared" si="253"/>
        <v/>
      </c>
      <c r="AB649" s="83" t="str">
        <f>IF(R649&lt;&gt;"",(W649-SUMPRODUCT(R$3:R649,$B$3:$B649)/SUM($B$3:$B649))/STDEVA(W639:W649),"")</f>
        <v/>
      </c>
      <c r="AC649" s="84" t="str">
        <f>IF(S649&lt;&gt;"",(X649-SUMPRODUCT(S$3:S649,$B$3:$B649)/SUM($B$3:$B649))/STDEVA(X639:X649),"")</f>
        <v/>
      </c>
      <c r="AD649" s="84" t="str">
        <f>IF(T649&lt;&gt;"",(Y649-SUMPRODUCT(T$3:T649,$B$3:$B649)/SUM($B$3:$B649))/STDEVA(Y639:Y649),"")</f>
        <v/>
      </c>
      <c r="AE649" s="84" t="str">
        <f>IF(U649&lt;&gt;"",(Z649-SUMPRODUCT(U$3:U649,$B$3:$B649)/SUM($B$3:$B649))/STDEVA(Z639:Z649),"")</f>
        <v/>
      </c>
      <c r="AF649" s="85" t="str">
        <f>IF(V649&lt;&gt;"",(AA649-SUMPRODUCT(V$3:V649,$B$3:$B649)/SUM($B$3:$B649))/STDEVA(AA639:AA649),"")</f>
        <v/>
      </c>
      <c r="AG649" s="90" t="str">
        <f t="shared" si="254"/>
        <v/>
      </c>
      <c r="AH649" s="90" t="str">
        <f t="shared" si="254"/>
        <v/>
      </c>
      <c r="AI649" s="90" t="str">
        <f t="shared" si="254"/>
        <v/>
      </c>
      <c r="AJ649" s="90" t="str">
        <f t="shared" si="254"/>
        <v/>
      </c>
      <c r="AK649" s="93" t="str">
        <f t="shared" si="255"/>
        <v/>
      </c>
      <c r="BQ649" s="100" t="str">
        <f>IF(A649&lt;&gt;"",(VLOOKUP(A649,MarketData!$D:$BP,MATCH($BQ$1,MarketData!$D$1:$EG$1,0),TRUE)/100/365+1)^(B649)*BQ648,"")</f>
        <v/>
      </c>
      <c r="BR649" s="98" t="str">
        <f t="shared" si="257"/>
        <v/>
      </c>
      <c r="BS649" s="106" t="str">
        <f>IF(A649&lt;&gt;"",VLOOKUP(A649,MarketData!$D:$BP,MATCH($BS$1,MarketData!$D$1:$EG$1,0),TRUE),"")</f>
        <v/>
      </c>
      <c r="BT649" s="98" t="str">
        <f t="shared" si="268"/>
        <v/>
      </c>
    </row>
    <row r="650" spans="2:72" x14ac:dyDescent="0.25">
      <c r="B650" s="60" t="str">
        <f t="shared" si="256"/>
        <v/>
      </c>
      <c r="C650" s="3" t="str">
        <f t="shared" si="258"/>
        <v/>
      </c>
      <c r="D650" s="3" t="str">
        <f t="shared" si="259"/>
        <v/>
      </c>
      <c r="E650" s="3" t="str">
        <f t="shared" si="260"/>
        <v/>
      </c>
      <c r="F650" s="3" t="str">
        <f t="shared" si="261"/>
        <v/>
      </c>
      <c r="G650" s="74" t="str">
        <f t="shared" si="262"/>
        <v/>
      </c>
      <c r="H650" s="78" t="str">
        <f>IFERROR(C650/SUM(M$2:M649),"")</f>
        <v/>
      </c>
      <c r="I650" s="61" t="str">
        <f>IFERROR(D650/SUM(N$2:N650),"")</f>
        <v/>
      </c>
      <c r="J650" s="61" t="str">
        <f>IFERROR(E650/SUM(O$2:O650),"")</f>
        <v/>
      </c>
      <c r="K650" s="61" t="str">
        <f>IFERROR(F650/SUM(P$2:P650),"")</f>
        <v/>
      </c>
      <c r="L650" s="79" t="str">
        <f>IFERROR(G650/SUM(Q$2:Q650),"")</f>
        <v/>
      </c>
      <c r="M650" s="64" t="str">
        <f t="shared" si="263"/>
        <v/>
      </c>
      <c r="N650" s="55" t="str">
        <f t="shared" si="264"/>
        <v/>
      </c>
      <c r="O650" s="55" t="str">
        <f t="shared" si="265"/>
        <v/>
      </c>
      <c r="P650" s="55" t="str">
        <f t="shared" si="266"/>
        <v/>
      </c>
      <c r="Q650" s="65" t="str">
        <f t="shared" si="267"/>
        <v/>
      </c>
      <c r="R650" s="67" t="str">
        <f t="shared" si="269"/>
        <v/>
      </c>
      <c r="S650" s="56" t="str">
        <f t="shared" si="270"/>
        <v/>
      </c>
      <c r="T650" s="56" t="str">
        <f t="shared" si="271"/>
        <v/>
      </c>
      <c r="U650" s="56" t="str">
        <f t="shared" si="272"/>
        <v/>
      </c>
      <c r="V650" s="68" t="str">
        <f t="shared" si="273"/>
        <v/>
      </c>
      <c r="W650" s="80" t="str">
        <f t="shared" si="249"/>
        <v/>
      </c>
      <c r="X650" s="81" t="str">
        <f t="shared" si="250"/>
        <v/>
      </c>
      <c r="Y650" s="81" t="str">
        <f t="shared" si="251"/>
        <v/>
      </c>
      <c r="Z650" s="81" t="str">
        <f t="shared" si="252"/>
        <v/>
      </c>
      <c r="AA650" s="82" t="str">
        <f t="shared" si="253"/>
        <v/>
      </c>
      <c r="AB650" s="83" t="str">
        <f>IF(R650&lt;&gt;"",(W650-SUMPRODUCT(R$3:R650,$B$3:$B650)/SUM($B$3:$B650))/STDEVA(W640:W650),"")</f>
        <v/>
      </c>
      <c r="AC650" s="84" t="str">
        <f>IF(S650&lt;&gt;"",(X650-SUMPRODUCT(S$3:S650,$B$3:$B650)/SUM($B$3:$B650))/STDEVA(X640:X650),"")</f>
        <v/>
      </c>
      <c r="AD650" s="84" t="str">
        <f>IF(T650&lt;&gt;"",(Y650-SUMPRODUCT(T$3:T650,$B$3:$B650)/SUM($B$3:$B650))/STDEVA(Y640:Y650),"")</f>
        <v/>
      </c>
      <c r="AE650" s="84" t="str">
        <f>IF(U650&lt;&gt;"",(Z650-SUMPRODUCT(U$3:U650,$B$3:$B650)/SUM($B$3:$B650))/STDEVA(Z640:Z650),"")</f>
        <v/>
      </c>
      <c r="AF650" s="85" t="str">
        <f>IF(V650&lt;&gt;"",(AA650-SUMPRODUCT(V$3:V650,$B$3:$B650)/SUM($B$3:$B650))/STDEVA(AA640:AA650),"")</f>
        <v/>
      </c>
      <c r="AG650" s="90" t="str">
        <f t="shared" si="254"/>
        <v/>
      </c>
      <c r="AH650" s="90" t="str">
        <f t="shared" si="254"/>
        <v/>
      </c>
      <c r="AI650" s="90" t="str">
        <f t="shared" si="254"/>
        <v/>
      </c>
      <c r="AJ650" s="90" t="str">
        <f t="shared" si="254"/>
        <v/>
      </c>
      <c r="AK650" s="93" t="str">
        <f t="shared" si="255"/>
        <v/>
      </c>
      <c r="BQ650" s="100" t="str">
        <f>IF(A650&lt;&gt;"",(VLOOKUP(A650,MarketData!$D:$BP,MATCH($BQ$1,MarketData!$D$1:$EG$1,0),TRUE)/100/365+1)^(B650)*BQ649,"")</f>
        <v/>
      </c>
      <c r="BR650" s="98" t="str">
        <f t="shared" si="257"/>
        <v/>
      </c>
      <c r="BS650" s="106" t="str">
        <f>IF(A650&lt;&gt;"",VLOOKUP(A650,MarketData!$D:$BP,MATCH($BS$1,MarketData!$D$1:$EG$1,0),TRUE),"")</f>
        <v/>
      </c>
      <c r="BT650" s="98" t="str">
        <f t="shared" si="268"/>
        <v/>
      </c>
    </row>
    <row r="651" spans="2:72" x14ac:dyDescent="0.25">
      <c r="B651" s="60" t="str">
        <f t="shared" si="256"/>
        <v/>
      </c>
      <c r="C651" s="3" t="str">
        <f t="shared" si="258"/>
        <v/>
      </c>
      <c r="D651" s="3" t="str">
        <f t="shared" si="259"/>
        <v/>
      </c>
      <c r="E651" s="3" t="str">
        <f t="shared" si="260"/>
        <v/>
      </c>
      <c r="F651" s="3" t="str">
        <f t="shared" si="261"/>
        <v/>
      </c>
      <c r="G651" s="74" t="str">
        <f t="shared" si="262"/>
        <v/>
      </c>
      <c r="H651" s="78" t="str">
        <f>IFERROR(C651/SUM(M$2:M650),"")</f>
        <v/>
      </c>
      <c r="I651" s="61" t="str">
        <f>IFERROR(D651/SUM(N$2:N651),"")</f>
        <v/>
      </c>
      <c r="J651" s="61" t="str">
        <f>IFERROR(E651/SUM(O$2:O651),"")</f>
        <v/>
      </c>
      <c r="K651" s="61" t="str">
        <f>IFERROR(F651/SUM(P$2:P651),"")</f>
        <v/>
      </c>
      <c r="L651" s="79" t="str">
        <f>IFERROR(G651/SUM(Q$2:Q651),"")</f>
        <v/>
      </c>
      <c r="M651" s="64" t="str">
        <f t="shared" si="263"/>
        <v/>
      </c>
      <c r="N651" s="55" t="str">
        <f t="shared" si="264"/>
        <v/>
      </c>
      <c r="O651" s="55" t="str">
        <f t="shared" si="265"/>
        <v/>
      </c>
      <c r="P651" s="55" t="str">
        <f t="shared" si="266"/>
        <v/>
      </c>
      <c r="Q651" s="65" t="str">
        <f t="shared" si="267"/>
        <v/>
      </c>
      <c r="R651" s="67" t="str">
        <f t="shared" si="269"/>
        <v/>
      </c>
      <c r="S651" s="56" t="str">
        <f t="shared" si="270"/>
        <v/>
      </c>
      <c r="T651" s="56" t="str">
        <f t="shared" si="271"/>
        <v/>
      </c>
      <c r="U651" s="56" t="str">
        <f t="shared" si="272"/>
        <v/>
      </c>
      <c r="V651" s="68" t="str">
        <f t="shared" si="273"/>
        <v/>
      </c>
      <c r="W651" s="80" t="str">
        <f t="shared" si="249"/>
        <v/>
      </c>
      <c r="X651" s="81" t="str">
        <f t="shared" si="250"/>
        <v/>
      </c>
      <c r="Y651" s="81" t="str">
        <f t="shared" si="251"/>
        <v/>
      </c>
      <c r="Z651" s="81" t="str">
        <f t="shared" si="252"/>
        <v/>
      </c>
      <c r="AA651" s="82" t="str">
        <f t="shared" si="253"/>
        <v/>
      </c>
      <c r="AB651" s="83" t="str">
        <f>IF(R651&lt;&gt;"",(W651-SUMPRODUCT(R$3:R651,$B$3:$B651)/SUM($B$3:$B651))/STDEVA(W641:W651),"")</f>
        <v/>
      </c>
      <c r="AC651" s="84" t="str">
        <f>IF(S651&lt;&gt;"",(X651-SUMPRODUCT(S$3:S651,$B$3:$B651)/SUM($B$3:$B651))/STDEVA(X641:X651),"")</f>
        <v/>
      </c>
      <c r="AD651" s="84" t="str">
        <f>IF(T651&lt;&gt;"",(Y651-SUMPRODUCT(T$3:T651,$B$3:$B651)/SUM($B$3:$B651))/STDEVA(Y641:Y651),"")</f>
        <v/>
      </c>
      <c r="AE651" s="84" t="str">
        <f>IF(U651&lt;&gt;"",(Z651-SUMPRODUCT(U$3:U651,$B$3:$B651)/SUM($B$3:$B651))/STDEVA(Z641:Z651),"")</f>
        <v/>
      </c>
      <c r="AF651" s="85" t="str">
        <f>IF(V651&lt;&gt;"",(AA651-SUMPRODUCT(V$3:V651,$B$3:$B651)/SUM($B$3:$B651))/STDEVA(AA641:AA651),"")</f>
        <v/>
      </c>
      <c r="AG651" s="90" t="str">
        <f t="shared" si="254"/>
        <v/>
      </c>
      <c r="AH651" s="90" t="str">
        <f t="shared" si="254"/>
        <v/>
      </c>
      <c r="AI651" s="90" t="str">
        <f t="shared" si="254"/>
        <v/>
      </c>
      <c r="AJ651" s="90" t="str">
        <f t="shared" si="254"/>
        <v/>
      </c>
      <c r="AK651" s="93" t="str">
        <f t="shared" si="255"/>
        <v/>
      </c>
      <c r="BQ651" s="100" t="str">
        <f>IF(A651&lt;&gt;"",(VLOOKUP(A651,MarketData!$D:$BP,MATCH($BQ$1,MarketData!$D$1:$EG$1,0),TRUE)/100/365+1)^(B651)*BQ650,"")</f>
        <v/>
      </c>
      <c r="BR651" s="98" t="str">
        <f t="shared" si="257"/>
        <v/>
      </c>
      <c r="BS651" s="106" t="str">
        <f>IF(A651&lt;&gt;"",VLOOKUP(A651,MarketData!$D:$BP,MATCH($BS$1,MarketData!$D$1:$EG$1,0),TRUE),"")</f>
        <v/>
      </c>
      <c r="BT651" s="98" t="str">
        <f t="shared" si="268"/>
        <v/>
      </c>
    </row>
    <row r="652" spans="2:72" x14ac:dyDescent="0.25">
      <c r="B652" s="60" t="str">
        <f t="shared" si="256"/>
        <v/>
      </c>
      <c r="C652" s="3" t="str">
        <f t="shared" si="258"/>
        <v/>
      </c>
      <c r="D652" s="3" t="str">
        <f t="shared" si="259"/>
        <v/>
      </c>
      <c r="E652" s="3" t="str">
        <f t="shared" si="260"/>
        <v/>
      </c>
      <c r="F652" s="3" t="str">
        <f t="shared" si="261"/>
        <v/>
      </c>
      <c r="G652" s="74" t="str">
        <f t="shared" si="262"/>
        <v/>
      </c>
      <c r="H652" s="78" t="str">
        <f>IFERROR(C652/SUM(M$2:M651),"")</f>
        <v/>
      </c>
      <c r="I652" s="61" t="str">
        <f>IFERROR(D652/SUM(N$2:N652),"")</f>
        <v/>
      </c>
      <c r="J652" s="61" t="str">
        <f>IFERROR(E652/SUM(O$2:O652),"")</f>
        <v/>
      </c>
      <c r="K652" s="61" t="str">
        <f>IFERROR(F652/SUM(P$2:P652),"")</f>
        <v/>
      </c>
      <c r="L652" s="79" t="str">
        <f>IFERROR(G652/SUM(Q$2:Q652),"")</f>
        <v/>
      </c>
      <c r="M652" s="64" t="str">
        <f t="shared" si="263"/>
        <v/>
      </c>
      <c r="N652" s="55" t="str">
        <f t="shared" si="264"/>
        <v/>
      </c>
      <c r="O652" s="55" t="str">
        <f t="shared" si="265"/>
        <v/>
      </c>
      <c r="P652" s="55" t="str">
        <f t="shared" si="266"/>
        <v/>
      </c>
      <c r="Q652" s="65" t="str">
        <f t="shared" si="267"/>
        <v/>
      </c>
      <c r="R652" s="67" t="str">
        <f t="shared" si="269"/>
        <v/>
      </c>
      <c r="S652" s="56" t="str">
        <f t="shared" si="270"/>
        <v/>
      </c>
      <c r="T652" s="56" t="str">
        <f t="shared" si="271"/>
        <v/>
      </c>
      <c r="U652" s="56" t="str">
        <f t="shared" si="272"/>
        <v/>
      </c>
      <c r="V652" s="68" t="str">
        <f t="shared" si="273"/>
        <v/>
      </c>
      <c r="W652" s="80" t="str">
        <f t="shared" ref="W652:W715" si="274">IF(R652&lt;&gt;"",SUMPRODUCT(R643:R652,$B643:$B652)/SUM($B643:$B652),"")</f>
        <v/>
      </c>
      <c r="X652" s="81" t="str">
        <f t="shared" ref="X652:X715" si="275">IF(S652&lt;&gt;"",SUMPRODUCT(S643:S652,$B643:$B652)/SUM($B643:$B652),"")</f>
        <v/>
      </c>
      <c r="Y652" s="81" t="str">
        <f t="shared" ref="Y652:Y715" si="276">IF(T652&lt;&gt;"",SUMPRODUCT(T643:T652,$B643:$B652)/SUM($B643:$B652),"")</f>
        <v/>
      </c>
      <c r="Z652" s="81" t="str">
        <f t="shared" ref="Z652:Z715" si="277">IF(U652&lt;&gt;"",SUMPRODUCT(U643:U652,$B643:$B652)/SUM($B643:$B652),"")</f>
        <v/>
      </c>
      <c r="AA652" s="82" t="str">
        <f t="shared" ref="AA652:AA715" si="278">IF(V652&lt;&gt;"",SUMPRODUCT(V643:V652,$B643:$B652)/SUM($B643:$B652),"")</f>
        <v/>
      </c>
      <c r="AB652" s="83" t="str">
        <f>IF(R652&lt;&gt;"",(W652-SUMPRODUCT(R$3:R652,$B$3:$B652)/SUM($B$3:$B652))/STDEVA(W642:W652),"")</f>
        <v/>
      </c>
      <c r="AC652" s="84" t="str">
        <f>IF(S652&lt;&gt;"",(X652-SUMPRODUCT(S$3:S652,$B$3:$B652)/SUM($B$3:$B652))/STDEVA(X642:X652),"")</f>
        <v/>
      </c>
      <c r="AD652" s="84" t="str">
        <f>IF(T652&lt;&gt;"",(Y652-SUMPRODUCT(T$3:T652,$B$3:$B652)/SUM($B$3:$B652))/STDEVA(Y642:Y652),"")</f>
        <v/>
      </c>
      <c r="AE652" s="84" t="str">
        <f>IF(U652&lt;&gt;"",(Z652-SUMPRODUCT(U$3:U652,$B$3:$B652)/SUM($B$3:$B652))/STDEVA(Z642:Z652),"")</f>
        <v/>
      </c>
      <c r="AF652" s="85" t="str">
        <f>IF(V652&lt;&gt;"",(AA652-SUMPRODUCT(V$3:V652,$B$3:$B652)/SUM($B$3:$B652))/STDEVA(AA642:AA652),"")</f>
        <v/>
      </c>
      <c r="AG652" s="90" t="str">
        <f t="shared" si="254"/>
        <v/>
      </c>
      <c r="AH652" s="90" t="str">
        <f t="shared" si="254"/>
        <v/>
      </c>
      <c r="AI652" s="90" t="str">
        <f t="shared" si="254"/>
        <v/>
      </c>
      <c r="AJ652" s="90" t="str">
        <f t="shared" si="254"/>
        <v/>
      </c>
      <c r="AK652" s="93" t="str">
        <f t="shared" si="255"/>
        <v/>
      </c>
      <c r="BQ652" s="100" t="str">
        <f>IF(A652&lt;&gt;"",(VLOOKUP(A652,MarketData!$D:$BP,MATCH($BQ$1,MarketData!$D$1:$EG$1,0),TRUE)/100/365+1)^(B652)*BQ651,"")</f>
        <v/>
      </c>
      <c r="BR652" s="98" t="str">
        <f t="shared" si="257"/>
        <v/>
      </c>
      <c r="BS652" s="106" t="str">
        <f>IF(A652&lt;&gt;"",VLOOKUP(A652,MarketData!$D:$BP,MATCH($BS$1,MarketData!$D$1:$EG$1,0),TRUE),"")</f>
        <v/>
      </c>
      <c r="BT652" s="98" t="str">
        <f t="shared" si="268"/>
        <v/>
      </c>
    </row>
    <row r="653" spans="2:72" x14ac:dyDescent="0.25">
      <c r="B653" s="60" t="str">
        <f t="shared" si="256"/>
        <v/>
      </c>
      <c r="C653" s="3" t="str">
        <f t="shared" si="258"/>
        <v/>
      </c>
      <c r="D653" s="3" t="str">
        <f t="shared" si="259"/>
        <v/>
      </c>
      <c r="E653" s="3" t="str">
        <f t="shared" si="260"/>
        <v/>
      </c>
      <c r="F653" s="3" t="str">
        <f t="shared" si="261"/>
        <v/>
      </c>
      <c r="G653" s="74" t="str">
        <f t="shared" si="262"/>
        <v/>
      </c>
      <c r="H653" s="78" t="str">
        <f>IFERROR(C653/SUM(M$2:M652),"")</f>
        <v/>
      </c>
      <c r="I653" s="61" t="str">
        <f>IFERROR(D653/SUM(N$2:N653),"")</f>
        <v/>
      </c>
      <c r="J653" s="61" t="str">
        <f>IFERROR(E653/SUM(O$2:O653),"")</f>
        <v/>
      </c>
      <c r="K653" s="61" t="str">
        <f>IFERROR(F653/SUM(P$2:P653),"")</f>
        <v/>
      </c>
      <c r="L653" s="79" t="str">
        <f>IFERROR(G653/SUM(Q$2:Q653),"")</f>
        <v/>
      </c>
      <c r="M653" s="64" t="str">
        <f t="shared" si="263"/>
        <v/>
      </c>
      <c r="N653" s="55" t="str">
        <f t="shared" si="264"/>
        <v/>
      </c>
      <c r="O653" s="55" t="str">
        <f t="shared" si="265"/>
        <v/>
      </c>
      <c r="P653" s="55" t="str">
        <f t="shared" si="266"/>
        <v/>
      </c>
      <c r="Q653" s="65" t="str">
        <f t="shared" si="267"/>
        <v/>
      </c>
      <c r="R653" s="67" t="str">
        <f t="shared" si="269"/>
        <v/>
      </c>
      <c r="S653" s="56" t="str">
        <f t="shared" si="270"/>
        <v/>
      </c>
      <c r="T653" s="56" t="str">
        <f t="shared" si="271"/>
        <v/>
      </c>
      <c r="U653" s="56" t="str">
        <f t="shared" si="272"/>
        <v/>
      </c>
      <c r="V653" s="68" t="str">
        <f t="shared" si="273"/>
        <v/>
      </c>
      <c r="W653" s="80" t="str">
        <f t="shared" si="274"/>
        <v/>
      </c>
      <c r="X653" s="81" t="str">
        <f t="shared" si="275"/>
        <v/>
      </c>
      <c r="Y653" s="81" t="str">
        <f t="shared" si="276"/>
        <v/>
      </c>
      <c r="Z653" s="81" t="str">
        <f t="shared" si="277"/>
        <v/>
      </c>
      <c r="AA653" s="82" t="str">
        <f t="shared" si="278"/>
        <v/>
      </c>
      <c r="AB653" s="83" t="str">
        <f>IF(R653&lt;&gt;"",(W653-SUMPRODUCT(R$3:R653,$B$3:$B653)/SUM($B$3:$B653))/STDEVA(W643:W653),"")</f>
        <v/>
      </c>
      <c r="AC653" s="84" t="str">
        <f>IF(S653&lt;&gt;"",(X653-SUMPRODUCT(S$3:S653,$B$3:$B653)/SUM($B$3:$B653))/STDEVA(X643:X653),"")</f>
        <v/>
      </c>
      <c r="AD653" s="84" t="str">
        <f>IF(T653&lt;&gt;"",(Y653-SUMPRODUCT(T$3:T653,$B$3:$B653)/SUM($B$3:$B653))/STDEVA(Y643:Y653),"")</f>
        <v/>
      </c>
      <c r="AE653" s="84" t="str">
        <f>IF(U653&lt;&gt;"",(Z653-SUMPRODUCT(U$3:U653,$B$3:$B653)/SUM($B$3:$B653))/STDEVA(Z643:Z653),"")</f>
        <v/>
      </c>
      <c r="AF653" s="85" t="str">
        <f>IF(V653&lt;&gt;"",(AA653-SUMPRODUCT(V$3:V653,$B$3:$B653)/SUM($B$3:$B653))/STDEVA(AA643:AA653),"")</f>
        <v/>
      </c>
      <c r="AG653" s="90" t="str">
        <f t="shared" si="254"/>
        <v/>
      </c>
      <c r="AH653" s="90" t="str">
        <f t="shared" si="254"/>
        <v/>
      </c>
      <c r="AI653" s="90" t="str">
        <f t="shared" si="254"/>
        <v/>
      </c>
      <c r="AJ653" s="90" t="str">
        <f t="shared" ref="AJ653:AK716" si="279">IF(AE653&lt;&gt;"",SUMPRODUCT(AE648:AE653,$B648:$B653)/SUM($B648:$B653),"")</f>
        <v/>
      </c>
      <c r="AK653" s="93" t="str">
        <f t="shared" si="255"/>
        <v/>
      </c>
      <c r="BQ653" s="100" t="str">
        <f>IF(A653&lt;&gt;"",(VLOOKUP(A653,MarketData!$D:$BP,MATCH($BQ$1,MarketData!$D$1:$EG$1,0),TRUE)/100/365+1)^(B653)*BQ652,"")</f>
        <v/>
      </c>
      <c r="BR653" s="98" t="str">
        <f t="shared" si="257"/>
        <v/>
      </c>
      <c r="BS653" s="106" t="str">
        <f>IF(A653&lt;&gt;"",VLOOKUP(A653,MarketData!$D:$BP,MATCH($BS$1,MarketData!$D$1:$EG$1,0),TRUE),"")</f>
        <v/>
      </c>
      <c r="BT653" s="98" t="str">
        <f t="shared" si="268"/>
        <v/>
      </c>
    </row>
    <row r="654" spans="2:72" x14ac:dyDescent="0.25">
      <c r="B654" s="60" t="str">
        <f t="shared" si="256"/>
        <v/>
      </c>
      <c r="C654" s="3" t="str">
        <f t="shared" si="258"/>
        <v/>
      </c>
      <c r="D654" s="3" t="str">
        <f t="shared" si="259"/>
        <v/>
      </c>
      <c r="E654" s="3" t="str">
        <f t="shared" si="260"/>
        <v/>
      </c>
      <c r="F654" s="3" t="str">
        <f t="shared" si="261"/>
        <v/>
      </c>
      <c r="G654" s="74" t="str">
        <f t="shared" si="262"/>
        <v/>
      </c>
      <c r="H654" s="78" t="str">
        <f>IFERROR(C654/SUM(M$2:M653),"")</f>
        <v/>
      </c>
      <c r="I654" s="61" t="str">
        <f>IFERROR(D654/SUM(N$2:N654),"")</f>
        <v/>
      </c>
      <c r="J654" s="61" t="str">
        <f>IFERROR(E654/SUM(O$2:O654),"")</f>
        <v/>
      </c>
      <c r="K654" s="61" t="str">
        <f>IFERROR(F654/SUM(P$2:P654),"")</f>
        <v/>
      </c>
      <c r="L654" s="79" t="str">
        <f>IFERROR(G654/SUM(Q$2:Q654),"")</f>
        <v/>
      </c>
      <c r="M654" s="64" t="str">
        <f t="shared" si="263"/>
        <v/>
      </c>
      <c r="N654" s="55" t="str">
        <f t="shared" si="264"/>
        <v/>
      </c>
      <c r="O654" s="55" t="str">
        <f t="shared" si="265"/>
        <v/>
      </c>
      <c r="P654" s="55" t="str">
        <f t="shared" si="266"/>
        <v/>
      </c>
      <c r="Q654" s="65" t="str">
        <f t="shared" si="267"/>
        <v/>
      </c>
      <c r="R654" s="67" t="str">
        <f t="shared" si="269"/>
        <v/>
      </c>
      <c r="S654" s="56" t="str">
        <f t="shared" si="270"/>
        <v/>
      </c>
      <c r="T654" s="56" t="str">
        <f t="shared" si="271"/>
        <v/>
      </c>
      <c r="U654" s="56" t="str">
        <f t="shared" si="272"/>
        <v/>
      </c>
      <c r="V654" s="68" t="str">
        <f t="shared" si="273"/>
        <v/>
      </c>
      <c r="W654" s="80" t="str">
        <f t="shared" si="274"/>
        <v/>
      </c>
      <c r="X654" s="81" t="str">
        <f t="shared" si="275"/>
        <v/>
      </c>
      <c r="Y654" s="81" t="str">
        <f t="shared" si="276"/>
        <v/>
      </c>
      <c r="Z654" s="81" t="str">
        <f t="shared" si="277"/>
        <v/>
      </c>
      <c r="AA654" s="82" t="str">
        <f t="shared" si="278"/>
        <v/>
      </c>
      <c r="AB654" s="83" t="str">
        <f>IF(R654&lt;&gt;"",(W654-SUMPRODUCT(R$3:R654,$B$3:$B654)/SUM($B$3:$B654))/STDEVA(W644:W654),"")</f>
        <v/>
      </c>
      <c r="AC654" s="84" t="str">
        <f>IF(S654&lt;&gt;"",(X654-SUMPRODUCT(S$3:S654,$B$3:$B654)/SUM($B$3:$B654))/STDEVA(X644:X654),"")</f>
        <v/>
      </c>
      <c r="AD654" s="84" t="str">
        <f>IF(T654&lt;&gt;"",(Y654-SUMPRODUCT(T$3:T654,$B$3:$B654)/SUM($B$3:$B654))/STDEVA(Y644:Y654),"")</f>
        <v/>
      </c>
      <c r="AE654" s="84" t="str">
        <f>IF(U654&lt;&gt;"",(Z654-SUMPRODUCT(U$3:U654,$B$3:$B654)/SUM($B$3:$B654))/STDEVA(Z644:Z654),"")</f>
        <v/>
      </c>
      <c r="AF654" s="85" t="str">
        <f>IF(V654&lt;&gt;"",(AA654-SUMPRODUCT(V$3:V654,$B$3:$B654)/SUM($B$3:$B654))/STDEVA(AA644:AA654),"")</f>
        <v/>
      </c>
      <c r="AG654" s="90" t="str">
        <f t="shared" ref="AG654:AK717" si="280">IF(AB654&lt;&gt;"",SUMPRODUCT(AB649:AB654,$B649:$B654)/SUM($B649:$B654),"")</f>
        <v/>
      </c>
      <c r="AH654" s="90" t="str">
        <f t="shared" si="280"/>
        <v/>
      </c>
      <c r="AI654" s="90" t="str">
        <f t="shared" si="280"/>
        <v/>
      </c>
      <c r="AJ654" s="90" t="str">
        <f t="shared" si="279"/>
        <v/>
      </c>
      <c r="AK654" s="93" t="str">
        <f t="shared" si="279"/>
        <v/>
      </c>
      <c r="BQ654" s="100" t="str">
        <f>IF(A654&lt;&gt;"",(VLOOKUP(A654,MarketData!$D:$BP,MATCH($BQ$1,MarketData!$D$1:$EG$1,0),TRUE)/100/365+1)^(B654)*BQ653,"")</f>
        <v/>
      </c>
      <c r="BR654" s="98" t="str">
        <f t="shared" si="257"/>
        <v/>
      </c>
      <c r="BS654" s="106" t="str">
        <f>IF(A654&lt;&gt;"",VLOOKUP(A654,MarketData!$D:$BP,MATCH($BS$1,MarketData!$D$1:$EG$1,0),TRUE),"")</f>
        <v/>
      </c>
      <c r="BT654" s="98" t="str">
        <f t="shared" si="268"/>
        <v/>
      </c>
    </row>
    <row r="655" spans="2:72" x14ac:dyDescent="0.25">
      <c r="B655" s="60" t="str">
        <f t="shared" si="256"/>
        <v/>
      </c>
      <c r="C655" s="3" t="str">
        <f t="shared" si="258"/>
        <v/>
      </c>
      <c r="D655" s="3" t="str">
        <f t="shared" si="259"/>
        <v/>
      </c>
      <c r="E655" s="3" t="str">
        <f t="shared" si="260"/>
        <v/>
      </c>
      <c r="F655" s="3" t="str">
        <f t="shared" si="261"/>
        <v/>
      </c>
      <c r="G655" s="74" t="str">
        <f t="shared" si="262"/>
        <v/>
      </c>
      <c r="H655" s="78" t="str">
        <f>IFERROR(C655/SUM(M$2:M654),"")</f>
        <v/>
      </c>
      <c r="I655" s="61" t="str">
        <f>IFERROR(D655/SUM(N$2:N655),"")</f>
        <v/>
      </c>
      <c r="J655" s="61" t="str">
        <f>IFERROR(E655/SUM(O$2:O655),"")</f>
        <v/>
      </c>
      <c r="K655" s="61" t="str">
        <f>IFERROR(F655/SUM(P$2:P655),"")</f>
        <v/>
      </c>
      <c r="L655" s="79" t="str">
        <f>IFERROR(G655/SUM(Q$2:Q655),"")</f>
        <v/>
      </c>
      <c r="M655" s="64" t="str">
        <f t="shared" si="263"/>
        <v/>
      </c>
      <c r="N655" s="55" t="str">
        <f t="shared" si="264"/>
        <v/>
      </c>
      <c r="O655" s="55" t="str">
        <f t="shared" si="265"/>
        <v/>
      </c>
      <c r="P655" s="55" t="str">
        <f t="shared" si="266"/>
        <v/>
      </c>
      <c r="Q655" s="65" t="str">
        <f t="shared" si="267"/>
        <v/>
      </c>
      <c r="R655" s="67" t="str">
        <f t="shared" si="269"/>
        <v/>
      </c>
      <c r="S655" s="56" t="str">
        <f t="shared" si="270"/>
        <v/>
      </c>
      <c r="T655" s="56" t="str">
        <f t="shared" si="271"/>
        <v/>
      </c>
      <c r="U655" s="56" t="str">
        <f t="shared" si="272"/>
        <v/>
      </c>
      <c r="V655" s="68" t="str">
        <f t="shared" si="273"/>
        <v/>
      </c>
      <c r="W655" s="80" t="str">
        <f t="shared" si="274"/>
        <v/>
      </c>
      <c r="X655" s="81" t="str">
        <f t="shared" si="275"/>
        <v/>
      </c>
      <c r="Y655" s="81" t="str">
        <f t="shared" si="276"/>
        <v/>
      </c>
      <c r="Z655" s="81" t="str">
        <f t="shared" si="277"/>
        <v/>
      </c>
      <c r="AA655" s="82" t="str">
        <f t="shared" si="278"/>
        <v/>
      </c>
      <c r="AB655" s="83" t="str">
        <f>IF(R655&lt;&gt;"",(W655-SUMPRODUCT(R$3:R655,$B$3:$B655)/SUM($B$3:$B655))/STDEVA(W645:W655),"")</f>
        <v/>
      </c>
      <c r="AC655" s="84" t="str">
        <f>IF(S655&lt;&gt;"",(X655-SUMPRODUCT(S$3:S655,$B$3:$B655)/SUM($B$3:$B655))/STDEVA(X645:X655),"")</f>
        <v/>
      </c>
      <c r="AD655" s="84" t="str">
        <f>IF(T655&lt;&gt;"",(Y655-SUMPRODUCT(T$3:T655,$B$3:$B655)/SUM($B$3:$B655))/STDEVA(Y645:Y655),"")</f>
        <v/>
      </c>
      <c r="AE655" s="84" t="str">
        <f>IF(U655&lt;&gt;"",(Z655-SUMPRODUCT(U$3:U655,$B$3:$B655)/SUM($B$3:$B655))/STDEVA(Z645:Z655),"")</f>
        <v/>
      </c>
      <c r="AF655" s="85" t="str">
        <f>IF(V655&lt;&gt;"",(AA655-SUMPRODUCT(V$3:V655,$B$3:$B655)/SUM($B$3:$B655))/STDEVA(AA645:AA655),"")</f>
        <v/>
      </c>
      <c r="AG655" s="90" t="str">
        <f t="shared" si="280"/>
        <v/>
      </c>
      <c r="AH655" s="90" t="str">
        <f t="shared" si="280"/>
        <v/>
      </c>
      <c r="AI655" s="90" t="str">
        <f t="shared" si="280"/>
        <v/>
      </c>
      <c r="AJ655" s="90" t="str">
        <f t="shared" si="279"/>
        <v/>
      </c>
      <c r="AK655" s="93" t="str">
        <f t="shared" si="279"/>
        <v/>
      </c>
      <c r="BQ655" s="100" t="str">
        <f>IF(A655&lt;&gt;"",(VLOOKUP(A655,MarketData!$D:$BP,MATCH($BQ$1,MarketData!$D$1:$EG$1,0),TRUE)/100/365+1)^(B655)*BQ654,"")</f>
        <v/>
      </c>
      <c r="BR655" s="98" t="str">
        <f t="shared" si="257"/>
        <v/>
      </c>
      <c r="BS655" s="106" t="str">
        <f>IF(A655&lt;&gt;"",VLOOKUP(A655,MarketData!$D:$BP,MATCH($BS$1,MarketData!$D$1:$EG$1,0),TRUE),"")</f>
        <v/>
      </c>
      <c r="BT655" s="98" t="str">
        <f t="shared" si="268"/>
        <v/>
      </c>
    </row>
    <row r="656" spans="2:72" x14ac:dyDescent="0.25">
      <c r="B656" s="60" t="str">
        <f t="shared" si="256"/>
        <v/>
      </c>
      <c r="C656" s="3" t="str">
        <f t="shared" si="258"/>
        <v/>
      </c>
      <c r="D656" s="3" t="str">
        <f t="shared" si="259"/>
        <v/>
      </c>
      <c r="E656" s="3" t="str">
        <f t="shared" si="260"/>
        <v/>
      </c>
      <c r="F656" s="3" t="str">
        <f t="shared" si="261"/>
        <v/>
      </c>
      <c r="G656" s="74" t="str">
        <f t="shared" si="262"/>
        <v/>
      </c>
      <c r="H656" s="78" t="str">
        <f>IFERROR(C656/SUM(M$2:M655),"")</f>
        <v/>
      </c>
      <c r="I656" s="61" t="str">
        <f>IFERROR(D656/SUM(N$2:N656),"")</f>
        <v/>
      </c>
      <c r="J656" s="61" t="str">
        <f>IFERROR(E656/SUM(O$2:O656),"")</f>
        <v/>
      </c>
      <c r="K656" s="61" t="str">
        <f>IFERROR(F656/SUM(P$2:P656),"")</f>
        <v/>
      </c>
      <c r="L656" s="79" t="str">
        <f>IFERROR(G656/SUM(Q$2:Q656),"")</f>
        <v/>
      </c>
      <c r="M656" s="64" t="str">
        <f t="shared" si="263"/>
        <v/>
      </c>
      <c r="N656" s="55" t="str">
        <f t="shared" si="264"/>
        <v/>
      </c>
      <c r="O656" s="55" t="str">
        <f t="shared" si="265"/>
        <v/>
      </c>
      <c r="P656" s="55" t="str">
        <f t="shared" si="266"/>
        <v/>
      </c>
      <c r="Q656" s="65" t="str">
        <f t="shared" si="267"/>
        <v/>
      </c>
      <c r="R656" s="67" t="str">
        <f t="shared" si="269"/>
        <v/>
      </c>
      <c r="S656" s="56" t="str">
        <f t="shared" si="270"/>
        <v/>
      </c>
      <c r="T656" s="56" t="str">
        <f t="shared" si="271"/>
        <v/>
      </c>
      <c r="U656" s="56" t="str">
        <f t="shared" si="272"/>
        <v/>
      </c>
      <c r="V656" s="68" t="str">
        <f t="shared" si="273"/>
        <v/>
      </c>
      <c r="W656" s="80" t="str">
        <f t="shared" si="274"/>
        <v/>
      </c>
      <c r="X656" s="81" t="str">
        <f t="shared" si="275"/>
        <v/>
      </c>
      <c r="Y656" s="81" t="str">
        <f t="shared" si="276"/>
        <v/>
      </c>
      <c r="Z656" s="81" t="str">
        <f t="shared" si="277"/>
        <v/>
      </c>
      <c r="AA656" s="82" t="str">
        <f t="shared" si="278"/>
        <v/>
      </c>
      <c r="AB656" s="83" t="str">
        <f>IF(R656&lt;&gt;"",(W656-SUMPRODUCT(R$3:R656,$B$3:$B656)/SUM($B$3:$B656))/STDEVA(W646:W656),"")</f>
        <v/>
      </c>
      <c r="AC656" s="84" t="str">
        <f>IF(S656&lt;&gt;"",(X656-SUMPRODUCT(S$3:S656,$B$3:$B656)/SUM($B$3:$B656))/STDEVA(X646:X656),"")</f>
        <v/>
      </c>
      <c r="AD656" s="84" t="str">
        <f>IF(T656&lt;&gt;"",(Y656-SUMPRODUCT(T$3:T656,$B$3:$B656)/SUM($B$3:$B656))/STDEVA(Y646:Y656),"")</f>
        <v/>
      </c>
      <c r="AE656" s="84" t="str">
        <f>IF(U656&lt;&gt;"",(Z656-SUMPRODUCT(U$3:U656,$B$3:$B656)/SUM($B$3:$B656))/STDEVA(Z646:Z656),"")</f>
        <v/>
      </c>
      <c r="AF656" s="85" t="str">
        <f>IF(V656&lt;&gt;"",(AA656-SUMPRODUCT(V$3:V656,$B$3:$B656)/SUM($B$3:$B656))/STDEVA(AA646:AA656),"")</f>
        <v/>
      </c>
      <c r="AG656" s="90" t="str">
        <f t="shared" si="280"/>
        <v/>
      </c>
      <c r="AH656" s="90" t="str">
        <f t="shared" si="280"/>
        <v/>
      </c>
      <c r="AI656" s="90" t="str">
        <f t="shared" si="280"/>
        <v/>
      </c>
      <c r="AJ656" s="90" t="str">
        <f t="shared" si="279"/>
        <v/>
      </c>
      <c r="AK656" s="93" t="str">
        <f t="shared" si="279"/>
        <v/>
      </c>
      <c r="BQ656" s="100" t="str">
        <f>IF(A656&lt;&gt;"",(VLOOKUP(A656,MarketData!$D:$BP,MATCH($BQ$1,MarketData!$D$1:$EG$1,0),TRUE)/100/365+1)^(B656)*BQ655,"")</f>
        <v/>
      </c>
      <c r="BR656" s="98" t="str">
        <f t="shared" si="257"/>
        <v/>
      </c>
      <c r="BS656" s="106" t="str">
        <f>IF(A656&lt;&gt;"",VLOOKUP(A656,MarketData!$D:$BP,MATCH($BS$1,MarketData!$D$1:$EG$1,0),TRUE),"")</f>
        <v/>
      </c>
      <c r="BT656" s="98" t="str">
        <f t="shared" si="268"/>
        <v/>
      </c>
    </row>
    <row r="657" spans="2:72" x14ac:dyDescent="0.25">
      <c r="B657" s="60" t="str">
        <f t="shared" si="256"/>
        <v/>
      </c>
      <c r="C657" s="3" t="str">
        <f t="shared" si="258"/>
        <v/>
      </c>
      <c r="D657" s="3" t="str">
        <f t="shared" si="259"/>
        <v/>
      </c>
      <c r="E657" s="3" t="str">
        <f t="shared" si="260"/>
        <v/>
      </c>
      <c r="F657" s="3" t="str">
        <f t="shared" si="261"/>
        <v/>
      </c>
      <c r="G657" s="74" t="str">
        <f t="shared" si="262"/>
        <v/>
      </c>
      <c r="H657" s="78" t="str">
        <f>IFERROR(C657/SUM(M$2:M656),"")</f>
        <v/>
      </c>
      <c r="I657" s="61" t="str">
        <f>IFERROR(D657/SUM(N$2:N657),"")</f>
        <v/>
      </c>
      <c r="J657" s="61" t="str">
        <f>IFERROR(E657/SUM(O$2:O657),"")</f>
        <v/>
      </c>
      <c r="K657" s="61" t="str">
        <f>IFERROR(F657/SUM(P$2:P657),"")</f>
        <v/>
      </c>
      <c r="L657" s="79" t="str">
        <f>IFERROR(G657/SUM(Q$2:Q657),"")</f>
        <v/>
      </c>
      <c r="M657" s="64" t="str">
        <f t="shared" si="263"/>
        <v/>
      </c>
      <c r="N657" s="55" t="str">
        <f t="shared" si="264"/>
        <v/>
      </c>
      <c r="O657" s="55" t="str">
        <f t="shared" si="265"/>
        <v/>
      </c>
      <c r="P657" s="55" t="str">
        <f t="shared" si="266"/>
        <v/>
      </c>
      <c r="Q657" s="65" t="str">
        <f t="shared" si="267"/>
        <v/>
      </c>
      <c r="R657" s="67" t="str">
        <f t="shared" si="269"/>
        <v/>
      </c>
      <c r="S657" s="56" t="str">
        <f t="shared" si="270"/>
        <v/>
      </c>
      <c r="T657" s="56" t="str">
        <f t="shared" si="271"/>
        <v/>
      </c>
      <c r="U657" s="56" t="str">
        <f t="shared" si="272"/>
        <v/>
      </c>
      <c r="V657" s="68" t="str">
        <f t="shared" si="273"/>
        <v/>
      </c>
      <c r="W657" s="80" t="str">
        <f t="shared" si="274"/>
        <v/>
      </c>
      <c r="X657" s="81" t="str">
        <f t="shared" si="275"/>
        <v/>
      </c>
      <c r="Y657" s="81" t="str">
        <f t="shared" si="276"/>
        <v/>
      </c>
      <c r="Z657" s="81" t="str">
        <f t="shared" si="277"/>
        <v/>
      </c>
      <c r="AA657" s="82" t="str">
        <f t="shared" si="278"/>
        <v/>
      </c>
      <c r="AB657" s="83" t="str">
        <f>IF(R657&lt;&gt;"",(W657-SUMPRODUCT(R$3:R657,$B$3:$B657)/SUM($B$3:$B657))/STDEVA(W647:W657),"")</f>
        <v/>
      </c>
      <c r="AC657" s="84" t="str">
        <f>IF(S657&lt;&gt;"",(X657-SUMPRODUCT(S$3:S657,$B$3:$B657)/SUM($B$3:$B657))/STDEVA(X647:X657),"")</f>
        <v/>
      </c>
      <c r="AD657" s="84" t="str">
        <f>IF(T657&lt;&gt;"",(Y657-SUMPRODUCT(T$3:T657,$B$3:$B657)/SUM($B$3:$B657))/STDEVA(Y647:Y657),"")</f>
        <v/>
      </c>
      <c r="AE657" s="84" t="str">
        <f>IF(U657&lt;&gt;"",(Z657-SUMPRODUCT(U$3:U657,$B$3:$B657)/SUM($B$3:$B657))/STDEVA(Z647:Z657),"")</f>
        <v/>
      </c>
      <c r="AF657" s="85" t="str">
        <f>IF(V657&lt;&gt;"",(AA657-SUMPRODUCT(V$3:V657,$B$3:$B657)/SUM($B$3:$B657))/STDEVA(AA647:AA657),"")</f>
        <v/>
      </c>
      <c r="AG657" s="90" t="str">
        <f t="shared" si="280"/>
        <v/>
      </c>
      <c r="AH657" s="90" t="str">
        <f t="shared" si="280"/>
        <v/>
      </c>
      <c r="AI657" s="90" t="str">
        <f t="shared" si="280"/>
        <v/>
      </c>
      <c r="AJ657" s="90" t="str">
        <f t="shared" si="279"/>
        <v/>
      </c>
      <c r="AK657" s="93" t="str">
        <f t="shared" si="279"/>
        <v/>
      </c>
      <c r="BQ657" s="100" t="str">
        <f>IF(A657&lt;&gt;"",(VLOOKUP(A657,MarketData!$D:$BP,MATCH($BQ$1,MarketData!$D$1:$EG$1,0),TRUE)/100/365+1)^(B657)*BQ656,"")</f>
        <v/>
      </c>
      <c r="BR657" s="98" t="str">
        <f t="shared" si="257"/>
        <v/>
      </c>
      <c r="BS657" s="106" t="str">
        <f>IF(A657&lt;&gt;"",VLOOKUP(A657,MarketData!$D:$BP,MATCH($BS$1,MarketData!$D$1:$EG$1,0),TRUE),"")</f>
        <v/>
      </c>
      <c r="BT657" s="98" t="str">
        <f t="shared" si="268"/>
        <v/>
      </c>
    </row>
    <row r="658" spans="2:72" x14ac:dyDescent="0.25">
      <c r="B658" s="60" t="str">
        <f t="shared" si="256"/>
        <v/>
      </c>
      <c r="C658" s="3" t="str">
        <f t="shared" si="258"/>
        <v/>
      </c>
      <c r="D658" s="3" t="str">
        <f t="shared" si="259"/>
        <v/>
      </c>
      <c r="E658" s="3" t="str">
        <f t="shared" si="260"/>
        <v/>
      </c>
      <c r="F658" s="3" t="str">
        <f t="shared" si="261"/>
        <v/>
      </c>
      <c r="G658" s="74" t="str">
        <f t="shared" si="262"/>
        <v/>
      </c>
      <c r="H658" s="78" t="str">
        <f>IFERROR(C658/SUM(M$2:M657),"")</f>
        <v/>
      </c>
      <c r="I658" s="61" t="str">
        <f>IFERROR(D658/SUM(N$2:N658),"")</f>
        <v/>
      </c>
      <c r="J658" s="61" t="str">
        <f>IFERROR(E658/SUM(O$2:O658),"")</f>
        <v/>
      </c>
      <c r="K658" s="61" t="str">
        <f>IFERROR(F658/SUM(P$2:P658),"")</f>
        <v/>
      </c>
      <c r="L658" s="79" t="str">
        <f>IFERROR(G658/SUM(Q$2:Q658),"")</f>
        <v/>
      </c>
      <c r="M658" s="64" t="str">
        <f t="shared" si="263"/>
        <v/>
      </c>
      <c r="N658" s="55" t="str">
        <f t="shared" si="264"/>
        <v/>
      </c>
      <c r="O658" s="55" t="str">
        <f t="shared" si="265"/>
        <v/>
      </c>
      <c r="P658" s="55" t="str">
        <f t="shared" si="266"/>
        <v/>
      </c>
      <c r="Q658" s="65" t="str">
        <f t="shared" si="267"/>
        <v/>
      </c>
      <c r="R658" s="67" t="str">
        <f t="shared" si="269"/>
        <v/>
      </c>
      <c r="S658" s="56" t="str">
        <f t="shared" si="270"/>
        <v/>
      </c>
      <c r="T658" s="56" t="str">
        <f t="shared" si="271"/>
        <v/>
      </c>
      <c r="U658" s="56" t="str">
        <f t="shared" si="272"/>
        <v/>
      </c>
      <c r="V658" s="68" t="str">
        <f t="shared" si="273"/>
        <v/>
      </c>
      <c r="W658" s="80" t="str">
        <f t="shared" si="274"/>
        <v/>
      </c>
      <c r="X658" s="81" t="str">
        <f t="shared" si="275"/>
        <v/>
      </c>
      <c r="Y658" s="81" t="str">
        <f t="shared" si="276"/>
        <v/>
      </c>
      <c r="Z658" s="81" t="str">
        <f t="shared" si="277"/>
        <v/>
      </c>
      <c r="AA658" s="82" t="str">
        <f t="shared" si="278"/>
        <v/>
      </c>
      <c r="AB658" s="83" t="str">
        <f>IF(R658&lt;&gt;"",(W658-SUMPRODUCT(R$3:R658,$B$3:$B658)/SUM($B$3:$B658))/STDEVA(W648:W658),"")</f>
        <v/>
      </c>
      <c r="AC658" s="84" t="str">
        <f>IF(S658&lt;&gt;"",(X658-SUMPRODUCT(S$3:S658,$B$3:$B658)/SUM($B$3:$B658))/STDEVA(X648:X658),"")</f>
        <v/>
      </c>
      <c r="AD658" s="84" t="str">
        <f>IF(T658&lt;&gt;"",(Y658-SUMPRODUCT(T$3:T658,$B$3:$B658)/SUM($B$3:$B658))/STDEVA(Y648:Y658),"")</f>
        <v/>
      </c>
      <c r="AE658" s="84" t="str">
        <f>IF(U658&lt;&gt;"",(Z658-SUMPRODUCT(U$3:U658,$B$3:$B658)/SUM($B$3:$B658))/STDEVA(Z648:Z658),"")</f>
        <v/>
      </c>
      <c r="AF658" s="85" t="str">
        <f>IF(V658&lt;&gt;"",(AA658-SUMPRODUCT(V$3:V658,$B$3:$B658)/SUM($B$3:$B658))/STDEVA(AA648:AA658),"")</f>
        <v/>
      </c>
      <c r="AG658" s="90" t="str">
        <f t="shared" si="280"/>
        <v/>
      </c>
      <c r="AH658" s="90" t="str">
        <f t="shared" si="280"/>
        <v/>
      </c>
      <c r="AI658" s="90" t="str">
        <f t="shared" si="280"/>
        <v/>
      </c>
      <c r="AJ658" s="90" t="str">
        <f t="shared" si="279"/>
        <v/>
      </c>
      <c r="AK658" s="93" t="str">
        <f t="shared" si="279"/>
        <v/>
      </c>
      <c r="BQ658" s="100" t="str">
        <f>IF(A658&lt;&gt;"",(VLOOKUP(A658,MarketData!$D:$BP,MATCH($BQ$1,MarketData!$D$1:$EG$1,0),TRUE)/100/365+1)^(B658)*BQ657,"")</f>
        <v/>
      </c>
      <c r="BR658" s="98" t="str">
        <f t="shared" si="257"/>
        <v/>
      </c>
      <c r="BS658" s="106" t="str">
        <f>IF(A658&lt;&gt;"",VLOOKUP(A658,MarketData!$D:$BP,MATCH($BS$1,MarketData!$D$1:$EG$1,0),TRUE),"")</f>
        <v/>
      </c>
      <c r="BT658" s="98" t="str">
        <f t="shared" si="268"/>
        <v/>
      </c>
    </row>
    <row r="659" spans="2:72" x14ac:dyDescent="0.25">
      <c r="B659" s="60" t="str">
        <f t="shared" si="256"/>
        <v/>
      </c>
      <c r="C659" s="3" t="str">
        <f t="shared" si="258"/>
        <v/>
      </c>
      <c r="D659" s="3" t="str">
        <f t="shared" si="259"/>
        <v/>
      </c>
      <c r="E659" s="3" t="str">
        <f t="shared" si="260"/>
        <v/>
      </c>
      <c r="F659" s="3" t="str">
        <f t="shared" si="261"/>
        <v/>
      </c>
      <c r="G659" s="74" t="str">
        <f t="shared" si="262"/>
        <v/>
      </c>
      <c r="H659" s="78" t="str">
        <f>IFERROR(C659/SUM(M$2:M658),"")</f>
        <v/>
      </c>
      <c r="I659" s="61" t="str">
        <f>IFERROR(D659/SUM(N$2:N659),"")</f>
        <v/>
      </c>
      <c r="J659" s="61" t="str">
        <f>IFERROR(E659/SUM(O$2:O659),"")</f>
        <v/>
      </c>
      <c r="K659" s="61" t="str">
        <f>IFERROR(F659/SUM(P$2:P659),"")</f>
        <v/>
      </c>
      <c r="L659" s="79" t="str">
        <f>IFERROR(G659/SUM(Q$2:Q659),"")</f>
        <v/>
      </c>
      <c r="M659" s="64" t="str">
        <f t="shared" si="263"/>
        <v/>
      </c>
      <c r="N659" s="55" t="str">
        <f t="shared" si="264"/>
        <v/>
      </c>
      <c r="O659" s="55" t="str">
        <f t="shared" si="265"/>
        <v/>
      </c>
      <c r="P659" s="55" t="str">
        <f t="shared" si="266"/>
        <v/>
      </c>
      <c r="Q659" s="65" t="str">
        <f t="shared" si="267"/>
        <v/>
      </c>
      <c r="R659" s="67" t="str">
        <f t="shared" si="269"/>
        <v/>
      </c>
      <c r="S659" s="56" t="str">
        <f t="shared" si="270"/>
        <v/>
      </c>
      <c r="T659" s="56" t="str">
        <f t="shared" si="271"/>
        <v/>
      </c>
      <c r="U659" s="56" t="str">
        <f t="shared" si="272"/>
        <v/>
      </c>
      <c r="V659" s="68" t="str">
        <f t="shared" si="273"/>
        <v/>
      </c>
      <c r="W659" s="80" t="str">
        <f t="shared" si="274"/>
        <v/>
      </c>
      <c r="X659" s="81" t="str">
        <f t="shared" si="275"/>
        <v/>
      </c>
      <c r="Y659" s="81" t="str">
        <f t="shared" si="276"/>
        <v/>
      </c>
      <c r="Z659" s="81" t="str">
        <f t="shared" si="277"/>
        <v/>
      </c>
      <c r="AA659" s="82" t="str">
        <f t="shared" si="278"/>
        <v/>
      </c>
      <c r="AB659" s="83" t="str">
        <f>IF(R659&lt;&gt;"",(W659-SUMPRODUCT(R$3:R659,$B$3:$B659)/SUM($B$3:$B659))/STDEVA(W649:W659),"")</f>
        <v/>
      </c>
      <c r="AC659" s="84" t="str">
        <f>IF(S659&lt;&gt;"",(X659-SUMPRODUCT(S$3:S659,$B$3:$B659)/SUM($B$3:$B659))/STDEVA(X649:X659),"")</f>
        <v/>
      </c>
      <c r="AD659" s="84" t="str">
        <f>IF(T659&lt;&gt;"",(Y659-SUMPRODUCT(T$3:T659,$B$3:$B659)/SUM($B$3:$B659))/STDEVA(Y649:Y659),"")</f>
        <v/>
      </c>
      <c r="AE659" s="84" t="str">
        <f>IF(U659&lt;&gt;"",(Z659-SUMPRODUCT(U$3:U659,$B$3:$B659)/SUM($B$3:$B659))/STDEVA(Z649:Z659),"")</f>
        <v/>
      </c>
      <c r="AF659" s="85" t="str">
        <f>IF(V659&lt;&gt;"",(AA659-SUMPRODUCT(V$3:V659,$B$3:$B659)/SUM($B$3:$B659))/STDEVA(AA649:AA659),"")</f>
        <v/>
      </c>
      <c r="AG659" s="90" t="str">
        <f t="shared" si="280"/>
        <v/>
      </c>
      <c r="AH659" s="90" t="str">
        <f t="shared" si="280"/>
        <v/>
      </c>
      <c r="AI659" s="90" t="str">
        <f t="shared" si="280"/>
        <v/>
      </c>
      <c r="AJ659" s="90" t="str">
        <f t="shared" si="279"/>
        <v/>
      </c>
      <c r="AK659" s="93" t="str">
        <f t="shared" si="279"/>
        <v/>
      </c>
      <c r="BQ659" s="100" t="str">
        <f>IF(A659&lt;&gt;"",(VLOOKUP(A659,MarketData!$D:$BP,MATCH($BQ$1,MarketData!$D$1:$EG$1,0),TRUE)/100/365+1)^(B659)*BQ658,"")</f>
        <v/>
      </c>
      <c r="BR659" s="98" t="str">
        <f t="shared" si="257"/>
        <v/>
      </c>
      <c r="BS659" s="106" t="str">
        <f>IF(A659&lt;&gt;"",VLOOKUP(A659,MarketData!$D:$BP,MATCH($BS$1,MarketData!$D$1:$EG$1,0),TRUE),"")</f>
        <v/>
      </c>
      <c r="BT659" s="98" t="str">
        <f t="shared" si="268"/>
        <v/>
      </c>
    </row>
    <row r="660" spans="2:72" x14ac:dyDescent="0.25">
      <c r="B660" s="60" t="str">
        <f t="shared" si="256"/>
        <v/>
      </c>
      <c r="C660" s="3" t="str">
        <f t="shared" si="258"/>
        <v/>
      </c>
      <c r="D660" s="3" t="str">
        <f t="shared" si="259"/>
        <v/>
      </c>
      <c r="E660" s="3" t="str">
        <f t="shared" si="260"/>
        <v/>
      </c>
      <c r="F660" s="3" t="str">
        <f t="shared" si="261"/>
        <v/>
      </c>
      <c r="G660" s="74" t="str">
        <f t="shared" si="262"/>
        <v/>
      </c>
      <c r="H660" s="78" t="str">
        <f>IFERROR(C660/SUM(M$2:M659),"")</f>
        <v/>
      </c>
      <c r="I660" s="61" t="str">
        <f>IFERROR(D660/SUM(N$2:N660),"")</f>
        <v/>
      </c>
      <c r="J660" s="61" t="str">
        <f>IFERROR(E660/SUM(O$2:O660),"")</f>
        <v/>
      </c>
      <c r="K660" s="61" t="str">
        <f>IFERROR(F660/SUM(P$2:P660),"")</f>
        <v/>
      </c>
      <c r="L660" s="79" t="str">
        <f>IFERROR(G660/SUM(Q$2:Q660),"")</f>
        <v/>
      </c>
      <c r="M660" s="64" t="str">
        <f t="shared" si="263"/>
        <v/>
      </c>
      <c r="N660" s="55" t="str">
        <f t="shared" si="264"/>
        <v/>
      </c>
      <c r="O660" s="55" t="str">
        <f t="shared" si="265"/>
        <v/>
      </c>
      <c r="P660" s="55" t="str">
        <f t="shared" si="266"/>
        <v/>
      </c>
      <c r="Q660" s="65" t="str">
        <f t="shared" si="267"/>
        <v/>
      </c>
      <c r="R660" s="67" t="str">
        <f t="shared" si="269"/>
        <v/>
      </c>
      <c r="S660" s="56" t="str">
        <f t="shared" si="270"/>
        <v/>
      </c>
      <c r="T660" s="56" t="str">
        <f t="shared" si="271"/>
        <v/>
      </c>
      <c r="U660" s="56" t="str">
        <f t="shared" si="272"/>
        <v/>
      </c>
      <c r="V660" s="68" t="str">
        <f t="shared" si="273"/>
        <v/>
      </c>
      <c r="W660" s="80" t="str">
        <f t="shared" si="274"/>
        <v/>
      </c>
      <c r="X660" s="81" t="str">
        <f t="shared" si="275"/>
        <v/>
      </c>
      <c r="Y660" s="81" t="str">
        <f t="shared" si="276"/>
        <v/>
      </c>
      <c r="Z660" s="81" t="str">
        <f t="shared" si="277"/>
        <v/>
      </c>
      <c r="AA660" s="82" t="str">
        <f t="shared" si="278"/>
        <v/>
      </c>
      <c r="AB660" s="83" t="str">
        <f>IF(R660&lt;&gt;"",(W660-SUMPRODUCT(R$3:R660,$B$3:$B660)/SUM($B$3:$B660))/STDEVA(W650:W660),"")</f>
        <v/>
      </c>
      <c r="AC660" s="84" t="str">
        <f>IF(S660&lt;&gt;"",(X660-SUMPRODUCT(S$3:S660,$B$3:$B660)/SUM($B$3:$B660))/STDEVA(X650:X660),"")</f>
        <v/>
      </c>
      <c r="AD660" s="84" t="str">
        <f>IF(T660&lt;&gt;"",(Y660-SUMPRODUCT(T$3:T660,$B$3:$B660)/SUM($B$3:$B660))/STDEVA(Y650:Y660),"")</f>
        <v/>
      </c>
      <c r="AE660" s="84" t="str">
        <f>IF(U660&lt;&gt;"",(Z660-SUMPRODUCT(U$3:U660,$B$3:$B660)/SUM($B$3:$B660))/STDEVA(Z650:Z660),"")</f>
        <v/>
      </c>
      <c r="AF660" s="85" t="str">
        <f>IF(V660&lt;&gt;"",(AA660-SUMPRODUCT(V$3:V660,$B$3:$B660)/SUM($B$3:$B660))/STDEVA(AA650:AA660),"")</f>
        <v/>
      </c>
      <c r="AG660" s="90" t="str">
        <f t="shared" si="280"/>
        <v/>
      </c>
      <c r="AH660" s="90" t="str">
        <f t="shared" si="280"/>
        <v/>
      </c>
      <c r="AI660" s="90" t="str">
        <f t="shared" si="280"/>
        <v/>
      </c>
      <c r="AJ660" s="90" t="str">
        <f t="shared" si="279"/>
        <v/>
      </c>
      <c r="AK660" s="93" t="str">
        <f t="shared" si="279"/>
        <v/>
      </c>
      <c r="BQ660" s="100" t="str">
        <f>IF(A660&lt;&gt;"",(VLOOKUP(A660,MarketData!$D:$BP,MATCH($BQ$1,MarketData!$D$1:$EG$1,0),TRUE)/100/365+1)^(B660)*BQ659,"")</f>
        <v/>
      </c>
      <c r="BR660" s="98" t="str">
        <f t="shared" si="257"/>
        <v/>
      </c>
      <c r="BS660" s="106" t="str">
        <f>IF(A660&lt;&gt;"",VLOOKUP(A660,MarketData!$D:$BP,MATCH($BS$1,MarketData!$D$1:$EG$1,0),TRUE),"")</f>
        <v/>
      </c>
      <c r="BT660" s="98" t="str">
        <f t="shared" si="268"/>
        <v/>
      </c>
    </row>
    <row r="661" spans="2:72" x14ac:dyDescent="0.25">
      <c r="B661" s="60" t="str">
        <f t="shared" si="256"/>
        <v/>
      </c>
      <c r="C661" s="3" t="str">
        <f t="shared" si="258"/>
        <v/>
      </c>
      <c r="D661" s="3" t="str">
        <f t="shared" si="259"/>
        <v/>
      </c>
      <c r="E661" s="3" t="str">
        <f t="shared" si="260"/>
        <v/>
      </c>
      <c r="F661" s="3" t="str">
        <f t="shared" si="261"/>
        <v/>
      </c>
      <c r="G661" s="74" t="str">
        <f t="shared" si="262"/>
        <v/>
      </c>
      <c r="H661" s="78" t="str">
        <f>IFERROR(C661/SUM(M$2:M660),"")</f>
        <v/>
      </c>
      <c r="I661" s="61" t="str">
        <f>IFERROR(D661/SUM(N$2:N661),"")</f>
        <v/>
      </c>
      <c r="J661" s="61" t="str">
        <f>IFERROR(E661/SUM(O$2:O661),"")</f>
        <v/>
      </c>
      <c r="K661" s="61" t="str">
        <f>IFERROR(F661/SUM(P$2:P661),"")</f>
        <v/>
      </c>
      <c r="L661" s="79" t="str">
        <f>IFERROR(G661/SUM(Q$2:Q661),"")</f>
        <v/>
      </c>
      <c r="M661" s="64" t="str">
        <f t="shared" si="263"/>
        <v/>
      </c>
      <c r="N661" s="55" t="str">
        <f t="shared" si="264"/>
        <v/>
      </c>
      <c r="O661" s="55" t="str">
        <f t="shared" si="265"/>
        <v/>
      </c>
      <c r="P661" s="55" t="str">
        <f t="shared" si="266"/>
        <v/>
      </c>
      <c r="Q661" s="65" t="str">
        <f t="shared" si="267"/>
        <v/>
      </c>
      <c r="R661" s="67" t="str">
        <f t="shared" si="269"/>
        <v/>
      </c>
      <c r="S661" s="56" t="str">
        <f t="shared" si="270"/>
        <v/>
      </c>
      <c r="T661" s="56" t="str">
        <f t="shared" si="271"/>
        <v/>
      </c>
      <c r="U661" s="56" t="str">
        <f t="shared" si="272"/>
        <v/>
      </c>
      <c r="V661" s="68" t="str">
        <f t="shared" si="273"/>
        <v/>
      </c>
      <c r="W661" s="80" t="str">
        <f t="shared" si="274"/>
        <v/>
      </c>
      <c r="X661" s="81" t="str">
        <f t="shared" si="275"/>
        <v/>
      </c>
      <c r="Y661" s="81" t="str">
        <f t="shared" si="276"/>
        <v/>
      </c>
      <c r="Z661" s="81" t="str">
        <f t="shared" si="277"/>
        <v/>
      </c>
      <c r="AA661" s="82" t="str">
        <f t="shared" si="278"/>
        <v/>
      </c>
      <c r="AB661" s="83" t="str">
        <f>IF(R661&lt;&gt;"",(W661-SUMPRODUCT(R$3:R661,$B$3:$B661)/SUM($B$3:$B661))/STDEVA(W651:W661),"")</f>
        <v/>
      </c>
      <c r="AC661" s="84" t="str">
        <f>IF(S661&lt;&gt;"",(X661-SUMPRODUCT(S$3:S661,$B$3:$B661)/SUM($B$3:$B661))/STDEVA(X651:X661),"")</f>
        <v/>
      </c>
      <c r="AD661" s="84" t="str">
        <f>IF(T661&lt;&gt;"",(Y661-SUMPRODUCT(T$3:T661,$B$3:$B661)/SUM($B$3:$B661))/STDEVA(Y651:Y661),"")</f>
        <v/>
      </c>
      <c r="AE661" s="84" t="str">
        <f>IF(U661&lt;&gt;"",(Z661-SUMPRODUCT(U$3:U661,$B$3:$B661)/SUM($B$3:$B661))/STDEVA(Z651:Z661),"")</f>
        <v/>
      </c>
      <c r="AF661" s="85" t="str">
        <f>IF(V661&lt;&gt;"",(AA661-SUMPRODUCT(V$3:V661,$B$3:$B661)/SUM($B$3:$B661))/STDEVA(AA651:AA661),"")</f>
        <v/>
      </c>
      <c r="AG661" s="90" t="str">
        <f t="shared" si="280"/>
        <v/>
      </c>
      <c r="AH661" s="90" t="str">
        <f t="shared" si="280"/>
        <v/>
      </c>
      <c r="AI661" s="90" t="str">
        <f t="shared" si="280"/>
        <v/>
      </c>
      <c r="AJ661" s="90" t="str">
        <f t="shared" si="279"/>
        <v/>
      </c>
      <c r="AK661" s="93" t="str">
        <f t="shared" si="279"/>
        <v/>
      </c>
      <c r="BQ661" s="100" t="str">
        <f>IF(A661&lt;&gt;"",(VLOOKUP(A661,MarketData!$D:$BP,MATCH($BQ$1,MarketData!$D$1:$EG$1,0),TRUE)/100/365+1)^(B661)*BQ660,"")</f>
        <v/>
      </c>
      <c r="BR661" s="98" t="str">
        <f t="shared" si="257"/>
        <v/>
      </c>
      <c r="BS661" s="106" t="str">
        <f>IF(A661&lt;&gt;"",VLOOKUP(A661,MarketData!$D:$BP,MATCH($BS$1,MarketData!$D$1:$EG$1,0),TRUE),"")</f>
        <v/>
      </c>
      <c r="BT661" s="98" t="str">
        <f t="shared" si="268"/>
        <v/>
      </c>
    </row>
    <row r="662" spans="2:72" x14ac:dyDescent="0.25">
      <c r="B662" s="60" t="str">
        <f t="shared" si="256"/>
        <v/>
      </c>
      <c r="C662" s="3" t="str">
        <f t="shared" si="258"/>
        <v/>
      </c>
      <c r="D662" s="3" t="str">
        <f t="shared" si="259"/>
        <v/>
      </c>
      <c r="E662" s="3" t="str">
        <f t="shared" si="260"/>
        <v/>
      </c>
      <c r="F662" s="3" t="str">
        <f t="shared" si="261"/>
        <v/>
      </c>
      <c r="G662" s="74" t="str">
        <f t="shared" si="262"/>
        <v/>
      </c>
      <c r="H662" s="78" t="str">
        <f>IFERROR(C662/SUM(M$2:M661),"")</f>
        <v/>
      </c>
      <c r="I662" s="61" t="str">
        <f>IFERROR(D662/SUM(N$2:N662),"")</f>
        <v/>
      </c>
      <c r="J662" s="61" t="str">
        <f>IFERROR(E662/SUM(O$2:O662),"")</f>
        <v/>
      </c>
      <c r="K662" s="61" t="str">
        <f>IFERROR(F662/SUM(P$2:P662),"")</f>
        <v/>
      </c>
      <c r="L662" s="79" t="str">
        <f>IFERROR(G662/SUM(Q$2:Q662),"")</f>
        <v/>
      </c>
      <c r="M662" s="64" t="str">
        <f t="shared" si="263"/>
        <v/>
      </c>
      <c r="N662" s="55" t="str">
        <f t="shared" si="264"/>
        <v/>
      </c>
      <c r="O662" s="55" t="str">
        <f t="shared" si="265"/>
        <v/>
      </c>
      <c r="P662" s="55" t="str">
        <f t="shared" si="266"/>
        <v/>
      </c>
      <c r="Q662" s="65" t="str">
        <f t="shared" si="267"/>
        <v/>
      </c>
      <c r="R662" s="67" t="str">
        <f t="shared" si="269"/>
        <v/>
      </c>
      <c r="S662" s="56" t="str">
        <f t="shared" si="270"/>
        <v/>
      </c>
      <c r="T662" s="56" t="str">
        <f t="shared" si="271"/>
        <v/>
      </c>
      <c r="U662" s="56" t="str">
        <f t="shared" si="272"/>
        <v/>
      </c>
      <c r="V662" s="68" t="str">
        <f t="shared" si="273"/>
        <v/>
      </c>
      <c r="W662" s="80" t="str">
        <f t="shared" si="274"/>
        <v/>
      </c>
      <c r="X662" s="81" t="str">
        <f t="shared" si="275"/>
        <v/>
      </c>
      <c r="Y662" s="81" t="str">
        <f t="shared" si="276"/>
        <v/>
      </c>
      <c r="Z662" s="81" t="str">
        <f t="shared" si="277"/>
        <v/>
      </c>
      <c r="AA662" s="82" t="str">
        <f t="shared" si="278"/>
        <v/>
      </c>
      <c r="AB662" s="83" t="str">
        <f>IF(R662&lt;&gt;"",(W662-SUMPRODUCT(R$3:R662,$B$3:$B662)/SUM($B$3:$B662))/STDEVA(W652:W662),"")</f>
        <v/>
      </c>
      <c r="AC662" s="84" t="str">
        <f>IF(S662&lt;&gt;"",(X662-SUMPRODUCT(S$3:S662,$B$3:$B662)/SUM($B$3:$B662))/STDEVA(X652:X662),"")</f>
        <v/>
      </c>
      <c r="AD662" s="84" t="str">
        <f>IF(T662&lt;&gt;"",(Y662-SUMPRODUCT(T$3:T662,$B$3:$B662)/SUM($B$3:$B662))/STDEVA(Y652:Y662),"")</f>
        <v/>
      </c>
      <c r="AE662" s="84" t="str">
        <f>IF(U662&lt;&gt;"",(Z662-SUMPRODUCT(U$3:U662,$B$3:$B662)/SUM($B$3:$B662))/STDEVA(Z652:Z662),"")</f>
        <v/>
      </c>
      <c r="AF662" s="85" t="str">
        <f>IF(V662&lt;&gt;"",(AA662-SUMPRODUCT(V$3:V662,$B$3:$B662)/SUM($B$3:$B662))/STDEVA(AA652:AA662),"")</f>
        <v/>
      </c>
      <c r="AG662" s="90" t="str">
        <f t="shared" si="280"/>
        <v/>
      </c>
      <c r="AH662" s="90" t="str">
        <f t="shared" si="280"/>
        <v/>
      </c>
      <c r="AI662" s="90" t="str">
        <f t="shared" si="280"/>
        <v/>
      </c>
      <c r="AJ662" s="90" t="str">
        <f t="shared" si="279"/>
        <v/>
      </c>
      <c r="AK662" s="93" t="str">
        <f t="shared" si="279"/>
        <v/>
      </c>
      <c r="BQ662" s="100" t="str">
        <f>IF(A662&lt;&gt;"",(VLOOKUP(A662,MarketData!$D:$BP,MATCH($BQ$1,MarketData!$D$1:$EG$1,0),TRUE)/100/365+1)^(B662)*BQ661,"")</f>
        <v/>
      </c>
      <c r="BR662" s="98" t="str">
        <f t="shared" si="257"/>
        <v/>
      </c>
      <c r="BS662" s="106" t="str">
        <f>IF(A662&lt;&gt;"",VLOOKUP(A662,MarketData!$D:$BP,MATCH($BS$1,MarketData!$D$1:$EG$1,0),TRUE),"")</f>
        <v/>
      </c>
      <c r="BT662" s="98" t="str">
        <f t="shared" si="268"/>
        <v/>
      </c>
    </row>
    <row r="663" spans="2:72" x14ac:dyDescent="0.25">
      <c r="B663" s="60" t="str">
        <f t="shared" si="256"/>
        <v/>
      </c>
      <c r="C663" s="3" t="str">
        <f t="shared" si="258"/>
        <v/>
      </c>
      <c r="D663" s="3" t="str">
        <f t="shared" si="259"/>
        <v/>
      </c>
      <c r="E663" s="3" t="str">
        <f t="shared" si="260"/>
        <v/>
      </c>
      <c r="F663" s="3" t="str">
        <f t="shared" si="261"/>
        <v/>
      </c>
      <c r="G663" s="74" t="str">
        <f t="shared" si="262"/>
        <v/>
      </c>
      <c r="H663" s="78" t="str">
        <f>IFERROR(C663/SUM(M$2:M662),"")</f>
        <v/>
      </c>
      <c r="I663" s="61" t="str">
        <f>IFERROR(D663/SUM(N$2:N663),"")</f>
        <v/>
      </c>
      <c r="J663" s="61" t="str">
        <f>IFERROR(E663/SUM(O$2:O663),"")</f>
        <v/>
      </c>
      <c r="K663" s="61" t="str">
        <f>IFERROR(F663/SUM(P$2:P663),"")</f>
        <v/>
      </c>
      <c r="L663" s="79" t="str">
        <f>IFERROR(G663/SUM(Q$2:Q663),"")</f>
        <v/>
      </c>
      <c r="M663" s="64" t="str">
        <f t="shared" si="263"/>
        <v/>
      </c>
      <c r="N663" s="55" t="str">
        <f t="shared" si="264"/>
        <v/>
      </c>
      <c r="O663" s="55" t="str">
        <f t="shared" si="265"/>
        <v/>
      </c>
      <c r="P663" s="55" t="str">
        <f t="shared" si="266"/>
        <v/>
      </c>
      <c r="Q663" s="65" t="str">
        <f t="shared" si="267"/>
        <v/>
      </c>
      <c r="R663" s="67" t="str">
        <f t="shared" si="269"/>
        <v/>
      </c>
      <c r="S663" s="56" t="str">
        <f t="shared" si="270"/>
        <v/>
      </c>
      <c r="T663" s="56" t="str">
        <f t="shared" si="271"/>
        <v/>
      </c>
      <c r="U663" s="56" t="str">
        <f t="shared" si="272"/>
        <v/>
      </c>
      <c r="V663" s="68" t="str">
        <f t="shared" si="273"/>
        <v/>
      </c>
      <c r="W663" s="80" t="str">
        <f t="shared" si="274"/>
        <v/>
      </c>
      <c r="X663" s="81" t="str">
        <f t="shared" si="275"/>
        <v/>
      </c>
      <c r="Y663" s="81" t="str">
        <f t="shared" si="276"/>
        <v/>
      </c>
      <c r="Z663" s="81" t="str">
        <f t="shared" si="277"/>
        <v/>
      </c>
      <c r="AA663" s="82" t="str">
        <f t="shared" si="278"/>
        <v/>
      </c>
      <c r="AB663" s="83" t="str">
        <f>IF(R663&lt;&gt;"",(W663-SUMPRODUCT(R$3:R663,$B$3:$B663)/SUM($B$3:$B663))/STDEVA(W653:W663),"")</f>
        <v/>
      </c>
      <c r="AC663" s="84" t="str">
        <f>IF(S663&lt;&gt;"",(X663-SUMPRODUCT(S$3:S663,$B$3:$B663)/SUM($B$3:$B663))/STDEVA(X653:X663),"")</f>
        <v/>
      </c>
      <c r="AD663" s="84" t="str">
        <f>IF(T663&lt;&gt;"",(Y663-SUMPRODUCT(T$3:T663,$B$3:$B663)/SUM($B$3:$B663))/STDEVA(Y653:Y663),"")</f>
        <v/>
      </c>
      <c r="AE663" s="84" t="str">
        <f>IF(U663&lt;&gt;"",(Z663-SUMPRODUCT(U$3:U663,$B$3:$B663)/SUM($B$3:$B663))/STDEVA(Z653:Z663),"")</f>
        <v/>
      </c>
      <c r="AF663" s="85" t="str">
        <f>IF(V663&lt;&gt;"",(AA663-SUMPRODUCT(V$3:V663,$B$3:$B663)/SUM($B$3:$B663))/STDEVA(AA653:AA663),"")</f>
        <v/>
      </c>
      <c r="AG663" s="90" t="str">
        <f t="shared" si="280"/>
        <v/>
      </c>
      <c r="AH663" s="90" t="str">
        <f t="shared" si="280"/>
        <v/>
      </c>
      <c r="AI663" s="90" t="str">
        <f t="shared" si="280"/>
        <v/>
      </c>
      <c r="AJ663" s="90" t="str">
        <f t="shared" si="279"/>
        <v/>
      </c>
      <c r="AK663" s="93" t="str">
        <f t="shared" si="279"/>
        <v/>
      </c>
      <c r="BQ663" s="100" t="str">
        <f>IF(A663&lt;&gt;"",(VLOOKUP(A663,MarketData!$D:$BP,MATCH($BQ$1,MarketData!$D$1:$EG$1,0),TRUE)/100/365+1)^(B663)*BQ662,"")</f>
        <v/>
      </c>
      <c r="BR663" s="98" t="str">
        <f t="shared" si="257"/>
        <v/>
      </c>
      <c r="BS663" s="106" t="str">
        <f>IF(A663&lt;&gt;"",VLOOKUP(A663,MarketData!$D:$BP,MATCH($BS$1,MarketData!$D$1:$EG$1,0),TRUE),"")</f>
        <v/>
      </c>
      <c r="BT663" s="98" t="str">
        <f t="shared" si="268"/>
        <v/>
      </c>
    </row>
    <row r="664" spans="2:72" x14ac:dyDescent="0.25">
      <c r="B664" s="60" t="str">
        <f t="shared" si="256"/>
        <v/>
      </c>
      <c r="C664" s="3" t="str">
        <f t="shared" si="258"/>
        <v/>
      </c>
      <c r="D664" s="3" t="str">
        <f t="shared" si="259"/>
        <v/>
      </c>
      <c r="E664" s="3" t="str">
        <f t="shared" si="260"/>
        <v/>
      </c>
      <c r="F664" s="3" t="str">
        <f t="shared" si="261"/>
        <v/>
      </c>
      <c r="G664" s="74" t="str">
        <f t="shared" si="262"/>
        <v/>
      </c>
      <c r="H664" s="78" t="str">
        <f>IFERROR(C664/SUM(M$2:M663),"")</f>
        <v/>
      </c>
      <c r="I664" s="61" t="str">
        <f>IFERROR(D664/SUM(N$2:N664),"")</f>
        <v/>
      </c>
      <c r="J664" s="61" t="str">
        <f>IFERROR(E664/SUM(O$2:O664),"")</f>
        <v/>
      </c>
      <c r="K664" s="61" t="str">
        <f>IFERROR(F664/SUM(P$2:P664),"")</f>
        <v/>
      </c>
      <c r="L664" s="79" t="str">
        <f>IFERROR(G664/SUM(Q$2:Q664),"")</f>
        <v/>
      </c>
      <c r="M664" s="64" t="str">
        <f t="shared" si="263"/>
        <v/>
      </c>
      <c r="N664" s="55" t="str">
        <f t="shared" si="264"/>
        <v/>
      </c>
      <c r="O664" s="55" t="str">
        <f t="shared" si="265"/>
        <v/>
      </c>
      <c r="P664" s="55" t="str">
        <f t="shared" si="266"/>
        <v/>
      </c>
      <c r="Q664" s="65" t="str">
        <f t="shared" si="267"/>
        <v/>
      </c>
      <c r="R664" s="67" t="str">
        <f t="shared" si="269"/>
        <v/>
      </c>
      <c r="S664" s="56" t="str">
        <f t="shared" si="270"/>
        <v/>
      </c>
      <c r="T664" s="56" t="str">
        <f t="shared" si="271"/>
        <v/>
      </c>
      <c r="U664" s="56" t="str">
        <f t="shared" si="272"/>
        <v/>
      </c>
      <c r="V664" s="68" t="str">
        <f t="shared" si="273"/>
        <v/>
      </c>
      <c r="W664" s="80" t="str">
        <f t="shared" si="274"/>
        <v/>
      </c>
      <c r="X664" s="81" t="str">
        <f t="shared" si="275"/>
        <v/>
      </c>
      <c r="Y664" s="81" t="str">
        <f t="shared" si="276"/>
        <v/>
      </c>
      <c r="Z664" s="81" t="str">
        <f t="shared" si="277"/>
        <v/>
      </c>
      <c r="AA664" s="82" t="str">
        <f t="shared" si="278"/>
        <v/>
      </c>
      <c r="AB664" s="83" t="str">
        <f>IF(R664&lt;&gt;"",(W664-SUMPRODUCT(R$3:R664,$B$3:$B664)/SUM($B$3:$B664))/STDEVA(W654:W664),"")</f>
        <v/>
      </c>
      <c r="AC664" s="84" t="str">
        <f>IF(S664&lt;&gt;"",(X664-SUMPRODUCT(S$3:S664,$B$3:$B664)/SUM($B$3:$B664))/STDEVA(X654:X664),"")</f>
        <v/>
      </c>
      <c r="AD664" s="84" t="str">
        <f>IF(T664&lt;&gt;"",(Y664-SUMPRODUCT(T$3:T664,$B$3:$B664)/SUM($B$3:$B664))/STDEVA(Y654:Y664),"")</f>
        <v/>
      </c>
      <c r="AE664" s="84" t="str">
        <f>IF(U664&lt;&gt;"",(Z664-SUMPRODUCT(U$3:U664,$B$3:$B664)/SUM($B$3:$B664))/STDEVA(Z654:Z664),"")</f>
        <v/>
      </c>
      <c r="AF664" s="85" t="str">
        <f>IF(V664&lt;&gt;"",(AA664-SUMPRODUCT(V$3:V664,$B$3:$B664)/SUM($B$3:$B664))/STDEVA(AA654:AA664),"")</f>
        <v/>
      </c>
      <c r="AG664" s="90" t="str">
        <f t="shared" si="280"/>
        <v/>
      </c>
      <c r="AH664" s="90" t="str">
        <f t="shared" si="280"/>
        <v/>
      </c>
      <c r="AI664" s="90" t="str">
        <f t="shared" si="280"/>
        <v/>
      </c>
      <c r="AJ664" s="90" t="str">
        <f t="shared" si="279"/>
        <v/>
      </c>
      <c r="AK664" s="93" t="str">
        <f t="shared" si="279"/>
        <v/>
      </c>
      <c r="BQ664" s="100" t="str">
        <f>IF(A664&lt;&gt;"",(VLOOKUP(A664,MarketData!$D:$BP,MATCH($BQ$1,MarketData!$D$1:$EG$1,0),TRUE)/100/365+1)^(B664)*BQ663,"")</f>
        <v/>
      </c>
      <c r="BR664" s="98" t="str">
        <f t="shared" si="257"/>
        <v/>
      </c>
      <c r="BS664" s="106" t="str">
        <f>IF(A664&lt;&gt;"",VLOOKUP(A664,MarketData!$D:$BP,MATCH($BS$1,MarketData!$D$1:$EG$1,0),TRUE),"")</f>
        <v/>
      </c>
      <c r="BT664" s="98" t="str">
        <f t="shared" si="268"/>
        <v/>
      </c>
    </row>
    <row r="665" spans="2:72" x14ac:dyDescent="0.25">
      <c r="B665" s="60" t="str">
        <f t="shared" si="256"/>
        <v/>
      </c>
      <c r="C665" s="3" t="str">
        <f t="shared" si="258"/>
        <v/>
      </c>
      <c r="D665" s="3" t="str">
        <f t="shared" si="259"/>
        <v/>
      </c>
      <c r="E665" s="3" t="str">
        <f t="shared" si="260"/>
        <v/>
      </c>
      <c r="F665" s="3" t="str">
        <f t="shared" si="261"/>
        <v/>
      </c>
      <c r="G665" s="74" t="str">
        <f t="shared" si="262"/>
        <v/>
      </c>
      <c r="H665" s="78" t="str">
        <f>IFERROR(C665/SUM(M$2:M664),"")</f>
        <v/>
      </c>
      <c r="I665" s="61" t="str">
        <f>IFERROR(D665/SUM(N$2:N665),"")</f>
        <v/>
      </c>
      <c r="J665" s="61" t="str">
        <f>IFERROR(E665/SUM(O$2:O665),"")</f>
        <v/>
      </c>
      <c r="K665" s="61" t="str">
        <f>IFERROR(F665/SUM(P$2:P665),"")</f>
        <v/>
      </c>
      <c r="L665" s="79" t="str">
        <f>IFERROR(G665/SUM(Q$2:Q665),"")</f>
        <v/>
      </c>
      <c r="M665" s="64" t="str">
        <f t="shared" si="263"/>
        <v/>
      </c>
      <c r="N665" s="55" t="str">
        <f t="shared" si="264"/>
        <v/>
      </c>
      <c r="O665" s="55" t="str">
        <f t="shared" si="265"/>
        <v/>
      </c>
      <c r="P665" s="55" t="str">
        <f t="shared" si="266"/>
        <v/>
      </c>
      <c r="Q665" s="65" t="str">
        <f t="shared" si="267"/>
        <v/>
      </c>
      <c r="R665" s="67" t="str">
        <f t="shared" si="269"/>
        <v/>
      </c>
      <c r="S665" s="56" t="str">
        <f t="shared" si="270"/>
        <v/>
      </c>
      <c r="T665" s="56" t="str">
        <f t="shared" si="271"/>
        <v/>
      </c>
      <c r="U665" s="56" t="str">
        <f t="shared" si="272"/>
        <v/>
      </c>
      <c r="V665" s="68" t="str">
        <f t="shared" si="273"/>
        <v/>
      </c>
      <c r="W665" s="80" t="str">
        <f t="shared" si="274"/>
        <v/>
      </c>
      <c r="X665" s="81" t="str">
        <f t="shared" si="275"/>
        <v/>
      </c>
      <c r="Y665" s="81" t="str">
        <f t="shared" si="276"/>
        <v/>
      </c>
      <c r="Z665" s="81" t="str">
        <f t="shared" si="277"/>
        <v/>
      </c>
      <c r="AA665" s="82" t="str">
        <f t="shared" si="278"/>
        <v/>
      </c>
      <c r="AB665" s="83" t="str">
        <f>IF(R665&lt;&gt;"",(W665-SUMPRODUCT(R$3:R665,$B$3:$B665)/SUM($B$3:$B665))/STDEVA(W655:W665),"")</f>
        <v/>
      </c>
      <c r="AC665" s="84" t="str">
        <f>IF(S665&lt;&gt;"",(X665-SUMPRODUCT(S$3:S665,$B$3:$B665)/SUM($B$3:$B665))/STDEVA(X655:X665),"")</f>
        <v/>
      </c>
      <c r="AD665" s="84" t="str">
        <f>IF(T665&lt;&gt;"",(Y665-SUMPRODUCT(T$3:T665,$B$3:$B665)/SUM($B$3:$B665))/STDEVA(Y655:Y665),"")</f>
        <v/>
      </c>
      <c r="AE665" s="84" t="str">
        <f>IF(U665&lt;&gt;"",(Z665-SUMPRODUCT(U$3:U665,$B$3:$B665)/SUM($B$3:$B665))/STDEVA(Z655:Z665),"")</f>
        <v/>
      </c>
      <c r="AF665" s="85" t="str">
        <f>IF(V665&lt;&gt;"",(AA665-SUMPRODUCT(V$3:V665,$B$3:$B665)/SUM($B$3:$B665))/STDEVA(AA655:AA665),"")</f>
        <v/>
      </c>
      <c r="AG665" s="90" t="str">
        <f t="shared" si="280"/>
        <v/>
      </c>
      <c r="AH665" s="90" t="str">
        <f t="shared" si="280"/>
        <v/>
      </c>
      <c r="AI665" s="90" t="str">
        <f t="shared" si="280"/>
        <v/>
      </c>
      <c r="AJ665" s="90" t="str">
        <f t="shared" si="279"/>
        <v/>
      </c>
      <c r="AK665" s="93" t="str">
        <f t="shared" si="279"/>
        <v/>
      </c>
      <c r="BQ665" s="100" t="str">
        <f>IF(A665&lt;&gt;"",(VLOOKUP(A665,MarketData!$D:$BP,MATCH($BQ$1,MarketData!$D$1:$EG$1,0),TRUE)/100/365+1)^(B665)*BQ664,"")</f>
        <v/>
      </c>
      <c r="BR665" s="98" t="str">
        <f t="shared" si="257"/>
        <v/>
      </c>
      <c r="BS665" s="106" t="str">
        <f>IF(A665&lt;&gt;"",VLOOKUP(A665,MarketData!$D:$BP,MATCH($BS$1,MarketData!$D$1:$EG$1,0),TRUE),"")</f>
        <v/>
      </c>
      <c r="BT665" s="98" t="str">
        <f t="shared" si="268"/>
        <v/>
      </c>
    </row>
    <row r="666" spans="2:72" x14ac:dyDescent="0.25">
      <c r="B666" s="60" t="str">
        <f t="shared" si="256"/>
        <v/>
      </c>
      <c r="C666" s="3" t="str">
        <f t="shared" si="258"/>
        <v/>
      </c>
      <c r="D666" s="3" t="str">
        <f t="shared" si="259"/>
        <v/>
      </c>
      <c r="E666" s="3" t="str">
        <f t="shared" si="260"/>
        <v/>
      </c>
      <c r="F666" s="3" t="str">
        <f t="shared" si="261"/>
        <v/>
      </c>
      <c r="G666" s="74" t="str">
        <f t="shared" si="262"/>
        <v/>
      </c>
      <c r="H666" s="78" t="str">
        <f>IFERROR(C666/SUM(M$2:M665),"")</f>
        <v/>
      </c>
      <c r="I666" s="61" t="str">
        <f>IFERROR(D666/SUM(N$2:N666),"")</f>
        <v/>
      </c>
      <c r="J666" s="61" t="str">
        <f>IFERROR(E666/SUM(O$2:O666),"")</f>
        <v/>
      </c>
      <c r="K666" s="61" t="str">
        <f>IFERROR(F666/SUM(P$2:P666),"")</f>
        <v/>
      </c>
      <c r="L666" s="79" t="str">
        <f>IFERROR(G666/SUM(Q$2:Q666),"")</f>
        <v/>
      </c>
      <c r="M666" s="64" t="str">
        <f t="shared" si="263"/>
        <v/>
      </c>
      <c r="N666" s="55" t="str">
        <f t="shared" si="264"/>
        <v/>
      </c>
      <c r="O666" s="55" t="str">
        <f t="shared" si="265"/>
        <v/>
      </c>
      <c r="P666" s="55" t="str">
        <f t="shared" si="266"/>
        <v/>
      </c>
      <c r="Q666" s="65" t="str">
        <f t="shared" si="267"/>
        <v/>
      </c>
      <c r="R666" s="67" t="str">
        <f t="shared" si="269"/>
        <v/>
      </c>
      <c r="S666" s="56" t="str">
        <f t="shared" si="270"/>
        <v/>
      </c>
      <c r="T666" s="56" t="str">
        <f t="shared" si="271"/>
        <v/>
      </c>
      <c r="U666" s="56" t="str">
        <f t="shared" si="272"/>
        <v/>
      </c>
      <c r="V666" s="68" t="str">
        <f t="shared" si="273"/>
        <v/>
      </c>
      <c r="W666" s="80" t="str">
        <f t="shared" si="274"/>
        <v/>
      </c>
      <c r="X666" s="81" t="str">
        <f t="shared" si="275"/>
        <v/>
      </c>
      <c r="Y666" s="81" t="str">
        <f t="shared" si="276"/>
        <v/>
      </c>
      <c r="Z666" s="81" t="str">
        <f t="shared" si="277"/>
        <v/>
      </c>
      <c r="AA666" s="82" t="str">
        <f t="shared" si="278"/>
        <v/>
      </c>
      <c r="AB666" s="83" t="str">
        <f>IF(R666&lt;&gt;"",(W666-SUMPRODUCT(R$3:R666,$B$3:$B666)/SUM($B$3:$B666))/STDEVA(W656:W666),"")</f>
        <v/>
      </c>
      <c r="AC666" s="84" t="str">
        <f>IF(S666&lt;&gt;"",(X666-SUMPRODUCT(S$3:S666,$B$3:$B666)/SUM($B$3:$B666))/STDEVA(X656:X666),"")</f>
        <v/>
      </c>
      <c r="AD666" s="84" t="str">
        <f>IF(T666&lt;&gt;"",(Y666-SUMPRODUCT(T$3:T666,$B$3:$B666)/SUM($B$3:$B666))/STDEVA(Y656:Y666),"")</f>
        <v/>
      </c>
      <c r="AE666" s="84" t="str">
        <f>IF(U666&lt;&gt;"",(Z666-SUMPRODUCT(U$3:U666,$B$3:$B666)/SUM($B$3:$B666))/STDEVA(Z656:Z666),"")</f>
        <v/>
      </c>
      <c r="AF666" s="85" t="str">
        <f>IF(V666&lt;&gt;"",(AA666-SUMPRODUCT(V$3:V666,$B$3:$B666)/SUM($B$3:$B666))/STDEVA(AA656:AA666),"")</f>
        <v/>
      </c>
      <c r="AG666" s="90" t="str">
        <f t="shared" si="280"/>
        <v/>
      </c>
      <c r="AH666" s="90" t="str">
        <f t="shared" si="280"/>
        <v/>
      </c>
      <c r="AI666" s="90" t="str">
        <f t="shared" si="280"/>
        <v/>
      </c>
      <c r="AJ666" s="90" t="str">
        <f t="shared" si="279"/>
        <v/>
      </c>
      <c r="AK666" s="93" t="str">
        <f t="shared" si="279"/>
        <v/>
      </c>
      <c r="BQ666" s="100" t="str">
        <f>IF(A666&lt;&gt;"",(VLOOKUP(A666,MarketData!$D:$BP,MATCH($BQ$1,MarketData!$D$1:$EG$1,0),TRUE)/100/365+1)^(B666)*BQ665,"")</f>
        <v/>
      </c>
      <c r="BR666" s="98" t="str">
        <f t="shared" si="257"/>
        <v/>
      </c>
      <c r="BS666" s="106" t="str">
        <f>IF(A666&lt;&gt;"",VLOOKUP(A666,MarketData!$D:$BP,MATCH($BS$1,MarketData!$D$1:$EG$1,0),TRUE),"")</f>
        <v/>
      </c>
      <c r="BT666" s="98" t="str">
        <f t="shared" si="268"/>
        <v/>
      </c>
    </row>
    <row r="667" spans="2:72" x14ac:dyDescent="0.25">
      <c r="B667" s="60" t="str">
        <f t="shared" ref="B667:B730" si="281">IF(A667&lt;&gt;0,A667-A666,"")</f>
        <v/>
      </c>
      <c r="C667" s="3" t="str">
        <f t="shared" si="258"/>
        <v/>
      </c>
      <c r="D667" s="3" t="str">
        <f t="shared" si="259"/>
        <v/>
      </c>
      <c r="E667" s="3" t="str">
        <f t="shared" si="260"/>
        <v/>
      </c>
      <c r="F667" s="3" t="str">
        <f t="shared" si="261"/>
        <v/>
      </c>
      <c r="G667" s="74" t="str">
        <f t="shared" si="262"/>
        <v/>
      </c>
      <c r="H667" s="78" t="str">
        <f>IFERROR(C667/SUM(M$2:M666),"")</f>
        <v/>
      </c>
      <c r="I667" s="61" t="str">
        <f>IFERROR(D667/SUM(N$2:N667),"")</f>
        <v/>
      </c>
      <c r="J667" s="61" t="str">
        <f>IFERROR(E667/SUM(O$2:O667),"")</f>
        <v/>
      </c>
      <c r="K667" s="61" t="str">
        <f>IFERROR(F667/SUM(P$2:P667),"")</f>
        <v/>
      </c>
      <c r="L667" s="79" t="str">
        <f>IFERROR(G667/SUM(Q$2:Q667),"")</f>
        <v/>
      </c>
      <c r="M667" s="64" t="str">
        <f t="shared" si="263"/>
        <v/>
      </c>
      <c r="N667" s="55" t="str">
        <f t="shared" si="264"/>
        <v/>
      </c>
      <c r="O667" s="55" t="str">
        <f t="shared" si="265"/>
        <v/>
      </c>
      <c r="P667" s="55" t="str">
        <f t="shared" si="266"/>
        <v/>
      </c>
      <c r="Q667" s="65" t="str">
        <f t="shared" si="267"/>
        <v/>
      </c>
      <c r="R667" s="67" t="str">
        <f t="shared" si="269"/>
        <v/>
      </c>
      <c r="S667" s="56" t="str">
        <f t="shared" si="270"/>
        <v/>
      </c>
      <c r="T667" s="56" t="str">
        <f t="shared" si="271"/>
        <v/>
      </c>
      <c r="U667" s="56" t="str">
        <f t="shared" si="272"/>
        <v/>
      </c>
      <c r="V667" s="68" t="str">
        <f t="shared" si="273"/>
        <v/>
      </c>
      <c r="W667" s="80" t="str">
        <f t="shared" si="274"/>
        <v/>
      </c>
      <c r="X667" s="81" t="str">
        <f t="shared" si="275"/>
        <v/>
      </c>
      <c r="Y667" s="81" t="str">
        <f t="shared" si="276"/>
        <v/>
      </c>
      <c r="Z667" s="81" t="str">
        <f t="shared" si="277"/>
        <v/>
      </c>
      <c r="AA667" s="82" t="str">
        <f t="shared" si="278"/>
        <v/>
      </c>
      <c r="AB667" s="83" t="str">
        <f>IF(R667&lt;&gt;"",(W667-SUMPRODUCT(R$3:R667,$B$3:$B667)/SUM($B$3:$B667))/STDEVA(W657:W667),"")</f>
        <v/>
      </c>
      <c r="AC667" s="84" t="str">
        <f>IF(S667&lt;&gt;"",(X667-SUMPRODUCT(S$3:S667,$B$3:$B667)/SUM($B$3:$B667))/STDEVA(X657:X667),"")</f>
        <v/>
      </c>
      <c r="AD667" s="84" t="str">
        <f>IF(T667&lt;&gt;"",(Y667-SUMPRODUCT(T$3:T667,$B$3:$B667)/SUM($B$3:$B667))/STDEVA(Y657:Y667),"")</f>
        <v/>
      </c>
      <c r="AE667" s="84" t="str">
        <f>IF(U667&lt;&gt;"",(Z667-SUMPRODUCT(U$3:U667,$B$3:$B667)/SUM($B$3:$B667))/STDEVA(Z657:Z667),"")</f>
        <v/>
      </c>
      <c r="AF667" s="85" t="str">
        <f>IF(V667&lt;&gt;"",(AA667-SUMPRODUCT(V$3:V667,$B$3:$B667)/SUM($B$3:$B667))/STDEVA(AA657:AA667),"")</f>
        <v/>
      </c>
      <c r="AG667" s="90" t="str">
        <f t="shared" si="280"/>
        <v/>
      </c>
      <c r="AH667" s="90" t="str">
        <f t="shared" si="280"/>
        <v/>
      </c>
      <c r="AI667" s="90" t="str">
        <f t="shared" si="280"/>
        <v/>
      </c>
      <c r="AJ667" s="90" t="str">
        <f t="shared" si="279"/>
        <v/>
      </c>
      <c r="AK667" s="93" t="str">
        <f t="shared" si="279"/>
        <v/>
      </c>
      <c r="BQ667" s="100" t="str">
        <f>IF(A667&lt;&gt;"",(VLOOKUP(A667,MarketData!$D:$BP,MATCH($BQ$1,MarketData!$D$1:$EG$1,0),TRUE)/100/365+1)^(B667)*BQ666,"")</f>
        <v/>
      </c>
      <c r="BR667" s="98" t="str">
        <f t="shared" si="257"/>
        <v/>
      </c>
      <c r="BS667" s="106" t="str">
        <f>IF(A667&lt;&gt;"",VLOOKUP(A667,MarketData!$D:$BP,MATCH($BS$1,MarketData!$D$1:$EG$1,0),TRUE),"")</f>
        <v/>
      </c>
      <c r="BT667" s="98" t="str">
        <f t="shared" si="268"/>
        <v/>
      </c>
    </row>
    <row r="668" spans="2:72" x14ac:dyDescent="0.25">
      <c r="B668" s="60" t="str">
        <f t="shared" si="281"/>
        <v/>
      </c>
      <c r="C668" s="3" t="str">
        <f t="shared" si="258"/>
        <v/>
      </c>
      <c r="D668" s="3" t="str">
        <f t="shared" si="259"/>
        <v/>
      </c>
      <c r="E668" s="3" t="str">
        <f t="shared" si="260"/>
        <v/>
      </c>
      <c r="F668" s="3" t="str">
        <f t="shared" si="261"/>
        <v/>
      </c>
      <c r="G668" s="74" t="str">
        <f t="shared" si="262"/>
        <v/>
      </c>
      <c r="H668" s="78" t="str">
        <f>IFERROR(C668/SUM(M$2:M667),"")</f>
        <v/>
      </c>
      <c r="I668" s="61" t="str">
        <f>IFERROR(D668/SUM(N$2:N668),"")</f>
        <v/>
      </c>
      <c r="J668" s="61" t="str">
        <f>IFERROR(E668/SUM(O$2:O668),"")</f>
        <v/>
      </c>
      <c r="K668" s="61" t="str">
        <f>IFERROR(F668/SUM(P$2:P668),"")</f>
        <v/>
      </c>
      <c r="L668" s="79" t="str">
        <f>IFERROR(G668/SUM(Q$2:Q668),"")</f>
        <v/>
      </c>
      <c r="M668" s="64" t="str">
        <f t="shared" si="263"/>
        <v/>
      </c>
      <c r="N668" s="55" t="str">
        <f t="shared" si="264"/>
        <v/>
      </c>
      <c r="O668" s="55" t="str">
        <f t="shared" si="265"/>
        <v/>
      </c>
      <c r="P668" s="55" t="str">
        <f t="shared" si="266"/>
        <v/>
      </c>
      <c r="Q668" s="65" t="str">
        <f t="shared" si="267"/>
        <v/>
      </c>
      <c r="R668" s="67" t="str">
        <f t="shared" si="269"/>
        <v/>
      </c>
      <c r="S668" s="56" t="str">
        <f t="shared" si="270"/>
        <v/>
      </c>
      <c r="T668" s="56" t="str">
        <f t="shared" si="271"/>
        <v/>
      </c>
      <c r="U668" s="56" t="str">
        <f t="shared" si="272"/>
        <v/>
      </c>
      <c r="V668" s="68" t="str">
        <f t="shared" si="273"/>
        <v/>
      </c>
      <c r="W668" s="80" t="str">
        <f t="shared" si="274"/>
        <v/>
      </c>
      <c r="X668" s="81" t="str">
        <f t="shared" si="275"/>
        <v/>
      </c>
      <c r="Y668" s="81" t="str">
        <f t="shared" si="276"/>
        <v/>
      </c>
      <c r="Z668" s="81" t="str">
        <f t="shared" si="277"/>
        <v/>
      </c>
      <c r="AA668" s="82" t="str">
        <f t="shared" si="278"/>
        <v/>
      </c>
      <c r="AB668" s="83" t="str">
        <f>IF(R668&lt;&gt;"",(W668-SUMPRODUCT(R$3:R668,$B$3:$B668)/SUM($B$3:$B668))/STDEVA(W658:W668),"")</f>
        <v/>
      </c>
      <c r="AC668" s="84" t="str">
        <f>IF(S668&lt;&gt;"",(X668-SUMPRODUCT(S$3:S668,$B$3:$B668)/SUM($B$3:$B668))/STDEVA(X658:X668),"")</f>
        <v/>
      </c>
      <c r="AD668" s="84" t="str">
        <f>IF(T668&lt;&gt;"",(Y668-SUMPRODUCT(T$3:T668,$B$3:$B668)/SUM($B$3:$B668))/STDEVA(Y658:Y668),"")</f>
        <v/>
      </c>
      <c r="AE668" s="84" t="str">
        <f>IF(U668&lt;&gt;"",(Z668-SUMPRODUCT(U$3:U668,$B$3:$B668)/SUM($B$3:$B668))/STDEVA(Z658:Z668),"")</f>
        <v/>
      </c>
      <c r="AF668" s="85" t="str">
        <f>IF(V668&lt;&gt;"",(AA668-SUMPRODUCT(V$3:V668,$B$3:$B668)/SUM($B$3:$B668))/STDEVA(AA658:AA668),"")</f>
        <v/>
      </c>
      <c r="AG668" s="90" t="str">
        <f t="shared" si="280"/>
        <v/>
      </c>
      <c r="AH668" s="90" t="str">
        <f t="shared" si="280"/>
        <v/>
      </c>
      <c r="AI668" s="90" t="str">
        <f t="shared" si="280"/>
        <v/>
      </c>
      <c r="AJ668" s="90" t="str">
        <f t="shared" si="279"/>
        <v/>
      </c>
      <c r="AK668" s="93" t="str">
        <f t="shared" si="279"/>
        <v/>
      </c>
      <c r="BQ668" s="100" t="str">
        <f>IF(A668&lt;&gt;"",(VLOOKUP(A668,MarketData!$D:$BP,MATCH($BQ$1,MarketData!$D$1:$EG$1,0),TRUE)/100/365+1)^(B668)*BQ667,"")</f>
        <v/>
      </c>
      <c r="BR668" s="98" t="str">
        <f t="shared" si="257"/>
        <v/>
      </c>
      <c r="BS668" s="106" t="str">
        <f>IF(A668&lt;&gt;"",VLOOKUP(A668,MarketData!$D:$BP,MATCH($BS$1,MarketData!$D$1:$EG$1,0),TRUE),"")</f>
        <v/>
      </c>
      <c r="BT668" s="98" t="str">
        <f t="shared" si="268"/>
        <v/>
      </c>
    </row>
    <row r="669" spans="2:72" x14ac:dyDescent="0.25">
      <c r="B669" s="60" t="str">
        <f t="shared" si="281"/>
        <v/>
      </c>
      <c r="C669" s="3" t="str">
        <f t="shared" si="258"/>
        <v/>
      </c>
      <c r="D669" s="3" t="str">
        <f t="shared" si="259"/>
        <v/>
      </c>
      <c r="E669" s="3" t="str">
        <f t="shared" si="260"/>
        <v/>
      </c>
      <c r="F669" s="3" t="str">
        <f t="shared" si="261"/>
        <v/>
      </c>
      <c r="G669" s="74" t="str">
        <f t="shared" si="262"/>
        <v/>
      </c>
      <c r="H669" s="78" t="str">
        <f>IFERROR(C669/SUM(M$2:M668),"")</f>
        <v/>
      </c>
      <c r="I669" s="61" t="str">
        <f>IFERROR(D669/SUM(N$2:N669),"")</f>
        <v/>
      </c>
      <c r="J669" s="61" t="str">
        <f>IFERROR(E669/SUM(O$2:O669),"")</f>
        <v/>
      </c>
      <c r="K669" s="61" t="str">
        <f>IFERROR(F669/SUM(P$2:P669),"")</f>
        <v/>
      </c>
      <c r="L669" s="79" t="str">
        <f>IFERROR(G669/SUM(Q$2:Q669),"")</f>
        <v/>
      </c>
      <c r="M669" s="64" t="str">
        <f t="shared" si="263"/>
        <v/>
      </c>
      <c r="N669" s="55" t="str">
        <f t="shared" si="264"/>
        <v/>
      </c>
      <c r="O669" s="55" t="str">
        <f t="shared" si="265"/>
        <v/>
      </c>
      <c r="P669" s="55" t="str">
        <f t="shared" si="266"/>
        <v/>
      </c>
      <c r="Q669" s="65" t="str">
        <f t="shared" si="267"/>
        <v/>
      </c>
      <c r="R669" s="67" t="str">
        <f t="shared" si="269"/>
        <v/>
      </c>
      <c r="S669" s="56" t="str">
        <f t="shared" si="270"/>
        <v/>
      </c>
      <c r="T669" s="56" t="str">
        <f t="shared" si="271"/>
        <v/>
      </c>
      <c r="U669" s="56" t="str">
        <f t="shared" si="272"/>
        <v/>
      </c>
      <c r="V669" s="68" t="str">
        <f t="shared" si="273"/>
        <v/>
      </c>
      <c r="W669" s="80" t="str">
        <f t="shared" si="274"/>
        <v/>
      </c>
      <c r="X669" s="81" t="str">
        <f t="shared" si="275"/>
        <v/>
      </c>
      <c r="Y669" s="81" t="str">
        <f t="shared" si="276"/>
        <v/>
      </c>
      <c r="Z669" s="81" t="str">
        <f t="shared" si="277"/>
        <v/>
      </c>
      <c r="AA669" s="82" t="str">
        <f t="shared" si="278"/>
        <v/>
      </c>
      <c r="AB669" s="83" t="str">
        <f>IF(R669&lt;&gt;"",(W669-SUMPRODUCT(R$3:R669,$B$3:$B669)/SUM($B$3:$B669))/STDEVA(W659:W669),"")</f>
        <v/>
      </c>
      <c r="AC669" s="84" t="str">
        <f>IF(S669&lt;&gt;"",(X669-SUMPRODUCT(S$3:S669,$B$3:$B669)/SUM($B$3:$B669))/STDEVA(X659:X669),"")</f>
        <v/>
      </c>
      <c r="AD669" s="84" t="str">
        <f>IF(T669&lt;&gt;"",(Y669-SUMPRODUCT(T$3:T669,$B$3:$B669)/SUM($B$3:$B669))/STDEVA(Y659:Y669),"")</f>
        <v/>
      </c>
      <c r="AE669" s="84" t="str">
        <f>IF(U669&lt;&gt;"",(Z669-SUMPRODUCT(U$3:U669,$B$3:$B669)/SUM($B$3:$B669))/STDEVA(Z659:Z669),"")</f>
        <v/>
      </c>
      <c r="AF669" s="85" t="str">
        <f>IF(V669&lt;&gt;"",(AA669-SUMPRODUCT(V$3:V669,$B$3:$B669)/SUM($B$3:$B669))/STDEVA(AA659:AA669),"")</f>
        <v/>
      </c>
      <c r="AG669" s="90" t="str">
        <f t="shared" si="280"/>
        <v/>
      </c>
      <c r="AH669" s="90" t="str">
        <f t="shared" si="280"/>
        <v/>
      </c>
      <c r="AI669" s="90" t="str">
        <f t="shared" si="280"/>
        <v/>
      </c>
      <c r="AJ669" s="90" t="str">
        <f t="shared" si="279"/>
        <v/>
      </c>
      <c r="AK669" s="93" t="str">
        <f t="shared" si="279"/>
        <v/>
      </c>
      <c r="BQ669" s="100" t="str">
        <f>IF(A669&lt;&gt;"",(VLOOKUP(A669,MarketData!$D:$BP,MATCH($BQ$1,MarketData!$D$1:$EG$1,0),TRUE)/100/365+1)^(B669)*BQ668,"")</f>
        <v/>
      </c>
      <c r="BR669" s="98" t="str">
        <f t="shared" si="257"/>
        <v/>
      </c>
      <c r="BS669" s="106" t="str">
        <f>IF(A669&lt;&gt;"",VLOOKUP(A669,MarketData!$D:$BP,MATCH($BS$1,MarketData!$D$1:$EG$1,0),TRUE),"")</f>
        <v/>
      </c>
      <c r="BT669" s="98" t="str">
        <f t="shared" si="268"/>
        <v/>
      </c>
    </row>
    <row r="670" spans="2:72" x14ac:dyDescent="0.25">
      <c r="B670" s="60" t="str">
        <f t="shared" si="281"/>
        <v/>
      </c>
      <c r="C670" s="3" t="str">
        <f t="shared" si="258"/>
        <v/>
      </c>
      <c r="D670" s="3" t="str">
        <f t="shared" si="259"/>
        <v/>
      </c>
      <c r="E670" s="3" t="str">
        <f t="shared" si="260"/>
        <v/>
      </c>
      <c r="F670" s="3" t="str">
        <f t="shared" si="261"/>
        <v/>
      </c>
      <c r="G670" s="74" t="str">
        <f t="shared" si="262"/>
        <v/>
      </c>
      <c r="H670" s="78" t="str">
        <f>IFERROR(C670/SUM(M$2:M669),"")</f>
        <v/>
      </c>
      <c r="I670" s="61" t="str">
        <f>IFERROR(D670/SUM(N$2:N670),"")</f>
        <v/>
      </c>
      <c r="J670" s="61" t="str">
        <f>IFERROR(E670/SUM(O$2:O670),"")</f>
        <v/>
      </c>
      <c r="K670" s="61" t="str">
        <f>IFERROR(F670/SUM(P$2:P670),"")</f>
        <v/>
      </c>
      <c r="L670" s="79" t="str">
        <f>IFERROR(G670/SUM(Q$2:Q670),"")</f>
        <v/>
      </c>
      <c r="M670" s="64" t="str">
        <f t="shared" si="263"/>
        <v/>
      </c>
      <c r="N670" s="55" t="str">
        <f t="shared" si="264"/>
        <v/>
      </c>
      <c r="O670" s="55" t="str">
        <f t="shared" si="265"/>
        <v/>
      </c>
      <c r="P670" s="55" t="str">
        <f t="shared" si="266"/>
        <v/>
      </c>
      <c r="Q670" s="65" t="str">
        <f t="shared" si="267"/>
        <v/>
      </c>
      <c r="R670" s="67" t="str">
        <f t="shared" si="269"/>
        <v/>
      </c>
      <c r="S670" s="56" t="str">
        <f t="shared" si="270"/>
        <v/>
      </c>
      <c r="T670" s="56" t="str">
        <f t="shared" si="271"/>
        <v/>
      </c>
      <c r="U670" s="56" t="str">
        <f t="shared" si="272"/>
        <v/>
      </c>
      <c r="V670" s="68" t="str">
        <f t="shared" si="273"/>
        <v/>
      </c>
      <c r="W670" s="80" t="str">
        <f t="shared" si="274"/>
        <v/>
      </c>
      <c r="X670" s="81" t="str">
        <f t="shared" si="275"/>
        <v/>
      </c>
      <c r="Y670" s="81" t="str">
        <f t="shared" si="276"/>
        <v/>
      </c>
      <c r="Z670" s="81" t="str">
        <f t="shared" si="277"/>
        <v/>
      </c>
      <c r="AA670" s="82" t="str">
        <f t="shared" si="278"/>
        <v/>
      </c>
      <c r="AB670" s="83" t="str">
        <f>IF(R670&lt;&gt;"",(W670-SUMPRODUCT(R$3:R670,$B$3:$B670)/SUM($B$3:$B670))/STDEVA(W660:W670),"")</f>
        <v/>
      </c>
      <c r="AC670" s="84" t="str">
        <f>IF(S670&lt;&gt;"",(X670-SUMPRODUCT(S$3:S670,$B$3:$B670)/SUM($B$3:$B670))/STDEVA(X660:X670),"")</f>
        <v/>
      </c>
      <c r="AD670" s="84" t="str">
        <f>IF(T670&lt;&gt;"",(Y670-SUMPRODUCT(T$3:T670,$B$3:$B670)/SUM($B$3:$B670))/STDEVA(Y660:Y670),"")</f>
        <v/>
      </c>
      <c r="AE670" s="84" t="str">
        <f>IF(U670&lt;&gt;"",(Z670-SUMPRODUCT(U$3:U670,$B$3:$B670)/SUM($B$3:$B670))/STDEVA(Z660:Z670),"")</f>
        <v/>
      </c>
      <c r="AF670" s="85" t="str">
        <f>IF(V670&lt;&gt;"",(AA670-SUMPRODUCT(V$3:V670,$B$3:$B670)/SUM($B$3:$B670))/STDEVA(AA660:AA670),"")</f>
        <v/>
      </c>
      <c r="AG670" s="90" t="str">
        <f t="shared" si="280"/>
        <v/>
      </c>
      <c r="AH670" s="90" t="str">
        <f t="shared" si="280"/>
        <v/>
      </c>
      <c r="AI670" s="90" t="str">
        <f t="shared" si="280"/>
        <v/>
      </c>
      <c r="AJ670" s="90" t="str">
        <f t="shared" si="279"/>
        <v/>
      </c>
      <c r="AK670" s="93" t="str">
        <f t="shared" si="279"/>
        <v/>
      </c>
      <c r="BQ670" s="100" t="str">
        <f>IF(A670&lt;&gt;"",(VLOOKUP(A670,MarketData!$D:$BP,MATCH($BQ$1,MarketData!$D$1:$EG$1,0),TRUE)/100/365+1)^(B670)*BQ669,"")</f>
        <v/>
      </c>
      <c r="BR670" s="98" t="str">
        <f t="shared" si="257"/>
        <v/>
      </c>
      <c r="BS670" s="106" t="str">
        <f>IF(A670&lt;&gt;"",VLOOKUP(A670,MarketData!$D:$BP,MATCH($BS$1,MarketData!$D$1:$EG$1,0),TRUE),"")</f>
        <v/>
      </c>
      <c r="BT670" s="98" t="str">
        <f t="shared" si="268"/>
        <v/>
      </c>
    </row>
    <row r="671" spans="2:72" x14ac:dyDescent="0.25">
      <c r="B671" s="60" t="str">
        <f t="shared" si="281"/>
        <v/>
      </c>
      <c r="C671" s="3" t="str">
        <f t="shared" si="258"/>
        <v/>
      </c>
      <c r="D671" s="3" t="str">
        <f t="shared" si="259"/>
        <v/>
      </c>
      <c r="E671" s="3" t="str">
        <f t="shared" si="260"/>
        <v/>
      </c>
      <c r="F671" s="3" t="str">
        <f t="shared" si="261"/>
        <v/>
      </c>
      <c r="G671" s="74" t="str">
        <f t="shared" si="262"/>
        <v/>
      </c>
      <c r="H671" s="78" t="str">
        <f>IFERROR(C671/SUM(M$2:M670),"")</f>
        <v/>
      </c>
      <c r="I671" s="61" t="str">
        <f>IFERROR(D671/SUM(N$2:N671),"")</f>
        <v/>
      </c>
      <c r="J671" s="61" t="str">
        <f>IFERROR(E671/SUM(O$2:O671),"")</f>
        <v/>
      </c>
      <c r="K671" s="61" t="str">
        <f>IFERROR(F671/SUM(P$2:P671),"")</f>
        <v/>
      </c>
      <c r="L671" s="79" t="str">
        <f>IFERROR(G671/SUM(Q$2:Q671),"")</f>
        <v/>
      </c>
      <c r="M671" s="64" t="str">
        <f t="shared" si="263"/>
        <v/>
      </c>
      <c r="N671" s="55" t="str">
        <f t="shared" si="264"/>
        <v/>
      </c>
      <c r="O671" s="55" t="str">
        <f t="shared" si="265"/>
        <v/>
      </c>
      <c r="P671" s="55" t="str">
        <f t="shared" si="266"/>
        <v/>
      </c>
      <c r="Q671" s="65" t="str">
        <f t="shared" si="267"/>
        <v/>
      </c>
      <c r="R671" s="67" t="str">
        <f t="shared" si="269"/>
        <v/>
      </c>
      <c r="S671" s="56" t="str">
        <f t="shared" si="270"/>
        <v/>
      </c>
      <c r="T671" s="56" t="str">
        <f t="shared" si="271"/>
        <v/>
      </c>
      <c r="U671" s="56" t="str">
        <f t="shared" si="272"/>
        <v/>
      </c>
      <c r="V671" s="68" t="str">
        <f t="shared" si="273"/>
        <v/>
      </c>
      <c r="W671" s="80" t="str">
        <f t="shared" si="274"/>
        <v/>
      </c>
      <c r="X671" s="81" t="str">
        <f t="shared" si="275"/>
        <v/>
      </c>
      <c r="Y671" s="81" t="str">
        <f t="shared" si="276"/>
        <v/>
      </c>
      <c r="Z671" s="81" t="str">
        <f t="shared" si="277"/>
        <v/>
      </c>
      <c r="AA671" s="82" t="str">
        <f t="shared" si="278"/>
        <v/>
      </c>
      <c r="AB671" s="83" t="str">
        <f>IF(R671&lt;&gt;"",(W671-SUMPRODUCT(R$3:R671,$B$3:$B671)/SUM($B$3:$B671))/STDEVA(W661:W671),"")</f>
        <v/>
      </c>
      <c r="AC671" s="84" t="str">
        <f>IF(S671&lt;&gt;"",(X671-SUMPRODUCT(S$3:S671,$B$3:$B671)/SUM($B$3:$B671))/STDEVA(X661:X671),"")</f>
        <v/>
      </c>
      <c r="AD671" s="84" t="str">
        <f>IF(T671&lt;&gt;"",(Y671-SUMPRODUCT(T$3:T671,$B$3:$B671)/SUM($B$3:$B671))/STDEVA(Y661:Y671),"")</f>
        <v/>
      </c>
      <c r="AE671" s="84" t="str">
        <f>IF(U671&lt;&gt;"",(Z671-SUMPRODUCT(U$3:U671,$B$3:$B671)/SUM($B$3:$B671))/STDEVA(Z661:Z671),"")</f>
        <v/>
      </c>
      <c r="AF671" s="85" t="str">
        <f>IF(V671&lt;&gt;"",(AA671-SUMPRODUCT(V$3:V671,$B$3:$B671)/SUM($B$3:$B671))/STDEVA(AA661:AA671),"")</f>
        <v/>
      </c>
      <c r="AG671" s="90" t="str">
        <f t="shared" si="280"/>
        <v/>
      </c>
      <c r="AH671" s="90" t="str">
        <f t="shared" si="280"/>
        <v/>
      </c>
      <c r="AI671" s="90" t="str">
        <f t="shared" si="280"/>
        <v/>
      </c>
      <c r="AJ671" s="90" t="str">
        <f t="shared" si="279"/>
        <v/>
      </c>
      <c r="AK671" s="93" t="str">
        <f t="shared" si="279"/>
        <v/>
      </c>
      <c r="BQ671" s="100" t="str">
        <f>IF(A671&lt;&gt;"",(VLOOKUP(A671,MarketData!$D:$BP,MATCH($BQ$1,MarketData!$D$1:$EG$1,0),TRUE)/100/365+1)^(B671)*BQ670,"")</f>
        <v/>
      </c>
      <c r="BR671" s="98" t="str">
        <f t="shared" si="257"/>
        <v/>
      </c>
      <c r="BS671" s="106" t="str">
        <f>IF(A671&lt;&gt;"",VLOOKUP(A671,MarketData!$D:$BP,MATCH($BS$1,MarketData!$D$1:$EG$1,0),TRUE),"")</f>
        <v/>
      </c>
      <c r="BT671" s="98" t="str">
        <f t="shared" si="268"/>
        <v/>
      </c>
    </row>
    <row r="672" spans="2:72" x14ac:dyDescent="0.25">
      <c r="B672" s="60" t="str">
        <f t="shared" si="281"/>
        <v/>
      </c>
      <c r="C672" s="3" t="str">
        <f t="shared" si="258"/>
        <v/>
      </c>
      <c r="D672" s="3" t="str">
        <f t="shared" si="259"/>
        <v/>
      </c>
      <c r="E672" s="3" t="str">
        <f t="shared" si="260"/>
        <v/>
      </c>
      <c r="F672" s="3" t="str">
        <f t="shared" si="261"/>
        <v/>
      </c>
      <c r="G672" s="74" t="str">
        <f t="shared" si="262"/>
        <v/>
      </c>
      <c r="H672" s="78" t="str">
        <f>IFERROR(C672/SUM(M$2:M671),"")</f>
        <v/>
      </c>
      <c r="I672" s="61" t="str">
        <f>IFERROR(D672/SUM(N$2:N672),"")</f>
        <v/>
      </c>
      <c r="J672" s="61" t="str">
        <f>IFERROR(E672/SUM(O$2:O672),"")</f>
        <v/>
      </c>
      <c r="K672" s="61" t="str">
        <f>IFERROR(F672/SUM(P$2:P672),"")</f>
        <v/>
      </c>
      <c r="L672" s="79" t="str">
        <f>IFERROR(G672/SUM(Q$2:Q672),"")</f>
        <v/>
      </c>
      <c r="M672" s="64" t="str">
        <f t="shared" si="263"/>
        <v/>
      </c>
      <c r="N672" s="55" t="str">
        <f t="shared" si="264"/>
        <v/>
      </c>
      <c r="O672" s="55" t="str">
        <f t="shared" si="265"/>
        <v/>
      </c>
      <c r="P672" s="55" t="str">
        <f t="shared" si="266"/>
        <v/>
      </c>
      <c r="Q672" s="65" t="str">
        <f t="shared" si="267"/>
        <v/>
      </c>
      <c r="R672" s="67" t="str">
        <f t="shared" si="269"/>
        <v/>
      </c>
      <c r="S672" s="56" t="str">
        <f t="shared" si="270"/>
        <v/>
      </c>
      <c r="T672" s="56" t="str">
        <f t="shared" si="271"/>
        <v/>
      </c>
      <c r="U672" s="56" t="str">
        <f t="shared" si="272"/>
        <v/>
      </c>
      <c r="V672" s="68" t="str">
        <f t="shared" si="273"/>
        <v/>
      </c>
      <c r="W672" s="80" t="str">
        <f t="shared" si="274"/>
        <v/>
      </c>
      <c r="X672" s="81" t="str">
        <f t="shared" si="275"/>
        <v/>
      </c>
      <c r="Y672" s="81" t="str">
        <f t="shared" si="276"/>
        <v/>
      </c>
      <c r="Z672" s="81" t="str">
        <f t="shared" si="277"/>
        <v/>
      </c>
      <c r="AA672" s="82" t="str">
        <f t="shared" si="278"/>
        <v/>
      </c>
      <c r="AB672" s="83" t="str">
        <f>IF(R672&lt;&gt;"",(W672-SUMPRODUCT(R$3:R672,$B$3:$B672)/SUM($B$3:$B672))/STDEVA(W662:W672),"")</f>
        <v/>
      </c>
      <c r="AC672" s="84" t="str">
        <f>IF(S672&lt;&gt;"",(X672-SUMPRODUCT(S$3:S672,$B$3:$B672)/SUM($B$3:$B672))/STDEVA(X662:X672),"")</f>
        <v/>
      </c>
      <c r="AD672" s="84" t="str">
        <f>IF(T672&lt;&gt;"",(Y672-SUMPRODUCT(T$3:T672,$B$3:$B672)/SUM($B$3:$B672))/STDEVA(Y662:Y672),"")</f>
        <v/>
      </c>
      <c r="AE672" s="84" t="str">
        <f>IF(U672&lt;&gt;"",(Z672-SUMPRODUCT(U$3:U672,$B$3:$B672)/SUM($B$3:$B672))/STDEVA(Z662:Z672),"")</f>
        <v/>
      </c>
      <c r="AF672" s="85" t="str">
        <f>IF(V672&lt;&gt;"",(AA672-SUMPRODUCT(V$3:V672,$B$3:$B672)/SUM($B$3:$B672))/STDEVA(AA662:AA672),"")</f>
        <v/>
      </c>
      <c r="AG672" s="90" t="str">
        <f t="shared" si="280"/>
        <v/>
      </c>
      <c r="AH672" s="90" t="str">
        <f t="shared" si="280"/>
        <v/>
      </c>
      <c r="AI672" s="90" t="str">
        <f t="shared" si="280"/>
        <v/>
      </c>
      <c r="AJ672" s="90" t="str">
        <f t="shared" si="279"/>
        <v/>
      </c>
      <c r="AK672" s="93" t="str">
        <f t="shared" si="279"/>
        <v/>
      </c>
      <c r="BQ672" s="100" t="str">
        <f>IF(A672&lt;&gt;"",(VLOOKUP(A672,MarketData!$D:$BP,MATCH($BQ$1,MarketData!$D$1:$EG$1,0),TRUE)/100/365+1)^(B672)*BQ671,"")</f>
        <v/>
      </c>
      <c r="BR672" s="98" t="str">
        <f t="shared" si="257"/>
        <v/>
      </c>
      <c r="BS672" s="106" t="str">
        <f>IF(A672&lt;&gt;"",VLOOKUP(A672,MarketData!$D:$BP,MATCH($BS$1,MarketData!$D$1:$EG$1,0),TRUE),"")</f>
        <v/>
      </c>
      <c r="BT672" s="98" t="str">
        <f t="shared" si="268"/>
        <v/>
      </c>
    </row>
    <row r="673" spans="2:72" x14ac:dyDescent="0.25">
      <c r="B673" s="60" t="str">
        <f t="shared" si="281"/>
        <v/>
      </c>
      <c r="C673" s="3" t="str">
        <f t="shared" si="258"/>
        <v/>
      </c>
      <c r="D673" s="3" t="str">
        <f t="shared" si="259"/>
        <v/>
      </c>
      <c r="E673" s="3" t="str">
        <f t="shared" si="260"/>
        <v/>
      </c>
      <c r="F673" s="3" t="str">
        <f t="shared" si="261"/>
        <v/>
      </c>
      <c r="G673" s="74" t="str">
        <f t="shared" si="262"/>
        <v/>
      </c>
      <c r="H673" s="78" t="str">
        <f>IFERROR(C673/SUM(M$2:M672),"")</f>
        <v/>
      </c>
      <c r="I673" s="61" t="str">
        <f>IFERROR(D673/SUM(N$2:N673),"")</f>
        <v/>
      </c>
      <c r="J673" s="61" t="str">
        <f>IFERROR(E673/SUM(O$2:O673),"")</f>
        <v/>
      </c>
      <c r="K673" s="61" t="str">
        <f>IFERROR(F673/SUM(P$2:P673),"")</f>
        <v/>
      </c>
      <c r="L673" s="79" t="str">
        <f>IFERROR(G673/SUM(Q$2:Q673),"")</f>
        <v/>
      </c>
      <c r="M673" s="64" t="str">
        <f t="shared" si="263"/>
        <v/>
      </c>
      <c r="N673" s="55" t="str">
        <f t="shared" si="264"/>
        <v/>
      </c>
      <c r="O673" s="55" t="str">
        <f t="shared" si="265"/>
        <v/>
      </c>
      <c r="P673" s="55" t="str">
        <f t="shared" si="266"/>
        <v/>
      </c>
      <c r="Q673" s="65" t="str">
        <f t="shared" si="267"/>
        <v/>
      </c>
      <c r="R673" s="67" t="str">
        <f t="shared" si="269"/>
        <v/>
      </c>
      <c r="S673" s="56" t="str">
        <f t="shared" si="270"/>
        <v/>
      </c>
      <c r="T673" s="56" t="str">
        <f t="shared" si="271"/>
        <v/>
      </c>
      <c r="U673" s="56" t="str">
        <f t="shared" si="272"/>
        <v/>
      </c>
      <c r="V673" s="68" t="str">
        <f t="shared" si="273"/>
        <v/>
      </c>
      <c r="W673" s="80" t="str">
        <f t="shared" si="274"/>
        <v/>
      </c>
      <c r="X673" s="81" t="str">
        <f t="shared" si="275"/>
        <v/>
      </c>
      <c r="Y673" s="81" t="str">
        <f t="shared" si="276"/>
        <v/>
      </c>
      <c r="Z673" s="81" t="str">
        <f t="shared" si="277"/>
        <v/>
      </c>
      <c r="AA673" s="82" t="str">
        <f t="shared" si="278"/>
        <v/>
      </c>
      <c r="AB673" s="83" t="str">
        <f>IF(R673&lt;&gt;"",(W673-SUMPRODUCT(R$3:R673,$B$3:$B673)/SUM($B$3:$B673))/STDEVA(W663:W673),"")</f>
        <v/>
      </c>
      <c r="AC673" s="84" t="str">
        <f>IF(S673&lt;&gt;"",(X673-SUMPRODUCT(S$3:S673,$B$3:$B673)/SUM($B$3:$B673))/STDEVA(X663:X673),"")</f>
        <v/>
      </c>
      <c r="AD673" s="84" t="str">
        <f>IF(T673&lt;&gt;"",(Y673-SUMPRODUCT(T$3:T673,$B$3:$B673)/SUM($B$3:$B673))/STDEVA(Y663:Y673),"")</f>
        <v/>
      </c>
      <c r="AE673" s="84" t="str">
        <f>IF(U673&lt;&gt;"",(Z673-SUMPRODUCT(U$3:U673,$B$3:$B673)/SUM($B$3:$B673))/STDEVA(Z663:Z673),"")</f>
        <v/>
      </c>
      <c r="AF673" s="85" t="str">
        <f>IF(V673&lt;&gt;"",(AA673-SUMPRODUCT(V$3:V673,$B$3:$B673)/SUM($B$3:$B673))/STDEVA(AA663:AA673),"")</f>
        <v/>
      </c>
      <c r="AG673" s="90" t="str">
        <f t="shared" si="280"/>
        <v/>
      </c>
      <c r="AH673" s="90" t="str">
        <f t="shared" si="280"/>
        <v/>
      </c>
      <c r="AI673" s="90" t="str">
        <f t="shared" si="280"/>
        <v/>
      </c>
      <c r="AJ673" s="90" t="str">
        <f t="shared" si="279"/>
        <v/>
      </c>
      <c r="AK673" s="93" t="str">
        <f t="shared" si="279"/>
        <v/>
      </c>
      <c r="BQ673" s="100" t="str">
        <f>IF(A673&lt;&gt;"",(VLOOKUP(A673,MarketData!$D:$BP,MATCH($BQ$1,MarketData!$D$1:$EG$1,0),TRUE)/100/365+1)^(B673)*BQ672,"")</f>
        <v/>
      </c>
      <c r="BR673" s="98" t="str">
        <f t="shared" si="257"/>
        <v/>
      </c>
      <c r="BS673" s="106" t="str">
        <f>IF(A673&lt;&gt;"",VLOOKUP(A673,MarketData!$D:$BP,MATCH($BS$1,MarketData!$D$1:$EG$1,0),TRUE),"")</f>
        <v/>
      </c>
      <c r="BT673" s="98" t="str">
        <f t="shared" si="268"/>
        <v/>
      </c>
    </row>
    <row r="674" spans="2:72" x14ac:dyDescent="0.25">
      <c r="B674" s="60" t="str">
        <f t="shared" si="281"/>
        <v/>
      </c>
      <c r="C674" s="3" t="str">
        <f t="shared" si="258"/>
        <v/>
      </c>
      <c r="D674" s="3" t="str">
        <f t="shared" si="259"/>
        <v/>
      </c>
      <c r="E674" s="3" t="str">
        <f t="shared" si="260"/>
        <v/>
      </c>
      <c r="F674" s="3" t="str">
        <f t="shared" si="261"/>
        <v/>
      </c>
      <c r="G674" s="74" t="str">
        <f t="shared" si="262"/>
        <v/>
      </c>
      <c r="H674" s="78" t="str">
        <f>IFERROR(C674/SUM(M$2:M673),"")</f>
        <v/>
      </c>
      <c r="I674" s="61" t="str">
        <f>IFERROR(D674/SUM(N$2:N674),"")</f>
        <v/>
      </c>
      <c r="J674" s="61" t="str">
        <f>IFERROR(E674/SUM(O$2:O674),"")</f>
        <v/>
      </c>
      <c r="K674" s="61" t="str">
        <f>IFERROR(F674/SUM(P$2:P674),"")</f>
        <v/>
      </c>
      <c r="L674" s="79" t="str">
        <f>IFERROR(G674/SUM(Q$2:Q674),"")</f>
        <v/>
      </c>
      <c r="M674" s="64" t="str">
        <f t="shared" si="263"/>
        <v/>
      </c>
      <c r="N674" s="55" t="str">
        <f t="shared" si="264"/>
        <v/>
      </c>
      <c r="O674" s="55" t="str">
        <f t="shared" si="265"/>
        <v/>
      </c>
      <c r="P674" s="55" t="str">
        <f t="shared" si="266"/>
        <v/>
      </c>
      <c r="Q674" s="65" t="str">
        <f t="shared" si="267"/>
        <v/>
      </c>
      <c r="R674" s="67" t="str">
        <f t="shared" si="269"/>
        <v/>
      </c>
      <c r="S674" s="56" t="str">
        <f t="shared" si="270"/>
        <v/>
      </c>
      <c r="T674" s="56" t="str">
        <f t="shared" si="271"/>
        <v/>
      </c>
      <c r="U674" s="56" t="str">
        <f t="shared" si="272"/>
        <v/>
      </c>
      <c r="V674" s="68" t="str">
        <f t="shared" si="273"/>
        <v/>
      </c>
      <c r="W674" s="80" t="str">
        <f t="shared" si="274"/>
        <v/>
      </c>
      <c r="X674" s="81" t="str">
        <f t="shared" si="275"/>
        <v/>
      </c>
      <c r="Y674" s="81" t="str">
        <f t="shared" si="276"/>
        <v/>
      </c>
      <c r="Z674" s="81" t="str">
        <f t="shared" si="277"/>
        <v/>
      </c>
      <c r="AA674" s="82" t="str">
        <f t="shared" si="278"/>
        <v/>
      </c>
      <c r="AB674" s="83" t="str">
        <f>IF(R674&lt;&gt;"",(W674-SUMPRODUCT(R$3:R674,$B$3:$B674)/SUM($B$3:$B674))/STDEVA(W664:W674),"")</f>
        <v/>
      </c>
      <c r="AC674" s="84" t="str">
        <f>IF(S674&lt;&gt;"",(X674-SUMPRODUCT(S$3:S674,$B$3:$B674)/SUM($B$3:$B674))/STDEVA(X664:X674),"")</f>
        <v/>
      </c>
      <c r="AD674" s="84" t="str">
        <f>IF(T674&lt;&gt;"",(Y674-SUMPRODUCT(T$3:T674,$B$3:$B674)/SUM($B$3:$B674))/STDEVA(Y664:Y674),"")</f>
        <v/>
      </c>
      <c r="AE674" s="84" t="str">
        <f>IF(U674&lt;&gt;"",(Z674-SUMPRODUCT(U$3:U674,$B$3:$B674)/SUM($B$3:$B674))/STDEVA(Z664:Z674),"")</f>
        <v/>
      </c>
      <c r="AF674" s="85" t="str">
        <f>IF(V674&lt;&gt;"",(AA674-SUMPRODUCT(V$3:V674,$B$3:$B674)/SUM($B$3:$B674))/STDEVA(AA664:AA674),"")</f>
        <v/>
      </c>
      <c r="AG674" s="90" t="str">
        <f t="shared" si="280"/>
        <v/>
      </c>
      <c r="AH674" s="90" t="str">
        <f t="shared" si="280"/>
        <v/>
      </c>
      <c r="AI674" s="90" t="str">
        <f t="shared" si="280"/>
        <v/>
      </c>
      <c r="AJ674" s="90" t="str">
        <f t="shared" si="279"/>
        <v/>
      </c>
      <c r="AK674" s="93" t="str">
        <f t="shared" si="279"/>
        <v/>
      </c>
      <c r="BQ674" s="100" t="str">
        <f>IF(A674&lt;&gt;"",(VLOOKUP(A674,MarketData!$D:$BP,MATCH($BQ$1,MarketData!$D$1:$EG$1,0),TRUE)/100/365+1)^(B674)*BQ673,"")</f>
        <v/>
      </c>
      <c r="BR674" s="98" t="str">
        <f t="shared" si="257"/>
        <v/>
      </c>
      <c r="BS674" s="106" t="str">
        <f>IF(A674&lt;&gt;"",VLOOKUP(A674,MarketData!$D:$BP,MATCH($BS$1,MarketData!$D$1:$EG$1,0),TRUE),"")</f>
        <v/>
      </c>
      <c r="BT674" s="98" t="str">
        <f t="shared" si="268"/>
        <v/>
      </c>
    </row>
    <row r="675" spans="2:72" x14ac:dyDescent="0.25">
      <c r="B675" s="60" t="str">
        <f t="shared" si="281"/>
        <v/>
      </c>
      <c r="C675" s="3" t="str">
        <f t="shared" si="258"/>
        <v/>
      </c>
      <c r="D675" s="3" t="str">
        <f t="shared" si="259"/>
        <v/>
      </c>
      <c r="E675" s="3" t="str">
        <f t="shared" si="260"/>
        <v/>
      </c>
      <c r="F675" s="3" t="str">
        <f t="shared" si="261"/>
        <v/>
      </c>
      <c r="G675" s="74" t="str">
        <f t="shared" si="262"/>
        <v/>
      </c>
      <c r="H675" s="78" t="str">
        <f>IFERROR(C675/SUM(M$2:M674),"")</f>
        <v/>
      </c>
      <c r="I675" s="61" t="str">
        <f>IFERROR(D675/SUM(N$2:N675),"")</f>
        <v/>
      </c>
      <c r="J675" s="61" t="str">
        <f>IFERROR(E675/SUM(O$2:O675),"")</f>
        <v/>
      </c>
      <c r="K675" s="61" t="str">
        <f>IFERROR(F675/SUM(P$2:P675),"")</f>
        <v/>
      </c>
      <c r="L675" s="79" t="str">
        <f>IFERROR(G675/SUM(Q$2:Q675),"")</f>
        <v/>
      </c>
      <c r="M675" s="64" t="str">
        <f t="shared" si="263"/>
        <v/>
      </c>
      <c r="N675" s="55" t="str">
        <f t="shared" si="264"/>
        <v/>
      </c>
      <c r="O675" s="55" t="str">
        <f t="shared" si="265"/>
        <v/>
      </c>
      <c r="P675" s="55" t="str">
        <f t="shared" si="266"/>
        <v/>
      </c>
      <c r="Q675" s="65" t="str">
        <f t="shared" si="267"/>
        <v/>
      </c>
      <c r="R675" s="67" t="str">
        <f t="shared" si="269"/>
        <v/>
      </c>
      <c r="S675" s="56" t="str">
        <f t="shared" si="270"/>
        <v/>
      </c>
      <c r="T675" s="56" t="str">
        <f t="shared" si="271"/>
        <v/>
      </c>
      <c r="U675" s="56" t="str">
        <f t="shared" si="272"/>
        <v/>
      </c>
      <c r="V675" s="68" t="str">
        <f t="shared" si="273"/>
        <v/>
      </c>
      <c r="W675" s="80" t="str">
        <f t="shared" si="274"/>
        <v/>
      </c>
      <c r="X675" s="81" t="str">
        <f t="shared" si="275"/>
        <v/>
      </c>
      <c r="Y675" s="81" t="str">
        <f t="shared" si="276"/>
        <v/>
      </c>
      <c r="Z675" s="81" t="str">
        <f t="shared" si="277"/>
        <v/>
      </c>
      <c r="AA675" s="82" t="str">
        <f t="shared" si="278"/>
        <v/>
      </c>
      <c r="AB675" s="83" t="str">
        <f>IF(R675&lt;&gt;"",(W675-SUMPRODUCT(R$3:R675,$B$3:$B675)/SUM($B$3:$B675))/STDEVA(W665:W675),"")</f>
        <v/>
      </c>
      <c r="AC675" s="84" t="str">
        <f>IF(S675&lt;&gt;"",(X675-SUMPRODUCT(S$3:S675,$B$3:$B675)/SUM($B$3:$B675))/STDEVA(X665:X675),"")</f>
        <v/>
      </c>
      <c r="AD675" s="84" t="str">
        <f>IF(T675&lt;&gt;"",(Y675-SUMPRODUCT(T$3:T675,$B$3:$B675)/SUM($B$3:$B675))/STDEVA(Y665:Y675),"")</f>
        <v/>
      </c>
      <c r="AE675" s="84" t="str">
        <f>IF(U675&lt;&gt;"",(Z675-SUMPRODUCT(U$3:U675,$B$3:$B675)/SUM($B$3:$B675))/STDEVA(Z665:Z675),"")</f>
        <v/>
      </c>
      <c r="AF675" s="85" t="str">
        <f>IF(V675&lt;&gt;"",(AA675-SUMPRODUCT(V$3:V675,$B$3:$B675)/SUM($B$3:$B675))/STDEVA(AA665:AA675),"")</f>
        <v/>
      </c>
      <c r="AG675" s="90" t="str">
        <f t="shared" si="280"/>
        <v/>
      </c>
      <c r="AH675" s="90" t="str">
        <f t="shared" si="280"/>
        <v/>
      </c>
      <c r="AI675" s="90" t="str">
        <f t="shared" si="280"/>
        <v/>
      </c>
      <c r="AJ675" s="90" t="str">
        <f t="shared" si="279"/>
        <v/>
      </c>
      <c r="AK675" s="93" t="str">
        <f t="shared" si="279"/>
        <v/>
      </c>
      <c r="BQ675" s="100" t="str">
        <f>IF(A675&lt;&gt;"",(VLOOKUP(A675,MarketData!$D:$BP,MATCH($BQ$1,MarketData!$D$1:$EG$1,0),TRUE)/100/365+1)^(B675)*BQ674,"")</f>
        <v/>
      </c>
      <c r="BR675" s="98" t="str">
        <f t="shared" si="257"/>
        <v/>
      </c>
      <c r="BS675" s="106" t="str">
        <f>IF(A675&lt;&gt;"",VLOOKUP(A675,MarketData!$D:$BP,MATCH($BS$1,MarketData!$D$1:$EG$1,0),TRUE),"")</f>
        <v/>
      </c>
      <c r="BT675" s="98" t="str">
        <f t="shared" si="268"/>
        <v/>
      </c>
    </row>
    <row r="676" spans="2:72" x14ac:dyDescent="0.25">
      <c r="B676" s="60" t="str">
        <f t="shared" si="281"/>
        <v/>
      </c>
      <c r="C676" s="3" t="str">
        <f t="shared" si="258"/>
        <v/>
      </c>
      <c r="D676" s="3" t="str">
        <f t="shared" si="259"/>
        <v/>
      </c>
      <c r="E676" s="3" t="str">
        <f t="shared" si="260"/>
        <v/>
      </c>
      <c r="F676" s="3" t="str">
        <f t="shared" si="261"/>
        <v/>
      </c>
      <c r="G676" s="74" t="str">
        <f t="shared" si="262"/>
        <v/>
      </c>
      <c r="H676" s="78" t="str">
        <f>IFERROR(C676/SUM(M$2:M675),"")</f>
        <v/>
      </c>
      <c r="I676" s="61" t="str">
        <f>IFERROR(D676/SUM(N$2:N676),"")</f>
        <v/>
      </c>
      <c r="J676" s="61" t="str">
        <f>IFERROR(E676/SUM(O$2:O676),"")</f>
        <v/>
      </c>
      <c r="K676" s="61" t="str">
        <f>IFERROR(F676/SUM(P$2:P676),"")</f>
        <v/>
      </c>
      <c r="L676" s="79" t="str">
        <f>IFERROR(G676/SUM(Q$2:Q676),"")</f>
        <v/>
      </c>
      <c r="M676" s="64" t="str">
        <f t="shared" si="263"/>
        <v/>
      </c>
      <c r="N676" s="55" t="str">
        <f t="shared" si="264"/>
        <v/>
      </c>
      <c r="O676" s="55" t="str">
        <f t="shared" si="265"/>
        <v/>
      </c>
      <c r="P676" s="55" t="str">
        <f t="shared" si="266"/>
        <v/>
      </c>
      <c r="Q676" s="65" t="str">
        <f t="shared" si="267"/>
        <v/>
      </c>
      <c r="R676" s="67" t="str">
        <f t="shared" si="269"/>
        <v/>
      </c>
      <c r="S676" s="56" t="str">
        <f t="shared" si="270"/>
        <v/>
      </c>
      <c r="T676" s="56" t="str">
        <f t="shared" si="271"/>
        <v/>
      </c>
      <c r="U676" s="56" t="str">
        <f t="shared" si="272"/>
        <v/>
      </c>
      <c r="V676" s="68" t="str">
        <f t="shared" si="273"/>
        <v/>
      </c>
      <c r="W676" s="80" t="str">
        <f t="shared" si="274"/>
        <v/>
      </c>
      <c r="X676" s="81" t="str">
        <f t="shared" si="275"/>
        <v/>
      </c>
      <c r="Y676" s="81" t="str">
        <f t="shared" si="276"/>
        <v/>
      </c>
      <c r="Z676" s="81" t="str">
        <f t="shared" si="277"/>
        <v/>
      </c>
      <c r="AA676" s="82" t="str">
        <f t="shared" si="278"/>
        <v/>
      </c>
      <c r="AB676" s="83" t="str">
        <f>IF(R676&lt;&gt;"",(W676-SUMPRODUCT(R$3:R676,$B$3:$B676)/SUM($B$3:$B676))/STDEVA(W666:W676),"")</f>
        <v/>
      </c>
      <c r="AC676" s="84" t="str">
        <f>IF(S676&lt;&gt;"",(X676-SUMPRODUCT(S$3:S676,$B$3:$B676)/SUM($B$3:$B676))/STDEVA(X666:X676),"")</f>
        <v/>
      </c>
      <c r="AD676" s="84" t="str">
        <f>IF(T676&lt;&gt;"",(Y676-SUMPRODUCT(T$3:T676,$B$3:$B676)/SUM($B$3:$B676))/STDEVA(Y666:Y676),"")</f>
        <v/>
      </c>
      <c r="AE676" s="84" t="str">
        <f>IF(U676&lt;&gt;"",(Z676-SUMPRODUCT(U$3:U676,$B$3:$B676)/SUM($B$3:$B676))/STDEVA(Z666:Z676),"")</f>
        <v/>
      </c>
      <c r="AF676" s="85" t="str">
        <f>IF(V676&lt;&gt;"",(AA676-SUMPRODUCT(V$3:V676,$B$3:$B676)/SUM($B$3:$B676))/STDEVA(AA666:AA676),"")</f>
        <v/>
      </c>
      <c r="AG676" s="90" t="str">
        <f t="shared" si="280"/>
        <v/>
      </c>
      <c r="AH676" s="90" t="str">
        <f t="shared" si="280"/>
        <v/>
      </c>
      <c r="AI676" s="90" t="str">
        <f t="shared" si="280"/>
        <v/>
      </c>
      <c r="AJ676" s="90" t="str">
        <f t="shared" si="279"/>
        <v/>
      </c>
      <c r="AK676" s="93" t="str">
        <f t="shared" si="279"/>
        <v/>
      </c>
      <c r="BQ676" s="100" t="str">
        <f>IF(A676&lt;&gt;"",(VLOOKUP(A676,MarketData!$D:$BP,MATCH($BQ$1,MarketData!$D$1:$EG$1,0),TRUE)/100/365+1)^(B676)*BQ675,"")</f>
        <v/>
      </c>
      <c r="BR676" s="98" t="str">
        <f t="shared" si="257"/>
        <v/>
      </c>
      <c r="BS676" s="106" t="str">
        <f>IF(A676&lt;&gt;"",VLOOKUP(A676,MarketData!$D:$BP,MATCH($BS$1,MarketData!$D$1:$EG$1,0),TRUE),"")</f>
        <v/>
      </c>
      <c r="BT676" s="98" t="str">
        <f t="shared" si="268"/>
        <v/>
      </c>
    </row>
    <row r="677" spans="2:72" x14ac:dyDescent="0.25">
      <c r="B677" s="60" t="str">
        <f t="shared" si="281"/>
        <v/>
      </c>
      <c r="C677" s="3" t="str">
        <f t="shared" si="258"/>
        <v/>
      </c>
      <c r="D677" s="3" t="str">
        <f t="shared" si="259"/>
        <v/>
      </c>
      <c r="E677" s="3" t="str">
        <f t="shared" si="260"/>
        <v/>
      </c>
      <c r="F677" s="3" t="str">
        <f t="shared" si="261"/>
        <v/>
      </c>
      <c r="G677" s="74" t="str">
        <f t="shared" si="262"/>
        <v/>
      </c>
      <c r="H677" s="78" t="str">
        <f>IFERROR(C677/SUM(M$2:M676),"")</f>
        <v/>
      </c>
      <c r="I677" s="61" t="str">
        <f>IFERROR(D677/SUM(N$2:N677),"")</f>
        <v/>
      </c>
      <c r="J677" s="61" t="str">
        <f>IFERROR(E677/SUM(O$2:O677),"")</f>
        <v/>
      </c>
      <c r="K677" s="61" t="str">
        <f>IFERROR(F677/SUM(P$2:P677),"")</f>
        <v/>
      </c>
      <c r="L677" s="79" t="str">
        <f>IFERROR(G677/SUM(Q$2:Q677),"")</f>
        <v/>
      </c>
      <c r="M677" s="64" t="str">
        <f t="shared" si="263"/>
        <v/>
      </c>
      <c r="N677" s="55" t="str">
        <f t="shared" si="264"/>
        <v/>
      </c>
      <c r="O677" s="55" t="str">
        <f t="shared" si="265"/>
        <v/>
      </c>
      <c r="P677" s="55" t="str">
        <f t="shared" si="266"/>
        <v/>
      </c>
      <c r="Q677" s="65" t="str">
        <f t="shared" si="267"/>
        <v/>
      </c>
      <c r="R677" s="67" t="str">
        <f t="shared" si="269"/>
        <v/>
      </c>
      <c r="S677" s="56" t="str">
        <f t="shared" si="270"/>
        <v/>
      </c>
      <c r="T677" s="56" t="str">
        <f t="shared" si="271"/>
        <v/>
      </c>
      <c r="U677" s="56" t="str">
        <f t="shared" si="272"/>
        <v/>
      </c>
      <c r="V677" s="68" t="str">
        <f t="shared" si="273"/>
        <v/>
      </c>
      <c r="W677" s="80" t="str">
        <f t="shared" si="274"/>
        <v/>
      </c>
      <c r="X677" s="81" t="str">
        <f t="shared" si="275"/>
        <v/>
      </c>
      <c r="Y677" s="81" t="str">
        <f t="shared" si="276"/>
        <v/>
      </c>
      <c r="Z677" s="81" t="str">
        <f t="shared" si="277"/>
        <v/>
      </c>
      <c r="AA677" s="82" t="str">
        <f t="shared" si="278"/>
        <v/>
      </c>
      <c r="AB677" s="83" t="str">
        <f>IF(R677&lt;&gt;"",(W677-SUMPRODUCT(R$3:R677,$B$3:$B677)/SUM($B$3:$B677))/STDEVA(W667:W677),"")</f>
        <v/>
      </c>
      <c r="AC677" s="84" t="str">
        <f>IF(S677&lt;&gt;"",(X677-SUMPRODUCT(S$3:S677,$B$3:$B677)/SUM($B$3:$B677))/STDEVA(X667:X677),"")</f>
        <v/>
      </c>
      <c r="AD677" s="84" t="str">
        <f>IF(T677&lt;&gt;"",(Y677-SUMPRODUCT(T$3:T677,$B$3:$B677)/SUM($B$3:$B677))/STDEVA(Y667:Y677),"")</f>
        <v/>
      </c>
      <c r="AE677" s="84" t="str">
        <f>IF(U677&lt;&gt;"",(Z677-SUMPRODUCT(U$3:U677,$B$3:$B677)/SUM($B$3:$B677))/STDEVA(Z667:Z677),"")</f>
        <v/>
      </c>
      <c r="AF677" s="85" t="str">
        <f>IF(V677&lt;&gt;"",(AA677-SUMPRODUCT(V$3:V677,$B$3:$B677)/SUM($B$3:$B677))/STDEVA(AA667:AA677),"")</f>
        <v/>
      </c>
      <c r="AG677" s="90" t="str">
        <f t="shared" si="280"/>
        <v/>
      </c>
      <c r="AH677" s="90" t="str">
        <f t="shared" si="280"/>
        <v/>
      </c>
      <c r="AI677" s="90" t="str">
        <f t="shared" si="280"/>
        <v/>
      </c>
      <c r="AJ677" s="90" t="str">
        <f t="shared" si="279"/>
        <v/>
      </c>
      <c r="AK677" s="93" t="str">
        <f t="shared" si="279"/>
        <v/>
      </c>
      <c r="BQ677" s="100" t="str">
        <f>IF(A677&lt;&gt;"",(VLOOKUP(A677,MarketData!$D:$BP,MATCH($BQ$1,MarketData!$D$1:$EG$1,0),TRUE)/100/365+1)^(B677)*BQ676,"")</f>
        <v/>
      </c>
      <c r="BR677" s="98" t="str">
        <f t="shared" si="257"/>
        <v/>
      </c>
      <c r="BS677" s="106" t="str">
        <f>IF(A677&lt;&gt;"",VLOOKUP(A677,MarketData!$D:$BP,MATCH($BS$1,MarketData!$D$1:$EG$1,0),TRUE),"")</f>
        <v/>
      </c>
      <c r="BT677" s="98" t="str">
        <f t="shared" si="268"/>
        <v/>
      </c>
    </row>
    <row r="678" spans="2:72" x14ac:dyDescent="0.25">
      <c r="B678" s="60" t="str">
        <f t="shared" si="281"/>
        <v/>
      </c>
      <c r="C678" s="3" t="str">
        <f t="shared" si="258"/>
        <v/>
      </c>
      <c r="D678" s="3" t="str">
        <f t="shared" si="259"/>
        <v/>
      </c>
      <c r="E678" s="3" t="str">
        <f t="shared" si="260"/>
        <v/>
      </c>
      <c r="F678" s="3" t="str">
        <f t="shared" si="261"/>
        <v/>
      </c>
      <c r="G678" s="74" t="str">
        <f t="shared" si="262"/>
        <v/>
      </c>
      <c r="H678" s="78" t="str">
        <f>IFERROR(C678/SUM(M$2:M677),"")</f>
        <v/>
      </c>
      <c r="I678" s="61" t="str">
        <f>IFERROR(D678/SUM(N$2:N678),"")</f>
        <v/>
      </c>
      <c r="J678" s="61" t="str">
        <f>IFERROR(E678/SUM(O$2:O678),"")</f>
        <v/>
      </c>
      <c r="K678" s="61" t="str">
        <f>IFERROR(F678/SUM(P$2:P678),"")</f>
        <v/>
      </c>
      <c r="L678" s="79" t="str">
        <f>IFERROR(G678/SUM(Q$2:Q678),"")</f>
        <v/>
      </c>
      <c r="M678" s="64" t="str">
        <f t="shared" si="263"/>
        <v/>
      </c>
      <c r="N678" s="55" t="str">
        <f t="shared" si="264"/>
        <v/>
      </c>
      <c r="O678" s="55" t="str">
        <f t="shared" si="265"/>
        <v/>
      </c>
      <c r="P678" s="55" t="str">
        <f t="shared" si="266"/>
        <v/>
      </c>
      <c r="Q678" s="65" t="str">
        <f t="shared" si="267"/>
        <v/>
      </c>
      <c r="R678" s="67" t="str">
        <f t="shared" si="269"/>
        <v/>
      </c>
      <c r="S678" s="56" t="str">
        <f t="shared" si="270"/>
        <v/>
      </c>
      <c r="T678" s="56" t="str">
        <f t="shared" si="271"/>
        <v/>
      </c>
      <c r="U678" s="56" t="str">
        <f t="shared" si="272"/>
        <v/>
      </c>
      <c r="V678" s="68" t="str">
        <f t="shared" si="273"/>
        <v/>
      </c>
      <c r="W678" s="80" t="str">
        <f t="shared" si="274"/>
        <v/>
      </c>
      <c r="X678" s="81" t="str">
        <f t="shared" si="275"/>
        <v/>
      </c>
      <c r="Y678" s="81" t="str">
        <f t="shared" si="276"/>
        <v/>
      </c>
      <c r="Z678" s="81" t="str">
        <f t="shared" si="277"/>
        <v/>
      </c>
      <c r="AA678" s="82" t="str">
        <f t="shared" si="278"/>
        <v/>
      </c>
      <c r="AB678" s="83" t="str">
        <f>IF(R678&lt;&gt;"",(W678-SUMPRODUCT(R$3:R678,$B$3:$B678)/SUM($B$3:$B678))/STDEVA(W668:W678),"")</f>
        <v/>
      </c>
      <c r="AC678" s="84" t="str">
        <f>IF(S678&lt;&gt;"",(X678-SUMPRODUCT(S$3:S678,$B$3:$B678)/SUM($B$3:$B678))/STDEVA(X668:X678),"")</f>
        <v/>
      </c>
      <c r="AD678" s="84" t="str">
        <f>IF(T678&lt;&gt;"",(Y678-SUMPRODUCT(T$3:T678,$B$3:$B678)/SUM($B$3:$B678))/STDEVA(Y668:Y678),"")</f>
        <v/>
      </c>
      <c r="AE678" s="84" t="str">
        <f>IF(U678&lt;&gt;"",(Z678-SUMPRODUCT(U$3:U678,$B$3:$B678)/SUM($B$3:$B678))/STDEVA(Z668:Z678),"")</f>
        <v/>
      </c>
      <c r="AF678" s="85" t="str">
        <f>IF(V678&lt;&gt;"",(AA678-SUMPRODUCT(V$3:V678,$B$3:$B678)/SUM($B$3:$B678))/STDEVA(AA668:AA678),"")</f>
        <v/>
      </c>
      <c r="AG678" s="90" t="str">
        <f t="shared" si="280"/>
        <v/>
      </c>
      <c r="AH678" s="90" t="str">
        <f t="shared" si="280"/>
        <v/>
      </c>
      <c r="AI678" s="90" t="str">
        <f t="shared" si="280"/>
        <v/>
      </c>
      <c r="AJ678" s="90" t="str">
        <f t="shared" si="279"/>
        <v/>
      </c>
      <c r="AK678" s="93" t="str">
        <f t="shared" si="279"/>
        <v/>
      </c>
      <c r="BQ678" s="100" t="str">
        <f>IF(A678&lt;&gt;"",(VLOOKUP(A678,MarketData!$D:$BP,MATCH($BQ$1,MarketData!$D$1:$EG$1,0),TRUE)/100/365+1)^(B678)*BQ677,"")</f>
        <v/>
      </c>
      <c r="BR678" s="98" t="str">
        <f t="shared" si="257"/>
        <v/>
      </c>
      <c r="BS678" s="106" t="str">
        <f>IF(A678&lt;&gt;"",VLOOKUP(A678,MarketData!$D:$BP,MATCH($BS$1,MarketData!$D$1:$EG$1,0),TRUE),"")</f>
        <v/>
      </c>
      <c r="BT678" s="98" t="str">
        <f t="shared" si="268"/>
        <v/>
      </c>
    </row>
    <row r="679" spans="2:72" x14ac:dyDescent="0.25">
      <c r="B679" s="60" t="str">
        <f t="shared" si="281"/>
        <v/>
      </c>
      <c r="C679" s="3" t="str">
        <f t="shared" si="258"/>
        <v/>
      </c>
      <c r="D679" s="3" t="str">
        <f t="shared" si="259"/>
        <v/>
      </c>
      <c r="E679" s="3" t="str">
        <f t="shared" si="260"/>
        <v/>
      </c>
      <c r="F679" s="3" t="str">
        <f t="shared" si="261"/>
        <v/>
      </c>
      <c r="G679" s="74" t="str">
        <f t="shared" si="262"/>
        <v/>
      </c>
      <c r="H679" s="78" t="str">
        <f>IFERROR(C679/SUM(M$2:M678),"")</f>
        <v/>
      </c>
      <c r="I679" s="61" t="str">
        <f>IFERROR(D679/SUM(N$2:N679),"")</f>
        <v/>
      </c>
      <c r="J679" s="61" t="str">
        <f>IFERROR(E679/SUM(O$2:O679),"")</f>
        <v/>
      </c>
      <c r="K679" s="61" t="str">
        <f>IFERROR(F679/SUM(P$2:P679),"")</f>
        <v/>
      </c>
      <c r="L679" s="79" t="str">
        <f>IFERROR(G679/SUM(Q$2:Q679),"")</f>
        <v/>
      </c>
      <c r="M679" s="64" t="str">
        <f t="shared" si="263"/>
        <v/>
      </c>
      <c r="N679" s="55" t="str">
        <f t="shared" si="264"/>
        <v/>
      </c>
      <c r="O679" s="55" t="str">
        <f t="shared" si="265"/>
        <v/>
      </c>
      <c r="P679" s="55" t="str">
        <f t="shared" si="266"/>
        <v/>
      </c>
      <c r="Q679" s="65" t="str">
        <f t="shared" si="267"/>
        <v/>
      </c>
      <c r="R679" s="67" t="str">
        <f t="shared" si="269"/>
        <v/>
      </c>
      <c r="S679" s="56" t="str">
        <f t="shared" si="270"/>
        <v/>
      </c>
      <c r="T679" s="56" t="str">
        <f t="shared" si="271"/>
        <v/>
      </c>
      <c r="U679" s="56" t="str">
        <f t="shared" si="272"/>
        <v/>
      </c>
      <c r="V679" s="68" t="str">
        <f t="shared" si="273"/>
        <v/>
      </c>
      <c r="W679" s="80" t="str">
        <f t="shared" si="274"/>
        <v/>
      </c>
      <c r="X679" s="81" t="str">
        <f t="shared" si="275"/>
        <v/>
      </c>
      <c r="Y679" s="81" t="str">
        <f t="shared" si="276"/>
        <v/>
      </c>
      <c r="Z679" s="81" t="str">
        <f t="shared" si="277"/>
        <v/>
      </c>
      <c r="AA679" s="82" t="str">
        <f t="shared" si="278"/>
        <v/>
      </c>
      <c r="AB679" s="83" t="str">
        <f>IF(R679&lt;&gt;"",(W679-SUMPRODUCT(R$3:R679,$B$3:$B679)/SUM($B$3:$B679))/STDEVA(W669:W679),"")</f>
        <v/>
      </c>
      <c r="AC679" s="84" t="str">
        <f>IF(S679&lt;&gt;"",(X679-SUMPRODUCT(S$3:S679,$B$3:$B679)/SUM($B$3:$B679))/STDEVA(X669:X679),"")</f>
        <v/>
      </c>
      <c r="AD679" s="84" t="str">
        <f>IF(T679&lt;&gt;"",(Y679-SUMPRODUCT(T$3:T679,$B$3:$B679)/SUM($B$3:$B679))/STDEVA(Y669:Y679),"")</f>
        <v/>
      </c>
      <c r="AE679" s="84" t="str">
        <f>IF(U679&lt;&gt;"",(Z679-SUMPRODUCT(U$3:U679,$B$3:$B679)/SUM($B$3:$B679))/STDEVA(Z669:Z679),"")</f>
        <v/>
      </c>
      <c r="AF679" s="85" t="str">
        <f>IF(V679&lt;&gt;"",(AA679-SUMPRODUCT(V$3:V679,$B$3:$B679)/SUM($B$3:$B679))/STDEVA(AA669:AA679),"")</f>
        <v/>
      </c>
      <c r="AG679" s="90" t="str">
        <f t="shared" si="280"/>
        <v/>
      </c>
      <c r="AH679" s="90" t="str">
        <f t="shared" si="280"/>
        <v/>
      </c>
      <c r="AI679" s="90" t="str">
        <f t="shared" si="280"/>
        <v/>
      </c>
      <c r="AJ679" s="90" t="str">
        <f t="shared" si="279"/>
        <v/>
      </c>
      <c r="AK679" s="93" t="str">
        <f t="shared" si="279"/>
        <v/>
      </c>
      <c r="BQ679" s="100" t="str">
        <f>IF(A679&lt;&gt;"",(VLOOKUP(A679,MarketData!$D:$BP,MATCH($BQ$1,MarketData!$D$1:$EG$1,0),TRUE)/100/365+1)^(B679)*BQ678,"")</f>
        <v/>
      </c>
      <c r="BR679" s="98" t="str">
        <f t="shared" si="257"/>
        <v/>
      </c>
      <c r="BS679" s="106" t="str">
        <f>IF(A679&lt;&gt;"",VLOOKUP(A679,MarketData!$D:$BP,MATCH($BS$1,MarketData!$D$1:$EG$1,0),TRUE),"")</f>
        <v/>
      </c>
      <c r="BT679" s="98" t="str">
        <f t="shared" si="268"/>
        <v/>
      </c>
    </row>
    <row r="680" spans="2:72" x14ac:dyDescent="0.25">
      <c r="B680" s="60" t="str">
        <f t="shared" si="281"/>
        <v/>
      </c>
      <c r="C680" s="3" t="str">
        <f t="shared" si="258"/>
        <v/>
      </c>
      <c r="D680" s="3" t="str">
        <f t="shared" si="259"/>
        <v/>
      </c>
      <c r="E680" s="3" t="str">
        <f t="shared" si="260"/>
        <v/>
      </c>
      <c r="F680" s="3" t="str">
        <f t="shared" si="261"/>
        <v/>
      </c>
      <c r="G680" s="74" t="str">
        <f t="shared" si="262"/>
        <v/>
      </c>
      <c r="H680" s="78" t="str">
        <f>IFERROR(C680/SUM(M$2:M679),"")</f>
        <v/>
      </c>
      <c r="I680" s="61" t="str">
        <f>IFERROR(D680/SUM(N$2:N680),"")</f>
        <v/>
      </c>
      <c r="J680" s="61" t="str">
        <f>IFERROR(E680/SUM(O$2:O680),"")</f>
        <v/>
      </c>
      <c r="K680" s="61" t="str">
        <f>IFERROR(F680/SUM(P$2:P680),"")</f>
        <v/>
      </c>
      <c r="L680" s="79" t="str">
        <f>IFERROR(G680/SUM(Q$2:Q680),"")</f>
        <v/>
      </c>
      <c r="M680" s="64" t="str">
        <f t="shared" si="263"/>
        <v/>
      </c>
      <c r="N680" s="55" t="str">
        <f t="shared" si="264"/>
        <v/>
      </c>
      <c r="O680" s="55" t="str">
        <f t="shared" si="265"/>
        <v/>
      </c>
      <c r="P680" s="55" t="str">
        <f t="shared" si="266"/>
        <v/>
      </c>
      <c r="Q680" s="65" t="str">
        <f t="shared" si="267"/>
        <v/>
      </c>
      <c r="R680" s="67" t="str">
        <f t="shared" si="269"/>
        <v/>
      </c>
      <c r="S680" s="56" t="str">
        <f t="shared" si="270"/>
        <v/>
      </c>
      <c r="T680" s="56" t="str">
        <f t="shared" si="271"/>
        <v/>
      </c>
      <c r="U680" s="56" t="str">
        <f t="shared" si="272"/>
        <v/>
      </c>
      <c r="V680" s="68" t="str">
        <f t="shared" si="273"/>
        <v/>
      </c>
      <c r="W680" s="80" t="str">
        <f t="shared" si="274"/>
        <v/>
      </c>
      <c r="X680" s="81" t="str">
        <f t="shared" si="275"/>
        <v/>
      </c>
      <c r="Y680" s="81" t="str">
        <f t="shared" si="276"/>
        <v/>
      </c>
      <c r="Z680" s="81" t="str">
        <f t="shared" si="277"/>
        <v/>
      </c>
      <c r="AA680" s="82" t="str">
        <f t="shared" si="278"/>
        <v/>
      </c>
      <c r="AB680" s="83" t="str">
        <f>IF(R680&lt;&gt;"",(W680-SUMPRODUCT(R$3:R680,$B$3:$B680)/SUM($B$3:$B680))/STDEVA(W670:W680),"")</f>
        <v/>
      </c>
      <c r="AC680" s="84" t="str">
        <f>IF(S680&lt;&gt;"",(X680-SUMPRODUCT(S$3:S680,$B$3:$B680)/SUM($B$3:$B680))/STDEVA(X670:X680),"")</f>
        <v/>
      </c>
      <c r="AD680" s="84" t="str">
        <f>IF(T680&lt;&gt;"",(Y680-SUMPRODUCT(T$3:T680,$B$3:$B680)/SUM($B$3:$B680))/STDEVA(Y670:Y680),"")</f>
        <v/>
      </c>
      <c r="AE680" s="84" t="str">
        <f>IF(U680&lt;&gt;"",(Z680-SUMPRODUCT(U$3:U680,$B$3:$B680)/SUM($B$3:$B680))/STDEVA(Z670:Z680),"")</f>
        <v/>
      </c>
      <c r="AF680" s="85" t="str">
        <f>IF(V680&lt;&gt;"",(AA680-SUMPRODUCT(V$3:V680,$B$3:$B680)/SUM($B$3:$B680))/STDEVA(AA670:AA680),"")</f>
        <v/>
      </c>
      <c r="AG680" s="90" t="str">
        <f t="shared" si="280"/>
        <v/>
      </c>
      <c r="AH680" s="90" t="str">
        <f t="shared" si="280"/>
        <v/>
      </c>
      <c r="AI680" s="90" t="str">
        <f t="shared" si="280"/>
        <v/>
      </c>
      <c r="AJ680" s="90" t="str">
        <f t="shared" si="279"/>
        <v/>
      </c>
      <c r="AK680" s="93" t="str">
        <f t="shared" si="279"/>
        <v/>
      </c>
      <c r="BQ680" s="100" t="str">
        <f>IF(A680&lt;&gt;"",(VLOOKUP(A680,MarketData!$D:$BP,MATCH($BQ$1,MarketData!$D$1:$EG$1,0),TRUE)/100/365+1)^(B680)*BQ679,"")</f>
        <v/>
      </c>
      <c r="BR680" s="98" t="str">
        <f t="shared" si="257"/>
        <v/>
      </c>
      <c r="BS680" s="106" t="str">
        <f>IF(A680&lt;&gt;"",VLOOKUP(A680,MarketData!$D:$BP,MATCH($BS$1,MarketData!$D$1:$EG$1,0),TRUE),"")</f>
        <v/>
      </c>
      <c r="BT680" s="98" t="str">
        <f t="shared" si="268"/>
        <v/>
      </c>
    </row>
    <row r="681" spans="2:72" x14ac:dyDescent="0.25">
      <c r="B681" s="60" t="str">
        <f t="shared" si="281"/>
        <v/>
      </c>
      <c r="C681" s="3" t="str">
        <f t="shared" si="258"/>
        <v/>
      </c>
      <c r="D681" s="3" t="str">
        <f t="shared" si="259"/>
        <v/>
      </c>
      <c r="E681" s="3" t="str">
        <f t="shared" si="260"/>
        <v/>
      </c>
      <c r="F681" s="3" t="str">
        <f t="shared" si="261"/>
        <v/>
      </c>
      <c r="G681" s="74" t="str">
        <f t="shared" si="262"/>
        <v/>
      </c>
      <c r="H681" s="78" t="str">
        <f>IFERROR(C681/SUM(M$2:M680),"")</f>
        <v/>
      </c>
      <c r="I681" s="61" t="str">
        <f>IFERROR(D681/SUM(N$2:N681),"")</f>
        <v/>
      </c>
      <c r="J681" s="61" t="str">
        <f>IFERROR(E681/SUM(O$2:O681),"")</f>
        <v/>
      </c>
      <c r="K681" s="61" t="str">
        <f>IFERROR(F681/SUM(P$2:P681),"")</f>
        <v/>
      </c>
      <c r="L681" s="79" t="str">
        <f>IFERROR(G681/SUM(Q$2:Q681),"")</f>
        <v/>
      </c>
      <c r="M681" s="64" t="str">
        <f t="shared" si="263"/>
        <v/>
      </c>
      <c r="N681" s="55" t="str">
        <f t="shared" si="264"/>
        <v/>
      </c>
      <c r="O681" s="55" t="str">
        <f t="shared" si="265"/>
        <v/>
      </c>
      <c r="P681" s="55" t="str">
        <f t="shared" si="266"/>
        <v/>
      </c>
      <c r="Q681" s="65" t="str">
        <f t="shared" si="267"/>
        <v/>
      </c>
      <c r="R681" s="67" t="str">
        <f t="shared" si="269"/>
        <v/>
      </c>
      <c r="S681" s="56" t="str">
        <f t="shared" si="270"/>
        <v/>
      </c>
      <c r="T681" s="56" t="str">
        <f t="shared" si="271"/>
        <v/>
      </c>
      <c r="U681" s="56" t="str">
        <f t="shared" si="272"/>
        <v/>
      </c>
      <c r="V681" s="68" t="str">
        <f t="shared" si="273"/>
        <v/>
      </c>
      <c r="W681" s="80" t="str">
        <f t="shared" si="274"/>
        <v/>
      </c>
      <c r="X681" s="81" t="str">
        <f t="shared" si="275"/>
        <v/>
      </c>
      <c r="Y681" s="81" t="str">
        <f t="shared" si="276"/>
        <v/>
      </c>
      <c r="Z681" s="81" t="str">
        <f t="shared" si="277"/>
        <v/>
      </c>
      <c r="AA681" s="82" t="str">
        <f t="shared" si="278"/>
        <v/>
      </c>
      <c r="AB681" s="83" t="str">
        <f>IF(R681&lt;&gt;"",(W681-SUMPRODUCT(R$3:R681,$B$3:$B681)/SUM($B$3:$B681))/STDEVA(W671:W681),"")</f>
        <v/>
      </c>
      <c r="AC681" s="84" t="str">
        <f>IF(S681&lt;&gt;"",(X681-SUMPRODUCT(S$3:S681,$B$3:$B681)/SUM($B$3:$B681))/STDEVA(X671:X681),"")</f>
        <v/>
      </c>
      <c r="AD681" s="84" t="str">
        <f>IF(T681&lt;&gt;"",(Y681-SUMPRODUCT(T$3:T681,$B$3:$B681)/SUM($B$3:$B681))/STDEVA(Y671:Y681),"")</f>
        <v/>
      </c>
      <c r="AE681" s="84" t="str">
        <f>IF(U681&lt;&gt;"",(Z681-SUMPRODUCT(U$3:U681,$B$3:$B681)/SUM($B$3:$B681))/STDEVA(Z671:Z681),"")</f>
        <v/>
      </c>
      <c r="AF681" s="85" t="str">
        <f>IF(V681&lt;&gt;"",(AA681-SUMPRODUCT(V$3:V681,$B$3:$B681)/SUM($B$3:$B681))/STDEVA(AA671:AA681),"")</f>
        <v/>
      </c>
      <c r="AG681" s="90" t="str">
        <f t="shared" si="280"/>
        <v/>
      </c>
      <c r="AH681" s="90" t="str">
        <f t="shared" si="280"/>
        <v/>
      </c>
      <c r="AI681" s="90" t="str">
        <f t="shared" si="280"/>
        <v/>
      </c>
      <c r="AJ681" s="90" t="str">
        <f t="shared" si="279"/>
        <v/>
      </c>
      <c r="AK681" s="93" t="str">
        <f t="shared" si="279"/>
        <v/>
      </c>
      <c r="BQ681" s="100" t="str">
        <f>IF(A681&lt;&gt;"",(VLOOKUP(A681,MarketData!$D:$BP,MATCH($BQ$1,MarketData!$D$1:$EG$1,0),TRUE)/100/365+1)^(B681)*BQ680,"")</f>
        <v/>
      </c>
      <c r="BR681" s="98" t="str">
        <f t="shared" si="257"/>
        <v/>
      </c>
      <c r="BS681" s="106" t="str">
        <f>IF(A681&lt;&gt;"",VLOOKUP(A681,MarketData!$D:$BP,MATCH($BS$1,MarketData!$D$1:$EG$1,0),TRUE),"")</f>
        <v/>
      </c>
      <c r="BT681" s="98" t="str">
        <f t="shared" si="268"/>
        <v/>
      </c>
    </row>
    <row r="682" spans="2:72" x14ac:dyDescent="0.25">
      <c r="B682" s="60" t="str">
        <f t="shared" si="281"/>
        <v/>
      </c>
      <c r="C682" s="3" t="str">
        <f t="shared" si="258"/>
        <v/>
      </c>
      <c r="D682" s="3" t="str">
        <f t="shared" si="259"/>
        <v/>
      </c>
      <c r="E682" s="3" t="str">
        <f t="shared" si="260"/>
        <v/>
      </c>
      <c r="F682" s="3" t="str">
        <f t="shared" si="261"/>
        <v/>
      </c>
      <c r="G682" s="74" t="str">
        <f t="shared" si="262"/>
        <v/>
      </c>
      <c r="H682" s="78" t="str">
        <f>IFERROR(C682/SUM(M$2:M681),"")</f>
        <v/>
      </c>
      <c r="I682" s="61" t="str">
        <f>IFERROR(D682/SUM(N$2:N682),"")</f>
        <v/>
      </c>
      <c r="J682" s="61" t="str">
        <f>IFERROR(E682/SUM(O$2:O682),"")</f>
        <v/>
      </c>
      <c r="K682" s="61" t="str">
        <f>IFERROR(F682/SUM(P$2:P682),"")</f>
        <v/>
      </c>
      <c r="L682" s="79" t="str">
        <f>IFERROR(G682/SUM(Q$2:Q682),"")</f>
        <v/>
      </c>
      <c r="M682" s="64" t="str">
        <f t="shared" si="263"/>
        <v/>
      </c>
      <c r="N682" s="55" t="str">
        <f t="shared" si="264"/>
        <v/>
      </c>
      <c r="O682" s="55" t="str">
        <f t="shared" si="265"/>
        <v/>
      </c>
      <c r="P682" s="55" t="str">
        <f t="shared" si="266"/>
        <v/>
      </c>
      <c r="Q682" s="65" t="str">
        <f t="shared" si="267"/>
        <v/>
      </c>
      <c r="R682" s="67" t="str">
        <f t="shared" si="269"/>
        <v/>
      </c>
      <c r="S682" s="56" t="str">
        <f t="shared" si="270"/>
        <v/>
      </c>
      <c r="T682" s="56" t="str">
        <f t="shared" si="271"/>
        <v/>
      </c>
      <c r="U682" s="56" t="str">
        <f t="shared" si="272"/>
        <v/>
      </c>
      <c r="V682" s="68" t="str">
        <f t="shared" si="273"/>
        <v/>
      </c>
      <c r="W682" s="80" t="str">
        <f t="shared" si="274"/>
        <v/>
      </c>
      <c r="X682" s="81" t="str">
        <f t="shared" si="275"/>
        <v/>
      </c>
      <c r="Y682" s="81" t="str">
        <f t="shared" si="276"/>
        <v/>
      </c>
      <c r="Z682" s="81" t="str">
        <f t="shared" si="277"/>
        <v/>
      </c>
      <c r="AA682" s="82" t="str">
        <f t="shared" si="278"/>
        <v/>
      </c>
      <c r="AB682" s="83" t="str">
        <f>IF(R682&lt;&gt;"",(W682-SUMPRODUCT(R$3:R682,$B$3:$B682)/SUM($B$3:$B682))/STDEVA(W672:W682),"")</f>
        <v/>
      </c>
      <c r="AC682" s="84" t="str">
        <f>IF(S682&lt;&gt;"",(X682-SUMPRODUCT(S$3:S682,$B$3:$B682)/SUM($B$3:$B682))/STDEVA(X672:X682),"")</f>
        <v/>
      </c>
      <c r="AD682" s="84" t="str">
        <f>IF(T682&lt;&gt;"",(Y682-SUMPRODUCT(T$3:T682,$B$3:$B682)/SUM($B$3:$B682))/STDEVA(Y672:Y682),"")</f>
        <v/>
      </c>
      <c r="AE682" s="84" t="str">
        <f>IF(U682&lt;&gt;"",(Z682-SUMPRODUCT(U$3:U682,$B$3:$B682)/SUM($B$3:$B682))/STDEVA(Z672:Z682),"")</f>
        <v/>
      </c>
      <c r="AF682" s="85" t="str">
        <f>IF(V682&lt;&gt;"",(AA682-SUMPRODUCT(V$3:V682,$B$3:$B682)/SUM($B$3:$B682))/STDEVA(AA672:AA682),"")</f>
        <v/>
      </c>
      <c r="AG682" s="90" t="str">
        <f t="shared" si="280"/>
        <v/>
      </c>
      <c r="AH682" s="90" t="str">
        <f t="shared" si="280"/>
        <v/>
      </c>
      <c r="AI682" s="90" t="str">
        <f t="shared" si="280"/>
        <v/>
      </c>
      <c r="AJ682" s="90" t="str">
        <f t="shared" si="279"/>
        <v/>
      </c>
      <c r="AK682" s="93" t="str">
        <f t="shared" si="279"/>
        <v/>
      </c>
      <c r="BQ682" s="100" t="str">
        <f>IF(A682&lt;&gt;"",(VLOOKUP(A682,MarketData!$D:$BP,MATCH($BQ$1,MarketData!$D$1:$EG$1,0),TRUE)/100/365+1)^(B682)*BQ681,"")</f>
        <v/>
      </c>
      <c r="BR682" s="98" t="str">
        <f t="shared" si="257"/>
        <v/>
      </c>
      <c r="BS682" s="106" t="str">
        <f>IF(A682&lt;&gt;"",VLOOKUP(A682,MarketData!$D:$BP,MATCH($BS$1,MarketData!$D$1:$EG$1,0),TRUE),"")</f>
        <v/>
      </c>
      <c r="BT682" s="98" t="str">
        <f t="shared" si="268"/>
        <v/>
      </c>
    </row>
    <row r="683" spans="2:72" x14ac:dyDescent="0.25">
      <c r="B683" s="60" t="str">
        <f t="shared" si="281"/>
        <v/>
      </c>
      <c r="C683" s="3" t="str">
        <f t="shared" si="258"/>
        <v/>
      </c>
      <c r="D683" s="3" t="str">
        <f t="shared" si="259"/>
        <v/>
      </c>
      <c r="E683" s="3" t="str">
        <f t="shared" si="260"/>
        <v/>
      </c>
      <c r="F683" s="3" t="str">
        <f t="shared" si="261"/>
        <v/>
      </c>
      <c r="G683" s="74" t="str">
        <f t="shared" si="262"/>
        <v/>
      </c>
      <c r="H683" s="78" t="str">
        <f>IFERROR(C683/SUM(M$2:M682),"")</f>
        <v/>
      </c>
      <c r="I683" s="61" t="str">
        <f>IFERROR(D683/SUM(N$2:N683),"")</f>
        <v/>
      </c>
      <c r="J683" s="61" t="str">
        <f>IFERROR(E683/SUM(O$2:O683),"")</f>
        <v/>
      </c>
      <c r="K683" s="61" t="str">
        <f>IFERROR(F683/SUM(P$2:P683),"")</f>
        <v/>
      </c>
      <c r="L683" s="79" t="str">
        <f>IFERROR(G683/SUM(Q$2:Q683),"")</f>
        <v/>
      </c>
      <c r="M683" s="64" t="str">
        <f t="shared" si="263"/>
        <v/>
      </c>
      <c r="N683" s="55" t="str">
        <f t="shared" si="264"/>
        <v/>
      </c>
      <c r="O683" s="55" t="str">
        <f t="shared" si="265"/>
        <v/>
      </c>
      <c r="P683" s="55" t="str">
        <f t="shared" si="266"/>
        <v/>
      </c>
      <c r="Q683" s="65" t="str">
        <f t="shared" si="267"/>
        <v/>
      </c>
      <c r="R683" s="67" t="str">
        <f t="shared" si="269"/>
        <v/>
      </c>
      <c r="S683" s="56" t="str">
        <f t="shared" si="270"/>
        <v/>
      </c>
      <c r="T683" s="56" t="str">
        <f t="shared" si="271"/>
        <v/>
      </c>
      <c r="U683" s="56" t="str">
        <f t="shared" si="272"/>
        <v/>
      </c>
      <c r="V683" s="68" t="str">
        <f t="shared" si="273"/>
        <v/>
      </c>
      <c r="W683" s="80" t="str">
        <f t="shared" si="274"/>
        <v/>
      </c>
      <c r="X683" s="81" t="str">
        <f t="shared" si="275"/>
        <v/>
      </c>
      <c r="Y683" s="81" t="str">
        <f t="shared" si="276"/>
        <v/>
      </c>
      <c r="Z683" s="81" t="str">
        <f t="shared" si="277"/>
        <v/>
      </c>
      <c r="AA683" s="82" t="str">
        <f t="shared" si="278"/>
        <v/>
      </c>
      <c r="AB683" s="83" t="str">
        <f>IF(R683&lt;&gt;"",(W683-SUMPRODUCT(R$3:R683,$B$3:$B683)/SUM($B$3:$B683))/STDEVA(W673:W683),"")</f>
        <v/>
      </c>
      <c r="AC683" s="84" t="str">
        <f>IF(S683&lt;&gt;"",(X683-SUMPRODUCT(S$3:S683,$B$3:$B683)/SUM($B$3:$B683))/STDEVA(X673:X683),"")</f>
        <v/>
      </c>
      <c r="AD683" s="84" t="str">
        <f>IF(T683&lt;&gt;"",(Y683-SUMPRODUCT(T$3:T683,$B$3:$B683)/SUM($B$3:$B683))/STDEVA(Y673:Y683),"")</f>
        <v/>
      </c>
      <c r="AE683" s="84" t="str">
        <f>IF(U683&lt;&gt;"",(Z683-SUMPRODUCT(U$3:U683,$B$3:$B683)/SUM($B$3:$B683))/STDEVA(Z673:Z683),"")</f>
        <v/>
      </c>
      <c r="AF683" s="85" t="str">
        <f>IF(V683&lt;&gt;"",(AA683-SUMPRODUCT(V$3:V683,$B$3:$B683)/SUM($B$3:$B683))/STDEVA(AA673:AA683),"")</f>
        <v/>
      </c>
      <c r="AG683" s="90" t="str">
        <f t="shared" si="280"/>
        <v/>
      </c>
      <c r="AH683" s="90" t="str">
        <f t="shared" si="280"/>
        <v/>
      </c>
      <c r="AI683" s="90" t="str">
        <f t="shared" si="280"/>
        <v/>
      </c>
      <c r="AJ683" s="90" t="str">
        <f t="shared" si="279"/>
        <v/>
      </c>
      <c r="AK683" s="93" t="str">
        <f t="shared" si="279"/>
        <v/>
      </c>
      <c r="BQ683" s="100" t="str">
        <f>IF(A683&lt;&gt;"",(VLOOKUP(A683,MarketData!$D:$BP,MATCH($BQ$1,MarketData!$D$1:$EG$1,0),TRUE)/100/365+1)^(B683)*BQ682,"")</f>
        <v/>
      </c>
      <c r="BR683" s="98" t="str">
        <f t="shared" si="257"/>
        <v/>
      </c>
      <c r="BS683" s="106" t="str">
        <f>IF(A683&lt;&gt;"",VLOOKUP(A683,MarketData!$D:$BP,MATCH($BS$1,MarketData!$D$1:$EG$1,0),TRUE),"")</f>
        <v/>
      </c>
      <c r="BT683" s="98" t="str">
        <f t="shared" si="268"/>
        <v/>
      </c>
    </row>
    <row r="684" spans="2:72" x14ac:dyDescent="0.25">
      <c r="B684" s="60" t="str">
        <f t="shared" si="281"/>
        <v/>
      </c>
      <c r="C684" s="3" t="str">
        <f t="shared" si="258"/>
        <v/>
      </c>
      <c r="D684" s="3" t="str">
        <f t="shared" si="259"/>
        <v/>
      </c>
      <c r="E684" s="3" t="str">
        <f t="shared" si="260"/>
        <v/>
      </c>
      <c r="F684" s="3" t="str">
        <f t="shared" si="261"/>
        <v/>
      </c>
      <c r="G684" s="74" t="str">
        <f t="shared" si="262"/>
        <v/>
      </c>
      <c r="H684" s="78" t="str">
        <f>IFERROR(C684/SUM(M$2:M683),"")</f>
        <v/>
      </c>
      <c r="I684" s="61" t="str">
        <f>IFERROR(D684/SUM(N$2:N684),"")</f>
        <v/>
      </c>
      <c r="J684" s="61" t="str">
        <f>IFERROR(E684/SUM(O$2:O684),"")</f>
        <v/>
      </c>
      <c r="K684" s="61" t="str">
        <f>IFERROR(F684/SUM(P$2:P684),"")</f>
        <v/>
      </c>
      <c r="L684" s="79" t="str">
        <f>IFERROR(G684/SUM(Q$2:Q684),"")</f>
        <v/>
      </c>
      <c r="M684" s="64" t="str">
        <f t="shared" si="263"/>
        <v/>
      </c>
      <c r="N684" s="55" t="str">
        <f t="shared" si="264"/>
        <v/>
      </c>
      <c r="O684" s="55" t="str">
        <f t="shared" si="265"/>
        <v/>
      </c>
      <c r="P684" s="55" t="str">
        <f t="shared" si="266"/>
        <v/>
      </c>
      <c r="Q684" s="65" t="str">
        <f t="shared" si="267"/>
        <v/>
      </c>
      <c r="R684" s="67" t="str">
        <f t="shared" si="269"/>
        <v/>
      </c>
      <c r="S684" s="56" t="str">
        <f t="shared" si="270"/>
        <v/>
      </c>
      <c r="T684" s="56" t="str">
        <f t="shared" si="271"/>
        <v/>
      </c>
      <c r="U684" s="56" t="str">
        <f t="shared" si="272"/>
        <v/>
      </c>
      <c r="V684" s="68" t="str">
        <f t="shared" si="273"/>
        <v/>
      </c>
      <c r="W684" s="80" t="str">
        <f t="shared" si="274"/>
        <v/>
      </c>
      <c r="X684" s="81" t="str">
        <f t="shared" si="275"/>
        <v/>
      </c>
      <c r="Y684" s="81" t="str">
        <f t="shared" si="276"/>
        <v/>
      </c>
      <c r="Z684" s="81" t="str">
        <f t="shared" si="277"/>
        <v/>
      </c>
      <c r="AA684" s="82" t="str">
        <f t="shared" si="278"/>
        <v/>
      </c>
      <c r="AB684" s="83" t="str">
        <f>IF(R684&lt;&gt;"",(W684-SUMPRODUCT(R$3:R684,$B$3:$B684)/SUM($B$3:$B684))/STDEVA(W674:W684),"")</f>
        <v/>
      </c>
      <c r="AC684" s="84" t="str">
        <f>IF(S684&lt;&gt;"",(X684-SUMPRODUCT(S$3:S684,$B$3:$B684)/SUM($B$3:$B684))/STDEVA(X674:X684),"")</f>
        <v/>
      </c>
      <c r="AD684" s="84" t="str">
        <f>IF(T684&lt;&gt;"",(Y684-SUMPRODUCT(T$3:T684,$B$3:$B684)/SUM($B$3:$B684))/STDEVA(Y674:Y684),"")</f>
        <v/>
      </c>
      <c r="AE684" s="84" t="str">
        <f>IF(U684&lt;&gt;"",(Z684-SUMPRODUCT(U$3:U684,$B$3:$B684)/SUM($B$3:$B684))/STDEVA(Z674:Z684),"")</f>
        <v/>
      </c>
      <c r="AF684" s="85" t="str">
        <f>IF(V684&lt;&gt;"",(AA684-SUMPRODUCT(V$3:V684,$B$3:$B684)/SUM($B$3:$B684))/STDEVA(AA674:AA684),"")</f>
        <v/>
      </c>
      <c r="AG684" s="90" t="str">
        <f t="shared" si="280"/>
        <v/>
      </c>
      <c r="AH684" s="90" t="str">
        <f t="shared" si="280"/>
        <v/>
      </c>
      <c r="AI684" s="90" t="str">
        <f t="shared" si="280"/>
        <v/>
      </c>
      <c r="AJ684" s="90" t="str">
        <f t="shared" si="279"/>
        <v/>
      </c>
      <c r="AK684" s="93" t="str">
        <f t="shared" si="279"/>
        <v/>
      </c>
      <c r="BQ684" s="100" t="str">
        <f>IF(A684&lt;&gt;"",(VLOOKUP(A684,MarketData!$D:$BP,MATCH($BQ$1,MarketData!$D$1:$EG$1,0),TRUE)/100/365+1)^(B684)*BQ683,"")</f>
        <v/>
      </c>
      <c r="BR684" s="98" t="str">
        <f t="shared" si="257"/>
        <v/>
      </c>
      <c r="BS684" s="106" t="str">
        <f>IF(A684&lt;&gt;"",VLOOKUP(A684,MarketData!$D:$BP,MATCH($BS$1,MarketData!$D$1:$EG$1,0),TRUE),"")</f>
        <v/>
      </c>
      <c r="BT684" s="98" t="str">
        <f t="shared" si="268"/>
        <v/>
      </c>
    </row>
    <row r="685" spans="2:72" x14ac:dyDescent="0.25">
      <c r="B685" s="60" t="str">
        <f t="shared" si="281"/>
        <v/>
      </c>
      <c r="C685" s="3" t="str">
        <f t="shared" si="258"/>
        <v/>
      </c>
      <c r="D685" s="3" t="str">
        <f t="shared" si="259"/>
        <v/>
      </c>
      <c r="E685" s="3" t="str">
        <f t="shared" si="260"/>
        <v/>
      </c>
      <c r="F685" s="3" t="str">
        <f t="shared" si="261"/>
        <v/>
      </c>
      <c r="G685" s="74" t="str">
        <f t="shared" si="262"/>
        <v/>
      </c>
      <c r="H685" s="78" t="str">
        <f>IFERROR(C685/SUM(M$2:M684),"")</f>
        <v/>
      </c>
      <c r="I685" s="61" t="str">
        <f>IFERROR(D685/SUM(N$2:N685),"")</f>
        <v/>
      </c>
      <c r="J685" s="61" t="str">
        <f>IFERROR(E685/SUM(O$2:O685),"")</f>
        <v/>
      </c>
      <c r="K685" s="61" t="str">
        <f>IFERROR(F685/SUM(P$2:P685),"")</f>
        <v/>
      </c>
      <c r="L685" s="79" t="str">
        <f>IFERROR(G685/SUM(Q$2:Q685),"")</f>
        <v/>
      </c>
      <c r="M685" s="64" t="str">
        <f t="shared" si="263"/>
        <v/>
      </c>
      <c r="N685" s="55" t="str">
        <f t="shared" si="264"/>
        <v/>
      </c>
      <c r="O685" s="55" t="str">
        <f t="shared" si="265"/>
        <v/>
      </c>
      <c r="P685" s="55" t="str">
        <f t="shared" si="266"/>
        <v/>
      </c>
      <c r="Q685" s="65" t="str">
        <f t="shared" si="267"/>
        <v/>
      </c>
      <c r="R685" s="67" t="str">
        <f t="shared" si="269"/>
        <v/>
      </c>
      <c r="S685" s="56" t="str">
        <f t="shared" si="270"/>
        <v/>
      </c>
      <c r="T685" s="56" t="str">
        <f t="shared" si="271"/>
        <v/>
      </c>
      <c r="U685" s="56" t="str">
        <f t="shared" si="272"/>
        <v/>
      </c>
      <c r="V685" s="68" t="str">
        <f t="shared" si="273"/>
        <v/>
      </c>
      <c r="W685" s="80" t="str">
        <f t="shared" si="274"/>
        <v/>
      </c>
      <c r="X685" s="81" t="str">
        <f t="shared" si="275"/>
        <v/>
      </c>
      <c r="Y685" s="81" t="str">
        <f t="shared" si="276"/>
        <v/>
      </c>
      <c r="Z685" s="81" t="str">
        <f t="shared" si="277"/>
        <v/>
      </c>
      <c r="AA685" s="82" t="str">
        <f t="shared" si="278"/>
        <v/>
      </c>
      <c r="AB685" s="83" t="str">
        <f>IF(R685&lt;&gt;"",(W685-SUMPRODUCT(R$3:R685,$B$3:$B685)/SUM($B$3:$B685))/STDEVA(W675:W685),"")</f>
        <v/>
      </c>
      <c r="AC685" s="84" t="str">
        <f>IF(S685&lt;&gt;"",(X685-SUMPRODUCT(S$3:S685,$B$3:$B685)/SUM($B$3:$B685))/STDEVA(X675:X685),"")</f>
        <v/>
      </c>
      <c r="AD685" s="84" t="str">
        <f>IF(T685&lt;&gt;"",(Y685-SUMPRODUCT(T$3:T685,$B$3:$B685)/SUM($B$3:$B685))/STDEVA(Y675:Y685),"")</f>
        <v/>
      </c>
      <c r="AE685" s="84" t="str">
        <f>IF(U685&lt;&gt;"",(Z685-SUMPRODUCT(U$3:U685,$B$3:$B685)/SUM($B$3:$B685))/STDEVA(Z675:Z685),"")</f>
        <v/>
      </c>
      <c r="AF685" s="85" t="str">
        <f>IF(V685&lt;&gt;"",(AA685-SUMPRODUCT(V$3:V685,$B$3:$B685)/SUM($B$3:$B685))/STDEVA(AA675:AA685),"")</f>
        <v/>
      </c>
      <c r="AG685" s="90" t="str">
        <f t="shared" si="280"/>
        <v/>
      </c>
      <c r="AH685" s="90" t="str">
        <f t="shared" si="280"/>
        <v/>
      </c>
      <c r="AI685" s="90" t="str">
        <f t="shared" si="280"/>
        <v/>
      </c>
      <c r="AJ685" s="90" t="str">
        <f t="shared" si="279"/>
        <v/>
      </c>
      <c r="AK685" s="93" t="str">
        <f t="shared" si="279"/>
        <v/>
      </c>
      <c r="BQ685" s="100" t="str">
        <f>IF(A685&lt;&gt;"",(VLOOKUP(A685,MarketData!$D:$BP,MATCH($BQ$1,MarketData!$D$1:$EG$1,0),TRUE)/100/365+1)^(B685)*BQ684,"")</f>
        <v/>
      </c>
      <c r="BR685" s="98" t="str">
        <f t="shared" si="257"/>
        <v/>
      </c>
      <c r="BS685" s="106" t="str">
        <f>IF(A685&lt;&gt;"",VLOOKUP(A685,MarketData!$D:$BP,MATCH($BS$1,MarketData!$D$1:$EG$1,0),TRUE),"")</f>
        <v/>
      </c>
      <c r="BT685" s="98" t="str">
        <f t="shared" si="268"/>
        <v/>
      </c>
    </row>
    <row r="686" spans="2:72" x14ac:dyDescent="0.25">
      <c r="B686" s="60" t="str">
        <f t="shared" si="281"/>
        <v/>
      </c>
      <c r="C686" s="3" t="str">
        <f t="shared" si="258"/>
        <v/>
      </c>
      <c r="D686" s="3" t="str">
        <f t="shared" si="259"/>
        <v/>
      </c>
      <c r="E686" s="3" t="str">
        <f t="shared" si="260"/>
        <v/>
      </c>
      <c r="F686" s="3" t="str">
        <f t="shared" si="261"/>
        <v/>
      </c>
      <c r="G686" s="74" t="str">
        <f t="shared" si="262"/>
        <v/>
      </c>
      <c r="H686" s="78" t="str">
        <f>IFERROR(C686/SUM(M$2:M685),"")</f>
        <v/>
      </c>
      <c r="I686" s="61" t="str">
        <f>IFERROR(D686/SUM(N$2:N686),"")</f>
        <v/>
      </c>
      <c r="J686" s="61" t="str">
        <f>IFERROR(E686/SUM(O$2:O686),"")</f>
        <v/>
      </c>
      <c r="K686" s="61" t="str">
        <f>IFERROR(F686/SUM(P$2:P686),"")</f>
        <v/>
      </c>
      <c r="L686" s="79" t="str">
        <f>IFERROR(G686/SUM(Q$2:Q686),"")</f>
        <v/>
      </c>
      <c r="M686" s="64" t="str">
        <f t="shared" si="263"/>
        <v/>
      </c>
      <c r="N686" s="55" t="str">
        <f t="shared" si="264"/>
        <v/>
      </c>
      <c r="O686" s="55" t="str">
        <f t="shared" si="265"/>
        <v/>
      </c>
      <c r="P686" s="55" t="str">
        <f t="shared" si="266"/>
        <v/>
      </c>
      <c r="Q686" s="65" t="str">
        <f t="shared" si="267"/>
        <v/>
      </c>
      <c r="R686" s="67" t="str">
        <f t="shared" si="269"/>
        <v/>
      </c>
      <c r="S686" s="56" t="str">
        <f t="shared" si="270"/>
        <v/>
      </c>
      <c r="T686" s="56" t="str">
        <f t="shared" si="271"/>
        <v/>
      </c>
      <c r="U686" s="56" t="str">
        <f t="shared" si="272"/>
        <v/>
      </c>
      <c r="V686" s="68" t="str">
        <f t="shared" si="273"/>
        <v/>
      </c>
      <c r="W686" s="80" t="str">
        <f t="shared" si="274"/>
        <v/>
      </c>
      <c r="X686" s="81" t="str">
        <f t="shared" si="275"/>
        <v/>
      </c>
      <c r="Y686" s="81" t="str">
        <f t="shared" si="276"/>
        <v/>
      </c>
      <c r="Z686" s="81" t="str">
        <f t="shared" si="277"/>
        <v/>
      </c>
      <c r="AA686" s="82" t="str">
        <f t="shared" si="278"/>
        <v/>
      </c>
      <c r="AB686" s="83" t="str">
        <f>IF(R686&lt;&gt;"",(W686-SUMPRODUCT(R$3:R686,$B$3:$B686)/SUM($B$3:$B686))/STDEVA(W676:W686),"")</f>
        <v/>
      </c>
      <c r="AC686" s="84" t="str">
        <f>IF(S686&lt;&gt;"",(X686-SUMPRODUCT(S$3:S686,$B$3:$B686)/SUM($B$3:$B686))/STDEVA(X676:X686),"")</f>
        <v/>
      </c>
      <c r="AD686" s="84" t="str">
        <f>IF(T686&lt;&gt;"",(Y686-SUMPRODUCT(T$3:T686,$B$3:$B686)/SUM($B$3:$B686))/STDEVA(Y676:Y686),"")</f>
        <v/>
      </c>
      <c r="AE686" s="84" t="str">
        <f>IF(U686&lt;&gt;"",(Z686-SUMPRODUCT(U$3:U686,$B$3:$B686)/SUM($B$3:$B686))/STDEVA(Z676:Z686),"")</f>
        <v/>
      </c>
      <c r="AF686" s="85" t="str">
        <f>IF(V686&lt;&gt;"",(AA686-SUMPRODUCT(V$3:V686,$B$3:$B686)/SUM($B$3:$B686))/STDEVA(AA676:AA686),"")</f>
        <v/>
      </c>
      <c r="AG686" s="90" t="str">
        <f t="shared" si="280"/>
        <v/>
      </c>
      <c r="AH686" s="90" t="str">
        <f t="shared" si="280"/>
        <v/>
      </c>
      <c r="AI686" s="90" t="str">
        <f t="shared" si="280"/>
        <v/>
      </c>
      <c r="AJ686" s="90" t="str">
        <f t="shared" si="279"/>
        <v/>
      </c>
      <c r="AK686" s="93" t="str">
        <f t="shared" si="279"/>
        <v/>
      </c>
      <c r="BQ686" s="100" t="str">
        <f>IF(A686&lt;&gt;"",(VLOOKUP(A686,MarketData!$D:$BP,MATCH($BQ$1,MarketData!$D$1:$EG$1,0),TRUE)/100/365+1)^(B686)*BQ685,"")</f>
        <v/>
      </c>
      <c r="BR686" s="98" t="str">
        <f t="shared" si="257"/>
        <v/>
      </c>
      <c r="BS686" s="106" t="str">
        <f>IF(A686&lt;&gt;"",VLOOKUP(A686,MarketData!$D:$BP,MATCH($BS$1,MarketData!$D$1:$EG$1,0),TRUE),"")</f>
        <v/>
      </c>
      <c r="BT686" s="98" t="str">
        <f t="shared" si="268"/>
        <v/>
      </c>
    </row>
    <row r="687" spans="2:72" x14ac:dyDescent="0.25">
      <c r="B687" s="60" t="str">
        <f t="shared" si="281"/>
        <v/>
      </c>
      <c r="C687" s="3" t="str">
        <f t="shared" si="258"/>
        <v/>
      </c>
      <c r="D687" s="3" t="str">
        <f t="shared" si="259"/>
        <v/>
      </c>
      <c r="E687" s="3" t="str">
        <f t="shared" si="260"/>
        <v/>
      </c>
      <c r="F687" s="3" t="str">
        <f t="shared" si="261"/>
        <v/>
      </c>
      <c r="G687" s="74" t="str">
        <f t="shared" si="262"/>
        <v/>
      </c>
      <c r="H687" s="78" t="str">
        <f>IFERROR(C687/SUM(M$2:M686),"")</f>
        <v/>
      </c>
      <c r="I687" s="61" t="str">
        <f>IFERROR(D687/SUM(N$2:N687),"")</f>
        <v/>
      </c>
      <c r="J687" s="61" t="str">
        <f>IFERROR(E687/SUM(O$2:O687),"")</f>
        <v/>
      </c>
      <c r="K687" s="61" t="str">
        <f>IFERROR(F687/SUM(P$2:P687),"")</f>
        <v/>
      </c>
      <c r="L687" s="79" t="str">
        <f>IFERROR(G687/SUM(Q$2:Q687),"")</f>
        <v/>
      </c>
      <c r="M687" s="64" t="str">
        <f t="shared" si="263"/>
        <v/>
      </c>
      <c r="N687" s="55" t="str">
        <f t="shared" si="264"/>
        <v/>
      </c>
      <c r="O687" s="55" t="str">
        <f t="shared" si="265"/>
        <v/>
      </c>
      <c r="P687" s="55" t="str">
        <f t="shared" si="266"/>
        <v/>
      </c>
      <c r="Q687" s="65" t="str">
        <f t="shared" si="267"/>
        <v/>
      </c>
      <c r="R687" s="67" t="str">
        <f t="shared" si="269"/>
        <v/>
      </c>
      <c r="S687" s="56" t="str">
        <f t="shared" si="270"/>
        <v/>
      </c>
      <c r="T687" s="56" t="str">
        <f t="shared" si="271"/>
        <v/>
      </c>
      <c r="U687" s="56" t="str">
        <f t="shared" si="272"/>
        <v/>
      </c>
      <c r="V687" s="68" t="str">
        <f t="shared" si="273"/>
        <v/>
      </c>
      <c r="W687" s="80" t="str">
        <f t="shared" si="274"/>
        <v/>
      </c>
      <c r="X687" s="81" t="str">
        <f t="shared" si="275"/>
        <v/>
      </c>
      <c r="Y687" s="81" t="str">
        <f t="shared" si="276"/>
        <v/>
      </c>
      <c r="Z687" s="81" t="str">
        <f t="shared" si="277"/>
        <v/>
      </c>
      <c r="AA687" s="82" t="str">
        <f t="shared" si="278"/>
        <v/>
      </c>
      <c r="AB687" s="83" t="str">
        <f>IF(R687&lt;&gt;"",(W687-SUMPRODUCT(R$3:R687,$B$3:$B687)/SUM($B$3:$B687))/STDEVA(W677:W687),"")</f>
        <v/>
      </c>
      <c r="AC687" s="84" t="str">
        <f>IF(S687&lt;&gt;"",(X687-SUMPRODUCT(S$3:S687,$B$3:$B687)/SUM($B$3:$B687))/STDEVA(X677:X687),"")</f>
        <v/>
      </c>
      <c r="AD687" s="84" t="str">
        <f>IF(T687&lt;&gt;"",(Y687-SUMPRODUCT(T$3:T687,$B$3:$B687)/SUM($B$3:$B687))/STDEVA(Y677:Y687),"")</f>
        <v/>
      </c>
      <c r="AE687" s="84" t="str">
        <f>IF(U687&lt;&gt;"",(Z687-SUMPRODUCT(U$3:U687,$B$3:$B687)/SUM($B$3:$B687))/STDEVA(Z677:Z687),"")</f>
        <v/>
      </c>
      <c r="AF687" s="85" t="str">
        <f>IF(V687&lt;&gt;"",(AA687-SUMPRODUCT(V$3:V687,$B$3:$B687)/SUM($B$3:$B687))/STDEVA(AA677:AA687),"")</f>
        <v/>
      </c>
      <c r="AG687" s="90" t="str">
        <f t="shared" si="280"/>
        <v/>
      </c>
      <c r="AH687" s="90" t="str">
        <f t="shared" si="280"/>
        <v/>
      </c>
      <c r="AI687" s="90" t="str">
        <f t="shared" si="280"/>
        <v/>
      </c>
      <c r="AJ687" s="90" t="str">
        <f t="shared" si="279"/>
        <v/>
      </c>
      <c r="AK687" s="93" t="str">
        <f t="shared" si="279"/>
        <v/>
      </c>
      <c r="BQ687" s="100" t="str">
        <f>IF(A687&lt;&gt;"",(VLOOKUP(A687,MarketData!$D:$BP,MATCH($BQ$1,MarketData!$D$1:$EG$1,0),TRUE)/100/365+1)^(B687)*BQ686,"")</f>
        <v/>
      </c>
      <c r="BR687" s="98" t="str">
        <f t="shared" si="257"/>
        <v/>
      </c>
      <c r="BS687" s="106" t="str">
        <f>IF(A687&lt;&gt;"",VLOOKUP(A687,MarketData!$D:$BP,MATCH($BS$1,MarketData!$D$1:$EG$1,0),TRUE),"")</f>
        <v/>
      </c>
      <c r="BT687" s="98" t="str">
        <f t="shared" si="268"/>
        <v/>
      </c>
    </row>
    <row r="688" spans="2:72" x14ac:dyDescent="0.25">
      <c r="B688" s="60" t="str">
        <f t="shared" si="281"/>
        <v/>
      </c>
      <c r="C688" s="3" t="str">
        <f t="shared" si="258"/>
        <v/>
      </c>
      <c r="D688" s="3" t="str">
        <f t="shared" si="259"/>
        <v/>
      </c>
      <c r="E688" s="3" t="str">
        <f t="shared" si="260"/>
        <v/>
      </c>
      <c r="F688" s="3" t="str">
        <f t="shared" si="261"/>
        <v/>
      </c>
      <c r="G688" s="74" t="str">
        <f t="shared" si="262"/>
        <v/>
      </c>
      <c r="H688" s="78" t="str">
        <f>IFERROR(C688/SUM(M$2:M687),"")</f>
        <v/>
      </c>
      <c r="I688" s="61" t="str">
        <f>IFERROR(D688/SUM(N$2:N688),"")</f>
        <v/>
      </c>
      <c r="J688" s="61" t="str">
        <f>IFERROR(E688/SUM(O$2:O688),"")</f>
        <v/>
      </c>
      <c r="K688" s="61" t="str">
        <f>IFERROR(F688/SUM(P$2:P688),"")</f>
        <v/>
      </c>
      <c r="L688" s="79" t="str">
        <f>IFERROR(G688/SUM(Q$2:Q688),"")</f>
        <v/>
      </c>
      <c r="M688" s="64" t="str">
        <f t="shared" si="263"/>
        <v/>
      </c>
      <c r="N688" s="55" t="str">
        <f t="shared" si="264"/>
        <v/>
      </c>
      <c r="O688" s="55" t="str">
        <f t="shared" si="265"/>
        <v/>
      </c>
      <c r="P688" s="55" t="str">
        <f t="shared" si="266"/>
        <v/>
      </c>
      <c r="Q688" s="65" t="str">
        <f t="shared" si="267"/>
        <v/>
      </c>
      <c r="R688" s="67" t="str">
        <f t="shared" si="269"/>
        <v/>
      </c>
      <c r="S688" s="56" t="str">
        <f t="shared" si="270"/>
        <v/>
      </c>
      <c r="T688" s="56" t="str">
        <f t="shared" si="271"/>
        <v/>
      </c>
      <c r="U688" s="56" t="str">
        <f t="shared" si="272"/>
        <v/>
      </c>
      <c r="V688" s="68" t="str">
        <f t="shared" si="273"/>
        <v/>
      </c>
      <c r="W688" s="80" t="str">
        <f t="shared" si="274"/>
        <v/>
      </c>
      <c r="X688" s="81" t="str">
        <f t="shared" si="275"/>
        <v/>
      </c>
      <c r="Y688" s="81" t="str">
        <f t="shared" si="276"/>
        <v/>
      </c>
      <c r="Z688" s="81" t="str">
        <f t="shared" si="277"/>
        <v/>
      </c>
      <c r="AA688" s="82" t="str">
        <f t="shared" si="278"/>
        <v/>
      </c>
      <c r="AB688" s="83" t="str">
        <f>IF(R688&lt;&gt;"",(W688-SUMPRODUCT(R$3:R688,$B$3:$B688)/SUM($B$3:$B688))/STDEVA(W678:W688),"")</f>
        <v/>
      </c>
      <c r="AC688" s="84" t="str">
        <f>IF(S688&lt;&gt;"",(X688-SUMPRODUCT(S$3:S688,$B$3:$B688)/SUM($B$3:$B688))/STDEVA(X678:X688),"")</f>
        <v/>
      </c>
      <c r="AD688" s="84" t="str">
        <f>IF(T688&lt;&gt;"",(Y688-SUMPRODUCT(T$3:T688,$B$3:$B688)/SUM($B$3:$B688))/STDEVA(Y678:Y688),"")</f>
        <v/>
      </c>
      <c r="AE688" s="84" t="str">
        <f>IF(U688&lt;&gt;"",(Z688-SUMPRODUCT(U$3:U688,$B$3:$B688)/SUM($B$3:$B688))/STDEVA(Z678:Z688),"")</f>
        <v/>
      </c>
      <c r="AF688" s="85" t="str">
        <f>IF(V688&lt;&gt;"",(AA688-SUMPRODUCT(V$3:V688,$B$3:$B688)/SUM($B$3:$B688))/STDEVA(AA678:AA688),"")</f>
        <v/>
      </c>
      <c r="AG688" s="90" t="str">
        <f t="shared" si="280"/>
        <v/>
      </c>
      <c r="AH688" s="90" t="str">
        <f t="shared" si="280"/>
        <v/>
      </c>
      <c r="AI688" s="90" t="str">
        <f t="shared" si="280"/>
        <v/>
      </c>
      <c r="AJ688" s="90" t="str">
        <f t="shared" si="279"/>
        <v/>
      </c>
      <c r="AK688" s="93" t="str">
        <f t="shared" si="279"/>
        <v/>
      </c>
      <c r="BQ688" s="100" t="str">
        <f>IF(A688&lt;&gt;"",(VLOOKUP(A688,MarketData!$D:$BP,MATCH($BQ$1,MarketData!$D$1:$EG$1,0),TRUE)/100/365+1)^(B688)*BQ687,"")</f>
        <v/>
      </c>
      <c r="BR688" s="98" t="str">
        <f t="shared" si="257"/>
        <v/>
      </c>
      <c r="BS688" s="106" t="str">
        <f>IF(A688&lt;&gt;"",VLOOKUP(A688,MarketData!$D:$BP,MATCH($BS$1,MarketData!$D$1:$EG$1,0),TRUE),"")</f>
        <v/>
      </c>
      <c r="BT688" s="98" t="str">
        <f t="shared" si="268"/>
        <v/>
      </c>
    </row>
    <row r="689" spans="2:72" x14ac:dyDescent="0.25">
      <c r="B689" s="60" t="str">
        <f t="shared" si="281"/>
        <v/>
      </c>
      <c r="C689" s="3" t="str">
        <f t="shared" si="258"/>
        <v/>
      </c>
      <c r="D689" s="3" t="str">
        <f t="shared" si="259"/>
        <v/>
      </c>
      <c r="E689" s="3" t="str">
        <f t="shared" si="260"/>
        <v/>
      </c>
      <c r="F689" s="3" t="str">
        <f t="shared" si="261"/>
        <v/>
      </c>
      <c r="G689" s="74" t="str">
        <f t="shared" si="262"/>
        <v/>
      </c>
      <c r="H689" s="78" t="str">
        <f>IFERROR(C689/SUM(M$2:M688),"")</f>
        <v/>
      </c>
      <c r="I689" s="61" t="str">
        <f>IFERROR(D689/SUM(N$2:N689),"")</f>
        <v/>
      </c>
      <c r="J689" s="61" t="str">
        <f>IFERROR(E689/SUM(O$2:O689),"")</f>
        <v/>
      </c>
      <c r="K689" s="61" t="str">
        <f>IFERROR(F689/SUM(P$2:P689),"")</f>
        <v/>
      </c>
      <c r="L689" s="79" t="str">
        <f>IFERROR(G689/SUM(Q$2:Q689),"")</f>
        <v/>
      </c>
      <c r="M689" s="64" t="str">
        <f t="shared" si="263"/>
        <v/>
      </c>
      <c r="N689" s="55" t="str">
        <f t="shared" si="264"/>
        <v/>
      </c>
      <c r="O689" s="55" t="str">
        <f t="shared" si="265"/>
        <v/>
      </c>
      <c r="P689" s="55" t="str">
        <f t="shared" si="266"/>
        <v/>
      </c>
      <c r="Q689" s="65" t="str">
        <f t="shared" si="267"/>
        <v/>
      </c>
      <c r="R689" s="67" t="str">
        <f t="shared" si="269"/>
        <v/>
      </c>
      <c r="S689" s="56" t="str">
        <f t="shared" si="270"/>
        <v/>
      </c>
      <c r="T689" s="56" t="str">
        <f t="shared" si="271"/>
        <v/>
      </c>
      <c r="U689" s="56" t="str">
        <f t="shared" si="272"/>
        <v/>
      </c>
      <c r="V689" s="68" t="str">
        <f t="shared" si="273"/>
        <v/>
      </c>
      <c r="W689" s="80" t="str">
        <f t="shared" si="274"/>
        <v/>
      </c>
      <c r="X689" s="81" t="str">
        <f t="shared" si="275"/>
        <v/>
      </c>
      <c r="Y689" s="81" t="str">
        <f t="shared" si="276"/>
        <v/>
      </c>
      <c r="Z689" s="81" t="str">
        <f t="shared" si="277"/>
        <v/>
      </c>
      <c r="AA689" s="82" t="str">
        <f t="shared" si="278"/>
        <v/>
      </c>
      <c r="AB689" s="83" t="str">
        <f>IF(R689&lt;&gt;"",(W689-SUMPRODUCT(R$3:R689,$B$3:$B689)/SUM($B$3:$B689))/STDEVA(W679:W689),"")</f>
        <v/>
      </c>
      <c r="AC689" s="84" t="str">
        <f>IF(S689&lt;&gt;"",(X689-SUMPRODUCT(S$3:S689,$B$3:$B689)/SUM($B$3:$B689))/STDEVA(X679:X689),"")</f>
        <v/>
      </c>
      <c r="AD689" s="84" t="str">
        <f>IF(T689&lt;&gt;"",(Y689-SUMPRODUCT(T$3:T689,$B$3:$B689)/SUM($B$3:$B689))/STDEVA(Y679:Y689),"")</f>
        <v/>
      </c>
      <c r="AE689" s="84" t="str">
        <f>IF(U689&lt;&gt;"",(Z689-SUMPRODUCT(U$3:U689,$B$3:$B689)/SUM($B$3:$B689))/STDEVA(Z679:Z689),"")</f>
        <v/>
      </c>
      <c r="AF689" s="85" t="str">
        <f>IF(V689&lt;&gt;"",(AA689-SUMPRODUCT(V$3:V689,$B$3:$B689)/SUM($B$3:$B689))/STDEVA(AA679:AA689),"")</f>
        <v/>
      </c>
      <c r="AG689" s="90" t="str">
        <f t="shared" si="280"/>
        <v/>
      </c>
      <c r="AH689" s="90" t="str">
        <f t="shared" si="280"/>
        <v/>
      </c>
      <c r="AI689" s="90" t="str">
        <f t="shared" si="280"/>
        <v/>
      </c>
      <c r="AJ689" s="90" t="str">
        <f t="shared" si="279"/>
        <v/>
      </c>
      <c r="AK689" s="93" t="str">
        <f t="shared" si="279"/>
        <v/>
      </c>
      <c r="BQ689" s="100" t="str">
        <f>IF(A689&lt;&gt;"",(VLOOKUP(A689,MarketData!$D:$BP,MATCH($BQ$1,MarketData!$D$1:$EG$1,0),TRUE)/100/365+1)^(B689)*BQ688,"")</f>
        <v/>
      </c>
      <c r="BR689" s="98" t="str">
        <f t="shared" si="257"/>
        <v/>
      </c>
      <c r="BS689" s="106" t="str">
        <f>IF(A689&lt;&gt;"",VLOOKUP(A689,MarketData!$D:$BP,MATCH($BS$1,MarketData!$D$1:$EG$1,0),TRUE),"")</f>
        <v/>
      </c>
      <c r="BT689" s="98" t="str">
        <f t="shared" si="268"/>
        <v/>
      </c>
    </row>
    <row r="690" spans="2:72" x14ac:dyDescent="0.25">
      <c r="B690" s="60" t="str">
        <f t="shared" si="281"/>
        <v/>
      </c>
      <c r="C690" s="3" t="str">
        <f t="shared" si="258"/>
        <v/>
      </c>
      <c r="D690" s="3" t="str">
        <f t="shared" si="259"/>
        <v/>
      </c>
      <c r="E690" s="3" t="str">
        <f t="shared" si="260"/>
        <v/>
      </c>
      <c r="F690" s="3" t="str">
        <f t="shared" si="261"/>
        <v/>
      </c>
      <c r="G690" s="74" t="str">
        <f t="shared" si="262"/>
        <v/>
      </c>
      <c r="H690" s="78" t="str">
        <f>IFERROR(C690/SUM(M$2:M689),"")</f>
        <v/>
      </c>
      <c r="I690" s="61" t="str">
        <f>IFERROR(D690/SUM(N$2:N690),"")</f>
        <v/>
      </c>
      <c r="J690" s="61" t="str">
        <f>IFERROR(E690/SUM(O$2:O690),"")</f>
        <v/>
      </c>
      <c r="K690" s="61" t="str">
        <f>IFERROR(F690/SUM(P$2:P690),"")</f>
        <v/>
      </c>
      <c r="L690" s="79" t="str">
        <f>IFERROR(G690/SUM(Q$2:Q690),"")</f>
        <v/>
      </c>
      <c r="M690" s="64" t="str">
        <f t="shared" si="263"/>
        <v/>
      </c>
      <c r="N690" s="55" t="str">
        <f t="shared" si="264"/>
        <v/>
      </c>
      <c r="O690" s="55" t="str">
        <f t="shared" si="265"/>
        <v/>
      </c>
      <c r="P690" s="55" t="str">
        <f t="shared" si="266"/>
        <v/>
      </c>
      <c r="Q690" s="65" t="str">
        <f t="shared" si="267"/>
        <v/>
      </c>
      <c r="R690" s="67" t="str">
        <f t="shared" si="269"/>
        <v/>
      </c>
      <c r="S690" s="56" t="str">
        <f t="shared" si="270"/>
        <v/>
      </c>
      <c r="T690" s="56" t="str">
        <f t="shared" si="271"/>
        <v/>
      </c>
      <c r="U690" s="56" t="str">
        <f t="shared" si="272"/>
        <v/>
      </c>
      <c r="V690" s="68" t="str">
        <f t="shared" si="273"/>
        <v/>
      </c>
      <c r="W690" s="80" t="str">
        <f t="shared" si="274"/>
        <v/>
      </c>
      <c r="X690" s="81" t="str">
        <f t="shared" si="275"/>
        <v/>
      </c>
      <c r="Y690" s="81" t="str">
        <f t="shared" si="276"/>
        <v/>
      </c>
      <c r="Z690" s="81" t="str">
        <f t="shared" si="277"/>
        <v/>
      </c>
      <c r="AA690" s="82" t="str">
        <f t="shared" si="278"/>
        <v/>
      </c>
      <c r="AB690" s="83" t="str">
        <f>IF(R690&lt;&gt;"",(W690-SUMPRODUCT(R$3:R690,$B$3:$B690)/SUM($B$3:$B690))/STDEVA(W680:W690),"")</f>
        <v/>
      </c>
      <c r="AC690" s="84" t="str">
        <f>IF(S690&lt;&gt;"",(X690-SUMPRODUCT(S$3:S690,$B$3:$B690)/SUM($B$3:$B690))/STDEVA(X680:X690),"")</f>
        <v/>
      </c>
      <c r="AD690" s="84" t="str">
        <f>IF(T690&lt;&gt;"",(Y690-SUMPRODUCT(T$3:T690,$B$3:$B690)/SUM($B$3:$B690))/STDEVA(Y680:Y690),"")</f>
        <v/>
      </c>
      <c r="AE690" s="84" t="str">
        <f>IF(U690&lt;&gt;"",(Z690-SUMPRODUCT(U$3:U690,$B$3:$B690)/SUM($B$3:$B690))/STDEVA(Z680:Z690),"")</f>
        <v/>
      </c>
      <c r="AF690" s="85" t="str">
        <f>IF(V690&lt;&gt;"",(AA690-SUMPRODUCT(V$3:V690,$B$3:$B690)/SUM($B$3:$B690))/STDEVA(AA680:AA690),"")</f>
        <v/>
      </c>
      <c r="AG690" s="90" t="str">
        <f t="shared" si="280"/>
        <v/>
      </c>
      <c r="AH690" s="90" t="str">
        <f t="shared" si="280"/>
        <v/>
      </c>
      <c r="AI690" s="90" t="str">
        <f t="shared" si="280"/>
        <v/>
      </c>
      <c r="AJ690" s="90" t="str">
        <f t="shared" si="279"/>
        <v/>
      </c>
      <c r="AK690" s="93" t="str">
        <f t="shared" si="279"/>
        <v/>
      </c>
      <c r="BQ690" s="100" t="str">
        <f>IF(A690&lt;&gt;"",(VLOOKUP(A690,MarketData!$D:$BP,MATCH($BQ$1,MarketData!$D$1:$EG$1,0),TRUE)/100/365+1)^(B690)*BQ689,"")</f>
        <v/>
      </c>
      <c r="BR690" s="98" t="str">
        <f t="shared" si="257"/>
        <v/>
      </c>
      <c r="BS690" s="106" t="str">
        <f>IF(A690&lt;&gt;"",VLOOKUP(A690,MarketData!$D:$BP,MATCH($BS$1,MarketData!$D$1:$EG$1,0),TRUE),"")</f>
        <v/>
      </c>
      <c r="BT690" s="98" t="str">
        <f t="shared" si="268"/>
        <v/>
      </c>
    </row>
    <row r="691" spans="2:72" x14ac:dyDescent="0.25">
      <c r="B691" s="60" t="str">
        <f t="shared" si="281"/>
        <v/>
      </c>
      <c r="C691" s="3" t="str">
        <f t="shared" si="258"/>
        <v/>
      </c>
      <c r="D691" s="3" t="str">
        <f t="shared" si="259"/>
        <v/>
      </c>
      <c r="E691" s="3" t="str">
        <f t="shared" si="260"/>
        <v/>
      </c>
      <c r="F691" s="3" t="str">
        <f t="shared" si="261"/>
        <v/>
      </c>
      <c r="G691" s="74" t="str">
        <f t="shared" si="262"/>
        <v/>
      </c>
      <c r="H691" s="78" t="str">
        <f>IFERROR(C691/SUM(M$2:M690),"")</f>
        <v/>
      </c>
      <c r="I691" s="61" t="str">
        <f>IFERROR(D691/SUM(N$2:N691),"")</f>
        <v/>
      </c>
      <c r="J691" s="61" t="str">
        <f>IFERROR(E691/SUM(O$2:O691),"")</f>
        <v/>
      </c>
      <c r="K691" s="61" t="str">
        <f>IFERROR(F691/SUM(P$2:P691),"")</f>
        <v/>
      </c>
      <c r="L691" s="79" t="str">
        <f>IFERROR(G691/SUM(Q$2:Q691),"")</f>
        <v/>
      </c>
      <c r="M691" s="64" t="str">
        <f t="shared" si="263"/>
        <v/>
      </c>
      <c r="N691" s="55" t="str">
        <f t="shared" si="264"/>
        <v/>
      </c>
      <c r="O691" s="55" t="str">
        <f t="shared" si="265"/>
        <v/>
      </c>
      <c r="P691" s="55" t="str">
        <f t="shared" si="266"/>
        <v/>
      </c>
      <c r="Q691" s="65" t="str">
        <f t="shared" si="267"/>
        <v/>
      </c>
      <c r="R691" s="67" t="str">
        <f t="shared" si="269"/>
        <v/>
      </c>
      <c r="S691" s="56" t="str">
        <f t="shared" si="270"/>
        <v/>
      </c>
      <c r="T691" s="56" t="str">
        <f t="shared" si="271"/>
        <v/>
      </c>
      <c r="U691" s="56" t="str">
        <f t="shared" si="272"/>
        <v/>
      </c>
      <c r="V691" s="68" t="str">
        <f t="shared" si="273"/>
        <v/>
      </c>
      <c r="W691" s="80" t="str">
        <f t="shared" si="274"/>
        <v/>
      </c>
      <c r="X691" s="81" t="str">
        <f t="shared" si="275"/>
        <v/>
      </c>
      <c r="Y691" s="81" t="str">
        <f t="shared" si="276"/>
        <v/>
      </c>
      <c r="Z691" s="81" t="str">
        <f t="shared" si="277"/>
        <v/>
      </c>
      <c r="AA691" s="82" t="str">
        <f t="shared" si="278"/>
        <v/>
      </c>
      <c r="AB691" s="83" t="str">
        <f>IF(R691&lt;&gt;"",(W691-SUMPRODUCT(R$3:R691,$B$3:$B691)/SUM($B$3:$B691))/STDEVA(W681:W691),"")</f>
        <v/>
      </c>
      <c r="AC691" s="84" t="str">
        <f>IF(S691&lt;&gt;"",(X691-SUMPRODUCT(S$3:S691,$B$3:$B691)/SUM($B$3:$B691))/STDEVA(X681:X691),"")</f>
        <v/>
      </c>
      <c r="AD691" s="84" t="str">
        <f>IF(T691&lt;&gt;"",(Y691-SUMPRODUCT(T$3:T691,$B$3:$B691)/SUM($B$3:$B691))/STDEVA(Y681:Y691),"")</f>
        <v/>
      </c>
      <c r="AE691" s="84" t="str">
        <f>IF(U691&lt;&gt;"",(Z691-SUMPRODUCT(U$3:U691,$B$3:$B691)/SUM($B$3:$B691))/STDEVA(Z681:Z691),"")</f>
        <v/>
      </c>
      <c r="AF691" s="85" t="str">
        <f>IF(V691&lt;&gt;"",(AA691-SUMPRODUCT(V$3:V691,$B$3:$B691)/SUM($B$3:$B691))/STDEVA(AA681:AA691),"")</f>
        <v/>
      </c>
      <c r="AG691" s="90" t="str">
        <f t="shared" si="280"/>
        <v/>
      </c>
      <c r="AH691" s="90" t="str">
        <f t="shared" si="280"/>
        <v/>
      </c>
      <c r="AI691" s="90" t="str">
        <f t="shared" si="280"/>
        <v/>
      </c>
      <c r="AJ691" s="90" t="str">
        <f t="shared" si="279"/>
        <v/>
      </c>
      <c r="AK691" s="93" t="str">
        <f t="shared" si="279"/>
        <v/>
      </c>
      <c r="BQ691" s="100" t="str">
        <f>IF(A691&lt;&gt;"",(VLOOKUP(A691,MarketData!$D:$BP,MATCH($BQ$1,MarketData!$D$1:$EG$1,0),TRUE)/100/365+1)^(B691)*BQ690,"")</f>
        <v/>
      </c>
      <c r="BR691" s="98" t="str">
        <f t="shared" si="257"/>
        <v/>
      </c>
      <c r="BS691" s="106" t="str">
        <f>IF(A691&lt;&gt;"",VLOOKUP(A691,MarketData!$D:$BP,MATCH($BS$1,MarketData!$D$1:$EG$1,0),TRUE),"")</f>
        <v/>
      </c>
      <c r="BT691" s="98" t="str">
        <f t="shared" si="268"/>
        <v/>
      </c>
    </row>
    <row r="692" spans="2:72" x14ac:dyDescent="0.25">
      <c r="B692" s="60" t="str">
        <f t="shared" si="281"/>
        <v/>
      </c>
      <c r="C692" s="3" t="str">
        <f t="shared" si="258"/>
        <v/>
      </c>
      <c r="D692" s="3" t="str">
        <f t="shared" si="259"/>
        <v/>
      </c>
      <c r="E692" s="3" t="str">
        <f t="shared" si="260"/>
        <v/>
      </c>
      <c r="F692" s="3" t="str">
        <f t="shared" si="261"/>
        <v/>
      </c>
      <c r="G692" s="74" t="str">
        <f t="shared" si="262"/>
        <v/>
      </c>
      <c r="H692" s="78" t="str">
        <f>IFERROR(C692/SUM(M$2:M691),"")</f>
        <v/>
      </c>
      <c r="I692" s="61" t="str">
        <f>IFERROR(D692/SUM(N$2:N692),"")</f>
        <v/>
      </c>
      <c r="J692" s="61" t="str">
        <f>IFERROR(E692/SUM(O$2:O692),"")</f>
        <v/>
      </c>
      <c r="K692" s="61" t="str">
        <f>IFERROR(F692/SUM(P$2:P692),"")</f>
        <v/>
      </c>
      <c r="L692" s="79" t="str">
        <f>IFERROR(G692/SUM(Q$2:Q692),"")</f>
        <v/>
      </c>
      <c r="M692" s="64" t="str">
        <f t="shared" si="263"/>
        <v/>
      </c>
      <c r="N692" s="55" t="str">
        <f t="shared" si="264"/>
        <v/>
      </c>
      <c r="O692" s="55" t="str">
        <f t="shared" si="265"/>
        <v/>
      </c>
      <c r="P692" s="55" t="str">
        <f t="shared" si="266"/>
        <v/>
      </c>
      <c r="Q692" s="65" t="str">
        <f t="shared" si="267"/>
        <v/>
      </c>
      <c r="R692" s="67" t="str">
        <f t="shared" si="269"/>
        <v/>
      </c>
      <c r="S692" s="56" t="str">
        <f t="shared" si="270"/>
        <v/>
      </c>
      <c r="T692" s="56" t="str">
        <f t="shared" si="271"/>
        <v/>
      </c>
      <c r="U692" s="56" t="str">
        <f t="shared" si="272"/>
        <v/>
      </c>
      <c r="V692" s="68" t="str">
        <f t="shared" si="273"/>
        <v/>
      </c>
      <c r="W692" s="80" t="str">
        <f t="shared" si="274"/>
        <v/>
      </c>
      <c r="X692" s="81" t="str">
        <f t="shared" si="275"/>
        <v/>
      </c>
      <c r="Y692" s="81" t="str">
        <f t="shared" si="276"/>
        <v/>
      </c>
      <c r="Z692" s="81" t="str">
        <f t="shared" si="277"/>
        <v/>
      </c>
      <c r="AA692" s="82" t="str">
        <f t="shared" si="278"/>
        <v/>
      </c>
      <c r="AB692" s="83" t="str">
        <f>IF(R692&lt;&gt;"",(W692-SUMPRODUCT(R$3:R692,$B$3:$B692)/SUM($B$3:$B692))/STDEVA(W682:W692),"")</f>
        <v/>
      </c>
      <c r="AC692" s="84" t="str">
        <f>IF(S692&lt;&gt;"",(X692-SUMPRODUCT(S$3:S692,$B$3:$B692)/SUM($B$3:$B692))/STDEVA(X682:X692),"")</f>
        <v/>
      </c>
      <c r="AD692" s="84" t="str">
        <f>IF(T692&lt;&gt;"",(Y692-SUMPRODUCT(T$3:T692,$B$3:$B692)/SUM($B$3:$B692))/STDEVA(Y682:Y692),"")</f>
        <v/>
      </c>
      <c r="AE692" s="84" t="str">
        <f>IF(U692&lt;&gt;"",(Z692-SUMPRODUCT(U$3:U692,$B$3:$B692)/SUM($B$3:$B692))/STDEVA(Z682:Z692),"")</f>
        <v/>
      </c>
      <c r="AF692" s="85" t="str">
        <f>IF(V692&lt;&gt;"",(AA692-SUMPRODUCT(V$3:V692,$B$3:$B692)/SUM($B$3:$B692))/STDEVA(AA682:AA692),"")</f>
        <v/>
      </c>
      <c r="AG692" s="90" t="str">
        <f t="shared" si="280"/>
        <v/>
      </c>
      <c r="AH692" s="90" t="str">
        <f t="shared" si="280"/>
        <v/>
      </c>
      <c r="AI692" s="90" t="str">
        <f t="shared" si="280"/>
        <v/>
      </c>
      <c r="AJ692" s="90" t="str">
        <f t="shared" si="279"/>
        <v/>
      </c>
      <c r="AK692" s="93" t="str">
        <f t="shared" si="279"/>
        <v/>
      </c>
      <c r="BQ692" s="100" t="str">
        <f>IF(A692&lt;&gt;"",(VLOOKUP(A692,MarketData!$D:$BP,MATCH($BQ$1,MarketData!$D$1:$EG$1,0),TRUE)/100/365+1)^(B692)*BQ691,"")</f>
        <v/>
      </c>
      <c r="BR692" s="98" t="str">
        <f t="shared" si="257"/>
        <v/>
      </c>
      <c r="BS692" s="106" t="str">
        <f>IF(A692&lt;&gt;"",VLOOKUP(A692,MarketData!$D:$BP,MATCH($BS$1,MarketData!$D$1:$EG$1,0),TRUE),"")</f>
        <v/>
      </c>
      <c r="BT692" s="98" t="str">
        <f t="shared" si="268"/>
        <v/>
      </c>
    </row>
    <row r="693" spans="2:72" x14ac:dyDescent="0.25">
      <c r="B693" s="60" t="str">
        <f t="shared" si="281"/>
        <v/>
      </c>
      <c r="C693" s="3" t="str">
        <f t="shared" si="258"/>
        <v/>
      </c>
      <c r="D693" s="3" t="str">
        <f t="shared" si="259"/>
        <v/>
      </c>
      <c r="E693" s="3" t="str">
        <f t="shared" si="260"/>
        <v/>
      </c>
      <c r="F693" s="3" t="str">
        <f t="shared" si="261"/>
        <v/>
      </c>
      <c r="G693" s="74" t="str">
        <f t="shared" si="262"/>
        <v/>
      </c>
      <c r="H693" s="78" t="str">
        <f>IFERROR(C693/SUM(M$2:M692),"")</f>
        <v/>
      </c>
      <c r="I693" s="61" t="str">
        <f>IFERROR(D693/SUM(N$2:N693),"")</f>
        <v/>
      </c>
      <c r="J693" s="61" t="str">
        <f>IFERROR(E693/SUM(O$2:O693),"")</f>
        <v/>
      </c>
      <c r="K693" s="61" t="str">
        <f>IFERROR(F693/SUM(P$2:P693),"")</f>
        <v/>
      </c>
      <c r="L693" s="79" t="str">
        <f>IFERROR(G693/SUM(Q$2:Q693),"")</f>
        <v/>
      </c>
      <c r="M693" s="64" t="str">
        <f t="shared" si="263"/>
        <v/>
      </c>
      <c r="N693" s="55" t="str">
        <f t="shared" si="264"/>
        <v/>
      </c>
      <c r="O693" s="55" t="str">
        <f t="shared" si="265"/>
        <v/>
      </c>
      <c r="P693" s="55" t="str">
        <f t="shared" si="266"/>
        <v/>
      </c>
      <c r="Q693" s="65" t="str">
        <f t="shared" si="267"/>
        <v/>
      </c>
      <c r="R693" s="67" t="str">
        <f t="shared" si="269"/>
        <v/>
      </c>
      <c r="S693" s="56" t="str">
        <f t="shared" si="270"/>
        <v/>
      </c>
      <c r="T693" s="56" t="str">
        <f t="shared" si="271"/>
        <v/>
      </c>
      <c r="U693" s="56" t="str">
        <f t="shared" si="272"/>
        <v/>
      </c>
      <c r="V693" s="68" t="str">
        <f t="shared" si="273"/>
        <v/>
      </c>
      <c r="W693" s="80" t="str">
        <f t="shared" si="274"/>
        <v/>
      </c>
      <c r="X693" s="81" t="str">
        <f t="shared" si="275"/>
        <v/>
      </c>
      <c r="Y693" s="81" t="str">
        <f t="shared" si="276"/>
        <v/>
      </c>
      <c r="Z693" s="81" t="str">
        <f t="shared" si="277"/>
        <v/>
      </c>
      <c r="AA693" s="82" t="str">
        <f t="shared" si="278"/>
        <v/>
      </c>
      <c r="AB693" s="83" t="str">
        <f>IF(R693&lt;&gt;"",(W693-SUMPRODUCT(R$3:R693,$B$3:$B693)/SUM($B$3:$B693))/STDEVA(W683:W693),"")</f>
        <v/>
      </c>
      <c r="AC693" s="84" t="str">
        <f>IF(S693&lt;&gt;"",(X693-SUMPRODUCT(S$3:S693,$B$3:$B693)/SUM($B$3:$B693))/STDEVA(X683:X693),"")</f>
        <v/>
      </c>
      <c r="AD693" s="84" t="str">
        <f>IF(T693&lt;&gt;"",(Y693-SUMPRODUCT(T$3:T693,$B$3:$B693)/SUM($B$3:$B693))/STDEVA(Y683:Y693),"")</f>
        <v/>
      </c>
      <c r="AE693" s="84" t="str">
        <f>IF(U693&lt;&gt;"",(Z693-SUMPRODUCT(U$3:U693,$B$3:$B693)/SUM($B$3:$B693))/STDEVA(Z683:Z693),"")</f>
        <v/>
      </c>
      <c r="AF693" s="85" t="str">
        <f>IF(V693&lt;&gt;"",(AA693-SUMPRODUCT(V$3:V693,$B$3:$B693)/SUM($B$3:$B693))/STDEVA(AA683:AA693),"")</f>
        <v/>
      </c>
      <c r="AG693" s="90" t="str">
        <f t="shared" si="280"/>
        <v/>
      </c>
      <c r="AH693" s="90" t="str">
        <f t="shared" si="280"/>
        <v/>
      </c>
      <c r="AI693" s="90" t="str">
        <f t="shared" si="280"/>
        <v/>
      </c>
      <c r="AJ693" s="90" t="str">
        <f t="shared" si="279"/>
        <v/>
      </c>
      <c r="AK693" s="93" t="str">
        <f t="shared" si="279"/>
        <v/>
      </c>
      <c r="BQ693" s="100" t="str">
        <f>IF(A693&lt;&gt;"",(VLOOKUP(A693,MarketData!$D:$BP,MATCH($BQ$1,MarketData!$D$1:$EG$1,0),TRUE)/100/365+1)^(B693)*BQ692,"")</f>
        <v/>
      </c>
      <c r="BR693" s="98" t="str">
        <f t="shared" si="257"/>
        <v/>
      </c>
      <c r="BS693" s="106" t="str">
        <f>IF(A693&lt;&gt;"",VLOOKUP(A693,MarketData!$D:$BP,MATCH($BS$1,MarketData!$D$1:$EG$1,0),TRUE),"")</f>
        <v/>
      </c>
      <c r="BT693" s="98" t="str">
        <f t="shared" si="268"/>
        <v/>
      </c>
    </row>
    <row r="694" spans="2:72" x14ac:dyDescent="0.25">
      <c r="B694" s="60" t="str">
        <f t="shared" si="281"/>
        <v/>
      </c>
      <c r="C694" s="3" t="str">
        <f t="shared" si="258"/>
        <v/>
      </c>
      <c r="D694" s="3" t="str">
        <f t="shared" si="259"/>
        <v/>
      </c>
      <c r="E694" s="3" t="str">
        <f t="shared" si="260"/>
        <v/>
      </c>
      <c r="F694" s="3" t="str">
        <f t="shared" si="261"/>
        <v/>
      </c>
      <c r="G694" s="74" t="str">
        <f t="shared" si="262"/>
        <v/>
      </c>
      <c r="H694" s="78" t="str">
        <f>IFERROR(C694/SUM(M$2:M693),"")</f>
        <v/>
      </c>
      <c r="I694" s="61" t="str">
        <f>IFERROR(D694/SUM(N$2:N694),"")</f>
        <v/>
      </c>
      <c r="J694" s="61" t="str">
        <f>IFERROR(E694/SUM(O$2:O694),"")</f>
        <v/>
      </c>
      <c r="K694" s="61" t="str">
        <f>IFERROR(F694/SUM(P$2:P694),"")</f>
        <v/>
      </c>
      <c r="L694" s="79" t="str">
        <f>IFERROR(G694/SUM(Q$2:Q694),"")</f>
        <v/>
      </c>
      <c r="M694" s="64" t="str">
        <f t="shared" si="263"/>
        <v/>
      </c>
      <c r="N694" s="55" t="str">
        <f t="shared" si="264"/>
        <v/>
      </c>
      <c r="O694" s="55" t="str">
        <f t="shared" si="265"/>
        <v/>
      </c>
      <c r="P694" s="55" t="str">
        <f t="shared" si="266"/>
        <v/>
      </c>
      <c r="Q694" s="65" t="str">
        <f t="shared" si="267"/>
        <v/>
      </c>
      <c r="R694" s="67" t="str">
        <f t="shared" si="269"/>
        <v/>
      </c>
      <c r="S694" s="56" t="str">
        <f t="shared" si="270"/>
        <v/>
      </c>
      <c r="T694" s="56" t="str">
        <f t="shared" si="271"/>
        <v/>
      </c>
      <c r="U694" s="56" t="str">
        <f t="shared" si="272"/>
        <v/>
      </c>
      <c r="V694" s="68" t="str">
        <f t="shared" si="273"/>
        <v/>
      </c>
      <c r="W694" s="80" t="str">
        <f t="shared" si="274"/>
        <v/>
      </c>
      <c r="X694" s="81" t="str">
        <f t="shared" si="275"/>
        <v/>
      </c>
      <c r="Y694" s="81" t="str">
        <f t="shared" si="276"/>
        <v/>
      </c>
      <c r="Z694" s="81" t="str">
        <f t="shared" si="277"/>
        <v/>
      </c>
      <c r="AA694" s="82" t="str">
        <f t="shared" si="278"/>
        <v/>
      </c>
      <c r="AB694" s="83" t="str">
        <f>IF(R694&lt;&gt;"",(W694-SUMPRODUCT(R$3:R694,$B$3:$B694)/SUM($B$3:$B694))/STDEVA(W684:W694),"")</f>
        <v/>
      </c>
      <c r="AC694" s="84" t="str">
        <f>IF(S694&lt;&gt;"",(X694-SUMPRODUCT(S$3:S694,$B$3:$B694)/SUM($B$3:$B694))/STDEVA(X684:X694),"")</f>
        <v/>
      </c>
      <c r="AD694" s="84" t="str">
        <f>IF(T694&lt;&gt;"",(Y694-SUMPRODUCT(T$3:T694,$B$3:$B694)/SUM($B$3:$B694))/STDEVA(Y684:Y694),"")</f>
        <v/>
      </c>
      <c r="AE694" s="84" t="str">
        <f>IF(U694&lt;&gt;"",(Z694-SUMPRODUCT(U$3:U694,$B$3:$B694)/SUM($B$3:$B694))/STDEVA(Z684:Z694),"")</f>
        <v/>
      </c>
      <c r="AF694" s="85" t="str">
        <f>IF(V694&lt;&gt;"",(AA694-SUMPRODUCT(V$3:V694,$B$3:$B694)/SUM($B$3:$B694))/STDEVA(AA684:AA694),"")</f>
        <v/>
      </c>
      <c r="AG694" s="90" t="str">
        <f t="shared" si="280"/>
        <v/>
      </c>
      <c r="AH694" s="90" t="str">
        <f t="shared" si="280"/>
        <v/>
      </c>
      <c r="AI694" s="90" t="str">
        <f t="shared" si="280"/>
        <v/>
      </c>
      <c r="AJ694" s="90" t="str">
        <f t="shared" si="279"/>
        <v/>
      </c>
      <c r="AK694" s="93" t="str">
        <f t="shared" si="279"/>
        <v/>
      </c>
      <c r="BQ694" s="100" t="str">
        <f>IF(A694&lt;&gt;"",(VLOOKUP(A694,MarketData!$D:$BP,MATCH($BQ$1,MarketData!$D$1:$EG$1,0),TRUE)/100/365+1)^(B694)*BQ693,"")</f>
        <v/>
      </c>
      <c r="BR694" s="98" t="str">
        <f t="shared" si="257"/>
        <v/>
      </c>
      <c r="BS694" s="106" t="str">
        <f>IF(A694&lt;&gt;"",VLOOKUP(A694,MarketData!$D:$BP,MATCH($BS$1,MarketData!$D$1:$EG$1,0),TRUE),"")</f>
        <v/>
      </c>
      <c r="BT694" s="98" t="str">
        <f t="shared" si="268"/>
        <v/>
      </c>
    </row>
    <row r="695" spans="2:72" x14ac:dyDescent="0.25">
      <c r="B695" s="60" t="str">
        <f t="shared" si="281"/>
        <v/>
      </c>
      <c r="C695" s="3" t="str">
        <f t="shared" si="258"/>
        <v/>
      </c>
      <c r="D695" s="3" t="str">
        <f t="shared" si="259"/>
        <v/>
      </c>
      <c r="E695" s="3" t="str">
        <f t="shared" si="260"/>
        <v/>
      </c>
      <c r="F695" s="3" t="str">
        <f t="shared" si="261"/>
        <v/>
      </c>
      <c r="G695" s="74" t="str">
        <f t="shared" si="262"/>
        <v/>
      </c>
      <c r="H695" s="78" t="str">
        <f>IFERROR(C695/SUM(M$2:M694),"")</f>
        <v/>
      </c>
      <c r="I695" s="61" t="str">
        <f>IFERROR(D695/SUM(N$2:N695),"")</f>
        <v/>
      </c>
      <c r="J695" s="61" t="str">
        <f>IFERROR(E695/SUM(O$2:O695),"")</f>
        <v/>
      </c>
      <c r="K695" s="61" t="str">
        <f>IFERROR(F695/SUM(P$2:P695),"")</f>
        <v/>
      </c>
      <c r="L695" s="79" t="str">
        <f>IFERROR(G695/SUM(Q$2:Q695),"")</f>
        <v/>
      </c>
      <c r="M695" s="64" t="str">
        <f t="shared" si="263"/>
        <v/>
      </c>
      <c r="N695" s="55" t="str">
        <f t="shared" si="264"/>
        <v/>
      </c>
      <c r="O695" s="55" t="str">
        <f t="shared" si="265"/>
        <v/>
      </c>
      <c r="P695" s="55" t="str">
        <f t="shared" si="266"/>
        <v/>
      </c>
      <c r="Q695" s="65" t="str">
        <f t="shared" si="267"/>
        <v/>
      </c>
      <c r="R695" s="67" t="str">
        <f t="shared" si="269"/>
        <v/>
      </c>
      <c r="S695" s="56" t="str">
        <f t="shared" si="270"/>
        <v/>
      </c>
      <c r="T695" s="56" t="str">
        <f t="shared" si="271"/>
        <v/>
      </c>
      <c r="U695" s="56" t="str">
        <f t="shared" si="272"/>
        <v/>
      </c>
      <c r="V695" s="68" t="str">
        <f t="shared" si="273"/>
        <v/>
      </c>
      <c r="W695" s="80" t="str">
        <f t="shared" si="274"/>
        <v/>
      </c>
      <c r="X695" s="81" t="str">
        <f t="shared" si="275"/>
        <v/>
      </c>
      <c r="Y695" s="81" t="str">
        <f t="shared" si="276"/>
        <v/>
      </c>
      <c r="Z695" s="81" t="str">
        <f t="shared" si="277"/>
        <v/>
      </c>
      <c r="AA695" s="82" t="str">
        <f t="shared" si="278"/>
        <v/>
      </c>
      <c r="AB695" s="83" t="str">
        <f>IF(R695&lt;&gt;"",(W695-SUMPRODUCT(R$3:R695,$B$3:$B695)/SUM($B$3:$B695))/STDEVA(W685:W695),"")</f>
        <v/>
      </c>
      <c r="AC695" s="84" t="str">
        <f>IF(S695&lt;&gt;"",(X695-SUMPRODUCT(S$3:S695,$B$3:$B695)/SUM($B$3:$B695))/STDEVA(X685:X695),"")</f>
        <v/>
      </c>
      <c r="AD695" s="84" t="str">
        <f>IF(T695&lt;&gt;"",(Y695-SUMPRODUCT(T$3:T695,$B$3:$B695)/SUM($B$3:$B695))/STDEVA(Y685:Y695),"")</f>
        <v/>
      </c>
      <c r="AE695" s="84" t="str">
        <f>IF(U695&lt;&gt;"",(Z695-SUMPRODUCT(U$3:U695,$B$3:$B695)/SUM($B$3:$B695))/STDEVA(Z685:Z695),"")</f>
        <v/>
      </c>
      <c r="AF695" s="85" t="str">
        <f>IF(V695&lt;&gt;"",(AA695-SUMPRODUCT(V$3:V695,$B$3:$B695)/SUM($B$3:$B695))/STDEVA(AA685:AA695),"")</f>
        <v/>
      </c>
      <c r="AG695" s="90" t="str">
        <f t="shared" si="280"/>
        <v/>
      </c>
      <c r="AH695" s="90" t="str">
        <f t="shared" si="280"/>
        <v/>
      </c>
      <c r="AI695" s="90" t="str">
        <f t="shared" si="280"/>
        <v/>
      </c>
      <c r="AJ695" s="90" t="str">
        <f t="shared" si="279"/>
        <v/>
      </c>
      <c r="AK695" s="93" t="str">
        <f t="shared" si="279"/>
        <v/>
      </c>
      <c r="BQ695" s="100" t="str">
        <f>IF(A695&lt;&gt;"",(VLOOKUP(A695,MarketData!$D:$BP,MATCH($BQ$1,MarketData!$D$1:$EG$1,0),TRUE)/100/365+1)^(B695)*BQ694,"")</f>
        <v/>
      </c>
      <c r="BR695" s="98" t="str">
        <f t="shared" si="257"/>
        <v/>
      </c>
      <c r="BS695" s="106" t="str">
        <f>IF(A695&lt;&gt;"",VLOOKUP(A695,MarketData!$D:$BP,MATCH($BS$1,MarketData!$D$1:$EG$1,0),TRUE),"")</f>
        <v/>
      </c>
      <c r="BT695" s="98" t="str">
        <f t="shared" si="268"/>
        <v/>
      </c>
    </row>
    <row r="696" spans="2:72" x14ac:dyDescent="0.25">
      <c r="B696" s="60" t="str">
        <f t="shared" si="281"/>
        <v/>
      </c>
      <c r="C696" s="3" t="str">
        <f t="shared" si="258"/>
        <v/>
      </c>
      <c r="D696" s="3" t="str">
        <f t="shared" si="259"/>
        <v/>
      </c>
      <c r="E696" s="3" t="str">
        <f t="shared" si="260"/>
        <v/>
      </c>
      <c r="F696" s="3" t="str">
        <f t="shared" si="261"/>
        <v/>
      </c>
      <c r="G696" s="74" t="str">
        <f t="shared" si="262"/>
        <v/>
      </c>
      <c r="H696" s="78" t="str">
        <f>IFERROR(C696/SUM(M$2:M695),"")</f>
        <v/>
      </c>
      <c r="I696" s="61" t="str">
        <f>IFERROR(D696/SUM(N$2:N696),"")</f>
        <v/>
      </c>
      <c r="J696" s="61" t="str">
        <f>IFERROR(E696/SUM(O$2:O696),"")</f>
        <v/>
      </c>
      <c r="K696" s="61" t="str">
        <f>IFERROR(F696/SUM(P$2:P696),"")</f>
        <v/>
      </c>
      <c r="L696" s="79" t="str">
        <f>IFERROR(G696/SUM(Q$2:Q696),"")</f>
        <v/>
      </c>
      <c r="M696" s="64" t="str">
        <f t="shared" si="263"/>
        <v/>
      </c>
      <c r="N696" s="55" t="str">
        <f t="shared" si="264"/>
        <v/>
      </c>
      <c r="O696" s="55" t="str">
        <f t="shared" si="265"/>
        <v/>
      </c>
      <c r="P696" s="55" t="str">
        <f t="shared" si="266"/>
        <v/>
      </c>
      <c r="Q696" s="65" t="str">
        <f t="shared" si="267"/>
        <v/>
      </c>
      <c r="R696" s="67" t="str">
        <f t="shared" si="269"/>
        <v/>
      </c>
      <c r="S696" s="56" t="str">
        <f t="shared" si="270"/>
        <v/>
      </c>
      <c r="T696" s="56" t="str">
        <f t="shared" si="271"/>
        <v/>
      </c>
      <c r="U696" s="56" t="str">
        <f t="shared" si="272"/>
        <v/>
      </c>
      <c r="V696" s="68" t="str">
        <f t="shared" si="273"/>
        <v/>
      </c>
      <c r="W696" s="80" t="str">
        <f t="shared" si="274"/>
        <v/>
      </c>
      <c r="X696" s="81" t="str">
        <f t="shared" si="275"/>
        <v/>
      </c>
      <c r="Y696" s="81" t="str">
        <f t="shared" si="276"/>
        <v/>
      </c>
      <c r="Z696" s="81" t="str">
        <f t="shared" si="277"/>
        <v/>
      </c>
      <c r="AA696" s="82" t="str">
        <f t="shared" si="278"/>
        <v/>
      </c>
      <c r="AB696" s="83" t="str">
        <f>IF(R696&lt;&gt;"",(W696-SUMPRODUCT(R$3:R696,$B$3:$B696)/SUM($B$3:$B696))/STDEVA(W686:W696),"")</f>
        <v/>
      </c>
      <c r="AC696" s="84" t="str">
        <f>IF(S696&lt;&gt;"",(X696-SUMPRODUCT(S$3:S696,$B$3:$B696)/SUM($B$3:$B696))/STDEVA(X686:X696),"")</f>
        <v/>
      </c>
      <c r="AD696" s="84" t="str">
        <f>IF(T696&lt;&gt;"",(Y696-SUMPRODUCT(T$3:T696,$B$3:$B696)/SUM($B$3:$B696))/STDEVA(Y686:Y696),"")</f>
        <v/>
      </c>
      <c r="AE696" s="84" t="str">
        <f>IF(U696&lt;&gt;"",(Z696-SUMPRODUCT(U$3:U696,$B$3:$B696)/SUM($B$3:$B696))/STDEVA(Z686:Z696),"")</f>
        <v/>
      </c>
      <c r="AF696" s="85" t="str">
        <f>IF(V696&lt;&gt;"",(AA696-SUMPRODUCT(V$3:V696,$B$3:$B696)/SUM($B$3:$B696))/STDEVA(AA686:AA696),"")</f>
        <v/>
      </c>
      <c r="AG696" s="90" t="str">
        <f t="shared" si="280"/>
        <v/>
      </c>
      <c r="AH696" s="90" t="str">
        <f t="shared" si="280"/>
        <v/>
      </c>
      <c r="AI696" s="90" t="str">
        <f t="shared" si="280"/>
        <v/>
      </c>
      <c r="AJ696" s="90" t="str">
        <f t="shared" si="279"/>
        <v/>
      </c>
      <c r="AK696" s="93" t="str">
        <f t="shared" si="279"/>
        <v/>
      </c>
      <c r="BQ696" s="100" t="str">
        <f>IF(A696&lt;&gt;"",(VLOOKUP(A696,MarketData!$D:$BP,MATCH($BQ$1,MarketData!$D$1:$EG$1,0),TRUE)/100/365+1)^(B696)*BQ695,"")</f>
        <v/>
      </c>
      <c r="BR696" s="98" t="str">
        <f t="shared" si="257"/>
        <v/>
      </c>
      <c r="BS696" s="106" t="str">
        <f>IF(A696&lt;&gt;"",VLOOKUP(A696,MarketData!$D:$BP,MATCH($BS$1,MarketData!$D$1:$EG$1,0),TRUE),"")</f>
        <v/>
      </c>
      <c r="BT696" s="98" t="str">
        <f t="shared" si="268"/>
        <v/>
      </c>
    </row>
    <row r="697" spans="2:72" x14ac:dyDescent="0.25">
      <c r="B697" s="60" t="str">
        <f t="shared" si="281"/>
        <v/>
      </c>
      <c r="C697" s="3" t="str">
        <f t="shared" si="258"/>
        <v/>
      </c>
      <c r="D697" s="3" t="str">
        <f t="shared" si="259"/>
        <v/>
      </c>
      <c r="E697" s="3" t="str">
        <f t="shared" si="260"/>
        <v/>
      </c>
      <c r="F697" s="3" t="str">
        <f t="shared" si="261"/>
        <v/>
      </c>
      <c r="G697" s="74" t="str">
        <f t="shared" si="262"/>
        <v/>
      </c>
      <c r="H697" s="78" t="str">
        <f>IFERROR(C697/SUM(M$2:M696),"")</f>
        <v/>
      </c>
      <c r="I697" s="61" t="str">
        <f>IFERROR(D697/SUM(N$2:N697),"")</f>
        <v/>
      </c>
      <c r="J697" s="61" t="str">
        <f>IFERROR(E697/SUM(O$2:O697),"")</f>
        <v/>
      </c>
      <c r="K697" s="61" t="str">
        <f>IFERROR(F697/SUM(P$2:P697),"")</f>
        <v/>
      </c>
      <c r="L697" s="79" t="str">
        <f>IFERROR(G697/SUM(Q$2:Q697),"")</f>
        <v/>
      </c>
      <c r="M697" s="64" t="str">
        <f t="shared" si="263"/>
        <v/>
      </c>
      <c r="N697" s="55" t="str">
        <f t="shared" si="264"/>
        <v/>
      </c>
      <c r="O697" s="55" t="str">
        <f t="shared" si="265"/>
        <v/>
      </c>
      <c r="P697" s="55" t="str">
        <f t="shared" si="266"/>
        <v/>
      </c>
      <c r="Q697" s="65" t="str">
        <f t="shared" si="267"/>
        <v/>
      </c>
      <c r="R697" s="67" t="str">
        <f t="shared" si="269"/>
        <v/>
      </c>
      <c r="S697" s="56" t="str">
        <f t="shared" si="270"/>
        <v/>
      </c>
      <c r="T697" s="56" t="str">
        <f t="shared" si="271"/>
        <v/>
      </c>
      <c r="U697" s="56" t="str">
        <f t="shared" si="272"/>
        <v/>
      </c>
      <c r="V697" s="68" t="str">
        <f t="shared" si="273"/>
        <v/>
      </c>
      <c r="W697" s="80" t="str">
        <f t="shared" si="274"/>
        <v/>
      </c>
      <c r="X697" s="81" t="str">
        <f t="shared" si="275"/>
        <v/>
      </c>
      <c r="Y697" s="81" t="str">
        <f t="shared" si="276"/>
        <v/>
      </c>
      <c r="Z697" s="81" t="str">
        <f t="shared" si="277"/>
        <v/>
      </c>
      <c r="AA697" s="82" t="str">
        <f t="shared" si="278"/>
        <v/>
      </c>
      <c r="AB697" s="83" t="str">
        <f>IF(R697&lt;&gt;"",(W697-SUMPRODUCT(R$3:R697,$B$3:$B697)/SUM($B$3:$B697))/STDEVA(W687:W697),"")</f>
        <v/>
      </c>
      <c r="AC697" s="84" t="str">
        <f>IF(S697&lt;&gt;"",(X697-SUMPRODUCT(S$3:S697,$B$3:$B697)/SUM($B$3:$B697))/STDEVA(X687:X697),"")</f>
        <v/>
      </c>
      <c r="AD697" s="84" t="str">
        <f>IF(T697&lt;&gt;"",(Y697-SUMPRODUCT(T$3:T697,$B$3:$B697)/SUM($B$3:$B697))/STDEVA(Y687:Y697),"")</f>
        <v/>
      </c>
      <c r="AE697" s="84" t="str">
        <f>IF(U697&lt;&gt;"",(Z697-SUMPRODUCT(U$3:U697,$B$3:$B697)/SUM($B$3:$B697))/STDEVA(Z687:Z697),"")</f>
        <v/>
      </c>
      <c r="AF697" s="85" t="str">
        <f>IF(V697&lt;&gt;"",(AA697-SUMPRODUCT(V$3:V697,$B$3:$B697)/SUM($B$3:$B697))/STDEVA(AA687:AA697),"")</f>
        <v/>
      </c>
      <c r="AG697" s="90" t="str">
        <f t="shared" si="280"/>
        <v/>
      </c>
      <c r="AH697" s="90" t="str">
        <f t="shared" si="280"/>
        <v/>
      </c>
      <c r="AI697" s="90" t="str">
        <f t="shared" si="280"/>
        <v/>
      </c>
      <c r="AJ697" s="90" t="str">
        <f t="shared" si="279"/>
        <v/>
      </c>
      <c r="AK697" s="93" t="str">
        <f t="shared" si="279"/>
        <v/>
      </c>
      <c r="BQ697" s="100" t="str">
        <f>IF(A697&lt;&gt;"",(VLOOKUP(A697,MarketData!$D:$BP,MATCH($BQ$1,MarketData!$D$1:$EG$1,0),TRUE)/100/365+1)^(B697)*BQ696,"")</f>
        <v/>
      </c>
      <c r="BR697" s="98" t="str">
        <f t="shared" si="257"/>
        <v/>
      </c>
      <c r="BS697" s="106" t="str">
        <f>IF(A697&lt;&gt;"",VLOOKUP(A697,MarketData!$D:$BP,MATCH($BS$1,MarketData!$D$1:$EG$1,0),TRUE),"")</f>
        <v/>
      </c>
      <c r="BT697" s="98" t="str">
        <f t="shared" si="268"/>
        <v/>
      </c>
    </row>
    <row r="698" spans="2:72" x14ac:dyDescent="0.25">
      <c r="B698" s="60" t="str">
        <f t="shared" si="281"/>
        <v/>
      </c>
      <c r="C698" s="3" t="str">
        <f t="shared" si="258"/>
        <v/>
      </c>
      <c r="D698" s="3" t="str">
        <f t="shared" si="259"/>
        <v/>
      </c>
      <c r="E698" s="3" t="str">
        <f t="shared" si="260"/>
        <v/>
      </c>
      <c r="F698" s="3" t="str">
        <f t="shared" si="261"/>
        <v/>
      </c>
      <c r="G698" s="74" t="str">
        <f t="shared" si="262"/>
        <v/>
      </c>
      <c r="H698" s="78" t="str">
        <f>IFERROR(C698/SUM(M$2:M697),"")</f>
        <v/>
      </c>
      <c r="I698" s="61" t="str">
        <f>IFERROR(D698/SUM(N$2:N698),"")</f>
        <v/>
      </c>
      <c r="J698" s="61" t="str">
        <f>IFERROR(E698/SUM(O$2:O698),"")</f>
        <v/>
      </c>
      <c r="K698" s="61" t="str">
        <f>IFERROR(F698/SUM(P$2:P698),"")</f>
        <v/>
      </c>
      <c r="L698" s="79" t="str">
        <f>IFERROR(G698/SUM(Q$2:Q698),"")</f>
        <v/>
      </c>
      <c r="M698" s="64" t="str">
        <f t="shared" si="263"/>
        <v/>
      </c>
      <c r="N698" s="55" t="str">
        <f t="shared" si="264"/>
        <v/>
      </c>
      <c r="O698" s="55" t="str">
        <f t="shared" si="265"/>
        <v/>
      </c>
      <c r="P698" s="55" t="str">
        <f t="shared" si="266"/>
        <v/>
      </c>
      <c r="Q698" s="65" t="str">
        <f t="shared" si="267"/>
        <v/>
      </c>
      <c r="R698" s="67" t="str">
        <f t="shared" si="269"/>
        <v/>
      </c>
      <c r="S698" s="56" t="str">
        <f t="shared" si="270"/>
        <v/>
      </c>
      <c r="T698" s="56" t="str">
        <f t="shared" si="271"/>
        <v/>
      </c>
      <c r="U698" s="56" t="str">
        <f t="shared" si="272"/>
        <v/>
      </c>
      <c r="V698" s="68" t="str">
        <f t="shared" si="273"/>
        <v/>
      </c>
      <c r="W698" s="80" t="str">
        <f t="shared" si="274"/>
        <v/>
      </c>
      <c r="X698" s="81" t="str">
        <f t="shared" si="275"/>
        <v/>
      </c>
      <c r="Y698" s="81" t="str">
        <f t="shared" si="276"/>
        <v/>
      </c>
      <c r="Z698" s="81" t="str">
        <f t="shared" si="277"/>
        <v/>
      </c>
      <c r="AA698" s="82" t="str">
        <f t="shared" si="278"/>
        <v/>
      </c>
      <c r="AB698" s="83" t="str">
        <f>IF(R698&lt;&gt;"",(W698-SUMPRODUCT(R$3:R698,$B$3:$B698)/SUM($B$3:$B698))/STDEVA(W688:W698),"")</f>
        <v/>
      </c>
      <c r="AC698" s="84" t="str">
        <f>IF(S698&lt;&gt;"",(X698-SUMPRODUCT(S$3:S698,$B$3:$B698)/SUM($B$3:$B698))/STDEVA(X688:X698),"")</f>
        <v/>
      </c>
      <c r="AD698" s="84" t="str">
        <f>IF(T698&lt;&gt;"",(Y698-SUMPRODUCT(T$3:T698,$B$3:$B698)/SUM($B$3:$B698))/STDEVA(Y688:Y698),"")</f>
        <v/>
      </c>
      <c r="AE698" s="84" t="str">
        <f>IF(U698&lt;&gt;"",(Z698-SUMPRODUCT(U$3:U698,$B$3:$B698)/SUM($B$3:$B698))/STDEVA(Z688:Z698),"")</f>
        <v/>
      </c>
      <c r="AF698" s="85" t="str">
        <f>IF(V698&lt;&gt;"",(AA698-SUMPRODUCT(V$3:V698,$B$3:$B698)/SUM($B$3:$B698))/STDEVA(AA688:AA698),"")</f>
        <v/>
      </c>
      <c r="AG698" s="90" t="str">
        <f t="shared" si="280"/>
        <v/>
      </c>
      <c r="AH698" s="90" t="str">
        <f t="shared" si="280"/>
        <v/>
      </c>
      <c r="AI698" s="90" t="str">
        <f t="shared" si="280"/>
        <v/>
      </c>
      <c r="AJ698" s="90" t="str">
        <f t="shared" si="279"/>
        <v/>
      </c>
      <c r="AK698" s="93" t="str">
        <f t="shared" si="279"/>
        <v/>
      </c>
      <c r="BQ698" s="100" t="str">
        <f>IF(A698&lt;&gt;"",(VLOOKUP(A698,MarketData!$D:$BP,MATCH($BQ$1,MarketData!$D$1:$EG$1,0),TRUE)/100/365+1)^(B698)*BQ697,"")</f>
        <v/>
      </c>
      <c r="BR698" s="98" t="str">
        <f t="shared" si="257"/>
        <v/>
      </c>
      <c r="BS698" s="106" t="str">
        <f>IF(A698&lt;&gt;"",VLOOKUP(A698,MarketData!$D:$BP,MATCH($BS$1,MarketData!$D$1:$EG$1,0),TRUE),"")</f>
        <v/>
      </c>
      <c r="BT698" s="98" t="str">
        <f t="shared" si="268"/>
        <v/>
      </c>
    </row>
    <row r="699" spans="2:72" x14ac:dyDescent="0.25">
      <c r="B699" s="60" t="str">
        <f t="shared" si="281"/>
        <v/>
      </c>
      <c r="C699" s="3" t="str">
        <f t="shared" si="258"/>
        <v/>
      </c>
      <c r="D699" s="3" t="str">
        <f t="shared" si="259"/>
        <v/>
      </c>
      <c r="E699" s="3" t="str">
        <f t="shared" si="260"/>
        <v/>
      </c>
      <c r="F699" s="3" t="str">
        <f t="shared" si="261"/>
        <v/>
      </c>
      <c r="G699" s="74" t="str">
        <f t="shared" si="262"/>
        <v/>
      </c>
      <c r="H699" s="78" t="str">
        <f>IFERROR(C699/SUM(M$2:M698),"")</f>
        <v/>
      </c>
      <c r="I699" s="61" t="str">
        <f>IFERROR(D699/SUM(N$2:N699),"")</f>
        <v/>
      </c>
      <c r="J699" s="61" t="str">
        <f>IFERROR(E699/SUM(O$2:O699),"")</f>
        <v/>
      </c>
      <c r="K699" s="61" t="str">
        <f>IFERROR(F699/SUM(P$2:P699),"")</f>
        <v/>
      </c>
      <c r="L699" s="79" t="str">
        <f>IFERROR(G699/SUM(Q$2:Q699),"")</f>
        <v/>
      </c>
      <c r="M699" s="64" t="str">
        <f t="shared" si="263"/>
        <v/>
      </c>
      <c r="N699" s="55" t="str">
        <f t="shared" si="264"/>
        <v/>
      </c>
      <c r="O699" s="55" t="str">
        <f t="shared" si="265"/>
        <v/>
      </c>
      <c r="P699" s="55" t="str">
        <f t="shared" si="266"/>
        <v/>
      </c>
      <c r="Q699" s="65" t="str">
        <f t="shared" si="267"/>
        <v/>
      </c>
      <c r="R699" s="67" t="str">
        <f t="shared" si="269"/>
        <v/>
      </c>
      <c r="S699" s="56" t="str">
        <f t="shared" si="270"/>
        <v/>
      </c>
      <c r="T699" s="56" t="str">
        <f t="shared" si="271"/>
        <v/>
      </c>
      <c r="U699" s="56" t="str">
        <f t="shared" si="272"/>
        <v/>
      </c>
      <c r="V699" s="68" t="str">
        <f t="shared" si="273"/>
        <v/>
      </c>
      <c r="W699" s="80" t="str">
        <f t="shared" si="274"/>
        <v/>
      </c>
      <c r="X699" s="81" t="str">
        <f t="shared" si="275"/>
        <v/>
      </c>
      <c r="Y699" s="81" t="str">
        <f t="shared" si="276"/>
        <v/>
      </c>
      <c r="Z699" s="81" t="str">
        <f t="shared" si="277"/>
        <v/>
      </c>
      <c r="AA699" s="82" t="str">
        <f t="shared" si="278"/>
        <v/>
      </c>
      <c r="AB699" s="83" t="str">
        <f>IF(R699&lt;&gt;"",(W699-SUMPRODUCT(R$3:R699,$B$3:$B699)/SUM($B$3:$B699))/STDEVA(W689:W699),"")</f>
        <v/>
      </c>
      <c r="AC699" s="84" t="str">
        <f>IF(S699&lt;&gt;"",(X699-SUMPRODUCT(S$3:S699,$B$3:$B699)/SUM($B$3:$B699))/STDEVA(X689:X699),"")</f>
        <v/>
      </c>
      <c r="AD699" s="84" t="str">
        <f>IF(T699&lt;&gt;"",(Y699-SUMPRODUCT(T$3:T699,$B$3:$B699)/SUM($B$3:$B699))/STDEVA(Y689:Y699),"")</f>
        <v/>
      </c>
      <c r="AE699" s="84" t="str">
        <f>IF(U699&lt;&gt;"",(Z699-SUMPRODUCT(U$3:U699,$B$3:$B699)/SUM($B$3:$B699))/STDEVA(Z689:Z699),"")</f>
        <v/>
      </c>
      <c r="AF699" s="85" t="str">
        <f>IF(V699&lt;&gt;"",(AA699-SUMPRODUCT(V$3:V699,$B$3:$B699)/SUM($B$3:$B699))/STDEVA(AA689:AA699),"")</f>
        <v/>
      </c>
      <c r="AG699" s="90" t="str">
        <f t="shared" si="280"/>
        <v/>
      </c>
      <c r="AH699" s="90" t="str">
        <f t="shared" si="280"/>
        <v/>
      </c>
      <c r="AI699" s="90" t="str">
        <f t="shared" si="280"/>
        <v/>
      </c>
      <c r="AJ699" s="90" t="str">
        <f t="shared" si="279"/>
        <v/>
      </c>
      <c r="AK699" s="93" t="str">
        <f t="shared" si="279"/>
        <v/>
      </c>
      <c r="BQ699" s="100" t="str">
        <f>IF(A699&lt;&gt;"",(VLOOKUP(A699,MarketData!$D:$BP,MATCH($BQ$1,MarketData!$D$1:$EG$1,0),TRUE)/100/365+1)^(B699)*BQ698,"")</f>
        <v/>
      </c>
      <c r="BR699" s="98" t="str">
        <f t="shared" si="257"/>
        <v/>
      </c>
      <c r="BS699" s="106" t="str">
        <f>IF(A699&lt;&gt;"",VLOOKUP(A699,MarketData!$D:$BP,MATCH($BS$1,MarketData!$D$1:$EG$1,0),TRUE),"")</f>
        <v/>
      </c>
      <c r="BT699" s="98" t="str">
        <f t="shared" si="268"/>
        <v/>
      </c>
    </row>
    <row r="700" spans="2:72" x14ac:dyDescent="0.25">
      <c r="B700" s="60" t="str">
        <f t="shared" si="281"/>
        <v/>
      </c>
      <c r="C700" s="3" t="str">
        <f t="shared" si="258"/>
        <v/>
      </c>
      <c r="D700" s="3" t="str">
        <f t="shared" si="259"/>
        <v/>
      </c>
      <c r="E700" s="3" t="str">
        <f t="shared" si="260"/>
        <v/>
      </c>
      <c r="F700" s="3" t="str">
        <f t="shared" si="261"/>
        <v/>
      </c>
      <c r="G700" s="74" t="str">
        <f t="shared" si="262"/>
        <v/>
      </c>
      <c r="H700" s="78" t="str">
        <f>IFERROR(C700/SUM(M$2:M699),"")</f>
        <v/>
      </c>
      <c r="I700" s="61" t="str">
        <f>IFERROR(D700/SUM(N$2:N700),"")</f>
        <v/>
      </c>
      <c r="J700" s="61" t="str">
        <f>IFERROR(E700/SUM(O$2:O700),"")</f>
        <v/>
      </c>
      <c r="K700" s="61" t="str">
        <f>IFERROR(F700/SUM(P$2:P700),"")</f>
        <v/>
      </c>
      <c r="L700" s="79" t="str">
        <f>IFERROR(G700/SUM(Q$2:Q700),"")</f>
        <v/>
      </c>
      <c r="M700" s="64" t="str">
        <f t="shared" si="263"/>
        <v/>
      </c>
      <c r="N700" s="55" t="str">
        <f t="shared" si="264"/>
        <v/>
      </c>
      <c r="O700" s="55" t="str">
        <f t="shared" si="265"/>
        <v/>
      </c>
      <c r="P700" s="55" t="str">
        <f t="shared" si="266"/>
        <v/>
      </c>
      <c r="Q700" s="65" t="str">
        <f t="shared" si="267"/>
        <v/>
      </c>
      <c r="R700" s="67" t="str">
        <f t="shared" si="269"/>
        <v/>
      </c>
      <c r="S700" s="56" t="str">
        <f t="shared" si="270"/>
        <v/>
      </c>
      <c r="T700" s="56" t="str">
        <f t="shared" si="271"/>
        <v/>
      </c>
      <c r="U700" s="56" t="str">
        <f t="shared" si="272"/>
        <v/>
      </c>
      <c r="V700" s="68" t="str">
        <f t="shared" si="273"/>
        <v/>
      </c>
      <c r="W700" s="80" t="str">
        <f t="shared" si="274"/>
        <v/>
      </c>
      <c r="X700" s="81" t="str">
        <f t="shared" si="275"/>
        <v/>
      </c>
      <c r="Y700" s="81" t="str">
        <f t="shared" si="276"/>
        <v/>
      </c>
      <c r="Z700" s="81" t="str">
        <f t="shared" si="277"/>
        <v/>
      </c>
      <c r="AA700" s="82" t="str">
        <f t="shared" si="278"/>
        <v/>
      </c>
      <c r="AB700" s="83" t="str">
        <f>IF(R700&lt;&gt;"",(W700-SUMPRODUCT(R$3:R700,$B$3:$B700)/SUM($B$3:$B700))/STDEVA(W690:W700),"")</f>
        <v/>
      </c>
      <c r="AC700" s="84" t="str">
        <f>IF(S700&lt;&gt;"",(X700-SUMPRODUCT(S$3:S700,$B$3:$B700)/SUM($B$3:$B700))/STDEVA(X690:X700),"")</f>
        <v/>
      </c>
      <c r="AD700" s="84" t="str">
        <f>IF(T700&lt;&gt;"",(Y700-SUMPRODUCT(T$3:T700,$B$3:$B700)/SUM($B$3:$B700))/STDEVA(Y690:Y700),"")</f>
        <v/>
      </c>
      <c r="AE700" s="84" t="str">
        <f>IF(U700&lt;&gt;"",(Z700-SUMPRODUCT(U$3:U700,$B$3:$B700)/SUM($B$3:$B700))/STDEVA(Z690:Z700),"")</f>
        <v/>
      </c>
      <c r="AF700" s="85" t="str">
        <f>IF(V700&lt;&gt;"",(AA700-SUMPRODUCT(V$3:V700,$B$3:$B700)/SUM($B$3:$B700))/STDEVA(AA690:AA700),"")</f>
        <v/>
      </c>
      <c r="AG700" s="90" t="str">
        <f t="shared" si="280"/>
        <v/>
      </c>
      <c r="AH700" s="90" t="str">
        <f t="shared" si="280"/>
        <v/>
      </c>
      <c r="AI700" s="90" t="str">
        <f t="shared" si="280"/>
        <v/>
      </c>
      <c r="AJ700" s="90" t="str">
        <f t="shared" si="279"/>
        <v/>
      </c>
      <c r="AK700" s="93" t="str">
        <f t="shared" si="279"/>
        <v/>
      </c>
      <c r="BQ700" s="100" t="str">
        <f>IF(A700&lt;&gt;"",(VLOOKUP(A700,MarketData!$D:$BP,MATCH($BQ$1,MarketData!$D$1:$EG$1,0),TRUE)/100/365+1)^(B700)*BQ699,"")</f>
        <v/>
      </c>
      <c r="BR700" s="98" t="str">
        <f t="shared" si="257"/>
        <v/>
      </c>
      <c r="BS700" s="106" t="str">
        <f>IF(A700&lt;&gt;"",VLOOKUP(A700,MarketData!$D:$BP,MATCH($BS$1,MarketData!$D$1:$EG$1,0),TRUE),"")</f>
        <v/>
      </c>
      <c r="BT700" s="98" t="str">
        <f t="shared" si="268"/>
        <v/>
      </c>
    </row>
    <row r="701" spans="2:72" x14ac:dyDescent="0.25">
      <c r="B701" s="60" t="str">
        <f t="shared" si="281"/>
        <v/>
      </c>
      <c r="C701" s="3" t="str">
        <f t="shared" si="258"/>
        <v/>
      </c>
      <c r="D701" s="3" t="str">
        <f t="shared" si="259"/>
        <v/>
      </c>
      <c r="E701" s="3" t="str">
        <f t="shared" si="260"/>
        <v/>
      </c>
      <c r="F701" s="3" t="str">
        <f t="shared" si="261"/>
        <v/>
      </c>
      <c r="G701" s="74" t="str">
        <f t="shared" si="262"/>
        <v/>
      </c>
      <c r="H701" s="78" t="str">
        <f>IFERROR(C701/SUM(M$2:M700),"")</f>
        <v/>
      </c>
      <c r="I701" s="61" t="str">
        <f>IFERROR(D701/SUM(N$2:N701),"")</f>
        <v/>
      </c>
      <c r="J701" s="61" t="str">
        <f>IFERROR(E701/SUM(O$2:O701),"")</f>
        <v/>
      </c>
      <c r="K701" s="61" t="str">
        <f>IFERROR(F701/SUM(P$2:P701),"")</f>
        <v/>
      </c>
      <c r="L701" s="79" t="str">
        <f>IFERROR(G701/SUM(Q$2:Q701),"")</f>
        <v/>
      </c>
      <c r="M701" s="64" t="str">
        <f t="shared" si="263"/>
        <v/>
      </c>
      <c r="N701" s="55" t="str">
        <f t="shared" si="264"/>
        <v/>
      </c>
      <c r="O701" s="55" t="str">
        <f t="shared" si="265"/>
        <v/>
      </c>
      <c r="P701" s="55" t="str">
        <f t="shared" si="266"/>
        <v/>
      </c>
      <c r="Q701" s="65" t="str">
        <f t="shared" si="267"/>
        <v/>
      </c>
      <c r="R701" s="67" t="str">
        <f t="shared" si="269"/>
        <v/>
      </c>
      <c r="S701" s="56" t="str">
        <f t="shared" si="270"/>
        <v/>
      </c>
      <c r="T701" s="56" t="str">
        <f t="shared" si="271"/>
        <v/>
      </c>
      <c r="U701" s="56" t="str">
        <f t="shared" si="272"/>
        <v/>
      </c>
      <c r="V701" s="68" t="str">
        <f t="shared" si="273"/>
        <v/>
      </c>
      <c r="W701" s="80" t="str">
        <f t="shared" si="274"/>
        <v/>
      </c>
      <c r="X701" s="81" t="str">
        <f t="shared" si="275"/>
        <v/>
      </c>
      <c r="Y701" s="81" t="str">
        <f t="shared" si="276"/>
        <v/>
      </c>
      <c r="Z701" s="81" t="str">
        <f t="shared" si="277"/>
        <v/>
      </c>
      <c r="AA701" s="82" t="str">
        <f t="shared" si="278"/>
        <v/>
      </c>
      <c r="AB701" s="83" t="str">
        <f>IF(R701&lt;&gt;"",(W701-SUMPRODUCT(R$3:R701,$B$3:$B701)/SUM($B$3:$B701))/STDEVA(W691:W701),"")</f>
        <v/>
      </c>
      <c r="AC701" s="84" t="str">
        <f>IF(S701&lt;&gt;"",(X701-SUMPRODUCT(S$3:S701,$B$3:$B701)/SUM($B$3:$B701))/STDEVA(X691:X701),"")</f>
        <v/>
      </c>
      <c r="AD701" s="84" t="str">
        <f>IF(T701&lt;&gt;"",(Y701-SUMPRODUCT(T$3:T701,$B$3:$B701)/SUM($B$3:$B701))/STDEVA(Y691:Y701),"")</f>
        <v/>
      </c>
      <c r="AE701" s="84" t="str">
        <f>IF(U701&lt;&gt;"",(Z701-SUMPRODUCT(U$3:U701,$B$3:$B701)/SUM($B$3:$B701))/STDEVA(Z691:Z701),"")</f>
        <v/>
      </c>
      <c r="AF701" s="85" t="str">
        <f>IF(V701&lt;&gt;"",(AA701-SUMPRODUCT(V$3:V701,$B$3:$B701)/SUM($B$3:$B701))/STDEVA(AA691:AA701),"")</f>
        <v/>
      </c>
      <c r="AG701" s="90" t="str">
        <f t="shared" si="280"/>
        <v/>
      </c>
      <c r="AH701" s="90" t="str">
        <f t="shared" si="280"/>
        <v/>
      </c>
      <c r="AI701" s="90" t="str">
        <f t="shared" si="280"/>
        <v/>
      </c>
      <c r="AJ701" s="90" t="str">
        <f t="shared" si="279"/>
        <v/>
      </c>
      <c r="AK701" s="93" t="str">
        <f t="shared" si="279"/>
        <v/>
      </c>
      <c r="BQ701" s="100" t="str">
        <f>IF(A701&lt;&gt;"",(VLOOKUP(A701,MarketData!$D:$BP,MATCH($BQ$1,MarketData!$D$1:$EG$1,0),TRUE)/100/365+1)^(B701)*BQ700,"")</f>
        <v/>
      </c>
      <c r="BR701" s="98" t="str">
        <f t="shared" si="257"/>
        <v/>
      </c>
      <c r="BS701" s="106" t="str">
        <f>IF(A701&lt;&gt;"",VLOOKUP(A701,MarketData!$D:$BP,MATCH($BS$1,MarketData!$D$1:$EG$1,0),TRUE),"")</f>
        <v/>
      </c>
      <c r="BT701" s="98" t="str">
        <f t="shared" si="268"/>
        <v/>
      </c>
    </row>
    <row r="702" spans="2:72" x14ac:dyDescent="0.25">
      <c r="B702" s="60" t="str">
        <f t="shared" si="281"/>
        <v/>
      </c>
      <c r="C702" s="3" t="str">
        <f t="shared" si="258"/>
        <v/>
      </c>
      <c r="D702" s="3" t="str">
        <f t="shared" si="259"/>
        <v/>
      </c>
      <c r="E702" s="3" t="str">
        <f t="shared" si="260"/>
        <v/>
      </c>
      <c r="F702" s="3" t="str">
        <f t="shared" si="261"/>
        <v/>
      </c>
      <c r="G702" s="74" t="str">
        <f t="shared" si="262"/>
        <v/>
      </c>
      <c r="H702" s="78" t="str">
        <f>IFERROR(C702/SUM(M$2:M701),"")</f>
        <v/>
      </c>
      <c r="I702" s="61" t="str">
        <f>IFERROR(D702/SUM(N$2:N702),"")</f>
        <v/>
      </c>
      <c r="J702" s="61" t="str">
        <f>IFERROR(E702/SUM(O$2:O702),"")</f>
        <v/>
      </c>
      <c r="K702" s="61" t="str">
        <f>IFERROR(F702/SUM(P$2:P702),"")</f>
        <v/>
      </c>
      <c r="L702" s="79" t="str">
        <f>IFERROR(G702/SUM(Q$2:Q702),"")</f>
        <v/>
      </c>
      <c r="M702" s="64" t="str">
        <f t="shared" si="263"/>
        <v/>
      </c>
      <c r="N702" s="55" t="str">
        <f t="shared" si="264"/>
        <v/>
      </c>
      <c r="O702" s="55" t="str">
        <f t="shared" si="265"/>
        <v/>
      </c>
      <c r="P702" s="55" t="str">
        <f t="shared" si="266"/>
        <v/>
      </c>
      <c r="Q702" s="65" t="str">
        <f t="shared" si="267"/>
        <v/>
      </c>
      <c r="R702" s="67" t="str">
        <f t="shared" si="269"/>
        <v/>
      </c>
      <c r="S702" s="56" t="str">
        <f t="shared" si="270"/>
        <v/>
      </c>
      <c r="T702" s="56" t="str">
        <f t="shared" si="271"/>
        <v/>
      </c>
      <c r="U702" s="56" t="str">
        <f t="shared" si="272"/>
        <v/>
      </c>
      <c r="V702" s="68" t="str">
        <f t="shared" si="273"/>
        <v/>
      </c>
      <c r="W702" s="80" t="str">
        <f t="shared" si="274"/>
        <v/>
      </c>
      <c r="X702" s="81" t="str">
        <f t="shared" si="275"/>
        <v/>
      </c>
      <c r="Y702" s="81" t="str">
        <f t="shared" si="276"/>
        <v/>
      </c>
      <c r="Z702" s="81" t="str">
        <f t="shared" si="277"/>
        <v/>
      </c>
      <c r="AA702" s="82" t="str">
        <f t="shared" si="278"/>
        <v/>
      </c>
      <c r="AB702" s="83" t="str">
        <f>IF(R702&lt;&gt;"",(W702-SUMPRODUCT(R$3:R702,$B$3:$B702)/SUM($B$3:$B702))/STDEVA(W692:W702),"")</f>
        <v/>
      </c>
      <c r="AC702" s="84" t="str">
        <f>IF(S702&lt;&gt;"",(X702-SUMPRODUCT(S$3:S702,$B$3:$B702)/SUM($B$3:$B702))/STDEVA(X692:X702),"")</f>
        <v/>
      </c>
      <c r="AD702" s="84" t="str">
        <f>IF(T702&lt;&gt;"",(Y702-SUMPRODUCT(T$3:T702,$B$3:$B702)/SUM($B$3:$B702))/STDEVA(Y692:Y702),"")</f>
        <v/>
      </c>
      <c r="AE702" s="84" t="str">
        <f>IF(U702&lt;&gt;"",(Z702-SUMPRODUCT(U$3:U702,$B$3:$B702)/SUM($B$3:$B702))/STDEVA(Z692:Z702),"")</f>
        <v/>
      </c>
      <c r="AF702" s="85" t="str">
        <f>IF(V702&lt;&gt;"",(AA702-SUMPRODUCT(V$3:V702,$B$3:$B702)/SUM($B$3:$B702))/STDEVA(AA692:AA702),"")</f>
        <v/>
      </c>
      <c r="AG702" s="90" t="str">
        <f t="shared" si="280"/>
        <v/>
      </c>
      <c r="AH702" s="90" t="str">
        <f t="shared" si="280"/>
        <v/>
      </c>
      <c r="AI702" s="90" t="str">
        <f t="shared" si="280"/>
        <v/>
      </c>
      <c r="AJ702" s="90" t="str">
        <f t="shared" si="279"/>
        <v/>
      </c>
      <c r="AK702" s="93" t="str">
        <f t="shared" si="279"/>
        <v/>
      </c>
      <c r="BQ702" s="100" t="str">
        <f>IF(A702&lt;&gt;"",(VLOOKUP(A702,MarketData!$D:$BP,MATCH($BQ$1,MarketData!$D$1:$EG$1,0),TRUE)/100/365+1)^(B702)*BQ701,"")</f>
        <v/>
      </c>
      <c r="BR702" s="98" t="str">
        <f t="shared" si="257"/>
        <v/>
      </c>
      <c r="BS702" s="106" t="str">
        <f>IF(A702&lt;&gt;"",VLOOKUP(A702,MarketData!$D:$BP,MATCH($BS$1,MarketData!$D$1:$EG$1,0),TRUE),"")</f>
        <v/>
      </c>
      <c r="BT702" s="98" t="str">
        <f t="shared" si="268"/>
        <v/>
      </c>
    </row>
    <row r="703" spans="2:72" x14ac:dyDescent="0.25">
      <c r="B703" s="60" t="str">
        <f t="shared" si="281"/>
        <v/>
      </c>
      <c r="C703" s="3" t="str">
        <f t="shared" si="258"/>
        <v/>
      </c>
      <c r="D703" s="3" t="str">
        <f t="shared" si="259"/>
        <v/>
      </c>
      <c r="E703" s="3" t="str">
        <f t="shared" si="260"/>
        <v/>
      </c>
      <c r="F703" s="3" t="str">
        <f t="shared" si="261"/>
        <v/>
      </c>
      <c r="G703" s="74" t="str">
        <f t="shared" si="262"/>
        <v/>
      </c>
      <c r="H703" s="78" t="str">
        <f>IFERROR(C703/SUM(M$2:M702),"")</f>
        <v/>
      </c>
      <c r="I703" s="61" t="str">
        <f>IFERROR(D703/SUM(N$2:N703),"")</f>
        <v/>
      </c>
      <c r="J703" s="61" t="str">
        <f>IFERROR(E703/SUM(O$2:O703),"")</f>
        <v/>
      </c>
      <c r="K703" s="61" t="str">
        <f>IFERROR(F703/SUM(P$2:P703),"")</f>
        <v/>
      </c>
      <c r="L703" s="79" t="str">
        <f>IFERROR(G703/SUM(Q$2:Q703),"")</f>
        <v/>
      </c>
      <c r="M703" s="64" t="str">
        <f t="shared" si="263"/>
        <v/>
      </c>
      <c r="N703" s="55" t="str">
        <f t="shared" si="264"/>
        <v/>
      </c>
      <c r="O703" s="55" t="str">
        <f t="shared" si="265"/>
        <v/>
      </c>
      <c r="P703" s="55" t="str">
        <f t="shared" si="266"/>
        <v/>
      </c>
      <c r="Q703" s="65" t="str">
        <f t="shared" si="267"/>
        <v/>
      </c>
      <c r="R703" s="67" t="str">
        <f t="shared" si="269"/>
        <v/>
      </c>
      <c r="S703" s="56" t="str">
        <f t="shared" si="270"/>
        <v/>
      </c>
      <c r="T703" s="56" t="str">
        <f t="shared" si="271"/>
        <v/>
      </c>
      <c r="U703" s="56" t="str">
        <f t="shared" si="272"/>
        <v/>
      </c>
      <c r="V703" s="68" t="str">
        <f t="shared" si="273"/>
        <v/>
      </c>
      <c r="W703" s="80" t="str">
        <f t="shared" si="274"/>
        <v/>
      </c>
      <c r="X703" s="81" t="str">
        <f t="shared" si="275"/>
        <v/>
      </c>
      <c r="Y703" s="81" t="str">
        <f t="shared" si="276"/>
        <v/>
      </c>
      <c r="Z703" s="81" t="str">
        <f t="shared" si="277"/>
        <v/>
      </c>
      <c r="AA703" s="82" t="str">
        <f t="shared" si="278"/>
        <v/>
      </c>
      <c r="AB703" s="83" t="str">
        <f>IF(R703&lt;&gt;"",(W703-SUMPRODUCT(R$3:R703,$B$3:$B703)/SUM($B$3:$B703))/STDEVA(W693:W703),"")</f>
        <v/>
      </c>
      <c r="AC703" s="84" t="str">
        <f>IF(S703&lt;&gt;"",(X703-SUMPRODUCT(S$3:S703,$B$3:$B703)/SUM($B$3:$B703))/STDEVA(X693:X703),"")</f>
        <v/>
      </c>
      <c r="AD703" s="84" t="str">
        <f>IF(T703&lt;&gt;"",(Y703-SUMPRODUCT(T$3:T703,$B$3:$B703)/SUM($B$3:$B703))/STDEVA(Y693:Y703),"")</f>
        <v/>
      </c>
      <c r="AE703" s="84" t="str">
        <f>IF(U703&lt;&gt;"",(Z703-SUMPRODUCT(U$3:U703,$B$3:$B703)/SUM($B$3:$B703))/STDEVA(Z693:Z703),"")</f>
        <v/>
      </c>
      <c r="AF703" s="85" t="str">
        <f>IF(V703&lt;&gt;"",(AA703-SUMPRODUCT(V$3:V703,$B$3:$B703)/SUM($B$3:$B703))/STDEVA(AA693:AA703),"")</f>
        <v/>
      </c>
      <c r="AG703" s="90" t="str">
        <f t="shared" si="280"/>
        <v/>
      </c>
      <c r="AH703" s="90" t="str">
        <f t="shared" si="280"/>
        <v/>
      </c>
      <c r="AI703" s="90" t="str">
        <f t="shared" si="280"/>
        <v/>
      </c>
      <c r="AJ703" s="90" t="str">
        <f t="shared" si="279"/>
        <v/>
      </c>
      <c r="AK703" s="93" t="str">
        <f t="shared" si="279"/>
        <v/>
      </c>
      <c r="BQ703" s="100" t="str">
        <f>IF(A703&lt;&gt;"",(VLOOKUP(A703,MarketData!$D:$BP,MATCH($BQ$1,MarketData!$D$1:$EG$1,0),TRUE)/100/365+1)^(B703)*BQ702,"")</f>
        <v/>
      </c>
      <c r="BR703" s="98" t="str">
        <f t="shared" si="257"/>
        <v/>
      </c>
      <c r="BS703" s="106" t="str">
        <f>IF(A703&lt;&gt;"",VLOOKUP(A703,MarketData!$D:$BP,MATCH($BS$1,MarketData!$D$1:$EG$1,0),TRUE),"")</f>
        <v/>
      </c>
      <c r="BT703" s="98" t="str">
        <f t="shared" si="268"/>
        <v/>
      </c>
    </row>
    <row r="704" spans="2:72" x14ac:dyDescent="0.25">
      <c r="B704" s="60" t="str">
        <f t="shared" si="281"/>
        <v/>
      </c>
      <c r="C704" s="3" t="str">
        <f t="shared" si="258"/>
        <v/>
      </c>
      <c r="D704" s="3" t="str">
        <f t="shared" si="259"/>
        <v/>
      </c>
      <c r="E704" s="3" t="str">
        <f t="shared" si="260"/>
        <v/>
      </c>
      <c r="F704" s="3" t="str">
        <f t="shared" si="261"/>
        <v/>
      </c>
      <c r="G704" s="74" t="str">
        <f t="shared" si="262"/>
        <v/>
      </c>
      <c r="H704" s="78" t="str">
        <f>IFERROR(C704/SUM(M$2:M703),"")</f>
        <v/>
      </c>
      <c r="I704" s="61" t="str">
        <f>IFERROR(D704/SUM(N$2:N704),"")</f>
        <v/>
      </c>
      <c r="J704" s="61" t="str">
        <f>IFERROR(E704/SUM(O$2:O704),"")</f>
        <v/>
      </c>
      <c r="K704" s="61" t="str">
        <f>IFERROR(F704/SUM(P$2:P704),"")</f>
        <v/>
      </c>
      <c r="L704" s="79" t="str">
        <f>IFERROR(G704/SUM(Q$2:Q704),"")</f>
        <v/>
      </c>
      <c r="M704" s="64" t="str">
        <f t="shared" si="263"/>
        <v/>
      </c>
      <c r="N704" s="55" t="str">
        <f t="shared" si="264"/>
        <v/>
      </c>
      <c r="O704" s="55" t="str">
        <f t="shared" si="265"/>
        <v/>
      </c>
      <c r="P704" s="55" t="str">
        <f t="shared" si="266"/>
        <v/>
      </c>
      <c r="Q704" s="65" t="str">
        <f t="shared" si="267"/>
        <v/>
      </c>
      <c r="R704" s="67" t="str">
        <f t="shared" si="269"/>
        <v/>
      </c>
      <c r="S704" s="56" t="str">
        <f t="shared" si="270"/>
        <v/>
      </c>
      <c r="T704" s="56" t="str">
        <f t="shared" si="271"/>
        <v/>
      </c>
      <c r="U704" s="56" t="str">
        <f t="shared" si="272"/>
        <v/>
      </c>
      <c r="V704" s="68" t="str">
        <f t="shared" si="273"/>
        <v/>
      </c>
      <c r="W704" s="80" t="str">
        <f t="shared" si="274"/>
        <v/>
      </c>
      <c r="X704" s="81" t="str">
        <f t="shared" si="275"/>
        <v/>
      </c>
      <c r="Y704" s="81" t="str">
        <f t="shared" si="276"/>
        <v/>
      </c>
      <c r="Z704" s="81" t="str">
        <f t="shared" si="277"/>
        <v/>
      </c>
      <c r="AA704" s="82" t="str">
        <f t="shared" si="278"/>
        <v/>
      </c>
      <c r="AB704" s="83" t="str">
        <f>IF(R704&lt;&gt;"",(W704-SUMPRODUCT(R$3:R704,$B$3:$B704)/SUM($B$3:$B704))/STDEVA(W694:W704),"")</f>
        <v/>
      </c>
      <c r="AC704" s="84" t="str">
        <f>IF(S704&lt;&gt;"",(X704-SUMPRODUCT(S$3:S704,$B$3:$B704)/SUM($B$3:$B704))/STDEVA(X694:X704),"")</f>
        <v/>
      </c>
      <c r="AD704" s="84" t="str">
        <f>IF(T704&lt;&gt;"",(Y704-SUMPRODUCT(T$3:T704,$B$3:$B704)/SUM($B$3:$B704))/STDEVA(Y694:Y704),"")</f>
        <v/>
      </c>
      <c r="AE704" s="84" t="str">
        <f>IF(U704&lt;&gt;"",(Z704-SUMPRODUCT(U$3:U704,$B$3:$B704)/SUM($B$3:$B704))/STDEVA(Z694:Z704),"")</f>
        <v/>
      </c>
      <c r="AF704" s="85" t="str">
        <f>IF(V704&lt;&gt;"",(AA704-SUMPRODUCT(V$3:V704,$B$3:$B704)/SUM($B$3:$B704))/STDEVA(AA694:AA704),"")</f>
        <v/>
      </c>
      <c r="AG704" s="90" t="str">
        <f t="shared" si="280"/>
        <v/>
      </c>
      <c r="AH704" s="90" t="str">
        <f t="shared" si="280"/>
        <v/>
      </c>
      <c r="AI704" s="90" t="str">
        <f t="shared" si="280"/>
        <v/>
      </c>
      <c r="AJ704" s="90" t="str">
        <f t="shared" si="279"/>
        <v/>
      </c>
      <c r="AK704" s="93" t="str">
        <f t="shared" si="279"/>
        <v/>
      </c>
      <c r="BQ704" s="100" t="str">
        <f>IF(A704&lt;&gt;"",(VLOOKUP(A704,MarketData!$D:$BP,MATCH($BQ$1,MarketData!$D$1:$EG$1,0),TRUE)/100/365+1)^(B704)*BQ703,"")</f>
        <v/>
      </c>
      <c r="BR704" s="98" t="str">
        <f t="shared" si="257"/>
        <v/>
      </c>
      <c r="BS704" s="106" t="str">
        <f>IF(A704&lt;&gt;"",VLOOKUP(A704,MarketData!$D:$BP,MATCH($BS$1,MarketData!$D$1:$EG$1,0),TRUE),"")</f>
        <v/>
      </c>
      <c r="BT704" s="98" t="str">
        <f t="shared" si="268"/>
        <v/>
      </c>
    </row>
    <row r="705" spans="2:72" x14ac:dyDescent="0.25">
      <c r="B705" s="60" t="str">
        <f t="shared" si="281"/>
        <v/>
      </c>
      <c r="C705" s="3" t="str">
        <f t="shared" si="258"/>
        <v/>
      </c>
      <c r="D705" s="3" t="str">
        <f t="shared" si="259"/>
        <v/>
      </c>
      <c r="E705" s="3" t="str">
        <f t="shared" si="260"/>
        <v/>
      </c>
      <c r="F705" s="3" t="str">
        <f t="shared" si="261"/>
        <v/>
      </c>
      <c r="G705" s="74" t="str">
        <f t="shared" si="262"/>
        <v/>
      </c>
      <c r="H705" s="78" t="str">
        <f>IFERROR(C705/SUM(M$2:M704),"")</f>
        <v/>
      </c>
      <c r="I705" s="61" t="str">
        <f>IFERROR(D705/SUM(N$2:N705),"")</f>
        <v/>
      </c>
      <c r="J705" s="61" t="str">
        <f>IFERROR(E705/SUM(O$2:O705),"")</f>
        <v/>
      </c>
      <c r="K705" s="61" t="str">
        <f>IFERROR(F705/SUM(P$2:P705),"")</f>
        <v/>
      </c>
      <c r="L705" s="79" t="str">
        <f>IFERROR(G705/SUM(Q$2:Q705),"")</f>
        <v/>
      </c>
      <c r="M705" s="64" t="str">
        <f t="shared" si="263"/>
        <v/>
      </c>
      <c r="N705" s="55" t="str">
        <f t="shared" si="264"/>
        <v/>
      </c>
      <c r="O705" s="55" t="str">
        <f t="shared" si="265"/>
        <v/>
      </c>
      <c r="P705" s="55" t="str">
        <f t="shared" si="266"/>
        <v/>
      </c>
      <c r="Q705" s="65" t="str">
        <f t="shared" si="267"/>
        <v/>
      </c>
      <c r="R705" s="67" t="str">
        <f t="shared" si="269"/>
        <v/>
      </c>
      <c r="S705" s="56" t="str">
        <f t="shared" si="270"/>
        <v/>
      </c>
      <c r="T705" s="56" t="str">
        <f t="shared" si="271"/>
        <v/>
      </c>
      <c r="U705" s="56" t="str">
        <f t="shared" si="272"/>
        <v/>
      </c>
      <c r="V705" s="68" t="str">
        <f t="shared" si="273"/>
        <v/>
      </c>
      <c r="W705" s="80" t="str">
        <f t="shared" si="274"/>
        <v/>
      </c>
      <c r="X705" s="81" t="str">
        <f t="shared" si="275"/>
        <v/>
      </c>
      <c r="Y705" s="81" t="str">
        <f t="shared" si="276"/>
        <v/>
      </c>
      <c r="Z705" s="81" t="str">
        <f t="shared" si="277"/>
        <v/>
      </c>
      <c r="AA705" s="82" t="str">
        <f t="shared" si="278"/>
        <v/>
      </c>
      <c r="AB705" s="83" t="str">
        <f>IF(R705&lt;&gt;"",(W705-SUMPRODUCT(R$3:R705,$B$3:$B705)/SUM($B$3:$B705))/STDEVA(W695:W705),"")</f>
        <v/>
      </c>
      <c r="AC705" s="84" t="str">
        <f>IF(S705&lt;&gt;"",(X705-SUMPRODUCT(S$3:S705,$B$3:$B705)/SUM($B$3:$B705))/STDEVA(X695:X705),"")</f>
        <v/>
      </c>
      <c r="AD705" s="84" t="str">
        <f>IF(T705&lt;&gt;"",(Y705-SUMPRODUCT(T$3:T705,$B$3:$B705)/SUM($B$3:$B705))/STDEVA(Y695:Y705),"")</f>
        <v/>
      </c>
      <c r="AE705" s="84" t="str">
        <f>IF(U705&lt;&gt;"",(Z705-SUMPRODUCT(U$3:U705,$B$3:$B705)/SUM($B$3:$B705))/STDEVA(Z695:Z705),"")</f>
        <v/>
      </c>
      <c r="AF705" s="85" t="str">
        <f>IF(V705&lt;&gt;"",(AA705-SUMPRODUCT(V$3:V705,$B$3:$B705)/SUM($B$3:$B705))/STDEVA(AA695:AA705),"")</f>
        <v/>
      </c>
      <c r="AG705" s="90" t="str">
        <f t="shared" si="280"/>
        <v/>
      </c>
      <c r="AH705" s="90" t="str">
        <f t="shared" si="280"/>
        <v/>
      </c>
      <c r="AI705" s="90" t="str">
        <f t="shared" si="280"/>
        <v/>
      </c>
      <c r="AJ705" s="90" t="str">
        <f t="shared" si="279"/>
        <v/>
      </c>
      <c r="AK705" s="93" t="str">
        <f t="shared" si="279"/>
        <v/>
      </c>
      <c r="BQ705" s="100" t="str">
        <f>IF(A705&lt;&gt;"",(VLOOKUP(A705,MarketData!$D:$BP,MATCH($BQ$1,MarketData!$D$1:$EG$1,0),TRUE)/100/365+1)^(B705)*BQ704,"")</f>
        <v/>
      </c>
      <c r="BR705" s="98" t="str">
        <f t="shared" si="257"/>
        <v/>
      </c>
      <c r="BS705" s="106" t="str">
        <f>IF(A705&lt;&gt;"",VLOOKUP(A705,MarketData!$D:$BP,MATCH($BS$1,MarketData!$D$1:$EG$1,0),TRUE),"")</f>
        <v/>
      </c>
      <c r="BT705" s="98" t="str">
        <f t="shared" si="268"/>
        <v/>
      </c>
    </row>
    <row r="706" spans="2:72" x14ac:dyDescent="0.25">
      <c r="B706" s="60" t="str">
        <f t="shared" si="281"/>
        <v/>
      </c>
      <c r="C706" s="3" t="str">
        <f t="shared" si="258"/>
        <v/>
      </c>
      <c r="D706" s="3" t="str">
        <f t="shared" si="259"/>
        <v/>
      </c>
      <c r="E706" s="3" t="str">
        <f t="shared" si="260"/>
        <v/>
      </c>
      <c r="F706" s="3" t="str">
        <f t="shared" si="261"/>
        <v/>
      </c>
      <c r="G706" s="74" t="str">
        <f t="shared" si="262"/>
        <v/>
      </c>
      <c r="H706" s="78" t="str">
        <f>IFERROR(C706/SUM(M$2:M705),"")</f>
        <v/>
      </c>
      <c r="I706" s="61" t="str">
        <f>IFERROR(D706/SUM(N$2:N706),"")</f>
        <v/>
      </c>
      <c r="J706" s="61" t="str">
        <f>IFERROR(E706/SUM(O$2:O706),"")</f>
        <v/>
      </c>
      <c r="K706" s="61" t="str">
        <f>IFERROR(F706/SUM(P$2:P706),"")</f>
        <v/>
      </c>
      <c r="L706" s="79" t="str">
        <f>IFERROR(G706/SUM(Q$2:Q706),"")</f>
        <v/>
      </c>
      <c r="M706" s="64" t="str">
        <f t="shared" si="263"/>
        <v/>
      </c>
      <c r="N706" s="55" t="str">
        <f t="shared" si="264"/>
        <v/>
      </c>
      <c r="O706" s="55" t="str">
        <f t="shared" si="265"/>
        <v/>
      </c>
      <c r="P706" s="55" t="str">
        <f t="shared" si="266"/>
        <v/>
      </c>
      <c r="Q706" s="65" t="str">
        <f t="shared" si="267"/>
        <v/>
      </c>
      <c r="R706" s="67" t="str">
        <f t="shared" si="269"/>
        <v/>
      </c>
      <c r="S706" s="56" t="str">
        <f t="shared" si="270"/>
        <v/>
      </c>
      <c r="T706" s="56" t="str">
        <f t="shared" si="271"/>
        <v/>
      </c>
      <c r="U706" s="56" t="str">
        <f t="shared" si="272"/>
        <v/>
      </c>
      <c r="V706" s="68" t="str">
        <f t="shared" si="273"/>
        <v/>
      </c>
      <c r="W706" s="80" t="str">
        <f t="shared" si="274"/>
        <v/>
      </c>
      <c r="X706" s="81" t="str">
        <f t="shared" si="275"/>
        <v/>
      </c>
      <c r="Y706" s="81" t="str">
        <f t="shared" si="276"/>
        <v/>
      </c>
      <c r="Z706" s="81" t="str">
        <f t="shared" si="277"/>
        <v/>
      </c>
      <c r="AA706" s="82" t="str">
        <f t="shared" si="278"/>
        <v/>
      </c>
      <c r="AB706" s="83" t="str">
        <f>IF(R706&lt;&gt;"",(W706-SUMPRODUCT(R$3:R706,$B$3:$B706)/SUM($B$3:$B706))/STDEVA(W696:W706),"")</f>
        <v/>
      </c>
      <c r="AC706" s="84" t="str">
        <f>IF(S706&lt;&gt;"",(X706-SUMPRODUCT(S$3:S706,$B$3:$B706)/SUM($B$3:$B706))/STDEVA(X696:X706),"")</f>
        <v/>
      </c>
      <c r="AD706" s="84" t="str">
        <f>IF(T706&lt;&gt;"",(Y706-SUMPRODUCT(T$3:T706,$B$3:$B706)/SUM($B$3:$B706))/STDEVA(Y696:Y706),"")</f>
        <v/>
      </c>
      <c r="AE706" s="84" t="str">
        <f>IF(U706&lt;&gt;"",(Z706-SUMPRODUCT(U$3:U706,$B$3:$B706)/SUM($B$3:$B706))/STDEVA(Z696:Z706),"")</f>
        <v/>
      </c>
      <c r="AF706" s="85" t="str">
        <f>IF(V706&lt;&gt;"",(AA706-SUMPRODUCT(V$3:V706,$B$3:$B706)/SUM($B$3:$B706))/STDEVA(AA696:AA706),"")</f>
        <v/>
      </c>
      <c r="AG706" s="90" t="str">
        <f t="shared" si="280"/>
        <v/>
      </c>
      <c r="AH706" s="90" t="str">
        <f t="shared" si="280"/>
        <v/>
      </c>
      <c r="AI706" s="90" t="str">
        <f t="shared" si="280"/>
        <v/>
      </c>
      <c r="AJ706" s="90" t="str">
        <f t="shared" si="279"/>
        <v/>
      </c>
      <c r="AK706" s="93" t="str">
        <f t="shared" si="279"/>
        <v/>
      </c>
      <c r="BQ706" s="100" t="str">
        <f>IF(A706&lt;&gt;"",(VLOOKUP(A706,MarketData!$D:$BP,MATCH($BQ$1,MarketData!$D$1:$EG$1,0),TRUE)/100/365+1)^(B706)*BQ705,"")</f>
        <v/>
      </c>
      <c r="BR706" s="98" t="str">
        <f t="shared" ref="BR706:BR769" si="282">IF(A706&lt;&gt;"",(BQ706-$BQ$2)/$BQ$2,"")</f>
        <v/>
      </c>
      <c r="BS706" s="106" t="str">
        <f>IF(A706&lt;&gt;"",VLOOKUP(A706,MarketData!$D:$BP,MATCH($BS$1,MarketData!$D$1:$EG$1,0),TRUE),"")</f>
        <v/>
      </c>
      <c r="BT706" s="98" t="str">
        <f t="shared" si="268"/>
        <v/>
      </c>
    </row>
    <row r="707" spans="2:72" x14ac:dyDescent="0.25">
      <c r="B707" s="60" t="str">
        <f t="shared" si="281"/>
        <v/>
      </c>
      <c r="C707" s="3" t="str">
        <f t="shared" ref="C707:C770" si="283">IF($A707&lt;&gt;0,SUMIFS(VM,Fecha,$A707,Linea,C$1)+SUMIFS(FX,Fecha,$A707,Linea,C$1)+C706,"")</f>
        <v/>
      </c>
      <c r="D707" s="3" t="str">
        <f t="shared" ref="D707:D770" si="284">IF($A707&lt;&gt;0,SUMIFS(VM,Fecha,$A707,Linea,D$1)+SUMIFS(FX,Fecha,$A707,Linea,D$1)+D706,"")</f>
        <v/>
      </c>
      <c r="E707" s="3" t="str">
        <f t="shared" ref="E707:E770" si="285">IF($A707&lt;&gt;0,SUMIFS(VM,Fecha,$A707,Linea,E$1)+SUMIFS(FX,Fecha,$A707,Linea,E$1)+E706,"")</f>
        <v/>
      </c>
      <c r="F707" s="3" t="str">
        <f t="shared" ref="F707:F770" si="286">IF($A707&lt;&gt;0,SUMIFS(VM,Fecha,$A707,Linea,F$1)+SUMIFS(FX,Fecha,$A707,Linea,F$1)+F706,"")</f>
        <v/>
      </c>
      <c r="G707" s="74" t="str">
        <f t="shared" ref="G707:G770" si="287">IF($A707&lt;&gt;0,SUMIFS(VM,Fecha,$A707,Linea,G$1)+SUMIFS(FX,Fecha,$A707,Linea,G$1)+G706,"")</f>
        <v/>
      </c>
      <c r="H707" s="78" t="str">
        <f>IFERROR(C707/SUM(M$2:M706),"")</f>
        <v/>
      </c>
      <c r="I707" s="61" t="str">
        <f>IFERROR(D707/SUM(N$2:N707),"")</f>
        <v/>
      </c>
      <c r="J707" s="61" t="str">
        <f>IFERROR(E707/SUM(O$2:O707),"")</f>
        <v/>
      </c>
      <c r="K707" s="61" t="str">
        <f>IFERROR(F707/SUM(P$2:P707),"")</f>
        <v/>
      </c>
      <c r="L707" s="79" t="str">
        <f>IFERROR(G707/SUM(Q$2:Q707),"")</f>
        <v/>
      </c>
      <c r="M707" s="64" t="str">
        <f t="shared" ref="M707:M770" si="288">IF($A707&lt;&gt;"",SUMIFS(Transferencias,Fecha,$A707,Linea,C$1),"")</f>
        <v/>
      </c>
      <c r="N707" s="55" t="str">
        <f t="shared" ref="N707:N770" si="289">IF($A707&lt;&gt;"",SUMIFS(Transferencias,Fecha,$A707,Linea,D$1),"")</f>
        <v/>
      </c>
      <c r="O707" s="55" t="str">
        <f t="shared" ref="O707:O770" si="290">IF($A707&lt;&gt;"",SUMIFS(Transferencias,Fecha,$A707,Linea,E$1),"")</f>
        <v/>
      </c>
      <c r="P707" s="55" t="str">
        <f t="shared" ref="P707:P770" si="291">IF($A707&lt;&gt;"",SUMIFS(Transferencias,Fecha,$A707,Linea,F$1),"")</f>
        <v/>
      </c>
      <c r="Q707" s="65" t="str">
        <f t="shared" ref="Q707:Q770" si="292">IF($A707&lt;&gt;"",SUMIFS(Transferencias,Fecha,$A707,Linea,G$1),"")</f>
        <v/>
      </c>
      <c r="R707" s="67" t="str">
        <f t="shared" si="269"/>
        <v/>
      </c>
      <c r="S707" s="56" t="str">
        <f t="shared" si="270"/>
        <v/>
      </c>
      <c r="T707" s="56" t="str">
        <f t="shared" si="271"/>
        <v/>
      </c>
      <c r="U707" s="56" t="str">
        <f t="shared" si="272"/>
        <v/>
      </c>
      <c r="V707" s="68" t="str">
        <f t="shared" si="273"/>
        <v/>
      </c>
      <c r="W707" s="80" t="str">
        <f t="shared" si="274"/>
        <v/>
      </c>
      <c r="X707" s="81" t="str">
        <f t="shared" si="275"/>
        <v/>
      </c>
      <c r="Y707" s="81" t="str">
        <f t="shared" si="276"/>
        <v/>
      </c>
      <c r="Z707" s="81" t="str">
        <f t="shared" si="277"/>
        <v/>
      </c>
      <c r="AA707" s="82" t="str">
        <f t="shared" si="278"/>
        <v/>
      </c>
      <c r="AB707" s="83" t="str">
        <f>IF(R707&lt;&gt;"",(W707-SUMPRODUCT(R$3:R707,$B$3:$B707)/SUM($B$3:$B707))/STDEVA(W697:W707),"")</f>
        <v/>
      </c>
      <c r="AC707" s="84" t="str">
        <f>IF(S707&lt;&gt;"",(X707-SUMPRODUCT(S$3:S707,$B$3:$B707)/SUM($B$3:$B707))/STDEVA(X697:X707),"")</f>
        <v/>
      </c>
      <c r="AD707" s="84" t="str">
        <f>IF(T707&lt;&gt;"",(Y707-SUMPRODUCT(T$3:T707,$B$3:$B707)/SUM($B$3:$B707))/STDEVA(Y697:Y707),"")</f>
        <v/>
      </c>
      <c r="AE707" s="84" t="str">
        <f>IF(U707&lt;&gt;"",(Z707-SUMPRODUCT(U$3:U707,$B$3:$B707)/SUM($B$3:$B707))/STDEVA(Z697:Z707),"")</f>
        <v/>
      </c>
      <c r="AF707" s="85" t="str">
        <f>IF(V707&lt;&gt;"",(AA707-SUMPRODUCT(V$3:V707,$B$3:$B707)/SUM($B$3:$B707))/STDEVA(AA697:AA707),"")</f>
        <v/>
      </c>
      <c r="AG707" s="90" t="str">
        <f t="shared" si="280"/>
        <v/>
      </c>
      <c r="AH707" s="90" t="str">
        <f t="shared" si="280"/>
        <v/>
      </c>
      <c r="AI707" s="90" t="str">
        <f t="shared" si="280"/>
        <v/>
      </c>
      <c r="AJ707" s="90" t="str">
        <f t="shared" si="279"/>
        <v/>
      </c>
      <c r="AK707" s="93" t="str">
        <f t="shared" si="279"/>
        <v/>
      </c>
      <c r="BQ707" s="100" t="str">
        <f>IF(A707&lt;&gt;"",(VLOOKUP(A707,MarketData!$D:$BP,MATCH($BQ$1,MarketData!$D$1:$EG$1,0),TRUE)/100/365+1)^(B707)*BQ706,"")</f>
        <v/>
      </c>
      <c r="BR707" s="98" t="str">
        <f t="shared" si="282"/>
        <v/>
      </c>
      <c r="BS707" s="106" t="str">
        <f>IF(A707&lt;&gt;"",VLOOKUP(A707,MarketData!$D:$BP,MATCH($BS$1,MarketData!$D$1:$EG$1,0),TRUE),"")</f>
        <v/>
      </c>
      <c r="BT707" s="98" t="str">
        <f t="shared" ref="BT707:BT770" si="293">IF(A707&lt;&gt;"",(BS707-$BS$2)/$BS$2,"")</f>
        <v/>
      </c>
    </row>
    <row r="708" spans="2:72" x14ac:dyDescent="0.25">
      <c r="B708" s="60" t="str">
        <f t="shared" si="281"/>
        <v/>
      </c>
      <c r="C708" s="3" t="str">
        <f t="shared" si="283"/>
        <v/>
      </c>
      <c r="D708" s="3" t="str">
        <f t="shared" si="284"/>
        <v/>
      </c>
      <c r="E708" s="3" t="str">
        <f t="shared" si="285"/>
        <v/>
      </c>
      <c r="F708" s="3" t="str">
        <f t="shared" si="286"/>
        <v/>
      </c>
      <c r="G708" s="74" t="str">
        <f t="shared" si="287"/>
        <v/>
      </c>
      <c r="H708" s="78" t="str">
        <f>IFERROR(C708/SUM(M$2:M707),"")</f>
        <v/>
      </c>
      <c r="I708" s="61" t="str">
        <f>IFERROR(D708/SUM(N$2:N708),"")</f>
        <v/>
      </c>
      <c r="J708" s="61" t="str">
        <f>IFERROR(E708/SUM(O$2:O708),"")</f>
        <v/>
      </c>
      <c r="K708" s="61" t="str">
        <f>IFERROR(F708/SUM(P$2:P708),"")</f>
        <v/>
      </c>
      <c r="L708" s="79" t="str">
        <f>IFERROR(G708/SUM(Q$2:Q708),"")</f>
        <v/>
      </c>
      <c r="M708" s="64" t="str">
        <f t="shared" si="288"/>
        <v/>
      </c>
      <c r="N708" s="55" t="str">
        <f t="shared" si="289"/>
        <v/>
      </c>
      <c r="O708" s="55" t="str">
        <f t="shared" si="290"/>
        <v/>
      </c>
      <c r="P708" s="55" t="str">
        <f t="shared" si="291"/>
        <v/>
      </c>
      <c r="Q708" s="65" t="str">
        <f t="shared" si="292"/>
        <v/>
      </c>
      <c r="R708" s="67" t="str">
        <f t="shared" ref="R708:R771" si="294">IF(C708&lt;&gt;"",LN((C708-C707)/(SUMIFS(Total,Fecha,$A707,Linea,C$1)+M707)+1)*365/($A708-$A707),"")</f>
        <v/>
      </c>
      <c r="S708" s="56" t="str">
        <f t="shared" ref="S708:S771" si="295">IF(D708&lt;&gt;"",LN((D708-D707)/(SUMIFS(Total,Fecha,$A707,Linea,D$1)+N707)+1)*365/($A708-$A707),"")</f>
        <v/>
      </c>
      <c r="T708" s="56" t="str">
        <f t="shared" ref="T708:T771" si="296">IF(E708&lt;&gt;"",LN((E708-E707)/(SUMIFS(Total,Fecha,$A707,Linea,E$1)+O707)+1)*365/($A708-$A707),"")</f>
        <v/>
      </c>
      <c r="U708" s="56" t="str">
        <f t="shared" ref="U708:U771" si="297">IF(F708&lt;&gt;"",LN((F708-F707)/(SUMIFS(Total,Fecha,$A707,Linea,F$1)+P707)+1)*365/($A708-$A707),"")</f>
        <v/>
      </c>
      <c r="V708" s="68" t="str">
        <f t="shared" ref="V708:V771" si="298">IF(G708&lt;&gt;"",LN((G708-G707)/(SUMIFS(Total,Fecha,$A707,Linea,G$1)+Q707)+1)*365/($A708-$A707),"")</f>
        <v/>
      </c>
      <c r="W708" s="80" t="str">
        <f t="shared" si="274"/>
        <v/>
      </c>
      <c r="X708" s="81" t="str">
        <f t="shared" si="275"/>
        <v/>
      </c>
      <c r="Y708" s="81" t="str">
        <f t="shared" si="276"/>
        <v/>
      </c>
      <c r="Z708" s="81" t="str">
        <f t="shared" si="277"/>
        <v/>
      </c>
      <c r="AA708" s="82" t="str">
        <f t="shared" si="278"/>
        <v/>
      </c>
      <c r="AB708" s="83" t="str">
        <f>IF(R708&lt;&gt;"",(W708-SUMPRODUCT(R$3:R708,$B$3:$B708)/SUM($B$3:$B708))/STDEVA(W698:W708),"")</f>
        <v/>
      </c>
      <c r="AC708" s="84" t="str">
        <f>IF(S708&lt;&gt;"",(X708-SUMPRODUCT(S$3:S708,$B$3:$B708)/SUM($B$3:$B708))/STDEVA(X698:X708),"")</f>
        <v/>
      </c>
      <c r="AD708" s="84" t="str">
        <f>IF(T708&lt;&gt;"",(Y708-SUMPRODUCT(T$3:T708,$B$3:$B708)/SUM($B$3:$B708))/STDEVA(Y698:Y708),"")</f>
        <v/>
      </c>
      <c r="AE708" s="84" t="str">
        <f>IF(U708&lt;&gt;"",(Z708-SUMPRODUCT(U$3:U708,$B$3:$B708)/SUM($B$3:$B708))/STDEVA(Z698:Z708),"")</f>
        <v/>
      </c>
      <c r="AF708" s="85" t="str">
        <f>IF(V708&lt;&gt;"",(AA708-SUMPRODUCT(V$3:V708,$B$3:$B708)/SUM($B$3:$B708))/STDEVA(AA698:AA708),"")</f>
        <v/>
      </c>
      <c r="AG708" s="90" t="str">
        <f t="shared" si="280"/>
        <v/>
      </c>
      <c r="AH708" s="90" t="str">
        <f t="shared" si="280"/>
        <v/>
      </c>
      <c r="AI708" s="90" t="str">
        <f t="shared" si="280"/>
        <v/>
      </c>
      <c r="AJ708" s="90" t="str">
        <f t="shared" si="279"/>
        <v/>
      </c>
      <c r="AK708" s="93" t="str">
        <f t="shared" si="279"/>
        <v/>
      </c>
      <c r="BQ708" s="100" t="str">
        <f>IF(A708&lt;&gt;"",(VLOOKUP(A708,MarketData!$D:$BP,MATCH($BQ$1,MarketData!$D$1:$EG$1,0),TRUE)/100/365+1)^(B708)*BQ707,"")</f>
        <v/>
      </c>
      <c r="BR708" s="98" t="str">
        <f t="shared" si="282"/>
        <v/>
      </c>
      <c r="BS708" s="106" t="str">
        <f>IF(A708&lt;&gt;"",VLOOKUP(A708,MarketData!$D:$BP,MATCH($BS$1,MarketData!$D$1:$EG$1,0),TRUE),"")</f>
        <v/>
      </c>
      <c r="BT708" s="98" t="str">
        <f t="shared" si="293"/>
        <v/>
      </c>
    </row>
    <row r="709" spans="2:72" x14ac:dyDescent="0.25">
      <c r="B709" s="60" t="str">
        <f t="shared" si="281"/>
        <v/>
      </c>
      <c r="C709" s="3" t="str">
        <f t="shared" si="283"/>
        <v/>
      </c>
      <c r="D709" s="3" t="str">
        <f t="shared" si="284"/>
        <v/>
      </c>
      <c r="E709" s="3" t="str">
        <f t="shared" si="285"/>
        <v/>
      </c>
      <c r="F709" s="3" t="str">
        <f t="shared" si="286"/>
        <v/>
      </c>
      <c r="G709" s="74" t="str">
        <f t="shared" si="287"/>
        <v/>
      </c>
      <c r="H709" s="78" t="str">
        <f>IFERROR(C709/SUM(M$2:M708),"")</f>
        <v/>
      </c>
      <c r="I709" s="61" t="str">
        <f>IFERROR(D709/SUM(N$2:N709),"")</f>
        <v/>
      </c>
      <c r="J709" s="61" t="str">
        <f>IFERROR(E709/SUM(O$2:O709),"")</f>
        <v/>
      </c>
      <c r="K709" s="61" t="str">
        <f>IFERROR(F709/SUM(P$2:P709),"")</f>
        <v/>
      </c>
      <c r="L709" s="79" t="str">
        <f>IFERROR(G709/SUM(Q$2:Q709),"")</f>
        <v/>
      </c>
      <c r="M709" s="64" t="str">
        <f t="shared" si="288"/>
        <v/>
      </c>
      <c r="N709" s="55" t="str">
        <f t="shared" si="289"/>
        <v/>
      </c>
      <c r="O709" s="55" t="str">
        <f t="shared" si="290"/>
        <v/>
      </c>
      <c r="P709" s="55" t="str">
        <f t="shared" si="291"/>
        <v/>
      </c>
      <c r="Q709" s="65" t="str">
        <f t="shared" si="292"/>
        <v/>
      </c>
      <c r="R709" s="67" t="str">
        <f t="shared" si="294"/>
        <v/>
      </c>
      <c r="S709" s="56" t="str">
        <f t="shared" si="295"/>
        <v/>
      </c>
      <c r="T709" s="56" t="str">
        <f t="shared" si="296"/>
        <v/>
      </c>
      <c r="U709" s="56" t="str">
        <f t="shared" si="297"/>
        <v/>
      </c>
      <c r="V709" s="68" t="str">
        <f t="shared" si="298"/>
        <v/>
      </c>
      <c r="W709" s="80" t="str">
        <f t="shared" si="274"/>
        <v/>
      </c>
      <c r="X709" s="81" t="str">
        <f t="shared" si="275"/>
        <v/>
      </c>
      <c r="Y709" s="81" t="str">
        <f t="shared" si="276"/>
        <v/>
      </c>
      <c r="Z709" s="81" t="str">
        <f t="shared" si="277"/>
        <v/>
      </c>
      <c r="AA709" s="82" t="str">
        <f t="shared" si="278"/>
        <v/>
      </c>
      <c r="AB709" s="83" t="str">
        <f>IF(R709&lt;&gt;"",(W709-SUMPRODUCT(R$3:R709,$B$3:$B709)/SUM($B$3:$B709))/STDEVA(W699:W709),"")</f>
        <v/>
      </c>
      <c r="AC709" s="84" t="str">
        <f>IF(S709&lt;&gt;"",(X709-SUMPRODUCT(S$3:S709,$B$3:$B709)/SUM($B$3:$B709))/STDEVA(X699:X709),"")</f>
        <v/>
      </c>
      <c r="AD709" s="84" t="str">
        <f>IF(T709&lt;&gt;"",(Y709-SUMPRODUCT(T$3:T709,$B$3:$B709)/SUM($B$3:$B709))/STDEVA(Y699:Y709),"")</f>
        <v/>
      </c>
      <c r="AE709" s="84" t="str">
        <f>IF(U709&lt;&gt;"",(Z709-SUMPRODUCT(U$3:U709,$B$3:$B709)/SUM($B$3:$B709))/STDEVA(Z699:Z709),"")</f>
        <v/>
      </c>
      <c r="AF709" s="85" t="str">
        <f>IF(V709&lt;&gt;"",(AA709-SUMPRODUCT(V$3:V709,$B$3:$B709)/SUM($B$3:$B709))/STDEVA(AA699:AA709),"")</f>
        <v/>
      </c>
      <c r="AG709" s="90" t="str">
        <f t="shared" si="280"/>
        <v/>
      </c>
      <c r="AH709" s="90" t="str">
        <f t="shared" si="280"/>
        <v/>
      </c>
      <c r="AI709" s="90" t="str">
        <f t="shared" si="280"/>
        <v/>
      </c>
      <c r="AJ709" s="90" t="str">
        <f t="shared" si="279"/>
        <v/>
      </c>
      <c r="AK709" s="93" t="str">
        <f t="shared" si="279"/>
        <v/>
      </c>
      <c r="BQ709" s="100" t="str">
        <f>IF(A709&lt;&gt;"",(VLOOKUP(A709,MarketData!$D:$BP,MATCH($BQ$1,MarketData!$D$1:$EG$1,0),TRUE)/100/365+1)^(B709)*BQ708,"")</f>
        <v/>
      </c>
      <c r="BR709" s="98" t="str">
        <f t="shared" si="282"/>
        <v/>
      </c>
      <c r="BS709" s="106" t="str">
        <f>IF(A709&lt;&gt;"",VLOOKUP(A709,MarketData!$D:$BP,MATCH($BS$1,MarketData!$D$1:$EG$1,0),TRUE),"")</f>
        <v/>
      </c>
      <c r="BT709" s="98" t="str">
        <f t="shared" si="293"/>
        <v/>
      </c>
    </row>
    <row r="710" spans="2:72" x14ac:dyDescent="0.25">
      <c r="B710" s="60" t="str">
        <f t="shared" si="281"/>
        <v/>
      </c>
      <c r="C710" s="3" t="str">
        <f t="shared" si="283"/>
        <v/>
      </c>
      <c r="D710" s="3" t="str">
        <f t="shared" si="284"/>
        <v/>
      </c>
      <c r="E710" s="3" t="str">
        <f t="shared" si="285"/>
        <v/>
      </c>
      <c r="F710" s="3" t="str">
        <f t="shared" si="286"/>
        <v/>
      </c>
      <c r="G710" s="74" t="str">
        <f t="shared" si="287"/>
        <v/>
      </c>
      <c r="H710" s="78" t="str">
        <f>IFERROR(C710/SUM(M$2:M709),"")</f>
        <v/>
      </c>
      <c r="I710" s="61" t="str">
        <f>IFERROR(D710/SUM(N$2:N710),"")</f>
        <v/>
      </c>
      <c r="J710" s="61" t="str">
        <f>IFERROR(E710/SUM(O$2:O710),"")</f>
        <v/>
      </c>
      <c r="K710" s="61" t="str">
        <f>IFERROR(F710/SUM(P$2:P710),"")</f>
        <v/>
      </c>
      <c r="L710" s="79" t="str">
        <f>IFERROR(G710/SUM(Q$2:Q710),"")</f>
        <v/>
      </c>
      <c r="M710" s="64" t="str">
        <f t="shared" si="288"/>
        <v/>
      </c>
      <c r="N710" s="55" t="str">
        <f t="shared" si="289"/>
        <v/>
      </c>
      <c r="O710" s="55" t="str">
        <f t="shared" si="290"/>
        <v/>
      </c>
      <c r="P710" s="55" t="str">
        <f t="shared" si="291"/>
        <v/>
      </c>
      <c r="Q710" s="65" t="str">
        <f t="shared" si="292"/>
        <v/>
      </c>
      <c r="R710" s="67" t="str">
        <f t="shared" si="294"/>
        <v/>
      </c>
      <c r="S710" s="56" t="str">
        <f t="shared" si="295"/>
        <v/>
      </c>
      <c r="T710" s="56" t="str">
        <f t="shared" si="296"/>
        <v/>
      </c>
      <c r="U710" s="56" t="str">
        <f t="shared" si="297"/>
        <v/>
      </c>
      <c r="V710" s="68" t="str">
        <f t="shared" si="298"/>
        <v/>
      </c>
      <c r="W710" s="80" t="str">
        <f t="shared" si="274"/>
        <v/>
      </c>
      <c r="X710" s="81" t="str">
        <f t="shared" si="275"/>
        <v/>
      </c>
      <c r="Y710" s="81" t="str">
        <f t="shared" si="276"/>
        <v/>
      </c>
      <c r="Z710" s="81" t="str">
        <f t="shared" si="277"/>
        <v/>
      </c>
      <c r="AA710" s="82" t="str">
        <f t="shared" si="278"/>
        <v/>
      </c>
      <c r="AB710" s="83" t="str">
        <f>IF(R710&lt;&gt;"",(W710-SUMPRODUCT(R$3:R710,$B$3:$B710)/SUM($B$3:$B710))/STDEVA(W700:W710),"")</f>
        <v/>
      </c>
      <c r="AC710" s="84" t="str">
        <f>IF(S710&lt;&gt;"",(X710-SUMPRODUCT(S$3:S710,$B$3:$B710)/SUM($B$3:$B710))/STDEVA(X700:X710),"")</f>
        <v/>
      </c>
      <c r="AD710" s="84" t="str">
        <f>IF(T710&lt;&gt;"",(Y710-SUMPRODUCT(T$3:T710,$B$3:$B710)/SUM($B$3:$B710))/STDEVA(Y700:Y710),"")</f>
        <v/>
      </c>
      <c r="AE710" s="84" t="str">
        <f>IF(U710&lt;&gt;"",(Z710-SUMPRODUCT(U$3:U710,$B$3:$B710)/SUM($B$3:$B710))/STDEVA(Z700:Z710),"")</f>
        <v/>
      </c>
      <c r="AF710" s="85" t="str">
        <f>IF(V710&lt;&gt;"",(AA710-SUMPRODUCT(V$3:V710,$B$3:$B710)/SUM($B$3:$B710))/STDEVA(AA700:AA710),"")</f>
        <v/>
      </c>
      <c r="AG710" s="90" t="str">
        <f t="shared" si="280"/>
        <v/>
      </c>
      <c r="AH710" s="90" t="str">
        <f t="shared" si="280"/>
        <v/>
      </c>
      <c r="AI710" s="90" t="str">
        <f t="shared" si="280"/>
        <v/>
      </c>
      <c r="AJ710" s="90" t="str">
        <f t="shared" si="279"/>
        <v/>
      </c>
      <c r="AK710" s="93" t="str">
        <f t="shared" si="279"/>
        <v/>
      </c>
      <c r="BQ710" s="100" t="str">
        <f>IF(A710&lt;&gt;"",(VLOOKUP(A710,MarketData!$D:$BP,MATCH($BQ$1,MarketData!$D$1:$EG$1,0),TRUE)/100/365+1)^(B710)*BQ709,"")</f>
        <v/>
      </c>
      <c r="BR710" s="98" t="str">
        <f t="shared" si="282"/>
        <v/>
      </c>
      <c r="BS710" s="106" t="str">
        <f>IF(A710&lt;&gt;"",VLOOKUP(A710,MarketData!$D:$BP,MATCH($BS$1,MarketData!$D$1:$EG$1,0),TRUE),"")</f>
        <v/>
      </c>
      <c r="BT710" s="98" t="str">
        <f t="shared" si="293"/>
        <v/>
      </c>
    </row>
    <row r="711" spans="2:72" x14ac:dyDescent="0.25">
      <c r="B711" s="60" t="str">
        <f t="shared" si="281"/>
        <v/>
      </c>
      <c r="C711" s="3" t="str">
        <f t="shared" si="283"/>
        <v/>
      </c>
      <c r="D711" s="3" t="str">
        <f t="shared" si="284"/>
        <v/>
      </c>
      <c r="E711" s="3" t="str">
        <f t="shared" si="285"/>
        <v/>
      </c>
      <c r="F711" s="3" t="str">
        <f t="shared" si="286"/>
        <v/>
      </c>
      <c r="G711" s="74" t="str">
        <f t="shared" si="287"/>
        <v/>
      </c>
      <c r="H711" s="78" t="str">
        <f>IFERROR(C711/SUM(M$2:M710),"")</f>
        <v/>
      </c>
      <c r="I711" s="61" t="str">
        <f>IFERROR(D711/SUM(N$2:N711),"")</f>
        <v/>
      </c>
      <c r="J711" s="61" t="str">
        <f>IFERROR(E711/SUM(O$2:O711),"")</f>
        <v/>
      </c>
      <c r="K711" s="61" t="str">
        <f>IFERROR(F711/SUM(P$2:P711),"")</f>
        <v/>
      </c>
      <c r="L711" s="79" t="str">
        <f>IFERROR(G711/SUM(Q$2:Q711),"")</f>
        <v/>
      </c>
      <c r="M711" s="64" t="str">
        <f t="shared" si="288"/>
        <v/>
      </c>
      <c r="N711" s="55" t="str">
        <f t="shared" si="289"/>
        <v/>
      </c>
      <c r="O711" s="55" t="str">
        <f t="shared" si="290"/>
        <v/>
      </c>
      <c r="P711" s="55" t="str">
        <f t="shared" si="291"/>
        <v/>
      </c>
      <c r="Q711" s="65" t="str">
        <f t="shared" si="292"/>
        <v/>
      </c>
      <c r="R711" s="67" t="str">
        <f t="shared" si="294"/>
        <v/>
      </c>
      <c r="S711" s="56" t="str">
        <f t="shared" si="295"/>
        <v/>
      </c>
      <c r="T711" s="56" t="str">
        <f t="shared" si="296"/>
        <v/>
      </c>
      <c r="U711" s="56" t="str">
        <f t="shared" si="297"/>
        <v/>
      </c>
      <c r="V711" s="68" t="str">
        <f t="shared" si="298"/>
        <v/>
      </c>
      <c r="W711" s="80" t="str">
        <f t="shared" si="274"/>
        <v/>
      </c>
      <c r="X711" s="81" t="str">
        <f t="shared" si="275"/>
        <v/>
      </c>
      <c r="Y711" s="81" t="str">
        <f t="shared" si="276"/>
        <v/>
      </c>
      <c r="Z711" s="81" t="str">
        <f t="shared" si="277"/>
        <v/>
      </c>
      <c r="AA711" s="82" t="str">
        <f t="shared" si="278"/>
        <v/>
      </c>
      <c r="AB711" s="83" t="str">
        <f>IF(R711&lt;&gt;"",(W711-SUMPRODUCT(R$3:R711,$B$3:$B711)/SUM($B$3:$B711))/STDEVA(W701:W711),"")</f>
        <v/>
      </c>
      <c r="AC711" s="84" t="str">
        <f>IF(S711&lt;&gt;"",(X711-SUMPRODUCT(S$3:S711,$B$3:$B711)/SUM($B$3:$B711))/STDEVA(X701:X711),"")</f>
        <v/>
      </c>
      <c r="AD711" s="84" t="str">
        <f>IF(T711&lt;&gt;"",(Y711-SUMPRODUCT(T$3:T711,$B$3:$B711)/SUM($B$3:$B711))/STDEVA(Y701:Y711),"")</f>
        <v/>
      </c>
      <c r="AE711" s="84" t="str">
        <f>IF(U711&lt;&gt;"",(Z711-SUMPRODUCT(U$3:U711,$B$3:$B711)/SUM($B$3:$B711))/STDEVA(Z701:Z711),"")</f>
        <v/>
      </c>
      <c r="AF711" s="85" t="str">
        <f>IF(V711&lt;&gt;"",(AA711-SUMPRODUCT(V$3:V711,$B$3:$B711)/SUM($B$3:$B711))/STDEVA(AA701:AA711),"")</f>
        <v/>
      </c>
      <c r="AG711" s="90" t="str">
        <f t="shared" si="280"/>
        <v/>
      </c>
      <c r="AH711" s="90" t="str">
        <f t="shared" si="280"/>
        <v/>
      </c>
      <c r="AI711" s="90" t="str">
        <f t="shared" si="280"/>
        <v/>
      </c>
      <c r="AJ711" s="90" t="str">
        <f t="shared" si="279"/>
        <v/>
      </c>
      <c r="AK711" s="93" t="str">
        <f t="shared" si="279"/>
        <v/>
      </c>
      <c r="BQ711" s="100" t="str">
        <f>IF(A711&lt;&gt;"",(VLOOKUP(A711,MarketData!$D:$BP,MATCH($BQ$1,MarketData!$D$1:$EG$1,0),TRUE)/100/365+1)^(B711)*BQ710,"")</f>
        <v/>
      </c>
      <c r="BR711" s="98" t="str">
        <f t="shared" si="282"/>
        <v/>
      </c>
      <c r="BS711" s="106" t="str">
        <f>IF(A711&lt;&gt;"",VLOOKUP(A711,MarketData!$D:$BP,MATCH($BS$1,MarketData!$D$1:$EG$1,0),TRUE),"")</f>
        <v/>
      </c>
      <c r="BT711" s="98" t="str">
        <f t="shared" si="293"/>
        <v/>
      </c>
    </row>
    <row r="712" spans="2:72" x14ac:dyDescent="0.25">
      <c r="B712" s="60" t="str">
        <f t="shared" si="281"/>
        <v/>
      </c>
      <c r="C712" s="3" t="str">
        <f t="shared" si="283"/>
        <v/>
      </c>
      <c r="D712" s="3" t="str">
        <f t="shared" si="284"/>
        <v/>
      </c>
      <c r="E712" s="3" t="str">
        <f t="shared" si="285"/>
        <v/>
      </c>
      <c r="F712" s="3" t="str">
        <f t="shared" si="286"/>
        <v/>
      </c>
      <c r="G712" s="74" t="str">
        <f t="shared" si="287"/>
        <v/>
      </c>
      <c r="H712" s="78" t="str">
        <f>IFERROR(C712/SUM(M$2:M711),"")</f>
        <v/>
      </c>
      <c r="I712" s="61" t="str">
        <f>IFERROR(D712/SUM(N$2:N712),"")</f>
        <v/>
      </c>
      <c r="J712" s="61" t="str">
        <f>IFERROR(E712/SUM(O$2:O712),"")</f>
        <v/>
      </c>
      <c r="K712" s="61" t="str">
        <f>IFERROR(F712/SUM(P$2:P712),"")</f>
        <v/>
      </c>
      <c r="L712" s="79" t="str">
        <f>IFERROR(G712/SUM(Q$2:Q712),"")</f>
        <v/>
      </c>
      <c r="M712" s="64" t="str">
        <f t="shared" si="288"/>
        <v/>
      </c>
      <c r="N712" s="55" t="str">
        <f t="shared" si="289"/>
        <v/>
      </c>
      <c r="O712" s="55" t="str">
        <f t="shared" si="290"/>
        <v/>
      </c>
      <c r="P712" s="55" t="str">
        <f t="shared" si="291"/>
        <v/>
      </c>
      <c r="Q712" s="65" t="str">
        <f t="shared" si="292"/>
        <v/>
      </c>
      <c r="R712" s="67" t="str">
        <f t="shared" si="294"/>
        <v/>
      </c>
      <c r="S712" s="56" t="str">
        <f t="shared" si="295"/>
        <v/>
      </c>
      <c r="T712" s="56" t="str">
        <f t="shared" si="296"/>
        <v/>
      </c>
      <c r="U712" s="56" t="str">
        <f t="shared" si="297"/>
        <v/>
      </c>
      <c r="V712" s="68" t="str">
        <f t="shared" si="298"/>
        <v/>
      </c>
      <c r="W712" s="80" t="str">
        <f t="shared" si="274"/>
        <v/>
      </c>
      <c r="X712" s="81" t="str">
        <f t="shared" si="275"/>
        <v/>
      </c>
      <c r="Y712" s="81" t="str">
        <f t="shared" si="276"/>
        <v/>
      </c>
      <c r="Z712" s="81" t="str">
        <f t="shared" si="277"/>
        <v/>
      </c>
      <c r="AA712" s="82" t="str">
        <f t="shared" si="278"/>
        <v/>
      </c>
      <c r="AB712" s="83" t="str">
        <f>IF(R712&lt;&gt;"",(W712-SUMPRODUCT(R$3:R712,$B$3:$B712)/SUM($B$3:$B712))/STDEVA(W702:W712),"")</f>
        <v/>
      </c>
      <c r="AC712" s="84" t="str">
        <f>IF(S712&lt;&gt;"",(X712-SUMPRODUCT(S$3:S712,$B$3:$B712)/SUM($B$3:$B712))/STDEVA(X702:X712),"")</f>
        <v/>
      </c>
      <c r="AD712" s="84" t="str">
        <f>IF(T712&lt;&gt;"",(Y712-SUMPRODUCT(T$3:T712,$B$3:$B712)/SUM($B$3:$B712))/STDEVA(Y702:Y712),"")</f>
        <v/>
      </c>
      <c r="AE712" s="84" t="str">
        <f>IF(U712&lt;&gt;"",(Z712-SUMPRODUCT(U$3:U712,$B$3:$B712)/SUM($B$3:$B712))/STDEVA(Z702:Z712),"")</f>
        <v/>
      </c>
      <c r="AF712" s="85" t="str">
        <f>IF(V712&lt;&gt;"",(AA712-SUMPRODUCT(V$3:V712,$B$3:$B712)/SUM($B$3:$B712))/STDEVA(AA702:AA712),"")</f>
        <v/>
      </c>
      <c r="AG712" s="90" t="str">
        <f t="shared" si="280"/>
        <v/>
      </c>
      <c r="AH712" s="90" t="str">
        <f t="shared" si="280"/>
        <v/>
      </c>
      <c r="AI712" s="90" t="str">
        <f t="shared" si="280"/>
        <v/>
      </c>
      <c r="AJ712" s="90" t="str">
        <f t="shared" si="279"/>
        <v/>
      </c>
      <c r="AK712" s="93" t="str">
        <f t="shared" si="279"/>
        <v/>
      </c>
      <c r="BQ712" s="100" t="str">
        <f>IF(A712&lt;&gt;"",(VLOOKUP(A712,MarketData!$D:$BP,MATCH($BQ$1,MarketData!$D$1:$EG$1,0),TRUE)/100/365+1)^(B712)*BQ711,"")</f>
        <v/>
      </c>
      <c r="BR712" s="98" t="str">
        <f t="shared" si="282"/>
        <v/>
      </c>
      <c r="BS712" s="106" t="str">
        <f>IF(A712&lt;&gt;"",VLOOKUP(A712,MarketData!$D:$BP,MATCH($BS$1,MarketData!$D$1:$EG$1,0),TRUE),"")</f>
        <v/>
      </c>
      <c r="BT712" s="98" t="str">
        <f t="shared" si="293"/>
        <v/>
      </c>
    </row>
    <row r="713" spans="2:72" x14ac:dyDescent="0.25">
      <c r="B713" s="60" t="str">
        <f t="shared" si="281"/>
        <v/>
      </c>
      <c r="C713" s="3" t="str">
        <f t="shared" si="283"/>
        <v/>
      </c>
      <c r="D713" s="3" t="str">
        <f t="shared" si="284"/>
        <v/>
      </c>
      <c r="E713" s="3" t="str">
        <f t="shared" si="285"/>
        <v/>
      </c>
      <c r="F713" s="3" t="str">
        <f t="shared" si="286"/>
        <v/>
      </c>
      <c r="G713" s="74" t="str">
        <f t="shared" si="287"/>
        <v/>
      </c>
      <c r="H713" s="78" t="str">
        <f>IFERROR(C713/SUM(M$2:M712),"")</f>
        <v/>
      </c>
      <c r="I713" s="61" t="str">
        <f>IFERROR(D713/SUM(N$2:N713),"")</f>
        <v/>
      </c>
      <c r="J713" s="61" t="str">
        <f>IFERROR(E713/SUM(O$2:O713),"")</f>
        <v/>
      </c>
      <c r="K713" s="61" t="str">
        <f>IFERROR(F713/SUM(P$2:P713),"")</f>
        <v/>
      </c>
      <c r="L713" s="79" t="str">
        <f>IFERROR(G713/SUM(Q$2:Q713),"")</f>
        <v/>
      </c>
      <c r="M713" s="64" t="str">
        <f t="shared" si="288"/>
        <v/>
      </c>
      <c r="N713" s="55" t="str">
        <f t="shared" si="289"/>
        <v/>
      </c>
      <c r="O713" s="55" t="str">
        <f t="shared" si="290"/>
        <v/>
      </c>
      <c r="P713" s="55" t="str">
        <f t="shared" si="291"/>
        <v/>
      </c>
      <c r="Q713" s="65" t="str">
        <f t="shared" si="292"/>
        <v/>
      </c>
      <c r="R713" s="67" t="str">
        <f t="shared" si="294"/>
        <v/>
      </c>
      <c r="S713" s="56" t="str">
        <f t="shared" si="295"/>
        <v/>
      </c>
      <c r="T713" s="56" t="str">
        <f t="shared" si="296"/>
        <v/>
      </c>
      <c r="U713" s="56" t="str">
        <f t="shared" si="297"/>
        <v/>
      </c>
      <c r="V713" s="68" t="str">
        <f t="shared" si="298"/>
        <v/>
      </c>
      <c r="W713" s="80" t="str">
        <f t="shared" si="274"/>
        <v/>
      </c>
      <c r="X713" s="81" t="str">
        <f t="shared" si="275"/>
        <v/>
      </c>
      <c r="Y713" s="81" t="str">
        <f t="shared" si="276"/>
        <v/>
      </c>
      <c r="Z713" s="81" t="str">
        <f t="shared" si="277"/>
        <v/>
      </c>
      <c r="AA713" s="82" t="str">
        <f t="shared" si="278"/>
        <v/>
      </c>
      <c r="AB713" s="83" t="str">
        <f>IF(R713&lt;&gt;"",(W713-SUMPRODUCT(R$3:R713,$B$3:$B713)/SUM($B$3:$B713))/STDEVA(W703:W713),"")</f>
        <v/>
      </c>
      <c r="AC713" s="84" t="str">
        <f>IF(S713&lt;&gt;"",(X713-SUMPRODUCT(S$3:S713,$B$3:$B713)/SUM($B$3:$B713))/STDEVA(X703:X713),"")</f>
        <v/>
      </c>
      <c r="AD713" s="84" t="str">
        <f>IF(T713&lt;&gt;"",(Y713-SUMPRODUCT(T$3:T713,$B$3:$B713)/SUM($B$3:$B713))/STDEVA(Y703:Y713),"")</f>
        <v/>
      </c>
      <c r="AE713" s="84" t="str">
        <f>IF(U713&lt;&gt;"",(Z713-SUMPRODUCT(U$3:U713,$B$3:$B713)/SUM($B$3:$B713))/STDEVA(Z703:Z713),"")</f>
        <v/>
      </c>
      <c r="AF713" s="85" t="str">
        <f>IF(V713&lt;&gt;"",(AA713-SUMPRODUCT(V$3:V713,$B$3:$B713)/SUM($B$3:$B713))/STDEVA(AA703:AA713),"")</f>
        <v/>
      </c>
      <c r="AG713" s="90" t="str">
        <f t="shared" si="280"/>
        <v/>
      </c>
      <c r="AH713" s="90" t="str">
        <f t="shared" si="280"/>
        <v/>
      </c>
      <c r="AI713" s="90" t="str">
        <f t="shared" si="280"/>
        <v/>
      </c>
      <c r="AJ713" s="90" t="str">
        <f t="shared" si="279"/>
        <v/>
      </c>
      <c r="AK713" s="93" t="str">
        <f t="shared" si="279"/>
        <v/>
      </c>
      <c r="BQ713" s="100" t="str">
        <f>IF(A713&lt;&gt;"",(VLOOKUP(A713,MarketData!$D:$BP,MATCH($BQ$1,MarketData!$D$1:$EG$1,0),TRUE)/100/365+1)^(B713)*BQ712,"")</f>
        <v/>
      </c>
      <c r="BR713" s="98" t="str">
        <f t="shared" si="282"/>
        <v/>
      </c>
      <c r="BS713" s="106" t="str">
        <f>IF(A713&lt;&gt;"",VLOOKUP(A713,MarketData!$D:$BP,MATCH($BS$1,MarketData!$D$1:$EG$1,0),TRUE),"")</f>
        <v/>
      </c>
      <c r="BT713" s="98" t="str">
        <f t="shared" si="293"/>
        <v/>
      </c>
    </row>
    <row r="714" spans="2:72" x14ac:dyDescent="0.25">
      <c r="B714" s="60" t="str">
        <f t="shared" si="281"/>
        <v/>
      </c>
      <c r="C714" s="3" t="str">
        <f t="shared" si="283"/>
        <v/>
      </c>
      <c r="D714" s="3" t="str">
        <f t="shared" si="284"/>
        <v/>
      </c>
      <c r="E714" s="3" t="str">
        <f t="shared" si="285"/>
        <v/>
      </c>
      <c r="F714" s="3" t="str">
        <f t="shared" si="286"/>
        <v/>
      </c>
      <c r="G714" s="74" t="str">
        <f t="shared" si="287"/>
        <v/>
      </c>
      <c r="H714" s="78" t="str">
        <f>IFERROR(C714/SUM(M$2:M713),"")</f>
        <v/>
      </c>
      <c r="I714" s="61" t="str">
        <f>IFERROR(D714/SUM(N$2:N714),"")</f>
        <v/>
      </c>
      <c r="J714" s="61" t="str">
        <f>IFERROR(E714/SUM(O$2:O714),"")</f>
        <v/>
      </c>
      <c r="K714" s="61" t="str">
        <f>IFERROR(F714/SUM(P$2:P714),"")</f>
        <v/>
      </c>
      <c r="L714" s="79" t="str">
        <f>IFERROR(G714/SUM(Q$2:Q714),"")</f>
        <v/>
      </c>
      <c r="M714" s="64" t="str">
        <f t="shared" si="288"/>
        <v/>
      </c>
      <c r="N714" s="55" t="str">
        <f t="shared" si="289"/>
        <v/>
      </c>
      <c r="O714" s="55" t="str">
        <f t="shared" si="290"/>
        <v/>
      </c>
      <c r="P714" s="55" t="str">
        <f t="shared" si="291"/>
        <v/>
      </c>
      <c r="Q714" s="65" t="str">
        <f t="shared" si="292"/>
        <v/>
      </c>
      <c r="R714" s="67" t="str">
        <f t="shared" si="294"/>
        <v/>
      </c>
      <c r="S714" s="56" t="str">
        <f t="shared" si="295"/>
        <v/>
      </c>
      <c r="T714" s="56" t="str">
        <f t="shared" si="296"/>
        <v/>
      </c>
      <c r="U714" s="56" t="str">
        <f t="shared" si="297"/>
        <v/>
      </c>
      <c r="V714" s="68" t="str">
        <f t="shared" si="298"/>
        <v/>
      </c>
      <c r="W714" s="80" t="str">
        <f t="shared" si="274"/>
        <v/>
      </c>
      <c r="X714" s="81" t="str">
        <f t="shared" si="275"/>
        <v/>
      </c>
      <c r="Y714" s="81" t="str">
        <f t="shared" si="276"/>
        <v/>
      </c>
      <c r="Z714" s="81" t="str">
        <f t="shared" si="277"/>
        <v/>
      </c>
      <c r="AA714" s="82" t="str">
        <f t="shared" si="278"/>
        <v/>
      </c>
      <c r="AB714" s="83" t="str">
        <f>IF(R714&lt;&gt;"",(W714-SUMPRODUCT(R$3:R714,$B$3:$B714)/SUM($B$3:$B714))/STDEVA(W704:W714),"")</f>
        <v/>
      </c>
      <c r="AC714" s="84" t="str">
        <f>IF(S714&lt;&gt;"",(X714-SUMPRODUCT(S$3:S714,$B$3:$B714)/SUM($B$3:$B714))/STDEVA(X704:X714),"")</f>
        <v/>
      </c>
      <c r="AD714" s="84" t="str">
        <f>IF(T714&lt;&gt;"",(Y714-SUMPRODUCT(T$3:T714,$B$3:$B714)/SUM($B$3:$B714))/STDEVA(Y704:Y714),"")</f>
        <v/>
      </c>
      <c r="AE714" s="84" t="str">
        <f>IF(U714&lt;&gt;"",(Z714-SUMPRODUCT(U$3:U714,$B$3:$B714)/SUM($B$3:$B714))/STDEVA(Z704:Z714),"")</f>
        <v/>
      </c>
      <c r="AF714" s="85" t="str">
        <f>IF(V714&lt;&gt;"",(AA714-SUMPRODUCT(V$3:V714,$B$3:$B714)/SUM($B$3:$B714))/STDEVA(AA704:AA714),"")</f>
        <v/>
      </c>
      <c r="AG714" s="90" t="str">
        <f t="shared" si="280"/>
        <v/>
      </c>
      <c r="AH714" s="90" t="str">
        <f t="shared" si="280"/>
        <v/>
      </c>
      <c r="AI714" s="90" t="str">
        <f t="shared" si="280"/>
        <v/>
      </c>
      <c r="AJ714" s="90" t="str">
        <f t="shared" si="279"/>
        <v/>
      </c>
      <c r="AK714" s="93" t="str">
        <f t="shared" si="279"/>
        <v/>
      </c>
      <c r="BQ714" s="100" t="str">
        <f>IF(A714&lt;&gt;"",(VLOOKUP(A714,MarketData!$D:$BP,MATCH($BQ$1,MarketData!$D$1:$EG$1,0),TRUE)/100/365+1)^(B714)*BQ713,"")</f>
        <v/>
      </c>
      <c r="BR714" s="98" t="str">
        <f t="shared" si="282"/>
        <v/>
      </c>
      <c r="BS714" s="106" t="str">
        <f>IF(A714&lt;&gt;"",VLOOKUP(A714,MarketData!$D:$BP,MATCH($BS$1,MarketData!$D$1:$EG$1,0),TRUE),"")</f>
        <v/>
      </c>
      <c r="BT714" s="98" t="str">
        <f t="shared" si="293"/>
        <v/>
      </c>
    </row>
    <row r="715" spans="2:72" x14ac:dyDescent="0.25">
      <c r="B715" s="60" t="str">
        <f t="shared" si="281"/>
        <v/>
      </c>
      <c r="C715" s="3" t="str">
        <f t="shared" si="283"/>
        <v/>
      </c>
      <c r="D715" s="3" t="str">
        <f t="shared" si="284"/>
        <v/>
      </c>
      <c r="E715" s="3" t="str">
        <f t="shared" si="285"/>
        <v/>
      </c>
      <c r="F715" s="3" t="str">
        <f t="shared" si="286"/>
        <v/>
      </c>
      <c r="G715" s="74" t="str">
        <f t="shared" si="287"/>
        <v/>
      </c>
      <c r="H715" s="78" t="str">
        <f>IFERROR(C715/SUM(M$2:M714),"")</f>
        <v/>
      </c>
      <c r="I715" s="61" t="str">
        <f>IFERROR(D715/SUM(N$2:N715),"")</f>
        <v/>
      </c>
      <c r="J715" s="61" t="str">
        <f>IFERROR(E715/SUM(O$2:O715),"")</f>
        <v/>
      </c>
      <c r="K715" s="61" t="str">
        <f>IFERROR(F715/SUM(P$2:P715),"")</f>
        <v/>
      </c>
      <c r="L715" s="79" t="str">
        <f>IFERROR(G715/SUM(Q$2:Q715),"")</f>
        <v/>
      </c>
      <c r="M715" s="64" t="str">
        <f t="shared" si="288"/>
        <v/>
      </c>
      <c r="N715" s="55" t="str">
        <f t="shared" si="289"/>
        <v/>
      </c>
      <c r="O715" s="55" t="str">
        <f t="shared" si="290"/>
        <v/>
      </c>
      <c r="P715" s="55" t="str">
        <f t="shared" si="291"/>
        <v/>
      </c>
      <c r="Q715" s="65" t="str">
        <f t="shared" si="292"/>
        <v/>
      </c>
      <c r="R715" s="67" t="str">
        <f t="shared" si="294"/>
        <v/>
      </c>
      <c r="S715" s="56" t="str">
        <f t="shared" si="295"/>
        <v/>
      </c>
      <c r="T715" s="56" t="str">
        <f t="shared" si="296"/>
        <v/>
      </c>
      <c r="U715" s="56" t="str">
        <f t="shared" si="297"/>
        <v/>
      </c>
      <c r="V715" s="68" t="str">
        <f t="shared" si="298"/>
        <v/>
      </c>
      <c r="W715" s="80" t="str">
        <f t="shared" si="274"/>
        <v/>
      </c>
      <c r="X715" s="81" t="str">
        <f t="shared" si="275"/>
        <v/>
      </c>
      <c r="Y715" s="81" t="str">
        <f t="shared" si="276"/>
        <v/>
      </c>
      <c r="Z715" s="81" t="str">
        <f t="shared" si="277"/>
        <v/>
      </c>
      <c r="AA715" s="82" t="str">
        <f t="shared" si="278"/>
        <v/>
      </c>
      <c r="AB715" s="83" t="str">
        <f>IF(R715&lt;&gt;"",(W715-SUMPRODUCT(R$3:R715,$B$3:$B715)/SUM($B$3:$B715))/STDEVA(W705:W715),"")</f>
        <v/>
      </c>
      <c r="AC715" s="84" t="str">
        <f>IF(S715&lt;&gt;"",(X715-SUMPRODUCT(S$3:S715,$B$3:$B715)/SUM($B$3:$B715))/STDEVA(X705:X715),"")</f>
        <v/>
      </c>
      <c r="AD715" s="84" t="str">
        <f>IF(T715&lt;&gt;"",(Y715-SUMPRODUCT(T$3:T715,$B$3:$B715)/SUM($B$3:$B715))/STDEVA(Y705:Y715),"")</f>
        <v/>
      </c>
      <c r="AE715" s="84" t="str">
        <f>IF(U715&lt;&gt;"",(Z715-SUMPRODUCT(U$3:U715,$B$3:$B715)/SUM($B$3:$B715))/STDEVA(Z705:Z715),"")</f>
        <v/>
      </c>
      <c r="AF715" s="85" t="str">
        <f>IF(V715&lt;&gt;"",(AA715-SUMPRODUCT(V$3:V715,$B$3:$B715)/SUM($B$3:$B715))/STDEVA(AA705:AA715),"")</f>
        <v/>
      </c>
      <c r="AG715" s="90" t="str">
        <f t="shared" si="280"/>
        <v/>
      </c>
      <c r="AH715" s="90" t="str">
        <f t="shared" si="280"/>
        <v/>
      </c>
      <c r="AI715" s="90" t="str">
        <f t="shared" si="280"/>
        <v/>
      </c>
      <c r="AJ715" s="90" t="str">
        <f t="shared" si="279"/>
        <v/>
      </c>
      <c r="AK715" s="93" t="str">
        <f t="shared" si="279"/>
        <v/>
      </c>
      <c r="BQ715" s="100" t="str">
        <f>IF(A715&lt;&gt;"",(VLOOKUP(A715,MarketData!$D:$BP,MATCH($BQ$1,MarketData!$D$1:$EG$1,0),TRUE)/100/365+1)^(B715)*BQ714,"")</f>
        <v/>
      </c>
      <c r="BR715" s="98" t="str">
        <f t="shared" si="282"/>
        <v/>
      </c>
      <c r="BS715" s="106" t="str">
        <f>IF(A715&lt;&gt;"",VLOOKUP(A715,MarketData!$D:$BP,MATCH($BS$1,MarketData!$D$1:$EG$1,0),TRUE),"")</f>
        <v/>
      </c>
      <c r="BT715" s="98" t="str">
        <f t="shared" si="293"/>
        <v/>
      </c>
    </row>
    <row r="716" spans="2:72" x14ac:dyDescent="0.25">
      <c r="B716" s="60" t="str">
        <f t="shared" si="281"/>
        <v/>
      </c>
      <c r="C716" s="3" t="str">
        <f t="shared" si="283"/>
        <v/>
      </c>
      <c r="D716" s="3" t="str">
        <f t="shared" si="284"/>
        <v/>
      </c>
      <c r="E716" s="3" t="str">
        <f t="shared" si="285"/>
        <v/>
      </c>
      <c r="F716" s="3" t="str">
        <f t="shared" si="286"/>
        <v/>
      </c>
      <c r="G716" s="74" t="str">
        <f t="shared" si="287"/>
        <v/>
      </c>
      <c r="H716" s="78" t="str">
        <f>IFERROR(C716/SUM(M$2:M715),"")</f>
        <v/>
      </c>
      <c r="I716" s="61" t="str">
        <f>IFERROR(D716/SUM(N$2:N716),"")</f>
        <v/>
      </c>
      <c r="J716" s="61" t="str">
        <f>IFERROR(E716/SUM(O$2:O716),"")</f>
        <v/>
      </c>
      <c r="K716" s="61" t="str">
        <f>IFERROR(F716/SUM(P$2:P716),"")</f>
        <v/>
      </c>
      <c r="L716" s="79" t="str">
        <f>IFERROR(G716/SUM(Q$2:Q716),"")</f>
        <v/>
      </c>
      <c r="M716" s="64" t="str">
        <f t="shared" si="288"/>
        <v/>
      </c>
      <c r="N716" s="55" t="str">
        <f t="shared" si="289"/>
        <v/>
      </c>
      <c r="O716" s="55" t="str">
        <f t="shared" si="290"/>
        <v/>
      </c>
      <c r="P716" s="55" t="str">
        <f t="shared" si="291"/>
        <v/>
      </c>
      <c r="Q716" s="65" t="str">
        <f t="shared" si="292"/>
        <v/>
      </c>
      <c r="R716" s="67" t="str">
        <f t="shared" si="294"/>
        <v/>
      </c>
      <c r="S716" s="56" t="str">
        <f t="shared" si="295"/>
        <v/>
      </c>
      <c r="T716" s="56" t="str">
        <f t="shared" si="296"/>
        <v/>
      </c>
      <c r="U716" s="56" t="str">
        <f t="shared" si="297"/>
        <v/>
      </c>
      <c r="V716" s="68" t="str">
        <f t="shared" si="298"/>
        <v/>
      </c>
      <c r="W716" s="80" t="str">
        <f t="shared" ref="W716:W779" si="299">IF(R716&lt;&gt;"",SUMPRODUCT(R707:R716,$B707:$B716)/SUM($B707:$B716),"")</f>
        <v/>
      </c>
      <c r="X716" s="81" t="str">
        <f t="shared" ref="X716:X779" si="300">IF(S716&lt;&gt;"",SUMPRODUCT(S707:S716,$B707:$B716)/SUM($B707:$B716),"")</f>
        <v/>
      </c>
      <c r="Y716" s="81" t="str">
        <f t="shared" ref="Y716:Y779" si="301">IF(T716&lt;&gt;"",SUMPRODUCT(T707:T716,$B707:$B716)/SUM($B707:$B716),"")</f>
        <v/>
      </c>
      <c r="Z716" s="81" t="str">
        <f t="shared" ref="Z716:Z779" si="302">IF(U716&lt;&gt;"",SUMPRODUCT(U707:U716,$B707:$B716)/SUM($B707:$B716),"")</f>
        <v/>
      </c>
      <c r="AA716" s="82" t="str">
        <f t="shared" ref="AA716:AA779" si="303">IF(V716&lt;&gt;"",SUMPRODUCT(V707:V716,$B707:$B716)/SUM($B707:$B716),"")</f>
        <v/>
      </c>
      <c r="AB716" s="83" t="str">
        <f>IF(R716&lt;&gt;"",(W716-SUMPRODUCT(R$3:R716,$B$3:$B716)/SUM($B$3:$B716))/STDEVA(W706:W716),"")</f>
        <v/>
      </c>
      <c r="AC716" s="84" t="str">
        <f>IF(S716&lt;&gt;"",(X716-SUMPRODUCT(S$3:S716,$B$3:$B716)/SUM($B$3:$B716))/STDEVA(X706:X716),"")</f>
        <v/>
      </c>
      <c r="AD716" s="84" t="str">
        <f>IF(T716&lt;&gt;"",(Y716-SUMPRODUCT(T$3:T716,$B$3:$B716)/SUM($B$3:$B716))/STDEVA(Y706:Y716),"")</f>
        <v/>
      </c>
      <c r="AE716" s="84" t="str">
        <f>IF(U716&lt;&gt;"",(Z716-SUMPRODUCT(U$3:U716,$B$3:$B716)/SUM($B$3:$B716))/STDEVA(Z706:Z716),"")</f>
        <v/>
      </c>
      <c r="AF716" s="85" t="str">
        <f>IF(V716&lt;&gt;"",(AA716-SUMPRODUCT(V$3:V716,$B$3:$B716)/SUM($B$3:$B716))/STDEVA(AA706:AA716),"")</f>
        <v/>
      </c>
      <c r="AG716" s="90" t="str">
        <f t="shared" si="280"/>
        <v/>
      </c>
      <c r="AH716" s="90" t="str">
        <f t="shared" si="280"/>
        <v/>
      </c>
      <c r="AI716" s="90" t="str">
        <f t="shared" si="280"/>
        <v/>
      </c>
      <c r="AJ716" s="90" t="str">
        <f t="shared" si="279"/>
        <v/>
      </c>
      <c r="AK716" s="93" t="str">
        <f t="shared" si="279"/>
        <v/>
      </c>
      <c r="BQ716" s="100" t="str">
        <f>IF(A716&lt;&gt;"",(VLOOKUP(A716,MarketData!$D:$BP,MATCH($BQ$1,MarketData!$D$1:$EG$1,0),TRUE)/100/365+1)^(B716)*BQ715,"")</f>
        <v/>
      </c>
      <c r="BR716" s="98" t="str">
        <f t="shared" si="282"/>
        <v/>
      </c>
      <c r="BS716" s="106" t="str">
        <f>IF(A716&lt;&gt;"",VLOOKUP(A716,MarketData!$D:$BP,MATCH($BS$1,MarketData!$D$1:$EG$1,0),TRUE),"")</f>
        <v/>
      </c>
      <c r="BT716" s="98" t="str">
        <f t="shared" si="293"/>
        <v/>
      </c>
    </row>
    <row r="717" spans="2:72" x14ac:dyDescent="0.25">
      <c r="B717" s="60" t="str">
        <f t="shared" si="281"/>
        <v/>
      </c>
      <c r="C717" s="3" t="str">
        <f t="shared" si="283"/>
        <v/>
      </c>
      <c r="D717" s="3" t="str">
        <f t="shared" si="284"/>
        <v/>
      </c>
      <c r="E717" s="3" t="str">
        <f t="shared" si="285"/>
        <v/>
      </c>
      <c r="F717" s="3" t="str">
        <f t="shared" si="286"/>
        <v/>
      </c>
      <c r="G717" s="74" t="str">
        <f t="shared" si="287"/>
        <v/>
      </c>
      <c r="H717" s="78" t="str">
        <f>IFERROR(C717/SUM(M$2:M716),"")</f>
        <v/>
      </c>
      <c r="I717" s="61" t="str">
        <f>IFERROR(D717/SUM(N$2:N717),"")</f>
        <v/>
      </c>
      <c r="J717" s="61" t="str">
        <f>IFERROR(E717/SUM(O$2:O717),"")</f>
        <v/>
      </c>
      <c r="K717" s="61" t="str">
        <f>IFERROR(F717/SUM(P$2:P717),"")</f>
        <v/>
      </c>
      <c r="L717" s="79" t="str">
        <f>IFERROR(G717/SUM(Q$2:Q717),"")</f>
        <v/>
      </c>
      <c r="M717" s="64" t="str">
        <f t="shared" si="288"/>
        <v/>
      </c>
      <c r="N717" s="55" t="str">
        <f t="shared" si="289"/>
        <v/>
      </c>
      <c r="O717" s="55" t="str">
        <f t="shared" si="290"/>
        <v/>
      </c>
      <c r="P717" s="55" t="str">
        <f t="shared" si="291"/>
        <v/>
      </c>
      <c r="Q717" s="65" t="str">
        <f t="shared" si="292"/>
        <v/>
      </c>
      <c r="R717" s="67" t="str">
        <f t="shared" si="294"/>
        <v/>
      </c>
      <c r="S717" s="56" t="str">
        <f t="shared" si="295"/>
        <v/>
      </c>
      <c r="T717" s="56" t="str">
        <f t="shared" si="296"/>
        <v/>
      </c>
      <c r="U717" s="56" t="str">
        <f t="shared" si="297"/>
        <v/>
      </c>
      <c r="V717" s="68" t="str">
        <f t="shared" si="298"/>
        <v/>
      </c>
      <c r="W717" s="80" t="str">
        <f t="shared" si="299"/>
        <v/>
      </c>
      <c r="X717" s="81" t="str">
        <f t="shared" si="300"/>
        <v/>
      </c>
      <c r="Y717" s="81" t="str">
        <f t="shared" si="301"/>
        <v/>
      </c>
      <c r="Z717" s="81" t="str">
        <f t="shared" si="302"/>
        <v/>
      </c>
      <c r="AA717" s="82" t="str">
        <f t="shared" si="303"/>
        <v/>
      </c>
      <c r="AB717" s="83" t="str">
        <f>IF(R717&lt;&gt;"",(W717-SUMPRODUCT(R$3:R717,$B$3:$B717)/SUM($B$3:$B717))/STDEVA(W707:W717),"")</f>
        <v/>
      </c>
      <c r="AC717" s="84" t="str">
        <f>IF(S717&lt;&gt;"",(X717-SUMPRODUCT(S$3:S717,$B$3:$B717)/SUM($B$3:$B717))/STDEVA(X707:X717),"")</f>
        <v/>
      </c>
      <c r="AD717" s="84" t="str">
        <f>IF(T717&lt;&gt;"",(Y717-SUMPRODUCT(T$3:T717,$B$3:$B717)/SUM($B$3:$B717))/STDEVA(Y707:Y717),"")</f>
        <v/>
      </c>
      <c r="AE717" s="84" t="str">
        <f>IF(U717&lt;&gt;"",(Z717-SUMPRODUCT(U$3:U717,$B$3:$B717)/SUM($B$3:$B717))/STDEVA(Z707:Z717),"")</f>
        <v/>
      </c>
      <c r="AF717" s="85" t="str">
        <f>IF(V717&lt;&gt;"",(AA717-SUMPRODUCT(V$3:V717,$B$3:$B717)/SUM($B$3:$B717))/STDEVA(AA707:AA717),"")</f>
        <v/>
      </c>
      <c r="AG717" s="90" t="str">
        <f t="shared" si="280"/>
        <v/>
      </c>
      <c r="AH717" s="90" t="str">
        <f t="shared" si="280"/>
        <v/>
      </c>
      <c r="AI717" s="90" t="str">
        <f t="shared" si="280"/>
        <v/>
      </c>
      <c r="AJ717" s="90" t="str">
        <f t="shared" si="280"/>
        <v/>
      </c>
      <c r="AK717" s="93" t="str">
        <f t="shared" si="280"/>
        <v/>
      </c>
      <c r="BQ717" s="100" t="str">
        <f>IF(A717&lt;&gt;"",(VLOOKUP(A717,MarketData!$D:$BP,MATCH($BQ$1,MarketData!$D$1:$EG$1,0),TRUE)/100/365+1)^(B717)*BQ716,"")</f>
        <v/>
      </c>
      <c r="BR717" s="98" t="str">
        <f t="shared" si="282"/>
        <v/>
      </c>
      <c r="BS717" s="106" t="str">
        <f>IF(A717&lt;&gt;"",VLOOKUP(A717,MarketData!$D:$BP,MATCH($BS$1,MarketData!$D$1:$EG$1,0),TRUE),"")</f>
        <v/>
      </c>
      <c r="BT717" s="98" t="str">
        <f t="shared" si="293"/>
        <v/>
      </c>
    </row>
    <row r="718" spans="2:72" x14ac:dyDescent="0.25">
      <c r="B718" s="60" t="str">
        <f t="shared" si="281"/>
        <v/>
      </c>
      <c r="C718" s="3" t="str">
        <f t="shared" si="283"/>
        <v/>
      </c>
      <c r="D718" s="3" t="str">
        <f t="shared" si="284"/>
        <v/>
      </c>
      <c r="E718" s="3" t="str">
        <f t="shared" si="285"/>
        <v/>
      </c>
      <c r="F718" s="3" t="str">
        <f t="shared" si="286"/>
        <v/>
      </c>
      <c r="G718" s="74" t="str">
        <f t="shared" si="287"/>
        <v/>
      </c>
      <c r="H718" s="78" t="str">
        <f>IFERROR(C718/SUM(M$2:M717),"")</f>
        <v/>
      </c>
      <c r="I718" s="61" t="str">
        <f>IFERROR(D718/SUM(N$2:N718),"")</f>
        <v/>
      </c>
      <c r="J718" s="61" t="str">
        <f>IFERROR(E718/SUM(O$2:O718),"")</f>
        <v/>
      </c>
      <c r="K718" s="61" t="str">
        <f>IFERROR(F718/SUM(P$2:P718),"")</f>
        <v/>
      </c>
      <c r="L718" s="79" t="str">
        <f>IFERROR(G718/SUM(Q$2:Q718),"")</f>
        <v/>
      </c>
      <c r="M718" s="64" t="str">
        <f t="shared" si="288"/>
        <v/>
      </c>
      <c r="N718" s="55" t="str">
        <f t="shared" si="289"/>
        <v/>
      </c>
      <c r="O718" s="55" t="str">
        <f t="shared" si="290"/>
        <v/>
      </c>
      <c r="P718" s="55" t="str">
        <f t="shared" si="291"/>
        <v/>
      </c>
      <c r="Q718" s="65" t="str">
        <f t="shared" si="292"/>
        <v/>
      </c>
      <c r="R718" s="67" t="str">
        <f t="shared" si="294"/>
        <v/>
      </c>
      <c r="S718" s="56" t="str">
        <f t="shared" si="295"/>
        <v/>
      </c>
      <c r="T718" s="56" t="str">
        <f t="shared" si="296"/>
        <v/>
      </c>
      <c r="U718" s="56" t="str">
        <f t="shared" si="297"/>
        <v/>
      </c>
      <c r="V718" s="68" t="str">
        <f t="shared" si="298"/>
        <v/>
      </c>
      <c r="W718" s="80" t="str">
        <f t="shared" si="299"/>
        <v/>
      </c>
      <c r="X718" s="81" t="str">
        <f t="shared" si="300"/>
        <v/>
      </c>
      <c r="Y718" s="81" t="str">
        <f t="shared" si="301"/>
        <v/>
      </c>
      <c r="Z718" s="81" t="str">
        <f t="shared" si="302"/>
        <v/>
      </c>
      <c r="AA718" s="82" t="str">
        <f t="shared" si="303"/>
        <v/>
      </c>
      <c r="AB718" s="83" t="str">
        <f>IF(R718&lt;&gt;"",(W718-SUMPRODUCT(R$3:R718,$B$3:$B718)/SUM($B$3:$B718))/STDEVA(W708:W718),"")</f>
        <v/>
      </c>
      <c r="AC718" s="84" t="str">
        <f>IF(S718&lt;&gt;"",(X718-SUMPRODUCT(S$3:S718,$B$3:$B718)/SUM($B$3:$B718))/STDEVA(X708:X718),"")</f>
        <v/>
      </c>
      <c r="AD718" s="84" t="str">
        <f>IF(T718&lt;&gt;"",(Y718-SUMPRODUCT(T$3:T718,$B$3:$B718)/SUM($B$3:$B718))/STDEVA(Y708:Y718),"")</f>
        <v/>
      </c>
      <c r="AE718" s="84" t="str">
        <f>IF(U718&lt;&gt;"",(Z718-SUMPRODUCT(U$3:U718,$B$3:$B718)/SUM($B$3:$B718))/STDEVA(Z708:Z718),"")</f>
        <v/>
      </c>
      <c r="AF718" s="85" t="str">
        <f>IF(V718&lt;&gt;"",(AA718-SUMPRODUCT(V$3:V718,$B$3:$B718)/SUM($B$3:$B718))/STDEVA(AA708:AA718),"")</f>
        <v/>
      </c>
      <c r="AG718" s="90" t="str">
        <f t="shared" ref="AG718:AJ781" si="304">IF(AB718&lt;&gt;"",SUMPRODUCT(AB713:AB718,$B713:$B718)/SUM($B713:$B718),"")</f>
        <v/>
      </c>
      <c r="AH718" s="90" t="str">
        <f t="shared" si="304"/>
        <v/>
      </c>
      <c r="AI718" s="90" t="str">
        <f t="shared" si="304"/>
        <v/>
      </c>
      <c r="AJ718" s="90" t="str">
        <f t="shared" si="304"/>
        <v/>
      </c>
      <c r="AK718" s="93" t="str">
        <f t="shared" ref="AK718:AK781" si="305">IF(AF718&lt;&gt;"",SUMPRODUCT(AF713:AF718,$B713:$B718)/SUM($B713:$B718),"")</f>
        <v/>
      </c>
      <c r="BQ718" s="100" t="str">
        <f>IF(A718&lt;&gt;"",(VLOOKUP(A718,MarketData!$D:$BP,MATCH($BQ$1,MarketData!$D$1:$EG$1,0),TRUE)/100/365+1)^(B718)*BQ717,"")</f>
        <v/>
      </c>
      <c r="BR718" s="98" t="str">
        <f t="shared" si="282"/>
        <v/>
      </c>
      <c r="BS718" s="106" t="str">
        <f>IF(A718&lt;&gt;"",VLOOKUP(A718,MarketData!$D:$BP,MATCH($BS$1,MarketData!$D$1:$EG$1,0),TRUE),"")</f>
        <v/>
      </c>
      <c r="BT718" s="98" t="str">
        <f t="shared" si="293"/>
        <v/>
      </c>
    </row>
    <row r="719" spans="2:72" x14ac:dyDescent="0.25">
      <c r="B719" s="60" t="str">
        <f t="shared" si="281"/>
        <v/>
      </c>
      <c r="C719" s="3" t="str">
        <f t="shared" si="283"/>
        <v/>
      </c>
      <c r="D719" s="3" t="str">
        <f t="shared" si="284"/>
        <v/>
      </c>
      <c r="E719" s="3" t="str">
        <f t="shared" si="285"/>
        <v/>
      </c>
      <c r="F719" s="3" t="str">
        <f t="shared" si="286"/>
        <v/>
      </c>
      <c r="G719" s="74" t="str">
        <f t="shared" si="287"/>
        <v/>
      </c>
      <c r="H719" s="78" t="str">
        <f>IFERROR(C719/SUM(M$2:M718),"")</f>
        <v/>
      </c>
      <c r="I719" s="61" t="str">
        <f>IFERROR(D719/SUM(N$2:N719),"")</f>
        <v/>
      </c>
      <c r="J719" s="61" t="str">
        <f>IFERROR(E719/SUM(O$2:O719),"")</f>
        <v/>
      </c>
      <c r="K719" s="61" t="str">
        <f>IFERROR(F719/SUM(P$2:P719),"")</f>
        <v/>
      </c>
      <c r="L719" s="79" t="str">
        <f>IFERROR(G719/SUM(Q$2:Q719),"")</f>
        <v/>
      </c>
      <c r="M719" s="64" t="str">
        <f t="shared" si="288"/>
        <v/>
      </c>
      <c r="N719" s="55" t="str">
        <f t="shared" si="289"/>
        <v/>
      </c>
      <c r="O719" s="55" t="str">
        <f t="shared" si="290"/>
        <v/>
      </c>
      <c r="P719" s="55" t="str">
        <f t="shared" si="291"/>
        <v/>
      </c>
      <c r="Q719" s="65" t="str">
        <f t="shared" si="292"/>
        <v/>
      </c>
      <c r="R719" s="67" t="str">
        <f t="shared" si="294"/>
        <v/>
      </c>
      <c r="S719" s="56" t="str">
        <f t="shared" si="295"/>
        <v/>
      </c>
      <c r="T719" s="56" t="str">
        <f t="shared" si="296"/>
        <v/>
      </c>
      <c r="U719" s="56" t="str">
        <f t="shared" si="297"/>
        <v/>
      </c>
      <c r="V719" s="68" t="str">
        <f t="shared" si="298"/>
        <v/>
      </c>
      <c r="W719" s="80" t="str">
        <f t="shared" si="299"/>
        <v/>
      </c>
      <c r="X719" s="81" t="str">
        <f t="shared" si="300"/>
        <v/>
      </c>
      <c r="Y719" s="81" t="str">
        <f t="shared" si="301"/>
        <v/>
      </c>
      <c r="Z719" s="81" t="str">
        <f t="shared" si="302"/>
        <v/>
      </c>
      <c r="AA719" s="82" t="str">
        <f t="shared" si="303"/>
        <v/>
      </c>
      <c r="AB719" s="83" t="str">
        <f>IF(R719&lt;&gt;"",(W719-SUMPRODUCT(R$3:R719,$B$3:$B719)/SUM($B$3:$B719))/STDEVA(W709:W719),"")</f>
        <v/>
      </c>
      <c r="AC719" s="84" t="str">
        <f>IF(S719&lt;&gt;"",(X719-SUMPRODUCT(S$3:S719,$B$3:$B719)/SUM($B$3:$B719))/STDEVA(X709:X719),"")</f>
        <v/>
      </c>
      <c r="AD719" s="84" t="str">
        <f>IF(T719&lt;&gt;"",(Y719-SUMPRODUCT(T$3:T719,$B$3:$B719)/SUM($B$3:$B719))/STDEVA(Y709:Y719),"")</f>
        <v/>
      </c>
      <c r="AE719" s="84" t="str">
        <f>IF(U719&lt;&gt;"",(Z719-SUMPRODUCT(U$3:U719,$B$3:$B719)/SUM($B$3:$B719))/STDEVA(Z709:Z719),"")</f>
        <v/>
      </c>
      <c r="AF719" s="85" t="str">
        <f>IF(V719&lt;&gt;"",(AA719-SUMPRODUCT(V$3:V719,$B$3:$B719)/SUM($B$3:$B719))/STDEVA(AA709:AA719),"")</f>
        <v/>
      </c>
      <c r="AG719" s="90" t="str">
        <f t="shared" si="304"/>
        <v/>
      </c>
      <c r="AH719" s="90" t="str">
        <f t="shared" si="304"/>
        <v/>
      </c>
      <c r="AI719" s="90" t="str">
        <f t="shared" si="304"/>
        <v/>
      </c>
      <c r="AJ719" s="90" t="str">
        <f t="shared" si="304"/>
        <v/>
      </c>
      <c r="AK719" s="93" t="str">
        <f t="shared" si="305"/>
        <v/>
      </c>
      <c r="BQ719" s="100" t="str">
        <f>IF(A719&lt;&gt;"",(VLOOKUP(A719,MarketData!$D:$BP,MATCH($BQ$1,MarketData!$D$1:$EG$1,0),TRUE)/100/365+1)^(B719)*BQ718,"")</f>
        <v/>
      </c>
      <c r="BR719" s="98" t="str">
        <f t="shared" si="282"/>
        <v/>
      </c>
      <c r="BS719" s="106" t="str">
        <f>IF(A719&lt;&gt;"",VLOOKUP(A719,MarketData!$D:$BP,MATCH($BS$1,MarketData!$D$1:$EG$1,0),TRUE),"")</f>
        <v/>
      </c>
      <c r="BT719" s="98" t="str">
        <f t="shared" si="293"/>
        <v/>
      </c>
    </row>
    <row r="720" spans="2:72" x14ac:dyDescent="0.25">
      <c r="B720" s="60" t="str">
        <f t="shared" si="281"/>
        <v/>
      </c>
      <c r="C720" s="3" t="str">
        <f t="shared" si="283"/>
        <v/>
      </c>
      <c r="D720" s="3" t="str">
        <f t="shared" si="284"/>
        <v/>
      </c>
      <c r="E720" s="3" t="str">
        <f t="shared" si="285"/>
        <v/>
      </c>
      <c r="F720" s="3" t="str">
        <f t="shared" si="286"/>
        <v/>
      </c>
      <c r="G720" s="74" t="str">
        <f t="shared" si="287"/>
        <v/>
      </c>
      <c r="H720" s="78" t="str">
        <f>IFERROR(C720/SUM(M$2:M719),"")</f>
        <v/>
      </c>
      <c r="I720" s="61" t="str">
        <f>IFERROR(D720/SUM(N$2:N720),"")</f>
        <v/>
      </c>
      <c r="J720" s="61" t="str">
        <f>IFERROR(E720/SUM(O$2:O720),"")</f>
        <v/>
      </c>
      <c r="K720" s="61" t="str">
        <f>IFERROR(F720/SUM(P$2:P720),"")</f>
        <v/>
      </c>
      <c r="L720" s="79" t="str">
        <f>IFERROR(G720/SUM(Q$2:Q720),"")</f>
        <v/>
      </c>
      <c r="M720" s="64" t="str">
        <f t="shared" si="288"/>
        <v/>
      </c>
      <c r="N720" s="55" t="str">
        <f t="shared" si="289"/>
        <v/>
      </c>
      <c r="O720" s="55" t="str">
        <f t="shared" si="290"/>
        <v/>
      </c>
      <c r="P720" s="55" t="str">
        <f t="shared" si="291"/>
        <v/>
      </c>
      <c r="Q720" s="65" t="str">
        <f t="shared" si="292"/>
        <v/>
      </c>
      <c r="R720" s="67" t="str">
        <f t="shared" si="294"/>
        <v/>
      </c>
      <c r="S720" s="56" t="str">
        <f t="shared" si="295"/>
        <v/>
      </c>
      <c r="T720" s="56" t="str">
        <f t="shared" si="296"/>
        <v/>
      </c>
      <c r="U720" s="56" t="str">
        <f t="shared" si="297"/>
        <v/>
      </c>
      <c r="V720" s="68" t="str">
        <f t="shared" si="298"/>
        <v/>
      </c>
      <c r="W720" s="80" t="str">
        <f t="shared" si="299"/>
        <v/>
      </c>
      <c r="X720" s="81" t="str">
        <f t="shared" si="300"/>
        <v/>
      </c>
      <c r="Y720" s="81" t="str">
        <f t="shared" si="301"/>
        <v/>
      </c>
      <c r="Z720" s="81" t="str">
        <f t="shared" si="302"/>
        <v/>
      </c>
      <c r="AA720" s="82" t="str">
        <f t="shared" si="303"/>
        <v/>
      </c>
      <c r="AB720" s="83" t="str">
        <f>IF(R720&lt;&gt;"",(W720-SUMPRODUCT(R$3:R720,$B$3:$B720)/SUM($B$3:$B720))/STDEVA(W710:W720),"")</f>
        <v/>
      </c>
      <c r="AC720" s="84" t="str">
        <f>IF(S720&lt;&gt;"",(X720-SUMPRODUCT(S$3:S720,$B$3:$B720)/SUM($B$3:$B720))/STDEVA(X710:X720),"")</f>
        <v/>
      </c>
      <c r="AD720" s="84" t="str">
        <f>IF(T720&lt;&gt;"",(Y720-SUMPRODUCT(T$3:T720,$B$3:$B720)/SUM($B$3:$B720))/STDEVA(Y710:Y720),"")</f>
        <v/>
      </c>
      <c r="AE720" s="84" t="str">
        <f>IF(U720&lt;&gt;"",(Z720-SUMPRODUCT(U$3:U720,$B$3:$B720)/SUM($B$3:$B720))/STDEVA(Z710:Z720),"")</f>
        <v/>
      </c>
      <c r="AF720" s="85" t="str">
        <f>IF(V720&lt;&gt;"",(AA720-SUMPRODUCT(V$3:V720,$B$3:$B720)/SUM($B$3:$B720))/STDEVA(AA710:AA720),"")</f>
        <v/>
      </c>
      <c r="AG720" s="90" t="str">
        <f t="shared" si="304"/>
        <v/>
      </c>
      <c r="AH720" s="90" t="str">
        <f t="shared" si="304"/>
        <v/>
      </c>
      <c r="AI720" s="90" t="str">
        <f t="shared" si="304"/>
        <v/>
      </c>
      <c r="AJ720" s="90" t="str">
        <f t="shared" si="304"/>
        <v/>
      </c>
      <c r="AK720" s="93" t="str">
        <f t="shared" si="305"/>
        <v/>
      </c>
      <c r="BQ720" s="100" t="str">
        <f>IF(A720&lt;&gt;"",(VLOOKUP(A720,MarketData!$D:$BP,MATCH($BQ$1,MarketData!$D$1:$EG$1,0),TRUE)/100/365+1)^(B720)*BQ719,"")</f>
        <v/>
      </c>
      <c r="BR720" s="98" t="str">
        <f t="shared" si="282"/>
        <v/>
      </c>
      <c r="BS720" s="106" t="str">
        <f>IF(A720&lt;&gt;"",VLOOKUP(A720,MarketData!$D:$BP,MATCH($BS$1,MarketData!$D$1:$EG$1,0),TRUE),"")</f>
        <v/>
      </c>
      <c r="BT720" s="98" t="str">
        <f t="shared" si="293"/>
        <v/>
      </c>
    </row>
    <row r="721" spans="2:72" x14ac:dyDescent="0.25">
      <c r="B721" s="60" t="str">
        <f t="shared" si="281"/>
        <v/>
      </c>
      <c r="C721" s="3" t="str">
        <f t="shared" si="283"/>
        <v/>
      </c>
      <c r="D721" s="3" t="str">
        <f t="shared" si="284"/>
        <v/>
      </c>
      <c r="E721" s="3" t="str">
        <f t="shared" si="285"/>
        <v/>
      </c>
      <c r="F721" s="3" t="str">
        <f t="shared" si="286"/>
        <v/>
      </c>
      <c r="G721" s="74" t="str">
        <f t="shared" si="287"/>
        <v/>
      </c>
      <c r="H721" s="78" t="str">
        <f>IFERROR(C721/SUM(M$2:M720),"")</f>
        <v/>
      </c>
      <c r="I721" s="61" t="str">
        <f>IFERROR(D721/SUM(N$2:N721),"")</f>
        <v/>
      </c>
      <c r="J721" s="61" t="str">
        <f>IFERROR(E721/SUM(O$2:O721),"")</f>
        <v/>
      </c>
      <c r="K721" s="61" t="str">
        <f>IFERROR(F721/SUM(P$2:P721),"")</f>
        <v/>
      </c>
      <c r="L721" s="79" t="str">
        <f>IFERROR(G721/SUM(Q$2:Q721),"")</f>
        <v/>
      </c>
      <c r="M721" s="64" t="str">
        <f t="shared" si="288"/>
        <v/>
      </c>
      <c r="N721" s="55" t="str">
        <f t="shared" si="289"/>
        <v/>
      </c>
      <c r="O721" s="55" t="str">
        <f t="shared" si="290"/>
        <v/>
      </c>
      <c r="P721" s="55" t="str">
        <f t="shared" si="291"/>
        <v/>
      </c>
      <c r="Q721" s="65" t="str">
        <f t="shared" si="292"/>
        <v/>
      </c>
      <c r="R721" s="67" t="str">
        <f t="shared" si="294"/>
        <v/>
      </c>
      <c r="S721" s="56" t="str">
        <f t="shared" si="295"/>
        <v/>
      </c>
      <c r="T721" s="56" t="str">
        <f t="shared" si="296"/>
        <v/>
      </c>
      <c r="U721" s="56" t="str">
        <f t="shared" si="297"/>
        <v/>
      </c>
      <c r="V721" s="68" t="str">
        <f t="shared" si="298"/>
        <v/>
      </c>
      <c r="W721" s="80" t="str">
        <f t="shared" si="299"/>
        <v/>
      </c>
      <c r="X721" s="81" t="str">
        <f t="shared" si="300"/>
        <v/>
      </c>
      <c r="Y721" s="81" t="str">
        <f t="shared" si="301"/>
        <v/>
      </c>
      <c r="Z721" s="81" t="str">
        <f t="shared" si="302"/>
        <v/>
      </c>
      <c r="AA721" s="82" t="str">
        <f t="shared" si="303"/>
        <v/>
      </c>
      <c r="AB721" s="83" t="str">
        <f>IF(R721&lt;&gt;"",(W721-SUMPRODUCT(R$3:R721,$B$3:$B721)/SUM($B$3:$B721))/STDEVA(W711:W721),"")</f>
        <v/>
      </c>
      <c r="AC721" s="84" t="str">
        <f>IF(S721&lt;&gt;"",(X721-SUMPRODUCT(S$3:S721,$B$3:$B721)/SUM($B$3:$B721))/STDEVA(X711:X721),"")</f>
        <v/>
      </c>
      <c r="AD721" s="84" t="str">
        <f>IF(T721&lt;&gt;"",(Y721-SUMPRODUCT(T$3:T721,$B$3:$B721)/SUM($B$3:$B721))/STDEVA(Y711:Y721),"")</f>
        <v/>
      </c>
      <c r="AE721" s="84" t="str">
        <f>IF(U721&lt;&gt;"",(Z721-SUMPRODUCT(U$3:U721,$B$3:$B721)/SUM($B$3:$B721))/STDEVA(Z711:Z721),"")</f>
        <v/>
      </c>
      <c r="AF721" s="85" t="str">
        <f>IF(V721&lt;&gt;"",(AA721-SUMPRODUCT(V$3:V721,$B$3:$B721)/SUM($B$3:$B721))/STDEVA(AA711:AA721),"")</f>
        <v/>
      </c>
      <c r="AG721" s="90" t="str">
        <f t="shared" si="304"/>
        <v/>
      </c>
      <c r="AH721" s="90" t="str">
        <f t="shared" si="304"/>
        <v/>
      </c>
      <c r="AI721" s="90" t="str">
        <f t="shared" si="304"/>
        <v/>
      </c>
      <c r="AJ721" s="90" t="str">
        <f t="shared" si="304"/>
        <v/>
      </c>
      <c r="AK721" s="93" t="str">
        <f t="shared" si="305"/>
        <v/>
      </c>
      <c r="BQ721" s="100" t="str">
        <f>IF(A721&lt;&gt;"",(VLOOKUP(A721,MarketData!$D:$BP,MATCH($BQ$1,MarketData!$D$1:$EG$1,0),TRUE)/100/365+1)^(B721)*BQ720,"")</f>
        <v/>
      </c>
      <c r="BR721" s="98" t="str">
        <f t="shared" si="282"/>
        <v/>
      </c>
      <c r="BS721" s="106" t="str">
        <f>IF(A721&lt;&gt;"",VLOOKUP(A721,MarketData!$D:$BP,MATCH($BS$1,MarketData!$D$1:$EG$1,0),TRUE),"")</f>
        <v/>
      </c>
      <c r="BT721" s="98" t="str">
        <f t="shared" si="293"/>
        <v/>
      </c>
    </row>
    <row r="722" spans="2:72" x14ac:dyDescent="0.25">
      <c r="B722" s="60" t="str">
        <f t="shared" si="281"/>
        <v/>
      </c>
      <c r="C722" s="3" t="str">
        <f t="shared" si="283"/>
        <v/>
      </c>
      <c r="D722" s="3" t="str">
        <f t="shared" si="284"/>
        <v/>
      </c>
      <c r="E722" s="3" t="str">
        <f t="shared" si="285"/>
        <v/>
      </c>
      <c r="F722" s="3" t="str">
        <f t="shared" si="286"/>
        <v/>
      </c>
      <c r="G722" s="74" t="str">
        <f t="shared" si="287"/>
        <v/>
      </c>
      <c r="H722" s="78" t="str">
        <f>IFERROR(C722/SUM(M$2:M721),"")</f>
        <v/>
      </c>
      <c r="I722" s="61" t="str">
        <f>IFERROR(D722/SUM(N$2:N722),"")</f>
        <v/>
      </c>
      <c r="J722" s="61" t="str">
        <f>IFERROR(E722/SUM(O$2:O722),"")</f>
        <v/>
      </c>
      <c r="K722" s="61" t="str">
        <f>IFERROR(F722/SUM(P$2:P722),"")</f>
        <v/>
      </c>
      <c r="L722" s="79" t="str">
        <f>IFERROR(G722/SUM(Q$2:Q722),"")</f>
        <v/>
      </c>
      <c r="M722" s="64" t="str">
        <f t="shared" si="288"/>
        <v/>
      </c>
      <c r="N722" s="55" t="str">
        <f t="shared" si="289"/>
        <v/>
      </c>
      <c r="O722" s="55" t="str">
        <f t="shared" si="290"/>
        <v/>
      </c>
      <c r="P722" s="55" t="str">
        <f t="shared" si="291"/>
        <v/>
      </c>
      <c r="Q722" s="65" t="str">
        <f t="shared" si="292"/>
        <v/>
      </c>
      <c r="R722" s="67" t="str">
        <f t="shared" si="294"/>
        <v/>
      </c>
      <c r="S722" s="56" t="str">
        <f t="shared" si="295"/>
        <v/>
      </c>
      <c r="T722" s="56" t="str">
        <f t="shared" si="296"/>
        <v/>
      </c>
      <c r="U722" s="56" t="str">
        <f t="shared" si="297"/>
        <v/>
      </c>
      <c r="V722" s="68" t="str">
        <f t="shared" si="298"/>
        <v/>
      </c>
      <c r="W722" s="80" t="str">
        <f t="shared" si="299"/>
        <v/>
      </c>
      <c r="X722" s="81" t="str">
        <f t="shared" si="300"/>
        <v/>
      </c>
      <c r="Y722" s="81" t="str">
        <f t="shared" si="301"/>
        <v/>
      </c>
      <c r="Z722" s="81" t="str">
        <f t="shared" si="302"/>
        <v/>
      </c>
      <c r="AA722" s="82" t="str">
        <f t="shared" si="303"/>
        <v/>
      </c>
      <c r="AB722" s="83" t="str">
        <f>IF(R722&lt;&gt;"",(W722-SUMPRODUCT(R$3:R722,$B$3:$B722)/SUM($B$3:$B722))/STDEVA(W712:W722),"")</f>
        <v/>
      </c>
      <c r="AC722" s="84" t="str">
        <f>IF(S722&lt;&gt;"",(X722-SUMPRODUCT(S$3:S722,$B$3:$B722)/SUM($B$3:$B722))/STDEVA(X712:X722),"")</f>
        <v/>
      </c>
      <c r="AD722" s="84" t="str">
        <f>IF(T722&lt;&gt;"",(Y722-SUMPRODUCT(T$3:T722,$B$3:$B722)/SUM($B$3:$B722))/STDEVA(Y712:Y722),"")</f>
        <v/>
      </c>
      <c r="AE722" s="84" t="str">
        <f>IF(U722&lt;&gt;"",(Z722-SUMPRODUCT(U$3:U722,$B$3:$B722)/SUM($B$3:$B722))/STDEVA(Z712:Z722),"")</f>
        <v/>
      </c>
      <c r="AF722" s="85" t="str">
        <f>IF(V722&lt;&gt;"",(AA722-SUMPRODUCT(V$3:V722,$B$3:$B722)/SUM($B$3:$B722))/STDEVA(AA712:AA722),"")</f>
        <v/>
      </c>
      <c r="AG722" s="90" t="str">
        <f t="shared" si="304"/>
        <v/>
      </c>
      <c r="AH722" s="90" t="str">
        <f t="shared" si="304"/>
        <v/>
      </c>
      <c r="AI722" s="90" t="str">
        <f t="shared" si="304"/>
        <v/>
      </c>
      <c r="AJ722" s="90" t="str">
        <f t="shared" si="304"/>
        <v/>
      </c>
      <c r="AK722" s="93" t="str">
        <f t="shared" si="305"/>
        <v/>
      </c>
      <c r="BQ722" s="100" t="str">
        <f>IF(A722&lt;&gt;"",(VLOOKUP(A722,MarketData!$D:$BP,MATCH($BQ$1,MarketData!$D$1:$EG$1,0),TRUE)/100/365+1)^(B722)*BQ721,"")</f>
        <v/>
      </c>
      <c r="BR722" s="98" t="str">
        <f t="shared" si="282"/>
        <v/>
      </c>
      <c r="BS722" s="106" t="str">
        <f>IF(A722&lt;&gt;"",VLOOKUP(A722,MarketData!$D:$BP,MATCH($BS$1,MarketData!$D$1:$EG$1,0),TRUE),"")</f>
        <v/>
      </c>
      <c r="BT722" s="98" t="str">
        <f t="shared" si="293"/>
        <v/>
      </c>
    </row>
    <row r="723" spans="2:72" x14ac:dyDescent="0.25">
      <c r="B723" s="60" t="str">
        <f t="shared" si="281"/>
        <v/>
      </c>
      <c r="C723" s="3" t="str">
        <f t="shared" si="283"/>
        <v/>
      </c>
      <c r="D723" s="3" t="str">
        <f t="shared" si="284"/>
        <v/>
      </c>
      <c r="E723" s="3" t="str">
        <f t="shared" si="285"/>
        <v/>
      </c>
      <c r="F723" s="3" t="str">
        <f t="shared" si="286"/>
        <v/>
      </c>
      <c r="G723" s="74" t="str">
        <f t="shared" si="287"/>
        <v/>
      </c>
      <c r="H723" s="78" t="str">
        <f>IFERROR(C723/SUM(M$2:M722),"")</f>
        <v/>
      </c>
      <c r="I723" s="61" t="str">
        <f>IFERROR(D723/SUM(N$2:N723),"")</f>
        <v/>
      </c>
      <c r="J723" s="61" t="str">
        <f>IFERROR(E723/SUM(O$2:O723),"")</f>
        <v/>
      </c>
      <c r="K723" s="61" t="str">
        <f>IFERROR(F723/SUM(P$2:P723),"")</f>
        <v/>
      </c>
      <c r="L723" s="79" t="str">
        <f>IFERROR(G723/SUM(Q$2:Q723),"")</f>
        <v/>
      </c>
      <c r="M723" s="64" t="str">
        <f t="shared" si="288"/>
        <v/>
      </c>
      <c r="N723" s="55" t="str">
        <f t="shared" si="289"/>
        <v/>
      </c>
      <c r="O723" s="55" t="str">
        <f t="shared" si="290"/>
        <v/>
      </c>
      <c r="P723" s="55" t="str">
        <f t="shared" si="291"/>
        <v/>
      </c>
      <c r="Q723" s="65" t="str">
        <f t="shared" si="292"/>
        <v/>
      </c>
      <c r="R723" s="67" t="str">
        <f t="shared" si="294"/>
        <v/>
      </c>
      <c r="S723" s="56" t="str">
        <f t="shared" si="295"/>
        <v/>
      </c>
      <c r="T723" s="56" t="str">
        <f t="shared" si="296"/>
        <v/>
      </c>
      <c r="U723" s="56" t="str">
        <f t="shared" si="297"/>
        <v/>
      </c>
      <c r="V723" s="68" t="str">
        <f t="shared" si="298"/>
        <v/>
      </c>
      <c r="W723" s="80" t="str">
        <f t="shared" si="299"/>
        <v/>
      </c>
      <c r="X723" s="81" t="str">
        <f t="shared" si="300"/>
        <v/>
      </c>
      <c r="Y723" s="81" t="str">
        <f t="shared" si="301"/>
        <v/>
      </c>
      <c r="Z723" s="81" t="str">
        <f t="shared" si="302"/>
        <v/>
      </c>
      <c r="AA723" s="82" t="str">
        <f t="shared" si="303"/>
        <v/>
      </c>
      <c r="AB723" s="83" t="str">
        <f>IF(R723&lt;&gt;"",(W723-SUMPRODUCT(R$3:R723,$B$3:$B723)/SUM($B$3:$B723))/STDEVA(W713:W723),"")</f>
        <v/>
      </c>
      <c r="AC723" s="84" t="str">
        <f>IF(S723&lt;&gt;"",(X723-SUMPRODUCT(S$3:S723,$B$3:$B723)/SUM($B$3:$B723))/STDEVA(X713:X723),"")</f>
        <v/>
      </c>
      <c r="AD723" s="84" t="str">
        <f>IF(T723&lt;&gt;"",(Y723-SUMPRODUCT(T$3:T723,$B$3:$B723)/SUM($B$3:$B723))/STDEVA(Y713:Y723),"")</f>
        <v/>
      </c>
      <c r="AE723" s="84" t="str">
        <f>IF(U723&lt;&gt;"",(Z723-SUMPRODUCT(U$3:U723,$B$3:$B723)/SUM($B$3:$B723))/STDEVA(Z713:Z723),"")</f>
        <v/>
      </c>
      <c r="AF723" s="85" t="str">
        <f>IF(V723&lt;&gt;"",(AA723-SUMPRODUCT(V$3:V723,$B$3:$B723)/SUM($B$3:$B723))/STDEVA(AA713:AA723),"")</f>
        <v/>
      </c>
      <c r="AG723" s="90" t="str">
        <f t="shared" si="304"/>
        <v/>
      </c>
      <c r="AH723" s="90" t="str">
        <f t="shared" si="304"/>
        <v/>
      </c>
      <c r="AI723" s="90" t="str">
        <f t="shared" si="304"/>
        <v/>
      </c>
      <c r="AJ723" s="90" t="str">
        <f t="shared" si="304"/>
        <v/>
      </c>
      <c r="AK723" s="93" t="str">
        <f t="shared" si="305"/>
        <v/>
      </c>
      <c r="BQ723" s="100" t="str">
        <f>IF(A723&lt;&gt;"",(VLOOKUP(A723,MarketData!$D:$BP,MATCH($BQ$1,MarketData!$D$1:$EG$1,0),TRUE)/100/365+1)^(B723)*BQ722,"")</f>
        <v/>
      </c>
      <c r="BR723" s="98" t="str">
        <f t="shared" si="282"/>
        <v/>
      </c>
      <c r="BS723" s="106" t="str">
        <f>IF(A723&lt;&gt;"",VLOOKUP(A723,MarketData!$D:$BP,MATCH($BS$1,MarketData!$D$1:$EG$1,0),TRUE),"")</f>
        <v/>
      </c>
      <c r="BT723" s="98" t="str">
        <f t="shared" si="293"/>
        <v/>
      </c>
    </row>
    <row r="724" spans="2:72" x14ac:dyDescent="0.25">
      <c r="B724" s="60" t="str">
        <f t="shared" si="281"/>
        <v/>
      </c>
      <c r="C724" s="3" t="str">
        <f t="shared" si="283"/>
        <v/>
      </c>
      <c r="D724" s="3" t="str">
        <f t="shared" si="284"/>
        <v/>
      </c>
      <c r="E724" s="3" t="str">
        <f t="shared" si="285"/>
        <v/>
      </c>
      <c r="F724" s="3" t="str">
        <f t="shared" si="286"/>
        <v/>
      </c>
      <c r="G724" s="74" t="str">
        <f t="shared" si="287"/>
        <v/>
      </c>
      <c r="H724" s="78" t="str">
        <f>IFERROR(C724/SUM(M$2:M723),"")</f>
        <v/>
      </c>
      <c r="I724" s="61" t="str">
        <f>IFERROR(D724/SUM(N$2:N724),"")</f>
        <v/>
      </c>
      <c r="J724" s="61" t="str">
        <f>IFERROR(E724/SUM(O$2:O724),"")</f>
        <v/>
      </c>
      <c r="K724" s="61" t="str">
        <f>IFERROR(F724/SUM(P$2:P724),"")</f>
        <v/>
      </c>
      <c r="L724" s="79" t="str">
        <f>IFERROR(G724/SUM(Q$2:Q724),"")</f>
        <v/>
      </c>
      <c r="M724" s="64" t="str">
        <f t="shared" si="288"/>
        <v/>
      </c>
      <c r="N724" s="55" t="str">
        <f t="shared" si="289"/>
        <v/>
      </c>
      <c r="O724" s="55" t="str">
        <f t="shared" si="290"/>
        <v/>
      </c>
      <c r="P724" s="55" t="str">
        <f t="shared" si="291"/>
        <v/>
      </c>
      <c r="Q724" s="65" t="str">
        <f t="shared" si="292"/>
        <v/>
      </c>
      <c r="R724" s="67" t="str">
        <f t="shared" si="294"/>
        <v/>
      </c>
      <c r="S724" s="56" t="str">
        <f t="shared" si="295"/>
        <v/>
      </c>
      <c r="T724" s="56" t="str">
        <f t="shared" si="296"/>
        <v/>
      </c>
      <c r="U724" s="56" t="str">
        <f t="shared" si="297"/>
        <v/>
      </c>
      <c r="V724" s="68" t="str">
        <f t="shared" si="298"/>
        <v/>
      </c>
      <c r="W724" s="80" t="str">
        <f t="shared" si="299"/>
        <v/>
      </c>
      <c r="X724" s="81" t="str">
        <f t="shared" si="300"/>
        <v/>
      </c>
      <c r="Y724" s="81" t="str">
        <f t="shared" si="301"/>
        <v/>
      </c>
      <c r="Z724" s="81" t="str">
        <f t="shared" si="302"/>
        <v/>
      </c>
      <c r="AA724" s="82" t="str">
        <f t="shared" si="303"/>
        <v/>
      </c>
      <c r="AB724" s="83" t="str">
        <f>IF(R724&lt;&gt;"",(W724-SUMPRODUCT(R$3:R724,$B$3:$B724)/SUM($B$3:$B724))/STDEVA(W714:W724),"")</f>
        <v/>
      </c>
      <c r="AC724" s="84" t="str">
        <f>IF(S724&lt;&gt;"",(X724-SUMPRODUCT(S$3:S724,$B$3:$B724)/SUM($B$3:$B724))/STDEVA(X714:X724),"")</f>
        <v/>
      </c>
      <c r="AD724" s="84" t="str">
        <f>IF(T724&lt;&gt;"",(Y724-SUMPRODUCT(T$3:T724,$B$3:$B724)/SUM($B$3:$B724))/STDEVA(Y714:Y724),"")</f>
        <v/>
      </c>
      <c r="AE724" s="84" t="str">
        <f>IF(U724&lt;&gt;"",(Z724-SUMPRODUCT(U$3:U724,$B$3:$B724)/SUM($B$3:$B724))/STDEVA(Z714:Z724),"")</f>
        <v/>
      </c>
      <c r="AF724" s="85" t="str">
        <f>IF(V724&lt;&gt;"",(AA724-SUMPRODUCT(V$3:V724,$B$3:$B724)/SUM($B$3:$B724))/STDEVA(AA714:AA724),"")</f>
        <v/>
      </c>
      <c r="AG724" s="90" t="str">
        <f t="shared" si="304"/>
        <v/>
      </c>
      <c r="AH724" s="90" t="str">
        <f t="shared" si="304"/>
        <v/>
      </c>
      <c r="AI724" s="90" t="str">
        <f t="shared" si="304"/>
        <v/>
      </c>
      <c r="AJ724" s="90" t="str">
        <f t="shared" si="304"/>
        <v/>
      </c>
      <c r="AK724" s="93" t="str">
        <f t="shared" si="305"/>
        <v/>
      </c>
      <c r="BQ724" s="100" t="str">
        <f>IF(A724&lt;&gt;"",(VLOOKUP(A724,MarketData!$D:$BP,MATCH($BQ$1,MarketData!$D$1:$EG$1,0),TRUE)/100/365+1)^(B724)*BQ723,"")</f>
        <v/>
      </c>
      <c r="BR724" s="98" t="str">
        <f t="shared" si="282"/>
        <v/>
      </c>
      <c r="BS724" s="106" t="str">
        <f>IF(A724&lt;&gt;"",VLOOKUP(A724,MarketData!$D:$BP,MATCH($BS$1,MarketData!$D$1:$EG$1,0),TRUE),"")</f>
        <v/>
      </c>
      <c r="BT724" s="98" t="str">
        <f t="shared" si="293"/>
        <v/>
      </c>
    </row>
    <row r="725" spans="2:72" x14ac:dyDescent="0.25">
      <c r="B725" s="60" t="str">
        <f t="shared" si="281"/>
        <v/>
      </c>
      <c r="C725" s="3" t="str">
        <f t="shared" si="283"/>
        <v/>
      </c>
      <c r="D725" s="3" t="str">
        <f t="shared" si="284"/>
        <v/>
      </c>
      <c r="E725" s="3" t="str">
        <f t="shared" si="285"/>
        <v/>
      </c>
      <c r="F725" s="3" t="str">
        <f t="shared" si="286"/>
        <v/>
      </c>
      <c r="G725" s="74" t="str">
        <f t="shared" si="287"/>
        <v/>
      </c>
      <c r="H725" s="78" t="str">
        <f>IFERROR(C725/SUM(M$2:M724),"")</f>
        <v/>
      </c>
      <c r="I725" s="61" t="str">
        <f>IFERROR(D725/SUM(N$2:N725),"")</f>
        <v/>
      </c>
      <c r="J725" s="61" t="str">
        <f>IFERROR(E725/SUM(O$2:O725),"")</f>
        <v/>
      </c>
      <c r="K725" s="61" t="str">
        <f>IFERROR(F725/SUM(P$2:P725),"")</f>
        <v/>
      </c>
      <c r="L725" s="79" t="str">
        <f>IFERROR(G725/SUM(Q$2:Q725),"")</f>
        <v/>
      </c>
      <c r="M725" s="64" t="str">
        <f t="shared" si="288"/>
        <v/>
      </c>
      <c r="N725" s="55" t="str">
        <f t="shared" si="289"/>
        <v/>
      </c>
      <c r="O725" s="55" t="str">
        <f t="shared" si="290"/>
        <v/>
      </c>
      <c r="P725" s="55" t="str">
        <f t="shared" si="291"/>
        <v/>
      </c>
      <c r="Q725" s="65" t="str">
        <f t="shared" si="292"/>
        <v/>
      </c>
      <c r="R725" s="67" t="str">
        <f t="shared" si="294"/>
        <v/>
      </c>
      <c r="S725" s="56" t="str">
        <f t="shared" si="295"/>
        <v/>
      </c>
      <c r="T725" s="56" t="str">
        <f t="shared" si="296"/>
        <v/>
      </c>
      <c r="U725" s="56" t="str">
        <f t="shared" si="297"/>
        <v/>
      </c>
      <c r="V725" s="68" t="str">
        <f t="shared" si="298"/>
        <v/>
      </c>
      <c r="W725" s="80" t="str">
        <f t="shared" si="299"/>
        <v/>
      </c>
      <c r="X725" s="81" t="str">
        <f t="shared" si="300"/>
        <v/>
      </c>
      <c r="Y725" s="81" t="str">
        <f t="shared" si="301"/>
        <v/>
      </c>
      <c r="Z725" s="81" t="str">
        <f t="shared" si="302"/>
        <v/>
      </c>
      <c r="AA725" s="82" t="str">
        <f t="shared" si="303"/>
        <v/>
      </c>
      <c r="AB725" s="83" t="str">
        <f>IF(R725&lt;&gt;"",(W725-SUMPRODUCT(R$3:R725,$B$3:$B725)/SUM($B$3:$B725))/STDEVA(W715:W725),"")</f>
        <v/>
      </c>
      <c r="AC725" s="84" t="str">
        <f>IF(S725&lt;&gt;"",(X725-SUMPRODUCT(S$3:S725,$B$3:$B725)/SUM($B$3:$B725))/STDEVA(X715:X725),"")</f>
        <v/>
      </c>
      <c r="AD725" s="84" t="str">
        <f>IF(T725&lt;&gt;"",(Y725-SUMPRODUCT(T$3:T725,$B$3:$B725)/SUM($B$3:$B725))/STDEVA(Y715:Y725),"")</f>
        <v/>
      </c>
      <c r="AE725" s="84" t="str">
        <f>IF(U725&lt;&gt;"",(Z725-SUMPRODUCT(U$3:U725,$B$3:$B725)/SUM($B$3:$B725))/STDEVA(Z715:Z725),"")</f>
        <v/>
      </c>
      <c r="AF725" s="85" t="str">
        <f>IF(V725&lt;&gt;"",(AA725-SUMPRODUCT(V$3:V725,$B$3:$B725)/SUM($B$3:$B725))/STDEVA(AA715:AA725),"")</f>
        <v/>
      </c>
      <c r="AG725" s="90" t="str">
        <f t="shared" si="304"/>
        <v/>
      </c>
      <c r="AH725" s="90" t="str">
        <f t="shared" si="304"/>
        <v/>
      </c>
      <c r="AI725" s="90" t="str">
        <f t="shared" si="304"/>
        <v/>
      </c>
      <c r="AJ725" s="90" t="str">
        <f t="shared" si="304"/>
        <v/>
      </c>
      <c r="AK725" s="93" t="str">
        <f t="shared" si="305"/>
        <v/>
      </c>
      <c r="BQ725" s="100" t="str">
        <f>IF(A725&lt;&gt;"",(VLOOKUP(A725,MarketData!$D:$BP,MATCH($BQ$1,MarketData!$D$1:$EG$1,0),TRUE)/100/365+1)^(B725)*BQ724,"")</f>
        <v/>
      </c>
      <c r="BR725" s="98" t="str">
        <f t="shared" si="282"/>
        <v/>
      </c>
      <c r="BS725" s="106" t="str">
        <f>IF(A725&lt;&gt;"",VLOOKUP(A725,MarketData!$D:$BP,MATCH($BS$1,MarketData!$D$1:$EG$1,0),TRUE),"")</f>
        <v/>
      </c>
      <c r="BT725" s="98" t="str">
        <f t="shared" si="293"/>
        <v/>
      </c>
    </row>
    <row r="726" spans="2:72" x14ac:dyDescent="0.25">
      <c r="B726" s="60" t="str">
        <f t="shared" si="281"/>
        <v/>
      </c>
      <c r="C726" s="3" t="str">
        <f t="shared" si="283"/>
        <v/>
      </c>
      <c r="D726" s="3" t="str">
        <f t="shared" si="284"/>
        <v/>
      </c>
      <c r="E726" s="3" t="str">
        <f t="shared" si="285"/>
        <v/>
      </c>
      <c r="F726" s="3" t="str">
        <f t="shared" si="286"/>
        <v/>
      </c>
      <c r="G726" s="74" t="str">
        <f t="shared" si="287"/>
        <v/>
      </c>
      <c r="H726" s="78" t="str">
        <f>IFERROR(C726/SUM(M$2:M725),"")</f>
        <v/>
      </c>
      <c r="I726" s="61" t="str">
        <f>IFERROR(D726/SUM(N$2:N726),"")</f>
        <v/>
      </c>
      <c r="J726" s="61" t="str">
        <f>IFERROR(E726/SUM(O$2:O726),"")</f>
        <v/>
      </c>
      <c r="K726" s="61" t="str">
        <f>IFERROR(F726/SUM(P$2:P726),"")</f>
        <v/>
      </c>
      <c r="L726" s="79" t="str">
        <f>IFERROR(G726/SUM(Q$2:Q726),"")</f>
        <v/>
      </c>
      <c r="M726" s="64" t="str">
        <f t="shared" si="288"/>
        <v/>
      </c>
      <c r="N726" s="55" t="str">
        <f t="shared" si="289"/>
        <v/>
      </c>
      <c r="O726" s="55" t="str">
        <f t="shared" si="290"/>
        <v/>
      </c>
      <c r="P726" s="55" t="str">
        <f t="shared" si="291"/>
        <v/>
      </c>
      <c r="Q726" s="65" t="str">
        <f t="shared" si="292"/>
        <v/>
      </c>
      <c r="R726" s="67" t="str">
        <f t="shared" si="294"/>
        <v/>
      </c>
      <c r="S726" s="56" t="str">
        <f t="shared" si="295"/>
        <v/>
      </c>
      <c r="T726" s="56" t="str">
        <f t="shared" si="296"/>
        <v/>
      </c>
      <c r="U726" s="56" t="str">
        <f t="shared" si="297"/>
        <v/>
      </c>
      <c r="V726" s="68" t="str">
        <f t="shared" si="298"/>
        <v/>
      </c>
      <c r="W726" s="80" t="str">
        <f t="shared" si="299"/>
        <v/>
      </c>
      <c r="X726" s="81" t="str">
        <f t="shared" si="300"/>
        <v/>
      </c>
      <c r="Y726" s="81" t="str">
        <f t="shared" si="301"/>
        <v/>
      </c>
      <c r="Z726" s="81" t="str">
        <f t="shared" si="302"/>
        <v/>
      </c>
      <c r="AA726" s="82" t="str">
        <f t="shared" si="303"/>
        <v/>
      </c>
      <c r="AB726" s="83" t="str">
        <f>IF(R726&lt;&gt;"",(W726-SUMPRODUCT(R$3:R726,$B$3:$B726)/SUM($B$3:$B726))/STDEVA(W716:W726),"")</f>
        <v/>
      </c>
      <c r="AC726" s="84" t="str">
        <f>IF(S726&lt;&gt;"",(X726-SUMPRODUCT(S$3:S726,$B$3:$B726)/SUM($B$3:$B726))/STDEVA(X716:X726),"")</f>
        <v/>
      </c>
      <c r="AD726" s="84" t="str">
        <f>IF(T726&lt;&gt;"",(Y726-SUMPRODUCT(T$3:T726,$B$3:$B726)/SUM($B$3:$B726))/STDEVA(Y716:Y726),"")</f>
        <v/>
      </c>
      <c r="AE726" s="84" t="str">
        <f>IF(U726&lt;&gt;"",(Z726-SUMPRODUCT(U$3:U726,$B$3:$B726)/SUM($B$3:$B726))/STDEVA(Z716:Z726),"")</f>
        <v/>
      </c>
      <c r="AF726" s="85" t="str">
        <f>IF(V726&lt;&gt;"",(AA726-SUMPRODUCT(V$3:V726,$B$3:$B726)/SUM($B$3:$B726))/STDEVA(AA716:AA726),"")</f>
        <v/>
      </c>
      <c r="AG726" s="90" t="str">
        <f t="shared" si="304"/>
        <v/>
      </c>
      <c r="AH726" s="90" t="str">
        <f t="shared" si="304"/>
        <v/>
      </c>
      <c r="AI726" s="90" t="str">
        <f t="shared" si="304"/>
        <v/>
      </c>
      <c r="AJ726" s="90" t="str">
        <f t="shared" si="304"/>
        <v/>
      </c>
      <c r="AK726" s="93" t="str">
        <f t="shared" si="305"/>
        <v/>
      </c>
      <c r="BQ726" s="100" t="str">
        <f>IF(A726&lt;&gt;"",(VLOOKUP(A726,MarketData!$D:$BP,MATCH($BQ$1,MarketData!$D$1:$EG$1,0),TRUE)/100/365+1)^(B726)*BQ725,"")</f>
        <v/>
      </c>
      <c r="BR726" s="98" t="str">
        <f t="shared" si="282"/>
        <v/>
      </c>
      <c r="BS726" s="106" t="str">
        <f>IF(A726&lt;&gt;"",VLOOKUP(A726,MarketData!$D:$BP,MATCH($BS$1,MarketData!$D$1:$EG$1,0),TRUE),"")</f>
        <v/>
      </c>
      <c r="BT726" s="98" t="str">
        <f t="shared" si="293"/>
        <v/>
      </c>
    </row>
    <row r="727" spans="2:72" x14ac:dyDescent="0.25">
      <c r="B727" s="60" t="str">
        <f t="shared" si="281"/>
        <v/>
      </c>
      <c r="C727" s="3" t="str">
        <f t="shared" si="283"/>
        <v/>
      </c>
      <c r="D727" s="3" t="str">
        <f t="shared" si="284"/>
        <v/>
      </c>
      <c r="E727" s="3" t="str">
        <f t="shared" si="285"/>
        <v/>
      </c>
      <c r="F727" s="3" t="str">
        <f t="shared" si="286"/>
        <v/>
      </c>
      <c r="G727" s="74" t="str">
        <f t="shared" si="287"/>
        <v/>
      </c>
      <c r="H727" s="78" t="str">
        <f>IFERROR(C727/SUM(M$2:M726),"")</f>
        <v/>
      </c>
      <c r="I727" s="61" t="str">
        <f>IFERROR(D727/SUM(N$2:N727),"")</f>
        <v/>
      </c>
      <c r="J727" s="61" t="str">
        <f>IFERROR(E727/SUM(O$2:O727),"")</f>
        <v/>
      </c>
      <c r="K727" s="61" t="str">
        <f>IFERROR(F727/SUM(P$2:P727),"")</f>
        <v/>
      </c>
      <c r="L727" s="79" t="str">
        <f>IFERROR(G727/SUM(Q$2:Q727),"")</f>
        <v/>
      </c>
      <c r="M727" s="64" t="str">
        <f t="shared" si="288"/>
        <v/>
      </c>
      <c r="N727" s="55" t="str">
        <f t="shared" si="289"/>
        <v/>
      </c>
      <c r="O727" s="55" t="str">
        <f t="shared" si="290"/>
        <v/>
      </c>
      <c r="P727" s="55" t="str">
        <f t="shared" si="291"/>
        <v/>
      </c>
      <c r="Q727" s="65" t="str">
        <f t="shared" si="292"/>
        <v/>
      </c>
      <c r="R727" s="67" t="str">
        <f t="shared" si="294"/>
        <v/>
      </c>
      <c r="S727" s="56" t="str">
        <f t="shared" si="295"/>
        <v/>
      </c>
      <c r="T727" s="56" t="str">
        <f t="shared" si="296"/>
        <v/>
      </c>
      <c r="U727" s="56" t="str">
        <f t="shared" si="297"/>
        <v/>
      </c>
      <c r="V727" s="68" t="str">
        <f t="shared" si="298"/>
        <v/>
      </c>
      <c r="W727" s="80" t="str">
        <f t="shared" si="299"/>
        <v/>
      </c>
      <c r="X727" s="81" t="str">
        <f t="shared" si="300"/>
        <v/>
      </c>
      <c r="Y727" s="81" t="str">
        <f t="shared" si="301"/>
        <v/>
      </c>
      <c r="Z727" s="81" t="str">
        <f t="shared" si="302"/>
        <v/>
      </c>
      <c r="AA727" s="82" t="str">
        <f t="shared" si="303"/>
        <v/>
      </c>
      <c r="AB727" s="83" t="str">
        <f>IF(R727&lt;&gt;"",(W727-SUMPRODUCT(R$3:R727,$B$3:$B727)/SUM($B$3:$B727))/STDEVA(W717:W727),"")</f>
        <v/>
      </c>
      <c r="AC727" s="84" t="str">
        <f>IF(S727&lt;&gt;"",(X727-SUMPRODUCT(S$3:S727,$B$3:$B727)/SUM($B$3:$B727))/STDEVA(X717:X727),"")</f>
        <v/>
      </c>
      <c r="AD727" s="84" t="str">
        <f>IF(T727&lt;&gt;"",(Y727-SUMPRODUCT(T$3:T727,$B$3:$B727)/SUM($B$3:$B727))/STDEVA(Y717:Y727),"")</f>
        <v/>
      </c>
      <c r="AE727" s="84" t="str">
        <f>IF(U727&lt;&gt;"",(Z727-SUMPRODUCT(U$3:U727,$B$3:$B727)/SUM($B$3:$B727))/STDEVA(Z717:Z727),"")</f>
        <v/>
      </c>
      <c r="AF727" s="85" t="str">
        <f>IF(V727&lt;&gt;"",(AA727-SUMPRODUCT(V$3:V727,$B$3:$B727)/SUM($B$3:$B727))/STDEVA(AA717:AA727),"")</f>
        <v/>
      </c>
      <c r="AG727" s="90" t="str">
        <f t="shared" si="304"/>
        <v/>
      </c>
      <c r="AH727" s="90" t="str">
        <f t="shared" si="304"/>
        <v/>
      </c>
      <c r="AI727" s="90" t="str">
        <f t="shared" si="304"/>
        <v/>
      </c>
      <c r="AJ727" s="90" t="str">
        <f t="shared" si="304"/>
        <v/>
      </c>
      <c r="AK727" s="93" t="str">
        <f t="shared" si="305"/>
        <v/>
      </c>
      <c r="BQ727" s="100" t="str">
        <f>IF(A727&lt;&gt;"",(VLOOKUP(A727,MarketData!$D:$BP,MATCH($BQ$1,MarketData!$D$1:$EG$1,0),TRUE)/100/365+1)^(B727)*BQ726,"")</f>
        <v/>
      </c>
      <c r="BR727" s="98" t="str">
        <f t="shared" si="282"/>
        <v/>
      </c>
      <c r="BS727" s="106" t="str">
        <f>IF(A727&lt;&gt;"",VLOOKUP(A727,MarketData!$D:$BP,MATCH($BS$1,MarketData!$D$1:$EG$1,0),TRUE),"")</f>
        <v/>
      </c>
      <c r="BT727" s="98" t="str">
        <f t="shared" si="293"/>
        <v/>
      </c>
    </row>
    <row r="728" spans="2:72" x14ac:dyDescent="0.25">
      <c r="B728" s="60" t="str">
        <f t="shared" si="281"/>
        <v/>
      </c>
      <c r="C728" s="3" t="str">
        <f t="shared" si="283"/>
        <v/>
      </c>
      <c r="D728" s="3" t="str">
        <f t="shared" si="284"/>
        <v/>
      </c>
      <c r="E728" s="3" t="str">
        <f t="shared" si="285"/>
        <v/>
      </c>
      <c r="F728" s="3" t="str">
        <f t="shared" si="286"/>
        <v/>
      </c>
      <c r="G728" s="74" t="str">
        <f t="shared" si="287"/>
        <v/>
      </c>
      <c r="H728" s="78" t="str">
        <f>IFERROR(C728/SUM(M$2:M727),"")</f>
        <v/>
      </c>
      <c r="I728" s="61" t="str">
        <f>IFERROR(D728/SUM(N$2:N728),"")</f>
        <v/>
      </c>
      <c r="J728" s="61" t="str">
        <f>IFERROR(E728/SUM(O$2:O728),"")</f>
        <v/>
      </c>
      <c r="K728" s="61" t="str">
        <f>IFERROR(F728/SUM(P$2:P728),"")</f>
        <v/>
      </c>
      <c r="L728" s="79" t="str">
        <f>IFERROR(G728/SUM(Q$2:Q728),"")</f>
        <v/>
      </c>
      <c r="M728" s="64" t="str">
        <f t="shared" si="288"/>
        <v/>
      </c>
      <c r="N728" s="55" t="str">
        <f t="shared" si="289"/>
        <v/>
      </c>
      <c r="O728" s="55" t="str">
        <f t="shared" si="290"/>
        <v/>
      </c>
      <c r="P728" s="55" t="str">
        <f t="shared" si="291"/>
        <v/>
      </c>
      <c r="Q728" s="65" t="str">
        <f t="shared" si="292"/>
        <v/>
      </c>
      <c r="R728" s="67" t="str">
        <f t="shared" si="294"/>
        <v/>
      </c>
      <c r="S728" s="56" t="str">
        <f t="shared" si="295"/>
        <v/>
      </c>
      <c r="T728" s="56" t="str">
        <f t="shared" si="296"/>
        <v/>
      </c>
      <c r="U728" s="56" t="str">
        <f t="shared" si="297"/>
        <v/>
      </c>
      <c r="V728" s="68" t="str">
        <f t="shared" si="298"/>
        <v/>
      </c>
      <c r="W728" s="80" t="str">
        <f t="shared" si="299"/>
        <v/>
      </c>
      <c r="X728" s="81" t="str">
        <f t="shared" si="300"/>
        <v/>
      </c>
      <c r="Y728" s="81" t="str">
        <f t="shared" si="301"/>
        <v/>
      </c>
      <c r="Z728" s="81" t="str">
        <f t="shared" si="302"/>
        <v/>
      </c>
      <c r="AA728" s="82" t="str">
        <f t="shared" si="303"/>
        <v/>
      </c>
      <c r="AB728" s="83" t="str">
        <f>IF(R728&lt;&gt;"",(W728-SUMPRODUCT(R$3:R728,$B$3:$B728)/SUM($B$3:$B728))/STDEVA(W718:W728),"")</f>
        <v/>
      </c>
      <c r="AC728" s="84" t="str">
        <f>IF(S728&lt;&gt;"",(X728-SUMPRODUCT(S$3:S728,$B$3:$B728)/SUM($B$3:$B728))/STDEVA(X718:X728),"")</f>
        <v/>
      </c>
      <c r="AD728" s="84" t="str">
        <f>IF(T728&lt;&gt;"",(Y728-SUMPRODUCT(T$3:T728,$B$3:$B728)/SUM($B$3:$B728))/STDEVA(Y718:Y728),"")</f>
        <v/>
      </c>
      <c r="AE728" s="84" t="str">
        <f>IF(U728&lt;&gt;"",(Z728-SUMPRODUCT(U$3:U728,$B$3:$B728)/SUM($B$3:$B728))/STDEVA(Z718:Z728),"")</f>
        <v/>
      </c>
      <c r="AF728" s="85" t="str">
        <f>IF(V728&lt;&gt;"",(AA728-SUMPRODUCT(V$3:V728,$B$3:$B728)/SUM($B$3:$B728))/STDEVA(AA718:AA728),"")</f>
        <v/>
      </c>
      <c r="AG728" s="90" t="str">
        <f t="shared" si="304"/>
        <v/>
      </c>
      <c r="AH728" s="90" t="str">
        <f t="shared" si="304"/>
        <v/>
      </c>
      <c r="AI728" s="90" t="str">
        <f t="shared" si="304"/>
        <v/>
      </c>
      <c r="AJ728" s="90" t="str">
        <f t="shared" si="304"/>
        <v/>
      </c>
      <c r="AK728" s="93" t="str">
        <f t="shared" si="305"/>
        <v/>
      </c>
      <c r="BQ728" s="100" t="str">
        <f>IF(A728&lt;&gt;"",(VLOOKUP(A728,MarketData!$D:$BP,MATCH($BQ$1,MarketData!$D$1:$EG$1,0),TRUE)/100/365+1)^(B728)*BQ727,"")</f>
        <v/>
      </c>
      <c r="BR728" s="98" t="str">
        <f t="shared" si="282"/>
        <v/>
      </c>
      <c r="BS728" s="106" t="str">
        <f>IF(A728&lt;&gt;"",VLOOKUP(A728,MarketData!$D:$BP,MATCH($BS$1,MarketData!$D$1:$EG$1,0),TRUE),"")</f>
        <v/>
      </c>
      <c r="BT728" s="98" t="str">
        <f t="shared" si="293"/>
        <v/>
      </c>
    </row>
    <row r="729" spans="2:72" x14ac:dyDescent="0.25">
      <c r="B729" s="60" t="str">
        <f t="shared" si="281"/>
        <v/>
      </c>
      <c r="C729" s="3" t="str">
        <f t="shared" si="283"/>
        <v/>
      </c>
      <c r="D729" s="3" t="str">
        <f t="shared" si="284"/>
        <v/>
      </c>
      <c r="E729" s="3" t="str">
        <f t="shared" si="285"/>
        <v/>
      </c>
      <c r="F729" s="3" t="str">
        <f t="shared" si="286"/>
        <v/>
      </c>
      <c r="G729" s="74" t="str">
        <f t="shared" si="287"/>
        <v/>
      </c>
      <c r="H729" s="78" t="str">
        <f>IFERROR(C729/SUM(M$2:M728),"")</f>
        <v/>
      </c>
      <c r="I729" s="61" t="str">
        <f>IFERROR(D729/SUM(N$2:N729),"")</f>
        <v/>
      </c>
      <c r="J729" s="61" t="str">
        <f>IFERROR(E729/SUM(O$2:O729),"")</f>
        <v/>
      </c>
      <c r="K729" s="61" t="str">
        <f>IFERROR(F729/SUM(P$2:P729),"")</f>
        <v/>
      </c>
      <c r="L729" s="79" t="str">
        <f>IFERROR(G729/SUM(Q$2:Q729),"")</f>
        <v/>
      </c>
      <c r="M729" s="64" t="str">
        <f t="shared" si="288"/>
        <v/>
      </c>
      <c r="N729" s="55" t="str">
        <f t="shared" si="289"/>
        <v/>
      </c>
      <c r="O729" s="55" t="str">
        <f t="shared" si="290"/>
        <v/>
      </c>
      <c r="P729" s="55" t="str">
        <f t="shared" si="291"/>
        <v/>
      </c>
      <c r="Q729" s="65" t="str">
        <f t="shared" si="292"/>
        <v/>
      </c>
      <c r="R729" s="67" t="str">
        <f t="shared" si="294"/>
        <v/>
      </c>
      <c r="S729" s="56" t="str">
        <f t="shared" si="295"/>
        <v/>
      </c>
      <c r="T729" s="56" t="str">
        <f t="shared" si="296"/>
        <v/>
      </c>
      <c r="U729" s="56" t="str">
        <f t="shared" si="297"/>
        <v/>
      </c>
      <c r="V729" s="68" t="str">
        <f t="shared" si="298"/>
        <v/>
      </c>
      <c r="W729" s="80" t="str">
        <f t="shared" si="299"/>
        <v/>
      </c>
      <c r="X729" s="81" t="str">
        <f t="shared" si="300"/>
        <v/>
      </c>
      <c r="Y729" s="81" t="str">
        <f t="shared" si="301"/>
        <v/>
      </c>
      <c r="Z729" s="81" t="str">
        <f t="shared" si="302"/>
        <v/>
      </c>
      <c r="AA729" s="82" t="str">
        <f t="shared" si="303"/>
        <v/>
      </c>
      <c r="AB729" s="83" t="str">
        <f>IF(R729&lt;&gt;"",(W729-SUMPRODUCT(R$3:R729,$B$3:$B729)/SUM($B$3:$B729))/STDEVA(W719:W729),"")</f>
        <v/>
      </c>
      <c r="AC729" s="84" t="str">
        <f>IF(S729&lt;&gt;"",(X729-SUMPRODUCT(S$3:S729,$B$3:$B729)/SUM($B$3:$B729))/STDEVA(X719:X729),"")</f>
        <v/>
      </c>
      <c r="AD729" s="84" t="str">
        <f>IF(T729&lt;&gt;"",(Y729-SUMPRODUCT(T$3:T729,$B$3:$B729)/SUM($B$3:$B729))/STDEVA(Y719:Y729),"")</f>
        <v/>
      </c>
      <c r="AE729" s="84" t="str">
        <f>IF(U729&lt;&gt;"",(Z729-SUMPRODUCT(U$3:U729,$B$3:$B729)/SUM($B$3:$B729))/STDEVA(Z719:Z729),"")</f>
        <v/>
      </c>
      <c r="AF729" s="85" t="str">
        <f>IF(V729&lt;&gt;"",(AA729-SUMPRODUCT(V$3:V729,$B$3:$B729)/SUM($B$3:$B729))/STDEVA(AA719:AA729),"")</f>
        <v/>
      </c>
      <c r="AG729" s="90" t="str">
        <f t="shared" si="304"/>
        <v/>
      </c>
      <c r="AH729" s="90" t="str">
        <f t="shared" si="304"/>
        <v/>
      </c>
      <c r="AI729" s="90" t="str">
        <f t="shared" si="304"/>
        <v/>
      </c>
      <c r="AJ729" s="90" t="str">
        <f t="shared" si="304"/>
        <v/>
      </c>
      <c r="AK729" s="93" t="str">
        <f t="shared" si="305"/>
        <v/>
      </c>
      <c r="BQ729" s="100" t="str">
        <f>IF(A729&lt;&gt;"",(VLOOKUP(A729,MarketData!$D:$BP,MATCH($BQ$1,MarketData!$D$1:$EG$1,0),TRUE)/100/365+1)^(B729)*BQ728,"")</f>
        <v/>
      </c>
      <c r="BR729" s="98" t="str">
        <f t="shared" si="282"/>
        <v/>
      </c>
      <c r="BS729" s="106" t="str">
        <f>IF(A729&lt;&gt;"",VLOOKUP(A729,MarketData!$D:$BP,MATCH($BS$1,MarketData!$D$1:$EG$1,0),TRUE),"")</f>
        <v/>
      </c>
      <c r="BT729" s="98" t="str">
        <f t="shared" si="293"/>
        <v/>
      </c>
    </row>
    <row r="730" spans="2:72" x14ac:dyDescent="0.25">
      <c r="B730" s="60" t="str">
        <f t="shared" si="281"/>
        <v/>
      </c>
      <c r="C730" s="3" t="str">
        <f t="shared" si="283"/>
        <v/>
      </c>
      <c r="D730" s="3" t="str">
        <f t="shared" si="284"/>
        <v/>
      </c>
      <c r="E730" s="3" t="str">
        <f t="shared" si="285"/>
        <v/>
      </c>
      <c r="F730" s="3" t="str">
        <f t="shared" si="286"/>
        <v/>
      </c>
      <c r="G730" s="74" t="str">
        <f t="shared" si="287"/>
        <v/>
      </c>
      <c r="H730" s="78" t="str">
        <f>IFERROR(C730/SUM(M$2:M729),"")</f>
        <v/>
      </c>
      <c r="I730" s="61" t="str">
        <f>IFERROR(D730/SUM(N$2:N730),"")</f>
        <v/>
      </c>
      <c r="J730" s="61" t="str">
        <f>IFERROR(E730/SUM(O$2:O730),"")</f>
        <v/>
      </c>
      <c r="K730" s="61" t="str">
        <f>IFERROR(F730/SUM(P$2:P730),"")</f>
        <v/>
      </c>
      <c r="L730" s="79" t="str">
        <f>IFERROR(G730/SUM(Q$2:Q730),"")</f>
        <v/>
      </c>
      <c r="M730" s="64" t="str">
        <f t="shared" si="288"/>
        <v/>
      </c>
      <c r="N730" s="55" t="str">
        <f t="shared" si="289"/>
        <v/>
      </c>
      <c r="O730" s="55" t="str">
        <f t="shared" si="290"/>
        <v/>
      </c>
      <c r="P730" s="55" t="str">
        <f t="shared" si="291"/>
        <v/>
      </c>
      <c r="Q730" s="65" t="str">
        <f t="shared" si="292"/>
        <v/>
      </c>
      <c r="R730" s="67" t="str">
        <f t="shared" si="294"/>
        <v/>
      </c>
      <c r="S730" s="56" t="str">
        <f t="shared" si="295"/>
        <v/>
      </c>
      <c r="T730" s="56" t="str">
        <f t="shared" si="296"/>
        <v/>
      </c>
      <c r="U730" s="56" t="str">
        <f t="shared" si="297"/>
        <v/>
      </c>
      <c r="V730" s="68" t="str">
        <f t="shared" si="298"/>
        <v/>
      </c>
      <c r="W730" s="80" t="str">
        <f t="shared" si="299"/>
        <v/>
      </c>
      <c r="X730" s="81" t="str">
        <f t="shared" si="300"/>
        <v/>
      </c>
      <c r="Y730" s="81" t="str">
        <f t="shared" si="301"/>
        <v/>
      </c>
      <c r="Z730" s="81" t="str">
        <f t="shared" si="302"/>
        <v/>
      </c>
      <c r="AA730" s="82" t="str">
        <f t="shared" si="303"/>
        <v/>
      </c>
      <c r="AB730" s="83" t="str">
        <f>IF(R730&lt;&gt;"",(W730-SUMPRODUCT(R$3:R730,$B$3:$B730)/SUM($B$3:$B730))/STDEVA(W720:W730),"")</f>
        <v/>
      </c>
      <c r="AC730" s="84" t="str">
        <f>IF(S730&lt;&gt;"",(X730-SUMPRODUCT(S$3:S730,$B$3:$B730)/SUM($B$3:$B730))/STDEVA(X720:X730),"")</f>
        <v/>
      </c>
      <c r="AD730" s="84" t="str">
        <f>IF(T730&lt;&gt;"",(Y730-SUMPRODUCT(T$3:T730,$B$3:$B730)/SUM($B$3:$B730))/STDEVA(Y720:Y730),"")</f>
        <v/>
      </c>
      <c r="AE730" s="84" t="str">
        <f>IF(U730&lt;&gt;"",(Z730-SUMPRODUCT(U$3:U730,$B$3:$B730)/SUM($B$3:$B730))/STDEVA(Z720:Z730),"")</f>
        <v/>
      </c>
      <c r="AF730" s="85" t="str">
        <f>IF(V730&lt;&gt;"",(AA730-SUMPRODUCT(V$3:V730,$B$3:$B730)/SUM($B$3:$B730))/STDEVA(AA720:AA730),"")</f>
        <v/>
      </c>
      <c r="AG730" s="90" t="str">
        <f t="shared" si="304"/>
        <v/>
      </c>
      <c r="AH730" s="90" t="str">
        <f t="shared" si="304"/>
        <v/>
      </c>
      <c r="AI730" s="90" t="str">
        <f t="shared" si="304"/>
        <v/>
      </c>
      <c r="AJ730" s="90" t="str">
        <f t="shared" si="304"/>
        <v/>
      </c>
      <c r="AK730" s="93" t="str">
        <f t="shared" si="305"/>
        <v/>
      </c>
      <c r="BQ730" s="100" t="str">
        <f>IF(A730&lt;&gt;"",(VLOOKUP(A730,MarketData!$D:$BP,MATCH($BQ$1,MarketData!$D$1:$EG$1,0),TRUE)/100/365+1)^(B730)*BQ729,"")</f>
        <v/>
      </c>
      <c r="BR730" s="98" t="str">
        <f t="shared" si="282"/>
        <v/>
      </c>
      <c r="BS730" s="106" t="str">
        <f>IF(A730&lt;&gt;"",VLOOKUP(A730,MarketData!$D:$BP,MATCH($BS$1,MarketData!$D$1:$EG$1,0),TRUE),"")</f>
        <v/>
      </c>
      <c r="BT730" s="98" t="str">
        <f t="shared" si="293"/>
        <v/>
      </c>
    </row>
    <row r="731" spans="2:72" x14ac:dyDescent="0.25">
      <c r="B731" s="60" t="str">
        <f t="shared" ref="B731:B794" si="306">IF(A731&lt;&gt;0,A731-A730,"")</f>
        <v/>
      </c>
      <c r="C731" s="3" t="str">
        <f t="shared" si="283"/>
        <v/>
      </c>
      <c r="D731" s="3" t="str">
        <f t="shared" si="284"/>
        <v/>
      </c>
      <c r="E731" s="3" t="str">
        <f t="shared" si="285"/>
        <v/>
      </c>
      <c r="F731" s="3" t="str">
        <f t="shared" si="286"/>
        <v/>
      </c>
      <c r="G731" s="74" t="str">
        <f t="shared" si="287"/>
        <v/>
      </c>
      <c r="H731" s="78" t="str">
        <f>IFERROR(C731/SUM(M$2:M730),"")</f>
        <v/>
      </c>
      <c r="I731" s="61" t="str">
        <f>IFERROR(D731/SUM(N$2:N731),"")</f>
        <v/>
      </c>
      <c r="J731" s="61" t="str">
        <f>IFERROR(E731/SUM(O$2:O731),"")</f>
        <v/>
      </c>
      <c r="K731" s="61" t="str">
        <f>IFERROR(F731/SUM(P$2:P731),"")</f>
        <v/>
      </c>
      <c r="L731" s="79" t="str">
        <f>IFERROR(G731/SUM(Q$2:Q731),"")</f>
        <v/>
      </c>
      <c r="M731" s="64" t="str">
        <f t="shared" si="288"/>
        <v/>
      </c>
      <c r="N731" s="55" t="str">
        <f t="shared" si="289"/>
        <v/>
      </c>
      <c r="O731" s="55" t="str">
        <f t="shared" si="290"/>
        <v/>
      </c>
      <c r="P731" s="55" t="str">
        <f t="shared" si="291"/>
        <v/>
      </c>
      <c r="Q731" s="65" t="str">
        <f t="shared" si="292"/>
        <v/>
      </c>
      <c r="R731" s="67" t="str">
        <f t="shared" si="294"/>
        <v/>
      </c>
      <c r="S731" s="56" t="str">
        <f t="shared" si="295"/>
        <v/>
      </c>
      <c r="T731" s="56" t="str">
        <f t="shared" si="296"/>
        <v/>
      </c>
      <c r="U731" s="56" t="str">
        <f t="shared" si="297"/>
        <v/>
      </c>
      <c r="V731" s="68" t="str">
        <f t="shared" si="298"/>
        <v/>
      </c>
      <c r="W731" s="80" t="str">
        <f t="shared" si="299"/>
        <v/>
      </c>
      <c r="X731" s="81" t="str">
        <f t="shared" si="300"/>
        <v/>
      </c>
      <c r="Y731" s="81" t="str">
        <f t="shared" si="301"/>
        <v/>
      </c>
      <c r="Z731" s="81" t="str">
        <f t="shared" si="302"/>
        <v/>
      </c>
      <c r="AA731" s="82" t="str">
        <f t="shared" si="303"/>
        <v/>
      </c>
      <c r="AB731" s="83" t="str">
        <f>IF(R731&lt;&gt;"",(W731-SUMPRODUCT(R$3:R731,$B$3:$B731)/SUM($B$3:$B731))/STDEVA(W721:W731),"")</f>
        <v/>
      </c>
      <c r="AC731" s="84" t="str">
        <f>IF(S731&lt;&gt;"",(X731-SUMPRODUCT(S$3:S731,$B$3:$B731)/SUM($B$3:$B731))/STDEVA(X721:X731),"")</f>
        <v/>
      </c>
      <c r="AD731" s="84" t="str">
        <f>IF(T731&lt;&gt;"",(Y731-SUMPRODUCT(T$3:T731,$B$3:$B731)/SUM($B$3:$B731))/STDEVA(Y721:Y731),"")</f>
        <v/>
      </c>
      <c r="AE731" s="84" t="str">
        <f>IF(U731&lt;&gt;"",(Z731-SUMPRODUCT(U$3:U731,$B$3:$B731)/SUM($B$3:$B731))/STDEVA(Z721:Z731),"")</f>
        <v/>
      </c>
      <c r="AF731" s="85" t="str">
        <f>IF(V731&lt;&gt;"",(AA731-SUMPRODUCT(V$3:V731,$B$3:$B731)/SUM($B$3:$B731))/STDEVA(AA721:AA731),"")</f>
        <v/>
      </c>
      <c r="AG731" s="90" t="str">
        <f t="shared" si="304"/>
        <v/>
      </c>
      <c r="AH731" s="90" t="str">
        <f t="shared" si="304"/>
        <v/>
      </c>
      <c r="AI731" s="90" t="str">
        <f t="shared" si="304"/>
        <v/>
      </c>
      <c r="AJ731" s="90" t="str">
        <f t="shared" si="304"/>
        <v/>
      </c>
      <c r="AK731" s="93" t="str">
        <f t="shared" si="305"/>
        <v/>
      </c>
      <c r="BQ731" s="100" t="str">
        <f>IF(A731&lt;&gt;"",(VLOOKUP(A731,MarketData!$D:$BP,MATCH($BQ$1,MarketData!$D$1:$EG$1,0),TRUE)/100/365+1)^(B731)*BQ730,"")</f>
        <v/>
      </c>
      <c r="BR731" s="98" t="str">
        <f t="shared" si="282"/>
        <v/>
      </c>
      <c r="BS731" s="106" t="str">
        <f>IF(A731&lt;&gt;"",VLOOKUP(A731,MarketData!$D:$BP,MATCH($BS$1,MarketData!$D$1:$EG$1,0),TRUE),"")</f>
        <v/>
      </c>
      <c r="BT731" s="98" t="str">
        <f t="shared" si="293"/>
        <v/>
      </c>
    </row>
    <row r="732" spans="2:72" x14ac:dyDescent="0.25">
      <c r="B732" s="60" t="str">
        <f t="shared" si="306"/>
        <v/>
      </c>
      <c r="C732" s="3" t="str">
        <f t="shared" si="283"/>
        <v/>
      </c>
      <c r="D732" s="3" t="str">
        <f t="shared" si="284"/>
        <v/>
      </c>
      <c r="E732" s="3" t="str">
        <f t="shared" si="285"/>
        <v/>
      </c>
      <c r="F732" s="3" t="str">
        <f t="shared" si="286"/>
        <v/>
      </c>
      <c r="G732" s="74" t="str">
        <f t="shared" si="287"/>
        <v/>
      </c>
      <c r="H732" s="78" t="str">
        <f>IFERROR(C732/SUM(M$2:M731),"")</f>
        <v/>
      </c>
      <c r="I732" s="61" t="str">
        <f>IFERROR(D732/SUM(N$2:N732),"")</f>
        <v/>
      </c>
      <c r="J732" s="61" t="str">
        <f>IFERROR(E732/SUM(O$2:O732),"")</f>
        <v/>
      </c>
      <c r="K732" s="61" t="str">
        <f>IFERROR(F732/SUM(P$2:P732),"")</f>
        <v/>
      </c>
      <c r="L732" s="79" t="str">
        <f>IFERROR(G732/SUM(Q$2:Q732),"")</f>
        <v/>
      </c>
      <c r="M732" s="64" t="str">
        <f t="shared" si="288"/>
        <v/>
      </c>
      <c r="N732" s="55" t="str">
        <f t="shared" si="289"/>
        <v/>
      </c>
      <c r="O732" s="55" t="str">
        <f t="shared" si="290"/>
        <v/>
      </c>
      <c r="P732" s="55" t="str">
        <f t="shared" si="291"/>
        <v/>
      </c>
      <c r="Q732" s="65" t="str">
        <f t="shared" si="292"/>
        <v/>
      </c>
      <c r="R732" s="67" t="str">
        <f t="shared" si="294"/>
        <v/>
      </c>
      <c r="S732" s="56" t="str">
        <f t="shared" si="295"/>
        <v/>
      </c>
      <c r="T732" s="56" t="str">
        <f t="shared" si="296"/>
        <v/>
      </c>
      <c r="U732" s="56" t="str">
        <f t="shared" si="297"/>
        <v/>
      </c>
      <c r="V732" s="68" t="str">
        <f t="shared" si="298"/>
        <v/>
      </c>
      <c r="W732" s="80" t="str">
        <f t="shared" si="299"/>
        <v/>
      </c>
      <c r="X732" s="81" t="str">
        <f t="shared" si="300"/>
        <v/>
      </c>
      <c r="Y732" s="81" t="str">
        <f t="shared" si="301"/>
        <v/>
      </c>
      <c r="Z732" s="81" t="str">
        <f t="shared" si="302"/>
        <v/>
      </c>
      <c r="AA732" s="82" t="str">
        <f t="shared" si="303"/>
        <v/>
      </c>
      <c r="AB732" s="83" t="str">
        <f>IF(R732&lt;&gt;"",(W732-SUMPRODUCT(R$3:R732,$B$3:$B732)/SUM($B$3:$B732))/STDEVA(W722:W732),"")</f>
        <v/>
      </c>
      <c r="AC732" s="84" t="str">
        <f>IF(S732&lt;&gt;"",(X732-SUMPRODUCT(S$3:S732,$B$3:$B732)/SUM($B$3:$B732))/STDEVA(X722:X732),"")</f>
        <v/>
      </c>
      <c r="AD732" s="84" t="str">
        <f>IF(T732&lt;&gt;"",(Y732-SUMPRODUCT(T$3:T732,$B$3:$B732)/SUM($B$3:$B732))/STDEVA(Y722:Y732),"")</f>
        <v/>
      </c>
      <c r="AE732" s="84" t="str">
        <f>IF(U732&lt;&gt;"",(Z732-SUMPRODUCT(U$3:U732,$B$3:$B732)/SUM($B$3:$B732))/STDEVA(Z722:Z732),"")</f>
        <v/>
      </c>
      <c r="AF732" s="85" t="str">
        <f>IF(V732&lt;&gt;"",(AA732-SUMPRODUCT(V$3:V732,$B$3:$B732)/SUM($B$3:$B732))/STDEVA(AA722:AA732),"")</f>
        <v/>
      </c>
      <c r="AG732" s="90" t="str">
        <f t="shared" si="304"/>
        <v/>
      </c>
      <c r="AH732" s="90" t="str">
        <f t="shared" si="304"/>
        <v/>
      </c>
      <c r="AI732" s="90" t="str">
        <f t="shared" si="304"/>
        <v/>
      </c>
      <c r="AJ732" s="90" t="str">
        <f t="shared" si="304"/>
        <v/>
      </c>
      <c r="AK732" s="93" t="str">
        <f t="shared" si="305"/>
        <v/>
      </c>
      <c r="BQ732" s="100" t="str">
        <f>IF(A732&lt;&gt;"",(VLOOKUP(A732,MarketData!$D:$BP,MATCH($BQ$1,MarketData!$D$1:$EG$1,0),TRUE)/100/365+1)^(B732)*BQ731,"")</f>
        <v/>
      </c>
      <c r="BR732" s="98" t="str">
        <f t="shared" si="282"/>
        <v/>
      </c>
      <c r="BS732" s="106" t="str">
        <f>IF(A732&lt;&gt;"",VLOOKUP(A732,MarketData!$D:$BP,MATCH($BS$1,MarketData!$D$1:$EG$1,0),TRUE),"")</f>
        <v/>
      </c>
      <c r="BT732" s="98" t="str">
        <f t="shared" si="293"/>
        <v/>
      </c>
    </row>
    <row r="733" spans="2:72" x14ac:dyDescent="0.25">
      <c r="B733" s="60" t="str">
        <f t="shared" si="306"/>
        <v/>
      </c>
      <c r="C733" s="3" t="str">
        <f t="shared" si="283"/>
        <v/>
      </c>
      <c r="D733" s="3" t="str">
        <f t="shared" si="284"/>
        <v/>
      </c>
      <c r="E733" s="3" t="str">
        <f t="shared" si="285"/>
        <v/>
      </c>
      <c r="F733" s="3" t="str">
        <f t="shared" si="286"/>
        <v/>
      </c>
      <c r="G733" s="74" t="str">
        <f t="shared" si="287"/>
        <v/>
      </c>
      <c r="H733" s="78" t="str">
        <f>IFERROR(C733/SUM(M$2:M732),"")</f>
        <v/>
      </c>
      <c r="I733" s="61" t="str">
        <f>IFERROR(D733/SUM(N$2:N733),"")</f>
        <v/>
      </c>
      <c r="J733" s="61" t="str">
        <f>IFERROR(E733/SUM(O$2:O733),"")</f>
        <v/>
      </c>
      <c r="K733" s="61" t="str">
        <f>IFERROR(F733/SUM(P$2:P733),"")</f>
        <v/>
      </c>
      <c r="L733" s="79" t="str">
        <f>IFERROR(G733/SUM(Q$2:Q733),"")</f>
        <v/>
      </c>
      <c r="M733" s="64" t="str">
        <f t="shared" si="288"/>
        <v/>
      </c>
      <c r="N733" s="55" t="str">
        <f t="shared" si="289"/>
        <v/>
      </c>
      <c r="O733" s="55" t="str">
        <f t="shared" si="290"/>
        <v/>
      </c>
      <c r="P733" s="55" t="str">
        <f t="shared" si="291"/>
        <v/>
      </c>
      <c r="Q733" s="65" t="str">
        <f t="shared" si="292"/>
        <v/>
      </c>
      <c r="R733" s="67" t="str">
        <f t="shared" si="294"/>
        <v/>
      </c>
      <c r="S733" s="56" t="str">
        <f t="shared" si="295"/>
        <v/>
      </c>
      <c r="T733" s="56" t="str">
        <f t="shared" si="296"/>
        <v/>
      </c>
      <c r="U733" s="56" t="str">
        <f t="shared" si="297"/>
        <v/>
      </c>
      <c r="V733" s="68" t="str">
        <f t="shared" si="298"/>
        <v/>
      </c>
      <c r="W733" s="80" t="str">
        <f t="shared" si="299"/>
        <v/>
      </c>
      <c r="X733" s="81" t="str">
        <f t="shared" si="300"/>
        <v/>
      </c>
      <c r="Y733" s="81" t="str">
        <f t="shared" si="301"/>
        <v/>
      </c>
      <c r="Z733" s="81" t="str">
        <f t="shared" si="302"/>
        <v/>
      </c>
      <c r="AA733" s="82" t="str">
        <f t="shared" si="303"/>
        <v/>
      </c>
      <c r="AB733" s="83" t="str">
        <f>IF(R733&lt;&gt;"",(W733-SUMPRODUCT(R$3:R733,$B$3:$B733)/SUM($B$3:$B733))/STDEVA(W723:W733),"")</f>
        <v/>
      </c>
      <c r="AC733" s="84" t="str">
        <f>IF(S733&lt;&gt;"",(X733-SUMPRODUCT(S$3:S733,$B$3:$B733)/SUM($B$3:$B733))/STDEVA(X723:X733),"")</f>
        <v/>
      </c>
      <c r="AD733" s="84" t="str">
        <f>IF(T733&lt;&gt;"",(Y733-SUMPRODUCT(T$3:T733,$B$3:$B733)/SUM($B$3:$B733))/STDEVA(Y723:Y733),"")</f>
        <v/>
      </c>
      <c r="AE733" s="84" t="str">
        <f>IF(U733&lt;&gt;"",(Z733-SUMPRODUCT(U$3:U733,$B$3:$B733)/SUM($B$3:$B733))/STDEVA(Z723:Z733),"")</f>
        <v/>
      </c>
      <c r="AF733" s="85" t="str">
        <f>IF(V733&lt;&gt;"",(AA733-SUMPRODUCT(V$3:V733,$B$3:$B733)/SUM($B$3:$B733))/STDEVA(AA723:AA733),"")</f>
        <v/>
      </c>
      <c r="AG733" s="90" t="str">
        <f t="shared" si="304"/>
        <v/>
      </c>
      <c r="AH733" s="90" t="str">
        <f t="shared" si="304"/>
        <v/>
      </c>
      <c r="AI733" s="90" t="str">
        <f t="shared" si="304"/>
        <v/>
      </c>
      <c r="AJ733" s="90" t="str">
        <f t="shared" si="304"/>
        <v/>
      </c>
      <c r="AK733" s="93" t="str">
        <f t="shared" si="305"/>
        <v/>
      </c>
      <c r="BQ733" s="100" t="str">
        <f>IF(A733&lt;&gt;"",(VLOOKUP(A733,MarketData!$D:$BP,MATCH($BQ$1,MarketData!$D$1:$EG$1,0),TRUE)/100/365+1)^(B733)*BQ732,"")</f>
        <v/>
      </c>
      <c r="BR733" s="98" t="str">
        <f t="shared" si="282"/>
        <v/>
      </c>
      <c r="BS733" s="106" t="str">
        <f>IF(A733&lt;&gt;"",VLOOKUP(A733,MarketData!$D:$BP,MATCH($BS$1,MarketData!$D$1:$EG$1,0),TRUE),"")</f>
        <v/>
      </c>
      <c r="BT733" s="98" t="str">
        <f t="shared" si="293"/>
        <v/>
      </c>
    </row>
    <row r="734" spans="2:72" x14ac:dyDescent="0.25">
      <c r="B734" s="60" t="str">
        <f t="shared" si="306"/>
        <v/>
      </c>
      <c r="C734" s="3" t="str">
        <f t="shared" si="283"/>
        <v/>
      </c>
      <c r="D734" s="3" t="str">
        <f t="shared" si="284"/>
        <v/>
      </c>
      <c r="E734" s="3" t="str">
        <f t="shared" si="285"/>
        <v/>
      </c>
      <c r="F734" s="3" t="str">
        <f t="shared" si="286"/>
        <v/>
      </c>
      <c r="G734" s="74" t="str">
        <f t="shared" si="287"/>
        <v/>
      </c>
      <c r="H734" s="78" t="str">
        <f>IFERROR(C734/SUM(M$2:M733),"")</f>
        <v/>
      </c>
      <c r="I734" s="61" t="str">
        <f>IFERROR(D734/SUM(N$2:N734),"")</f>
        <v/>
      </c>
      <c r="J734" s="61" t="str">
        <f>IFERROR(E734/SUM(O$2:O734),"")</f>
        <v/>
      </c>
      <c r="K734" s="61" t="str">
        <f>IFERROR(F734/SUM(P$2:P734),"")</f>
        <v/>
      </c>
      <c r="L734" s="79" t="str">
        <f>IFERROR(G734/SUM(Q$2:Q734),"")</f>
        <v/>
      </c>
      <c r="M734" s="64" t="str">
        <f t="shared" si="288"/>
        <v/>
      </c>
      <c r="N734" s="55" t="str">
        <f t="shared" si="289"/>
        <v/>
      </c>
      <c r="O734" s="55" t="str">
        <f t="shared" si="290"/>
        <v/>
      </c>
      <c r="P734" s="55" t="str">
        <f t="shared" si="291"/>
        <v/>
      </c>
      <c r="Q734" s="65" t="str">
        <f t="shared" si="292"/>
        <v/>
      </c>
      <c r="R734" s="67" t="str">
        <f t="shared" si="294"/>
        <v/>
      </c>
      <c r="S734" s="56" t="str">
        <f t="shared" si="295"/>
        <v/>
      </c>
      <c r="T734" s="56" t="str">
        <f t="shared" si="296"/>
        <v/>
      </c>
      <c r="U734" s="56" t="str">
        <f t="shared" si="297"/>
        <v/>
      </c>
      <c r="V734" s="68" t="str">
        <f t="shared" si="298"/>
        <v/>
      </c>
      <c r="W734" s="80" t="str">
        <f t="shared" si="299"/>
        <v/>
      </c>
      <c r="X734" s="81" t="str">
        <f t="shared" si="300"/>
        <v/>
      </c>
      <c r="Y734" s="81" t="str">
        <f t="shared" si="301"/>
        <v/>
      </c>
      <c r="Z734" s="81" t="str">
        <f t="shared" si="302"/>
        <v/>
      </c>
      <c r="AA734" s="82" t="str">
        <f t="shared" si="303"/>
        <v/>
      </c>
      <c r="AB734" s="83" t="str">
        <f>IF(R734&lt;&gt;"",(W734-SUMPRODUCT(R$3:R734,$B$3:$B734)/SUM($B$3:$B734))/STDEVA(W724:W734),"")</f>
        <v/>
      </c>
      <c r="AC734" s="84" t="str">
        <f>IF(S734&lt;&gt;"",(X734-SUMPRODUCT(S$3:S734,$B$3:$B734)/SUM($B$3:$B734))/STDEVA(X724:X734),"")</f>
        <v/>
      </c>
      <c r="AD734" s="84" t="str">
        <f>IF(T734&lt;&gt;"",(Y734-SUMPRODUCT(T$3:T734,$B$3:$B734)/SUM($B$3:$B734))/STDEVA(Y724:Y734),"")</f>
        <v/>
      </c>
      <c r="AE734" s="84" t="str">
        <f>IF(U734&lt;&gt;"",(Z734-SUMPRODUCT(U$3:U734,$B$3:$B734)/SUM($B$3:$B734))/STDEVA(Z724:Z734),"")</f>
        <v/>
      </c>
      <c r="AF734" s="85" t="str">
        <f>IF(V734&lt;&gt;"",(AA734-SUMPRODUCT(V$3:V734,$B$3:$B734)/SUM($B$3:$B734))/STDEVA(AA724:AA734),"")</f>
        <v/>
      </c>
      <c r="AG734" s="90" t="str">
        <f t="shared" si="304"/>
        <v/>
      </c>
      <c r="AH734" s="90" t="str">
        <f t="shared" si="304"/>
        <v/>
      </c>
      <c r="AI734" s="90" t="str">
        <f t="shared" si="304"/>
        <v/>
      </c>
      <c r="AJ734" s="90" t="str">
        <f t="shared" si="304"/>
        <v/>
      </c>
      <c r="AK734" s="93" t="str">
        <f t="shared" si="305"/>
        <v/>
      </c>
      <c r="BQ734" s="100" t="str">
        <f>IF(A734&lt;&gt;"",(VLOOKUP(A734,MarketData!$D:$BP,MATCH($BQ$1,MarketData!$D$1:$EG$1,0),TRUE)/100/365+1)^(B734)*BQ733,"")</f>
        <v/>
      </c>
      <c r="BR734" s="98" t="str">
        <f t="shared" si="282"/>
        <v/>
      </c>
      <c r="BS734" s="106" t="str">
        <f>IF(A734&lt;&gt;"",VLOOKUP(A734,MarketData!$D:$BP,MATCH($BS$1,MarketData!$D$1:$EG$1,0),TRUE),"")</f>
        <v/>
      </c>
      <c r="BT734" s="98" t="str">
        <f t="shared" si="293"/>
        <v/>
      </c>
    </row>
    <row r="735" spans="2:72" x14ac:dyDescent="0.25">
      <c r="B735" s="60" t="str">
        <f t="shared" si="306"/>
        <v/>
      </c>
      <c r="C735" s="3" t="str">
        <f t="shared" si="283"/>
        <v/>
      </c>
      <c r="D735" s="3" t="str">
        <f t="shared" si="284"/>
        <v/>
      </c>
      <c r="E735" s="3" t="str">
        <f t="shared" si="285"/>
        <v/>
      </c>
      <c r="F735" s="3" t="str">
        <f t="shared" si="286"/>
        <v/>
      </c>
      <c r="G735" s="74" t="str">
        <f t="shared" si="287"/>
        <v/>
      </c>
      <c r="H735" s="78" t="str">
        <f>IFERROR(C735/SUM(M$2:M734),"")</f>
        <v/>
      </c>
      <c r="I735" s="61" t="str">
        <f>IFERROR(D735/SUM(N$2:N735),"")</f>
        <v/>
      </c>
      <c r="J735" s="61" t="str">
        <f>IFERROR(E735/SUM(O$2:O735),"")</f>
        <v/>
      </c>
      <c r="K735" s="61" t="str">
        <f>IFERROR(F735/SUM(P$2:P735),"")</f>
        <v/>
      </c>
      <c r="L735" s="79" t="str">
        <f>IFERROR(G735/SUM(Q$2:Q735),"")</f>
        <v/>
      </c>
      <c r="M735" s="64" t="str">
        <f t="shared" si="288"/>
        <v/>
      </c>
      <c r="N735" s="55" t="str">
        <f t="shared" si="289"/>
        <v/>
      </c>
      <c r="O735" s="55" t="str">
        <f t="shared" si="290"/>
        <v/>
      </c>
      <c r="P735" s="55" t="str">
        <f t="shared" si="291"/>
        <v/>
      </c>
      <c r="Q735" s="65" t="str">
        <f t="shared" si="292"/>
        <v/>
      </c>
      <c r="R735" s="67" t="str">
        <f t="shared" si="294"/>
        <v/>
      </c>
      <c r="S735" s="56" t="str">
        <f t="shared" si="295"/>
        <v/>
      </c>
      <c r="T735" s="56" t="str">
        <f t="shared" si="296"/>
        <v/>
      </c>
      <c r="U735" s="56" t="str">
        <f t="shared" si="297"/>
        <v/>
      </c>
      <c r="V735" s="68" t="str">
        <f t="shared" si="298"/>
        <v/>
      </c>
      <c r="W735" s="80" t="str">
        <f t="shared" si="299"/>
        <v/>
      </c>
      <c r="X735" s="81" t="str">
        <f t="shared" si="300"/>
        <v/>
      </c>
      <c r="Y735" s="81" t="str">
        <f t="shared" si="301"/>
        <v/>
      </c>
      <c r="Z735" s="81" t="str">
        <f t="shared" si="302"/>
        <v/>
      </c>
      <c r="AA735" s="82" t="str">
        <f t="shared" si="303"/>
        <v/>
      </c>
      <c r="AB735" s="83" t="str">
        <f>IF(R735&lt;&gt;"",(W735-SUMPRODUCT(R$3:R735,$B$3:$B735)/SUM($B$3:$B735))/STDEVA(W725:W735),"")</f>
        <v/>
      </c>
      <c r="AC735" s="84" t="str">
        <f>IF(S735&lt;&gt;"",(X735-SUMPRODUCT(S$3:S735,$B$3:$B735)/SUM($B$3:$B735))/STDEVA(X725:X735),"")</f>
        <v/>
      </c>
      <c r="AD735" s="84" t="str">
        <f>IF(T735&lt;&gt;"",(Y735-SUMPRODUCT(T$3:T735,$B$3:$B735)/SUM($B$3:$B735))/STDEVA(Y725:Y735),"")</f>
        <v/>
      </c>
      <c r="AE735" s="84" t="str">
        <f>IF(U735&lt;&gt;"",(Z735-SUMPRODUCT(U$3:U735,$B$3:$B735)/SUM($B$3:$B735))/STDEVA(Z725:Z735),"")</f>
        <v/>
      </c>
      <c r="AF735" s="85" t="str">
        <f>IF(V735&lt;&gt;"",(AA735-SUMPRODUCT(V$3:V735,$B$3:$B735)/SUM($B$3:$B735))/STDEVA(AA725:AA735),"")</f>
        <v/>
      </c>
      <c r="AG735" s="90" t="str">
        <f t="shared" si="304"/>
        <v/>
      </c>
      <c r="AH735" s="90" t="str">
        <f t="shared" si="304"/>
        <v/>
      </c>
      <c r="AI735" s="90" t="str">
        <f t="shared" si="304"/>
        <v/>
      </c>
      <c r="AJ735" s="90" t="str">
        <f t="shared" si="304"/>
        <v/>
      </c>
      <c r="AK735" s="93" t="str">
        <f t="shared" si="305"/>
        <v/>
      </c>
      <c r="BQ735" s="100" t="str">
        <f>IF(A735&lt;&gt;"",(VLOOKUP(A735,MarketData!$D:$BP,MATCH($BQ$1,MarketData!$D$1:$EG$1,0),TRUE)/100/365+1)^(B735)*BQ734,"")</f>
        <v/>
      </c>
      <c r="BR735" s="98" t="str">
        <f t="shared" si="282"/>
        <v/>
      </c>
      <c r="BS735" s="106" t="str">
        <f>IF(A735&lt;&gt;"",VLOOKUP(A735,MarketData!$D:$BP,MATCH($BS$1,MarketData!$D$1:$EG$1,0),TRUE),"")</f>
        <v/>
      </c>
      <c r="BT735" s="98" t="str">
        <f t="shared" si="293"/>
        <v/>
      </c>
    </row>
    <row r="736" spans="2:72" x14ac:dyDescent="0.25">
      <c r="B736" s="60" t="str">
        <f t="shared" si="306"/>
        <v/>
      </c>
      <c r="C736" s="3" t="str">
        <f t="shared" si="283"/>
        <v/>
      </c>
      <c r="D736" s="3" t="str">
        <f t="shared" si="284"/>
        <v/>
      </c>
      <c r="E736" s="3" t="str">
        <f t="shared" si="285"/>
        <v/>
      </c>
      <c r="F736" s="3" t="str">
        <f t="shared" si="286"/>
        <v/>
      </c>
      <c r="G736" s="74" t="str">
        <f t="shared" si="287"/>
        <v/>
      </c>
      <c r="H736" s="78" t="str">
        <f>IFERROR(C736/SUM(M$2:M735),"")</f>
        <v/>
      </c>
      <c r="I736" s="61" t="str">
        <f>IFERROR(D736/SUM(N$2:N736),"")</f>
        <v/>
      </c>
      <c r="J736" s="61" t="str">
        <f>IFERROR(E736/SUM(O$2:O736),"")</f>
        <v/>
      </c>
      <c r="K736" s="61" t="str">
        <f>IFERROR(F736/SUM(P$2:P736),"")</f>
        <v/>
      </c>
      <c r="L736" s="79" t="str">
        <f>IFERROR(G736/SUM(Q$2:Q736),"")</f>
        <v/>
      </c>
      <c r="M736" s="64" t="str">
        <f t="shared" si="288"/>
        <v/>
      </c>
      <c r="N736" s="55" t="str">
        <f t="shared" si="289"/>
        <v/>
      </c>
      <c r="O736" s="55" t="str">
        <f t="shared" si="290"/>
        <v/>
      </c>
      <c r="P736" s="55" t="str">
        <f t="shared" si="291"/>
        <v/>
      </c>
      <c r="Q736" s="65" t="str">
        <f t="shared" si="292"/>
        <v/>
      </c>
      <c r="R736" s="67" t="str">
        <f t="shared" si="294"/>
        <v/>
      </c>
      <c r="S736" s="56" t="str">
        <f t="shared" si="295"/>
        <v/>
      </c>
      <c r="T736" s="56" t="str">
        <f t="shared" si="296"/>
        <v/>
      </c>
      <c r="U736" s="56" t="str">
        <f t="shared" si="297"/>
        <v/>
      </c>
      <c r="V736" s="68" t="str">
        <f t="shared" si="298"/>
        <v/>
      </c>
      <c r="W736" s="80" t="str">
        <f t="shared" si="299"/>
        <v/>
      </c>
      <c r="X736" s="81" t="str">
        <f t="shared" si="300"/>
        <v/>
      </c>
      <c r="Y736" s="81" t="str">
        <f t="shared" si="301"/>
        <v/>
      </c>
      <c r="Z736" s="81" t="str">
        <f t="shared" si="302"/>
        <v/>
      </c>
      <c r="AA736" s="82" t="str">
        <f t="shared" si="303"/>
        <v/>
      </c>
      <c r="AB736" s="83" t="str">
        <f>IF(R736&lt;&gt;"",(W736-SUMPRODUCT(R$3:R736,$B$3:$B736)/SUM($B$3:$B736))/STDEVA(W726:W736),"")</f>
        <v/>
      </c>
      <c r="AC736" s="84" t="str">
        <f>IF(S736&lt;&gt;"",(X736-SUMPRODUCT(S$3:S736,$B$3:$B736)/SUM($B$3:$B736))/STDEVA(X726:X736),"")</f>
        <v/>
      </c>
      <c r="AD736" s="84" t="str">
        <f>IF(T736&lt;&gt;"",(Y736-SUMPRODUCT(T$3:T736,$B$3:$B736)/SUM($B$3:$B736))/STDEVA(Y726:Y736),"")</f>
        <v/>
      </c>
      <c r="AE736" s="84" t="str">
        <f>IF(U736&lt;&gt;"",(Z736-SUMPRODUCT(U$3:U736,$B$3:$B736)/SUM($B$3:$B736))/STDEVA(Z726:Z736),"")</f>
        <v/>
      </c>
      <c r="AF736" s="85" t="str">
        <f>IF(V736&lt;&gt;"",(AA736-SUMPRODUCT(V$3:V736,$B$3:$B736)/SUM($B$3:$B736))/STDEVA(AA726:AA736),"")</f>
        <v/>
      </c>
      <c r="AG736" s="90" t="str">
        <f t="shared" si="304"/>
        <v/>
      </c>
      <c r="AH736" s="90" t="str">
        <f t="shared" si="304"/>
        <v/>
      </c>
      <c r="AI736" s="90" t="str">
        <f t="shared" si="304"/>
        <v/>
      </c>
      <c r="AJ736" s="90" t="str">
        <f t="shared" si="304"/>
        <v/>
      </c>
      <c r="AK736" s="93" t="str">
        <f t="shared" si="305"/>
        <v/>
      </c>
      <c r="BQ736" s="100" t="str">
        <f>IF(A736&lt;&gt;"",(VLOOKUP(A736,MarketData!$D:$BP,MATCH($BQ$1,MarketData!$D$1:$EG$1,0),TRUE)/100/365+1)^(B736)*BQ735,"")</f>
        <v/>
      </c>
      <c r="BR736" s="98" t="str">
        <f t="shared" si="282"/>
        <v/>
      </c>
      <c r="BS736" s="106" t="str">
        <f>IF(A736&lt;&gt;"",VLOOKUP(A736,MarketData!$D:$BP,MATCH($BS$1,MarketData!$D$1:$EG$1,0),TRUE),"")</f>
        <v/>
      </c>
      <c r="BT736" s="98" t="str">
        <f t="shared" si="293"/>
        <v/>
      </c>
    </row>
    <row r="737" spans="2:72" x14ac:dyDescent="0.25">
      <c r="B737" s="60" t="str">
        <f t="shared" si="306"/>
        <v/>
      </c>
      <c r="C737" s="3" t="str">
        <f t="shared" si="283"/>
        <v/>
      </c>
      <c r="D737" s="3" t="str">
        <f t="shared" si="284"/>
        <v/>
      </c>
      <c r="E737" s="3" t="str">
        <f t="shared" si="285"/>
        <v/>
      </c>
      <c r="F737" s="3" t="str">
        <f t="shared" si="286"/>
        <v/>
      </c>
      <c r="G737" s="74" t="str">
        <f t="shared" si="287"/>
        <v/>
      </c>
      <c r="H737" s="78" t="str">
        <f>IFERROR(C737/SUM(M$2:M736),"")</f>
        <v/>
      </c>
      <c r="I737" s="61" t="str">
        <f>IFERROR(D737/SUM(N$2:N737),"")</f>
        <v/>
      </c>
      <c r="J737" s="61" t="str">
        <f>IFERROR(E737/SUM(O$2:O737),"")</f>
        <v/>
      </c>
      <c r="K737" s="61" t="str">
        <f>IFERROR(F737/SUM(P$2:P737),"")</f>
        <v/>
      </c>
      <c r="L737" s="79" t="str">
        <f>IFERROR(G737/SUM(Q$2:Q737),"")</f>
        <v/>
      </c>
      <c r="M737" s="64" t="str">
        <f t="shared" si="288"/>
        <v/>
      </c>
      <c r="N737" s="55" t="str">
        <f t="shared" si="289"/>
        <v/>
      </c>
      <c r="O737" s="55" t="str">
        <f t="shared" si="290"/>
        <v/>
      </c>
      <c r="P737" s="55" t="str">
        <f t="shared" si="291"/>
        <v/>
      </c>
      <c r="Q737" s="65" t="str">
        <f t="shared" si="292"/>
        <v/>
      </c>
      <c r="R737" s="67" t="str">
        <f t="shared" si="294"/>
        <v/>
      </c>
      <c r="S737" s="56" t="str">
        <f t="shared" si="295"/>
        <v/>
      </c>
      <c r="T737" s="56" t="str">
        <f t="shared" si="296"/>
        <v/>
      </c>
      <c r="U737" s="56" t="str">
        <f t="shared" si="297"/>
        <v/>
      </c>
      <c r="V737" s="68" t="str">
        <f t="shared" si="298"/>
        <v/>
      </c>
      <c r="W737" s="80" t="str">
        <f t="shared" si="299"/>
        <v/>
      </c>
      <c r="X737" s="81" t="str">
        <f t="shared" si="300"/>
        <v/>
      </c>
      <c r="Y737" s="81" t="str">
        <f t="shared" si="301"/>
        <v/>
      </c>
      <c r="Z737" s="81" t="str">
        <f t="shared" si="302"/>
        <v/>
      </c>
      <c r="AA737" s="82" t="str">
        <f t="shared" si="303"/>
        <v/>
      </c>
      <c r="AB737" s="83" t="str">
        <f>IF(R737&lt;&gt;"",(W737-SUMPRODUCT(R$3:R737,$B$3:$B737)/SUM($B$3:$B737))/STDEVA(W727:W737),"")</f>
        <v/>
      </c>
      <c r="AC737" s="84" t="str">
        <f>IF(S737&lt;&gt;"",(X737-SUMPRODUCT(S$3:S737,$B$3:$B737)/SUM($B$3:$B737))/STDEVA(X727:X737),"")</f>
        <v/>
      </c>
      <c r="AD737" s="84" t="str">
        <f>IF(T737&lt;&gt;"",(Y737-SUMPRODUCT(T$3:T737,$B$3:$B737)/SUM($B$3:$B737))/STDEVA(Y727:Y737),"")</f>
        <v/>
      </c>
      <c r="AE737" s="84" t="str">
        <f>IF(U737&lt;&gt;"",(Z737-SUMPRODUCT(U$3:U737,$B$3:$B737)/SUM($B$3:$B737))/STDEVA(Z727:Z737),"")</f>
        <v/>
      </c>
      <c r="AF737" s="85" t="str">
        <f>IF(V737&lt;&gt;"",(AA737-SUMPRODUCT(V$3:V737,$B$3:$B737)/SUM($B$3:$B737))/STDEVA(AA727:AA737),"")</f>
        <v/>
      </c>
      <c r="AG737" s="90" t="str">
        <f t="shared" si="304"/>
        <v/>
      </c>
      <c r="AH737" s="90" t="str">
        <f t="shared" si="304"/>
        <v/>
      </c>
      <c r="AI737" s="90" t="str">
        <f t="shared" si="304"/>
        <v/>
      </c>
      <c r="AJ737" s="90" t="str">
        <f t="shared" si="304"/>
        <v/>
      </c>
      <c r="AK737" s="93" t="str">
        <f t="shared" si="305"/>
        <v/>
      </c>
      <c r="BQ737" s="100" t="str">
        <f>IF(A737&lt;&gt;"",(VLOOKUP(A737,MarketData!$D:$BP,MATCH($BQ$1,MarketData!$D$1:$EG$1,0),TRUE)/100/365+1)^(B737)*BQ736,"")</f>
        <v/>
      </c>
      <c r="BR737" s="98" t="str">
        <f t="shared" si="282"/>
        <v/>
      </c>
      <c r="BS737" s="106" t="str">
        <f>IF(A737&lt;&gt;"",VLOOKUP(A737,MarketData!$D:$BP,MATCH($BS$1,MarketData!$D$1:$EG$1,0),TRUE),"")</f>
        <v/>
      </c>
      <c r="BT737" s="98" t="str">
        <f t="shared" si="293"/>
        <v/>
      </c>
    </row>
    <row r="738" spans="2:72" x14ac:dyDescent="0.25">
      <c r="B738" s="60" t="str">
        <f t="shared" si="306"/>
        <v/>
      </c>
      <c r="C738" s="3" t="str">
        <f t="shared" si="283"/>
        <v/>
      </c>
      <c r="D738" s="3" t="str">
        <f t="shared" si="284"/>
        <v/>
      </c>
      <c r="E738" s="3" t="str">
        <f t="shared" si="285"/>
        <v/>
      </c>
      <c r="F738" s="3" t="str">
        <f t="shared" si="286"/>
        <v/>
      </c>
      <c r="G738" s="74" t="str">
        <f t="shared" si="287"/>
        <v/>
      </c>
      <c r="H738" s="78" t="str">
        <f>IFERROR(C738/SUM(M$2:M737),"")</f>
        <v/>
      </c>
      <c r="I738" s="61" t="str">
        <f>IFERROR(D738/SUM(N$2:N738),"")</f>
        <v/>
      </c>
      <c r="J738" s="61" t="str">
        <f>IFERROR(E738/SUM(O$2:O738),"")</f>
        <v/>
      </c>
      <c r="K738" s="61" t="str">
        <f>IFERROR(F738/SUM(P$2:P738),"")</f>
        <v/>
      </c>
      <c r="L738" s="79" t="str">
        <f>IFERROR(G738/SUM(Q$2:Q738),"")</f>
        <v/>
      </c>
      <c r="M738" s="64" t="str">
        <f t="shared" si="288"/>
        <v/>
      </c>
      <c r="N738" s="55" t="str">
        <f t="shared" si="289"/>
        <v/>
      </c>
      <c r="O738" s="55" t="str">
        <f t="shared" si="290"/>
        <v/>
      </c>
      <c r="P738" s="55" t="str">
        <f t="shared" si="291"/>
        <v/>
      </c>
      <c r="Q738" s="65" t="str">
        <f t="shared" si="292"/>
        <v/>
      </c>
      <c r="R738" s="67" t="str">
        <f t="shared" si="294"/>
        <v/>
      </c>
      <c r="S738" s="56" t="str">
        <f t="shared" si="295"/>
        <v/>
      </c>
      <c r="T738" s="56" t="str">
        <f t="shared" si="296"/>
        <v/>
      </c>
      <c r="U738" s="56" t="str">
        <f t="shared" si="297"/>
        <v/>
      </c>
      <c r="V738" s="68" t="str">
        <f t="shared" si="298"/>
        <v/>
      </c>
      <c r="W738" s="80" t="str">
        <f t="shared" si="299"/>
        <v/>
      </c>
      <c r="X738" s="81" t="str">
        <f t="shared" si="300"/>
        <v/>
      </c>
      <c r="Y738" s="81" t="str">
        <f t="shared" si="301"/>
        <v/>
      </c>
      <c r="Z738" s="81" t="str">
        <f t="shared" si="302"/>
        <v/>
      </c>
      <c r="AA738" s="82" t="str">
        <f t="shared" si="303"/>
        <v/>
      </c>
      <c r="AB738" s="83" t="str">
        <f>IF(R738&lt;&gt;"",(W738-SUMPRODUCT(R$3:R738,$B$3:$B738)/SUM($B$3:$B738))/STDEVA(W728:W738),"")</f>
        <v/>
      </c>
      <c r="AC738" s="84" t="str">
        <f>IF(S738&lt;&gt;"",(X738-SUMPRODUCT(S$3:S738,$B$3:$B738)/SUM($B$3:$B738))/STDEVA(X728:X738),"")</f>
        <v/>
      </c>
      <c r="AD738" s="84" t="str">
        <f>IF(T738&lt;&gt;"",(Y738-SUMPRODUCT(T$3:T738,$B$3:$B738)/SUM($B$3:$B738))/STDEVA(Y728:Y738),"")</f>
        <v/>
      </c>
      <c r="AE738" s="84" t="str">
        <f>IF(U738&lt;&gt;"",(Z738-SUMPRODUCT(U$3:U738,$B$3:$B738)/SUM($B$3:$B738))/STDEVA(Z728:Z738),"")</f>
        <v/>
      </c>
      <c r="AF738" s="85" t="str">
        <f>IF(V738&lt;&gt;"",(AA738-SUMPRODUCT(V$3:V738,$B$3:$B738)/SUM($B$3:$B738))/STDEVA(AA728:AA738),"")</f>
        <v/>
      </c>
      <c r="AG738" s="90" t="str">
        <f t="shared" si="304"/>
        <v/>
      </c>
      <c r="AH738" s="90" t="str">
        <f t="shared" si="304"/>
        <v/>
      </c>
      <c r="AI738" s="90" t="str">
        <f t="shared" si="304"/>
        <v/>
      </c>
      <c r="AJ738" s="90" t="str">
        <f t="shared" si="304"/>
        <v/>
      </c>
      <c r="AK738" s="93" t="str">
        <f t="shared" si="305"/>
        <v/>
      </c>
      <c r="BQ738" s="100" t="str">
        <f>IF(A738&lt;&gt;"",(VLOOKUP(A738,MarketData!$D:$BP,MATCH($BQ$1,MarketData!$D$1:$EG$1,0),TRUE)/100/365+1)^(B738)*BQ737,"")</f>
        <v/>
      </c>
      <c r="BR738" s="98" t="str">
        <f t="shared" si="282"/>
        <v/>
      </c>
      <c r="BS738" s="106" t="str">
        <f>IF(A738&lt;&gt;"",VLOOKUP(A738,MarketData!$D:$BP,MATCH($BS$1,MarketData!$D$1:$EG$1,0),TRUE),"")</f>
        <v/>
      </c>
      <c r="BT738" s="98" t="str">
        <f t="shared" si="293"/>
        <v/>
      </c>
    </row>
    <row r="739" spans="2:72" x14ac:dyDescent="0.25">
      <c r="B739" s="60" t="str">
        <f t="shared" si="306"/>
        <v/>
      </c>
      <c r="C739" s="3" t="str">
        <f t="shared" si="283"/>
        <v/>
      </c>
      <c r="D739" s="3" t="str">
        <f t="shared" si="284"/>
        <v/>
      </c>
      <c r="E739" s="3" t="str">
        <f t="shared" si="285"/>
        <v/>
      </c>
      <c r="F739" s="3" t="str">
        <f t="shared" si="286"/>
        <v/>
      </c>
      <c r="G739" s="74" t="str">
        <f t="shared" si="287"/>
        <v/>
      </c>
      <c r="H739" s="78" t="str">
        <f>IFERROR(C739/SUM(M$2:M738),"")</f>
        <v/>
      </c>
      <c r="I739" s="61" t="str">
        <f>IFERROR(D739/SUM(N$2:N739),"")</f>
        <v/>
      </c>
      <c r="J739" s="61" t="str">
        <f>IFERROR(E739/SUM(O$2:O739),"")</f>
        <v/>
      </c>
      <c r="K739" s="61" t="str">
        <f>IFERROR(F739/SUM(P$2:P739),"")</f>
        <v/>
      </c>
      <c r="L739" s="79" t="str">
        <f>IFERROR(G739/SUM(Q$2:Q739),"")</f>
        <v/>
      </c>
      <c r="M739" s="64" t="str">
        <f t="shared" si="288"/>
        <v/>
      </c>
      <c r="N739" s="55" t="str">
        <f t="shared" si="289"/>
        <v/>
      </c>
      <c r="O739" s="55" t="str">
        <f t="shared" si="290"/>
        <v/>
      </c>
      <c r="P739" s="55" t="str">
        <f t="shared" si="291"/>
        <v/>
      </c>
      <c r="Q739" s="65" t="str">
        <f t="shared" si="292"/>
        <v/>
      </c>
      <c r="R739" s="67" t="str">
        <f t="shared" si="294"/>
        <v/>
      </c>
      <c r="S739" s="56" t="str">
        <f t="shared" si="295"/>
        <v/>
      </c>
      <c r="T739" s="56" t="str">
        <f t="shared" si="296"/>
        <v/>
      </c>
      <c r="U739" s="56" t="str">
        <f t="shared" si="297"/>
        <v/>
      </c>
      <c r="V739" s="68" t="str">
        <f t="shared" si="298"/>
        <v/>
      </c>
      <c r="W739" s="80" t="str">
        <f t="shared" si="299"/>
        <v/>
      </c>
      <c r="X739" s="81" t="str">
        <f t="shared" si="300"/>
        <v/>
      </c>
      <c r="Y739" s="81" t="str">
        <f t="shared" si="301"/>
        <v/>
      </c>
      <c r="Z739" s="81" t="str">
        <f t="shared" si="302"/>
        <v/>
      </c>
      <c r="AA739" s="82" t="str">
        <f t="shared" si="303"/>
        <v/>
      </c>
      <c r="AB739" s="83" t="str">
        <f>IF(R739&lt;&gt;"",(W739-SUMPRODUCT(R$3:R739,$B$3:$B739)/SUM($B$3:$B739))/STDEVA(W729:W739),"")</f>
        <v/>
      </c>
      <c r="AC739" s="84" t="str">
        <f>IF(S739&lt;&gt;"",(X739-SUMPRODUCT(S$3:S739,$B$3:$B739)/SUM($B$3:$B739))/STDEVA(X729:X739),"")</f>
        <v/>
      </c>
      <c r="AD739" s="84" t="str">
        <f>IF(T739&lt;&gt;"",(Y739-SUMPRODUCT(T$3:T739,$B$3:$B739)/SUM($B$3:$B739))/STDEVA(Y729:Y739),"")</f>
        <v/>
      </c>
      <c r="AE739" s="84" t="str">
        <f>IF(U739&lt;&gt;"",(Z739-SUMPRODUCT(U$3:U739,$B$3:$B739)/SUM($B$3:$B739))/STDEVA(Z729:Z739),"")</f>
        <v/>
      </c>
      <c r="AF739" s="85" t="str">
        <f>IF(V739&lt;&gt;"",(AA739-SUMPRODUCT(V$3:V739,$B$3:$B739)/SUM($B$3:$B739))/STDEVA(AA729:AA739),"")</f>
        <v/>
      </c>
      <c r="AG739" s="90" t="str">
        <f t="shared" si="304"/>
        <v/>
      </c>
      <c r="AH739" s="90" t="str">
        <f t="shared" si="304"/>
        <v/>
      </c>
      <c r="AI739" s="90" t="str">
        <f t="shared" si="304"/>
        <v/>
      </c>
      <c r="AJ739" s="90" t="str">
        <f t="shared" si="304"/>
        <v/>
      </c>
      <c r="AK739" s="93" t="str">
        <f t="shared" si="305"/>
        <v/>
      </c>
      <c r="BQ739" s="100" t="str">
        <f>IF(A739&lt;&gt;"",(VLOOKUP(A739,MarketData!$D:$BP,MATCH($BQ$1,MarketData!$D$1:$EG$1,0),TRUE)/100/365+1)^(B739)*BQ738,"")</f>
        <v/>
      </c>
      <c r="BR739" s="98" t="str">
        <f t="shared" si="282"/>
        <v/>
      </c>
      <c r="BS739" s="106" t="str">
        <f>IF(A739&lt;&gt;"",VLOOKUP(A739,MarketData!$D:$BP,MATCH($BS$1,MarketData!$D$1:$EG$1,0),TRUE),"")</f>
        <v/>
      </c>
      <c r="BT739" s="98" t="str">
        <f t="shared" si="293"/>
        <v/>
      </c>
    </row>
    <row r="740" spans="2:72" x14ac:dyDescent="0.25">
      <c r="B740" s="60" t="str">
        <f t="shared" si="306"/>
        <v/>
      </c>
      <c r="C740" s="3" t="str">
        <f t="shared" si="283"/>
        <v/>
      </c>
      <c r="D740" s="3" t="str">
        <f t="shared" si="284"/>
        <v/>
      </c>
      <c r="E740" s="3" t="str">
        <f t="shared" si="285"/>
        <v/>
      </c>
      <c r="F740" s="3" t="str">
        <f t="shared" si="286"/>
        <v/>
      </c>
      <c r="G740" s="74" t="str">
        <f t="shared" si="287"/>
        <v/>
      </c>
      <c r="H740" s="78" t="str">
        <f>IFERROR(C740/SUM(M$2:M739),"")</f>
        <v/>
      </c>
      <c r="I740" s="61" t="str">
        <f>IFERROR(D740/SUM(N$2:N740),"")</f>
        <v/>
      </c>
      <c r="J740" s="61" t="str">
        <f>IFERROR(E740/SUM(O$2:O740),"")</f>
        <v/>
      </c>
      <c r="K740" s="61" t="str">
        <f>IFERROR(F740/SUM(P$2:P740),"")</f>
        <v/>
      </c>
      <c r="L740" s="79" t="str">
        <f>IFERROR(G740/SUM(Q$2:Q740),"")</f>
        <v/>
      </c>
      <c r="M740" s="64" t="str">
        <f t="shared" si="288"/>
        <v/>
      </c>
      <c r="N740" s="55" t="str">
        <f t="shared" si="289"/>
        <v/>
      </c>
      <c r="O740" s="55" t="str">
        <f t="shared" si="290"/>
        <v/>
      </c>
      <c r="P740" s="55" t="str">
        <f t="shared" si="291"/>
        <v/>
      </c>
      <c r="Q740" s="65" t="str">
        <f t="shared" si="292"/>
        <v/>
      </c>
      <c r="R740" s="67" t="str">
        <f t="shared" si="294"/>
        <v/>
      </c>
      <c r="S740" s="56" t="str">
        <f t="shared" si="295"/>
        <v/>
      </c>
      <c r="T740" s="56" t="str">
        <f t="shared" si="296"/>
        <v/>
      </c>
      <c r="U740" s="56" t="str">
        <f t="shared" si="297"/>
        <v/>
      </c>
      <c r="V740" s="68" t="str">
        <f t="shared" si="298"/>
        <v/>
      </c>
      <c r="W740" s="80" t="str">
        <f t="shared" si="299"/>
        <v/>
      </c>
      <c r="X740" s="81" t="str">
        <f t="shared" si="300"/>
        <v/>
      </c>
      <c r="Y740" s="81" t="str">
        <f t="shared" si="301"/>
        <v/>
      </c>
      <c r="Z740" s="81" t="str">
        <f t="shared" si="302"/>
        <v/>
      </c>
      <c r="AA740" s="82" t="str">
        <f t="shared" si="303"/>
        <v/>
      </c>
      <c r="AB740" s="83" t="str">
        <f>IF(R740&lt;&gt;"",(W740-SUMPRODUCT(R$3:R740,$B$3:$B740)/SUM($B$3:$B740))/STDEVA(W730:W740),"")</f>
        <v/>
      </c>
      <c r="AC740" s="84" t="str">
        <f>IF(S740&lt;&gt;"",(X740-SUMPRODUCT(S$3:S740,$B$3:$B740)/SUM($B$3:$B740))/STDEVA(X730:X740),"")</f>
        <v/>
      </c>
      <c r="AD740" s="84" t="str">
        <f>IF(T740&lt;&gt;"",(Y740-SUMPRODUCT(T$3:T740,$B$3:$B740)/SUM($B$3:$B740))/STDEVA(Y730:Y740),"")</f>
        <v/>
      </c>
      <c r="AE740" s="84" t="str">
        <f>IF(U740&lt;&gt;"",(Z740-SUMPRODUCT(U$3:U740,$B$3:$B740)/SUM($B$3:$B740))/STDEVA(Z730:Z740),"")</f>
        <v/>
      </c>
      <c r="AF740" s="85" t="str">
        <f>IF(V740&lt;&gt;"",(AA740-SUMPRODUCT(V$3:V740,$B$3:$B740)/SUM($B$3:$B740))/STDEVA(AA730:AA740),"")</f>
        <v/>
      </c>
      <c r="AG740" s="90" t="str">
        <f t="shared" si="304"/>
        <v/>
      </c>
      <c r="AH740" s="90" t="str">
        <f t="shared" si="304"/>
        <v/>
      </c>
      <c r="AI740" s="90" t="str">
        <f t="shared" si="304"/>
        <v/>
      </c>
      <c r="AJ740" s="90" t="str">
        <f t="shared" si="304"/>
        <v/>
      </c>
      <c r="AK740" s="93" t="str">
        <f t="shared" si="305"/>
        <v/>
      </c>
      <c r="BQ740" s="100" t="str">
        <f>IF(A740&lt;&gt;"",(VLOOKUP(A740,MarketData!$D:$BP,MATCH($BQ$1,MarketData!$D$1:$EG$1,0),TRUE)/100/365+1)^(B740)*BQ739,"")</f>
        <v/>
      </c>
      <c r="BR740" s="98" t="str">
        <f t="shared" si="282"/>
        <v/>
      </c>
      <c r="BS740" s="106" t="str">
        <f>IF(A740&lt;&gt;"",VLOOKUP(A740,MarketData!$D:$BP,MATCH($BS$1,MarketData!$D$1:$EG$1,0),TRUE),"")</f>
        <v/>
      </c>
      <c r="BT740" s="98" t="str">
        <f t="shared" si="293"/>
        <v/>
      </c>
    </row>
    <row r="741" spans="2:72" x14ac:dyDescent="0.25">
      <c r="B741" s="60" t="str">
        <f t="shared" si="306"/>
        <v/>
      </c>
      <c r="C741" s="3" t="str">
        <f t="shared" si="283"/>
        <v/>
      </c>
      <c r="D741" s="3" t="str">
        <f t="shared" si="284"/>
        <v/>
      </c>
      <c r="E741" s="3" t="str">
        <f t="shared" si="285"/>
        <v/>
      </c>
      <c r="F741" s="3" t="str">
        <f t="shared" si="286"/>
        <v/>
      </c>
      <c r="G741" s="74" t="str">
        <f t="shared" si="287"/>
        <v/>
      </c>
      <c r="H741" s="78" t="str">
        <f>IFERROR(C741/SUM(M$2:M740),"")</f>
        <v/>
      </c>
      <c r="I741" s="61" t="str">
        <f>IFERROR(D741/SUM(N$2:N741),"")</f>
        <v/>
      </c>
      <c r="J741" s="61" t="str">
        <f>IFERROR(E741/SUM(O$2:O741),"")</f>
        <v/>
      </c>
      <c r="K741" s="61" t="str">
        <f>IFERROR(F741/SUM(P$2:P741),"")</f>
        <v/>
      </c>
      <c r="L741" s="79" t="str">
        <f>IFERROR(G741/SUM(Q$2:Q741),"")</f>
        <v/>
      </c>
      <c r="M741" s="64" t="str">
        <f t="shared" si="288"/>
        <v/>
      </c>
      <c r="N741" s="55" t="str">
        <f t="shared" si="289"/>
        <v/>
      </c>
      <c r="O741" s="55" t="str">
        <f t="shared" si="290"/>
        <v/>
      </c>
      <c r="P741" s="55" t="str">
        <f t="shared" si="291"/>
        <v/>
      </c>
      <c r="Q741" s="65" t="str">
        <f t="shared" si="292"/>
        <v/>
      </c>
      <c r="R741" s="67" t="str">
        <f t="shared" si="294"/>
        <v/>
      </c>
      <c r="S741" s="56" t="str">
        <f t="shared" si="295"/>
        <v/>
      </c>
      <c r="T741" s="56" t="str">
        <f t="shared" si="296"/>
        <v/>
      </c>
      <c r="U741" s="56" t="str">
        <f t="shared" si="297"/>
        <v/>
      </c>
      <c r="V741" s="68" t="str">
        <f t="shared" si="298"/>
        <v/>
      </c>
      <c r="W741" s="80" t="str">
        <f t="shared" si="299"/>
        <v/>
      </c>
      <c r="X741" s="81" t="str">
        <f t="shared" si="300"/>
        <v/>
      </c>
      <c r="Y741" s="81" t="str">
        <f t="shared" si="301"/>
        <v/>
      </c>
      <c r="Z741" s="81" t="str">
        <f t="shared" si="302"/>
        <v/>
      </c>
      <c r="AA741" s="82" t="str">
        <f t="shared" si="303"/>
        <v/>
      </c>
      <c r="AB741" s="83" t="str">
        <f>IF(R741&lt;&gt;"",(W741-SUMPRODUCT(R$3:R741,$B$3:$B741)/SUM($B$3:$B741))/STDEVA(W731:W741),"")</f>
        <v/>
      </c>
      <c r="AC741" s="84" t="str">
        <f>IF(S741&lt;&gt;"",(X741-SUMPRODUCT(S$3:S741,$B$3:$B741)/SUM($B$3:$B741))/STDEVA(X731:X741),"")</f>
        <v/>
      </c>
      <c r="AD741" s="84" t="str">
        <f>IF(T741&lt;&gt;"",(Y741-SUMPRODUCT(T$3:T741,$B$3:$B741)/SUM($B$3:$B741))/STDEVA(Y731:Y741),"")</f>
        <v/>
      </c>
      <c r="AE741" s="84" t="str">
        <f>IF(U741&lt;&gt;"",(Z741-SUMPRODUCT(U$3:U741,$B$3:$B741)/SUM($B$3:$B741))/STDEVA(Z731:Z741),"")</f>
        <v/>
      </c>
      <c r="AF741" s="85" t="str">
        <f>IF(V741&lt;&gt;"",(AA741-SUMPRODUCT(V$3:V741,$B$3:$B741)/SUM($B$3:$B741))/STDEVA(AA731:AA741),"")</f>
        <v/>
      </c>
      <c r="AG741" s="90" t="str">
        <f t="shared" si="304"/>
        <v/>
      </c>
      <c r="AH741" s="90" t="str">
        <f t="shared" si="304"/>
        <v/>
      </c>
      <c r="AI741" s="90" t="str">
        <f t="shared" si="304"/>
        <v/>
      </c>
      <c r="AJ741" s="90" t="str">
        <f t="shared" si="304"/>
        <v/>
      </c>
      <c r="AK741" s="93" t="str">
        <f t="shared" si="305"/>
        <v/>
      </c>
      <c r="BQ741" s="100" t="str">
        <f>IF(A741&lt;&gt;"",(VLOOKUP(A741,MarketData!$D:$BP,MATCH($BQ$1,MarketData!$D$1:$EG$1,0),TRUE)/100/365+1)^(B741)*BQ740,"")</f>
        <v/>
      </c>
      <c r="BR741" s="98" t="str">
        <f t="shared" si="282"/>
        <v/>
      </c>
      <c r="BS741" s="106" t="str">
        <f>IF(A741&lt;&gt;"",VLOOKUP(A741,MarketData!$D:$BP,MATCH($BS$1,MarketData!$D$1:$EG$1,0),TRUE),"")</f>
        <v/>
      </c>
      <c r="BT741" s="98" t="str">
        <f t="shared" si="293"/>
        <v/>
      </c>
    </row>
    <row r="742" spans="2:72" x14ac:dyDescent="0.25">
      <c r="B742" s="60" t="str">
        <f t="shared" si="306"/>
        <v/>
      </c>
      <c r="C742" s="3" t="str">
        <f t="shared" si="283"/>
        <v/>
      </c>
      <c r="D742" s="3" t="str">
        <f t="shared" si="284"/>
        <v/>
      </c>
      <c r="E742" s="3" t="str">
        <f t="shared" si="285"/>
        <v/>
      </c>
      <c r="F742" s="3" t="str">
        <f t="shared" si="286"/>
        <v/>
      </c>
      <c r="G742" s="74" t="str">
        <f t="shared" si="287"/>
        <v/>
      </c>
      <c r="H742" s="78" t="str">
        <f>IFERROR(C742/SUM(M$2:M741),"")</f>
        <v/>
      </c>
      <c r="I742" s="61" t="str">
        <f>IFERROR(D742/SUM(N$2:N742),"")</f>
        <v/>
      </c>
      <c r="J742" s="61" t="str">
        <f>IFERROR(E742/SUM(O$2:O742),"")</f>
        <v/>
      </c>
      <c r="K742" s="61" t="str">
        <f>IFERROR(F742/SUM(P$2:P742),"")</f>
        <v/>
      </c>
      <c r="L742" s="79" t="str">
        <f>IFERROR(G742/SUM(Q$2:Q742),"")</f>
        <v/>
      </c>
      <c r="M742" s="64" t="str">
        <f t="shared" si="288"/>
        <v/>
      </c>
      <c r="N742" s="55" t="str">
        <f t="shared" si="289"/>
        <v/>
      </c>
      <c r="O742" s="55" t="str">
        <f t="shared" si="290"/>
        <v/>
      </c>
      <c r="P742" s="55" t="str">
        <f t="shared" si="291"/>
        <v/>
      </c>
      <c r="Q742" s="65" t="str">
        <f t="shared" si="292"/>
        <v/>
      </c>
      <c r="R742" s="67" t="str">
        <f t="shared" si="294"/>
        <v/>
      </c>
      <c r="S742" s="56" t="str">
        <f t="shared" si="295"/>
        <v/>
      </c>
      <c r="T742" s="56" t="str">
        <f t="shared" si="296"/>
        <v/>
      </c>
      <c r="U742" s="56" t="str">
        <f t="shared" si="297"/>
        <v/>
      </c>
      <c r="V742" s="68" t="str">
        <f t="shared" si="298"/>
        <v/>
      </c>
      <c r="W742" s="80" t="str">
        <f t="shared" si="299"/>
        <v/>
      </c>
      <c r="X742" s="81" t="str">
        <f t="shared" si="300"/>
        <v/>
      </c>
      <c r="Y742" s="81" t="str">
        <f t="shared" si="301"/>
        <v/>
      </c>
      <c r="Z742" s="81" t="str">
        <f t="shared" si="302"/>
        <v/>
      </c>
      <c r="AA742" s="82" t="str">
        <f t="shared" si="303"/>
        <v/>
      </c>
      <c r="AB742" s="83" t="str">
        <f>IF(R742&lt;&gt;"",(W742-SUMPRODUCT(R$3:R742,$B$3:$B742)/SUM($B$3:$B742))/STDEVA(W732:W742),"")</f>
        <v/>
      </c>
      <c r="AC742" s="84" t="str">
        <f>IF(S742&lt;&gt;"",(X742-SUMPRODUCT(S$3:S742,$B$3:$B742)/SUM($B$3:$B742))/STDEVA(X732:X742),"")</f>
        <v/>
      </c>
      <c r="AD742" s="84" t="str">
        <f>IF(T742&lt;&gt;"",(Y742-SUMPRODUCT(T$3:T742,$B$3:$B742)/SUM($B$3:$B742))/STDEVA(Y732:Y742),"")</f>
        <v/>
      </c>
      <c r="AE742" s="84" t="str">
        <f>IF(U742&lt;&gt;"",(Z742-SUMPRODUCT(U$3:U742,$B$3:$B742)/SUM($B$3:$B742))/STDEVA(Z732:Z742),"")</f>
        <v/>
      </c>
      <c r="AF742" s="85" t="str">
        <f>IF(V742&lt;&gt;"",(AA742-SUMPRODUCT(V$3:V742,$B$3:$B742)/SUM($B$3:$B742))/STDEVA(AA732:AA742),"")</f>
        <v/>
      </c>
      <c r="AG742" s="90" t="str">
        <f t="shared" si="304"/>
        <v/>
      </c>
      <c r="AH742" s="90" t="str">
        <f t="shared" si="304"/>
        <v/>
      </c>
      <c r="AI742" s="90" t="str">
        <f t="shared" si="304"/>
        <v/>
      </c>
      <c r="AJ742" s="90" t="str">
        <f t="shared" si="304"/>
        <v/>
      </c>
      <c r="AK742" s="93" t="str">
        <f t="shared" si="305"/>
        <v/>
      </c>
      <c r="BQ742" s="100" t="str">
        <f>IF(A742&lt;&gt;"",(VLOOKUP(A742,MarketData!$D:$BP,MATCH($BQ$1,MarketData!$D$1:$EG$1,0),TRUE)/100/365+1)^(B742)*BQ741,"")</f>
        <v/>
      </c>
      <c r="BR742" s="98" t="str">
        <f t="shared" si="282"/>
        <v/>
      </c>
      <c r="BS742" s="106" t="str">
        <f>IF(A742&lt;&gt;"",VLOOKUP(A742,MarketData!$D:$BP,MATCH($BS$1,MarketData!$D$1:$EG$1,0),TRUE),"")</f>
        <v/>
      </c>
      <c r="BT742" s="98" t="str">
        <f t="shared" si="293"/>
        <v/>
      </c>
    </row>
    <row r="743" spans="2:72" x14ac:dyDescent="0.25">
      <c r="B743" s="60" t="str">
        <f t="shared" si="306"/>
        <v/>
      </c>
      <c r="C743" s="3" t="str">
        <f t="shared" si="283"/>
        <v/>
      </c>
      <c r="D743" s="3" t="str">
        <f t="shared" si="284"/>
        <v/>
      </c>
      <c r="E743" s="3" t="str">
        <f t="shared" si="285"/>
        <v/>
      </c>
      <c r="F743" s="3" t="str">
        <f t="shared" si="286"/>
        <v/>
      </c>
      <c r="G743" s="74" t="str">
        <f t="shared" si="287"/>
        <v/>
      </c>
      <c r="H743" s="78" t="str">
        <f>IFERROR(C743/SUM(M$2:M742),"")</f>
        <v/>
      </c>
      <c r="I743" s="61" t="str">
        <f>IFERROR(D743/SUM(N$2:N743),"")</f>
        <v/>
      </c>
      <c r="J743" s="61" t="str">
        <f>IFERROR(E743/SUM(O$2:O743),"")</f>
        <v/>
      </c>
      <c r="K743" s="61" t="str">
        <f>IFERROR(F743/SUM(P$2:P743),"")</f>
        <v/>
      </c>
      <c r="L743" s="79" t="str">
        <f>IFERROR(G743/SUM(Q$2:Q743),"")</f>
        <v/>
      </c>
      <c r="M743" s="64" t="str">
        <f t="shared" si="288"/>
        <v/>
      </c>
      <c r="N743" s="55" t="str">
        <f t="shared" si="289"/>
        <v/>
      </c>
      <c r="O743" s="55" t="str">
        <f t="shared" si="290"/>
        <v/>
      </c>
      <c r="P743" s="55" t="str">
        <f t="shared" si="291"/>
        <v/>
      </c>
      <c r="Q743" s="65" t="str">
        <f t="shared" si="292"/>
        <v/>
      </c>
      <c r="R743" s="67" t="str">
        <f t="shared" si="294"/>
        <v/>
      </c>
      <c r="S743" s="56" t="str">
        <f t="shared" si="295"/>
        <v/>
      </c>
      <c r="T743" s="56" t="str">
        <f t="shared" si="296"/>
        <v/>
      </c>
      <c r="U743" s="56" t="str">
        <f t="shared" si="297"/>
        <v/>
      </c>
      <c r="V743" s="68" t="str">
        <f t="shared" si="298"/>
        <v/>
      </c>
      <c r="W743" s="80" t="str">
        <f t="shared" si="299"/>
        <v/>
      </c>
      <c r="X743" s="81" t="str">
        <f t="shared" si="300"/>
        <v/>
      </c>
      <c r="Y743" s="81" t="str">
        <f t="shared" si="301"/>
        <v/>
      </c>
      <c r="Z743" s="81" t="str">
        <f t="shared" si="302"/>
        <v/>
      </c>
      <c r="AA743" s="82" t="str">
        <f t="shared" si="303"/>
        <v/>
      </c>
      <c r="AB743" s="83" t="str">
        <f>IF(R743&lt;&gt;"",(W743-SUMPRODUCT(R$3:R743,$B$3:$B743)/SUM($B$3:$B743))/STDEVA(W733:W743),"")</f>
        <v/>
      </c>
      <c r="AC743" s="84" t="str">
        <f>IF(S743&lt;&gt;"",(X743-SUMPRODUCT(S$3:S743,$B$3:$B743)/SUM($B$3:$B743))/STDEVA(X733:X743),"")</f>
        <v/>
      </c>
      <c r="AD743" s="84" t="str">
        <f>IF(T743&lt;&gt;"",(Y743-SUMPRODUCT(T$3:T743,$B$3:$B743)/SUM($B$3:$B743))/STDEVA(Y733:Y743),"")</f>
        <v/>
      </c>
      <c r="AE743" s="84" t="str">
        <f>IF(U743&lt;&gt;"",(Z743-SUMPRODUCT(U$3:U743,$B$3:$B743)/SUM($B$3:$B743))/STDEVA(Z733:Z743),"")</f>
        <v/>
      </c>
      <c r="AF743" s="85" t="str">
        <f>IF(V743&lt;&gt;"",(AA743-SUMPRODUCT(V$3:V743,$B$3:$B743)/SUM($B$3:$B743))/STDEVA(AA733:AA743),"")</f>
        <v/>
      </c>
      <c r="AG743" s="90" t="str">
        <f t="shared" si="304"/>
        <v/>
      </c>
      <c r="AH743" s="90" t="str">
        <f t="shared" si="304"/>
        <v/>
      </c>
      <c r="AI743" s="90" t="str">
        <f t="shared" si="304"/>
        <v/>
      </c>
      <c r="AJ743" s="90" t="str">
        <f t="shared" si="304"/>
        <v/>
      </c>
      <c r="AK743" s="93" t="str">
        <f t="shared" si="305"/>
        <v/>
      </c>
      <c r="BQ743" s="100" t="str">
        <f>IF(A743&lt;&gt;"",(VLOOKUP(A743,MarketData!$D:$BP,MATCH($BQ$1,MarketData!$D$1:$EG$1,0),TRUE)/100/365+1)^(B743)*BQ742,"")</f>
        <v/>
      </c>
      <c r="BR743" s="98" t="str">
        <f t="shared" si="282"/>
        <v/>
      </c>
      <c r="BS743" s="106" t="str">
        <f>IF(A743&lt;&gt;"",VLOOKUP(A743,MarketData!$D:$BP,MATCH($BS$1,MarketData!$D$1:$EG$1,0),TRUE),"")</f>
        <v/>
      </c>
      <c r="BT743" s="98" t="str">
        <f t="shared" si="293"/>
        <v/>
      </c>
    </row>
    <row r="744" spans="2:72" x14ac:dyDescent="0.25">
      <c r="B744" s="60" t="str">
        <f t="shared" si="306"/>
        <v/>
      </c>
      <c r="C744" s="3" t="str">
        <f t="shared" si="283"/>
        <v/>
      </c>
      <c r="D744" s="3" t="str">
        <f t="shared" si="284"/>
        <v/>
      </c>
      <c r="E744" s="3" t="str">
        <f t="shared" si="285"/>
        <v/>
      </c>
      <c r="F744" s="3" t="str">
        <f t="shared" si="286"/>
        <v/>
      </c>
      <c r="G744" s="74" t="str">
        <f t="shared" si="287"/>
        <v/>
      </c>
      <c r="H744" s="78" t="str">
        <f>IFERROR(C744/SUM(M$2:M743),"")</f>
        <v/>
      </c>
      <c r="I744" s="61" t="str">
        <f>IFERROR(D744/SUM(N$2:N744),"")</f>
        <v/>
      </c>
      <c r="J744" s="61" t="str">
        <f>IFERROR(E744/SUM(O$2:O744),"")</f>
        <v/>
      </c>
      <c r="K744" s="61" t="str">
        <f>IFERROR(F744/SUM(P$2:P744),"")</f>
        <v/>
      </c>
      <c r="L744" s="79" t="str">
        <f>IFERROR(G744/SUM(Q$2:Q744),"")</f>
        <v/>
      </c>
      <c r="M744" s="64" t="str">
        <f t="shared" si="288"/>
        <v/>
      </c>
      <c r="N744" s="55" t="str">
        <f t="shared" si="289"/>
        <v/>
      </c>
      <c r="O744" s="55" t="str">
        <f t="shared" si="290"/>
        <v/>
      </c>
      <c r="P744" s="55" t="str">
        <f t="shared" si="291"/>
        <v/>
      </c>
      <c r="Q744" s="65" t="str">
        <f t="shared" si="292"/>
        <v/>
      </c>
      <c r="R744" s="67" t="str">
        <f t="shared" si="294"/>
        <v/>
      </c>
      <c r="S744" s="56" t="str">
        <f t="shared" si="295"/>
        <v/>
      </c>
      <c r="T744" s="56" t="str">
        <f t="shared" si="296"/>
        <v/>
      </c>
      <c r="U744" s="56" t="str">
        <f t="shared" si="297"/>
        <v/>
      </c>
      <c r="V744" s="68" t="str">
        <f t="shared" si="298"/>
        <v/>
      </c>
      <c r="W744" s="80" t="str">
        <f t="shared" si="299"/>
        <v/>
      </c>
      <c r="X744" s="81" t="str">
        <f t="shared" si="300"/>
        <v/>
      </c>
      <c r="Y744" s="81" t="str">
        <f t="shared" si="301"/>
        <v/>
      </c>
      <c r="Z744" s="81" t="str">
        <f t="shared" si="302"/>
        <v/>
      </c>
      <c r="AA744" s="82" t="str">
        <f t="shared" si="303"/>
        <v/>
      </c>
      <c r="AB744" s="83" t="str">
        <f>IF(R744&lt;&gt;"",(W744-SUMPRODUCT(R$3:R744,$B$3:$B744)/SUM($B$3:$B744))/STDEVA(W734:W744),"")</f>
        <v/>
      </c>
      <c r="AC744" s="84" t="str">
        <f>IF(S744&lt;&gt;"",(X744-SUMPRODUCT(S$3:S744,$B$3:$B744)/SUM($B$3:$B744))/STDEVA(X734:X744),"")</f>
        <v/>
      </c>
      <c r="AD744" s="84" t="str">
        <f>IF(T744&lt;&gt;"",(Y744-SUMPRODUCT(T$3:T744,$B$3:$B744)/SUM($B$3:$B744))/STDEVA(Y734:Y744),"")</f>
        <v/>
      </c>
      <c r="AE744" s="84" t="str">
        <f>IF(U744&lt;&gt;"",(Z744-SUMPRODUCT(U$3:U744,$B$3:$B744)/SUM($B$3:$B744))/STDEVA(Z734:Z744),"")</f>
        <v/>
      </c>
      <c r="AF744" s="85" t="str">
        <f>IF(V744&lt;&gt;"",(AA744-SUMPRODUCT(V$3:V744,$B$3:$B744)/SUM($B$3:$B744))/STDEVA(AA734:AA744),"")</f>
        <v/>
      </c>
      <c r="AG744" s="90" t="str">
        <f t="shared" si="304"/>
        <v/>
      </c>
      <c r="AH744" s="90" t="str">
        <f t="shared" si="304"/>
        <v/>
      </c>
      <c r="AI744" s="90" t="str">
        <f t="shared" si="304"/>
        <v/>
      </c>
      <c r="AJ744" s="90" t="str">
        <f t="shared" si="304"/>
        <v/>
      </c>
      <c r="AK744" s="93" t="str">
        <f t="shared" si="305"/>
        <v/>
      </c>
      <c r="BQ744" s="100" t="str">
        <f>IF(A744&lt;&gt;"",(VLOOKUP(A744,MarketData!$D:$BP,MATCH($BQ$1,MarketData!$D$1:$EG$1,0),TRUE)/100/365+1)^(B744)*BQ743,"")</f>
        <v/>
      </c>
      <c r="BR744" s="98" t="str">
        <f t="shared" si="282"/>
        <v/>
      </c>
      <c r="BS744" s="106" t="str">
        <f>IF(A744&lt;&gt;"",VLOOKUP(A744,MarketData!$D:$BP,MATCH($BS$1,MarketData!$D$1:$EG$1,0),TRUE),"")</f>
        <v/>
      </c>
      <c r="BT744" s="98" t="str">
        <f t="shared" si="293"/>
        <v/>
      </c>
    </row>
    <row r="745" spans="2:72" x14ac:dyDescent="0.25">
      <c r="B745" s="60" t="str">
        <f t="shared" si="306"/>
        <v/>
      </c>
      <c r="C745" s="3" t="str">
        <f t="shared" si="283"/>
        <v/>
      </c>
      <c r="D745" s="3" t="str">
        <f t="shared" si="284"/>
        <v/>
      </c>
      <c r="E745" s="3" t="str">
        <f t="shared" si="285"/>
        <v/>
      </c>
      <c r="F745" s="3" t="str">
        <f t="shared" si="286"/>
        <v/>
      </c>
      <c r="G745" s="74" t="str">
        <f t="shared" si="287"/>
        <v/>
      </c>
      <c r="H745" s="78" t="str">
        <f>IFERROR(C745/SUM(M$2:M744),"")</f>
        <v/>
      </c>
      <c r="I745" s="61" t="str">
        <f>IFERROR(D745/SUM(N$2:N745),"")</f>
        <v/>
      </c>
      <c r="J745" s="61" t="str">
        <f>IFERROR(E745/SUM(O$2:O745),"")</f>
        <v/>
      </c>
      <c r="K745" s="61" t="str">
        <f>IFERROR(F745/SUM(P$2:P745),"")</f>
        <v/>
      </c>
      <c r="L745" s="79" t="str">
        <f>IFERROR(G745/SUM(Q$2:Q745),"")</f>
        <v/>
      </c>
      <c r="M745" s="64" t="str">
        <f t="shared" si="288"/>
        <v/>
      </c>
      <c r="N745" s="55" t="str">
        <f t="shared" si="289"/>
        <v/>
      </c>
      <c r="O745" s="55" t="str">
        <f t="shared" si="290"/>
        <v/>
      </c>
      <c r="P745" s="55" t="str">
        <f t="shared" si="291"/>
        <v/>
      </c>
      <c r="Q745" s="65" t="str">
        <f t="shared" si="292"/>
        <v/>
      </c>
      <c r="R745" s="67" t="str">
        <f t="shared" si="294"/>
        <v/>
      </c>
      <c r="S745" s="56" t="str">
        <f t="shared" si="295"/>
        <v/>
      </c>
      <c r="T745" s="56" t="str">
        <f t="shared" si="296"/>
        <v/>
      </c>
      <c r="U745" s="56" t="str">
        <f t="shared" si="297"/>
        <v/>
      </c>
      <c r="V745" s="68" t="str">
        <f t="shared" si="298"/>
        <v/>
      </c>
      <c r="W745" s="80" t="str">
        <f t="shared" si="299"/>
        <v/>
      </c>
      <c r="X745" s="81" t="str">
        <f t="shared" si="300"/>
        <v/>
      </c>
      <c r="Y745" s="81" t="str">
        <f t="shared" si="301"/>
        <v/>
      </c>
      <c r="Z745" s="81" t="str">
        <f t="shared" si="302"/>
        <v/>
      </c>
      <c r="AA745" s="82" t="str">
        <f t="shared" si="303"/>
        <v/>
      </c>
      <c r="AB745" s="83" t="str">
        <f>IF(R745&lt;&gt;"",(W745-SUMPRODUCT(R$3:R745,$B$3:$B745)/SUM($B$3:$B745))/STDEVA(W735:W745),"")</f>
        <v/>
      </c>
      <c r="AC745" s="84" t="str">
        <f>IF(S745&lt;&gt;"",(X745-SUMPRODUCT(S$3:S745,$B$3:$B745)/SUM($B$3:$B745))/STDEVA(X735:X745),"")</f>
        <v/>
      </c>
      <c r="AD745" s="84" t="str">
        <f>IF(T745&lt;&gt;"",(Y745-SUMPRODUCT(T$3:T745,$B$3:$B745)/SUM($B$3:$B745))/STDEVA(Y735:Y745),"")</f>
        <v/>
      </c>
      <c r="AE745" s="84" t="str">
        <f>IF(U745&lt;&gt;"",(Z745-SUMPRODUCT(U$3:U745,$B$3:$B745)/SUM($B$3:$B745))/STDEVA(Z735:Z745),"")</f>
        <v/>
      </c>
      <c r="AF745" s="85" t="str">
        <f>IF(V745&lt;&gt;"",(AA745-SUMPRODUCT(V$3:V745,$B$3:$B745)/SUM($B$3:$B745))/STDEVA(AA735:AA745),"")</f>
        <v/>
      </c>
      <c r="AG745" s="90" t="str">
        <f t="shared" si="304"/>
        <v/>
      </c>
      <c r="AH745" s="90" t="str">
        <f t="shared" si="304"/>
        <v/>
      </c>
      <c r="AI745" s="90" t="str">
        <f t="shared" si="304"/>
        <v/>
      </c>
      <c r="AJ745" s="90" t="str">
        <f t="shared" si="304"/>
        <v/>
      </c>
      <c r="AK745" s="93" t="str">
        <f t="shared" si="305"/>
        <v/>
      </c>
      <c r="BQ745" s="100" t="str">
        <f>IF(A745&lt;&gt;"",(VLOOKUP(A745,MarketData!$D:$BP,MATCH($BQ$1,MarketData!$D$1:$EG$1,0),TRUE)/100/365+1)^(B745)*BQ744,"")</f>
        <v/>
      </c>
      <c r="BR745" s="98" t="str">
        <f t="shared" si="282"/>
        <v/>
      </c>
      <c r="BS745" s="106" t="str">
        <f>IF(A745&lt;&gt;"",VLOOKUP(A745,MarketData!$D:$BP,MATCH($BS$1,MarketData!$D$1:$EG$1,0),TRUE),"")</f>
        <v/>
      </c>
      <c r="BT745" s="98" t="str">
        <f t="shared" si="293"/>
        <v/>
      </c>
    </row>
    <row r="746" spans="2:72" x14ac:dyDescent="0.25">
      <c r="B746" s="60" t="str">
        <f t="shared" si="306"/>
        <v/>
      </c>
      <c r="C746" s="3" t="str">
        <f t="shared" si="283"/>
        <v/>
      </c>
      <c r="D746" s="3" t="str">
        <f t="shared" si="284"/>
        <v/>
      </c>
      <c r="E746" s="3" t="str">
        <f t="shared" si="285"/>
        <v/>
      </c>
      <c r="F746" s="3" t="str">
        <f t="shared" si="286"/>
        <v/>
      </c>
      <c r="G746" s="74" t="str">
        <f t="shared" si="287"/>
        <v/>
      </c>
      <c r="H746" s="78" t="str">
        <f>IFERROR(C746/SUM(M$2:M745),"")</f>
        <v/>
      </c>
      <c r="I746" s="61" t="str">
        <f>IFERROR(D746/SUM(N$2:N746),"")</f>
        <v/>
      </c>
      <c r="J746" s="61" t="str">
        <f>IFERROR(E746/SUM(O$2:O746),"")</f>
        <v/>
      </c>
      <c r="K746" s="61" t="str">
        <f>IFERROR(F746/SUM(P$2:P746),"")</f>
        <v/>
      </c>
      <c r="L746" s="79" t="str">
        <f>IFERROR(G746/SUM(Q$2:Q746),"")</f>
        <v/>
      </c>
      <c r="M746" s="64" t="str">
        <f t="shared" si="288"/>
        <v/>
      </c>
      <c r="N746" s="55" t="str">
        <f t="shared" si="289"/>
        <v/>
      </c>
      <c r="O746" s="55" t="str">
        <f t="shared" si="290"/>
        <v/>
      </c>
      <c r="P746" s="55" t="str">
        <f t="shared" si="291"/>
        <v/>
      </c>
      <c r="Q746" s="65" t="str">
        <f t="shared" si="292"/>
        <v/>
      </c>
      <c r="R746" s="67" t="str">
        <f t="shared" si="294"/>
        <v/>
      </c>
      <c r="S746" s="56" t="str">
        <f t="shared" si="295"/>
        <v/>
      </c>
      <c r="T746" s="56" t="str">
        <f t="shared" si="296"/>
        <v/>
      </c>
      <c r="U746" s="56" t="str">
        <f t="shared" si="297"/>
        <v/>
      </c>
      <c r="V746" s="68" t="str">
        <f t="shared" si="298"/>
        <v/>
      </c>
      <c r="W746" s="80" t="str">
        <f t="shared" si="299"/>
        <v/>
      </c>
      <c r="X746" s="81" t="str">
        <f t="shared" si="300"/>
        <v/>
      </c>
      <c r="Y746" s="81" t="str">
        <f t="shared" si="301"/>
        <v/>
      </c>
      <c r="Z746" s="81" t="str">
        <f t="shared" si="302"/>
        <v/>
      </c>
      <c r="AA746" s="82" t="str">
        <f t="shared" si="303"/>
        <v/>
      </c>
      <c r="AB746" s="83" t="str">
        <f>IF(R746&lt;&gt;"",(W746-SUMPRODUCT(R$3:R746,$B$3:$B746)/SUM($B$3:$B746))/STDEVA(W736:W746),"")</f>
        <v/>
      </c>
      <c r="AC746" s="84" t="str">
        <f>IF(S746&lt;&gt;"",(X746-SUMPRODUCT(S$3:S746,$B$3:$B746)/SUM($B$3:$B746))/STDEVA(X736:X746),"")</f>
        <v/>
      </c>
      <c r="AD746" s="84" t="str">
        <f>IF(T746&lt;&gt;"",(Y746-SUMPRODUCT(T$3:T746,$B$3:$B746)/SUM($B$3:$B746))/STDEVA(Y736:Y746),"")</f>
        <v/>
      </c>
      <c r="AE746" s="84" t="str">
        <f>IF(U746&lt;&gt;"",(Z746-SUMPRODUCT(U$3:U746,$B$3:$B746)/SUM($B$3:$B746))/STDEVA(Z736:Z746),"")</f>
        <v/>
      </c>
      <c r="AF746" s="85" t="str">
        <f>IF(V746&lt;&gt;"",(AA746-SUMPRODUCT(V$3:V746,$B$3:$B746)/SUM($B$3:$B746))/STDEVA(AA736:AA746),"")</f>
        <v/>
      </c>
      <c r="AG746" s="90" t="str">
        <f t="shared" si="304"/>
        <v/>
      </c>
      <c r="AH746" s="90" t="str">
        <f t="shared" si="304"/>
        <v/>
      </c>
      <c r="AI746" s="90" t="str">
        <f t="shared" si="304"/>
        <v/>
      </c>
      <c r="AJ746" s="90" t="str">
        <f t="shared" si="304"/>
        <v/>
      </c>
      <c r="AK746" s="93" t="str">
        <f t="shared" si="305"/>
        <v/>
      </c>
      <c r="BQ746" s="100" t="str">
        <f>IF(A746&lt;&gt;"",(VLOOKUP(A746,MarketData!$D:$BP,MATCH($BQ$1,MarketData!$D$1:$EG$1,0),TRUE)/100/365+1)^(B746)*BQ745,"")</f>
        <v/>
      </c>
      <c r="BR746" s="98" t="str">
        <f t="shared" si="282"/>
        <v/>
      </c>
      <c r="BS746" s="106" t="str">
        <f>IF(A746&lt;&gt;"",VLOOKUP(A746,MarketData!$D:$BP,MATCH($BS$1,MarketData!$D$1:$EG$1,0),TRUE),"")</f>
        <v/>
      </c>
      <c r="BT746" s="98" t="str">
        <f t="shared" si="293"/>
        <v/>
      </c>
    </row>
    <row r="747" spans="2:72" x14ac:dyDescent="0.25">
      <c r="B747" s="60" t="str">
        <f t="shared" si="306"/>
        <v/>
      </c>
      <c r="C747" s="3" t="str">
        <f t="shared" si="283"/>
        <v/>
      </c>
      <c r="D747" s="3" t="str">
        <f t="shared" si="284"/>
        <v/>
      </c>
      <c r="E747" s="3" t="str">
        <f t="shared" si="285"/>
        <v/>
      </c>
      <c r="F747" s="3" t="str">
        <f t="shared" si="286"/>
        <v/>
      </c>
      <c r="G747" s="74" t="str">
        <f t="shared" si="287"/>
        <v/>
      </c>
      <c r="H747" s="78" t="str">
        <f>IFERROR(C747/SUM(M$2:M746),"")</f>
        <v/>
      </c>
      <c r="I747" s="61" t="str">
        <f>IFERROR(D747/SUM(N$2:N747),"")</f>
        <v/>
      </c>
      <c r="J747" s="61" t="str">
        <f>IFERROR(E747/SUM(O$2:O747),"")</f>
        <v/>
      </c>
      <c r="K747" s="61" t="str">
        <f>IFERROR(F747/SUM(P$2:P747),"")</f>
        <v/>
      </c>
      <c r="L747" s="79" t="str">
        <f>IFERROR(G747/SUM(Q$2:Q747),"")</f>
        <v/>
      </c>
      <c r="M747" s="64" t="str">
        <f t="shared" si="288"/>
        <v/>
      </c>
      <c r="N747" s="55" t="str">
        <f t="shared" si="289"/>
        <v/>
      </c>
      <c r="O747" s="55" t="str">
        <f t="shared" si="290"/>
        <v/>
      </c>
      <c r="P747" s="55" t="str">
        <f t="shared" si="291"/>
        <v/>
      </c>
      <c r="Q747" s="65" t="str">
        <f t="shared" si="292"/>
        <v/>
      </c>
      <c r="R747" s="67" t="str">
        <f t="shared" si="294"/>
        <v/>
      </c>
      <c r="S747" s="56" t="str">
        <f t="shared" si="295"/>
        <v/>
      </c>
      <c r="T747" s="56" t="str">
        <f t="shared" si="296"/>
        <v/>
      </c>
      <c r="U747" s="56" t="str">
        <f t="shared" si="297"/>
        <v/>
      </c>
      <c r="V747" s="68" t="str">
        <f t="shared" si="298"/>
        <v/>
      </c>
      <c r="W747" s="80" t="str">
        <f t="shared" si="299"/>
        <v/>
      </c>
      <c r="X747" s="81" t="str">
        <f t="shared" si="300"/>
        <v/>
      </c>
      <c r="Y747" s="81" t="str">
        <f t="shared" si="301"/>
        <v/>
      </c>
      <c r="Z747" s="81" t="str">
        <f t="shared" si="302"/>
        <v/>
      </c>
      <c r="AA747" s="82" t="str">
        <f t="shared" si="303"/>
        <v/>
      </c>
      <c r="AB747" s="83" t="str">
        <f>IF(R747&lt;&gt;"",(W747-SUMPRODUCT(R$3:R747,$B$3:$B747)/SUM($B$3:$B747))/STDEVA(W737:W747),"")</f>
        <v/>
      </c>
      <c r="AC747" s="84" t="str">
        <f>IF(S747&lt;&gt;"",(X747-SUMPRODUCT(S$3:S747,$B$3:$B747)/SUM($B$3:$B747))/STDEVA(X737:X747),"")</f>
        <v/>
      </c>
      <c r="AD747" s="84" t="str">
        <f>IF(T747&lt;&gt;"",(Y747-SUMPRODUCT(T$3:T747,$B$3:$B747)/SUM($B$3:$B747))/STDEVA(Y737:Y747),"")</f>
        <v/>
      </c>
      <c r="AE747" s="84" t="str">
        <f>IF(U747&lt;&gt;"",(Z747-SUMPRODUCT(U$3:U747,$B$3:$B747)/SUM($B$3:$B747))/STDEVA(Z737:Z747),"")</f>
        <v/>
      </c>
      <c r="AF747" s="85" t="str">
        <f>IF(V747&lt;&gt;"",(AA747-SUMPRODUCT(V$3:V747,$B$3:$B747)/SUM($B$3:$B747))/STDEVA(AA737:AA747),"")</f>
        <v/>
      </c>
      <c r="AG747" s="90" t="str">
        <f t="shared" si="304"/>
        <v/>
      </c>
      <c r="AH747" s="90" t="str">
        <f t="shared" si="304"/>
        <v/>
      </c>
      <c r="AI747" s="90" t="str">
        <f t="shared" si="304"/>
        <v/>
      </c>
      <c r="AJ747" s="90" t="str">
        <f t="shared" si="304"/>
        <v/>
      </c>
      <c r="AK747" s="93" t="str">
        <f t="shared" si="305"/>
        <v/>
      </c>
      <c r="BQ747" s="100" t="str">
        <f>IF(A747&lt;&gt;"",(VLOOKUP(A747,MarketData!$D:$BP,MATCH($BQ$1,MarketData!$D$1:$EG$1,0),TRUE)/100/365+1)^(B747)*BQ746,"")</f>
        <v/>
      </c>
      <c r="BR747" s="98" t="str">
        <f t="shared" si="282"/>
        <v/>
      </c>
      <c r="BS747" s="106" t="str">
        <f>IF(A747&lt;&gt;"",VLOOKUP(A747,MarketData!$D:$BP,MATCH($BS$1,MarketData!$D$1:$EG$1,0),TRUE),"")</f>
        <v/>
      </c>
      <c r="BT747" s="98" t="str">
        <f t="shared" si="293"/>
        <v/>
      </c>
    </row>
    <row r="748" spans="2:72" x14ac:dyDescent="0.25">
      <c r="B748" s="60" t="str">
        <f t="shared" si="306"/>
        <v/>
      </c>
      <c r="C748" s="3" t="str">
        <f t="shared" si="283"/>
        <v/>
      </c>
      <c r="D748" s="3" t="str">
        <f t="shared" si="284"/>
        <v/>
      </c>
      <c r="E748" s="3" t="str">
        <f t="shared" si="285"/>
        <v/>
      </c>
      <c r="F748" s="3" t="str">
        <f t="shared" si="286"/>
        <v/>
      </c>
      <c r="G748" s="74" t="str">
        <f t="shared" si="287"/>
        <v/>
      </c>
      <c r="H748" s="78" t="str">
        <f>IFERROR(C748/SUM(M$2:M747),"")</f>
        <v/>
      </c>
      <c r="I748" s="61" t="str">
        <f>IFERROR(D748/SUM(N$2:N748),"")</f>
        <v/>
      </c>
      <c r="J748" s="61" t="str">
        <f>IFERROR(E748/SUM(O$2:O748),"")</f>
        <v/>
      </c>
      <c r="K748" s="61" t="str">
        <f>IFERROR(F748/SUM(P$2:P748),"")</f>
        <v/>
      </c>
      <c r="L748" s="79" t="str">
        <f>IFERROR(G748/SUM(Q$2:Q748),"")</f>
        <v/>
      </c>
      <c r="M748" s="64" t="str">
        <f t="shared" si="288"/>
        <v/>
      </c>
      <c r="N748" s="55" t="str">
        <f t="shared" si="289"/>
        <v/>
      </c>
      <c r="O748" s="55" t="str">
        <f t="shared" si="290"/>
        <v/>
      </c>
      <c r="P748" s="55" t="str">
        <f t="shared" si="291"/>
        <v/>
      </c>
      <c r="Q748" s="65" t="str">
        <f t="shared" si="292"/>
        <v/>
      </c>
      <c r="R748" s="67" t="str">
        <f t="shared" si="294"/>
        <v/>
      </c>
      <c r="S748" s="56" t="str">
        <f t="shared" si="295"/>
        <v/>
      </c>
      <c r="T748" s="56" t="str">
        <f t="shared" si="296"/>
        <v/>
      </c>
      <c r="U748" s="56" t="str">
        <f t="shared" si="297"/>
        <v/>
      </c>
      <c r="V748" s="68" t="str">
        <f t="shared" si="298"/>
        <v/>
      </c>
      <c r="W748" s="80" t="str">
        <f t="shared" si="299"/>
        <v/>
      </c>
      <c r="X748" s="81" t="str">
        <f t="shared" si="300"/>
        <v/>
      </c>
      <c r="Y748" s="81" t="str">
        <f t="shared" si="301"/>
        <v/>
      </c>
      <c r="Z748" s="81" t="str">
        <f t="shared" si="302"/>
        <v/>
      </c>
      <c r="AA748" s="82" t="str">
        <f t="shared" si="303"/>
        <v/>
      </c>
      <c r="AB748" s="83" t="str">
        <f>IF(R748&lt;&gt;"",(W748-SUMPRODUCT(R$3:R748,$B$3:$B748)/SUM($B$3:$B748))/STDEVA(W738:W748),"")</f>
        <v/>
      </c>
      <c r="AC748" s="84" t="str">
        <f>IF(S748&lt;&gt;"",(X748-SUMPRODUCT(S$3:S748,$B$3:$B748)/SUM($B$3:$B748))/STDEVA(X738:X748),"")</f>
        <v/>
      </c>
      <c r="AD748" s="84" t="str">
        <f>IF(T748&lt;&gt;"",(Y748-SUMPRODUCT(T$3:T748,$B$3:$B748)/SUM($B$3:$B748))/STDEVA(Y738:Y748),"")</f>
        <v/>
      </c>
      <c r="AE748" s="84" t="str">
        <f>IF(U748&lt;&gt;"",(Z748-SUMPRODUCT(U$3:U748,$B$3:$B748)/SUM($B$3:$B748))/STDEVA(Z738:Z748),"")</f>
        <v/>
      </c>
      <c r="AF748" s="85" t="str">
        <f>IF(V748&lt;&gt;"",(AA748-SUMPRODUCT(V$3:V748,$B$3:$B748)/SUM($B$3:$B748))/STDEVA(AA738:AA748),"")</f>
        <v/>
      </c>
      <c r="AG748" s="90" t="str">
        <f t="shared" si="304"/>
        <v/>
      </c>
      <c r="AH748" s="90" t="str">
        <f t="shared" si="304"/>
        <v/>
      </c>
      <c r="AI748" s="90" t="str">
        <f t="shared" si="304"/>
        <v/>
      </c>
      <c r="AJ748" s="90" t="str">
        <f t="shared" si="304"/>
        <v/>
      </c>
      <c r="AK748" s="93" t="str">
        <f t="shared" si="305"/>
        <v/>
      </c>
      <c r="BQ748" s="100" t="str">
        <f>IF(A748&lt;&gt;"",(VLOOKUP(A748,MarketData!$D:$BP,MATCH($BQ$1,MarketData!$D$1:$EG$1,0),TRUE)/100/365+1)^(B748)*BQ747,"")</f>
        <v/>
      </c>
      <c r="BR748" s="98" t="str">
        <f t="shared" si="282"/>
        <v/>
      </c>
      <c r="BS748" s="106" t="str">
        <f>IF(A748&lt;&gt;"",VLOOKUP(A748,MarketData!$D:$BP,MATCH($BS$1,MarketData!$D$1:$EG$1,0),TRUE),"")</f>
        <v/>
      </c>
      <c r="BT748" s="98" t="str">
        <f t="shared" si="293"/>
        <v/>
      </c>
    </row>
    <row r="749" spans="2:72" x14ac:dyDescent="0.25">
      <c r="B749" s="60" t="str">
        <f t="shared" si="306"/>
        <v/>
      </c>
      <c r="C749" s="3" t="str">
        <f t="shared" si="283"/>
        <v/>
      </c>
      <c r="D749" s="3" t="str">
        <f t="shared" si="284"/>
        <v/>
      </c>
      <c r="E749" s="3" t="str">
        <f t="shared" si="285"/>
        <v/>
      </c>
      <c r="F749" s="3" t="str">
        <f t="shared" si="286"/>
        <v/>
      </c>
      <c r="G749" s="74" t="str">
        <f t="shared" si="287"/>
        <v/>
      </c>
      <c r="H749" s="78" t="str">
        <f>IFERROR(C749/SUM(M$2:M748),"")</f>
        <v/>
      </c>
      <c r="I749" s="61" t="str">
        <f>IFERROR(D749/SUM(N$2:N749),"")</f>
        <v/>
      </c>
      <c r="J749" s="61" t="str">
        <f>IFERROR(E749/SUM(O$2:O749),"")</f>
        <v/>
      </c>
      <c r="K749" s="61" t="str">
        <f>IFERROR(F749/SUM(P$2:P749),"")</f>
        <v/>
      </c>
      <c r="L749" s="79" t="str">
        <f>IFERROR(G749/SUM(Q$2:Q749),"")</f>
        <v/>
      </c>
      <c r="M749" s="64" t="str">
        <f t="shared" si="288"/>
        <v/>
      </c>
      <c r="N749" s="55" t="str">
        <f t="shared" si="289"/>
        <v/>
      </c>
      <c r="O749" s="55" t="str">
        <f t="shared" si="290"/>
        <v/>
      </c>
      <c r="P749" s="55" t="str">
        <f t="shared" si="291"/>
        <v/>
      </c>
      <c r="Q749" s="65" t="str">
        <f t="shared" si="292"/>
        <v/>
      </c>
      <c r="R749" s="67" t="str">
        <f t="shared" si="294"/>
        <v/>
      </c>
      <c r="S749" s="56" t="str">
        <f t="shared" si="295"/>
        <v/>
      </c>
      <c r="T749" s="56" t="str">
        <f t="shared" si="296"/>
        <v/>
      </c>
      <c r="U749" s="56" t="str">
        <f t="shared" si="297"/>
        <v/>
      </c>
      <c r="V749" s="68" t="str">
        <f t="shared" si="298"/>
        <v/>
      </c>
      <c r="W749" s="80" t="str">
        <f t="shared" si="299"/>
        <v/>
      </c>
      <c r="X749" s="81" t="str">
        <f t="shared" si="300"/>
        <v/>
      </c>
      <c r="Y749" s="81" t="str">
        <f t="shared" si="301"/>
        <v/>
      </c>
      <c r="Z749" s="81" t="str">
        <f t="shared" si="302"/>
        <v/>
      </c>
      <c r="AA749" s="82" t="str">
        <f t="shared" si="303"/>
        <v/>
      </c>
      <c r="AB749" s="83" t="str">
        <f>IF(R749&lt;&gt;"",(W749-SUMPRODUCT(R$3:R749,$B$3:$B749)/SUM($B$3:$B749))/STDEVA(W739:W749),"")</f>
        <v/>
      </c>
      <c r="AC749" s="84" t="str">
        <f>IF(S749&lt;&gt;"",(X749-SUMPRODUCT(S$3:S749,$B$3:$B749)/SUM($B$3:$B749))/STDEVA(X739:X749),"")</f>
        <v/>
      </c>
      <c r="AD749" s="84" t="str">
        <f>IF(T749&lt;&gt;"",(Y749-SUMPRODUCT(T$3:T749,$B$3:$B749)/SUM($B$3:$B749))/STDEVA(Y739:Y749),"")</f>
        <v/>
      </c>
      <c r="AE749" s="84" t="str">
        <f>IF(U749&lt;&gt;"",(Z749-SUMPRODUCT(U$3:U749,$B$3:$B749)/SUM($B$3:$B749))/STDEVA(Z739:Z749),"")</f>
        <v/>
      </c>
      <c r="AF749" s="85" t="str">
        <f>IF(V749&lt;&gt;"",(AA749-SUMPRODUCT(V$3:V749,$B$3:$B749)/SUM($B$3:$B749))/STDEVA(AA739:AA749),"")</f>
        <v/>
      </c>
      <c r="AG749" s="90" t="str">
        <f t="shared" si="304"/>
        <v/>
      </c>
      <c r="AH749" s="90" t="str">
        <f t="shared" si="304"/>
        <v/>
      </c>
      <c r="AI749" s="90" t="str">
        <f t="shared" si="304"/>
        <v/>
      </c>
      <c r="AJ749" s="90" t="str">
        <f t="shared" si="304"/>
        <v/>
      </c>
      <c r="AK749" s="93" t="str">
        <f t="shared" si="305"/>
        <v/>
      </c>
      <c r="BQ749" s="100" t="str">
        <f>IF(A749&lt;&gt;"",(VLOOKUP(A749,MarketData!$D:$BP,MATCH($BQ$1,MarketData!$D$1:$EG$1,0),TRUE)/100/365+1)^(B749)*BQ748,"")</f>
        <v/>
      </c>
      <c r="BR749" s="98" t="str">
        <f t="shared" si="282"/>
        <v/>
      </c>
      <c r="BS749" s="106" t="str">
        <f>IF(A749&lt;&gt;"",VLOOKUP(A749,MarketData!$D:$BP,MATCH($BS$1,MarketData!$D$1:$EG$1,0),TRUE),"")</f>
        <v/>
      </c>
      <c r="BT749" s="98" t="str">
        <f t="shared" si="293"/>
        <v/>
      </c>
    </row>
    <row r="750" spans="2:72" x14ac:dyDescent="0.25">
      <c r="B750" s="60" t="str">
        <f t="shared" si="306"/>
        <v/>
      </c>
      <c r="C750" s="3" t="str">
        <f t="shared" si="283"/>
        <v/>
      </c>
      <c r="D750" s="3" t="str">
        <f t="shared" si="284"/>
        <v/>
      </c>
      <c r="E750" s="3" t="str">
        <f t="shared" si="285"/>
        <v/>
      </c>
      <c r="F750" s="3" t="str">
        <f t="shared" si="286"/>
        <v/>
      </c>
      <c r="G750" s="74" t="str">
        <f t="shared" si="287"/>
        <v/>
      </c>
      <c r="H750" s="78" t="str">
        <f>IFERROR(C750/SUM(M$2:M749),"")</f>
        <v/>
      </c>
      <c r="I750" s="61" t="str">
        <f>IFERROR(D750/SUM(N$2:N750),"")</f>
        <v/>
      </c>
      <c r="J750" s="61" t="str">
        <f>IFERROR(E750/SUM(O$2:O750),"")</f>
        <v/>
      </c>
      <c r="K750" s="61" t="str">
        <f>IFERROR(F750/SUM(P$2:P750),"")</f>
        <v/>
      </c>
      <c r="L750" s="79" t="str">
        <f>IFERROR(G750/SUM(Q$2:Q750),"")</f>
        <v/>
      </c>
      <c r="M750" s="64" t="str">
        <f t="shared" si="288"/>
        <v/>
      </c>
      <c r="N750" s="55" t="str">
        <f t="shared" si="289"/>
        <v/>
      </c>
      <c r="O750" s="55" t="str">
        <f t="shared" si="290"/>
        <v/>
      </c>
      <c r="P750" s="55" t="str">
        <f t="shared" si="291"/>
        <v/>
      </c>
      <c r="Q750" s="65" t="str">
        <f t="shared" si="292"/>
        <v/>
      </c>
      <c r="R750" s="67" t="str">
        <f t="shared" si="294"/>
        <v/>
      </c>
      <c r="S750" s="56" t="str">
        <f t="shared" si="295"/>
        <v/>
      </c>
      <c r="T750" s="56" t="str">
        <f t="shared" si="296"/>
        <v/>
      </c>
      <c r="U750" s="56" t="str">
        <f t="shared" si="297"/>
        <v/>
      </c>
      <c r="V750" s="68" t="str">
        <f t="shared" si="298"/>
        <v/>
      </c>
      <c r="W750" s="80" t="str">
        <f t="shared" si="299"/>
        <v/>
      </c>
      <c r="X750" s="81" t="str">
        <f t="shared" si="300"/>
        <v/>
      </c>
      <c r="Y750" s="81" t="str">
        <f t="shared" si="301"/>
        <v/>
      </c>
      <c r="Z750" s="81" t="str">
        <f t="shared" si="302"/>
        <v/>
      </c>
      <c r="AA750" s="82" t="str">
        <f t="shared" si="303"/>
        <v/>
      </c>
      <c r="AB750" s="83" t="str">
        <f>IF(R750&lt;&gt;"",(W750-SUMPRODUCT(R$3:R750,$B$3:$B750)/SUM($B$3:$B750))/STDEVA(W740:W750),"")</f>
        <v/>
      </c>
      <c r="AC750" s="84" t="str">
        <f>IF(S750&lt;&gt;"",(X750-SUMPRODUCT(S$3:S750,$B$3:$B750)/SUM($B$3:$B750))/STDEVA(X740:X750),"")</f>
        <v/>
      </c>
      <c r="AD750" s="84" t="str">
        <f>IF(T750&lt;&gt;"",(Y750-SUMPRODUCT(T$3:T750,$B$3:$B750)/SUM($B$3:$B750))/STDEVA(Y740:Y750),"")</f>
        <v/>
      </c>
      <c r="AE750" s="84" t="str">
        <f>IF(U750&lt;&gt;"",(Z750-SUMPRODUCT(U$3:U750,$B$3:$B750)/SUM($B$3:$B750))/STDEVA(Z740:Z750),"")</f>
        <v/>
      </c>
      <c r="AF750" s="85" t="str">
        <f>IF(V750&lt;&gt;"",(AA750-SUMPRODUCT(V$3:V750,$B$3:$B750)/SUM($B$3:$B750))/STDEVA(AA740:AA750),"")</f>
        <v/>
      </c>
      <c r="AG750" s="90" t="str">
        <f t="shared" si="304"/>
        <v/>
      </c>
      <c r="AH750" s="90" t="str">
        <f t="shared" si="304"/>
        <v/>
      </c>
      <c r="AI750" s="90" t="str">
        <f t="shared" si="304"/>
        <v/>
      </c>
      <c r="AJ750" s="90" t="str">
        <f t="shared" si="304"/>
        <v/>
      </c>
      <c r="AK750" s="93" t="str">
        <f t="shared" si="305"/>
        <v/>
      </c>
      <c r="BQ750" s="100" t="str">
        <f>IF(A750&lt;&gt;"",(VLOOKUP(A750,MarketData!$D:$BP,MATCH($BQ$1,MarketData!$D$1:$EG$1,0),TRUE)/100/365+1)^(B750)*BQ749,"")</f>
        <v/>
      </c>
      <c r="BR750" s="98" t="str">
        <f t="shared" si="282"/>
        <v/>
      </c>
      <c r="BS750" s="106" t="str">
        <f>IF(A750&lt;&gt;"",VLOOKUP(A750,MarketData!$D:$BP,MATCH($BS$1,MarketData!$D$1:$EG$1,0),TRUE),"")</f>
        <v/>
      </c>
      <c r="BT750" s="98" t="str">
        <f t="shared" si="293"/>
        <v/>
      </c>
    </row>
    <row r="751" spans="2:72" x14ac:dyDescent="0.25">
      <c r="B751" s="60" t="str">
        <f t="shared" si="306"/>
        <v/>
      </c>
      <c r="C751" s="3" t="str">
        <f t="shared" si="283"/>
        <v/>
      </c>
      <c r="D751" s="3" t="str">
        <f t="shared" si="284"/>
        <v/>
      </c>
      <c r="E751" s="3" t="str">
        <f t="shared" si="285"/>
        <v/>
      </c>
      <c r="F751" s="3" t="str">
        <f t="shared" si="286"/>
        <v/>
      </c>
      <c r="G751" s="74" t="str">
        <f t="shared" si="287"/>
        <v/>
      </c>
      <c r="H751" s="78" t="str">
        <f>IFERROR(C751/SUM(M$2:M750),"")</f>
        <v/>
      </c>
      <c r="I751" s="61" t="str">
        <f>IFERROR(D751/SUM(N$2:N751),"")</f>
        <v/>
      </c>
      <c r="J751" s="61" t="str">
        <f>IFERROR(E751/SUM(O$2:O751),"")</f>
        <v/>
      </c>
      <c r="K751" s="61" t="str">
        <f>IFERROR(F751/SUM(P$2:P751),"")</f>
        <v/>
      </c>
      <c r="L751" s="79" t="str">
        <f>IFERROR(G751/SUM(Q$2:Q751),"")</f>
        <v/>
      </c>
      <c r="M751" s="64" t="str">
        <f t="shared" si="288"/>
        <v/>
      </c>
      <c r="N751" s="55" t="str">
        <f t="shared" si="289"/>
        <v/>
      </c>
      <c r="O751" s="55" t="str">
        <f t="shared" si="290"/>
        <v/>
      </c>
      <c r="P751" s="55" t="str">
        <f t="shared" si="291"/>
        <v/>
      </c>
      <c r="Q751" s="65" t="str">
        <f t="shared" si="292"/>
        <v/>
      </c>
      <c r="R751" s="67" t="str">
        <f t="shared" si="294"/>
        <v/>
      </c>
      <c r="S751" s="56" t="str">
        <f t="shared" si="295"/>
        <v/>
      </c>
      <c r="T751" s="56" t="str">
        <f t="shared" si="296"/>
        <v/>
      </c>
      <c r="U751" s="56" t="str">
        <f t="shared" si="297"/>
        <v/>
      </c>
      <c r="V751" s="68" t="str">
        <f t="shared" si="298"/>
        <v/>
      </c>
      <c r="W751" s="80" t="str">
        <f t="shared" si="299"/>
        <v/>
      </c>
      <c r="X751" s="81" t="str">
        <f t="shared" si="300"/>
        <v/>
      </c>
      <c r="Y751" s="81" t="str">
        <f t="shared" si="301"/>
        <v/>
      </c>
      <c r="Z751" s="81" t="str">
        <f t="shared" si="302"/>
        <v/>
      </c>
      <c r="AA751" s="82" t="str">
        <f t="shared" si="303"/>
        <v/>
      </c>
      <c r="AB751" s="83" t="str">
        <f>IF(R751&lt;&gt;"",(W751-SUMPRODUCT(R$3:R751,$B$3:$B751)/SUM($B$3:$B751))/STDEVA(W741:W751),"")</f>
        <v/>
      </c>
      <c r="AC751" s="84" t="str">
        <f>IF(S751&lt;&gt;"",(X751-SUMPRODUCT(S$3:S751,$B$3:$B751)/SUM($B$3:$B751))/STDEVA(X741:X751),"")</f>
        <v/>
      </c>
      <c r="AD751" s="84" t="str">
        <f>IF(T751&lt;&gt;"",(Y751-SUMPRODUCT(T$3:T751,$B$3:$B751)/SUM($B$3:$B751))/STDEVA(Y741:Y751),"")</f>
        <v/>
      </c>
      <c r="AE751" s="84" t="str">
        <f>IF(U751&lt;&gt;"",(Z751-SUMPRODUCT(U$3:U751,$B$3:$B751)/SUM($B$3:$B751))/STDEVA(Z741:Z751),"")</f>
        <v/>
      </c>
      <c r="AF751" s="85" t="str">
        <f>IF(V751&lt;&gt;"",(AA751-SUMPRODUCT(V$3:V751,$B$3:$B751)/SUM($B$3:$B751))/STDEVA(AA741:AA751),"")</f>
        <v/>
      </c>
      <c r="AG751" s="90" t="str">
        <f t="shared" si="304"/>
        <v/>
      </c>
      <c r="AH751" s="90" t="str">
        <f t="shared" si="304"/>
        <v/>
      </c>
      <c r="AI751" s="90" t="str">
        <f t="shared" si="304"/>
        <v/>
      </c>
      <c r="AJ751" s="90" t="str">
        <f t="shared" si="304"/>
        <v/>
      </c>
      <c r="AK751" s="93" t="str">
        <f t="shared" si="305"/>
        <v/>
      </c>
      <c r="BQ751" s="100" t="str">
        <f>IF(A751&lt;&gt;"",(VLOOKUP(A751,MarketData!$D:$BP,MATCH($BQ$1,MarketData!$D$1:$EG$1,0),TRUE)/100/365+1)^(B751)*BQ750,"")</f>
        <v/>
      </c>
      <c r="BR751" s="98" t="str">
        <f t="shared" si="282"/>
        <v/>
      </c>
      <c r="BS751" s="106" t="str">
        <f>IF(A751&lt;&gt;"",VLOOKUP(A751,MarketData!$D:$BP,MATCH($BS$1,MarketData!$D$1:$EG$1,0),TRUE),"")</f>
        <v/>
      </c>
      <c r="BT751" s="98" t="str">
        <f t="shared" si="293"/>
        <v/>
      </c>
    </row>
    <row r="752" spans="2:72" x14ac:dyDescent="0.25">
      <c r="B752" s="60" t="str">
        <f t="shared" si="306"/>
        <v/>
      </c>
      <c r="C752" s="3" t="str">
        <f t="shared" si="283"/>
        <v/>
      </c>
      <c r="D752" s="3" t="str">
        <f t="shared" si="284"/>
        <v/>
      </c>
      <c r="E752" s="3" t="str">
        <f t="shared" si="285"/>
        <v/>
      </c>
      <c r="F752" s="3" t="str">
        <f t="shared" si="286"/>
        <v/>
      </c>
      <c r="G752" s="74" t="str">
        <f t="shared" si="287"/>
        <v/>
      </c>
      <c r="H752" s="78" t="str">
        <f>IFERROR(C752/SUM(M$2:M751),"")</f>
        <v/>
      </c>
      <c r="I752" s="61" t="str">
        <f>IFERROR(D752/SUM(N$2:N752),"")</f>
        <v/>
      </c>
      <c r="J752" s="61" t="str">
        <f>IFERROR(E752/SUM(O$2:O752),"")</f>
        <v/>
      </c>
      <c r="K752" s="61" t="str">
        <f>IFERROR(F752/SUM(P$2:P752),"")</f>
        <v/>
      </c>
      <c r="L752" s="79" t="str">
        <f>IFERROR(G752/SUM(Q$2:Q752),"")</f>
        <v/>
      </c>
      <c r="M752" s="64" t="str">
        <f t="shared" si="288"/>
        <v/>
      </c>
      <c r="N752" s="55" t="str">
        <f t="shared" si="289"/>
        <v/>
      </c>
      <c r="O752" s="55" t="str">
        <f t="shared" si="290"/>
        <v/>
      </c>
      <c r="P752" s="55" t="str">
        <f t="shared" si="291"/>
        <v/>
      </c>
      <c r="Q752" s="65" t="str">
        <f t="shared" si="292"/>
        <v/>
      </c>
      <c r="R752" s="67" t="str">
        <f t="shared" si="294"/>
        <v/>
      </c>
      <c r="S752" s="56" t="str">
        <f t="shared" si="295"/>
        <v/>
      </c>
      <c r="T752" s="56" t="str">
        <f t="shared" si="296"/>
        <v/>
      </c>
      <c r="U752" s="56" t="str">
        <f t="shared" si="297"/>
        <v/>
      </c>
      <c r="V752" s="68" t="str">
        <f t="shared" si="298"/>
        <v/>
      </c>
      <c r="W752" s="80" t="str">
        <f t="shared" si="299"/>
        <v/>
      </c>
      <c r="X752" s="81" t="str">
        <f t="shared" si="300"/>
        <v/>
      </c>
      <c r="Y752" s="81" t="str">
        <f t="shared" si="301"/>
        <v/>
      </c>
      <c r="Z752" s="81" t="str">
        <f t="shared" si="302"/>
        <v/>
      </c>
      <c r="AA752" s="82" t="str">
        <f t="shared" si="303"/>
        <v/>
      </c>
      <c r="AB752" s="83" t="str">
        <f>IF(R752&lt;&gt;"",(W752-SUMPRODUCT(R$3:R752,$B$3:$B752)/SUM($B$3:$B752))/STDEVA(W742:W752),"")</f>
        <v/>
      </c>
      <c r="AC752" s="84" t="str">
        <f>IF(S752&lt;&gt;"",(X752-SUMPRODUCT(S$3:S752,$B$3:$B752)/SUM($B$3:$B752))/STDEVA(X742:X752),"")</f>
        <v/>
      </c>
      <c r="AD752" s="84" t="str">
        <f>IF(T752&lt;&gt;"",(Y752-SUMPRODUCT(T$3:T752,$B$3:$B752)/SUM($B$3:$B752))/STDEVA(Y742:Y752),"")</f>
        <v/>
      </c>
      <c r="AE752" s="84" t="str">
        <f>IF(U752&lt;&gt;"",(Z752-SUMPRODUCT(U$3:U752,$B$3:$B752)/SUM($B$3:$B752))/STDEVA(Z742:Z752),"")</f>
        <v/>
      </c>
      <c r="AF752" s="85" t="str">
        <f>IF(V752&lt;&gt;"",(AA752-SUMPRODUCT(V$3:V752,$B$3:$B752)/SUM($B$3:$B752))/STDEVA(AA742:AA752),"")</f>
        <v/>
      </c>
      <c r="AG752" s="90" t="str">
        <f t="shared" si="304"/>
        <v/>
      </c>
      <c r="AH752" s="90" t="str">
        <f t="shared" si="304"/>
        <v/>
      </c>
      <c r="AI752" s="90" t="str">
        <f t="shared" si="304"/>
        <v/>
      </c>
      <c r="AJ752" s="90" t="str">
        <f t="shared" si="304"/>
        <v/>
      </c>
      <c r="AK752" s="93" t="str">
        <f t="shared" si="305"/>
        <v/>
      </c>
      <c r="BQ752" s="100" t="str">
        <f>IF(A752&lt;&gt;"",(VLOOKUP(A752,MarketData!$D:$BP,MATCH($BQ$1,MarketData!$D$1:$EG$1,0),TRUE)/100/365+1)^(B752)*BQ751,"")</f>
        <v/>
      </c>
      <c r="BR752" s="98" t="str">
        <f t="shared" si="282"/>
        <v/>
      </c>
      <c r="BS752" s="106" t="str">
        <f>IF(A752&lt;&gt;"",VLOOKUP(A752,MarketData!$D:$BP,MATCH($BS$1,MarketData!$D$1:$EG$1,0),TRUE),"")</f>
        <v/>
      </c>
      <c r="BT752" s="98" t="str">
        <f t="shared" si="293"/>
        <v/>
      </c>
    </row>
    <row r="753" spans="2:72" x14ac:dyDescent="0.25">
      <c r="B753" s="60" t="str">
        <f t="shared" si="306"/>
        <v/>
      </c>
      <c r="C753" s="3" t="str">
        <f t="shared" si="283"/>
        <v/>
      </c>
      <c r="D753" s="3" t="str">
        <f t="shared" si="284"/>
        <v/>
      </c>
      <c r="E753" s="3" t="str">
        <f t="shared" si="285"/>
        <v/>
      </c>
      <c r="F753" s="3" t="str">
        <f t="shared" si="286"/>
        <v/>
      </c>
      <c r="G753" s="74" t="str">
        <f t="shared" si="287"/>
        <v/>
      </c>
      <c r="H753" s="78" t="str">
        <f>IFERROR(C753/SUM(M$2:M752),"")</f>
        <v/>
      </c>
      <c r="I753" s="61" t="str">
        <f>IFERROR(D753/SUM(N$2:N753),"")</f>
        <v/>
      </c>
      <c r="J753" s="61" t="str">
        <f>IFERROR(E753/SUM(O$2:O753),"")</f>
        <v/>
      </c>
      <c r="K753" s="61" t="str">
        <f>IFERROR(F753/SUM(P$2:P753),"")</f>
        <v/>
      </c>
      <c r="L753" s="79" t="str">
        <f>IFERROR(G753/SUM(Q$2:Q753),"")</f>
        <v/>
      </c>
      <c r="M753" s="64" t="str">
        <f t="shared" si="288"/>
        <v/>
      </c>
      <c r="N753" s="55" t="str">
        <f t="shared" si="289"/>
        <v/>
      </c>
      <c r="O753" s="55" t="str">
        <f t="shared" si="290"/>
        <v/>
      </c>
      <c r="P753" s="55" t="str">
        <f t="shared" si="291"/>
        <v/>
      </c>
      <c r="Q753" s="65" t="str">
        <f t="shared" si="292"/>
        <v/>
      </c>
      <c r="R753" s="67" t="str">
        <f t="shared" si="294"/>
        <v/>
      </c>
      <c r="S753" s="56" t="str">
        <f t="shared" si="295"/>
        <v/>
      </c>
      <c r="T753" s="56" t="str">
        <f t="shared" si="296"/>
        <v/>
      </c>
      <c r="U753" s="56" t="str">
        <f t="shared" si="297"/>
        <v/>
      </c>
      <c r="V753" s="68" t="str">
        <f t="shared" si="298"/>
        <v/>
      </c>
      <c r="W753" s="80" t="str">
        <f t="shared" si="299"/>
        <v/>
      </c>
      <c r="X753" s="81" t="str">
        <f t="shared" si="300"/>
        <v/>
      </c>
      <c r="Y753" s="81" t="str">
        <f t="shared" si="301"/>
        <v/>
      </c>
      <c r="Z753" s="81" t="str">
        <f t="shared" si="302"/>
        <v/>
      </c>
      <c r="AA753" s="82" t="str">
        <f t="shared" si="303"/>
        <v/>
      </c>
      <c r="AB753" s="83" t="str">
        <f>IF(R753&lt;&gt;"",(W753-SUMPRODUCT(R$3:R753,$B$3:$B753)/SUM($B$3:$B753))/STDEVA(W743:W753),"")</f>
        <v/>
      </c>
      <c r="AC753" s="84" t="str">
        <f>IF(S753&lt;&gt;"",(X753-SUMPRODUCT(S$3:S753,$B$3:$B753)/SUM($B$3:$B753))/STDEVA(X743:X753),"")</f>
        <v/>
      </c>
      <c r="AD753" s="84" t="str">
        <f>IF(T753&lt;&gt;"",(Y753-SUMPRODUCT(T$3:T753,$B$3:$B753)/SUM($B$3:$B753))/STDEVA(Y743:Y753),"")</f>
        <v/>
      </c>
      <c r="AE753" s="84" t="str">
        <f>IF(U753&lt;&gt;"",(Z753-SUMPRODUCT(U$3:U753,$B$3:$B753)/SUM($B$3:$B753))/STDEVA(Z743:Z753),"")</f>
        <v/>
      </c>
      <c r="AF753" s="85" t="str">
        <f>IF(V753&lt;&gt;"",(AA753-SUMPRODUCT(V$3:V753,$B$3:$B753)/SUM($B$3:$B753))/STDEVA(AA743:AA753),"")</f>
        <v/>
      </c>
      <c r="AG753" s="90" t="str">
        <f t="shared" si="304"/>
        <v/>
      </c>
      <c r="AH753" s="90" t="str">
        <f t="shared" si="304"/>
        <v/>
      </c>
      <c r="AI753" s="90" t="str">
        <f t="shared" si="304"/>
        <v/>
      </c>
      <c r="AJ753" s="90" t="str">
        <f t="shared" si="304"/>
        <v/>
      </c>
      <c r="AK753" s="93" t="str">
        <f t="shared" si="305"/>
        <v/>
      </c>
      <c r="BQ753" s="100" t="str">
        <f>IF(A753&lt;&gt;"",(VLOOKUP(A753,MarketData!$D:$BP,MATCH($BQ$1,MarketData!$D$1:$EG$1,0),TRUE)/100/365+1)^(B753)*BQ752,"")</f>
        <v/>
      </c>
      <c r="BR753" s="98" t="str">
        <f t="shared" si="282"/>
        <v/>
      </c>
      <c r="BS753" s="106" t="str">
        <f>IF(A753&lt;&gt;"",VLOOKUP(A753,MarketData!$D:$BP,MATCH($BS$1,MarketData!$D$1:$EG$1,0),TRUE),"")</f>
        <v/>
      </c>
      <c r="BT753" s="98" t="str">
        <f t="shared" si="293"/>
        <v/>
      </c>
    </row>
    <row r="754" spans="2:72" x14ac:dyDescent="0.25">
      <c r="B754" s="60" t="str">
        <f t="shared" si="306"/>
        <v/>
      </c>
      <c r="C754" s="3" t="str">
        <f t="shared" si="283"/>
        <v/>
      </c>
      <c r="D754" s="3" t="str">
        <f t="shared" si="284"/>
        <v/>
      </c>
      <c r="E754" s="3" t="str">
        <f t="shared" si="285"/>
        <v/>
      </c>
      <c r="F754" s="3" t="str">
        <f t="shared" si="286"/>
        <v/>
      </c>
      <c r="G754" s="74" t="str">
        <f t="shared" si="287"/>
        <v/>
      </c>
      <c r="H754" s="78" t="str">
        <f>IFERROR(C754/SUM(M$2:M753),"")</f>
        <v/>
      </c>
      <c r="I754" s="61" t="str">
        <f>IFERROR(D754/SUM(N$2:N754),"")</f>
        <v/>
      </c>
      <c r="J754" s="61" t="str">
        <f>IFERROR(E754/SUM(O$2:O754),"")</f>
        <v/>
      </c>
      <c r="K754" s="61" t="str">
        <f>IFERROR(F754/SUM(P$2:P754),"")</f>
        <v/>
      </c>
      <c r="L754" s="79" t="str">
        <f>IFERROR(G754/SUM(Q$2:Q754),"")</f>
        <v/>
      </c>
      <c r="M754" s="64" t="str">
        <f t="shared" si="288"/>
        <v/>
      </c>
      <c r="N754" s="55" t="str">
        <f t="shared" si="289"/>
        <v/>
      </c>
      <c r="O754" s="55" t="str">
        <f t="shared" si="290"/>
        <v/>
      </c>
      <c r="P754" s="55" t="str">
        <f t="shared" si="291"/>
        <v/>
      </c>
      <c r="Q754" s="65" t="str">
        <f t="shared" si="292"/>
        <v/>
      </c>
      <c r="R754" s="67" t="str">
        <f t="shared" si="294"/>
        <v/>
      </c>
      <c r="S754" s="56" t="str">
        <f t="shared" si="295"/>
        <v/>
      </c>
      <c r="T754" s="56" t="str">
        <f t="shared" si="296"/>
        <v/>
      </c>
      <c r="U754" s="56" t="str">
        <f t="shared" si="297"/>
        <v/>
      </c>
      <c r="V754" s="68" t="str">
        <f t="shared" si="298"/>
        <v/>
      </c>
      <c r="W754" s="80" t="str">
        <f t="shared" si="299"/>
        <v/>
      </c>
      <c r="X754" s="81" t="str">
        <f t="shared" si="300"/>
        <v/>
      </c>
      <c r="Y754" s="81" t="str">
        <f t="shared" si="301"/>
        <v/>
      </c>
      <c r="Z754" s="81" t="str">
        <f t="shared" si="302"/>
        <v/>
      </c>
      <c r="AA754" s="82" t="str">
        <f t="shared" si="303"/>
        <v/>
      </c>
      <c r="AB754" s="83" t="str">
        <f>IF(R754&lt;&gt;"",(W754-SUMPRODUCT(R$3:R754,$B$3:$B754)/SUM($B$3:$B754))/STDEVA(W744:W754),"")</f>
        <v/>
      </c>
      <c r="AC754" s="84" t="str">
        <f>IF(S754&lt;&gt;"",(X754-SUMPRODUCT(S$3:S754,$B$3:$B754)/SUM($B$3:$B754))/STDEVA(X744:X754),"")</f>
        <v/>
      </c>
      <c r="AD754" s="84" t="str">
        <f>IF(T754&lt;&gt;"",(Y754-SUMPRODUCT(T$3:T754,$B$3:$B754)/SUM($B$3:$B754))/STDEVA(Y744:Y754),"")</f>
        <v/>
      </c>
      <c r="AE754" s="84" t="str">
        <f>IF(U754&lt;&gt;"",(Z754-SUMPRODUCT(U$3:U754,$B$3:$B754)/SUM($B$3:$B754))/STDEVA(Z744:Z754),"")</f>
        <v/>
      </c>
      <c r="AF754" s="85" t="str">
        <f>IF(V754&lt;&gt;"",(AA754-SUMPRODUCT(V$3:V754,$B$3:$B754)/SUM($B$3:$B754))/STDEVA(AA744:AA754),"")</f>
        <v/>
      </c>
      <c r="AG754" s="90" t="str">
        <f t="shared" si="304"/>
        <v/>
      </c>
      <c r="AH754" s="90" t="str">
        <f t="shared" si="304"/>
        <v/>
      </c>
      <c r="AI754" s="90" t="str">
        <f t="shared" si="304"/>
        <v/>
      </c>
      <c r="AJ754" s="90" t="str">
        <f t="shared" si="304"/>
        <v/>
      </c>
      <c r="AK754" s="93" t="str">
        <f t="shared" si="305"/>
        <v/>
      </c>
      <c r="BQ754" s="100" t="str">
        <f>IF(A754&lt;&gt;"",(VLOOKUP(A754,MarketData!$D:$BP,MATCH($BQ$1,MarketData!$D$1:$EG$1,0),TRUE)/100/365+1)^(B754)*BQ753,"")</f>
        <v/>
      </c>
      <c r="BR754" s="98" t="str">
        <f t="shared" si="282"/>
        <v/>
      </c>
      <c r="BS754" s="106" t="str">
        <f>IF(A754&lt;&gt;"",VLOOKUP(A754,MarketData!$D:$BP,MATCH($BS$1,MarketData!$D$1:$EG$1,0),TRUE),"")</f>
        <v/>
      </c>
      <c r="BT754" s="98" t="str">
        <f t="shared" si="293"/>
        <v/>
      </c>
    </row>
    <row r="755" spans="2:72" x14ac:dyDescent="0.25">
      <c r="B755" s="60" t="str">
        <f t="shared" si="306"/>
        <v/>
      </c>
      <c r="C755" s="3" t="str">
        <f t="shared" si="283"/>
        <v/>
      </c>
      <c r="D755" s="3" t="str">
        <f t="shared" si="284"/>
        <v/>
      </c>
      <c r="E755" s="3" t="str">
        <f t="shared" si="285"/>
        <v/>
      </c>
      <c r="F755" s="3" t="str">
        <f t="shared" si="286"/>
        <v/>
      </c>
      <c r="G755" s="74" t="str">
        <f t="shared" si="287"/>
        <v/>
      </c>
      <c r="H755" s="78" t="str">
        <f>IFERROR(C755/SUM(M$2:M754),"")</f>
        <v/>
      </c>
      <c r="I755" s="61" t="str">
        <f>IFERROR(D755/SUM(N$2:N755),"")</f>
        <v/>
      </c>
      <c r="J755" s="61" t="str">
        <f>IFERROR(E755/SUM(O$2:O755),"")</f>
        <v/>
      </c>
      <c r="K755" s="61" t="str">
        <f>IFERROR(F755/SUM(P$2:P755),"")</f>
        <v/>
      </c>
      <c r="L755" s="79" t="str">
        <f>IFERROR(G755/SUM(Q$2:Q755),"")</f>
        <v/>
      </c>
      <c r="M755" s="64" t="str">
        <f t="shared" si="288"/>
        <v/>
      </c>
      <c r="N755" s="55" t="str">
        <f t="shared" si="289"/>
        <v/>
      </c>
      <c r="O755" s="55" t="str">
        <f t="shared" si="290"/>
        <v/>
      </c>
      <c r="P755" s="55" t="str">
        <f t="shared" si="291"/>
        <v/>
      </c>
      <c r="Q755" s="65" t="str">
        <f t="shared" si="292"/>
        <v/>
      </c>
      <c r="R755" s="67" t="str">
        <f t="shared" si="294"/>
        <v/>
      </c>
      <c r="S755" s="56" t="str">
        <f t="shared" si="295"/>
        <v/>
      </c>
      <c r="T755" s="56" t="str">
        <f t="shared" si="296"/>
        <v/>
      </c>
      <c r="U755" s="56" t="str">
        <f t="shared" si="297"/>
        <v/>
      </c>
      <c r="V755" s="68" t="str">
        <f t="shared" si="298"/>
        <v/>
      </c>
      <c r="W755" s="80" t="str">
        <f t="shared" si="299"/>
        <v/>
      </c>
      <c r="X755" s="81" t="str">
        <f t="shared" si="300"/>
        <v/>
      </c>
      <c r="Y755" s="81" t="str">
        <f t="shared" si="301"/>
        <v/>
      </c>
      <c r="Z755" s="81" t="str">
        <f t="shared" si="302"/>
        <v/>
      </c>
      <c r="AA755" s="82" t="str">
        <f t="shared" si="303"/>
        <v/>
      </c>
      <c r="AB755" s="83" t="str">
        <f>IF(R755&lt;&gt;"",(W755-SUMPRODUCT(R$3:R755,$B$3:$B755)/SUM($B$3:$B755))/STDEVA(W745:W755),"")</f>
        <v/>
      </c>
      <c r="AC755" s="84" t="str">
        <f>IF(S755&lt;&gt;"",(X755-SUMPRODUCT(S$3:S755,$B$3:$B755)/SUM($B$3:$B755))/STDEVA(X745:X755),"")</f>
        <v/>
      </c>
      <c r="AD755" s="84" t="str">
        <f>IF(T755&lt;&gt;"",(Y755-SUMPRODUCT(T$3:T755,$B$3:$B755)/SUM($B$3:$B755))/STDEVA(Y745:Y755),"")</f>
        <v/>
      </c>
      <c r="AE755" s="84" t="str">
        <f>IF(U755&lt;&gt;"",(Z755-SUMPRODUCT(U$3:U755,$B$3:$B755)/SUM($B$3:$B755))/STDEVA(Z745:Z755),"")</f>
        <v/>
      </c>
      <c r="AF755" s="85" t="str">
        <f>IF(V755&lt;&gt;"",(AA755-SUMPRODUCT(V$3:V755,$B$3:$B755)/SUM($B$3:$B755))/STDEVA(AA745:AA755),"")</f>
        <v/>
      </c>
      <c r="AG755" s="90" t="str">
        <f t="shared" si="304"/>
        <v/>
      </c>
      <c r="AH755" s="90" t="str">
        <f t="shared" si="304"/>
        <v/>
      </c>
      <c r="AI755" s="90" t="str">
        <f t="shared" si="304"/>
        <v/>
      </c>
      <c r="AJ755" s="90" t="str">
        <f t="shared" si="304"/>
        <v/>
      </c>
      <c r="AK755" s="93" t="str">
        <f t="shared" si="305"/>
        <v/>
      </c>
      <c r="BQ755" s="100" t="str">
        <f>IF(A755&lt;&gt;"",(VLOOKUP(A755,MarketData!$D:$BP,MATCH($BQ$1,MarketData!$D$1:$EG$1,0),TRUE)/100/365+1)^(B755)*BQ754,"")</f>
        <v/>
      </c>
      <c r="BR755" s="98" t="str">
        <f t="shared" si="282"/>
        <v/>
      </c>
      <c r="BS755" s="106" t="str">
        <f>IF(A755&lt;&gt;"",VLOOKUP(A755,MarketData!$D:$BP,MATCH($BS$1,MarketData!$D$1:$EG$1,0),TRUE),"")</f>
        <v/>
      </c>
      <c r="BT755" s="98" t="str">
        <f t="shared" si="293"/>
        <v/>
      </c>
    </row>
    <row r="756" spans="2:72" x14ac:dyDescent="0.25">
      <c r="B756" s="60" t="str">
        <f t="shared" si="306"/>
        <v/>
      </c>
      <c r="C756" s="3" t="str">
        <f t="shared" si="283"/>
        <v/>
      </c>
      <c r="D756" s="3" t="str">
        <f t="shared" si="284"/>
        <v/>
      </c>
      <c r="E756" s="3" t="str">
        <f t="shared" si="285"/>
        <v/>
      </c>
      <c r="F756" s="3" t="str">
        <f t="shared" si="286"/>
        <v/>
      </c>
      <c r="G756" s="74" t="str">
        <f t="shared" si="287"/>
        <v/>
      </c>
      <c r="H756" s="78" t="str">
        <f>IFERROR(C756/SUM(M$2:M755),"")</f>
        <v/>
      </c>
      <c r="I756" s="61" t="str">
        <f>IFERROR(D756/SUM(N$2:N756),"")</f>
        <v/>
      </c>
      <c r="J756" s="61" t="str">
        <f>IFERROR(E756/SUM(O$2:O756),"")</f>
        <v/>
      </c>
      <c r="K756" s="61" t="str">
        <f>IFERROR(F756/SUM(P$2:P756),"")</f>
        <v/>
      </c>
      <c r="L756" s="79" t="str">
        <f>IFERROR(G756/SUM(Q$2:Q756),"")</f>
        <v/>
      </c>
      <c r="M756" s="64" t="str">
        <f t="shared" si="288"/>
        <v/>
      </c>
      <c r="N756" s="55" t="str">
        <f t="shared" si="289"/>
        <v/>
      </c>
      <c r="O756" s="55" t="str">
        <f t="shared" si="290"/>
        <v/>
      </c>
      <c r="P756" s="55" t="str">
        <f t="shared" si="291"/>
        <v/>
      </c>
      <c r="Q756" s="65" t="str">
        <f t="shared" si="292"/>
        <v/>
      </c>
      <c r="R756" s="67" t="str">
        <f t="shared" si="294"/>
        <v/>
      </c>
      <c r="S756" s="56" t="str">
        <f t="shared" si="295"/>
        <v/>
      </c>
      <c r="T756" s="56" t="str">
        <f t="shared" si="296"/>
        <v/>
      </c>
      <c r="U756" s="56" t="str">
        <f t="shared" si="297"/>
        <v/>
      </c>
      <c r="V756" s="68" t="str">
        <f t="shared" si="298"/>
        <v/>
      </c>
      <c r="W756" s="80" t="str">
        <f t="shared" si="299"/>
        <v/>
      </c>
      <c r="X756" s="81" t="str">
        <f t="shared" si="300"/>
        <v/>
      </c>
      <c r="Y756" s="81" t="str">
        <f t="shared" si="301"/>
        <v/>
      </c>
      <c r="Z756" s="81" t="str">
        <f t="shared" si="302"/>
        <v/>
      </c>
      <c r="AA756" s="82" t="str">
        <f t="shared" si="303"/>
        <v/>
      </c>
      <c r="AB756" s="83" t="str">
        <f>IF(R756&lt;&gt;"",(W756-SUMPRODUCT(R$3:R756,$B$3:$B756)/SUM($B$3:$B756))/STDEVA(W746:W756),"")</f>
        <v/>
      </c>
      <c r="AC756" s="84" t="str">
        <f>IF(S756&lt;&gt;"",(X756-SUMPRODUCT(S$3:S756,$B$3:$B756)/SUM($B$3:$B756))/STDEVA(X746:X756),"")</f>
        <v/>
      </c>
      <c r="AD756" s="84" t="str">
        <f>IF(T756&lt;&gt;"",(Y756-SUMPRODUCT(T$3:T756,$B$3:$B756)/SUM($B$3:$B756))/STDEVA(Y746:Y756),"")</f>
        <v/>
      </c>
      <c r="AE756" s="84" t="str">
        <f>IF(U756&lt;&gt;"",(Z756-SUMPRODUCT(U$3:U756,$B$3:$B756)/SUM($B$3:$B756))/STDEVA(Z746:Z756),"")</f>
        <v/>
      </c>
      <c r="AF756" s="85" t="str">
        <f>IF(V756&lt;&gt;"",(AA756-SUMPRODUCT(V$3:V756,$B$3:$B756)/SUM($B$3:$B756))/STDEVA(AA746:AA756),"")</f>
        <v/>
      </c>
      <c r="AG756" s="90" t="str">
        <f t="shared" si="304"/>
        <v/>
      </c>
      <c r="AH756" s="90" t="str">
        <f t="shared" si="304"/>
        <v/>
      </c>
      <c r="AI756" s="90" t="str">
        <f t="shared" si="304"/>
        <v/>
      </c>
      <c r="AJ756" s="90" t="str">
        <f t="shared" si="304"/>
        <v/>
      </c>
      <c r="AK756" s="93" t="str">
        <f t="shared" si="305"/>
        <v/>
      </c>
      <c r="BQ756" s="100" t="str">
        <f>IF(A756&lt;&gt;"",(VLOOKUP(A756,MarketData!$D:$BP,MATCH($BQ$1,MarketData!$D$1:$EG$1,0),TRUE)/100/365+1)^(B756)*BQ755,"")</f>
        <v/>
      </c>
      <c r="BR756" s="98" t="str">
        <f t="shared" si="282"/>
        <v/>
      </c>
      <c r="BS756" s="106" t="str">
        <f>IF(A756&lt;&gt;"",VLOOKUP(A756,MarketData!$D:$BP,MATCH($BS$1,MarketData!$D$1:$EG$1,0),TRUE),"")</f>
        <v/>
      </c>
      <c r="BT756" s="98" t="str">
        <f t="shared" si="293"/>
        <v/>
      </c>
    </row>
    <row r="757" spans="2:72" x14ac:dyDescent="0.25">
      <c r="B757" s="60" t="str">
        <f t="shared" si="306"/>
        <v/>
      </c>
      <c r="C757" s="3" t="str">
        <f t="shared" si="283"/>
        <v/>
      </c>
      <c r="D757" s="3" t="str">
        <f t="shared" si="284"/>
        <v/>
      </c>
      <c r="E757" s="3" t="str">
        <f t="shared" si="285"/>
        <v/>
      </c>
      <c r="F757" s="3" t="str">
        <f t="shared" si="286"/>
        <v/>
      </c>
      <c r="G757" s="74" t="str">
        <f t="shared" si="287"/>
        <v/>
      </c>
      <c r="H757" s="78" t="str">
        <f>IFERROR(C757/SUM(M$2:M756),"")</f>
        <v/>
      </c>
      <c r="I757" s="61" t="str">
        <f>IFERROR(D757/SUM(N$2:N757),"")</f>
        <v/>
      </c>
      <c r="J757" s="61" t="str">
        <f>IFERROR(E757/SUM(O$2:O757),"")</f>
        <v/>
      </c>
      <c r="K757" s="61" t="str">
        <f>IFERROR(F757/SUM(P$2:P757),"")</f>
        <v/>
      </c>
      <c r="L757" s="79" t="str">
        <f>IFERROR(G757/SUM(Q$2:Q757),"")</f>
        <v/>
      </c>
      <c r="M757" s="64" t="str">
        <f t="shared" si="288"/>
        <v/>
      </c>
      <c r="N757" s="55" t="str">
        <f t="shared" si="289"/>
        <v/>
      </c>
      <c r="O757" s="55" t="str">
        <f t="shared" si="290"/>
        <v/>
      </c>
      <c r="P757" s="55" t="str">
        <f t="shared" si="291"/>
        <v/>
      </c>
      <c r="Q757" s="65" t="str">
        <f t="shared" si="292"/>
        <v/>
      </c>
      <c r="R757" s="67" t="str">
        <f t="shared" si="294"/>
        <v/>
      </c>
      <c r="S757" s="56" t="str">
        <f t="shared" si="295"/>
        <v/>
      </c>
      <c r="T757" s="56" t="str">
        <f t="shared" si="296"/>
        <v/>
      </c>
      <c r="U757" s="56" t="str">
        <f t="shared" si="297"/>
        <v/>
      </c>
      <c r="V757" s="68" t="str">
        <f t="shared" si="298"/>
        <v/>
      </c>
      <c r="W757" s="80" t="str">
        <f t="shared" si="299"/>
        <v/>
      </c>
      <c r="X757" s="81" t="str">
        <f t="shared" si="300"/>
        <v/>
      </c>
      <c r="Y757" s="81" t="str">
        <f t="shared" si="301"/>
        <v/>
      </c>
      <c r="Z757" s="81" t="str">
        <f t="shared" si="302"/>
        <v/>
      </c>
      <c r="AA757" s="82" t="str">
        <f t="shared" si="303"/>
        <v/>
      </c>
      <c r="AB757" s="83" t="str">
        <f>IF(R757&lt;&gt;"",(W757-SUMPRODUCT(R$3:R757,$B$3:$B757)/SUM($B$3:$B757))/STDEVA(W747:W757),"")</f>
        <v/>
      </c>
      <c r="AC757" s="84" t="str">
        <f>IF(S757&lt;&gt;"",(X757-SUMPRODUCT(S$3:S757,$B$3:$B757)/SUM($B$3:$B757))/STDEVA(X747:X757),"")</f>
        <v/>
      </c>
      <c r="AD757" s="84" t="str">
        <f>IF(T757&lt;&gt;"",(Y757-SUMPRODUCT(T$3:T757,$B$3:$B757)/SUM($B$3:$B757))/STDEVA(Y747:Y757),"")</f>
        <v/>
      </c>
      <c r="AE757" s="84" t="str">
        <f>IF(U757&lt;&gt;"",(Z757-SUMPRODUCT(U$3:U757,$B$3:$B757)/SUM($B$3:$B757))/STDEVA(Z747:Z757),"")</f>
        <v/>
      </c>
      <c r="AF757" s="85" t="str">
        <f>IF(V757&lt;&gt;"",(AA757-SUMPRODUCT(V$3:V757,$B$3:$B757)/SUM($B$3:$B757))/STDEVA(AA747:AA757),"")</f>
        <v/>
      </c>
      <c r="AG757" s="90" t="str">
        <f t="shared" si="304"/>
        <v/>
      </c>
      <c r="AH757" s="90" t="str">
        <f t="shared" si="304"/>
        <v/>
      </c>
      <c r="AI757" s="90" t="str">
        <f t="shared" si="304"/>
        <v/>
      </c>
      <c r="AJ757" s="90" t="str">
        <f t="shared" si="304"/>
        <v/>
      </c>
      <c r="AK757" s="93" t="str">
        <f t="shared" si="305"/>
        <v/>
      </c>
      <c r="BQ757" s="100" t="str">
        <f>IF(A757&lt;&gt;"",(VLOOKUP(A757,MarketData!$D:$BP,MATCH($BQ$1,MarketData!$D$1:$EG$1,0),TRUE)/100/365+1)^(B757)*BQ756,"")</f>
        <v/>
      </c>
      <c r="BR757" s="98" t="str">
        <f t="shared" si="282"/>
        <v/>
      </c>
      <c r="BS757" s="106" t="str">
        <f>IF(A757&lt;&gt;"",VLOOKUP(A757,MarketData!$D:$BP,MATCH($BS$1,MarketData!$D$1:$EG$1,0),TRUE),"")</f>
        <v/>
      </c>
      <c r="BT757" s="98" t="str">
        <f t="shared" si="293"/>
        <v/>
      </c>
    </row>
    <row r="758" spans="2:72" x14ac:dyDescent="0.25">
      <c r="B758" s="60" t="str">
        <f t="shared" si="306"/>
        <v/>
      </c>
      <c r="C758" s="3" t="str">
        <f t="shared" si="283"/>
        <v/>
      </c>
      <c r="D758" s="3" t="str">
        <f t="shared" si="284"/>
        <v/>
      </c>
      <c r="E758" s="3" t="str">
        <f t="shared" si="285"/>
        <v/>
      </c>
      <c r="F758" s="3" t="str">
        <f t="shared" si="286"/>
        <v/>
      </c>
      <c r="G758" s="74" t="str">
        <f t="shared" si="287"/>
        <v/>
      </c>
      <c r="H758" s="78" t="str">
        <f>IFERROR(C758/SUM(M$2:M757),"")</f>
        <v/>
      </c>
      <c r="I758" s="61" t="str">
        <f>IFERROR(D758/SUM(N$2:N758),"")</f>
        <v/>
      </c>
      <c r="J758" s="61" t="str">
        <f>IFERROR(E758/SUM(O$2:O758),"")</f>
        <v/>
      </c>
      <c r="K758" s="61" t="str">
        <f>IFERROR(F758/SUM(P$2:P758),"")</f>
        <v/>
      </c>
      <c r="L758" s="79" t="str">
        <f>IFERROR(G758/SUM(Q$2:Q758),"")</f>
        <v/>
      </c>
      <c r="M758" s="64" t="str">
        <f t="shared" si="288"/>
        <v/>
      </c>
      <c r="N758" s="55" t="str">
        <f t="shared" si="289"/>
        <v/>
      </c>
      <c r="O758" s="55" t="str">
        <f t="shared" si="290"/>
        <v/>
      </c>
      <c r="P758" s="55" t="str">
        <f t="shared" si="291"/>
        <v/>
      </c>
      <c r="Q758" s="65" t="str">
        <f t="shared" si="292"/>
        <v/>
      </c>
      <c r="R758" s="67" t="str">
        <f t="shared" si="294"/>
        <v/>
      </c>
      <c r="S758" s="56" t="str">
        <f t="shared" si="295"/>
        <v/>
      </c>
      <c r="T758" s="56" t="str">
        <f t="shared" si="296"/>
        <v/>
      </c>
      <c r="U758" s="56" t="str">
        <f t="shared" si="297"/>
        <v/>
      </c>
      <c r="V758" s="68" t="str">
        <f t="shared" si="298"/>
        <v/>
      </c>
      <c r="W758" s="80" t="str">
        <f t="shared" si="299"/>
        <v/>
      </c>
      <c r="X758" s="81" t="str">
        <f t="shared" si="300"/>
        <v/>
      </c>
      <c r="Y758" s="81" t="str">
        <f t="shared" si="301"/>
        <v/>
      </c>
      <c r="Z758" s="81" t="str">
        <f t="shared" si="302"/>
        <v/>
      </c>
      <c r="AA758" s="82" t="str">
        <f t="shared" si="303"/>
        <v/>
      </c>
      <c r="AB758" s="83" t="str">
        <f>IF(R758&lt;&gt;"",(W758-SUMPRODUCT(R$3:R758,$B$3:$B758)/SUM($B$3:$B758))/STDEVA(W748:W758),"")</f>
        <v/>
      </c>
      <c r="AC758" s="84" t="str">
        <f>IF(S758&lt;&gt;"",(X758-SUMPRODUCT(S$3:S758,$B$3:$B758)/SUM($B$3:$B758))/STDEVA(X748:X758),"")</f>
        <v/>
      </c>
      <c r="AD758" s="84" t="str">
        <f>IF(T758&lt;&gt;"",(Y758-SUMPRODUCT(T$3:T758,$B$3:$B758)/SUM($B$3:$B758))/STDEVA(Y748:Y758),"")</f>
        <v/>
      </c>
      <c r="AE758" s="84" t="str">
        <f>IF(U758&lt;&gt;"",(Z758-SUMPRODUCT(U$3:U758,$B$3:$B758)/SUM($B$3:$B758))/STDEVA(Z748:Z758),"")</f>
        <v/>
      </c>
      <c r="AF758" s="85" t="str">
        <f>IF(V758&lt;&gt;"",(AA758-SUMPRODUCT(V$3:V758,$B$3:$B758)/SUM($B$3:$B758))/STDEVA(AA748:AA758),"")</f>
        <v/>
      </c>
      <c r="AG758" s="90" t="str">
        <f t="shared" si="304"/>
        <v/>
      </c>
      <c r="AH758" s="90" t="str">
        <f t="shared" si="304"/>
        <v/>
      </c>
      <c r="AI758" s="90" t="str">
        <f t="shared" si="304"/>
        <v/>
      </c>
      <c r="AJ758" s="90" t="str">
        <f t="shared" si="304"/>
        <v/>
      </c>
      <c r="AK758" s="93" t="str">
        <f t="shared" si="305"/>
        <v/>
      </c>
      <c r="BQ758" s="100" t="str">
        <f>IF(A758&lt;&gt;"",(VLOOKUP(A758,MarketData!$D:$BP,MATCH($BQ$1,MarketData!$D$1:$EG$1,0),TRUE)/100/365+1)^(B758)*BQ757,"")</f>
        <v/>
      </c>
      <c r="BR758" s="98" t="str">
        <f t="shared" si="282"/>
        <v/>
      </c>
      <c r="BS758" s="106" t="str">
        <f>IF(A758&lt;&gt;"",VLOOKUP(A758,MarketData!$D:$BP,MATCH($BS$1,MarketData!$D$1:$EG$1,0),TRUE),"")</f>
        <v/>
      </c>
      <c r="BT758" s="98" t="str">
        <f t="shared" si="293"/>
        <v/>
      </c>
    </row>
    <row r="759" spans="2:72" x14ac:dyDescent="0.25">
      <c r="B759" s="60" t="str">
        <f t="shared" si="306"/>
        <v/>
      </c>
      <c r="C759" s="3" t="str">
        <f t="shared" si="283"/>
        <v/>
      </c>
      <c r="D759" s="3" t="str">
        <f t="shared" si="284"/>
        <v/>
      </c>
      <c r="E759" s="3" t="str">
        <f t="shared" si="285"/>
        <v/>
      </c>
      <c r="F759" s="3" t="str">
        <f t="shared" si="286"/>
        <v/>
      </c>
      <c r="G759" s="74" t="str">
        <f t="shared" si="287"/>
        <v/>
      </c>
      <c r="H759" s="78" t="str">
        <f>IFERROR(C759/SUM(M$2:M758),"")</f>
        <v/>
      </c>
      <c r="I759" s="61" t="str">
        <f>IFERROR(D759/SUM(N$2:N759),"")</f>
        <v/>
      </c>
      <c r="J759" s="61" t="str">
        <f>IFERROR(E759/SUM(O$2:O759),"")</f>
        <v/>
      </c>
      <c r="K759" s="61" t="str">
        <f>IFERROR(F759/SUM(P$2:P759),"")</f>
        <v/>
      </c>
      <c r="L759" s="79" t="str">
        <f>IFERROR(G759/SUM(Q$2:Q759),"")</f>
        <v/>
      </c>
      <c r="M759" s="64" t="str">
        <f t="shared" si="288"/>
        <v/>
      </c>
      <c r="N759" s="55" t="str">
        <f t="shared" si="289"/>
        <v/>
      </c>
      <c r="O759" s="55" t="str">
        <f t="shared" si="290"/>
        <v/>
      </c>
      <c r="P759" s="55" t="str">
        <f t="shared" si="291"/>
        <v/>
      </c>
      <c r="Q759" s="65" t="str">
        <f t="shared" si="292"/>
        <v/>
      </c>
      <c r="R759" s="67" t="str">
        <f t="shared" si="294"/>
        <v/>
      </c>
      <c r="S759" s="56" t="str">
        <f t="shared" si="295"/>
        <v/>
      </c>
      <c r="T759" s="56" t="str">
        <f t="shared" si="296"/>
        <v/>
      </c>
      <c r="U759" s="56" t="str">
        <f t="shared" si="297"/>
        <v/>
      </c>
      <c r="V759" s="68" t="str">
        <f t="shared" si="298"/>
        <v/>
      </c>
      <c r="W759" s="80" t="str">
        <f t="shared" si="299"/>
        <v/>
      </c>
      <c r="X759" s="81" t="str">
        <f t="shared" si="300"/>
        <v/>
      </c>
      <c r="Y759" s="81" t="str">
        <f t="shared" si="301"/>
        <v/>
      </c>
      <c r="Z759" s="81" t="str">
        <f t="shared" si="302"/>
        <v/>
      </c>
      <c r="AA759" s="82" t="str">
        <f t="shared" si="303"/>
        <v/>
      </c>
      <c r="AB759" s="83" t="str">
        <f>IF(R759&lt;&gt;"",(W759-SUMPRODUCT(R$3:R759,$B$3:$B759)/SUM($B$3:$B759))/STDEVA(W749:W759),"")</f>
        <v/>
      </c>
      <c r="AC759" s="84" t="str">
        <f>IF(S759&lt;&gt;"",(X759-SUMPRODUCT(S$3:S759,$B$3:$B759)/SUM($B$3:$B759))/STDEVA(X749:X759),"")</f>
        <v/>
      </c>
      <c r="AD759" s="84" t="str">
        <f>IF(T759&lt;&gt;"",(Y759-SUMPRODUCT(T$3:T759,$B$3:$B759)/SUM($B$3:$B759))/STDEVA(Y749:Y759),"")</f>
        <v/>
      </c>
      <c r="AE759" s="84" t="str">
        <f>IF(U759&lt;&gt;"",(Z759-SUMPRODUCT(U$3:U759,$B$3:$B759)/SUM($B$3:$B759))/STDEVA(Z749:Z759),"")</f>
        <v/>
      </c>
      <c r="AF759" s="85" t="str">
        <f>IF(V759&lt;&gt;"",(AA759-SUMPRODUCT(V$3:V759,$B$3:$B759)/SUM($B$3:$B759))/STDEVA(AA749:AA759),"")</f>
        <v/>
      </c>
      <c r="AG759" s="90" t="str">
        <f t="shared" si="304"/>
        <v/>
      </c>
      <c r="AH759" s="90" t="str">
        <f t="shared" si="304"/>
        <v/>
      </c>
      <c r="AI759" s="90" t="str">
        <f t="shared" si="304"/>
        <v/>
      </c>
      <c r="AJ759" s="90" t="str">
        <f t="shared" si="304"/>
        <v/>
      </c>
      <c r="AK759" s="93" t="str">
        <f t="shared" si="305"/>
        <v/>
      </c>
      <c r="BQ759" s="100" t="str">
        <f>IF(A759&lt;&gt;"",(VLOOKUP(A759,MarketData!$D:$BP,MATCH($BQ$1,MarketData!$D$1:$EG$1,0),TRUE)/100/365+1)^(B759)*BQ758,"")</f>
        <v/>
      </c>
      <c r="BR759" s="98" t="str">
        <f t="shared" si="282"/>
        <v/>
      </c>
      <c r="BS759" s="106" t="str">
        <f>IF(A759&lt;&gt;"",VLOOKUP(A759,MarketData!$D:$BP,MATCH($BS$1,MarketData!$D$1:$EG$1,0),TRUE),"")</f>
        <v/>
      </c>
      <c r="BT759" s="98" t="str">
        <f t="shared" si="293"/>
        <v/>
      </c>
    </row>
    <row r="760" spans="2:72" x14ac:dyDescent="0.25">
      <c r="B760" s="60" t="str">
        <f t="shared" si="306"/>
        <v/>
      </c>
      <c r="C760" s="3" t="str">
        <f t="shared" si="283"/>
        <v/>
      </c>
      <c r="D760" s="3" t="str">
        <f t="shared" si="284"/>
        <v/>
      </c>
      <c r="E760" s="3" t="str">
        <f t="shared" si="285"/>
        <v/>
      </c>
      <c r="F760" s="3" t="str">
        <f t="shared" si="286"/>
        <v/>
      </c>
      <c r="G760" s="74" t="str">
        <f t="shared" si="287"/>
        <v/>
      </c>
      <c r="H760" s="78" t="str">
        <f>IFERROR(C760/SUM(M$2:M759),"")</f>
        <v/>
      </c>
      <c r="I760" s="61" t="str">
        <f>IFERROR(D760/SUM(N$2:N760),"")</f>
        <v/>
      </c>
      <c r="J760" s="61" t="str">
        <f>IFERROR(E760/SUM(O$2:O760),"")</f>
        <v/>
      </c>
      <c r="K760" s="61" t="str">
        <f>IFERROR(F760/SUM(P$2:P760),"")</f>
        <v/>
      </c>
      <c r="L760" s="79" t="str">
        <f>IFERROR(G760/SUM(Q$2:Q760),"")</f>
        <v/>
      </c>
      <c r="M760" s="64" t="str">
        <f t="shared" si="288"/>
        <v/>
      </c>
      <c r="N760" s="55" t="str">
        <f t="shared" si="289"/>
        <v/>
      </c>
      <c r="O760" s="55" t="str">
        <f t="shared" si="290"/>
        <v/>
      </c>
      <c r="P760" s="55" t="str">
        <f t="shared" si="291"/>
        <v/>
      </c>
      <c r="Q760" s="65" t="str">
        <f t="shared" si="292"/>
        <v/>
      </c>
      <c r="R760" s="67" t="str">
        <f t="shared" si="294"/>
        <v/>
      </c>
      <c r="S760" s="56" t="str">
        <f t="shared" si="295"/>
        <v/>
      </c>
      <c r="T760" s="56" t="str">
        <f t="shared" si="296"/>
        <v/>
      </c>
      <c r="U760" s="56" t="str">
        <f t="shared" si="297"/>
        <v/>
      </c>
      <c r="V760" s="68" t="str">
        <f t="shared" si="298"/>
        <v/>
      </c>
      <c r="W760" s="80" t="str">
        <f t="shared" si="299"/>
        <v/>
      </c>
      <c r="X760" s="81" t="str">
        <f t="shared" si="300"/>
        <v/>
      </c>
      <c r="Y760" s="81" t="str">
        <f t="shared" si="301"/>
        <v/>
      </c>
      <c r="Z760" s="81" t="str">
        <f t="shared" si="302"/>
        <v/>
      </c>
      <c r="AA760" s="82" t="str">
        <f t="shared" si="303"/>
        <v/>
      </c>
      <c r="AB760" s="83" t="str">
        <f>IF(R760&lt;&gt;"",(W760-SUMPRODUCT(R$3:R760,$B$3:$B760)/SUM($B$3:$B760))/STDEVA(W750:W760),"")</f>
        <v/>
      </c>
      <c r="AC760" s="84" t="str">
        <f>IF(S760&lt;&gt;"",(X760-SUMPRODUCT(S$3:S760,$B$3:$B760)/SUM($B$3:$B760))/STDEVA(X750:X760),"")</f>
        <v/>
      </c>
      <c r="AD760" s="84" t="str">
        <f>IF(T760&lt;&gt;"",(Y760-SUMPRODUCT(T$3:T760,$B$3:$B760)/SUM($B$3:$B760))/STDEVA(Y750:Y760),"")</f>
        <v/>
      </c>
      <c r="AE760" s="84" t="str">
        <f>IF(U760&lt;&gt;"",(Z760-SUMPRODUCT(U$3:U760,$B$3:$B760)/SUM($B$3:$B760))/STDEVA(Z750:Z760),"")</f>
        <v/>
      </c>
      <c r="AF760" s="85" t="str">
        <f>IF(V760&lt;&gt;"",(AA760-SUMPRODUCT(V$3:V760,$B$3:$B760)/SUM($B$3:$B760))/STDEVA(AA750:AA760),"")</f>
        <v/>
      </c>
      <c r="AG760" s="90" t="str">
        <f t="shared" si="304"/>
        <v/>
      </c>
      <c r="AH760" s="90" t="str">
        <f t="shared" si="304"/>
        <v/>
      </c>
      <c r="AI760" s="90" t="str">
        <f t="shared" si="304"/>
        <v/>
      </c>
      <c r="AJ760" s="90" t="str">
        <f t="shared" si="304"/>
        <v/>
      </c>
      <c r="AK760" s="93" t="str">
        <f t="shared" si="305"/>
        <v/>
      </c>
      <c r="BQ760" s="100" t="str">
        <f>IF(A760&lt;&gt;"",(VLOOKUP(A760,MarketData!$D:$BP,MATCH($BQ$1,MarketData!$D$1:$EG$1,0),TRUE)/100/365+1)^(B760)*BQ759,"")</f>
        <v/>
      </c>
      <c r="BR760" s="98" t="str">
        <f t="shared" si="282"/>
        <v/>
      </c>
      <c r="BS760" s="106" t="str">
        <f>IF(A760&lt;&gt;"",VLOOKUP(A760,MarketData!$D:$BP,MATCH($BS$1,MarketData!$D$1:$EG$1,0),TRUE),"")</f>
        <v/>
      </c>
      <c r="BT760" s="98" t="str">
        <f t="shared" si="293"/>
        <v/>
      </c>
    </row>
    <row r="761" spans="2:72" x14ac:dyDescent="0.25">
      <c r="B761" s="60" t="str">
        <f t="shared" si="306"/>
        <v/>
      </c>
      <c r="C761" s="3" t="str">
        <f t="shared" si="283"/>
        <v/>
      </c>
      <c r="D761" s="3" t="str">
        <f t="shared" si="284"/>
        <v/>
      </c>
      <c r="E761" s="3" t="str">
        <f t="shared" si="285"/>
        <v/>
      </c>
      <c r="F761" s="3" t="str">
        <f t="shared" si="286"/>
        <v/>
      </c>
      <c r="G761" s="74" t="str">
        <f t="shared" si="287"/>
        <v/>
      </c>
      <c r="H761" s="78" t="str">
        <f>IFERROR(C761/SUM(M$2:M760),"")</f>
        <v/>
      </c>
      <c r="I761" s="61" t="str">
        <f>IFERROR(D761/SUM(N$2:N761),"")</f>
        <v/>
      </c>
      <c r="J761" s="61" t="str">
        <f>IFERROR(E761/SUM(O$2:O761),"")</f>
        <v/>
      </c>
      <c r="K761" s="61" t="str">
        <f>IFERROR(F761/SUM(P$2:P761),"")</f>
        <v/>
      </c>
      <c r="L761" s="79" t="str">
        <f>IFERROR(G761/SUM(Q$2:Q761),"")</f>
        <v/>
      </c>
      <c r="M761" s="64" t="str">
        <f t="shared" si="288"/>
        <v/>
      </c>
      <c r="N761" s="55" t="str">
        <f t="shared" si="289"/>
        <v/>
      </c>
      <c r="O761" s="55" t="str">
        <f t="shared" si="290"/>
        <v/>
      </c>
      <c r="P761" s="55" t="str">
        <f t="shared" si="291"/>
        <v/>
      </c>
      <c r="Q761" s="65" t="str">
        <f t="shared" si="292"/>
        <v/>
      </c>
      <c r="R761" s="67" t="str">
        <f t="shared" si="294"/>
        <v/>
      </c>
      <c r="S761" s="56" t="str">
        <f t="shared" si="295"/>
        <v/>
      </c>
      <c r="T761" s="56" t="str">
        <f t="shared" si="296"/>
        <v/>
      </c>
      <c r="U761" s="56" t="str">
        <f t="shared" si="297"/>
        <v/>
      </c>
      <c r="V761" s="68" t="str">
        <f t="shared" si="298"/>
        <v/>
      </c>
      <c r="W761" s="80" t="str">
        <f t="shared" si="299"/>
        <v/>
      </c>
      <c r="X761" s="81" t="str">
        <f t="shared" si="300"/>
        <v/>
      </c>
      <c r="Y761" s="81" t="str">
        <f t="shared" si="301"/>
        <v/>
      </c>
      <c r="Z761" s="81" t="str">
        <f t="shared" si="302"/>
        <v/>
      </c>
      <c r="AA761" s="82" t="str">
        <f t="shared" si="303"/>
        <v/>
      </c>
      <c r="AB761" s="83" t="str">
        <f>IF(R761&lt;&gt;"",(W761-SUMPRODUCT(R$3:R761,$B$3:$B761)/SUM($B$3:$B761))/STDEVA(W751:W761),"")</f>
        <v/>
      </c>
      <c r="AC761" s="84" t="str">
        <f>IF(S761&lt;&gt;"",(X761-SUMPRODUCT(S$3:S761,$B$3:$B761)/SUM($B$3:$B761))/STDEVA(X751:X761),"")</f>
        <v/>
      </c>
      <c r="AD761" s="84" t="str">
        <f>IF(T761&lt;&gt;"",(Y761-SUMPRODUCT(T$3:T761,$B$3:$B761)/SUM($B$3:$B761))/STDEVA(Y751:Y761),"")</f>
        <v/>
      </c>
      <c r="AE761" s="84" t="str">
        <f>IF(U761&lt;&gt;"",(Z761-SUMPRODUCT(U$3:U761,$B$3:$B761)/SUM($B$3:$B761))/STDEVA(Z751:Z761),"")</f>
        <v/>
      </c>
      <c r="AF761" s="85" t="str">
        <f>IF(V761&lt;&gt;"",(AA761-SUMPRODUCT(V$3:V761,$B$3:$B761)/SUM($B$3:$B761))/STDEVA(AA751:AA761),"")</f>
        <v/>
      </c>
      <c r="AG761" s="90" t="str">
        <f t="shared" si="304"/>
        <v/>
      </c>
      <c r="AH761" s="90" t="str">
        <f t="shared" si="304"/>
        <v/>
      </c>
      <c r="AI761" s="90" t="str">
        <f t="shared" si="304"/>
        <v/>
      </c>
      <c r="AJ761" s="90" t="str">
        <f t="shared" si="304"/>
        <v/>
      </c>
      <c r="AK761" s="93" t="str">
        <f t="shared" si="305"/>
        <v/>
      </c>
      <c r="BQ761" s="100" t="str">
        <f>IF(A761&lt;&gt;"",(VLOOKUP(A761,MarketData!$D:$BP,MATCH($BQ$1,MarketData!$D$1:$EG$1,0),TRUE)/100/365+1)^(B761)*BQ760,"")</f>
        <v/>
      </c>
      <c r="BR761" s="98" t="str">
        <f t="shared" si="282"/>
        <v/>
      </c>
      <c r="BS761" s="106" t="str">
        <f>IF(A761&lt;&gt;"",VLOOKUP(A761,MarketData!$D:$BP,MATCH($BS$1,MarketData!$D$1:$EG$1,0),TRUE),"")</f>
        <v/>
      </c>
      <c r="BT761" s="98" t="str">
        <f t="shared" si="293"/>
        <v/>
      </c>
    </row>
    <row r="762" spans="2:72" x14ac:dyDescent="0.25">
      <c r="B762" s="60" t="str">
        <f t="shared" si="306"/>
        <v/>
      </c>
      <c r="C762" s="3" t="str">
        <f t="shared" si="283"/>
        <v/>
      </c>
      <c r="D762" s="3" t="str">
        <f t="shared" si="284"/>
        <v/>
      </c>
      <c r="E762" s="3" t="str">
        <f t="shared" si="285"/>
        <v/>
      </c>
      <c r="F762" s="3" t="str">
        <f t="shared" si="286"/>
        <v/>
      </c>
      <c r="G762" s="74" t="str">
        <f t="shared" si="287"/>
        <v/>
      </c>
      <c r="H762" s="78" t="str">
        <f>IFERROR(C762/SUM(M$2:M761),"")</f>
        <v/>
      </c>
      <c r="I762" s="61" t="str">
        <f>IFERROR(D762/SUM(N$2:N762),"")</f>
        <v/>
      </c>
      <c r="J762" s="61" t="str">
        <f>IFERROR(E762/SUM(O$2:O762),"")</f>
        <v/>
      </c>
      <c r="K762" s="61" t="str">
        <f>IFERROR(F762/SUM(P$2:P762),"")</f>
        <v/>
      </c>
      <c r="L762" s="79" t="str">
        <f>IFERROR(G762/SUM(Q$2:Q762),"")</f>
        <v/>
      </c>
      <c r="M762" s="64" t="str">
        <f t="shared" si="288"/>
        <v/>
      </c>
      <c r="N762" s="55" t="str">
        <f t="shared" si="289"/>
        <v/>
      </c>
      <c r="O762" s="55" t="str">
        <f t="shared" si="290"/>
        <v/>
      </c>
      <c r="P762" s="55" t="str">
        <f t="shared" si="291"/>
        <v/>
      </c>
      <c r="Q762" s="65" t="str">
        <f t="shared" si="292"/>
        <v/>
      </c>
      <c r="R762" s="67" t="str">
        <f t="shared" si="294"/>
        <v/>
      </c>
      <c r="S762" s="56" t="str">
        <f t="shared" si="295"/>
        <v/>
      </c>
      <c r="T762" s="56" t="str">
        <f t="shared" si="296"/>
        <v/>
      </c>
      <c r="U762" s="56" t="str">
        <f t="shared" si="297"/>
        <v/>
      </c>
      <c r="V762" s="68" t="str">
        <f t="shared" si="298"/>
        <v/>
      </c>
      <c r="W762" s="80" t="str">
        <f t="shared" si="299"/>
        <v/>
      </c>
      <c r="X762" s="81" t="str">
        <f t="shared" si="300"/>
        <v/>
      </c>
      <c r="Y762" s="81" t="str">
        <f t="shared" si="301"/>
        <v/>
      </c>
      <c r="Z762" s="81" t="str">
        <f t="shared" si="302"/>
        <v/>
      </c>
      <c r="AA762" s="82" t="str">
        <f t="shared" si="303"/>
        <v/>
      </c>
      <c r="AB762" s="83" t="str">
        <f>IF(R762&lt;&gt;"",(W762-SUMPRODUCT(R$3:R762,$B$3:$B762)/SUM($B$3:$B762))/STDEVA(W752:W762),"")</f>
        <v/>
      </c>
      <c r="AC762" s="84" t="str">
        <f>IF(S762&lt;&gt;"",(X762-SUMPRODUCT(S$3:S762,$B$3:$B762)/SUM($B$3:$B762))/STDEVA(X752:X762),"")</f>
        <v/>
      </c>
      <c r="AD762" s="84" t="str">
        <f>IF(T762&lt;&gt;"",(Y762-SUMPRODUCT(T$3:T762,$B$3:$B762)/SUM($B$3:$B762))/STDEVA(Y752:Y762),"")</f>
        <v/>
      </c>
      <c r="AE762" s="84" t="str">
        <f>IF(U762&lt;&gt;"",(Z762-SUMPRODUCT(U$3:U762,$B$3:$B762)/SUM($B$3:$B762))/STDEVA(Z752:Z762),"")</f>
        <v/>
      </c>
      <c r="AF762" s="85" t="str">
        <f>IF(V762&lt;&gt;"",(AA762-SUMPRODUCT(V$3:V762,$B$3:$B762)/SUM($B$3:$B762))/STDEVA(AA752:AA762),"")</f>
        <v/>
      </c>
      <c r="AG762" s="90" t="str">
        <f t="shared" si="304"/>
        <v/>
      </c>
      <c r="AH762" s="90" t="str">
        <f t="shared" si="304"/>
        <v/>
      </c>
      <c r="AI762" s="90" t="str">
        <f t="shared" si="304"/>
        <v/>
      </c>
      <c r="AJ762" s="90" t="str">
        <f t="shared" si="304"/>
        <v/>
      </c>
      <c r="AK762" s="93" t="str">
        <f t="shared" si="305"/>
        <v/>
      </c>
      <c r="BQ762" s="100" t="str">
        <f>IF(A762&lt;&gt;"",(VLOOKUP(A762,MarketData!$D:$BP,MATCH($BQ$1,MarketData!$D$1:$EG$1,0),TRUE)/100/365+1)^(B762)*BQ761,"")</f>
        <v/>
      </c>
      <c r="BR762" s="98" t="str">
        <f t="shared" si="282"/>
        <v/>
      </c>
      <c r="BS762" s="106" t="str">
        <f>IF(A762&lt;&gt;"",VLOOKUP(A762,MarketData!$D:$BP,MATCH($BS$1,MarketData!$D$1:$EG$1,0),TRUE),"")</f>
        <v/>
      </c>
      <c r="BT762" s="98" t="str">
        <f t="shared" si="293"/>
        <v/>
      </c>
    </row>
    <row r="763" spans="2:72" x14ac:dyDescent="0.25">
      <c r="B763" s="60" t="str">
        <f t="shared" si="306"/>
        <v/>
      </c>
      <c r="C763" s="3" t="str">
        <f t="shared" si="283"/>
        <v/>
      </c>
      <c r="D763" s="3" t="str">
        <f t="shared" si="284"/>
        <v/>
      </c>
      <c r="E763" s="3" t="str">
        <f t="shared" si="285"/>
        <v/>
      </c>
      <c r="F763" s="3" t="str">
        <f t="shared" si="286"/>
        <v/>
      </c>
      <c r="G763" s="74" t="str">
        <f t="shared" si="287"/>
        <v/>
      </c>
      <c r="H763" s="78" t="str">
        <f>IFERROR(C763/SUM(M$2:M762),"")</f>
        <v/>
      </c>
      <c r="I763" s="61" t="str">
        <f>IFERROR(D763/SUM(N$2:N763),"")</f>
        <v/>
      </c>
      <c r="J763" s="61" t="str">
        <f>IFERROR(E763/SUM(O$2:O763),"")</f>
        <v/>
      </c>
      <c r="K763" s="61" t="str">
        <f>IFERROR(F763/SUM(P$2:P763),"")</f>
        <v/>
      </c>
      <c r="L763" s="79" t="str">
        <f>IFERROR(G763/SUM(Q$2:Q763),"")</f>
        <v/>
      </c>
      <c r="M763" s="64" t="str">
        <f t="shared" si="288"/>
        <v/>
      </c>
      <c r="N763" s="55" t="str">
        <f t="shared" si="289"/>
        <v/>
      </c>
      <c r="O763" s="55" t="str">
        <f t="shared" si="290"/>
        <v/>
      </c>
      <c r="P763" s="55" t="str">
        <f t="shared" si="291"/>
        <v/>
      </c>
      <c r="Q763" s="65" t="str">
        <f t="shared" si="292"/>
        <v/>
      </c>
      <c r="R763" s="67" t="str">
        <f t="shared" si="294"/>
        <v/>
      </c>
      <c r="S763" s="56" t="str">
        <f t="shared" si="295"/>
        <v/>
      </c>
      <c r="T763" s="56" t="str">
        <f t="shared" si="296"/>
        <v/>
      </c>
      <c r="U763" s="56" t="str">
        <f t="shared" si="297"/>
        <v/>
      </c>
      <c r="V763" s="68" t="str">
        <f t="shared" si="298"/>
        <v/>
      </c>
      <c r="W763" s="80" t="str">
        <f t="shared" si="299"/>
        <v/>
      </c>
      <c r="X763" s="81" t="str">
        <f t="shared" si="300"/>
        <v/>
      </c>
      <c r="Y763" s="81" t="str">
        <f t="shared" si="301"/>
        <v/>
      </c>
      <c r="Z763" s="81" t="str">
        <f t="shared" si="302"/>
        <v/>
      </c>
      <c r="AA763" s="82" t="str">
        <f t="shared" si="303"/>
        <v/>
      </c>
      <c r="AB763" s="83" t="str">
        <f>IF(R763&lt;&gt;"",(W763-SUMPRODUCT(R$3:R763,$B$3:$B763)/SUM($B$3:$B763))/STDEVA(W753:W763),"")</f>
        <v/>
      </c>
      <c r="AC763" s="84" t="str">
        <f>IF(S763&lt;&gt;"",(X763-SUMPRODUCT(S$3:S763,$B$3:$B763)/SUM($B$3:$B763))/STDEVA(X753:X763),"")</f>
        <v/>
      </c>
      <c r="AD763" s="84" t="str">
        <f>IF(T763&lt;&gt;"",(Y763-SUMPRODUCT(T$3:T763,$B$3:$B763)/SUM($B$3:$B763))/STDEVA(Y753:Y763),"")</f>
        <v/>
      </c>
      <c r="AE763" s="84" t="str">
        <f>IF(U763&lt;&gt;"",(Z763-SUMPRODUCT(U$3:U763,$B$3:$B763)/SUM($B$3:$B763))/STDEVA(Z753:Z763),"")</f>
        <v/>
      </c>
      <c r="AF763" s="85" t="str">
        <f>IF(V763&lt;&gt;"",(AA763-SUMPRODUCT(V$3:V763,$B$3:$B763)/SUM($B$3:$B763))/STDEVA(AA753:AA763),"")</f>
        <v/>
      </c>
      <c r="AG763" s="90" t="str">
        <f t="shared" si="304"/>
        <v/>
      </c>
      <c r="AH763" s="90" t="str">
        <f t="shared" si="304"/>
        <v/>
      </c>
      <c r="AI763" s="90" t="str">
        <f t="shared" si="304"/>
        <v/>
      </c>
      <c r="AJ763" s="90" t="str">
        <f t="shared" si="304"/>
        <v/>
      </c>
      <c r="AK763" s="93" t="str">
        <f t="shared" si="305"/>
        <v/>
      </c>
      <c r="BQ763" s="100" t="str">
        <f>IF(A763&lt;&gt;"",(VLOOKUP(A763,MarketData!$D:$BP,MATCH($BQ$1,MarketData!$D$1:$EG$1,0),TRUE)/100/365+1)^(B763)*BQ762,"")</f>
        <v/>
      </c>
      <c r="BR763" s="98" t="str">
        <f t="shared" si="282"/>
        <v/>
      </c>
      <c r="BS763" s="106" t="str">
        <f>IF(A763&lt;&gt;"",VLOOKUP(A763,MarketData!$D:$BP,MATCH($BS$1,MarketData!$D$1:$EG$1,0),TRUE),"")</f>
        <v/>
      </c>
      <c r="BT763" s="98" t="str">
        <f t="shared" si="293"/>
        <v/>
      </c>
    </row>
    <row r="764" spans="2:72" x14ac:dyDescent="0.25">
      <c r="B764" s="60" t="str">
        <f t="shared" si="306"/>
        <v/>
      </c>
      <c r="C764" s="3" t="str">
        <f t="shared" si="283"/>
        <v/>
      </c>
      <c r="D764" s="3" t="str">
        <f t="shared" si="284"/>
        <v/>
      </c>
      <c r="E764" s="3" t="str">
        <f t="shared" si="285"/>
        <v/>
      </c>
      <c r="F764" s="3" t="str">
        <f t="shared" si="286"/>
        <v/>
      </c>
      <c r="G764" s="74" t="str">
        <f t="shared" si="287"/>
        <v/>
      </c>
      <c r="H764" s="78" t="str">
        <f>IFERROR(C764/SUM(M$2:M763),"")</f>
        <v/>
      </c>
      <c r="I764" s="61" t="str">
        <f>IFERROR(D764/SUM(N$2:N764),"")</f>
        <v/>
      </c>
      <c r="J764" s="61" t="str">
        <f>IFERROR(E764/SUM(O$2:O764),"")</f>
        <v/>
      </c>
      <c r="K764" s="61" t="str">
        <f>IFERROR(F764/SUM(P$2:P764),"")</f>
        <v/>
      </c>
      <c r="L764" s="79" t="str">
        <f>IFERROR(G764/SUM(Q$2:Q764),"")</f>
        <v/>
      </c>
      <c r="M764" s="64" t="str">
        <f t="shared" si="288"/>
        <v/>
      </c>
      <c r="N764" s="55" t="str">
        <f t="shared" si="289"/>
        <v/>
      </c>
      <c r="O764" s="55" t="str">
        <f t="shared" si="290"/>
        <v/>
      </c>
      <c r="P764" s="55" t="str">
        <f t="shared" si="291"/>
        <v/>
      </c>
      <c r="Q764" s="65" t="str">
        <f t="shared" si="292"/>
        <v/>
      </c>
      <c r="R764" s="67" t="str">
        <f t="shared" si="294"/>
        <v/>
      </c>
      <c r="S764" s="56" t="str">
        <f t="shared" si="295"/>
        <v/>
      </c>
      <c r="T764" s="56" t="str">
        <f t="shared" si="296"/>
        <v/>
      </c>
      <c r="U764" s="56" t="str">
        <f t="shared" si="297"/>
        <v/>
      </c>
      <c r="V764" s="68" t="str">
        <f t="shared" si="298"/>
        <v/>
      </c>
      <c r="W764" s="80" t="str">
        <f t="shared" si="299"/>
        <v/>
      </c>
      <c r="X764" s="81" t="str">
        <f t="shared" si="300"/>
        <v/>
      </c>
      <c r="Y764" s="81" t="str">
        <f t="shared" si="301"/>
        <v/>
      </c>
      <c r="Z764" s="81" t="str">
        <f t="shared" si="302"/>
        <v/>
      </c>
      <c r="AA764" s="82" t="str">
        <f t="shared" si="303"/>
        <v/>
      </c>
      <c r="AB764" s="83" t="str">
        <f>IF(R764&lt;&gt;"",(W764-SUMPRODUCT(R$3:R764,$B$3:$B764)/SUM($B$3:$B764))/STDEVA(W754:W764),"")</f>
        <v/>
      </c>
      <c r="AC764" s="84" t="str">
        <f>IF(S764&lt;&gt;"",(X764-SUMPRODUCT(S$3:S764,$B$3:$B764)/SUM($B$3:$B764))/STDEVA(X754:X764),"")</f>
        <v/>
      </c>
      <c r="AD764" s="84" t="str">
        <f>IF(T764&lt;&gt;"",(Y764-SUMPRODUCT(T$3:T764,$B$3:$B764)/SUM($B$3:$B764))/STDEVA(Y754:Y764),"")</f>
        <v/>
      </c>
      <c r="AE764" s="84" t="str">
        <f>IF(U764&lt;&gt;"",(Z764-SUMPRODUCT(U$3:U764,$B$3:$B764)/SUM($B$3:$B764))/STDEVA(Z754:Z764),"")</f>
        <v/>
      </c>
      <c r="AF764" s="85" t="str">
        <f>IF(V764&lt;&gt;"",(AA764-SUMPRODUCT(V$3:V764,$B$3:$B764)/SUM($B$3:$B764))/STDEVA(AA754:AA764),"")</f>
        <v/>
      </c>
      <c r="AG764" s="90" t="str">
        <f t="shared" si="304"/>
        <v/>
      </c>
      <c r="AH764" s="90" t="str">
        <f t="shared" si="304"/>
        <v/>
      </c>
      <c r="AI764" s="90" t="str">
        <f t="shared" si="304"/>
        <v/>
      </c>
      <c r="AJ764" s="90" t="str">
        <f t="shared" si="304"/>
        <v/>
      </c>
      <c r="AK764" s="93" t="str">
        <f t="shared" si="305"/>
        <v/>
      </c>
      <c r="BQ764" s="100" t="str">
        <f>IF(A764&lt;&gt;"",(VLOOKUP(A764,MarketData!$D:$BP,MATCH($BQ$1,MarketData!$D$1:$EG$1,0),TRUE)/100/365+1)^(B764)*BQ763,"")</f>
        <v/>
      </c>
      <c r="BR764" s="98" t="str">
        <f t="shared" si="282"/>
        <v/>
      </c>
      <c r="BS764" s="106" t="str">
        <f>IF(A764&lt;&gt;"",VLOOKUP(A764,MarketData!$D:$BP,MATCH($BS$1,MarketData!$D$1:$EG$1,0),TRUE),"")</f>
        <v/>
      </c>
      <c r="BT764" s="98" t="str">
        <f t="shared" si="293"/>
        <v/>
      </c>
    </row>
    <row r="765" spans="2:72" x14ac:dyDescent="0.25">
      <c r="B765" s="60" t="str">
        <f t="shared" si="306"/>
        <v/>
      </c>
      <c r="C765" s="3" t="str">
        <f t="shared" si="283"/>
        <v/>
      </c>
      <c r="D765" s="3" t="str">
        <f t="shared" si="284"/>
        <v/>
      </c>
      <c r="E765" s="3" t="str">
        <f t="shared" si="285"/>
        <v/>
      </c>
      <c r="F765" s="3" t="str">
        <f t="shared" si="286"/>
        <v/>
      </c>
      <c r="G765" s="74" t="str">
        <f t="shared" si="287"/>
        <v/>
      </c>
      <c r="H765" s="78" t="str">
        <f>IFERROR(C765/SUM(M$2:M764),"")</f>
        <v/>
      </c>
      <c r="I765" s="61" t="str">
        <f>IFERROR(D765/SUM(N$2:N765),"")</f>
        <v/>
      </c>
      <c r="J765" s="61" t="str">
        <f>IFERROR(E765/SUM(O$2:O765),"")</f>
        <v/>
      </c>
      <c r="K765" s="61" t="str">
        <f>IFERROR(F765/SUM(P$2:P765),"")</f>
        <v/>
      </c>
      <c r="L765" s="79" t="str">
        <f>IFERROR(G765/SUM(Q$2:Q765),"")</f>
        <v/>
      </c>
      <c r="M765" s="64" t="str">
        <f t="shared" si="288"/>
        <v/>
      </c>
      <c r="N765" s="55" t="str">
        <f t="shared" si="289"/>
        <v/>
      </c>
      <c r="O765" s="55" t="str">
        <f t="shared" si="290"/>
        <v/>
      </c>
      <c r="P765" s="55" t="str">
        <f t="shared" si="291"/>
        <v/>
      </c>
      <c r="Q765" s="65" t="str">
        <f t="shared" si="292"/>
        <v/>
      </c>
      <c r="R765" s="67" t="str">
        <f t="shared" si="294"/>
        <v/>
      </c>
      <c r="S765" s="56" t="str">
        <f t="shared" si="295"/>
        <v/>
      </c>
      <c r="T765" s="56" t="str">
        <f t="shared" si="296"/>
        <v/>
      </c>
      <c r="U765" s="56" t="str">
        <f t="shared" si="297"/>
        <v/>
      </c>
      <c r="V765" s="68" t="str">
        <f t="shared" si="298"/>
        <v/>
      </c>
      <c r="W765" s="80" t="str">
        <f t="shared" si="299"/>
        <v/>
      </c>
      <c r="X765" s="81" t="str">
        <f t="shared" si="300"/>
        <v/>
      </c>
      <c r="Y765" s="81" t="str">
        <f t="shared" si="301"/>
        <v/>
      </c>
      <c r="Z765" s="81" t="str">
        <f t="shared" si="302"/>
        <v/>
      </c>
      <c r="AA765" s="82" t="str">
        <f t="shared" si="303"/>
        <v/>
      </c>
      <c r="AB765" s="83" t="str">
        <f>IF(R765&lt;&gt;"",(W765-SUMPRODUCT(R$3:R765,$B$3:$B765)/SUM($B$3:$B765))/STDEVA(W755:W765),"")</f>
        <v/>
      </c>
      <c r="AC765" s="84" t="str">
        <f>IF(S765&lt;&gt;"",(X765-SUMPRODUCT(S$3:S765,$B$3:$B765)/SUM($B$3:$B765))/STDEVA(X755:X765),"")</f>
        <v/>
      </c>
      <c r="AD765" s="84" t="str">
        <f>IF(T765&lt;&gt;"",(Y765-SUMPRODUCT(T$3:T765,$B$3:$B765)/SUM($B$3:$B765))/STDEVA(Y755:Y765),"")</f>
        <v/>
      </c>
      <c r="AE765" s="84" t="str">
        <f>IF(U765&lt;&gt;"",(Z765-SUMPRODUCT(U$3:U765,$B$3:$B765)/SUM($B$3:$B765))/STDEVA(Z755:Z765),"")</f>
        <v/>
      </c>
      <c r="AF765" s="85" t="str">
        <f>IF(V765&lt;&gt;"",(AA765-SUMPRODUCT(V$3:V765,$B$3:$B765)/SUM($B$3:$B765))/STDEVA(AA755:AA765),"")</f>
        <v/>
      </c>
      <c r="AG765" s="90" t="str">
        <f t="shared" si="304"/>
        <v/>
      </c>
      <c r="AH765" s="90" t="str">
        <f t="shared" si="304"/>
        <v/>
      </c>
      <c r="AI765" s="90" t="str">
        <f t="shared" si="304"/>
        <v/>
      </c>
      <c r="AJ765" s="90" t="str">
        <f t="shared" si="304"/>
        <v/>
      </c>
      <c r="AK765" s="93" t="str">
        <f t="shared" si="305"/>
        <v/>
      </c>
      <c r="BQ765" s="100" t="str">
        <f>IF(A765&lt;&gt;"",(VLOOKUP(A765,MarketData!$D:$BP,MATCH($BQ$1,MarketData!$D$1:$EG$1,0),TRUE)/100/365+1)^(B765)*BQ764,"")</f>
        <v/>
      </c>
      <c r="BR765" s="98" t="str">
        <f t="shared" si="282"/>
        <v/>
      </c>
      <c r="BS765" s="106" t="str">
        <f>IF(A765&lt;&gt;"",VLOOKUP(A765,MarketData!$D:$BP,MATCH($BS$1,MarketData!$D$1:$EG$1,0),TRUE),"")</f>
        <v/>
      </c>
      <c r="BT765" s="98" t="str">
        <f t="shared" si="293"/>
        <v/>
      </c>
    </row>
    <row r="766" spans="2:72" x14ac:dyDescent="0.25">
      <c r="B766" s="60" t="str">
        <f t="shared" si="306"/>
        <v/>
      </c>
      <c r="C766" s="3" t="str">
        <f t="shared" si="283"/>
        <v/>
      </c>
      <c r="D766" s="3" t="str">
        <f t="shared" si="284"/>
        <v/>
      </c>
      <c r="E766" s="3" t="str">
        <f t="shared" si="285"/>
        <v/>
      </c>
      <c r="F766" s="3" t="str">
        <f t="shared" si="286"/>
        <v/>
      </c>
      <c r="G766" s="74" t="str">
        <f t="shared" si="287"/>
        <v/>
      </c>
      <c r="H766" s="78" t="str">
        <f>IFERROR(C766/SUM(M$2:M765),"")</f>
        <v/>
      </c>
      <c r="I766" s="61" t="str">
        <f>IFERROR(D766/SUM(N$2:N766),"")</f>
        <v/>
      </c>
      <c r="J766" s="61" t="str">
        <f>IFERROR(E766/SUM(O$2:O766),"")</f>
        <v/>
      </c>
      <c r="K766" s="61" t="str">
        <f>IFERROR(F766/SUM(P$2:P766),"")</f>
        <v/>
      </c>
      <c r="L766" s="79" t="str">
        <f>IFERROR(G766/SUM(Q$2:Q766),"")</f>
        <v/>
      </c>
      <c r="M766" s="64" t="str">
        <f t="shared" si="288"/>
        <v/>
      </c>
      <c r="N766" s="55" t="str">
        <f t="shared" si="289"/>
        <v/>
      </c>
      <c r="O766" s="55" t="str">
        <f t="shared" si="290"/>
        <v/>
      </c>
      <c r="P766" s="55" t="str">
        <f t="shared" si="291"/>
        <v/>
      </c>
      <c r="Q766" s="65" t="str">
        <f t="shared" si="292"/>
        <v/>
      </c>
      <c r="R766" s="67" t="str">
        <f t="shared" si="294"/>
        <v/>
      </c>
      <c r="S766" s="56" t="str">
        <f t="shared" si="295"/>
        <v/>
      </c>
      <c r="T766" s="56" t="str">
        <f t="shared" si="296"/>
        <v/>
      </c>
      <c r="U766" s="56" t="str">
        <f t="shared" si="297"/>
        <v/>
      </c>
      <c r="V766" s="68" t="str">
        <f t="shared" si="298"/>
        <v/>
      </c>
      <c r="W766" s="80" t="str">
        <f t="shared" si="299"/>
        <v/>
      </c>
      <c r="X766" s="81" t="str">
        <f t="shared" si="300"/>
        <v/>
      </c>
      <c r="Y766" s="81" t="str">
        <f t="shared" si="301"/>
        <v/>
      </c>
      <c r="Z766" s="81" t="str">
        <f t="shared" si="302"/>
        <v/>
      </c>
      <c r="AA766" s="82" t="str">
        <f t="shared" si="303"/>
        <v/>
      </c>
      <c r="AB766" s="83" t="str">
        <f>IF(R766&lt;&gt;"",(W766-SUMPRODUCT(R$3:R766,$B$3:$B766)/SUM($B$3:$B766))/STDEVA(W756:W766),"")</f>
        <v/>
      </c>
      <c r="AC766" s="84" t="str">
        <f>IF(S766&lt;&gt;"",(X766-SUMPRODUCT(S$3:S766,$B$3:$B766)/SUM($B$3:$B766))/STDEVA(X756:X766),"")</f>
        <v/>
      </c>
      <c r="AD766" s="84" t="str">
        <f>IF(T766&lt;&gt;"",(Y766-SUMPRODUCT(T$3:T766,$B$3:$B766)/SUM($B$3:$B766))/STDEVA(Y756:Y766),"")</f>
        <v/>
      </c>
      <c r="AE766" s="84" t="str">
        <f>IF(U766&lt;&gt;"",(Z766-SUMPRODUCT(U$3:U766,$B$3:$B766)/SUM($B$3:$B766))/STDEVA(Z756:Z766),"")</f>
        <v/>
      </c>
      <c r="AF766" s="85" t="str">
        <f>IF(V766&lt;&gt;"",(AA766-SUMPRODUCT(V$3:V766,$B$3:$B766)/SUM($B$3:$B766))/STDEVA(AA756:AA766),"")</f>
        <v/>
      </c>
      <c r="AG766" s="90" t="str">
        <f t="shared" si="304"/>
        <v/>
      </c>
      <c r="AH766" s="90" t="str">
        <f t="shared" si="304"/>
        <v/>
      </c>
      <c r="AI766" s="90" t="str">
        <f t="shared" si="304"/>
        <v/>
      </c>
      <c r="AJ766" s="90" t="str">
        <f t="shared" si="304"/>
        <v/>
      </c>
      <c r="AK766" s="93" t="str">
        <f t="shared" si="305"/>
        <v/>
      </c>
      <c r="BQ766" s="100" t="str">
        <f>IF(A766&lt;&gt;"",(VLOOKUP(A766,MarketData!$D:$BP,MATCH($BQ$1,MarketData!$D$1:$EG$1,0),TRUE)/100/365+1)^(B766)*BQ765,"")</f>
        <v/>
      </c>
      <c r="BR766" s="98" t="str">
        <f t="shared" si="282"/>
        <v/>
      </c>
      <c r="BS766" s="106" t="str">
        <f>IF(A766&lt;&gt;"",VLOOKUP(A766,MarketData!$D:$BP,MATCH($BS$1,MarketData!$D$1:$EG$1,0),TRUE),"")</f>
        <v/>
      </c>
      <c r="BT766" s="98" t="str">
        <f t="shared" si="293"/>
        <v/>
      </c>
    </row>
    <row r="767" spans="2:72" x14ac:dyDescent="0.25">
      <c r="B767" s="60" t="str">
        <f t="shared" si="306"/>
        <v/>
      </c>
      <c r="C767" s="3" t="str">
        <f t="shared" si="283"/>
        <v/>
      </c>
      <c r="D767" s="3" t="str">
        <f t="shared" si="284"/>
        <v/>
      </c>
      <c r="E767" s="3" t="str">
        <f t="shared" si="285"/>
        <v/>
      </c>
      <c r="F767" s="3" t="str">
        <f t="shared" si="286"/>
        <v/>
      </c>
      <c r="G767" s="74" t="str">
        <f t="shared" si="287"/>
        <v/>
      </c>
      <c r="H767" s="78" t="str">
        <f>IFERROR(C767/SUM(M$2:M766),"")</f>
        <v/>
      </c>
      <c r="I767" s="61" t="str">
        <f>IFERROR(D767/SUM(N$2:N767),"")</f>
        <v/>
      </c>
      <c r="J767" s="61" t="str">
        <f>IFERROR(E767/SUM(O$2:O767),"")</f>
        <v/>
      </c>
      <c r="K767" s="61" t="str">
        <f>IFERROR(F767/SUM(P$2:P767),"")</f>
        <v/>
      </c>
      <c r="L767" s="79" t="str">
        <f>IFERROR(G767/SUM(Q$2:Q767),"")</f>
        <v/>
      </c>
      <c r="M767" s="64" t="str">
        <f t="shared" si="288"/>
        <v/>
      </c>
      <c r="N767" s="55" t="str">
        <f t="shared" si="289"/>
        <v/>
      </c>
      <c r="O767" s="55" t="str">
        <f t="shared" si="290"/>
        <v/>
      </c>
      <c r="P767" s="55" t="str">
        <f t="shared" si="291"/>
        <v/>
      </c>
      <c r="Q767" s="65" t="str">
        <f t="shared" si="292"/>
        <v/>
      </c>
      <c r="R767" s="67" t="str">
        <f t="shared" si="294"/>
        <v/>
      </c>
      <c r="S767" s="56" t="str">
        <f t="shared" si="295"/>
        <v/>
      </c>
      <c r="T767" s="56" t="str">
        <f t="shared" si="296"/>
        <v/>
      </c>
      <c r="U767" s="56" t="str">
        <f t="shared" si="297"/>
        <v/>
      </c>
      <c r="V767" s="68" t="str">
        <f t="shared" si="298"/>
        <v/>
      </c>
      <c r="W767" s="80" t="str">
        <f t="shared" si="299"/>
        <v/>
      </c>
      <c r="X767" s="81" t="str">
        <f t="shared" si="300"/>
        <v/>
      </c>
      <c r="Y767" s="81" t="str">
        <f t="shared" si="301"/>
        <v/>
      </c>
      <c r="Z767" s="81" t="str">
        <f t="shared" si="302"/>
        <v/>
      </c>
      <c r="AA767" s="82" t="str">
        <f t="shared" si="303"/>
        <v/>
      </c>
      <c r="AB767" s="83" t="str">
        <f>IF(R767&lt;&gt;"",(W767-SUMPRODUCT(R$3:R767,$B$3:$B767)/SUM($B$3:$B767))/STDEVA(W757:W767),"")</f>
        <v/>
      </c>
      <c r="AC767" s="84" t="str">
        <f>IF(S767&lt;&gt;"",(X767-SUMPRODUCT(S$3:S767,$B$3:$B767)/SUM($B$3:$B767))/STDEVA(X757:X767),"")</f>
        <v/>
      </c>
      <c r="AD767" s="84" t="str">
        <f>IF(T767&lt;&gt;"",(Y767-SUMPRODUCT(T$3:T767,$B$3:$B767)/SUM($B$3:$B767))/STDEVA(Y757:Y767),"")</f>
        <v/>
      </c>
      <c r="AE767" s="84" t="str">
        <f>IF(U767&lt;&gt;"",(Z767-SUMPRODUCT(U$3:U767,$B$3:$B767)/SUM($B$3:$B767))/STDEVA(Z757:Z767),"")</f>
        <v/>
      </c>
      <c r="AF767" s="85" t="str">
        <f>IF(V767&lt;&gt;"",(AA767-SUMPRODUCT(V$3:V767,$B$3:$B767)/SUM($B$3:$B767))/STDEVA(AA757:AA767),"")</f>
        <v/>
      </c>
      <c r="AG767" s="90" t="str">
        <f t="shared" si="304"/>
        <v/>
      </c>
      <c r="AH767" s="90" t="str">
        <f t="shared" si="304"/>
        <v/>
      </c>
      <c r="AI767" s="90" t="str">
        <f t="shared" si="304"/>
        <v/>
      </c>
      <c r="AJ767" s="90" t="str">
        <f t="shared" si="304"/>
        <v/>
      </c>
      <c r="AK767" s="93" t="str">
        <f t="shared" si="305"/>
        <v/>
      </c>
      <c r="BQ767" s="100" t="str">
        <f>IF(A767&lt;&gt;"",(VLOOKUP(A767,MarketData!$D:$BP,MATCH($BQ$1,MarketData!$D$1:$EG$1,0),TRUE)/100/365+1)^(B767)*BQ766,"")</f>
        <v/>
      </c>
      <c r="BR767" s="98" t="str">
        <f t="shared" si="282"/>
        <v/>
      </c>
      <c r="BS767" s="106" t="str">
        <f>IF(A767&lt;&gt;"",VLOOKUP(A767,MarketData!$D:$BP,MATCH($BS$1,MarketData!$D$1:$EG$1,0),TRUE),"")</f>
        <v/>
      </c>
      <c r="BT767" s="98" t="str">
        <f t="shared" si="293"/>
        <v/>
      </c>
    </row>
    <row r="768" spans="2:72" x14ac:dyDescent="0.25">
      <c r="B768" s="60" t="str">
        <f t="shared" si="306"/>
        <v/>
      </c>
      <c r="C768" s="3" t="str">
        <f t="shared" si="283"/>
        <v/>
      </c>
      <c r="D768" s="3" t="str">
        <f t="shared" si="284"/>
        <v/>
      </c>
      <c r="E768" s="3" t="str">
        <f t="shared" si="285"/>
        <v/>
      </c>
      <c r="F768" s="3" t="str">
        <f t="shared" si="286"/>
        <v/>
      </c>
      <c r="G768" s="74" t="str">
        <f t="shared" si="287"/>
        <v/>
      </c>
      <c r="H768" s="78" t="str">
        <f>IFERROR(C768/SUM(M$2:M767),"")</f>
        <v/>
      </c>
      <c r="I768" s="61" t="str">
        <f>IFERROR(D768/SUM(N$2:N768),"")</f>
        <v/>
      </c>
      <c r="J768" s="61" t="str">
        <f>IFERROR(E768/SUM(O$2:O768),"")</f>
        <v/>
      </c>
      <c r="K768" s="61" t="str">
        <f>IFERROR(F768/SUM(P$2:P768),"")</f>
        <v/>
      </c>
      <c r="L768" s="79" t="str">
        <f>IFERROR(G768/SUM(Q$2:Q768),"")</f>
        <v/>
      </c>
      <c r="M768" s="64" t="str">
        <f t="shared" si="288"/>
        <v/>
      </c>
      <c r="N768" s="55" t="str">
        <f t="shared" si="289"/>
        <v/>
      </c>
      <c r="O768" s="55" t="str">
        <f t="shared" si="290"/>
        <v/>
      </c>
      <c r="P768" s="55" t="str">
        <f t="shared" si="291"/>
        <v/>
      </c>
      <c r="Q768" s="65" t="str">
        <f t="shared" si="292"/>
        <v/>
      </c>
      <c r="R768" s="67" t="str">
        <f t="shared" si="294"/>
        <v/>
      </c>
      <c r="S768" s="56" t="str">
        <f t="shared" si="295"/>
        <v/>
      </c>
      <c r="T768" s="56" t="str">
        <f t="shared" si="296"/>
        <v/>
      </c>
      <c r="U768" s="56" t="str">
        <f t="shared" si="297"/>
        <v/>
      </c>
      <c r="V768" s="68" t="str">
        <f t="shared" si="298"/>
        <v/>
      </c>
      <c r="W768" s="80" t="str">
        <f t="shared" si="299"/>
        <v/>
      </c>
      <c r="X768" s="81" t="str">
        <f t="shared" si="300"/>
        <v/>
      </c>
      <c r="Y768" s="81" t="str">
        <f t="shared" si="301"/>
        <v/>
      </c>
      <c r="Z768" s="81" t="str">
        <f t="shared" si="302"/>
        <v/>
      </c>
      <c r="AA768" s="82" t="str">
        <f t="shared" si="303"/>
        <v/>
      </c>
      <c r="AB768" s="83" t="str">
        <f>IF(R768&lt;&gt;"",(W768-SUMPRODUCT(R$3:R768,$B$3:$B768)/SUM($B$3:$B768))/STDEVA(W758:W768),"")</f>
        <v/>
      </c>
      <c r="AC768" s="84" t="str">
        <f>IF(S768&lt;&gt;"",(X768-SUMPRODUCT(S$3:S768,$B$3:$B768)/SUM($B$3:$B768))/STDEVA(X758:X768),"")</f>
        <v/>
      </c>
      <c r="AD768" s="84" t="str">
        <f>IF(T768&lt;&gt;"",(Y768-SUMPRODUCT(T$3:T768,$B$3:$B768)/SUM($B$3:$B768))/STDEVA(Y758:Y768),"")</f>
        <v/>
      </c>
      <c r="AE768" s="84" t="str">
        <f>IF(U768&lt;&gt;"",(Z768-SUMPRODUCT(U$3:U768,$B$3:$B768)/SUM($B$3:$B768))/STDEVA(Z758:Z768),"")</f>
        <v/>
      </c>
      <c r="AF768" s="85" t="str">
        <f>IF(V768&lt;&gt;"",(AA768-SUMPRODUCT(V$3:V768,$B$3:$B768)/SUM($B$3:$B768))/STDEVA(AA758:AA768),"")</f>
        <v/>
      </c>
      <c r="AG768" s="90" t="str">
        <f t="shared" si="304"/>
        <v/>
      </c>
      <c r="AH768" s="90" t="str">
        <f t="shared" si="304"/>
        <v/>
      </c>
      <c r="AI768" s="90" t="str">
        <f t="shared" si="304"/>
        <v/>
      </c>
      <c r="AJ768" s="90" t="str">
        <f t="shared" si="304"/>
        <v/>
      </c>
      <c r="AK768" s="93" t="str">
        <f t="shared" si="305"/>
        <v/>
      </c>
      <c r="BQ768" s="100" t="str">
        <f>IF(A768&lt;&gt;"",(VLOOKUP(A768,MarketData!$D:$BP,MATCH($BQ$1,MarketData!$D$1:$EG$1,0),TRUE)/100/365+1)^(B768)*BQ767,"")</f>
        <v/>
      </c>
      <c r="BR768" s="98" t="str">
        <f t="shared" si="282"/>
        <v/>
      </c>
      <c r="BS768" s="106" t="str">
        <f>IF(A768&lt;&gt;"",VLOOKUP(A768,MarketData!$D:$BP,MATCH($BS$1,MarketData!$D$1:$EG$1,0),TRUE),"")</f>
        <v/>
      </c>
      <c r="BT768" s="98" t="str">
        <f t="shared" si="293"/>
        <v/>
      </c>
    </row>
    <row r="769" spans="2:72" x14ac:dyDescent="0.25">
      <c r="B769" s="60" t="str">
        <f t="shared" si="306"/>
        <v/>
      </c>
      <c r="C769" s="3" t="str">
        <f t="shared" si="283"/>
        <v/>
      </c>
      <c r="D769" s="3" t="str">
        <f t="shared" si="284"/>
        <v/>
      </c>
      <c r="E769" s="3" t="str">
        <f t="shared" si="285"/>
        <v/>
      </c>
      <c r="F769" s="3" t="str">
        <f t="shared" si="286"/>
        <v/>
      </c>
      <c r="G769" s="74" t="str">
        <f t="shared" si="287"/>
        <v/>
      </c>
      <c r="H769" s="78" t="str">
        <f>IFERROR(C769/SUM(M$2:M768),"")</f>
        <v/>
      </c>
      <c r="I769" s="61" t="str">
        <f>IFERROR(D769/SUM(N$2:N769),"")</f>
        <v/>
      </c>
      <c r="J769" s="61" t="str">
        <f>IFERROR(E769/SUM(O$2:O769),"")</f>
        <v/>
      </c>
      <c r="K769" s="61" t="str">
        <f>IFERROR(F769/SUM(P$2:P769),"")</f>
        <v/>
      </c>
      <c r="L769" s="79" t="str">
        <f>IFERROR(G769/SUM(Q$2:Q769),"")</f>
        <v/>
      </c>
      <c r="M769" s="64" t="str">
        <f t="shared" si="288"/>
        <v/>
      </c>
      <c r="N769" s="55" t="str">
        <f t="shared" si="289"/>
        <v/>
      </c>
      <c r="O769" s="55" t="str">
        <f t="shared" si="290"/>
        <v/>
      </c>
      <c r="P769" s="55" t="str">
        <f t="shared" si="291"/>
        <v/>
      </c>
      <c r="Q769" s="65" t="str">
        <f t="shared" si="292"/>
        <v/>
      </c>
      <c r="R769" s="67" t="str">
        <f t="shared" si="294"/>
        <v/>
      </c>
      <c r="S769" s="56" t="str">
        <f t="shared" si="295"/>
        <v/>
      </c>
      <c r="T769" s="56" t="str">
        <f t="shared" si="296"/>
        <v/>
      </c>
      <c r="U769" s="56" t="str">
        <f t="shared" si="297"/>
        <v/>
      </c>
      <c r="V769" s="68" t="str">
        <f t="shared" si="298"/>
        <v/>
      </c>
      <c r="W769" s="80" t="str">
        <f t="shared" si="299"/>
        <v/>
      </c>
      <c r="X769" s="81" t="str">
        <f t="shared" si="300"/>
        <v/>
      </c>
      <c r="Y769" s="81" t="str">
        <f t="shared" si="301"/>
        <v/>
      </c>
      <c r="Z769" s="81" t="str">
        <f t="shared" si="302"/>
        <v/>
      </c>
      <c r="AA769" s="82" t="str">
        <f t="shared" si="303"/>
        <v/>
      </c>
      <c r="AB769" s="83" t="str">
        <f>IF(R769&lt;&gt;"",(W769-SUMPRODUCT(R$3:R769,$B$3:$B769)/SUM($B$3:$B769))/STDEVA(W759:W769),"")</f>
        <v/>
      </c>
      <c r="AC769" s="84" t="str">
        <f>IF(S769&lt;&gt;"",(X769-SUMPRODUCT(S$3:S769,$B$3:$B769)/SUM($B$3:$B769))/STDEVA(X759:X769),"")</f>
        <v/>
      </c>
      <c r="AD769" s="84" t="str">
        <f>IF(T769&lt;&gt;"",(Y769-SUMPRODUCT(T$3:T769,$B$3:$B769)/SUM($B$3:$B769))/STDEVA(Y759:Y769),"")</f>
        <v/>
      </c>
      <c r="AE769" s="84" t="str">
        <f>IF(U769&lt;&gt;"",(Z769-SUMPRODUCT(U$3:U769,$B$3:$B769)/SUM($B$3:$B769))/STDEVA(Z759:Z769),"")</f>
        <v/>
      </c>
      <c r="AF769" s="85" t="str">
        <f>IF(V769&lt;&gt;"",(AA769-SUMPRODUCT(V$3:V769,$B$3:$B769)/SUM($B$3:$B769))/STDEVA(AA759:AA769),"")</f>
        <v/>
      </c>
      <c r="AG769" s="90" t="str">
        <f t="shared" si="304"/>
        <v/>
      </c>
      <c r="AH769" s="90" t="str">
        <f t="shared" si="304"/>
        <v/>
      </c>
      <c r="AI769" s="90" t="str">
        <f t="shared" si="304"/>
        <v/>
      </c>
      <c r="AJ769" s="90" t="str">
        <f t="shared" si="304"/>
        <v/>
      </c>
      <c r="AK769" s="93" t="str">
        <f t="shared" si="305"/>
        <v/>
      </c>
      <c r="BQ769" s="100" t="str">
        <f>IF(A769&lt;&gt;"",(VLOOKUP(A769,MarketData!$D:$BP,MATCH($BQ$1,MarketData!$D$1:$EG$1,0),TRUE)/100/365+1)^(B769)*BQ768,"")</f>
        <v/>
      </c>
      <c r="BR769" s="98" t="str">
        <f t="shared" si="282"/>
        <v/>
      </c>
      <c r="BS769" s="106" t="str">
        <f>IF(A769&lt;&gt;"",VLOOKUP(A769,MarketData!$D:$BP,MATCH($BS$1,MarketData!$D$1:$EG$1,0),TRUE),"")</f>
        <v/>
      </c>
      <c r="BT769" s="98" t="str">
        <f t="shared" si="293"/>
        <v/>
      </c>
    </row>
    <row r="770" spans="2:72" x14ac:dyDescent="0.25">
      <c r="B770" s="60" t="str">
        <f t="shared" si="306"/>
        <v/>
      </c>
      <c r="C770" s="3" t="str">
        <f t="shared" si="283"/>
        <v/>
      </c>
      <c r="D770" s="3" t="str">
        <f t="shared" si="284"/>
        <v/>
      </c>
      <c r="E770" s="3" t="str">
        <f t="shared" si="285"/>
        <v/>
      </c>
      <c r="F770" s="3" t="str">
        <f t="shared" si="286"/>
        <v/>
      </c>
      <c r="G770" s="74" t="str">
        <f t="shared" si="287"/>
        <v/>
      </c>
      <c r="H770" s="78" t="str">
        <f>IFERROR(C770/SUM(M$2:M769),"")</f>
        <v/>
      </c>
      <c r="I770" s="61" t="str">
        <f>IFERROR(D770/SUM(N$2:N770),"")</f>
        <v/>
      </c>
      <c r="J770" s="61" t="str">
        <f>IFERROR(E770/SUM(O$2:O770),"")</f>
        <v/>
      </c>
      <c r="K770" s="61" t="str">
        <f>IFERROR(F770/SUM(P$2:P770),"")</f>
        <v/>
      </c>
      <c r="L770" s="79" t="str">
        <f>IFERROR(G770/SUM(Q$2:Q770),"")</f>
        <v/>
      </c>
      <c r="M770" s="64" t="str">
        <f t="shared" si="288"/>
        <v/>
      </c>
      <c r="N770" s="55" t="str">
        <f t="shared" si="289"/>
        <v/>
      </c>
      <c r="O770" s="55" t="str">
        <f t="shared" si="290"/>
        <v/>
      </c>
      <c r="P770" s="55" t="str">
        <f t="shared" si="291"/>
        <v/>
      </c>
      <c r="Q770" s="65" t="str">
        <f t="shared" si="292"/>
        <v/>
      </c>
      <c r="R770" s="67" t="str">
        <f t="shared" si="294"/>
        <v/>
      </c>
      <c r="S770" s="56" t="str">
        <f t="shared" si="295"/>
        <v/>
      </c>
      <c r="T770" s="56" t="str">
        <f t="shared" si="296"/>
        <v/>
      </c>
      <c r="U770" s="56" t="str">
        <f t="shared" si="297"/>
        <v/>
      </c>
      <c r="V770" s="68" t="str">
        <f t="shared" si="298"/>
        <v/>
      </c>
      <c r="W770" s="80" t="str">
        <f t="shared" si="299"/>
        <v/>
      </c>
      <c r="X770" s="81" t="str">
        <f t="shared" si="300"/>
        <v/>
      </c>
      <c r="Y770" s="81" t="str">
        <f t="shared" si="301"/>
        <v/>
      </c>
      <c r="Z770" s="81" t="str">
        <f t="shared" si="302"/>
        <v/>
      </c>
      <c r="AA770" s="82" t="str">
        <f t="shared" si="303"/>
        <v/>
      </c>
      <c r="AB770" s="83" t="str">
        <f>IF(R770&lt;&gt;"",(W770-SUMPRODUCT(R$3:R770,$B$3:$B770)/SUM($B$3:$B770))/STDEVA(W760:W770),"")</f>
        <v/>
      </c>
      <c r="AC770" s="84" t="str">
        <f>IF(S770&lt;&gt;"",(X770-SUMPRODUCT(S$3:S770,$B$3:$B770)/SUM($B$3:$B770))/STDEVA(X760:X770),"")</f>
        <v/>
      </c>
      <c r="AD770" s="84" t="str">
        <f>IF(T770&lt;&gt;"",(Y770-SUMPRODUCT(T$3:T770,$B$3:$B770)/SUM($B$3:$B770))/STDEVA(Y760:Y770),"")</f>
        <v/>
      </c>
      <c r="AE770" s="84" t="str">
        <f>IF(U770&lt;&gt;"",(Z770-SUMPRODUCT(U$3:U770,$B$3:$B770)/SUM($B$3:$B770))/STDEVA(Z760:Z770),"")</f>
        <v/>
      </c>
      <c r="AF770" s="85" t="str">
        <f>IF(V770&lt;&gt;"",(AA770-SUMPRODUCT(V$3:V770,$B$3:$B770)/SUM($B$3:$B770))/STDEVA(AA760:AA770),"")</f>
        <v/>
      </c>
      <c r="AG770" s="90" t="str">
        <f t="shared" si="304"/>
        <v/>
      </c>
      <c r="AH770" s="90" t="str">
        <f t="shared" si="304"/>
        <v/>
      </c>
      <c r="AI770" s="90" t="str">
        <f t="shared" si="304"/>
        <v/>
      </c>
      <c r="AJ770" s="90" t="str">
        <f t="shared" si="304"/>
        <v/>
      </c>
      <c r="AK770" s="93" t="str">
        <f t="shared" si="305"/>
        <v/>
      </c>
      <c r="BQ770" s="100" t="str">
        <f>IF(A770&lt;&gt;"",(VLOOKUP(A770,MarketData!$D:$BP,MATCH($BQ$1,MarketData!$D$1:$EG$1,0),TRUE)/100/365+1)^(B770)*BQ769,"")</f>
        <v/>
      </c>
      <c r="BR770" s="98" t="str">
        <f t="shared" ref="BR770:BR833" si="307">IF(A770&lt;&gt;"",(BQ770-$BQ$2)/$BQ$2,"")</f>
        <v/>
      </c>
      <c r="BS770" s="106" t="str">
        <f>IF(A770&lt;&gt;"",VLOOKUP(A770,MarketData!$D:$BP,MATCH($BS$1,MarketData!$D$1:$EG$1,0),TRUE),"")</f>
        <v/>
      </c>
      <c r="BT770" s="98" t="str">
        <f t="shared" si="293"/>
        <v/>
      </c>
    </row>
    <row r="771" spans="2:72" x14ac:dyDescent="0.25">
      <c r="B771" s="60" t="str">
        <f t="shared" si="306"/>
        <v/>
      </c>
      <c r="C771" s="3" t="str">
        <f t="shared" ref="C771:C834" si="308">IF($A771&lt;&gt;0,SUMIFS(VM,Fecha,$A771,Linea,C$1)+SUMIFS(FX,Fecha,$A771,Linea,C$1)+C770,"")</f>
        <v/>
      </c>
      <c r="D771" s="3" t="str">
        <f t="shared" ref="D771:D834" si="309">IF($A771&lt;&gt;0,SUMIFS(VM,Fecha,$A771,Linea,D$1)+SUMIFS(FX,Fecha,$A771,Linea,D$1)+D770,"")</f>
        <v/>
      </c>
      <c r="E771" s="3" t="str">
        <f t="shared" ref="E771:E834" si="310">IF($A771&lt;&gt;0,SUMIFS(VM,Fecha,$A771,Linea,E$1)+SUMIFS(FX,Fecha,$A771,Linea,E$1)+E770,"")</f>
        <v/>
      </c>
      <c r="F771" s="3" t="str">
        <f t="shared" ref="F771:F834" si="311">IF($A771&lt;&gt;0,SUMIFS(VM,Fecha,$A771,Linea,F$1)+SUMIFS(FX,Fecha,$A771,Linea,F$1)+F770,"")</f>
        <v/>
      </c>
      <c r="G771" s="74" t="str">
        <f t="shared" ref="G771:G834" si="312">IF($A771&lt;&gt;0,SUMIFS(VM,Fecha,$A771,Linea,G$1)+SUMIFS(FX,Fecha,$A771,Linea,G$1)+G770,"")</f>
        <v/>
      </c>
      <c r="H771" s="78" t="str">
        <f>IFERROR(C771/SUM(M$2:M770),"")</f>
        <v/>
      </c>
      <c r="I771" s="61" t="str">
        <f>IFERROR(D771/SUM(N$2:N771),"")</f>
        <v/>
      </c>
      <c r="J771" s="61" t="str">
        <f>IFERROR(E771/SUM(O$2:O771),"")</f>
        <v/>
      </c>
      <c r="K771" s="61" t="str">
        <f>IFERROR(F771/SUM(P$2:P771),"")</f>
        <v/>
      </c>
      <c r="L771" s="79" t="str">
        <f>IFERROR(G771/SUM(Q$2:Q771),"")</f>
        <v/>
      </c>
      <c r="M771" s="64" t="str">
        <f t="shared" ref="M771:M834" si="313">IF($A771&lt;&gt;"",SUMIFS(Transferencias,Fecha,$A771,Linea,C$1),"")</f>
        <v/>
      </c>
      <c r="N771" s="55" t="str">
        <f t="shared" ref="N771:N834" si="314">IF($A771&lt;&gt;"",SUMIFS(Transferencias,Fecha,$A771,Linea,D$1),"")</f>
        <v/>
      </c>
      <c r="O771" s="55" t="str">
        <f t="shared" ref="O771:O834" si="315">IF($A771&lt;&gt;"",SUMIFS(Transferencias,Fecha,$A771,Linea,E$1),"")</f>
        <v/>
      </c>
      <c r="P771" s="55" t="str">
        <f t="shared" ref="P771:P834" si="316">IF($A771&lt;&gt;"",SUMIFS(Transferencias,Fecha,$A771,Linea,F$1),"")</f>
        <v/>
      </c>
      <c r="Q771" s="65" t="str">
        <f t="shared" ref="Q771:Q834" si="317">IF($A771&lt;&gt;"",SUMIFS(Transferencias,Fecha,$A771,Linea,G$1),"")</f>
        <v/>
      </c>
      <c r="R771" s="67" t="str">
        <f t="shared" si="294"/>
        <v/>
      </c>
      <c r="S771" s="56" t="str">
        <f t="shared" si="295"/>
        <v/>
      </c>
      <c r="T771" s="56" t="str">
        <f t="shared" si="296"/>
        <v/>
      </c>
      <c r="U771" s="56" t="str">
        <f t="shared" si="297"/>
        <v/>
      </c>
      <c r="V771" s="68" t="str">
        <f t="shared" si="298"/>
        <v/>
      </c>
      <c r="W771" s="80" t="str">
        <f t="shared" si="299"/>
        <v/>
      </c>
      <c r="X771" s="81" t="str">
        <f t="shared" si="300"/>
        <v/>
      </c>
      <c r="Y771" s="81" t="str">
        <f t="shared" si="301"/>
        <v/>
      </c>
      <c r="Z771" s="81" t="str">
        <f t="shared" si="302"/>
        <v/>
      </c>
      <c r="AA771" s="82" t="str">
        <f t="shared" si="303"/>
        <v/>
      </c>
      <c r="AB771" s="83" t="str">
        <f>IF(R771&lt;&gt;"",(W771-SUMPRODUCT(R$3:R771,$B$3:$B771)/SUM($B$3:$B771))/STDEVA(W761:W771),"")</f>
        <v/>
      </c>
      <c r="AC771" s="84" t="str">
        <f>IF(S771&lt;&gt;"",(X771-SUMPRODUCT(S$3:S771,$B$3:$B771)/SUM($B$3:$B771))/STDEVA(X761:X771),"")</f>
        <v/>
      </c>
      <c r="AD771" s="84" t="str">
        <f>IF(T771&lt;&gt;"",(Y771-SUMPRODUCT(T$3:T771,$B$3:$B771)/SUM($B$3:$B771))/STDEVA(Y761:Y771),"")</f>
        <v/>
      </c>
      <c r="AE771" s="84" t="str">
        <f>IF(U771&lt;&gt;"",(Z771-SUMPRODUCT(U$3:U771,$B$3:$B771)/SUM($B$3:$B771))/STDEVA(Z761:Z771),"")</f>
        <v/>
      </c>
      <c r="AF771" s="85" t="str">
        <f>IF(V771&lt;&gt;"",(AA771-SUMPRODUCT(V$3:V771,$B$3:$B771)/SUM($B$3:$B771))/STDEVA(AA761:AA771),"")</f>
        <v/>
      </c>
      <c r="AG771" s="90" t="str">
        <f t="shared" si="304"/>
        <v/>
      </c>
      <c r="AH771" s="90" t="str">
        <f t="shared" si="304"/>
        <v/>
      </c>
      <c r="AI771" s="90" t="str">
        <f t="shared" si="304"/>
        <v/>
      </c>
      <c r="AJ771" s="90" t="str">
        <f t="shared" si="304"/>
        <v/>
      </c>
      <c r="AK771" s="93" t="str">
        <f t="shared" si="305"/>
        <v/>
      </c>
      <c r="BQ771" s="100" t="str">
        <f>IF(A771&lt;&gt;"",(VLOOKUP(A771,MarketData!$D:$BP,MATCH($BQ$1,MarketData!$D$1:$EG$1,0),TRUE)/100/365+1)^(B771)*BQ770,"")</f>
        <v/>
      </c>
      <c r="BR771" s="98" t="str">
        <f t="shared" si="307"/>
        <v/>
      </c>
      <c r="BS771" s="106" t="str">
        <f>IF(A771&lt;&gt;"",VLOOKUP(A771,MarketData!$D:$BP,MATCH($BS$1,MarketData!$D$1:$EG$1,0),TRUE),"")</f>
        <v/>
      </c>
      <c r="BT771" s="98" t="str">
        <f t="shared" ref="BT771:BT834" si="318">IF(A771&lt;&gt;"",(BS771-$BS$2)/$BS$2,"")</f>
        <v/>
      </c>
    </row>
    <row r="772" spans="2:72" x14ac:dyDescent="0.25">
      <c r="B772" s="60" t="str">
        <f t="shared" si="306"/>
        <v/>
      </c>
      <c r="C772" s="3" t="str">
        <f t="shared" si="308"/>
        <v/>
      </c>
      <c r="D772" s="3" t="str">
        <f t="shared" si="309"/>
        <v/>
      </c>
      <c r="E772" s="3" t="str">
        <f t="shared" si="310"/>
        <v/>
      </c>
      <c r="F772" s="3" t="str">
        <f t="shared" si="311"/>
        <v/>
      </c>
      <c r="G772" s="74" t="str">
        <f t="shared" si="312"/>
        <v/>
      </c>
      <c r="H772" s="78" t="str">
        <f>IFERROR(C772/SUM(M$2:M771),"")</f>
        <v/>
      </c>
      <c r="I772" s="61" t="str">
        <f>IFERROR(D772/SUM(N$2:N772),"")</f>
        <v/>
      </c>
      <c r="J772" s="61" t="str">
        <f>IFERROR(E772/SUM(O$2:O772),"")</f>
        <v/>
      </c>
      <c r="K772" s="61" t="str">
        <f>IFERROR(F772/SUM(P$2:P772),"")</f>
        <v/>
      </c>
      <c r="L772" s="79" t="str">
        <f>IFERROR(G772/SUM(Q$2:Q772),"")</f>
        <v/>
      </c>
      <c r="M772" s="64" t="str">
        <f t="shared" si="313"/>
        <v/>
      </c>
      <c r="N772" s="55" t="str">
        <f t="shared" si="314"/>
        <v/>
      </c>
      <c r="O772" s="55" t="str">
        <f t="shared" si="315"/>
        <v/>
      </c>
      <c r="P772" s="55" t="str">
        <f t="shared" si="316"/>
        <v/>
      </c>
      <c r="Q772" s="65" t="str">
        <f t="shared" si="317"/>
        <v/>
      </c>
      <c r="R772" s="67" t="str">
        <f t="shared" ref="R772:R835" si="319">IF(C772&lt;&gt;"",LN((C772-C771)/(SUMIFS(Total,Fecha,$A771,Linea,C$1)+M771)+1)*365/($A772-$A771),"")</f>
        <v/>
      </c>
      <c r="S772" s="56" t="str">
        <f t="shared" ref="S772:S835" si="320">IF(D772&lt;&gt;"",LN((D772-D771)/(SUMIFS(Total,Fecha,$A771,Linea,D$1)+N771)+1)*365/($A772-$A771),"")</f>
        <v/>
      </c>
      <c r="T772" s="56" t="str">
        <f t="shared" ref="T772:T835" si="321">IF(E772&lt;&gt;"",LN((E772-E771)/(SUMIFS(Total,Fecha,$A771,Linea,E$1)+O771)+1)*365/($A772-$A771),"")</f>
        <v/>
      </c>
      <c r="U772" s="56" t="str">
        <f t="shared" ref="U772:U835" si="322">IF(F772&lt;&gt;"",LN((F772-F771)/(SUMIFS(Total,Fecha,$A771,Linea,F$1)+P771)+1)*365/($A772-$A771),"")</f>
        <v/>
      </c>
      <c r="V772" s="68" t="str">
        <f t="shared" ref="V772:V835" si="323">IF(G772&lt;&gt;"",LN((G772-G771)/(SUMIFS(Total,Fecha,$A771,Linea,G$1)+Q771)+1)*365/($A772-$A771),"")</f>
        <v/>
      </c>
      <c r="W772" s="80" t="str">
        <f t="shared" si="299"/>
        <v/>
      </c>
      <c r="X772" s="81" t="str">
        <f t="shared" si="300"/>
        <v/>
      </c>
      <c r="Y772" s="81" t="str">
        <f t="shared" si="301"/>
        <v/>
      </c>
      <c r="Z772" s="81" t="str">
        <f t="shared" si="302"/>
        <v/>
      </c>
      <c r="AA772" s="82" t="str">
        <f t="shared" si="303"/>
        <v/>
      </c>
      <c r="AB772" s="83" t="str">
        <f>IF(R772&lt;&gt;"",(W772-SUMPRODUCT(R$3:R772,$B$3:$B772)/SUM($B$3:$B772))/STDEVA(W762:W772),"")</f>
        <v/>
      </c>
      <c r="AC772" s="84" t="str">
        <f>IF(S772&lt;&gt;"",(X772-SUMPRODUCT(S$3:S772,$B$3:$B772)/SUM($B$3:$B772))/STDEVA(X762:X772),"")</f>
        <v/>
      </c>
      <c r="AD772" s="84" t="str">
        <f>IF(T772&lt;&gt;"",(Y772-SUMPRODUCT(T$3:T772,$B$3:$B772)/SUM($B$3:$B772))/STDEVA(Y762:Y772),"")</f>
        <v/>
      </c>
      <c r="AE772" s="84" t="str">
        <f>IF(U772&lt;&gt;"",(Z772-SUMPRODUCT(U$3:U772,$B$3:$B772)/SUM($B$3:$B772))/STDEVA(Z762:Z772),"")</f>
        <v/>
      </c>
      <c r="AF772" s="85" t="str">
        <f>IF(V772&lt;&gt;"",(AA772-SUMPRODUCT(V$3:V772,$B$3:$B772)/SUM($B$3:$B772))/STDEVA(AA762:AA772),"")</f>
        <v/>
      </c>
      <c r="AG772" s="90" t="str">
        <f t="shared" si="304"/>
        <v/>
      </c>
      <c r="AH772" s="90" t="str">
        <f t="shared" si="304"/>
        <v/>
      </c>
      <c r="AI772" s="90" t="str">
        <f t="shared" si="304"/>
        <v/>
      </c>
      <c r="AJ772" s="90" t="str">
        <f t="shared" si="304"/>
        <v/>
      </c>
      <c r="AK772" s="93" t="str">
        <f t="shared" si="305"/>
        <v/>
      </c>
      <c r="BQ772" s="100" t="str">
        <f>IF(A772&lt;&gt;"",(VLOOKUP(A772,MarketData!$D:$BP,MATCH($BQ$1,MarketData!$D$1:$EG$1,0),TRUE)/100/365+1)^(B772)*BQ771,"")</f>
        <v/>
      </c>
      <c r="BR772" s="98" t="str">
        <f t="shared" si="307"/>
        <v/>
      </c>
      <c r="BS772" s="106" t="str">
        <f>IF(A772&lt;&gt;"",VLOOKUP(A772,MarketData!$D:$BP,MATCH($BS$1,MarketData!$D$1:$EG$1,0),TRUE),"")</f>
        <v/>
      </c>
      <c r="BT772" s="98" t="str">
        <f t="shared" si="318"/>
        <v/>
      </c>
    </row>
    <row r="773" spans="2:72" x14ac:dyDescent="0.25">
      <c r="B773" s="60" t="str">
        <f t="shared" si="306"/>
        <v/>
      </c>
      <c r="C773" s="3" t="str">
        <f t="shared" si="308"/>
        <v/>
      </c>
      <c r="D773" s="3" t="str">
        <f t="shared" si="309"/>
        <v/>
      </c>
      <c r="E773" s="3" t="str">
        <f t="shared" si="310"/>
        <v/>
      </c>
      <c r="F773" s="3" t="str">
        <f t="shared" si="311"/>
        <v/>
      </c>
      <c r="G773" s="74" t="str">
        <f t="shared" si="312"/>
        <v/>
      </c>
      <c r="H773" s="78" t="str">
        <f>IFERROR(C773/SUM(M$2:M772),"")</f>
        <v/>
      </c>
      <c r="I773" s="61" t="str">
        <f>IFERROR(D773/SUM(N$2:N773),"")</f>
        <v/>
      </c>
      <c r="J773" s="61" t="str">
        <f>IFERROR(E773/SUM(O$2:O773),"")</f>
        <v/>
      </c>
      <c r="K773" s="61" t="str">
        <f>IFERROR(F773/SUM(P$2:P773),"")</f>
        <v/>
      </c>
      <c r="L773" s="79" t="str">
        <f>IFERROR(G773/SUM(Q$2:Q773),"")</f>
        <v/>
      </c>
      <c r="M773" s="64" t="str">
        <f t="shared" si="313"/>
        <v/>
      </c>
      <c r="N773" s="55" t="str">
        <f t="shared" si="314"/>
        <v/>
      </c>
      <c r="O773" s="55" t="str">
        <f t="shared" si="315"/>
        <v/>
      </c>
      <c r="P773" s="55" t="str">
        <f t="shared" si="316"/>
        <v/>
      </c>
      <c r="Q773" s="65" t="str">
        <f t="shared" si="317"/>
        <v/>
      </c>
      <c r="R773" s="67" t="str">
        <f t="shared" si="319"/>
        <v/>
      </c>
      <c r="S773" s="56" t="str">
        <f t="shared" si="320"/>
        <v/>
      </c>
      <c r="T773" s="56" t="str">
        <f t="shared" si="321"/>
        <v/>
      </c>
      <c r="U773" s="56" t="str">
        <f t="shared" si="322"/>
        <v/>
      </c>
      <c r="V773" s="68" t="str">
        <f t="shared" si="323"/>
        <v/>
      </c>
      <c r="W773" s="80" t="str">
        <f t="shared" si="299"/>
        <v/>
      </c>
      <c r="X773" s="81" t="str">
        <f t="shared" si="300"/>
        <v/>
      </c>
      <c r="Y773" s="81" t="str">
        <f t="shared" si="301"/>
        <v/>
      </c>
      <c r="Z773" s="81" t="str">
        <f t="shared" si="302"/>
        <v/>
      </c>
      <c r="AA773" s="82" t="str">
        <f t="shared" si="303"/>
        <v/>
      </c>
      <c r="AB773" s="83" t="str">
        <f>IF(R773&lt;&gt;"",(W773-SUMPRODUCT(R$3:R773,$B$3:$B773)/SUM($B$3:$B773))/STDEVA(W763:W773),"")</f>
        <v/>
      </c>
      <c r="AC773" s="84" t="str">
        <f>IF(S773&lt;&gt;"",(X773-SUMPRODUCT(S$3:S773,$B$3:$B773)/SUM($B$3:$B773))/STDEVA(X763:X773),"")</f>
        <v/>
      </c>
      <c r="AD773" s="84" t="str">
        <f>IF(T773&lt;&gt;"",(Y773-SUMPRODUCT(T$3:T773,$B$3:$B773)/SUM($B$3:$B773))/STDEVA(Y763:Y773),"")</f>
        <v/>
      </c>
      <c r="AE773" s="84" t="str">
        <f>IF(U773&lt;&gt;"",(Z773-SUMPRODUCT(U$3:U773,$B$3:$B773)/SUM($B$3:$B773))/STDEVA(Z763:Z773),"")</f>
        <v/>
      </c>
      <c r="AF773" s="85" t="str">
        <f>IF(V773&lt;&gt;"",(AA773-SUMPRODUCT(V$3:V773,$B$3:$B773)/SUM($B$3:$B773))/STDEVA(AA763:AA773),"")</f>
        <v/>
      </c>
      <c r="AG773" s="90" t="str">
        <f t="shared" si="304"/>
        <v/>
      </c>
      <c r="AH773" s="90" t="str">
        <f t="shared" si="304"/>
        <v/>
      </c>
      <c r="AI773" s="90" t="str">
        <f t="shared" si="304"/>
        <v/>
      </c>
      <c r="AJ773" s="90" t="str">
        <f t="shared" si="304"/>
        <v/>
      </c>
      <c r="AK773" s="93" t="str">
        <f t="shared" si="305"/>
        <v/>
      </c>
      <c r="BQ773" s="100" t="str">
        <f>IF(A773&lt;&gt;"",(VLOOKUP(A773,MarketData!$D:$BP,MATCH($BQ$1,MarketData!$D$1:$EG$1,0),TRUE)/100/365+1)^(B773)*BQ772,"")</f>
        <v/>
      </c>
      <c r="BR773" s="98" t="str">
        <f t="shared" si="307"/>
        <v/>
      </c>
      <c r="BS773" s="106" t="str">
        <f>IF(A773&lt;&gt;"",VLOOKUP(A773,MarketData!$D:$BP,MATCH($BS$1,MarketData!$D$1:$EG$1,0),TRUE),"")</f>
        <v/>
      </c>
      <c r="BT773" s="98" t="str">
        <f t="shared" si="318"/>
        <v/>
      </c>
    </row>
    <row r="774" spans="2:72" x14ac:dyDescent="0.25">
      <c r="B774" s="60" t="str">
        <f t="shared" si="306"/>
        <v/>
      </c>
      <c r="C774" s="3" t="str">
        <f t="shared" si="308"/>
        <v/>
      </c>
      <c r="D774" s="3" t="str">
        <f t="shared" si="309"/>
        <v/>
      </c>
      <c r="E774" s="3" t="str">
        <f t="shared" si="310"/>
        <v/>
      </c>
      <c r="F774" s="3" t="str">
        <f t="shared" si="311"/>
        <v/>
      </c>
      <c r="G774" s="74" t="str">
        <f t="shared" si="312"/>
        <v/>
      </c>
      <c r="H774" s="78" t="str">
        <f>IFERROR(C774/SUM(M$2:M773),"")</f>
        <v/>
      </c>
      <c r="I774" s="61" t="str">
        <f>IFERROR(D774/SUM(N$2:N774),"")</f>
        <v/>
      </c>
      <c r="J774" s="61" t="str">
        <f>IFERROR(E774/SUM(O$2:O774),"")</f>
        <v/>
      </c>
      <c r="K774" s="61" t="str">
        <f>IFERROR(F774/SUM(P$2:P774),"")</f>
        <v/>
      </c>
      <c r="L774" s="79" t="str">
        <f>IFERROR(G774/SUM(Q$2:Q774),"")</f>
        <v/>
      </c>
      <c r="M774" s="64" t="str">
        <f t="shared" si="313"/>
        <v/>
      </c>
      <c r="N774" s="55" t="str">
        <f t="shared" si="314"/>
        <v/>
      </c>
      <c r="O774" s="55" t="str">
        <f t="shared" si="315"/>
        <v/>
      </c>
      <c r="P774" s="55" t="str">
        <f t="shared" si="316"/>
        <v/>
      </c>
      <c r="Q774" s="65" t="str">
        <f t="shared" si="317"/>
        <v/>
      </c>
      <c r="R774" s="67" t="str">
        <f t="shared" si="319"/>
        <v/>
      </c>
      <c r="S774" s="56" t="str">
        <f t="shared" si="320"/>
        <v/>
      </c>
      <c r="T774" s="56" t="str">
        <f t="shared" si="321"/>
        <v/>
      </c>
      <c r="U774" s="56" t="str">
        <f t="shared" si="322"/>
        <v/>
      </c>
      <c r="V774" s="68" t="str">
        <f t="shared" si="323"/>
        <v/>
      </c>
      <c r="W774" s="80" t="str">
        <f t="shared" si="299"/>
        <v/>
      </c>
      <c r="X774" s="81" t="str">
        <f t="shared" si="300"/>
        <v/>
      </c>
      <c r="Y774" s="81" t="str">
        <f t="shared" si="301"/>
        <v/>
      </c>
      <c r="Z774" s="81" t="str">
        <f t="shared" si="302"/>
        <v/>
      </c>
      <c r="AA774" s="82" t="str">
        <f t="shared" si="303"/>
        <v/>
      </c>
      <c r="AB774" s="83" t="str">
        <f>IF(R774&lt;&gt;"",(W774-SUMPRODUCT(R$3:R774,$B$3:$B774)/SUM($B$3:$B774))/STDEVA(W764:W774),"")</f>
        <v/>
      </c>
      <c r="AC774" s="84" t="str">
        <f>IF(S774&lt;&gt;"",(X774-SUMPRODUCT(S$3:S774,$B$3:$B774)/SUM($B$3:$B774))/STDEVA(X764:X774),"")</f>
        <v/>
      </c>
      <c r="AD774" s="84" t="str">
        <f>IF(T774&lt;&gt;"",(Y774-SUMPRODUCT(T$3:T774,$B$3:$B774)/SUM($B$3:$B774))/STDEVA(Y764:Y774),"")</f>
        <v/>
      </c>
      <c r="AE774" s="84" t="str">
        <f>IF(U774&lt;&gt;"",(Z774-SUMPRODUCT(U$3:U774,$B$3:$B774)/SUM($B$3:$B774))/STDEVA(Z764:Z774),"")</f>
        <v/>
      </c>
      <c r="AF774" s="85" t="str">
        <f>IF(V774&lt;&gt;"",(AA774-SUMPRODUCT(V$3:V774,$B$3:$B774)/SUM($B$3:$B774))/STDEVA(AA764:AA774),"")</f>
        <v/>
      </c>
      <c r="AG774" s="90" t="str">
        <f t="shared" si="304"/>
        <v/>
      </c>
      <c r="AH774" s="90" t="str">
        <f t="shared" si="304"/>
        <v/>
      </c>
      <c r="AI774" s="90" t="str">
        <f t="shared" si="304"/>
        <v/>
      </c>
      <c r="AJ774" s="90" t="str">
        <f t="shared" si="304"/>
        <v/>
      </c>
      <c r="AK774" s="93" t="str">
        <f t="shared" si="305"/>
        <v/>
      </c>
      <c r="BQ774" s="100" t="str">
        <f>IF(A774&lt;&gt;"",(VLOOKUP(A774,MarketData!$D:$BP,MATCH($BQ$1,MarketData!$D$1:$EG$1,0),TRUE)/100/365+1)^(B774)*BQ773,"")</f>
        <v/>
      </c>
      <c r="BR774" s="98" t="str">
        <f t="shared" si="307"/>
        <v/>
      </c>
      <c r="BS774" s="106" t="str">
        <f>IF(A774&lt;&gt;"",VLOOKUP(A774,MarketData!$D:$BP,MATCH($BS$1,MarketData!$D$1:$EG$1,0),TRUE),"")</f>
        <v/>
      </c>
      <c r="BT774" s="98" t="str">
        <f t="shared" si="318"/>
        <v/>
      </c>
    </row>
    <row r="775" spans="2:72" x14ac:dyDescent="0.25">
      <c r="B775" s="60" t="str">
        <f t="shared" si="306"/>
        <v/>
      </c>
      <c r="C775" s="3" t="str">
        <f t="shared" si="308"/>
        <v/>
      </c>
      <c r="D775" s="3" t="str">
        <f t="shared" si="309"/>
        <v/>
      </c>
      <c r="E775" s="3" t="str">
        <f t="shared" si="310"/>
        <v/>
      </c>
      <c r="F775" s="3" t="str">
        <f t="shared" si="311"/>
        <v/>
      </c>
      <c r="G775" s="74" t="str">
        <f t="shared" si="312"/>
        <v/>
      </c>
      <c r="H775" s="78" t="str">
        <f>IFERROR(C775/SUM(M$2:M774),"")</f>
        <v/>
      </c>
      <c r="I775" s="61" t="str">
        <f>IFERROR(D775/SUM(N$2:N775),"")</f>
        <v/>
      </c>
      <c r="J775" s="61" t="str">
        <f>IFERROR(E775/SUM(O$2:O775),"")</f>
        <v/>
      </c>
      <c r="K775" s="61" t="str">
        <f>IFERROR(F775/SUM(P$2:P775),"")</f>
        <v/>
      </c>
      <c r="L775" s="79" t="str">
        <f>IFERROR(G775/SUM(Q$2:Q775),"")</f>
        <v/>
      </c>
      <c r="M775" s="64" t="str">
        <f t="shared" si="313"/>
        <v/>
      </c>
      <c r="N775" s="55" t="str">
        <f t="shared" si="314"/>
        <v/>
      </c>
      <c r="O775" s="55" t="str">
        <f t="shared" si="315"/>
        <v/>
      </c>
      <c r="P775" s="55" t="str">
        <f t="shared" si="316"/>
        <v/>
      </c>
      <c r="Q775" s="65" t="str">
        <f t="shared" si="317"/>
        <v/>
      </c>
      <c r="R775" s="67" t="str">
        <f t="shared" si="319"/>
        <v/>
      </c>
      <c r="S775" s="56" t="str">
        <f t="shared" si="320"/>
        <v/>
      </c>
      <c r="T775" s="56" t="str">
        <f t="shared" si="321"/>
        <v/>
      </c>
      <c r="U775" s="56" t="str">
        <f t="shared" si="322"/>
        <v/>
      </c>
      <c r="V775" s="68" t="str">
        <f t="shared" si="323"/>
        <v/>
      </c>
      <c r="W775" s="80" t="str">
        <f t="shared" si="299"/>
        <v/>
      </c>
      <c r="X775" s="81" t="str">
        <f t="shared" si="300"/>
        <v/>
      </c>
      <c r="Y775" s="81" t="str">
        <f t="shared" si="301"/>
        <v/>
      </c>
      <c r="Z775" s="81" t="str">
        <f t="shared" si="302"/>
        <v/>
      </c>
      <c r="AA775" s="82" t="str">
        <f t="shared" si="303"/>
        <v/>
      </c>
      <c r="AB775" s="83" t="str">
        <f>IF(R775&lt;&gt;"",(W775-SUMPRODUCT(R$3:R775,$B$3:$B775)/SUM($B$3:$B775))/STDEVA(W765:W775),"")</f>
        <v/>
      </c>
      <c r="AC775" s="84" t="str">
        <f>IF(S775&lt;&gt;"",(X775-SUMPRODUCT(S$3:S775,$B$3:$B775)/SUM($B$3:$B775))/STDEVA(X765:X775),"")</f>
        <v/>
      </c>
      <c r="AD775" s="84" t="str">
        <f>IF(T775&lt;&gt;"",(Y775-SUMPRODUCT(T$3:T775,$B$3:$B775)/SUM($B$3:$B775))/STDEVA(Y765:Y775),"")</f>
        <v/>
      </c>
      <c r="AE775" s="84" t="str">
        <f>IF(U775&lt;&gt;"",(Z775-SUMPRODUCT(U$3:U775,$B$3:$B775)/SUM($B$3:$B775))/STDEVA(Z765:Z775),"")</f>
        <v/>
      </c>
      <c r="AF775" s="85" t="str">
        <f>IF(V775&lt;&gt;"",(AA775-SUMPRODUCT(V$3:V775,$B$3:$B775)/SUM($B$3:$B775))/STDEVA(AA765:AA775),"")</f>
        <v/>
      </c>
      <c r="AG775" s="90" t="str">
        <f t="shared" si="304"/>
        <v/>
      </c>
      <c r="AH775" s="90" t="str">
        <f t="shared" si="304"/>
        <v/>
      </c>
      <c r="AI775" s="90" t="str">
        <f t="shared" si="304"/>
        <v/>
      </c>
      <c r="AJ775" s="90" t="str">
        <f t="shared" si="304"/>
        <v/>
      </c>
      <c r="AK775" s="93" t="str">
        <f t="shared" si="305"/>
        <v/>
      </c>
      <c r="BQ775" s="100" t="str">
        <f>IF(A775&lt;&gt;"",(VLOOKUP(A775,MarketData!$D:$BP,MATCH($BQ$1,MarketData!$D$1:$EG$1,0),TRUE)/100/365+1)^(B775)*BQ774,"")</f>
        <v/>
      </c>
      <c r="BR775" s="98" t="str">
        <f t="shared" si="307"/>
        <v/>
      </c>
      <c r="BS775" s="106" t="str">
        <f>IF(A775&lt;&gt;"",VLOOKUP(A775,MarketData!$D:$BP,MATCH($BS$1,MarketData!$D$1:$EG$1,0),TRUE),"")</f>
        <v/>
      </c>
      <c r="BT775" s="98" t="str">
        <f t="shared" si="318"/>
        <v/>
      </c>
    </row>
    <row r="776" spans="2:72" x14ac:dyDescent="0.25">
      <c r="B776" s="60" t="str">
        <f t="shared" si="306"/>
        <v/>
      </c>
      <c r="C776" s="3" t="str">
        <f t="shared" si="308"/>
        <v/>
      </c>
      <c r="D776" s="3" t="str">
        <f t="shared" si="309"/>
        <v/>
      </c>
      <c r="E776" s="3" t="str">
        <f t="shared" si="310"/>
        <v/>
      </c>
      <c r="F776" s="3" t="str">
        <f t="shared" si="311"/>
        <v/>
      </c>
      <c r="G776" s="74" t="str">
        <f t="shared" si="312"/>
        <v/>
      </c>
      <c r="H776" s="78" t="str">
        <f>IFERROR(C776/SUM(M$2:M775),"")</f>
        <v/>
      </c>
      <c r="I776" s="61" t="str">
        <f>IFERROR(D776/SUM(N$2:N776),"")</f>
        <v/>
      </c>
      <c r="J776" s="61" t="str">
        <f>IFERROR(E776/SUM(O$2:O776),"")</f>
        <v/>
      </c>
      <c r="K776" s="61" t="str">
        <f>IFERROR(F776/SUM(P$2:P776),"")</f>
        <v/>
      </c>
      <c r="L776" s="79" t="str">
        <f>IFERROR(G776/SUM(Q$2:Q776),"")</f>
        <v/>
      </c>
      <c r="M776" s="64" t="str">
        <f t="shared" si="313"/>
        <v/>
      </c>
      <c r="N776" s="55" t="str">
        <f t="shared" si="314"/>
        <v/>
      </c>
      <c r="O776" s="55" t="str">
        <f t="shared" si="315"/>
        <v/>
      </c>
      <c r="P776" s="55" t="str">
        <f t="shared" si="316"/>
        <v/>
      </c>
      <c r="Q776" s="65" t="str">
        <f t="shared" si="317"/>
        <v/>
      </c>
      <c r="R776" s="67" t="str">
        <f t="shared" si="319"/>
        <v/>
      </c>
      <c r="S776" s="56" t="str">
        <f t="shared" si="320"/>
        <v/>
      </c>
      <c r="T776" s="56" t="str">
        <f t="shared" si="321"/>
        <v/>
      </c>
      <c r="U776" s="56" t="str">
        <f t="shared" si="322"/>
        <v/>
      </c>
      <c r="V776" s="68" t="str">
        <f t="shared" si="323"/>
        <v/>
      </c>
      <c r="W776" s="80" t="str">
        <f t="shared" si="299"/>
        <v/>
      </c>
      <c r="X776" s="81" t="str">
        <f t="shared" si="300"/>
        <v/>
      </c>
      <c r="Y776" s="81" t="str">
        <f t="shared" si="301"/>
        <v/>
      </c>
      <c r="Z776" s="81" t="str">
        <f t="shared" si="302"/>
        <v/>
      </c>
      <c r="AA776" s="82" t="str">
        <f t="shared" si="303"/>
        <v/>
      </c>
      <c r="AB776" s="83" t="str">
        <f>IF(R776&lt;&gt;"",(W776-SUMPRODUCT(R$3:R776,$B$3:$B776)/SUM($B$3:$B776))/STDEVA(W766:W776),"")</f>
        <v/>
      </c>
      <c r="AC776" s="84" t="str">
        <f>IF(S776&lt;&gt;"",(X776-SUMPRODUCT(S$3:S776,$B$3:$B776)/SUM($B$3:$B776))/STDEVA(X766:X776),"")</f>
        <v/>
      </c>
      <c r="AD776" s="84" t="str">
        <f>IF(T776&lt;&gt;"",(Y776-SUMPRODUCT(T$3:T776,$B$3:$B776)/SUM($B$3:$B776))/STDEVA(Y766:Y776),"")</f>
        <v/>
      </c>
      <c r="AE776" s="84" t="str">
        <f>IF(U776&lt;&gt;"",(Z776-SUMPRODUCT(U$3:U776,$B$3:$B776)/SUM($B$3:$B776))/STDEVA(Z766:Z776),"")</f>
        <v/>
      </c>
      <c r="AF776" s="85" t="str">
        <f>IF(V776&lt;&gt;"",(AA776-SUMPRODUCT(V$3:V776,$B$3:$B776)/SUM($B$3:$B776))/STDEVA(AA766:AA776),"")</f>
        <v/>
      </c>
      <c r="AG776" s="90" t="str">
        <f t="shared" si="304"/>
        <v/>
      </c>
      <c r="AH776" s="90" t="str">
        <f t="shared" si="304"/>
        <v/>
      </c>
      <c r="AI776" s="90" t="str">
        <f t="shared" si="304"/>
        <v/>
      </c>
      <c r="AJ776" s="90" t="str">
        <f t="shared" si="304"/>
        <v/>
      </c>
      <c r="AK776" s="93" t="str">
        <f t="shared" si="305"/>
        <v/>
      </c>
      <c r="BQ776" s="100" t="str">
        <f>IF(A776&lt;&gt;"",(VLOOKUP(A776,MarketData!$D:$BP,MATCH($BQ$1,MarketData!$D$1:$EG$1,0),TRUE)/100/365+1)^(B776)*BQ775,"")</f>
        <v/>
      </c>
      <c r="BR776" s="98" t="str">
        <f t="shared" si="307"/>
        <v/>
      </c>
      <c r="BS776" s="106" t="str">
        <f>IF(A776&lt;&gt;"",VLOOKUP(A776,MarketData!$D:$BP,MATCH($BS$1,MarketData!$D$1:$EG$1,0),TRUE),"")</f>
        <v/>
      </c>
      <c r="BT776" s="98" t="str">
        <f t="shared" si="318"/>
        <v/>
      </c>
    </row>
    <row r="777" spans="2:72" x14ac:dyDescent="0.25">
      <c r="B777" s="60" t="str">
        <f t="shared" si="306"/>
        <v/>
      </c>
      <c r="C777" s="3" t="str">
        <f t="shared" si="308"/>
        <v/>
      </c>
      <c r="D777" s="3" t="str">
        <f t="shared" si="309"/>
        <v/>
      </c>
      <c r="E777" s="3" t="str">
        <f t="shared" si="310"/>
        <v/>
      </c>
      <c r="F777" s="3" t="str">
        <f t="shared" si="311"/>
        <v/>
      </c>
      <c r="G777" s="74" t="str">
        <f t="shared" si="312"/>
        <v/>
      </c>
      <c r="H777" s="78" t="str">
        <f>IFERROR(C777/SUM(M$2:M776),"")</f>
        <v/>
      </c>
      <c r="I777" s="61" t="str">
        <f>IFERROR(D777/SUM(N$2:N777),"")</f>
        <v/>
      </c>
      <c r="J777" s="61" t="str">
        <f>IFERROR(E777/SUM(O$2:O777),"")</f>
        <v/>
      </c>
      <c r="K777" s="61" t="str">
        <f>IFERROR(F777/SUM(P$2:P777),"")</f>
        <v/>
      </c>
      <c r="L777" s="79" t="str">
        <f>IFERROR(G777/SUM(Q$2:Q777),"")</f>
        <v/>
      </c>
      <c r="M777" s="64" t="str">
        <f t="shared" si="313"/>
        <v/>
      </c>
      <c r="N777" s="55" t="str">
        <f t="shared" si="314"/>
        <v/>
      </c>
      <c r="O777" s="55" t="str">
        <f t="shared" si="315"/>
        <v/>
      </c>
      <c r="P777" s="55" t="str">
        <f t="shared" si="316"/>
        <v/>
      </c>
      <c r="Q777" s="65" t="str">
        <f t="shared" si="317"/>
        <v/>
      </c>
      <c r="R777" s="67" t="str">
        <f t="shared" si="319"/>
        <v/>
      </c>
      <c r="S777" s="56" t="str">
        <f t="shared" si="320"/>
        <v/>
      </c>
      <c r="T777" s="56" t="str">
        <f t="shared" si="321"/>
        <v/>
      </c>
      <c r="U777" s="56" t="str">
        <f t="shared" si="322"/>
        <v/>
      </c>
      <c r="V777" s="68" t="str">
        <f t="shared" si="323"/>
        <v/>
      </c>
      <c r="W777" s="80" t="str">
        <f t="shared" si="299"/>
        <v/>
      </c>
      <c r="X777" s="81" t="str">
        <f t="shared" si="300"/>
        <v/>
      </c>
      <c r="Y777" s="81" t="str">
        <f t="shared" si="301"/>
        <v/>
      </c>
      <c r="Z777" s="81" t="str">
        <f t="shared" si="302"/>
        <v/>
      </c>
      <c r="AA777" s="82" t="str">
        <f t="shared" si="303"/>
        <v/>
      </c>
      <c r="AB777" s="83" t="str">
        <f>IF(R777&lt;&gt;"",(W777-SUMPRODUCT(R$3:R777,$B$3:$B777)/SUM($B$3:$B777))/STDEVA(W767:W777),"")</f>
        <v/>
      </c>
      <c r="AC777" s="84" t="str">
        <f>IF(S777&lt;&gt;"",(X777-SUMPRODUCT(S$3:S777,$B$3:$B777)/SUM($B$3:$B777))/STDEVA(X767:X777),"")</f>
        <v/>
      </c>
      <c r="AD777" s="84" t="str">
        <f>IF(T777&lt;&gt;"",(Y777-SUMPRODUCT(T$3:T777,$B$3:$B777)/SUM($B$3:$B777))/STDEVA(Y767:Y777),"")</f>
        <v/>
      </c>
      <c r="AE777" s="84" t="str">
        <f>IF(U777&lt;&gt;"",(Z777-SUMPRODUCT(U$3:U777,$B$3:$B777)/SUM($B$3:$B777))/STDEVA(Z767:Z777),"")</f>
        <v/>
      </c>
      <c r="AF777" s="85" t="str">
        <f>IF(V777&lt;&gt;"",(AA777-SUMPRODUCT(V$3:V777,$B$3:$B777)/SUM($B$3:$B777))/STDEVA(AA767:AA777),"")</f>
        <v/>
      </c>
      <c r="AG777" s="90" t="str">
        <f t="shared" si="304"/>
        <v/>
      </c>
      <c r="AH777" s="90" t="str">
        <f t="shared" si="304"/>
        <v/>
      </c>
      <c r="AI777" s="90" t="str">
        <f t="shared" si="304"/>
        <v/>
      </c>
      <c r="AJ777" s="90" t="str">
        <f t="shared" si="304"/>
        <v/>
      </c>
      <c r="AK777" s="93" t="str">
        <f t="shared" si="305"/>
        <v/>
      </c>
      <c r="BQ777" s="100" t="str">
        <f>IF(A777&lt;&gt;"",(VLOOKUP(A777,MarketData!$D:$BP,MATCH($BQ$1,MarketData!$D$1:$EG$1,0),TRUE)/100/365+1)^(B777)*BQ776,"")</f>
        <v/>
      </c>
      <c r="BR777" s="98" t="str">
        <f t="shared" si="307"/>
        <v/>
      </c>
      <c r="BS777" s="106" t="str">
        <f>IF(A777&lt;&gt;"",VLOOKUP(A777,MarketData!$D:$BP,MATCH($BS$1,MarketData!$D$1:$EG$1,0),TRUE),"")</f>
        <v/>
      </c>
      <c r="BT777" s="98" t="str">
        <f t="shared" si="318"/>
        <v/>
      </c>
    </row>
    <row r="778" spans="2:72" x14ac:dyDescent="0.25">
      <c r="B778" s="60" t="str">
        <f t="shared" si="306"/>
        <v/>
      </c>
      <c r="C778" s="3" t="str">
        <f t="shared" si="308"/>
        <v/>
      </c>
      <c r="D778" s="3" t="str">
        <f t="shared" si="309"/>
        <v/>
      </c>
      <c r="E778" s="3" t="str">
        <f t="shared" si="310"/>
        <v/>
      </c>
      <c r="F778" s="3" t="str">
        <f t="shared" si="311"/>
        <v/>
      </c>
      <c r="G778" s="74" t="str">
        <f t="shared" si="312"/>
        <v/>
      </c>
      <c r="H778" s="78" t="str">
        <f>IFERROR(C778/SUM(M$2:M777),"")</f>
        <v/>
      </c>
      <c r="I778" s="61" t="str">
        <f>IFERROR(D778/SUM(N$2:N778),"")</f>
        <v/>
      </c>
      <c r="J778" s="61" t="str">
        <f>IFERROR(E778/SUM(O$2:O778),"")</f>
        <v/>
      </c>
      <c r="K778" s="61" t="str">
        <f>IFERROR(F778/SUM(P$2:P778),"")</f>
        <v/>
      </c>
      <c r="L778" s="79" t="str">
        <f>IFERROR(G778/SUM(Q$2:Q778),"")</f>
        <v/>
      </c>
      <c r="M778" s="64" t="str">
        <f t="shared" si="313"/>
        <v/>
      </c>
      <c r="N778" s="55" t="str">
        <f t="shared" si="314"/>
        <v/>
      </c>
      <c r="O778" s="55" t="str">
        <f t="shared" si="315"/>
        <v/>
      </c>
      <c r="P778" s="55" t="str">
        <f t="shared" si="316"/>
        <v/>
      </c>
      <c r="Q778" s="65" t="str">
        <f t="shared" si="317"/>
        <v/>
      </c>
      <c r="R778" s="67" t="str">
        <f t="shared" si="319"/>
        <v/>
      </c>
      <c r="S778" s="56" t="str">
        <f t="shared" si="320"/>
        <v/>
      </c>
      <c r="T778" s="56" t="str">
        <f t="shared" si="321"/>
        <v/>
      </c>
      <c r="U778" s="56" t="str">
        <f t="shared" si="322"/>
        <v/>
      </c>
      <c r="V778" s="68" t="str">
        <f t="shared" si="323"/>
        <v/>
      </c>
      <c r="W778" s="80" t="str">
        <f t="shared" si="299"/>
        <v/>
      </c>
      <c r="X778" s="81" t="str">
        <f t="shared" si="300"/>
        <v/>
      </c>
      <c r="Y778" s="81" t="str">
        <f t="shared" si="301"/>
        <v/>
      </c>
      <c r="Z778" s="81" t="str">
        <f t="shared" si="302"/>
        <v/>
      </c>
      <c r="AA778" s="82" t="str">
        <f t="shared" si="303"/>
        <v/>
      </c>
      <c r="AB778" s="83" t="str">
        <f>IF(R778&lt;&gt;"",(W778-SUMPRODUCT(R$3:R778,$B$3:$B778)/SUM($B$3:$B778))/STDEVA(W768:W778),"")</f>
        <v/>
      </c>
      <c r="AC778" s="84" t="str">
        <f>IF(S778&lt;&gt;"",(X778-SUMPRODUCT(S$3:S778,$B$3:$B778)/SUM($B$3:$B778))/STDEVA(X768:X778),"")</f>
        <v/>
      </c>
      <c r="AD778" s="84" t="str">
        <f>IF(T778&lt;&gt;"",(Y778-SUMPRODUCT(T$3:T778,$B$3:$B778)/SUM($B$3:$B778))/STDEVA(Y768:Y778),"")</f>
        <v/>
      </c>
      <c r="AE778" s="84" t="str">
        <f>IF(U778&lt;&gt;"",(Z778-SUMPRODUCT(U$3:U778,$B$3:$B778)/SUM($B$3:$B778))/STDEVA(Z768:Z778),"")</f>
        <v/>
      </c>
      <c r="AF778" s="85" t="str">
        <f>IF(V778&lt;&gt;"",(AA778-SUMPRODUCT(V$3:V778,$B$3:$B778)/SUM($B$3:$B778))/STDEVA(AA768:AA778),"")</f>
        <v/>
      </c>
      <c r="AG778" s="90" t="str">
        <f t="shared" si="304"/>
        <v/>
      </c>
      <c r="AH778" s="90" t="str">
        <f t="shared" si="304"/>
        <v/>
      </c>
      <c r="AI778" s="90" t="str">
        <f t="shared" si="304"/>
        <v/>
      </c>
      <c r="AJ778" s="90" t="str">
        <f t="shared" si="304"/>
        <v/>
      </c>
      <c r="AK778" s="93" t="str">
        <f t="shared" si="305"/>
        <v/>
      </c>
      <c r="BQ778" s="100" t="str">
        <f>IF(A778&lt;&gt;"",(VLOOKUP(A778,MarketData!$D:$BP,MATCH($BQ$1,MarketData!$D$1:$EG$1,0),TRUE)/100/365+1)^(B778)*BQ777,"")</f>
        <v/>
      </c>
      <c r="BR778" s="98" t="str">
        <f t="shared" si="307"/>
        <v/>
      </c>
      <c r="BS778" s="106" t="str">
        <f>IF(A778&lt;&gt;"",VLOOKUP(A778,MarketData!$D:$BP,MATCH($BS$1,MarketData!$D$1:$EG$1,0),TRUE),"")</f>
        <v/>
      </c>
      <c r="BT778" s="98" t="str">
        <f t="shared" si="318"/>
        <v/>
      </c>
    </row>
    <row r="779" spans="2:72" x14ac:dyDescent="0.25">
      <c r="B779" s="60" t="str">
        <f t="shared" si="306"/>
        <v/>
      </c>
      <c r="C779" s="3" t="str">
        <f t="shared" si="308"/>
        <v/>
      </c>
      <c r="D779" s="3" t="str">
        <f t="shared" si="309"/>
        <v/>
      </c>
      <c r="E779" s="3" t="str">
        <f t="shared" si="310"/>
        <v/>
      </c>
      <c r="F779" s="3" t="str">
        <f t="shared" si="311"/>
        <v/>
      </c>
      <c r="G779" s="74" t="str">
        <f t="shared" si="312"/>
        <v/>
      </c>
      <c r="H779" s="78" t="str">
        <f>IFERROR(C779/SUM(M$2:M778),"")</f>
        <v/>
      </c>
      <c r="I779" s="61" t="str">
        <f>IFERROR(D779/SUM(N$2:N779),"")</f>
        <v/>
      </c>
      <c r="J779" s="61" t="str">
        <f>IFERROR(E779/SUM(O$2:O779),"")</f>
        <v/>
      </c>
      <c r="K779" s="61" t="str">
        <f>IFERROR(F779/SUM(P$2:P779),"")</f>
        <v/>
      </c>
      <c r="L779" s="79" t="str">
        <f>IFERROR(G779/SUM(Q$2:Q779),"")</f>
        <v/>
      </c>
      <c r="M779" s="64" t="str">
        <f t="shared" si="313"/>
        <v/>
      </c>
      <c r="N779" s="55" t="str">
        <f t="shared" si="314"/>
        <v/>
      </c>
      <c r="O779" s="55" t="str">
        <f t="shared" si="315"/>
        <v/>
      </c>
      <c r="P779" s="55" t="str">
        <f t="shared" si="316"/>
        <v/>
      </c>
      <c r="Q779" s="65" t="str">
        <f t="shared" si="317"/>
        <v/>
      </c>
      <c r="R779" s="67" t="str">
        <f t="shared" si="319"/>
        <v/>
      </c>
      <c r="S779" s="56" t="str">
        <f t="shared" si="320"/>
        <v/>
      </c>
      <c r="T779" s="56" t="str">
        <f t="shared" si="321"/>
        <v/>
      </c>
      <c r="U779" s="56" t="str">
        <f t="shared" si="322"/>
        <v/>
      </c>
      <c r="V779" s="68" t="str">
        <f t="shared" si="323"/>
        <v/>
      </c>
      <c r="W779" s="80" t="str">
        <f t="shared" si="299"/>
        <v/>
      </c>
      <c r="X779" s="81" t="str">
        <f t="shared" si="300"/>
        <v/>
      </c>
      <c r="Y779" s="81" t="str">
        <f t="shared" si="301"/>
        <v/>
      </c>
      <c r="Z779" s="81" t="str">
        <f t="shared" si="302"/>
        <v/>
      </c>
      <c r="AA779" s="82" t="str">
        <f t="shared" si="303"/>
        <v/>
      </c>
      <c r="AB779" s="83" t="str">
        <f>IF(R779&lt;&gt;"",(W779-SUMPRODUCT(R$3:R779,$B$3:$B779)/SUM($B$3:$B779))/STDEVA(W769:W779),"")</f>
        <v/>
      </c>
      <c r="AC779" s="84" t="str">
        <f>IF(S779&lt;&gt;"",(X779-SUMPRODUCT(S$3:S779,$B$3:$B779)/SUM($B$3:$B779))/STDEVA(X769:X779),"")</f>
        <v/>
      </c>
      <c r="AD779" s="84" t="str">
        <f>IF(T779&lt;&gt;"",(Y779-SUMPRODUCT(T$3:T779,$B$3:$B779)/SUM($B$3:$B779))/STDEVA(Y769:Y779),"")</f>
        <v/>
      </c>
      <c r="AE779" s="84" t="str">
        <f>IF(U779&lt;&gt;"",(Z779-SUMPRODUCT(U$3:U779,$B$3:$B779)/SUM($B$3:$B779))/STDEVA(Z769:Z779),"")</f>
        <v/>
      </c>
      <c r="AF779" s="85" t="str">
        <f>IF(V779&lt;&gt;"",(AA779-SUMPRODUCT(V$3:V779,$B$3:$B779)/SUM($B$3:$B779))/STDEVA(AA769:AA779),"")</f>
        <v/>
      </c>
      <c r="AG779" s="90" t="str">
        <f t="shared" si="304"/>
        <v/>
      </c>
      <c r="AH779" s="90" t="str">
        <f t="shared" si="304"/>
        <v/>
      </c>
      <c r="AI779" s="90" t="str">
        <f t="shared" si="304"/>
        <v/>
      </c>
      <c r="AJ779" s="90" t="str">
        <f t="shared" si="304"/>
        <v/>
      </c>
      <c r="AK779" s="93" t="str">
        <f t="shared" si="305"/>
        <v/>
      </c>
      <c r="BQ779" s="100" t="str">
        <f>IF(A779&lt;&gt;"",(VLOOKUP(A779,MarketData!$D:$BP,MATCH($BQ$1,MarketData!$D$1:$EG$1,0),TRUE)/100/365+1)^(B779)*BQ778,"")</f>
        <v/>
      </c>
      <c r="BR779" s="98" t="str">
        <f t="shared" si="307"/>
        <v/>
      </c>
      <c r="BS779" s="106" t="str">
        <f>IF(A779&lt;&gt;"",VLOOKUP(A779,MarketData!$D:$BP,MATCH($BS$1,MarketData!$D$1:$EG$1,0),TRUE),"")</f>
        <v/>
      </c>
      <c r="BT779" s="98" t="str">
        <f t="shared" si="318"/>
        <v/>
      </c>
    </row>
    <row r="780" spans="2:72" x14ac:dyDescent="0.25">
      <c r="B780" s="60" t="str">
        <f t="shared" si="306"/>
        <v/>
      </c>
      <c r="C780" s="3" t="str">
        <f t="shared" si="308"/>
        <v/>
      </c>
      <c r="D780" s="3" t="str">
        <f t="shared" si="309"/>
        <v/>
      </c>
      <c r="E780" s="3" t="str">
        <f t="shared" si="310"/>
        <v/>
      </c>
      <c r="F780" s="3" t="str">
        <f t="shared" si="311"/>
        <v/>
      </c>
      <c r="G780" s="74" t="str">
        <f t="shared" si="312"/>
        <v/>
      </c>
      <c r="H780" s="78" t="str">
        <f>IFERROR(C780/SUM(M$2:M779),"")</f>
        <v/>
      </c>
      <c r="I780" s="61" t="str">
        <f>IFERROR(D780/SUM(N$2:N780),"")</f>
        <v/>
      </c>
      <c r="J780" s="61" t="str">
        <f>IFERROR(E780/SUM(O$2:O780),"")</f>
        <v/>
      </c>
      <c r="K780" s="61" t="str">
        <f>IFERROR(F780/SUM(P$2:P780),"")</f>
        <v/>
      </c>
      <c r="L780" s="79" t="str">
        <f>IFERROR(G780/SUM(Q$2:Q780),"")</f>
        <v/>
      </c>
      <c r="M780" s="64" t="str">
        <f t="shared" si="313"/>
        <v/>
      </c>
      <c r="N780" s="55" t="str">
        <f t="shared" si="314"/>
        <v/>
      </c>
      <c r="O780" s="55" t="str">
        <f t="shared" si="315"/>
        <v/>
      </c>
      <c r="P780" s="55" t="str">
        <f t="shared" si="316"/>
        <v/>
      </c>
      <c r="Q780" s="65" t="str">
        <f t="shared" si="317"/>
        <v/>
      </c>
      <c r="R780" s="67" t="str">
        <f t="shared" si="319"/>
        <v/>
      </c>
      <c r="S780" s="56" t="str">
        <f t="shared" si="320"/>
        <v/>
      </c>
      <c r="T780" s="56" t="str">
        <f t="shared" si="321"/>
        <v/>
      </c>
      <c r="U780" s="56" t="str">
        <f t="shared" si="322"/>
        <v/>
      </c>
      <c r="V780" s="68" t="str">
        <f t="shared" si="323"/>
        <v/>
      </c>
      <c r="W780" s="80" t="str">
        <f t="shared" ref="W780:W843" si="324">IF(R780&lt;&gt;"",SUMPRODUCT(R771:R780,$B771:$B780)/SUM($B771:$B780),"")</f>
        <v/>
      </c>
      <c r="X780" s="81" t="str">
        <f t="shared" ref="X780:X843" si="325">IF(S780&lt;&gt;"",SUMPRODUCT(S771:S780,$B771:$B780)/SUM($B771:$B780),"")</f>
        <v/>
      </c>
      <c r="Y780" s="81" t="str">
        <f t="shared" ref="Y780:Y843" si="326">IF(T780&lt;&gt;"",SUMPRODUCT(T771:T780,$B771:$B780)/SUM($B771:$B780),"")</f>
        <v/>
      </c>
      <c r="Z780" s="81" t="str">
        <f t="shared" ref="Z780:Z843" si="327">IF(U780&lt;&gt;"",SUMPRODUCT(U771:U780,$B771:$B780)/SUM($B771:$B780),"")</f>
        <v/>
      </c>
      <c r="AA780" s="82" t="str">
        <f t="shared" ref="AA780:AA843" si="328">IF(V780&lt;&gt;"",SUMPRODUCT(V771:V780,$B771:$B780)/SUM($B771:$B780),"")</f>
        <v/>
      </c>
      <c r="AB780" s="83" t="str">
        <f>IF(R780&lt;&gt;"",(W780-SUMPRODUCT(R$3:R780,$B$3:$B780)/SUM($B$3:$B780))/STDEVA(W770:W780),"")</f>
        <v/>
      </c>
      <c r="AC780" s="84" t="str">
        <f>IF(S780&lt;&gt;"",(X780-SUMPRODUCT(S$3:S780,$B$3:$B780)/SUM($B$3:$B780))/STDEVA(X770:X780),"")</f>
        <v/>
      </c>
      <c r="AD780" s="84" t="str">
        <f>IF(T780&lt;&gt;"",(Y780-SUMPRODUCT(T$3:T780,$B$3:$B780)/SUM($B$3:$B780))/STDEVA(Y770:Y780),"")</f>
        <v/>
      </c>
      <c r="AE780" s="84" t="str">
        <f>IF(U780&lt;&gt;"",(Z780-SUMPRODUCT(U$3:U780,$B$3:$B780)/SUM($B$3:$B780))/STDEVA(Z770:Z780),"")</f>
        <v/>
      </c>
      <c r="AF780" s="85" t="str">
        <f>IF(V780&lt;&gt;"",(AA780-SUMPRODUCT(V$3:V780,$B$3:$B780)/SUM($B$3:$B780))/STDEVA(AA770:AA780),"")</f>
        <v/>
      </c>
      <c r="AG780" s="90" t="str">
        <f t="shared" si="304"/>
        <v/>
      </c>
      <c r="AH780" s="90" t="str">
        <f t="shared" si="304"/>
        <v/>
      </c>
      <c r="AI780" s="90" t="str">
        <f t="shared" si="304"/>
        <v/>
      </c>
      <c r="AJ780" s="90" t="str">
        <f t="shared" si="304"/>
        <v/>
      </c>
      <c r="AK780" s="93" t="str">
        <f t="shared" si="305"/>
        <v/>
      </c>
      <c r="BQ780" s="100" t="str">
        <f>IF(A780&lt;&gt;"",(VLOOKUP(A780,MarketData!$D:$BP,MATCH($BQ$1,MarketData!$D$1:$EG$1,0),TRUE)/100/365+1)^(B780)*BQ779,"")</f>
        <v/>
      </c>
      <c r="BR780" s="98" t="str">
        <f t="shared" si="307"/>
        <v/>
      </c>
      <c r="BS780" s="106" t="str">
        <f>IF(A780&lt;&gt;"",VLOOKUP(A780,MarketData!$D:$BP,MATCH($BS$1,MarketData!$D$1:$EG$1,0),TRUE),"")</f>
        <v/>
      </c>
      <c r="BT780" s="98" t="str">
        <f t="shared" si="318"/>
        <v/>
      </c>
    </row>
    <row r="781" spans="2:72" x14ac:dyDescent="0.25">
      <c r="B781" s="60" t="str">
        <f t="shared" si="306"/>
        <v/>
      </c>
      <c r="C781" s="3" t="str">
        <f t="shared" si="308"/>
        <v/>
      </c>
      <c r="D781" s="3" t="str">
        <f t="shared" si="309"/>
        <v/>
      </c>
      <c r="E781" s="3" t="str">
        <f t="shared" si="310"/>
        <v/>
      </c>
      <c r="F781" s="3" t="str">
        <f t="shared" si="311"/>
        <v/>
      </c>
      <c r="G781" s="74" t="str">
        <f t="shared" si="312"/>
        <v/>
      </c>
      <c r="H781" s="78" t="str">
        <f>IFERROR(C781/SUM(M$2:M780),"")</f>
        <v/>
      </c>
      <c r="I781" s="61" t="str">
        <f>IFERROR(D781/SUM(N$2:N781),"")</f>
        <v/>
      </c>
      <c r="J781" s="61" t="str">
        <f>IFERROR(E781/SUM(O$2:O781),"")</f>
        <v/>
      </c>
      <c r="K781" s="61" t="str">
        <f>IFERROR(F781/SUM(P$2:P781),"")</f>
        <v/>
      </c>
      <c r="L781" s="79" t="str">
        <f>IFERROR(G781/SUM(Q$2:Q781),"")</f>
        <v/>
      </c>
      <c r="M781" s="64" t="str">
        <f t="shared" si="313"/>
        <v/>
      </c>
      <c r="N781" s="55" t="str">
        <f t="shared" si="314"/>
        <v/>
      </c>
      <c r="O781" s="55" t="str">
        <f t="shared" si="315"/>
        <v/>
      </c>
      <c r="P781" s="55" t="str">
        <f t="shared" si="316"/>
        <v/>
      </c>
      <c r="Q781" s="65" t="str">
        <f t="shared" si="317"/>
        <v/>
      </c>
      <c r="R781" s="67" t="str">
        <f t="shared" si="319"/>
        <v/>
      </c>
      <c r="S781" s="56" t="str">
        <f t="shared" si="320"/>
        <v/>
      </c>
      <c r="T781" s="56" t="str">
        <f t="shared" si="321"/>
        <v/>
      </c>
      <c r="U781" s="56" t="str">
        <f t="shared" si="322"/>
        <v/>
      </c>
      <c r="V781" s="68" t="str">
        <f t="shared" si="323"/>
        <v/>
      </c>
      <c r="W781" s="80" t="str">
        <f t="shared" si="324"/>
        <v/>
      </c>
      <c r="X781" s="81" t="str">
        <f t="shared" si="325"/>
        <v/>
      </c>
      <c r="Y781" s="81" t="str">
        <f t="shared" si="326"/>
        <v/>
      </c>
      <c r="Z781" s="81" t="str">
        <f t="shared" si="327"/>
        <v/>
      </c>
      <c r="AA781" s="82" t="str">
        <f t="shared" si="328"/>
        <v/>
      </c>
      <c r="AB781" s="83" t="str">
        <f>IF(R781&lt;&gt;"",(W781-SUMPRODUCT(R$3:R781,$B$3:$B781)/SUM($B$3:$B781))/STDEVA(W771:W781),"")</f>
        <v/>
      </c>
      <c r="AC781" s="84" t="str">
        <f>IF(S781&lt;&gt;"",(X781-SUMPRODUCT(S$3:S781,$B$3:$B781)/SUM($B$3:$B781))/STDEVA(X771:X781),"")</f>
        <v/>
      </c>
      <c r="AD781" s="84" t="str">
        <f>IF(T781&lt;&gt;"",(Y781-SUMPRODUCT(T$3:T781,$B$3:$B781)/SUM($B$3:$B781))/STDEVA(Y771:Y781),"")</f>
        <v/>
      </c>
      <c r="AE781" s="84" t="str">
        <f>IF(U781&lt;&gt;"",(Z781-SUMPRODUCT(U$3:U781,$B$3:$B781)/SUM($B$3:$B781))/STDEVA(Z771:Z781),"")</f>
        <v/>
      </c>
      <c r="AF781" s="85" t="str">
        <f>IF(V781&lt;&gt;"",(AA781-SUMPRODUCT(V$3:V781,$B$3:$B781)/SUM($B$3:$B781))/STDEVA(AA771:AA781),"")</f>
        <v/>
      </c>
      <c r="AG781" s="90" t="str">
        <f t="shared" si="304"/>
        <v/>
      </c>
      <c r="AH781" s="90" t="str">
        <f t="shared" si="304"/>
        <v/>
      </c>
      <c r="AI781" s="90" t="str">
        <f t="shared" si="304"/>
        <v/>
      </c>
      <c r="AJ781" s="90" t="str">
        <f t="shared" ref="AJ781:AK844" si="329">IF(AE781&lt;&gt;"",SUMPRODUCT(AE776:AE781,$B776:$B781)/SUM($B776:$B781),"")</f>
        <v/>
      </c>
      <c r="AK781" s="93" t="str">
        <f t="shared" si="305"/>
        <v/>
      </c>
      <c r="BQ781" s="100" t="str">
        <f>IF(A781&lt;&gt;"",(VLOOKUP(A781,MarketData!$D:$BP,MATCH($BQ$1,MarketData!$D$1:$EG$1,0),TRUE)/100/365+1)^(B781)*BQ780,"")</f>
        <v/>
      </c>
      <c r="BR781" s="98" t="str">
        <f t="shared" si="307"/>
        <v/>
      </c>
      <c r="BS781" s="106" t="str">
        <f>IF(A781&lt;&gt;"",VLOOKUP(A781,MarketData!$D:$BP,MATCH($BS$1,MarketData!$D$1:$EG$1,0),TRUE),"")</f>
        <v/>
      </c>
      <c r="BT781" s="98" t="str">
        <f t="shared" si="318"/>
        <v/>
      </c>
    </row>
    <row r="782" spans="2:72" x14ac:dyDescent="0.25">
      <c r="B782" s="60" t="str">
        <f t="shared" si="306"/>
        <v/>
      </c>
      <c r="C782" s="3" t="str">
        <f t="shared" si="308"/>
        <v/>
      </c>
      <c r="D782" s="3" t="str">
        <f t="shared" si="309"/>
        <v/>
      </c>
      <c r="E782" s="3" t="str">
        <f t="shared" si="310"/>
        <v/>
      </c>
      <c r="F782" s="3" t="str">
        <f t="shared" si="311"/>
        <v/>
      </c>
      <c r="G782" s="74" t="str">
        <f t="shared" si="312"/>
        <v/>
      </c>
      <c r="H782" s="78" t="str">
        <f>IFERROR(C782/SUM(M$2:M781),"")</f>
        <v/>
      </c>
      <c r="I782" s="61" t="str">
        <f>IFERROR(D782/SUM(N$2:N782),"")</f>
        <v/>
      </c>
      <c r="J782" s="61" t="str">
        <f>IFERROR(E782/SUM(O$2:O782),"")</f>
        <v/>
      </c>
      <c r="K782" s="61" t="str">
        <f>IFERROR(F782/SUM(P$2:P782),"")</f>
        <v/>
      </c>
      <c r="L782" s="79" t="str">
        <f>IFERROR(G782/SUM(Q$2:Q782),"")</f>
        <v/>
      </c>
      <c r="M782" s="64" t="str">
        <f t="shared" si="313"/>
        <v/>
      </c>
      <c r="N782" s="55" t="str">
        <f t="shared" si="314"/>
        <v/>
      </c>
      <c r="O782" s="55" t="str">
        <f t="shared" si="315"/>
        <v/>
      </c>
      <c r="P782" s="55" t="str">
        <f t="shared" si="316"/>
        <v/>
      </c>
      <c r="Q782" s="65" t="str">
        <f t="shared" si="317"/>
        <v/>
      </c>
      <c r="R782" s="67" t="str">
        <f t="shared" si="319"/>
        <v/>
      </c>
      <c r="S782" s="56" t="str">
        <f t="shared" si="320"/>
        <v/>
      </c>
      <c r="T782" s="56" t="str">
        <f t="shared" si="321"/>
        <v/>
      </c>
      <c r="U782" s="56" t="str">
        <f t="shared" si="322"/>
        <v/>
      </c>
      <c r="V782" s="68" t="str">
        <f t="shared" si="323"/>
        <v/>
      </c>
      <c r="W782" s="80" t="str">
        <f t="shared" si="324"/>
        <v/>
      </c>
      <c r="X782" s="81" t="str">
        <f t="shared" si="325"/>
        <v/>
      </c>
      <c r="Y782" s="81" t="str">
        <f t="shared" si="326"/>
        <v/>
      </c>
      <c r="Z782" s="81" t="str">
        <f t="shared" si="327"/>
        <v/>
      </c>
      <c r="AA782" s="82" t="str">
        <f t="shared" si="328"/>
        <v/>
      </c>
      <c r="AB782" s="83" t="str">
        <f>IF(R782&lt;&gt;"",(W782-SUMPRODUCT(R$3:R782,$B$3:$B782)/SUM($B$3:$B782))/STDEVA(W772:W782),"")</f>
        <v/>
      </c>
      <c r="AC782" s="84" t="str">
        <f>IF(S782&lt;&gt;"",(X782-SUMPRODUCT(S$3:S782,$B$3:$B782)/SUM($B$3:$B782))/STDEVA(X772:X782),"")</f>
        <v/>
      </c>
      <c r="AD782" s="84" t="str">
        <f>IF(T782&lt;&gt;"",(Y782-SUMPRODUCT(T$3:T782,$B$3:$B782)/SUM($B$3:$B782))/STDEVA(Y772:Y782),"")</f>
        <v/>
      </c>
      <c r="AE782" s="84" t="str">
        <f>IF(U782&lt;&gt;"",(Z782-SUMPRODUCT(U$3:U782,$B$3:$B782)/SUM($B$3:$B782))/STDEVA(Z772:Z782),"")</f>
        <v/>
      </c>
      <c r="AF782" s="85" t="str">
        <f>IF(V782&lt;&gt;"",(AA782-SUMPRODUCT(V$3:V782,$B$3:$B782)/SUM($B$3:$B782))/STDEVA(AA772:AA782),"")</f>
        <v/>
      </c>
      <c r="AG782" s="90" t="str">
        <f t="shared" ref="AG782:AK845" si="330">IF(AB782&lt;&gt;"",SUMPRODUCT(AB777:AB782,$B777:$B782)/SUM($B777:$B782),"")</f>
        <v/>
      </c>
      <c r="AH782" s="90" t="str">
        <f t="shared" si="330"/>
        <v/>
      </c>
      <c r="AI782" s="90" t="str">
        <f t="shared" si="330"/>
        <v/>
      </c>
      <c r="AJ782" s="90" t="str">
        <f t="shared" si="329"/>
        <v/>
      </c>
      <c r="AK782" s="93" t="str">
        <f t="shared" si="329"/>
        <v/>
      </c>
      <c r="BQ782" s="100" t="str">
        <f>IF(A782&lt;&gt;"",(VLOOKUP(A782,MarketData!$D:$BP,MATCH($BQ$1,MarketData!$D$1:$EG$1,0),TRUE)/100/365+1)^(B782)*BQ781,"")</f>
        <v/>
      </c>
      <c r="BR782" s="98" t="str">
        <f t="shared" si="307"/>
        <v/>
      </c>
      <c r="BS782" s="106" t="str">
        <f>IF(A782&lt;&gt;"",VLOOKUP(A782,MarketData!$D:$BP,MATCH($BS$1,MarketData!$D$1:$EG$1,0),TRUE),"")</f>
        <v/>
      </c>
      <c r="BT782" s="98" t="str">
        <f t="shared" si="318"/>
        <v/>
      </c>
    </row>
    <row r="783" spans="2:72" x14ac:dyDescent="0.25">
      <c r="B783" s="60" t="str">
        <f t="shared" si="306"/>
        <v/>
      </c>
      <c r="C783" s="3" t="str">
        <f t="shared" si="308"/>
        <v/>
      </c>
      <c r="D783" s="3" t="str">
        <f t="shared" si="309"/>
        <v/>
      </c>
      <c r="E783" s="3" t="str">
        <f t="shared" si="310"/>
        <v/>
      </c>
      <c r="F783" s="3" t="str">
        <f t="shared" si="311"/>
        <v/>
      </c>
      <c r="G783" s="74" t="str">
        <f t="shared" si="312"/>
        <v/>
      </c>
      <c r="H783" s="78" t="str">
        <f>IFERROR(C783/SUM(M$2:M782),"")</f>
        <v/>
      </c>
      <c r="I783" s="61" t="str">
        <f>IFERROR(D783/SUM(N$2:N783),"")</f>
        <v/>
      </c>
      <c r="J783" s="61" t="str">
        <f>IFERROR(E783/SUM(O$2:O783),"")</f>
        <v/>
      </c>
      <c r="K783" s="61" t="str">
        <f>IFERROR(F783/SUM(P$2:P783),"")</f>
        <v/>
      </c>
      <c r="L783" s="79" t="str">
        <f>IFERROR(G783/SUM(Q$2:Q783),"")</f>
        <v/>
      </c>
      <c r="M783" s="64" t="str">
        <f t="shared" si="313"/>
        <v/>
      </c>
      <c r="N783" s="55" t="str">
        <f t="shared" si="314"/>
        <v/>
      </c>
      <c r="O783" s="55" t="str">
        <f t="shared" si="315"/>
        <v/>
      </c>
      <c r="P783" s="55" t="str">
        <f t="shared" si="316"/>
        <v/>
      </c>
      <c r="Q783" s="65" t="str">
        <f t="shared" si="317"/>
        <v/>
      </c>
      <c r="R783" s="67" t="str">
        <f t="shared" si="319"/>
        <v/>
      </c>
      <c r="S783" s="56" t="str">
        <f t="shared" si="320"/>
        <v/>
      </c>
      <c r="T783" s="56" t="str">
        <f t="shared" si="321"/>
        <v/>
      </c>
      <c r="U783" s="56" t="str">
        <f t="shared" si="322"/>
        <v/>
      </c>
      <c r="V783" s="68" t="str">
        <f t="shared" si="323"/>
        <v/>
      </c>
      <c r="W783" s="80" t="str">
        <f t="shared" si="324"/>
        <v/>
      </c>
      <c r="X783" s="81" t="str">
        <f t="shared" si="325"/>
        <v/>
      </c>
      <c r="Y783" s="81" t="str">
        <f t="shared" si="326"/>
        <v/>
      </c>
      <c r="Z783" s="81" t="str">
        <f t="shared" si="327"/>
        <v/>
      </c>
      <c r="AA783" s="82" t="str">
        <f t="shared" si="328"/>
        <v/>
      </c>
      <c r="AB783" s="83" t="str">
        <f>IF(R783&lt;&gt;"",(W783-SUMPRODUCT(R$3:R783,$B$3:$B783)/SUM($B$3:$B783))/STDEVA(W773:W783),"")</f>
        <v/>
      </c>
      <c r="AC783" s="84" t="str">
        <f>IF(S783&lt;&gt;"",(X783-SUMPRODUCT(S$3:S783,$B$3:$B783)/SUM($B$3:$B783))/STDEVA(X773:X783),"")</f>
        <v/>
      </c>
      <c r="AD783" s="84" t="str">
        <f>IF(T783&lt;&gt;"",(Y783-SUMPRODUCT(T$3:T783,$B$3:$B783)/SUM($B$3:$B783))/STDEVA(Y773:Y783),"")</f>
        <v/>
      </c>
      <c r="AE783" s="84" t="str">
        <f>IF(U783&lt;&gt;"",(Z783-SUMPRODUCT(U$3:U783,$B$3:$B783)/SUM($B$3:$B783))/STDEVA(Z773:Z783),"")</f>
        <v/>
      </c>
      <c r="AF783" s="85" t="str">
        <f>IF(V783&lt;&gt;"",(AA783-SUMPRODUCT(V$3:V783,$B$3:$B783)/SUM($B$3:$B783))/STDEVA(AA773:AA783),"")</f>
        <v/>
      </c>
      <c r="AG783" s="90" t="str">
        <f t="shared" si="330"/>
        <v/>
      </c>
      <c r="AH783" s="90" t="str">
        <f t="shared" si="330"/>
        <v/>
      </c>
      <c r="AI783" s="90" t="str">
        <f t="shared" si="330"/>
        <v/>
      </c>
      <c r="AJ783" s="90" t="str">
        <f t="shared" si="329"/>
        <v/>
      </c>
      <c r="AK783" s="93" t="str">
        <f t="shared" si="329"/>
        <v/>
      </c>
      <c r="BQ783" s="100" t="str">
        <f>IF(A783&lt;&gt;"",(VLOOKUP(A783,MarketData!$D:$BP,MATCH($BQ$1,MarketData!$D$1:$EG$1,0),TRUE)/100/365+1)^(B783)*BQ782,"")</f>
        <v/>
      </c>
      <c r="BR783" s="98" t="str">
        <f t="shared" si="307"/>
        <v/>
      </c>
      <c r="BS783" s="106" t="str">
        <f>IF(A783&lt;&gt;"",VLOOKUP(A783,MarketData!$D:$BP,MATCH($BS$1,MarketData!$D$1:$EG$1,0),TRUE),"")</f>
        <v/>
      </c>
      <c r="BT783" s="98" t="str">
        <f t="shared" si="318"/>
        <v/>
      </c>
    </row>
    <row r="784" spans="2:72" x14ac:dyDescent="0.25">
      <c r="B784" s="60" t="str">
        <f t="shared" si="306"/>
        <v/>
      </c>
      <c r="C784" s="3" t="str">
        <f t="shared" si="308"/>
        <v/>
      </c>
      <c r="D784" s="3" t="str">
        <f t="shared" si="309"/>
        <v/>
      </c>
      <c r="E784" s="3" t="str">
        <f t="shared" si="310"/>
        <v/>
      </c>
      <c r="F784" s="3" t="str">
        <f t="shared" si="311"/>
        <v/>
      </c>
      <c r="G784" s="74" t="str">
        <f t="shared" si="312"/>
        <v/>
      </c>
      <c r="H784" s="78" t="str">
        <f>IFERROR(C784/SUM(M$2:M783),"")</f>
        <v/>
      </c>
      <c r="I784" s="61" t="str">
        <f>IFERROR(D784/SUM(N$2:N784),"")</f>
        <v/>
      </c>
      <c r="J784" s="61" t="str">
        <f>IFERROR(E784/SUM(O$2:O784),"")</f>
        <v/>
      </c>
      <c r="K784" s="61" t="str">
        <f>IFERROR(F784/SUM(P$2:P784),"")</f>
        <v/>
      </c>
      <c r="L784" s="79" t="str">
        <f>IFERROR(G784/SUM(Q$2:Q784),"")</f>
        <v/>
      </c>
      <c r="M784" s="64" t="str">
        <f t="shared" si="313"/>
        <v/>
      </c>
      <c r="N784" s="55" t="str">
        <f t="shared" si="314"/>
        <v/>
      </c>
      <c r="O784" s="55" t="str">
        <f t="shared" si="315"/>
        <v/>
      </c>
      <c r="P784" s="55" t="str">
        <f t="shared" si="316"/>
        <v/>
      </c>
      <c r="Q784" s="65" t="str">
        <f t="shared" si="317"/>
        <v/>
      </c>
      <c r="R784" s="67" t="str">
        <f t="shared" si="319"/>
        <v/>
      </c>
      <c r="S784" s="56" t="str">
        <f t="shared" si="320"/>
        <v/>
      </c>
      <c r="T784" s="56" t="str">
        <f t="shared" si="321"/>
        <v/>
      </c>
      <c r="U784" s="56" t="str">
        <f t="shared" si="322"/>
        <v/>
      </c>
      <c r="V784" s="68" t="str">
        <f t="shared" si="323"/>
        <v/>
      </c>
      <c r="W784" s="80" t="str">
        <f t="shared" si="324"/>
        <v/>
      </c>
      <c r="X784" s="81" t="str">
        <f t="shared" si="325"/>
        <v/>
      </c>
      <c r="Y784" s="81" t="str">
        <f t="shared" si="326"/>
        <v/>
      </c>
      <c r="Z784" s="81" t="str">
        <f t="shared" si="327"/>
        <v/>
      </c>
      <c r="AA784" s="82" t="str">
        <f t="shared" si="328"/>
        <v/>
      </c>
      <c r="AB784" s="83" t="str">
        <f>IF(R784&lt;&gt;"",(W784-SUMPRODUCT(R$3:R784,$B$3:$B784)/SUM($B$3:$B784))/STDEVA(W774:W784),"")</f>
        <v/>
      </c>
      <c r="AC784" s="84" t="str">
        <f>IF(S784&lt;&gt;"",(X784-SUMPRODUCT(S$3:S784,$B$3:$B784)/SUM($B$3:$B784))/STDEVA(X774:X784),"")</f>
        <v/>
      </c>
      <c r="AD784" s="84" t="str">
        <f>IF(T784&lt;&gt;"",(Y784-SUMPRODUCT(T$3:T784,$B$3:$B784)/SUM($B$3:$B784))/STDEVA(Y774:Y784),"")</f>
        <v/>
      </c>
      <c r="AE784" s="84" t="str">
        <f>IF(U784&lt;&gt;"",(Z784-SUMPRODUCT(U$3:U784,$B$3:$B784)/SUM($B$3:$B784))/STDEVA(Z774:Z784),"")</f>
        <v/>
      </c>
      <c r="AF784" s="85" t="str">
        <f>IF(V784&lt;&gt;"",(AA784-SUMPRODUCT(V$3:V784,$B$3:$B784)/SUM($B$3:$B784))/STDEVA(AA774:AA784),"")</f>
        <v/>
      </c>
      <c r="AG784" s="90" t="str">
        <f t="shared" si="330"/>
        <v/>
      </c>
      <c r="AH784" s="90" t="str">
        <f t="shared" si="330"/>
        <v/>
      </c>
      <c r="AI784" s="90" t="str">
        <f t="shared" si="330"/>
        <v/>
      </c>
      <c r="AJ784" s="90" t="str">
        <f t="shared" si="329"/>
        <v/>
      </c>
      <c r="AK784" s="93" t="str">
        <f t="shared" si="329"/>
        <v/>
      </c>
      <c r="BQ784" s="100" t="str">
        <f>IF(A784&lt;&gt;"",(VLOOKUP(A784,MarketData!$D:$BP,MATCH($BQ$1,MarketData!$D$1:$EG$1,0),TRUE)/100/365+1)^(B784)*BQ783,"")</f>
        <v/>
      </c>
      <c r="BR784" s="98" t="str">
        <f t="shared" si="307"/>
        <v/>
      </c>
      <c r="BS784" s="106" t="str">
        <f>IF(A784&lt;&gt;"",VLOOKUP(A784,MarketData!$D:$BP,MATCH($BS$1,MarketData!$D$1:$EG$1,0),TRUE),"")</f>
        <v/>
      </c>
      <c r="BT784" s="98" t="str">
        <f t="shared" si="318"/>
        <v/>
      </c>
    </row>
    <row r="785" spans="2:72" x14ac:dyDescent="0.25">
      <c r="B785" s="60" t="str">
        <f t="shared" si="306"/>
        <v/>
      </c>
      <c r="C785" s="3" t="str">
        <f t="shared" si="308"/>
        <v/>
      </c>
      <c r="D785" s="3" t="str">
        <f t="shared" si="309"/>
        <v/>
      </c>
      <c r="E785" s="3" t="str">
        <f t="shared" si="310"/>
        <v/>
      </c>
      <c r="F785" s="3" t="str">
        <f t="shared" si="311"/>
        <v/>
      </c>
      <c r="G785" s="74" t="str">
        <f t="shared" si="312"/>
        <v/>
      </c>
      <c r="H785" s="78" t="str">
        <f>IFERROR(C785/SUM(M$2:M784),"")</f>
        <v/>
      </c>
      <c r="I785" s="61" t="str">
        <f>IFERROR(D785/SUM(N$2:N785),"")</f>
        <v/>
      </c>
      <c r="J785" s="61" t="str">
        <f>IFERROR(E785/SUM(O$2:O785),"")</f>
        <v/>
      </c>
      <c r="K785" s="61" t="str">
        <f>IFERROR(F785/SUM(P$2:P785),"")</f>
        <v/>
      </c>
      <c r="L785" s="79" t="str">
        <f>IFERROR(G785/SUM(Q$2:Q785),"")</f>
        <v/>
      </c>
      <c r="M785" s="64" t="str">
        <f t="shared" si="313"/>
        <v/>
      </c>
      <c r="N785" s="55" t="str">
        <f t="shared" si="314"/>
        <v/>
      </c>
      <c r="O785" s="55" t="str">
        <f t="shared" si="315"/>
        <v/>
      </c>
      <c r="P785" s="55" t="str">
        <f t="shared" si="316"/>
        <v/>
      </c>
      <c r="Q785" s="65" t="str">
        <f t="shared" si="317"/>
        <v/>
      </c>
      <c r="R785" s="67" t="str">
        <f t="shared" si="319"/>
        <v/>
      </c>
      <c r="S785" s="56" t="str">
        <f t="shared" si="320"/>
        <v/>
      </c>
      <c r="T785" s="56" t="str">
        <f t="shared" si="321"/>
        <v/>
      </c>
      <c r="U785" s="56" t="str">
        <f t="shared" si="322"/>
        <v/>
      </c>
      <c r="V785" s="68" t="str">
        <f t="shared" si="323"/>
        <v/>
      </c>
      <c r="W785" s="80" t="str">
        <f t="shared" si="324"/>
        <v/>
      </c>
      <c r="X785" s="81" t="str">
        <f t="shared" si="325"/>
        <v/>
      </c>
      <c r="Y785" s="81" t="str">
        <f t="shared" si="326"/>
        <v/>
      </c>
      <c r="Z785" s="81" t="str">
        <f t="shared" si="327"/>
        <v/>
      </c>
      <c r="AA785" s="82" t="str">
        <f t="shared" si="328"/>
        <v/>
      </c>
      <c r="AB785" s="83" t="str">
        <f>IF(R785&lt;&gt;"",(W785-SUMPRODUCT(R$3:R785,$B$3:$B785)/SUM($B$3:$B785))/STDEVA(W775:W785),"")</f>
        <v/>
      </c>
      <c r="AC785" s="84" t="str">
        <f>IF(S785&lt;&gt;"",(X785-SUMPRODUCT(S$3:S785,$B$3:$B785)/SUM($B$3:$B785))/STDEVA(X775:X785),"")</f>
        <v/>
      </c>
      <c r="AD785" s="84" t="str">
        <f>IF(T785&lt;&gt;"",(Y785-SUMPRODUCT(T$3:T785,$B$3:$B785)/SUM($B$3:$B785))/STDEVA(Y775:Y785),"")</f>
        <v/>
      </c>
      <c r="AE785" s="84" t="str">
        <f>IF(U785&lt;&gt;"",(Z785-SUMPRODUCT(U$3:U785,$B$3:$B785)/SUM($B$3:$B785))/STDEVA(Z775:Z785),"")</f>
        <v/>
      </c>
      <c r="AF785" s="85" t="str">
        <f>IF(V785&lt;&gt;"",(AA785-SUMPRODUCT(V$3:V785,$B$3:$B785)/SUM($B$3:$B785))/STDEVA(AA775:AA785),"")</f>
        <v/>
      </c>
      <c r="AG785" s="90" t="str">
        <f t="shared" si="330"/>
        <v/>
      </c>
      <c r="AH785" s="90" t="str">
        <f t="shared" si="330"/>
        <v/>
      </c>
      <c r="AI785" s="90" t="str">
        <f t="shared" si="330"/>
        <v/>
      </c>
      <c r="AJ785" s="90" t="str">
        <f t="shared" si="329"/>
        <v/>
      </c>
      <c r="AK785" s="93" t="str">
        <f t="shared" si="329"/>
        <v/>
      </c>
      <c r="BQ785" s="100" t="str">
        <f>IF(A785&lt;&gt;"",(VLOOKUP(A785,MarketData!$D:$BP,MATCH($BQ$1,MarketData!$D$1:$EG$1,0),TRUE)/100/365+1)^(B785)*BQ784,"")</f>
        <v/>
      </c>
      <c r="BR785" s="98" t="str">
        <f t="shared" si="307"/>
        <v/>
      </c>
      <c r="BS785" s="106" t="str">
        <f>IF(A785&lt;&gt;"",VLOOKUP(A785,MarketData!$D:$BP,MATCH($BS$1,MarketData!$D$1:$EG$1,0),TRUE),"")</f>
        <v/>
      </c>
      <c r="BT785" s="98" t="str">
        <f t="shared" si="318"/>
        <v/>
      </c>
    </row>
    <row r="786" spans="2:72" x14ac:dyDescent="0.25">
      <c r="B786" s="60" t="str">
        <f t="shared" si="306"/>
        <v/>
      </c>
      <c r="C786" s="3" t="str">
        <f t="shared" si="308"/>
        <v/>
      </c>
      <c r="D786" s="3" t="str">
        <f t="shared" si="309"/>
        <v/>
      </c>
      <c r="E786" s="3" t="str">
        <f t="shared" si="310"/>
        <v/>
      </c>
      <c r="F786" s="3" t="str">
        <f t="shared" si="311"/>
        <v/>
      </c>
      <c r="G786" s="74" t="str">
        <f t="shared" si="312"/>
        <v/>
      </c>
      <c r="H786" s="78" t="str">
        <f>IFERROR(C786/SUM(M$2:M785),"")</f>
        <v/>
      </c>
      <c r="I786" s="61" t="str">
        <f>IFERROR(D786/SUM(N$2:N786),"")</f>
        <v/>
      </c>
      <c r="J786" s="61" t="str">
        <f>IFERROR(E786/SUM(O$2:O786),"")</f>
        <v/>
      </c>
      <c r="K786" s="61" t="str">
        <f>IFERROR(F786/SUM(P$2:P786),"")</f>
        <v/>
      </c>
      <c r="L786" s="79" t="str">
        <f>IFERROR(G786/SUM(Q$2:Q786),"")</f>
        <v/>
      </c>
      <c r="M786" s="64" t="str">
        <f t="shared" si="313"/>
        <v/>
      </c>
      <c r="N786" s="55" t="str">
        <f t="shared" si="314"/>
        <v/>
      </c>
      <c r="O786" s="55" t="str">
        <f t="shared" si="315"/>
        <v/>
      </c>
      <c r="P786" s="55" t="str">
        <f t="shared" si="316"/>
        <v/>
      </c>
      <c r="Q786" s="65" t="str">
        <f t="shared" si="317"/>
        <v/>
      </c>
      <c r="R786" s="67" t="str">
        <f t="shared" si="319"/>
        <v/>
      </c>
      <c r="S786" s="56" t="str">
        <f t="shared" si="320"/>
        <v/>
      </c>
      <c r="T786" s="56" t="str">
        <f t="shared" si="321"/>
        <v/>
      </c>
      <c r="U786" s="56" t="str">
        <f t="shared" si="322"/>
        <v/>
      </c>
      <c r="V786" s="68" t="str">
        <f t="shared" si="323"/>
        <v/>
      </c>
      <c r="W786" s="80" t="str">
        <f t="shared" si="324"/>
        <v/>
      </c>
      <c r="X786" s="81" t="str">
        <f t="shared" si="325"/>
        <v/>
      </c>
      <c r="Y786" s="81" t="str">
        <f t="shared" si="326"/>
        <v/>
      </c>
      <c r="Z786" s="81" t="str">
        <f t="shared" si="327"/>
        <v/>
      </c>
      <c r="AA786" s="82" t="str">
        <f t="shared" si="328"/>
        <v/>
      </c>
      <c r="AB786" s="83" t="str">
        <f>IF(R786&lt;&gt;"",(W786-SUMPRODUCT(R$3:R786,$B$3:$B786)/SUM($B$3:$B786))/STDEVA(W776:W786),"")</f>
        <v/>
      </c>
      <c r="AC786" s="84" t="str">
        <f>IF(S786&lt;&gt;"",(X786-SUMPRODUCT(S$3:S786,$B$3:$B786)/SUM($B$3:$B786))/STDEVA(X776:X786),"")</f>
        <v/>
      </c>
      <c r="AD786" s="84" t="str">
        <f>IF(T786&lt;&gt;"",(Y786-SUMPRODUCT(T$3:T786,$B$3:$B786)/SUM($B$3:$B786))/STDEVA(Y776:Y786),"")</f>
        <v/>
      </c>
      <c r="AE786" s="84" t="str">
        <f>IF(U786&lt;&gt;"",(Z786-SUMPRODUCT(U$3:U786,$B$3:$B786)/SUM($B$3:$B786))/STDEVA(Z776:Z786),"")</f>
        <v/>
      </c>
      <c r="AF786" s="85" t="str">
        <f>IF(V786&lt;&gt;"",(AA786-SUMPRODUCT(V$3:V786,$B$3:$B786)/SUM($B$3:$B786))/STDEVA(AA776:AA786),"")</f>
        <v/>
      </c>
      <c r="AG786" s="90" t="str">
        <f t="shared" si="330"/>
        <v/>
      </c>
      <c r="AH786" s="90" t="str">
        <f t="shared" si="330"/>
        <v/>
      </c>
      <c r="AI786" s="90" t="str">
        <f t="shared" si="330"/>
        <v/>
      </c>
      <c r="AJ786" s="90" t="str">
        <f t="shared" si="329"/>
        <v/>
      </c>
      <c r="AK786" s="93" t="str">
        <f t="shared" si="329"/>
        <v/>
      </c>
      <c r="BQ786" s="100" t="str">
        <f>IF(A786&lt;&gt;"",(VLOOKUP(A786,MarketData!$D:$BP,MATCH($BQ$1,MarketData!$D$1:$EG$1,0),TRUE)/100/365+1)^(B786)*BQ785,"")</f>
        <v/>
      </c>
      <c r="BR786" s="98" t="str">
        <f t="shared" si="307"/>
        <v/>
      </c>
      <c r="BS786" s="106" t="str">
        <f>IF(A786&lt;&gt;"",VLOOKUP(A786,MarketData!$D:$BP,MATCH($BS$1,MarketData!$D$1:$EG$1,0),TRUE),"")</f>
        <v/>
      </c>
      <c r="BT786" s="98" t="str">
        <f t="shared" si="318"/>
        <v/>
      </c>
    </row>
    <row r="787" spans="2:72" x14ac:dyDescent="0.25">
      <c r="B787" s="60" t="str">
        <f t="shared" si="306"/>
        <v/>
      </c>
      <c r="C787" s="3" t="str">
        <f t="shared" si="308"/>
        <v/>
      </c>
      <c r="D787" s="3" t="str">
        <f t="shared" si="309"/>
        <v/>
      </c>
      <c r="E787" s="3" t="str">
        <f t="shared" si="310"/>
        <v/>
      </c>
      <c r="F787" s="3" t="str">
        <f t="shared" si="311"/>
        <v/>
      </c>
      <c r="G787" s="74" t="str">
        <f t="shared" si="312"/>
        <v/>
      </c>
      <c r="H787" s="78" t="str">
        <f>IFERROR(C787/SUM(M$2:M786),"")</f>
        <v/>
      </c>
      <c r="I787" s="61" t="str">
        <f>IFERROR(D787/SUM(N$2:N787),"")</f>
        <v/>
      </c>
      <c r="J787" s="61" t="str">
        <f>IFERROR(E787/SUM(O$2:O787),"")</f>
        <v/>
      </c>
      <c r="K787" s="61" t="str">
        <f>IFERROR(F787/SUM(P$2:P787),"")</f>
        <v/>
      </c>
      <c r="L787" s="79" t="str">
        <f>IFERROR(G787/SUM(Q$2:Q787),"")</f>
        <v/>
      </c>
      <c r="M787" s="64" t="str">
        <f t="shared" si="313"/>
        <v/>
      </c>
      <c r="N787" s="55" t="str">
        <f t="shared" si="314"/>
        <v/>
      </c>
      <c r="O787" s="55" t="str">
        <f t="shared" si="315"/>
        <v/>
      </c>
      <c r="P787" s="55" t="str">
        <f t="shared" si="316"/>
        <v/>
      </c>
      <c r="Q787" s="65" t="str">
        <f t="shared" si="317"/>
        <v/>
      </c>
      <c r="R787" s="67" t="str">
        <f t="shared" si="319"/>
        <v/>
      </c>
      <c r="S787" s="56" t="str">
        <f t="shared" si="320"/>
        <v/>
      </c>
      <c r="T787" s="56" t="str">
        <f t="shared" si="321"/>
        <v/>
      </c>
      <c r="U787" s="56" t="str">
        <f t="shared" si="322"/>
        <v/>
      </c>
      <c r="V787" s="68" t="str">
        <f t="shared" si="323"/>
        <v/>
      </c>
      <c r="W787" s="80" t="str">
        <f t="shared" si="324"/>
        <v/>
      </c>
      <c r="X787" s="81" t="str">
        <f t="shared" si="325"/>
        <v/>
      </c>
      <c r="Y787" s="81" t="str">
        <f t="shared" si="326"/>
        <v/>
      </c>
      <c r="Z787" s="81" t="str">
        <f t="shared" si="327"/>
        <v/>
      </c>
      <c r="AA787" s="82" t="str">
        <f t="shared" si="328"/>
        <v/>
      </c>
      <c r="AB787" s="83" t="str">
        <f>IF(R787&lt;&gt;"",(W787-SUMPRODUCT(R$3:R787,$B$3:$B787)/SUM($B$3:$B787))/STDEVA(W777:W787),"")</f>
        <v/>
      </c>
      <c r="AC787" s="84" t="str">
        <f>IF(S787&lt;&gt;"",(X787-SUMPRODUCT(S$3:S787,$B$3:$B787)/SUM($B$3:$B787))/STDEVA(X777:X787),"")</f>
        <v/>
      </c>
      <c r="AD787" s="84" t="str">
        <f>IF(T787&lt;&gt;"",(Y787-SUMPRODUCT(T$3:T787,$B$3:$B787)/SUM($B$3:$B787))/STDEVA(Y777:Y787),"")</f>
        <v/>
      </c>
      <c r="AE787" s="84" t="str">
        <f>IF(U787&lt;&gt;"",(Z787-SUMPRODUCT(U$3:U787,$B$3:$B787)/SUM($B$3:$B787))/STDEVA(Z777:Z787),"")</f>
        <v/>
      </c>
      <c r="AF787" s="85" t="str">
        <f>IF(V787&lt;&gt;"",(AA787-SUMPRODUCT(V$3:V787,$B$3:$B787)/SUM($B$3:$B787))/STDEVA(AA777:AA787),"")</f>
        <v/>
      </c>
      <c r="AG787" s="90" t="str">
        <f t="shared" si="330"/>
        <v/>
      </c>
      <c r="AH787" s="90" t="str">
        <f t="shared" si="330"/>
        <v/>
      </c>
      <c r="AI787" s="90" t="str">
        <f t="shared" si="330"/>
        <v/>
      </c>
      <c r="AJ787" s="90" t="str">
        <f t="shared" si="329"/>
        <v/>
      </c>
      <c r="AK787" s="93" t="str">
        <f t="shared" si="329"/>
        <v/>
      </c>
      <c r="BQ787" s="100" t="str">
        <f>IF(A787&lt;&gt;"",(VLOOKUP(A787,MarketData!$D:$BP,MATCH($BQ$1,MarketData!$D$1:$EG$1,0),TRUE)/100/365+1)^(B787)*BQ786,"")</f>
        <v/>
      </c>
      <c r="BR787" s="98" t="str">
        <f t="shared" si="307"/>
        <v/>
      </c>
      <c r="BS787" s="106" t="str">
        <f>IF(A787&lt;&gt;"",VLOOKUP(A787,MarketData!$D:$BP,MATCH($BS$1,MarketData!$D$1:$EG$1,0),TRUE),"")</f>
        <v/>
      </c>
      <c r="BT787" s="98" t="str">
        <f t="shared" si="318"/>
        <v/>
      </c>
    </row>
    <row r="788" spans="2:72" x14ac:dyDescent="0.25">
      <c r="B788" s="60" t="str">
        <f t="shared" si="306"/>
        <v/>
      </c>
      <c r="C788" s="3" t="str">
        <f t="shared" si="308"/>
        <v/>
      </c>
      <c r="D788" s="3" t="str">
        <f t="shared" si="309"/>
        <v/>
      </c>
      <c r="E788" s="3" t="str">
        <f t="shared" si="310"/>
        <v/>
      </c>
      <c r="F788" s="3" t="str">
        <f t="shared" si="311"/>
        <v/>
      </c>
      <c r="G788" s="74" t="str">
        <f t="shared" si="312"/>
        <v/>
      </c>
      <c r="H788" s="78" t="str">
        <f>IFERROR(C788/SUM(M$2:M787),"")</f>
        <v/>
      </c>
      <c r="I788" s="61" t="str">
        <f>IFERROR(D788/SUM(N$2:N788),"")</f>
        <v/>
      </c>
      <c r="J788" s="61" t="str">
        <f>IFERROR(E788/SUM(O$2:O788),"")</f>
        <v/>
      </c>
      <c r="K788" s="61" t="str">
        <f>IFERROR(F788/SUM(P$2:P788),"")</f>
        <v/>
      </c>
      <c r="L788" s="79" t="str">
        <f>IFERROR(G788/SUM(Q$2:Q788),"")</f>
        <v/>
      </c>
      <c r="M788" s="64" t="str">
        <f t="shared" si="313"/>
        <v/>
      </c>
      <c r="N788" s="55" t="str">
        <f t="shared" si="314"/>
        <v/>
      </c>
      <c r="O788" s="55" t="str">
        <f t="shared" si="315"/>
        <v/>
      </c>
      <c r="P788" s="55" t="str">
        <f t="shared" si="316"/>
        <v/>
      </c>
      <c r="Q788" s="65" t="str">
        <f t="shared" si="317"/>
        <v/>
      </c>
      <c r="R788" s="67" t="str">
        <f t="shared" si="319"/>
        <v/>
      </c>
      <c r="S788" s="56" t="str">
        <f t="shared" si="320"/>
        <v/>
      </c>
      <c r="T788" s="56" t="str">
        <f t="shared" si="321"/>
        <v/>
      </c>
      <c r="U788" s="56" t="str">
        <f t="shared" si="322"/>
        <v/>
      </c>
      <c r="V788" s="68" t="str">
        <f t="shared" si="323"/>
        <v/>
      </c>
      <c r="W788" s="80" t="str">
        <f t="shared" si="324"/>
        <v/>
      </c>
      <c r="X788" s="81" t="str">
        <f t="shared" si="325"/>
        <v/>
      </c>
      <c r="Y788" s="81" t="str">
        <f t="shared" si="326"/>
        <v/>
      </c>
      <c r="Z788" s="81" t="str">
        <f t="shared" si="327"/>
        <v/>
      </c>
      <c r="AA788" s="82" t="str">
        <f t="shared" si="328"/>
        <v/>
      </c>
      <c r="AB788" s="83" t="str">
        <f>IF(R788&lt;&gt;"",(W788-SUMPRODUCT(R$3:R788,$B$3:$B788)/SUM($B$3:$B788))/STDEVA(W778:W788),"")</f>
        <v/>
      </c>
      <c r="AC788" s="84" t="str">
        <f>IF(S788&lt;&gt;"",(X788-SUMPRODUCT(S$3:S788,$B$3:$B788)/SUM($B$3:$B788))/STDEVA(X778:X788),"")</f>
        <v/>
      </c>
      <c r="AD788" s="84" t="str">
        <f>IF(T788&lt;&gt;"",(Y788-SUMPRODUCT(T$3:T788,$B$3:$B788)/SUM($B$3:$B788))/STDEVA(Y778:Y788),"")</f>
        <v/>
      </c>
      <c r="AE788" s="84" t="str">
        <f>IF(U788&lt;&gt;"",(Z788-SUMPRODUCT(U$3:U788,$B$3:$B788)/SUM($B$3:$B788))/STDEVA(Z778:Z788),"")</f>
        <v/>
      </c>
      <c r="AF788" s="85" t="str">
        <f>IF(V788&lt;&gt;"",(AA788-SUMPRODUCT(V$3:V788,$B$3:$B788)/SUM($B$3:$B788))/STDEVA(AA778:AA788),"")</f>
        <v/>
      </c>
      <c r="AG788" s="90" t="str">
        <f t="shared" si="330"/>
        <v/>
      </c>
      <c r="AH788" s="90" t="str">
        <f t="shared" si="330"/>
        <v/>
      </c>
      <c r="AI788" s="90" t="str">
        <f t="shared" si="330"/>
        <v/>
      </c>
      <c r="AJ788" s="90" t="str">
        <f t="shared" si="329"/>
        <v/>
      </c>
      <c r="AK788" s="93" t="str">
        <f t="shared" si="329"/>
        <v/>
      </c>
      <c r="BQ788" s="100" t="str">
        <f>IF(A788&lt;&gt;"",(VLOOKUP(A788,MarketData!$D:$BP,MATCH($BQ$1,MarketData!$D$1:$EG$1,0),TRUE)/100/365+1)^(B788)*BQ787,"")</f>
        <v/>
      </c>
      <c r="BR788" s="98" t="str">
        <f t="shared" si="307"/>
        <v/>
      </c>
      <c r="BS788" s="106" t="str">
        <f>IF(A788&lt;&gt;"",VLOOKUP(A788,MarketData!$D:$BP,MATCH($BS$1,MarketData!$D$1:$EG$1,0),TRUE),"")</f>
        <v/>
      </c>
      <c r="BT788" s="98" t="str">
        <f t="shared" si="318"/>
        <v/>
      </c>
    </row>
    <row r="789" spans="2:72" x14ac:dyDescent="0.25">
      <c r="B789" s="60" t="str">
        <f t="shared" si="306"/>
        <v/>
      </c>
      <c r="C789" s="3" t="str">
        <f t="shared" si="308"/>
        <v/>
      </c>
      <c r="D789" s="3" t="str">
        <f t="shared" si="309"/>
        <v/>
      </c>
      <c r="E789" s="3" t="str">
        <f t="shared" si="310"/>
        <v/>
      </c>
      <c r="F789" s="3" t="str">
        <f t="shared" si="311"/>
        <v/>
      </c>
      <c r="G789" s="74" t="str">
        <f t="shared" si="312"/>
        <v/>
      </c>
      <c r="H789" s="78" t="str">
        <f>IFERROR(C789/SUM(M$2:M788),"")</f>
        <v/>
      </c>
      <c r="I789" s="61" t="str">
        <f>IFERROR(D789/SUM(N$2:N789),"")</f>
        <v/>
      </c>
      <c r="J789" s="61" t="str">
        <f>IFERROR(E789/SUM(O$2:O789),"")</f>
        <v/>
      </c>
      <c r="K789" s="61" t="str">
        <f>IFERROR(F789/SUM(P$2:P789),"")</f>
        <v/>
      </c>
      <c r="L789" s="79" t="str">
        <f>IFERROR(G789/SUM(Q$2:Q789),"")</f>
        <v/>
      </c>
      <c r="M789" s="64" t="str">
        <f t="shared" si="313"/>
        <v/>
      </c>
      <c r="N789" s="55" t="str">
        <f t="shared" si="314"/>
        <v/>
      </c>
      <c r="O789" s="55" t="str">
        <f t="shared" si="315"/>
        <v/>
      </c>
      <c r="P789" s="55" t="str">
        <f t="shared" si="316"/>
        <v/>
      </c>
      <c r="Q789" s="65" t="str">
        <f t="shared" si="317"/>
        <v/>
      </c>
      <c r="R789" s="67" t="str">
        <f t="shared" si="319"/>
        <v/>
      </c>
      <c r="S789" s="56" t="str">
        <f t="shared" si="320"/>
        <v/>
      </c>
      <c r="T789" s="56" t="str">
        <f t="shared" si="321"/>
        <v/>
      </c>
      <c r="U789" s="56" t="str">
        <f t="shared" si="322"/>
        <v/>
      </c>
      <c r="V789" s="68" t="str">
        <f t="shared" si="323"/>
        <v/>
      </c>
      <c r="W789" s="80" t="str">
        <f t="shared" si="324"/>
        <v/>
      </c>
      <c r="X789" s="81" t="str">
        <f t="shared" si="325"/>
        <v/>
      </c>
      <c r="Y789" s="81" t="str">
        <f t="shared" si="326"/>
        <v/>
      </c>
      <c r="Z789" s="81" t="str">
        <f t="shared" si="327"/>
        <v/>
      </c>
      <c r="AA789" s="82" t="str">
        <f t="shared" si="328"/>
        <v/>
      </c>
      <c r="AB789" s="83" t="str">
        <f>IF(R789&lt;&gt;"",(W789-SUMPRODUCT(R$3:R789,$B$3:$B789)/SUM($B$3:$B789))/STDEVA(W779:W789),"")</f>
        <v/>
      </c>
      <c r="AC789" s="84" t="str">
        <f>IF(S789&lt;&gt;"",(X789-SUMPRODUCT(S$3:S789,$B$3:$B789)/SUM($B$3:$B789))/STDEVA(X779:X789),"")</f>
        <v/>
      </c>
      <c r="AD789" s="84" t="str">
        <f>IF(T789&lt;&gt;"",(Y789-SUMPRODUCT(T$3:T789,$B$3:$B789)/SUM($B$3:$B789))/STDEVA(Y779:Y789),"")</f>
        <v/>
      </c>
      <c r="AE789" s="84" t="str">
        <f>IF(U789&lt;&gt;"",(Z789-SUMPRODUCT(U$3:U789,$B$3:$B789)/SUM($B$3:$B789))/STDEVA(Z779:Z789),"")</f>
        <v/>
      </c>
      <c r="AF789" s="85" t="str">
        <f>IF(V789&lt;&gt;"",(AA789-SUMPRODUCT(V$3:V789,$B$3:$B789)/SUM($B$3:$B789))/STDEVA(AA779:AA789),"")</f>
        <v/>
      </c>
      <c r="AG789" s="90" t="str">
        <f t="shared" si="330"/>
        <v/>
      </c>
      <c r="AH789" s="90" t="str">
        <f t="shared" si="330"/>
        <v/>
      </c>
      <c r="AI789" s="90" t="str">
        <f t="shared" si="330"/>
        <v/>
      </c>
      <c r="AJ789" s="90" t="str">
        <f t="shared" si="329"/>
        <v/>
      </c>
      <c r="AK789" s="93" t="str">
        <f t="shared" si="329"/>
        <v/>
      </c>
      <c r="BQ789" s="100" t="str">
        <f>IF(A789&lt;&gt;"",(VLOOKUP(A789,MarketData!$D:$BP,MATCH($BQ$1,MarketData!$D$1:$EG$1,0),TRUE)/100/365+1)^(B789)*BQ788,"")</f>
        <v/>
      </c>
      <c r="BR789" s="98" t="str">
        <f t="shared" si="307"/>
        <v/>
      </c>
      <c r="BS789" s="106" t="str">
        <f>IF(A789&lt;&gt;"",VLOOKUP(A789,MarketData!$D:$BP,MATCH($BS$1,MarketData!$D$1:$EG$1,0),TRUE),"")</f>
        <v/>
      </c>
      <c r="BT789" s="98" t="str">
        <f t="shared" si="318"/>
        <v/>
      </c>
    </row>
    <row r="790" spans="2:72" x14ac:dyDescent="0.25">
      <c r="B790" s="60" t="str">
        <f t="shared" si="306"/>
        <v/>
      </c>
      <c r="C790" s="3" t="str">
        <f t="shared" si="308"/>
        <v/>
      </c>
      <c r="D790" s="3" t="str">
        <f t="shared" si="309"/>
        <v/>
      </c>
      <c r="E790" s="3" t="str">
        <f t="shared" si="310"/>
        <v/>
      </c>
      <c r="F790" s="3" t="str">
        <f t="shared" si="311"/>
        <v/>
      </c>
      <c r="G790" s="74" t="str">
        <f t="shared" si="312"/>
        <v/>
      </c>
      <c r="H790" s="78" t="str">
        <f>IFERROR(C790/SUM(M$2:M789),"")</f>
        <v/>
      </c>
      <c r="I790" s="61" t="str">
        <f>IFERROR(D790/SUM(N$2:N790),"")</f>
        <v/>
      </c>
      <c r="J790" s="61" t="str">
        <f>IFERROR(E790/SUM(O$2:O790),"")</f>
        <v/>
      </c>
      <c r="K790" s="61" t="str">
        <f>IFERROR(F790/SUM(P$2:P790),"")</f>
        <v/>
      </c>
      <c r="L790" s="79" t="str">
        <f>IFERROR(G790/SUM(Q$2:Q790),"")</f>
        <v/>
      </c>
      <c r="M790" s="64" t="str">
        <f t="shared" si="313"/>
        <v/>
      </c>
      <c r="N790" s="55" t="str">
        <f t="shared" si="314"/>
        <v/>
      </c>
      <c r="O790" s="55" t="str">
        <f t="shared" si="315"/>
        <v/>
      </c>
      <c r="P790" s="55" t="str">
        <f t="shared" si="316"/>
        <v/>
      </c>
      <c r="Q790" s="65" t="str">
        <f t="shared" si="317"/>
        <v/>
      </c>
      <c r="R790" s="67" t="str">
        <f t="shared" si="319"/>
        <v/>
      </c>
      <c r="S790" s="56" t="str">
        <f t="shared" si="320"/>
        <v/>
      </c>
      <c r="T790" s="56" t="str">
        <f t="shared" si="321"/>
        <v/>
      </c>
      <c r="U790" s="56" t="str">
        <f t="shared" si="322"/>
        <v/>
      </c>
      <c r="V790" s="68" t="str">
        <f t="shared" si="323"/>
        <v/>
      </c>
      <c r="W790" s="80" t="str">
        <f t="shared" si="324"/>
        <v/>
      </c>
      <c r="X790" s="81" t="str">
        <f t="shared" si="325"/>
        <v/>
      </c>
      <c r="Y790" s="81" t="str">
        <f t="shared" si="326"/>
        <v/>
      </c>
      <c r="Z790" s="81" t="str">
        <f t="shared" si="327"/>
        <v/>
      </c>
      <c r="AA790" s="82" t="str">
        <f t="shared" si="328"/>
        <v/>
      </c>
      <c r="AB790" s="83" t="str">
        <f>IF(R790&lt;&gt;"",(W790-SUMPRODUCT(R$3:R790,$B$3:$B790)/SUM($B$3:$B790))/STDEVA(W780:W790),"")</f>
        <v/>
      </c>
      <c r="AC790" s="84" t="str">
        <f>IF(S790&lt;&gt;"",(X790-SUMPRODUCT(S$3:S790,$B$3:$B790)/SUM($B$3:$B790))/STDEVA(X780:X790),"")</f>
        <v/>
      </c>
      <c r="AD790" s="84" t="str">
        <f>IF(T790&lt;&gt;"",(Y790-SUMPRODUCT(T$3:T790,$B$3:$B790)/SUM($B$3:$B790))/STDEVA(Y780:Y790),"")</f>
        <v/>
      </c>
      <c r="AE790" s="84" t="str">
        <f>IF(U790&lt;&gt;"",(Z790-SUMPRODUCT(U$3:U790,$B$3:$B790)/SUM($B$3:$B790))/STDEVA(Z780:Z790),"")</f>
        <v/>
      </c>
      <c r="AF790" s="85" t="str">
        <f>IF(V790&lt;&gt;"",(AA790-SUMPRODUCT(V$3:V790,$B$3:$B790)/SUM($B$3:$B790))/STDEVA(AA780:AA790),"")</f>
        <v/>
      </c>
      <c r="AG790" s="90" t="str">
        <f t="shared" si="330"/>
        <v/>
      </c>
      <c r="AH790" s="90" t="str">
        <f t="shared" si="330"/>
        <v/>
      </c>
      <c r="AI790" s="90" t="str">
        <f t="shared" si="330"/>
        <v/>
      </c>
      <c r="AJ790" s="90" t="str">
        <f t="shared" si="329"/>
        <v/>
      </c>
      <c r="AK790" s="93" t="str">
        <f t="shared" si="329"/>
        <v/>
      </c>
      <c r="BQ790" s="100" t="str">
        <f>IF(A790&lt;&gt;"",(VLOOKUP(A790,MarketData!$D:$BP,MATCH($BQ$1,MarketData!$D$1:$EG$1,0),TRUE)/100/365+1)^(B790)*BQ789,"")</f>
        <v/>
      </c>
      <c r="BR790" s="98" t="str">
        <f t="shared" si="307"/>
        <v/>
      </c>
      <c r="BS790" s="106" t="str">
        <f>IF(A790&lt;&gt;"",VLOOKUP(A790,MarketData!$D:$BP,MATCH($BS$1,MarketData!$D$1:$EG$1,0),TRUE),"")</f>
        <v/>
      </c>
      <c r="BT790" s="98" t="str">
        <f t="shared" si="318"/>
        <v/>
      </c>
    </row>
    <row r="791" spans="2:72" x14ac:dyDescent="0.25">
      <c r="B791" s="60" t="str">
        <f t="shared" si="306"/>
        <v/>
      </c>
      <c r="C791" s="3" t="str">
        <f t="shared" si="308"/>
        <v/>
      </c>
      <c r="D791" s="3" t="str">
        <f t="shared" si="309"/>
        <v/>
      </c>
      <c r="E791" s="3" t="str">
        <f t="shared" si="310"/>
        <v/>
      </c>
      <c r="F791" s="3" t="str">
        <f t="shared" si="311"/>
        <v/>
      </c>
      <c r="G791" s="74" t="str">
        <f t="shared" si="312"/>
        <v/>
      </c>
      <c r="H791" s="78" t="str">
        <f>IFERROR(C791/SUM(M$2:M790),"")</f>
        <v/>
      </c>
      <c r="I791" s="61" t="str">
        <f>IFERROR(D791/SUM(N$2:N791),"")</f>
        <v/>
      </c>
      <c r="J791" s="61" t="str">
        <f>IFERROR(E791/SUM(O$2:O791),"")</f>
        <v/>
      </c>
      <c r="K791" s="61" t="str">
        <f>IFERROR(F791/SUM(P$2:P791),"")</f>
        <v/>
      </c>
      <c r="L791" s="79" t="str">
        <f>IFERROR(G791/SUM(Q$2:Q791),"")</f>
        <v/>
      </c>
      <c r="M791" s="64" t="str">
        <f t="shared" si="313"/>
        <v/>
      </c>
      <c r="N791" s="55" t="str">
        <f t="shared" si="314"/>
        <v/>
      </c>
      <c r="O791" s="55" t="str">
        <f t="shared" si="315"/>
        <v/>
      </c>
      <c r="P791" s="55" t="str">
        <f t="shared" si="316"/>
        <v/>
      </c>
      <c r="Q791" s="65" t="str">
        <f t="shared" si="317"/>
        <v/>
      </c>
      <c r="R791" s="67" t="str">
        <f t="shared" si="319"/>
        <v/>
      </c>
      <c r="S791" s="56" t="str">
        <f t="shared" si="320"/>
        <v/>
      </c>
      <c r="T791" s="56" t="str">
        <f t="shared" si="321"/>
        <v/>
      </c>
      <c r="U791" s="56" t="str">
        <f t="shared" si="322"/>
        <v/>
      </c>
      <c r="V791" s="68" t="str">
        <f t="shared" si="323"/>
        <v/>
      </c>
      <c r="W791" s="80" t="str">
        <f t="shared" si="324"/>
        <v/>
      </c>
      <c r="X791" s="81" t="str">
        <f t="shared" si="325"/>
        <v/>
      </c>
      <c r="Y791" s="81" t="str">
        <f t="shared" si="326"/>
        <v/>
      </c>
      <c r="Z791" s="81" t="str">
        <f t="shared" si="327"/>
        <v/>
      </c>
      <c r="AA791" s="82" t="str">
        <f t="shared" si="328"/>
        <v/>
      </c>
      <c r="AB791" s="83" t="str">
        <f>IF(R791&lt;&gt;"",(W791-SUMPRODUCT(R$3:R791,$B$3:$B791)/SUM($B$3:$B791))/STDEVA(W781:W791),"")</f>
        <v/>
      </c>
      <c r="AC791" s="84" t="str">
        <f>IF(S791&lt;&gt;"",(X791-SUMPRODUCT(S$3:S791,$B$3:$B791)/SUM($B$3:$B791))/STDEVA(X781:X791),"")</f>
        <v/>
      </c>
      <c r="AD791" s="84" t="str">
        <f>IF(T791&lt;&gt;"",(Y791-SUMPRODUCT(T$3:T791,$B$3:$B791)/SUM($B$3:$B791))/STDEVA(Y781:Y791),"")</f>
        <v/>
      </c>
      <c r="AE791" s="84" t="str">
        <f>IF(U791&lt;&gt;"",(Z791-SUMPRODUCT(U$3:U791,$B$3:$B791)/SUM($B$3:$B791))/STDEVA(Z781:Z791),"")</f>
        <v/>
      </c>
      <c r="AF791" s="85" t="str">
        <f>IF(V791&lt;&gt;"",(AA791-SUMPRODUCT(V$3:V791,$B$3:$B791)/SUM($B$3:$B791))/STDEVA(AA781:AA791),"")</f>
        <v/>
      </c>
      <c r="AG791" s="90" t="str">
        <f t="shared" si="330"/>
        <v/>
      </c>
      <c r="AH791" s="90" t="str">
        <f t="shared" si="330"/>
        <v/>
      </c>
      <c r="AI791" s="90" t="str">
        <f t="shared" si="330"/>
        <v/>
      </c>
      <c r="AJ791" s="90" t="str">
        <f t="shared" si="329"/>
        <v/>
      </c>
      <c r="AK791" s="93" t="str">
        <f t="shared" si="329"/>
        <v/>
      </c>
      <c r="BQ791" s="100" t="str">
        <f>IF(A791&lt;&gt;"",(VLOOKUP(A791,MarketData!$D:$BP,MATCH($BQ$1,MarketData!$D$1:$EG$1,0),TRUE)/100/365+1)^(B791)*BQ790,"")</f>
        <v/>
      </c>
      <c r="BR791" s="98" t="str">
        <f t="shared" si="307"/>
        <v/>
      </c>
      <c r="BS791" s="106" t="str">
        <f>IF(A791&lt;&gt;"",VLOOKUP(A791,MarketData!$D:$BP,MATCH($BS$1,MarketData!$D$1:$EG$1,0),TRUE),"")</f>
        <v/>
      </c>
      <c r="BT791" s="98" t="str">
        <f t="shared" si="318"/>
        <v/>
      </c>
    </row>
    <row r="792" spans="2:72" x14ac:dyDescent="0.25">
      <c r="B792" s="60" t="str">
        <f t="shared" si="306"/>
        <v/>
      </c>
      <c r="C792" s="3" t="str">
        <f t="shared" si="308"/>
        <v/>
      </c>
      <c r="D792" s="3" t="str">
        <f t="shared" si="309"/>
        <v/>
      </c>
      <c r="E792" s="3" t="str">
        <f t="shared" si="310"/>
        <v/>
      </c>
      <c r="F792" s="3" t="str">
        <f t="shared" si="311"/>
        <v/>
      </c>
      <c r="G792" s="74" t="str">
        <f t="shared" si="312"/>
        <v/>
      </c>
      <c r="H792" s="78" t="str">
        <f>IFERROR(C792/SUM(M$2:M791),"")</f>
        <v/>
      </c>
      <c r="I792" s="61" t="str">
        <f>IFERROR(D792/SUM(N$2:N792),"")</f>
        <v/>
      </c>
      <c r="J792" s="61" t="str">
        <f>IFERROR(E792/SUM(O$2:O792),"")</f>
        <v/>
      </c>
      <c r="K792" s="61" t="str">
        <f>IFERROR(F792/SUM(P$2:P792),"")</f>
        <v/>
      </c>
      <c r="L792" s="79" t="str">
        <f>IFERROR(G792/SUM(Q$2:Q792),"")</f>
        <v/>
      </c>
      <c r="M792" s="64" t="str">
        <f t="shared" si="313"/>
        <v/>
      </c>
      <c r="N792" s="55" t="str">
        <f t="shared" si="314"/>
        <v/>
      </c>
      <c r="O792" s="55" t="str">
        <f t="shared" si="315"/>
        <v/>
      </c>
      <c r="P792" s="55" t="str">
        <f t="shared" si="316"/>
        <v/>
      </c>
      <c r="Q792" s="65" t="str">
        <f t="shared" si="317"/>
        <v/>
      </c>
      <c r="R792" s="67" t="str">
        <f t="shared" si="319"/>
        <v/>
      </c>
      <c r="S792" s="56" t="str">
        <f t="shared" si="320"/>
        <v/>
      </c>
      <c r="T792" s="56" t="str">
        <f t="shared" si="321"/>
        <v/>
      </c>
      <c r="U792" s="56" t="str">
        <f t="shared" si="322"/>
        <v/>
      </c>
      <c r="V792" s="68" t="str">
        <f t="shared" si="323"/>
        <v/>
      </c>
      <c r="W792" s="80" t="str">
        <f t="shared" si="324"/>
        <v/>
      </c>
      <c r="X792" s="81" t="str">
        <f t="shared" si="325"/>
        <v/>
      </c>
      <c r="Y792" s="81" t="str">
        <f t="shared" si="326"/>
        <v/>
      </c>
      <c r="Z792" s="81" t="str">
        <f t="shared" si="327"/>
        <v/>
      </c>
      <c r="AA792" s="82" t="str">
        <f t="shared" si="328"/>
        <v/>
      </c>
      <c r="AB792" s="83" t="str">
        <f>IF(R792&lt;&gt;"",(W792-SUMPRODUCT(R$3:R792,$B$3:$B792)/SUM($B$3:$B792))/STDEVA(W782:W792),"")</f>
        <v/>
      </c>
      <c r="AC792" s="84" t="str">
        <f>IF(S792&lt;&gt;"",(X792-SUMPRODUCT(S$3:S792,$B$3:$B792)/SUM($B$3:$B792))/STDEVA(X782:X792),"")</f>
        <v/>
      </c>
      <c r="AD792" s="84" t="str">
        <f>IF(T792&lt;&gt;"",(Y792-SUMPRODUCT(T$3:T792,$B$3:$B792)/SUM($B$3:$B792))/STDEVA(Y782:Y792),"")</f>
        <v/>
      </c>
      <c r="AE792" s="84" t="str">
        <f>IF(U792&lt;&gt;"",(Z792-SUMPRODUCT(U$3:U792,$B$3:$B792)/SUM($B$3:$B792))/STDEVA(Z782:Z792),"")</f>
        <v/>
      </c>
      <c r="AF792" s="85" t="str">
        <f>IF(V792&lt;&gt;"",(AA792-SUMPRODUCT(V$3:V792,$B$3:$B792)/SUM($B$3:$B792))/STDEVA(AA782:AA792),"")</f>
        <v/>
      </c>
      <c r="AG792" s="90" t="str">
        <f t="shared" si="330"/>
        <v/>
      </c>
      <c r="AH792" s="90" t="str">
        <f t="shared" si="330"/>
        <v/>
      </c>
      <c r="AI792" s="90" t="str">
        <f t="shared" si="330"/>
        <v/>
      </c>
      <c r="AJ792" s="90" t="str">
        <f t="shared" si="329"/>
        <v/>
      </c>
      <c r="AK792" s="93" t="str">
        <f t="shared" si="329"/>
        <v/>
      </c>
      <c r="BQ792" s="100" t="str">
        <f>IF(A792&lt;&gt;"",(VLOOKUP(A792,MarketData!$D:$BP,MATCH($BQ$1,MarketData!$D$1:$EG$1,0),TRUE)/100/365+1)^(B792)*BQ791,"")</f>
        <v/>
      </c>
      <c r="BR792" s="98" t="str">
        <f t="shared" si="307"/>
        <v/>
      </c>
      <c r="BS792" s="106" t="str">
        <f>IF(A792&lt;&gt;"",VLOOKUP(A792,MarketData!$D:$BP,MATCH($BS$1,MarketData!$D$1:$EG$1,0),TRUE),"")</f>
        <v/>
      </c>
      <c r="BT792" s="98" t="str">
        <f t="shared" si="318"/>
        <v/>
      </c>
    </row>
    <row r="793" spans="2:72" x14ac:dyDescent="0.25">
      <c r="B793" s="60" t="str">
        <f t="shared" si="306"/>
        <v/>
      </c>
      <c r="C793" s="3" t="str">
        <f t="shared" si="308"/>
        <v/>
      </c>
      <c r="D793" s="3" t="str">
        <f t="shared" si="309"/>
        <v/>
      </c>
      <c r="E793" s="3" t="str">
        <f t="shared" si="310"/>
        <v/>
      </c>
      <c r="F793" s="3" t="str">
        <f t="shared" si="311"/>
        <v/>
      </c>
      <c r="G793" s="74" t="str">
        <f t="shared" si="312"/>
        <v/>
      </c>
      <c r="H793" s="78" t="str">
        <f>IFERROR(C793/SUM(M$2:M792),"")</f>
        <v/>
      </c>
      <c r="I793" s="61" t="str">
        <f>IFERROR(D793/SUM(N$2:N793),"")</f>
        <v/>
      </c>
      <c r="J793" s="61" t="str">
        <f>IFERROR(E793/SUM(O$2:O793),"")</f>
        <v/>
      </c>
      <c r="K793" s="61" t="str">
        <f>IFERROR(F793/SUM(P$2:P793),"")</f>
        <v/>
      </c>
      <c r="L793" s="79" t="str">
        <f>IFERROR(G793/SUM(Q$2:Q793),"")</f>
        <v/>
      </c>
      <c r="M793" s="64" t="str">
        <f t="shared" si="313"/>
        <v/>
      </c>
      <c r="N793" s="55" t="str">
        <f t="shared" si="314"/>
        <v/>
      </c>
      <c r="O793" s="55" t="str">
        <f t="shared" si="315"/>
        <v/>
      </c>
      <c r="P793" s="55" t="str">
        <f t="shared" si="316"/>
        <v/>
      </c>
      <c r="Q793" s="65" t="str">
        <f t="shared" si="317"/>
        <v/>
      </c>
      <c r="R793" s="67" t="str">
        <f t="shared" si="319"/>
        <v/>
      </c>
      <c r="S793" s="56" t="str">
        <f t="shared" si="320"/>
        <v/>
      </c>
      <c r="T793" s="56" t="str">
        <f t="shared" si="321"/>
        <v/>
      </c>
      <c r="U793" s="56" t="str">
        <f t="shared" si="322"/>
        <v/>
      </c>
      <c r="V793" s="68" t="str">
        <f t="shared" si="323"/>
        <v/>
      </c>
      <c r="W793" s="80" t="str">
        <f t="shared" si="324"/>
        <v/>
      </c>
      <c r="X793" s="81" t="str">
        <f t="shared" si="325"/>
        <v/>
      </c>
      <c r="Y793" s="81" t="str">
        <f t="shared" si="326"/>
        <v/>
      </c>
      <c r="Z793" s="81" t="str">
        <f t="shared" si="327"/>
        <v/>
      </c>
      <c r="AA793" s="82" t="str">
        <f t="shared" si="328"/>
        <v/>
      </c>
      <c r="AB793" s="83" t="str">
        <f>IF(R793&lt;&gt;"",(W793-SUMPRODUCT(R$3:R793,$B$3:$B793)/SUM($B$3:$B793))/STDEVA(W783:W793),"")</f>
        <v/>
      </c>
      <c r="AC793" s="84" t="str">
        <f>IF(S793&lt;&gt;"",(X793-SUMPRODUCT(S$3:S793,$B$3:$B793)/SUM($B$3:$B793))/STDEVA(X783:X793),"")</f>
        <v/>
      </c>
      <c r="AD793" s="84" t="str">
        <f>IF(T793&lt;&gt;"",(Y793-SUMPRODUCT(T$3:T793,$B$3:$B793)/SUM($B$3:$B793))/STDEVA(Y783:Y793),"")</f>
        <v/>
      </c>
      <c r="AE793" s="84" t="str">
        <f>IF(U793&lt;&gt;"",(Z793-SUMPRODUCT(U$3:U793,$B$3:$B793)/SUM($B$3:$B793))/STDEVA(Z783:Z793),"")</f>
        <v/>
      </c>
      <c r="AF793" s="85" t="str">
        <f>IF(V793&lt;&gt;"",(AA793-SUMPRODUCT(V$3:V793,$B$3:$B793)/SUM($B$3:$B793))/STDEVA(AA783:AA793),"")</f>
        <v/>
      </c>
      <c r="AG793" s="90" t="str">
        <f t="shared" si="330"/>
        <v/>
      </c>
      <c r="AH793" s="90" t="str">
        <f t="shared" si="330"/>
        <v/>
      </c>
      <c r="AI793" s="90" t="str">
        <f t="shared" si="330"/>
        <v/>
      </c>
      <c r="AJ793" s="90" t="str">
        <f t="shared" si="329"/>
        <v/>
      </c>
      <c r="AK793" s="93" t="str">
        <f t="shared" si="329"/>
        <v/>
      </c>
      <c r="BQ793" s="100" t="str">
        <f>IF(A793&lt;&gt;"",(VLOOKUP(A793,MarketData!$D:$BP,MATCH($BQ$1,MarketData!$D$1:$EG$1,0),TRUE)/100/365+1)^(B793)*BQ792,"")</f>
        <v/>
      </c>
      <c r="BR793" s="98" t="str">
        <f t="shared" si="307"/>
        <v/>
      </c>
      <c r="BS793" s="106" t="str">
        <f>IF(A793&lt;&gt;"",VLOOKUP(A793,MarketData!$D:$BP,MATCH($BS$1,MarketData!$D$1:$EG$1,0),TRUE),"")</f>
        <v/>
      </c>
      <c r="BT793" s="98" t="str">
        <f t="shared" si="318"/>
        <v/>
      </c>
    </row>
    <row r="794" spans="2:72" x14ac:dyDescent="0.25">
      <c r="B794" s="60" t="str">
        <f t="shared" si="306"/>
        <v/>
      </c>
      <c r="C794" s="3" t="str">
        <f t="shared" si="308"/>
        <v/>
      </c>
      <c r="D794" s="3" t="str">
        <f t="shared" si="309"/>
        <v/>
      </c>
      <c r="E794" s="3" t="str">
        <f t="shared" si="310"/>
        <v/>
      </c>
      <c r="F794" s="3" t="str">
        <f t="shared" si="311"/>
        <v/>
      </c>
      <c r="G794" s="74" t="str">
        <f t="shared" si="312"/>
        <v/>
      </c>
      <c r="H794" s="78" t="str">
        <f>IFERROR(C794/SUM(M$2:M793),"")</f>
        <v/>
      </c>
      <c r="I794" s="61" t="str">
        <f>IFERROR(D794/SUM(N$2:N794),"")</f>
        <v/>
      </c>
      <c r="J794" s="61" t="str">
        <f>IFERROR(E794/SUM(O$2:O794),"")</f>
        <v/>
      </c>
      <c r="K794" s="61" t="str">
        <f>IFERROR(F794/SUM(P$2:P794),"")</f>
        <v/>
      </c>
      <c r="L794" s="79" t="str">
        <f>IFERROR(G794/SUM(Q$2:Q794),"")</f>
        <v/>
      </c>
      <c r="M794" s="64" t="str">
        <f t="shared" si="313"/>
        <v/>
      </c>
      <c r="N794" s="55" t="str">
        <f t="shared" si="314"/>
        <v/>
      </c>
      <c r="O794" s="55" t="str">
        <f t="shared" si="315"/>
        <v/>
      </c>
      <c r="P794" s="55" t="str">
        <f t="shared" si="316"/>
        <v/>
      </c>
      <c r="Q794" s="65" t="str">
        <f t="shared" si="317"/>
        <v/>
      </c>
      <c r="R794" s="67" t="str">
        <f t="shared" si="319"/>
        <v/>
      </c>
      <c r="S794" s="56" t="str">
        <f t="shared" si="320"/>
        <v/>
      </c>
      <c r="T794" s="56" t="str">
        <f t="shared" si="321"/>
        <v/>
      </c>
      <c r="U794" s="56" t="str">
        <f t="shared" si="322"/>
        <v/>
      </c>
      <c r="V794" s="68" t="str">
        <f t="shared" si="323"/>
        <v/>
      </c>
      <c r="W794" s="80" t="str">
        <f t="shared" si="324"/>
        <v/>
      </c>
      <c r="X794" s="81" t="str">
        <f t="shared" si="325"/>
        <v/>
      </c>
      <c r="Y794" s="81" t="str">
        <f t="shared" si="326"/>
        <v/>
      </c>
      <c r="Z794" s="81" t="str">
        <f t="shared" si="327"/>
        <v/>
      </c>
      <c r="AA794" s="82" t="str">
        <f t="shared" si="328"/>
        <v/>
      </c>
      <c r="AB794" s="83" t="str">
        <f>IF(R794&lt;&gt;"",(W794-SUMPRODUCT(R$3:R794,$B$3:$B794)/SUM($B$3:$B794))/STDEVA(W784:W794),"")</f>
        <v/>
      </c>
      <c r="AC794" s="84" t="str">
        <f>IF(S794&lt;&gt;"",(X794-SUMPRODUCT(S$3:S794,$B$3:$B794)/SUM($B$3:$B794))/STDEVA(X784:X794),"")</f>
        <v/>
      </c>
      <c r="AD794" s="84" t="str">
        <f>IF(T794&lt;&gt;"",(Y794-SUMPRODUCT(T$3:T794,$B$3:$B794)/SUM($B$3:$B794))/STDEVA(Y784:Y794),"")</f>
        <v/>
      </c>
      <c r="AE794" s="84" t="str">
        <f>IF(U794&lt;&gt;"",(Z794-SUMPRODUCT(U$3:U794,$B$3:$B794)/SUM($B$3:$B794))/STDEVA(Z784:Z794),"")</f>
        <v/>
      </c>
      <c r="AF794" s="85" t="str">
        <f>IF(V794&lt;&gt;"",(AA794-SUMPRODUCT(V$3:V794,$B$3:$B794)/SUM($B$3:$B794))/STDEVA(AA784:AA794),"")</f>
        <v/>
      </c>
      <c r="AG794" s="90" t="str">
        <f t="shared" si="330"/>
        <v/>
      </c>
      <c r="AH794" s="90" t="str">
        <f t="shared" si="330"/>
        <v/>
      </c>
      <c r="AI794" s="90" t="str">
        <f t="shared" si="330"/>
        <v/>
      </c>
      <c r="AJ794" s="90" t="str">
        <f t="shared" si="329"/>
        <v/>
      </c>
      <c r="AK794" s="93" t="str">
        <f t="shared" si="329"/>
        <v/>
      </c>
      <c r="BQ794" s="100" t="str">
        <f>IF(A794&lt;&gt;"",(VLOOKUP(A794,MarketData!$D:$BP,MATCH($BQ$1,MarketData!$D$1:$EG$1,0),TRUE)/100/365+1)^(B794)*BQ793,"")</f>
        <v/>
      </c>
      <c r="BR794" s="98" t="str">
        <f t="shared" si="307"/>
        <v/>
      </c>
      <c r="BS794" s="106" t="str">
        <f>IF(A794&lt;&gt;"",VLOOKUP(A794,MarketData!$D:$BP,MATCH($BS$1,MarketData!$D$1:$EG$1,0),TRUE),"")</f>
        <v/>
      </c>
      <c r="BT794" s="98" t="str">
        <f t="shared" si="318"/>
        <v/>
      </c>
    </row>
    <row r="795" spans="2:72" x14ac:dyDescent="0.25">
      <c r="B795" s="60" t="str">
        <f t="shared" ref="B795:B858" si="331">IF(A795&lt;&gt;0,A795-A794,"")</f>
        <v/>
      </c>
      <c r="C795" s="3" t="str">
        <f t="shared" si="308"/>
        <v/>
      </c>
      <c r="D795" s="3" t="str">
        <f t="shared" si="309"/>
        <v/>
      </c>
      <c r="E795" s="3" t="str">
        <f t="shared" si="310"/>
        <v/>
      </c>
      <c r="F795" s="3" t="str">
        <f t="shared" si="311"/>
        <v/>
      </c>
      <c r="G795" s="74" t="str">
        <f t="shared" si="312"/>
        <v/>
      </c>
      <c r="H795" s="78" t="str">
        <f>IFERROR(C795/SUM(M$2:M794),"")</f>
        <v/>
      </c>
      <c r="I795" s="61" t="str">
        <f>IFERROR(D795/SUM(N$2:N795),"")</f>
        <v/>
      </c>
      <c r="J795" s="61" t="str">
        <f>IFERROR(E795/SUM(O$2:O795),"")</f>
        <v/>
      </c>
      <c r="K795" s="61" t="str">
        <f>IFERROR(F795/SUM(P$2:P795),"")</f>
        <v/>
      </c>
      <c r="L795" s="79" t="str">
        <f>IFERROR(G795/SUM(Q$2:Q795),"")</f>
        <v/>
      </c>
      <c r="M795" s="64" t="str">
        <f t="shared" si="313"/>
        <v/>
      </c>
      <c r="N795" s="55" t="str">
        <f t="shared" si="314"/>
        <v/>
      </c>
      <c r="O795" s="55" t="str">
        <f t="shared" si="315"/>
        <v/>
      </c>
      <c r="P795" s="55" t="str">
        <f t="shared" si="316"/>
        <v/>
      </c>
      <c r="Q795" s="65" t="str">
        <f t="shared" si="317"/>
        <v/>
      </c>
      <c r="R795" s="67" t="str">
        <f t="shared" si="319"/>
        <v/>
      </c>
      <c r="S795" s="56" t="str">
        <f t="shared" si="320"/>
        <v/>
      </c>
      <c r="T795" s="56" t="str">
        <f t="shared" si="321"/>
        <v/>
      </c>
      <c r="U795" s="56" t="str">
        <f t="shared" si="322"/>
        <v/>
      </c>
      <c r="V795" s="68" t="str">
        <f t="shared" si="323"/>
        <v/>
      </c>
      <c r="W795" s="80" t="str">
        <f t="shared" si="324"/>
        <v/>
      </c>
      <c r="X795" s="81" t="str">
        <f t="shared" si="325"/>
        <v/>
      </c>
      <c r="Y795" s="81" t="str">
        <f t="shared" si="326"/>
        <v/>
      </c>
      <c r="Z795" s="81" t="str">
        <f t="shared" si="327"/>
        <v/>
      </c>
      <c r="AA795" s="82" t="str">
        <f t="shared" si="328"/>
        <v/>
      </c>
      <c r="AB795" s="83" t="str">
        <f>IF(R795&lt;&gt;"",(W795-SUMPRODUCT(R$3:R795,$B$3:$B795)/SUM($B$3:$B795))/STDEVA(W785:W795),"")</f>
        <v/>
      </c>
      <c r="AC795" s="84" t="str">
        <f>IF(S795&lt;&gt;"",(X795-SUMPRODUCT(S$3:S795,$B$3:$B795)/SUM($B$3:$B795))/STDEVA(X785:X795),"")</f>
        <v/>
      </c>
      <c r="AD795" s="84" t="str">
        <f>IF(T795&lt;&gt;"",(Y795-SUMPRODUCT(T$3:T795,$B$3:$B795)/SUM($B$3:$B795))/STDEVA(Y785:Y795),"")</f>
        <v/>
      </c>
      <c r="AE795" s="84" t="str">
        <f>IF(U795&lt;&gt;"",(Z795-SUMPRODUCT(U$3:U795,$B$3:$B795)/SUM($B$3:$B795))/STDEVA(Z785:Z795),"")</f>
        <v/>
      </c>
      <c r="AF795" s="85" t="str">
        <f>IF(V795&lt;&gt;"",(AA795-SUMPRODUCT(V$3:V795,$B$3:$B795)/SUM($B$3:$B795))/STDEVA(AA785:AA795),"")</f>
        <v/>
      </c>
      <c r="AG795" s="90" t="str">
        <f t="shared" si="330"/>
        <v/>
      </c>
      <c r="AH795" s="90" t="str">
        <f t="shared" si="330"/>
        <v/>
      </c>
      <c r="AI795" s="90" t="str">
        <f t="shared" si="330"/>
        <v/>
      </c>
      <c r="AJ795" s="90" t="str">
        <f t="shared" si="329"/>
        <v/>
      </c>
      <c r="AK795" s="93" t="str">
        <f t="shared" si="329"/>
        <v/>
      </c>
      <c r="BQ795" s="100" t="str">
        <f>IF(A795&lt;&gt;"",(VLOOKUP(A795,MarketData!$D:$BP,MATCH($BQ$1,MarketData!$D$1:$EG$1,0),TRUE)/100/365+1)^(B795)*BQ794,"")</f>
        <v/>
      </c>
      <c r="BR795" s="98" t="str">
        <f t="shared" si="307"/>
        <v/>
      </c>
      <c r="BS795" s="106" t="str">
        <f>IF(A795&lt;&gt;"",VLOOKUP(A795,MarketData!$D:$BP,MATCH($BS$1,MarketData!$D$1:$EG$1,0),TRUE),"")</f>
        <v/>
      </c>
      <c r="BT795" s="98" t="str">
        <f t="shared" si="318"/>
        <v/>
      </c>
    </row>
    <row r="796" spans="2:72" x14ac:dyDescent="0.25">
      <c r="B796" s="60" t="str">
        <f t="shared" si="331"/>
        <v/>
      </c>
      <c r="C796" s="3" t="str">
        <f t="shared" si="308"/>
        <v/>
      </c>
      <c r="D796" s="3" t="str">
        <f t="shared" si="309"/>
        <v/>
      </c>
      <c r="E796" s="3" t="str">
        <f t="shared" si="310"/>
        <v/>
      </c>
      <c r="F796" s="3" t="str">
        <f t="shared" si="311"/>
        <v/>
      </c>
      <c r="G796" s="74" t="str">
        <f t="shared" si="312"/>
        <v/>
      </c>
      <c r="H796" s="78" t="str">
        <f>IFERROR(C796/SUM(M$2:M795),"")</f>
        <v/>
      </c>
      <c r="I796" s="61" t="str">
        <f>IFERROR(D796/SUM(N$2:N796),"")</f>
        <v/>
      </c>
      <c r="J796" s="61" t="str">
        <f>IFERROR(E796/SUM(O$2:O796),"")</f>
        <v/>
      </c>
      <c r="K796" s="61" t="str">
        <f>IFERROR(F796/SUM(P$2:P796),"")</f>
        <v/>
      </c>
      <c r="L796" s="79" t="str">
        <f>IFERROR(G796/SUM(Q$2:Q796),"")</f>
        <v/>
      </c>
      <c r="M796" s="64" t="str">
        <f t="shared" si="313"/>
        <v/>
      </c>
      <c r="N796" s="55" t="str">
        <f t="shared" si="314"/>
        <v/>
      </c>
      <c r="O796" s="55" t="str">
        <f t="shared" si="315"/>
        <v/>
      </c>
      <c r="P796" s="55" t="str">
        <f t="shared" si="316"/>
        <v/>
      </c>
      <c r="Q796" s="65" t="str">
        <f t="shared" si="317"/>
        <v/>
      </c>
      <c r="R796" s="67" t="str">
        <f t="shared" si="319"/>
        <v/>
      </c>
      <c r="S796" s="56" t="str">
        <f t="shared" si="320"/>
        <v/>
      </c>
      <c r="T796" s="56" t="str">
        <f t="shared" si="321"/>
        <v/>
      </c>
      <c r="U796" s="56" t="str">
        <f t="shared" si="322"/>
        <v/>
      </c>
      <c r="V796" s="68" t="str">
        <f t="shared" si="323"/>
        <v/>
      </c>
      <c r="W796" s="80" t="str">
        <f t="shared" si="324"/>
        <v/>
      </c>
      <c r="X796" s="81" t="str">
        <f t="shared" si="325"/>
        <v/>
      </c>
      <c r="Y796" s="81" t="str">
        <f t="shared" si="326"/>
        <v/>
      </c>
      <c r="Z796" s="81" t="str">
        <f t="shared" si="327"/>
        <v/>
      </c>
      <c r="AA796" s="82" t="str">
        <f t="shared" si="328"/>
        <v/>
      </c>
      <c r="AB796" s="83" t="str">
        <f>IF(R796&lt;&gt;"",(W796-SUMPRODUCT(R$3:R796,$B$3:$B796)/SUM($B$3:$B796))/STDEVA(W786:W796),"")</f>
        <v/>
      </c>
      <c r="AC796" s="84" t="str">
        <f>IF(S796&lt;&gt;"",(X796-SUMPRODUCT(S$3:S796,$B$3:$B796)/SUM($B$3:$B796))/STDEVA(X786:X796),"")</f>
        <v/>
      </c>
      <c r="AD796" s="84" t="str">
        <f>IF(T796&lt;&gt;"",(Y796-SUMPRODUCT(T$3:T796,$B$3:$B796)/SUM($B$3:$B796))/STDEVA(Y786:Y796),"")</f>
        <v/>
      </c>
      <c r="AE796" s="84" t="str">
        <f>IF(U796&lt;&gt;"",(Z796-SUMPRODUCT(U$3:U796,$B$3:$B796)/SUM($B$3:$B796))/STDEVA(Z786:Z796),"")</f>
        <v/>
      </c>
      <c r="AF796" s="85" t="str">
        <f>IF(V796&lt;&gt;"",(AA796-SUMPRODUCT(V$3:V796,$B$3:$B796)/SUM($B$3:$B796))/STDEVA(AA786:AA796),"")</f>
        <v/>
      </c>
      <c r="AG796" s="90" t="str">
        <f t="shared" si="330"/>
        <v/>
      </c>
      <c r="AH796" s="90" t="str">
        <f t="shared" si="330"/>
        <v/>
      </c>
      <c r="AI796" s="90" t="str">
        <f t="shared" si="330"/>
        <v/>
      </c>
      <c r="AJ796" s="90" t="str">
        <f t="shared" si="329"/>
        <v/>
      </c>
      <c r="AK796" s="93" t="str">
        <f t="shared" si="329"/>
        <v/>
      </c>
      <c r="BQ796" s="100" t="str">
        <f>IF(A796&lt;&gt;"",(VLOOKUP(A796,MarketData!$D:$BP,MATCH($BQ$1,MarketData!$D$1:$EG$1,0),TRUE)/100/365+1)^(B796)*BQ795,"")</f>
        <v/>
      </c>
      <c r="BR796" s="98" t="str">
        <f t="shared" si="307"/>
        <v/>
      </c>
      <c r="BS796" s="106" t="str">
        <f>IF(A796&lt;&gt;"",VLOOKUP(A796,MarketData!$D:$BP,MATCH($BS$1,MarketData!$D$1:$EG$1,0),TRUE),"")</f>
        <v/>
      </c>
      <c r="BT796" s="98" t="str">
        <f t="shared" si="318"/>
        <v/>
      </c>
    </row>
    <row r="797" spans="2:72" x14ac:dyDescent="0.25">
      <c r="B797" s="60" t="str">
        <f t="shared" si="331"/>
        <v/>
      </c>
      <c r="C797" s="3" t="str">
        <f t="shared" si="308"/>
        <v/>
      </c>
      <c r="D797" s="3" t="str">
        <f t="shared" si="309"/>
        <v/>
      </c>
      <c r="E797" s="3" t="str">
        <f t="shared" si="310"/>
        <v/>
      </c>
      <c r="F797" s="3" t="str">
        <f t="shared" si="311"/>
        <v/>
      </c>
      <c r="G797" s="74" t="str">
        <f t="shared" si="312"/>
        <v/>
      </c>
      <c r="H797" s="78" t="str">
        <f>IFERROR(C797/SUM(M$2:M796),"")</f>
        <v/>
      </c>
      <c r="I797" s="61" t="str">
        <f>IFERROR(D797/SUM(N$2:N797),"")</f>
        <v/>
      </c>
      <c r="J797" s="61" t="str">
        <f>IFERROR(E797/SUM(O$2:O797),"")</f>
        <v/>
      </c>
      <c r="K797" s="61" t="str">
        <f>IFERROR(F797/SUM(P$2:P797),"")</f>
        <v/>
      </c>
      <c r="L797" s="79" t="str">
        <f>IFERROR(G797/SUM(Q$2:Q797),"")</f>
        <v/>
      </c>
      <c r="M797" s="64" t="str">
        <f t="shared" si="313"/>
        <v/>
      </c>
      <c r="N797" s="55" t="str">
        <f t="shared" si="314"/>
        <v/>
      </c>
      <c r="O797" s="55" t="str">
        <f t="shared" si="315"/>
        <v/>
      </c>
      <c r="P797" s="55" t="str">
        <f t="shared" si="316"/>
        <v/>
      </c>
      <c r="Q797" s="65" t="str">
        <f t="shared" si="317"/>
        <v/>
      </c>
      <c r="R797" s="67" t="str">
        <f t="shared" si="319"/>
        <v/>
      </c>
      <c r="S797" s="56" t="str">
        <f t="shared" si="320"/>
        <v/>
      </c>
      <c r="T797" s="56" t="str">
        <f t="shared" si="321"/>
        <v/>
      </c>
      <c r="U797" s="56" t="str">
        <f t="shared" si="322"/>
        <v/>
      </c>
      <c r="V797" s="68" t="str">
        <f t="shared" si="323"/>
        <v/>
      </c>
      <c r="W797" s="80" t="str">
        <f t="shared" si="324"/>
        <v/>
      </c>
      <c r="X797" s="81" t="str">
        <f t="shared" si="325"/>
        <v/>
      </c>
      <c r="Y797" s="81" t="str">
        <f t="shared" si="326"/>
        <v/>
      </c>
      <c r="Z797" s="81" t="str">
        <f t="shared" si="327"/>
        <v/>
      </c>
      <c r="AA797" s="82" t="str">
        <f t="shared" si="328"/>
        <v/>
      </c>
      <c r="AB797" s="83" t="str">
        <f>IF(R797&lt;&gt;"",(W797-SUMPRODUCT(R$3:R797,$B$3:$B797)/SUM($B$3:$B797))/STDEVA(W787:W797),"")</f>
        <v/>
      </c>
      <c r="AC797" s="84" t="str">
        <f>IF(S797&lt;&gt;"",(X797-SUMPRODUCT(S$3:S797,$B$3:$B797)/SUM($B$3:$B797))/STDEVA(X787:X797),"")</f>
        <v/>
      </c>
      <c r="AD797" s="84" t="str">
        <f>IF(T797&lt;&gt;"",(Y797-SUMPRODUCT(T$3:T797,$B$3:$B797)/SUM($B$3:$B797))/STDEVA(Y787:Y797),"")</f>
        <v/>
      </c>
      <c r="AE797" s="84" t="str">
        <f>IF(U797&lt;&gt;"",(Z797-SUMPRODUCT(U$3:U797,$B$3:$B797)/SUM($B$3:$B797))/STDEVA(Z787:Z797),"")</f>
        <v/>
      </c>
      <c r="AF797" s="85" t="str">
        <f>IF(V797&lt;&gt;"",(AA797-SUMPRODUCT(V$3:V797,$B$3:$B797)/SUM($B$3:$B797))/STDEVA(AA787:AA797),"")</f>
        <v/>
      </c>
      <c r="AG797" s="90" t="str">
        <f t="shared" si="330"/>
        <v/>
      </c>
      <c r="AH797" s="90" t="str">
        <f t="shared" si="330"/>
        <v/>
      </c>
      <c r="AI797" s="90" t="str">
        <f t="shared" si="330"/>
        <v/>
      </c>
      <c r="AJ797" s="90" t="str">
        <f t="shared" si="329"/>
        <v/>
      </c>
      <c r="AK797" s="93" t="str">
        <f t="shared" si="329"/>
        <v/>
      </c>
      <c r="BQ797" s="100" t="str">
        <f>IF(A797&lt;&gt;"",(VLOOKUP(A797,MarketData!$D:$BP,MATCH($BQ$1,MarketData!$D$1:$EG$1,0),TRUE)/100/365+1)^(B797)*BQ796,"")</f>
        <v/>
      </c>
      <c r="BR797" s="98" t="str">
        <f t="shared" si="307"/>
        <v/>
      </c>
      <c r="BS797" s="106" t="str">
        <f>IF(A797&lt;&gt;"",VLOOKUP(A797,MarketData!$D:$BP,MATCH($BS$1,MarketData!$D$1:$EG$1,0),TRUE),"")</f>
        <v/>
      </c>
      <c r="BT797" s="98" t="str">
        <f t="shared" si="318"/>
        <v/>
      </c>
    </row>
    <row r="798" spans="2:72" x14ac:dyDescent="0.25">
      <c r="B798" s="60" t="str">
        <f t="shared" si="331"/>
        <v/>
      </c>
      <c r="C798" s="3" t="str">
        <f t="shared" si="308"/>
        <v/>
      </c>
      <c r="D798" s="3" t="str">
        <f t="shared" si="309"/>
        <v/>
      </c>
      <c r="E798" s="3" t="str">
        <f t="shared" si="310"/>
        <v/>
      </c>
      <c r="F798" s="3" t="str">
        <f t="shared" si="311"/>
        <v/>
      </c>
      <c r="G798" s="74" t="str">
        <f t="shared" si="312"/>
        <v/>
      </c>
      <c r="H798" s="78" t="str">
        <f>IFERROR(C798/SUM(M$2:M797),"")</f>
        <v/>
      </c>
      <c r="I798" s="61" t="str">
        <f>IFERROR(D798/SUM(N$2:N798),"")</f>
        <v/>
      </c>
      <c r="J798" s="61" t="str">
        <f>IFERROR(E798/SUM(O$2:O798),"")</f>
        <v/>
      </c>
      <c r="K798" s="61" t="str">
        <f>IFERROR(F798/SUM(P$2:P798),"")</f>
        <v/>
      </c>
      <c r="L798" s="79" t="str">
        <f>IFERROR(G798/SUM(Q$2:Q798),"")</f>
        <v/>
      </c>
      <c r="M798" s="64" t="str">
        <f t="shared" si="313"/>
        <v/>
      </c>
      <c r="N798" s="55" t="str">
        <f t="shared" si="314"/>
        <v/>
      </c>
      <c r="O798" s="55" t="str">
        <f t="shared" si="315"/>
        <v/>
      </c>
      <c r="P798" s="55" t="str">
        <f t="shared" si="316"/>
        <v/>
      </c>
      <c r="Q798" s="65" t="str">
        <f t="shared" si="317"/>
        <v/>
      </c>
      <c r="R798" s="67" t="str">
        <f t="shared" si="319"/>
        <v/>
      </c>
      <c r="S798" s="56" t="str">
        <f t="shared" si="320"/>
        <v/>
      </c>
      <c r="T798" s="56" t="str">
        <f t="shared" si="321"/>
        <v/>
      </c>
      <c r="U798" s="56" t="str">
        <f t="shared" si="322"/>
        <v/>
      </c>
      <c r="V798" s="68" t="str">
        <f t="shared" si="323"/>
        <v/>
      </c>
      <c r="W798" s="80" t="str">
        <f t="shared" si="324"/>
        <v/>
      </c>
      <c r="X798" s="81" t="str">
        <f t="shared" si="325"/>
        <v/>
      </c>
      <c r="Y798" s="81" t="str">
        <f t="shared" si="326"/>
        <v/>
      </c>
      <c r="Z798" s="81" t="str">
        <f t="shared" si="327"/>
        <v/>
      </c>
      <c r="AA798" s="82" t="str">
        <f t="shared" si="328"/>
        <v/>
      </c>
      <c r="AB798" s="83" t="str">
        <f>IF(R798&lt;&gt;"",(W798-SUMPRODUCT(R$3:R798,$B$3:$B798)/SUM($B$3:$B798))/STDEVA(W788:W798),"")</f>
        <v/>
      </c>
      <c r="AC798" s="84" t="str">
        <f>IF(S798&lt;&gt;"",(X798-SUMPRODUCT(S$3:S798,$B$3:$B798)/SUM($B$3:$B798))/STDEVA(X788:X798),"")</f>
        <v/>
      </c>
      <c r="AD798" s="84" t="str">
        <f>IF(T798&lt;&gt;"",(Y798-SUMPRODUCT(T$3:T798,$B$3:$B798)/SUM($B$3:$B798))/STDEVA(Y788:Y798),"")</f>
        <v/>
      </c>
      <c r="AE798" s="84" t="str">
        <f>IF(U798&lt;&gt;"",(Z798-SUMPRODUCT(U$3:U798,$B$3:$B798)/SUM($B$3:$B798))/STDEVA(Z788:Z798),"")</f>
        <v/>
      </c>
      <c r="AF798" s="85" t="str">
        <f>IF(V798&lt;&gt;"",(AA798-SUMPRODUCT(V$3:V798,$B$3:$B798)/SUM($B$3:$B798))/STDEVA(AA788:AA798),"")</f>
        <v/>
      </c>
      <c r="AG798" s="90" t="str">
        <f t="shared" si="330"/>
        <v/>
      </c>
      <c r="AH798" s="90" t="str">
        <f t="shared" si="330"/>
        <v/>
      </c>
      <c r="AI798" s="90" t="str">
        <f t="shared" si="330"/>
        <v/>
      </c>
      <c r="AJ798" s="90" t="str">
        <f t="shared" si="329"/>
        <v/>
      </c>
      <c r="AK798" s="93" t="str">
        <f t="shared" si="329"/>
        <v/>
      </c>
      <c r="BQ798" s="100" t="str">
        <f>IF(A798&lt;&gt;"",(VLOOKUP(A798,MarketData!$D:$BP,MATCH($BQ$1,MarketData!$D$1:$EG$1,0),TRUE)/100/365+1)^(B798)*BQ797,"")</f>
        <v/>
      </c>
      <c r="BR798" s="98" t="str">
        <f t="shared" si="307"/>
        <v/>
      </c>
      <c r="BS798" s="106" t="str">
        <f>IF(A798&lt;&gt;"",VLOOKUP(A798,MarketData!$D:$BP,MATCH($BS$1,MarketData!$D$1:$EG$1,0),TRUE),"")</f>
        <v/>
      </c>
      <c r="BT798" s="98" t="str">
        <f t="shared" si="318"/>
        <v/>
      </c>
    </row>
    <row r="799" spans="2:72" x14ac:dyDescent="0.25">
      <c r="B799" s="60" t="str">
        <f t="shared" si="331"/>
        <v/>
      </c>
      <c r="C799" s="3" t="str">
        <f t="shared" si="308"/>
        <v/>
      </c>
      <c r="D799" s="3" t="str">
        <f t="shared" si="309"/>
        <v/>
      </c>
      <c r="E799" s="3" t="str">
        <f t="shared" si="310"/>
        <v/>
      </c>
      <c r="F799" s="3" t="str">
        <f t="shared" si="311"/>
        <v/>
      </c>
      <c r="G799" s="74" t="str">
        <f t="shared" si="312"/>
        <v/>
      </c>
      <c r="H799" s="78" t="str">
        <f>IFERROR(C799/SUM(M$2:M798),"")</f>
        <v/>
      </c>
      <c r="I799" s="61" t="str">
        <f>IFERROR(D799/SUM(N$2:N799),"")</f>
        <v/>
      </c>
      <c r="J799" s="61" t="str">
        <f>IFERROR(E799/SUM(O$2:O799),"")</f>
        <v/>
      </c>
      <c r="K799" s="61" t="str">
        <f>IFERROR(F799/SUM(P$2:P799),"")</f>
        <v/>
      </c>
      <c r="L799" s="79" t="str">
        <f>IFERROR(G799/SUM(Q$2:Q799),"")</f>
        <v/>
      </c>
      <c r="M799" s="64" t="str">
        <f t="shared" si="313"/>
        <v/>
      </c>
      <c r="N799" s="55" t="str">
        <f t="shared" si="314"/>
        <v/>
      </c>
      <c r="O799" s="55" t="str">
        <f t="shared" si="315"/>
        <v/>
      </c>
      <c r="P799" s="55" t="str">
        <f t="shared" si="316"/>
        <v/>
      </c>
      <c r="Q799" s="65" t="str">
        <f t="shared" si="317"/>
        <v/>
      </c>
      <c r="R799" s="67" t="str">
        <f t="shared" si="319"/>
        <v/>
      </c>
      <c r="S799" s="56" t="str">
        <f t="shared" si="320"/>
        <v/>
      </c>
      <c r="T799" s="56" t="str">
        <f t="shared" si="321"/>
        <v/>
      </c>
      <c r="U799" s="56" t="str">
        <f t="shared" si="322"/>
        <v/>
      </c>
      <c r="V799" s="68" t="str">
        <f t="shared" si="323"/>
        <v/>
      </c>
      <c r="W799" s="80" t="str">
        <f t="shared" si="324"/>
        <v/>
      </c>
      <c r="X799" s="81" t="str">
        <f t="shared" si="325"/>
        <v/>
      </c>
      <c r="Y799" s="81" t="str">
        <f t="shared" si="326"/>
        <v/>
      </c>
      <c r="Z799" s="81" t="str">
        <f t="shared" si="327"/>
        <v/>
      </c>
      <c r="AA799" s="82" t="str">
        <f t="shared" si="328"/>
        <v/>
      </c>
      <c r="AB799" s="83" t="str">
        <f>IF(R799&lt;&gt;"",(W799-SUMPRODUCT(R$3:R799,$B$3:$B799)/SUM($B$3:$B799))/STDEVA(W789:W799),"")</f>
        <v/>
      </c>
      <c r="AC799" s="84" t="str">
        <f>IF(S799&lt;&gt;"",(X799-SUMPRODUCT(S$3:S799,$B$3:$B799)/SUM($B$3:$B799))/STDEVA(X789:X799),"")</f>
        <v/>
      </c>
      <c r="AD799" s="84" t="str">
        <f>IF(T799&lt;&gt;"",(Y799-SUMPRODUCT(T$3:T799,$B$3:$B799)/SUM($B$3:$B799))/STDEVA(Y789:Y799),"")</f>
        <v/>
      </c>
      <c r="AE799" s="84" t="str">
        <f>IF(U799&lt;&gt;"",(Z799-SUMPRODUCT(U$3:U799,$B$3:$B799)/SUM($B$3:$B799))/STDEVA(Z789:Z799),"")</f>
        <v/>
      </c>
      <c r="AF799" s="85" t="str">
        <f>IF(V799&lt;&gt;"",(AA799-SUMPRODUCT(V$3:V799,$B$3:$B799)/SUM($B$3:$B799))/STDEVA(AA789:AA799),"")</f>
        <v/>
      </c>
      <c r="AG799" s="90" t="str">
        <f t="shared" si="330"/>
        <v/>
      </c>
      <c r="AH799" s="90" t="str">
        <f t="shared" si="330"/>
        <v/>
      </c>
      <c r="AI799" s="90" t="str">
        <f t="shared" si="330"/>
        <v/>
      </c>
      <c r="AJ799" s="90" t="str">
        <f t="shared" si="329"/>
        <v/>
      </c>
      <c r="AK799" s="93" t="str">
        <f t="shared" si="329"/>
        <v/>
      </c>
      <c r="BQ799" s="100" t="str">
        <f>IF(A799&lt;&gt;"",(VLOOKUP(A799,MarketData!$D:$BP,MATCH($BQ$1,MarketData!$D$1:$EG$1,0),TRUE)/100/365+1)^(B799)*BQ798,"")</f>
        <v/>
      </c>
      <c r="BR799" s="98" t="str">
        <f t="shared" si="307"/>
        <v/>
      </c>
      <c r="BS799" s="106" t="str">
        <f>IF(A799&lt;&gt;"",VLOOKUP(A799,MarketData!$D:$BP,MATCH($BS$1,MarketData!$D$1:$EG$1,0),TRUE),"")</f>
        <v/>
      </c>
      <c r="BT799" s="98" t="str">
        <f t="shared" si="318"/>
        <v/>
      </c>
    </row>
    <row r="800" spans="2:72" x14ac:dyDescent="0.25">
      <c r="B800" s="60" t="str">
        <f t="shared" si="331"/>
        <v/>
      </c>
      <c r="C800" s="3" t="str">
        <f t="shared" si="308"/>
        <v/>
      </c>
      <c r="D800" s="3" t="str">
        <f t="shared" si="309"/>
        <v/>
      </c>
      <c r="E800" s="3" t="str">
        <f t="shared" si="310"/>
        <v/>
      </c>
      <c r="F800" s="3" t="str">
        <f t="shared" si="311"/>
        <v/>
      </c>
      <c r="G800" s="74" t="str">
        <f t="shared" si="312"/>
        <v/>
      </c>
      <c r="H800" s="78" t="str">
        <f>IFERROR(C800/SUM(M$2:M799),"")</f>
        <v/>
      </c>
      <c r="I800" s="61" t="str">
        <f>IFERROR(D800/SUM(N$2:N800),"")</f>
        <v/>
      </c>
      <c r="J800" s="61" t="str">
        <f>IFERROR(E800/SUM(O$2:O800),"")</f>
        <v/>
      </c>
      <c r="K800" s="61" t="str">
        <f>IFERROR(F800/SUM(P$2:P800),"")</f>
        <v/>
      </c>
      <c r="L800" s="79" t="str">
        <f>IFERROR(G800/SUM(Q$2:Q800),"")</f>
        <v/>
      </c>
      <c r="M800" s="64" t="str">
        <f t="shared" si="313"/>
        <v/>
      </c>
      <c r="N800" s="55" t="str">
        <f t="shared" si="314"/>
        <v/>
      </c>
      <c r="O800" s="55" t="str">
        <f t="shared" si="315"/>
        <v/>
      </c>
      <c r="P800" s="55" t="str">
        <f t="shared" si="316"/>
        <v/>
      </c>
      <c r="Q800" s="65" t="str">
        <f t="shared" si="317"/>
        <v/>
      </c>
      <c r="R800" s="67" t="str">
        <f t="shared" si="319"/>
        <v/>
      </c>
      <c r="S800" s="56" t="str">
        <f t="shared" si="320"/>
        <v/>
      </c>
      <c r="T800" s="56" t="str">
        <f t="shared" si="321"/>
        <v/>
      </c>
      <c r="U800" s="56" t="str">
        <f t="shared" si="322"/>
        <v/>
      </c>
      <c r="V800" s="68" t="str">
        <f t="shared" si="323"/>
        <v/>
      </c>
      <c r="W800" s="80" t="str">
        <f t="shared" si="324"/>
        <v/>
      </c>
      <c r="X800" s="81" t="str">
        <f t="shared" si="325"/>
        <v/>
      </c>
      <c r="Y800" s="81" t="str">
        <f t="shared" si="326"/>
        <v/>
      </c>
      <c r="Z800" s="81" t="str">
        <f t="shared" si="327"/>
        <v/>
      </c>
      <c r="AA800" s="82" t="str">
        <f t="shared" si="328"/>
        <v/>
      </c>
      <c r="AB800" s="83" t="str">
        <f>IF(R800&lt;&gt;"",(W800-SUMPRODUCT(R$3:R800,$B$3:$B800)/SUM($B$3:$B800))/STDEVA(W790:W800),"")</f>
        <v/>
      </c>
      <c r="AC800" s="84" t="str">
        <f>IF(S800&lt;&gt;"",(X800-SUMPRODUCT(S$3:S800,$B$3:$B800)/SUM($B$3:$B800))/STDEVA(X790:X800),"")</f>
        <v/>
      </c>
      <c r="AD800" s="84" t="str">
        <f>IF(T800&lt;&gt;"",(Y800-SUMPRODUCT(T$3:T800,$B$3:$B800)/SUM($B$3:$B800))/STDEVA(Y790:Y800),"")</f>
        <v/>
      </c>
      <c r="AE800" s="84" t="str">
        <f>IF(U800&lt;&gt;"",(Z800-SUMPRODUCT(U$3:U800,$B$3:$B800)/SUM($B$3:$B800))/STDEVA(Z790:Z800),"")</f>
        <v/>
      </c>
      <c r="AF800" s="85" t="str">
        <f>IF(V800&lt;&gt;"",(AA800-SUMPRODUCT(V$3:V800,$B$3:$B800)/SUM($B$3:$B800))/STDEVA(AA790:AA800),"")</f>
        <v/>
      </c>
      <c r="AG800" s="90" t="str">
        <f t="shared" si="330"/>
        <v/>
      </c>
      <c r="AH800" s="90" t="str">
        <f t="shared" si="330"/>
        <v/>
      </c>
      <c r="AI800" s="90" t="str">
        <f t="shared" si="330"/>
        <v/>
      </c>
      <c r="AJ800" s="90" t="str">
        <f t="shared" si="329"/>
        <v/>
      </c>
      <c r="AK800" s="93" t="str">
        <f t="shared" si="329"/>
        <v/>
      </c>
      <c r="BQ800" s="100" t="str">
        <f>IF(A800&lt;&gt;"",(VLOOKUP(A800,MarketData!$D:$BP,MATCH($BQ$1,MarketData!$D$1:$EG$1,0),TRUE)/100/365+1)^(B800)*BQ799,"")</f>
        <v/>
      </c>
      <c r="BR800" s="98" t="str">
        <f t="shared" si="307"/>
        <v/>
      </c>
      <c r="BS800" s="106" t="str">
        <f>IF(A800&lt;&gt;"",VLOOKUP(A800,MarketData!$D:$BP,MATCH($BS$1,MarketData!$D$1:$EG$1,0),TRUE),"")</f>
        <v/>
      </c>
      <c r="BT800" s="98" t="str">
        <f t="shared" si="318"/>
        <v/>
      </c>
    </row>
    <row r="801" spans="2:72" x14ac:dyDescent="0.25">
      <c r="B801" s="60" t="str">
        <f t="shared" si="331"/>
        <v/>
      </c>
      <c r="C801" s="3" t="str">
        <f t="shared" si="308"/>
        <v/>
      </c>
      <c r="D801" s="3" t="str">
        <f t="shared" si="309"/>
        <v/>
      </c>
      <c r="E801" s="3" t="str">
        <f t="shared" si="310"/>
        <v/>
      </c>
      <c r="F801" s="3" t="str">
        <f t="shared" si="311"/>
        <v/>
      </c>
      <c r="G801" s="74" t="str">
        <f t="shared" si="312"/>
        <v/>
      </c>
      <c r="H801" s="78" t="str">
        <f>IFERROR(C801/SUM(M$2:M800),"")</f>
        <v/>
      </c>
      <c r="I801" s="61" t="str">
        <f>IFERROR(D801/SUM(N$2:N801),"")</f>
        <v/>
      </c>
      <c r="J801" s="61" t="str">
        <f>IFERROR(E801/SUM(O$2:O801),"")</f>
        <v/>
      </c>
      <c r="K801" s="61" t="str">
        <f>IFERROR(F801/SUM(P$2:P801),"")</f>
        <v/>
      </c>
      <c r="L801" s="79" t="str">
        <f>IFERROR(G801/SUM(Q$2:Q801),"")</f>
        <v/>
      </c>
      <c r="M801" s="64" t="str">
        <f t="shared" si="313"/>
        <v/>
      </c>
      <c r="N801" s="55" t="str">
        <f t="shared" si="314"/>
        <v/>
      </c>
      <c r="O801" s="55" t="str">
        <f t="shared" si="315"/>
        <v/>
      </c>
      <c r="P801" s="55" t="str">
        <f t="shared" si="316"/>
        <v/>
      </c>
      <c r="Q801" s="65" t="str">
        <f t="shared" si="317"/>
        <v/>
      </c>
      <c r="R801" s="67" t="str">
        <f t="shared" si="319"/>
        <v/>
      </c>
      <c r="S801" s="56" t="str">
        <f t="shared" si="320"/>
        <v/>
      </c>
      <c r="T801" s="56" t="str">
        <f t="shared" si="321"/>
        <v/>
      </c>
      <c r="U801" s="56" t="str">
        <f t="shared" si="322"/>
        <v/>
      </c>
      <c r="V801" s="68" t="str">
        <f t="shared" si="323"/>
        <v/>
      </c>
      <c r="W801" s="80" t="str">
        <f t="shared" si="324"/>
        <v/>
      </c>
      <c r="X801" s="81" t="str">
        <f t="shared" si="325"/>
        <v/>
      </c>
      <c r="Y801" s="81" t="str">
        <f t="shared" si="326"/>
        <v/>
      </c>
      <c r="Z801" s="81" t="str">
        <f t="shared" si="327"/>
        <v/>
      </c>
      <c r="AA801" s="82" t="str">
        <f t="shared" si="328"/>
        <v/>
      </c>
      <c r="AB801" s="83" t="str">
        <f>IF(R801&lt;&gt;"",(W801-SUMPRODUCT(R$3:R801,$B$3:$B801)/SUM($B$3:$B801))/STDEVA(W791:W801),"")</f>
        <v/>
      </c>
      <c r="AC801" s="84" t="str">
        <f>IF(S801&lt;&gt;"",(X801-SUMPRODUCT(S$3:S801,$B$3:$B801)/SUM($B$3:$B801))/STDEVA(X791:X801),"")</f>
        <v/>
      </c>
      <c r="AD801" s="84" t="str">
        <f>IF(T801&lt;&gt;"",(Y801-SUMPRODUCT(T$3:T801,$B$3:$B801)/SUM($B$3:$B801))/STDEVA(Y791:Y801),"")</f>
        <v/>
      </c>
      <c r="AE801" s="84" t="str">
        <f>IF(U801&lt;&gt;"",(Z801-SUMPRODUCT(U$3:U801,$B$3:$B801)/SUM($B$3:$B801))/STDEVA(Z791:Z801),"")</f>
        <v/>
      </c>
      <c r="AF801" s="85" t="str">
        <f>IF(V801&lt;&gt;"",(AA801-SUMPRODUCT(V$3:V801,$B$3:$B801)/SUM($B$3:$B801))/STDEVA(AA791:AA801),"")</f>
        <v/>
      </c>
      <c r="AG801" s="90" t="str">
        <f t="shared" si="330"/>
        <v/>
      </c>
      <c r="AH801" s="90" t="str">
        <f t="shared" si="330"/>
        <v/>
      </c>
      <c r="AI801" s="90" t="str">
        <f t="shared" si="330"/>
        <v/>
      </c>
      <c r="AJ801" s="90" t="str">
        <f t="shared" si="329"/>
        <v/>
      </c>
      <c r="AK801" s="93" t="str">
        <f t="shared" si="329"/>
        <v/>
      </c>
      <c r="BQ801" s="100" t="str">
        <f>IF(A801&lt;&gt;"",(VLOOKUP(A801,MarketData!$D:$BP,MATCH($BQ$1,MarketData!$D$1:$EG$1,0),TRUE)/100/365+1)^(B801)*BQ800,"")</f>
        <v/>
      </c>
      <c r="BR801" s="98" t="str">
        <f t="shared" si="307"/>
        <v/>
      </c>
      <c r="BS801" s="106" t="str">
        <f>IF(A801&lt;&gt;"",VLOOKUP(A801,MarketData!$D:$BP,MATCH($BS$1,MarketData!$D$1:$EG$1,0),TRUE),"")</f>
        <v/>
      </c>
      <c r="BT801" s="98" t="str">
        <f t="shared" si="318"/>
        <v/>
      </c>
    </row>
    <row r="802" spans="2:72" x14ac:dyDescent="0.25">
      <c r="B802" s="60" t="str">
        <f t="shared" si="331"/>
        <v/>
      </c>
      <c r="C802" s="3" t="str">
        <f t="shared" si="308"/>
        <v/>
      </c>
      <c r="D802" s="3" t="str">
        <f t="shared" si="309"/>
        <v/>
      </c>
      <c r="E802" s="3" t="str">
        <f t="shared" si="310"/>
        <v/>
      </c>
      <c r="F802" s="3" t="str">
        <f t="shared" si="311"/>
        <v/>
      </c>
      <c r="G802" s="74" t="str">
        <f t="shared" si="312"/>
        <v/>
      </c>
      <c r="H802" s="78" t="str">
        <f>IFERROR(C802/SUM(M$2:M801),"")</f>
        <v/>
      </c>
      <c r="I802" s="61" t="str">
        <f>IFERROR(D802/SUM(N$2:N802),"")</f>
        <v/>
      </c>
      <c r="J802" s="61" t="str">
        <f>IFERROR(E802/SUM(O$2:O802),"")</f>
        <v/>
      </c>
      <c r="K802" s="61" t="str">
        <f>IFERROR(F802/SUM(P$2:P802),"")</f>
        <v/>
      </c>
      <c r="L802" s="79" t="str">
        <f>IFERROR(G802/SUM(Q$2:Q802),"")</f>
        <v/>
      </c>
      <c r="M802" s="64" t="str">
        <f t="shared" si="313"/>
        <v/>
      </c>
      <c r="N802" s="55" t="str">
        <f t="shared" si="314"/>
        <v/>
      </c>
      <c r="O802" s="55" t="str">
        <f t="shared" si="315"/>
        <v/>
      </c>
      <c r="P802" s="55" t="str">
        <f t="shared" si="316"/>
        <v/>
      </c>
      <c r="Q802" s="65" t="str">
        <f t="shared" si="317"/>
        <v/>
      </c>
      <c r="R802" s="67" t="str">
        <f t="shared" si="319"/>
        <v/>
      </c>
      <c r="S802" s="56" t="str">
        <f t="shared" si="320"/>
        <v/>
      </c>
      <c r="T802" s="56" t="str">
        <f t="shared" si="321"/>
        <v/>
      </c>
      <c r="U802" s="56" t="str">
        <f t="shared" si="322"/>
        <v/>
      </c>
      <c r="V802" s="68" t="str">
        <f t="shared" si="323"/>
        <v/>
      </c>
      <c r="W802" s="80" t="str">
        <f t="shared" si="324"/>
        <v/>
      </c>
      <c r="X802" s="81" t="str">
        <f t="shared" si="325"/>
        <v/>
      </c>
      <c r="Y802" s="81" t="str">
        <f t="shared" si="326"/>
        <v/>
      </c>
      <c r="Z802" s="81" t="str">
        <f t="shared" si="327"/>
        <v/>
      </c>
      <c r="AA802" s="82" t="str">
        <f t="shared" si="328"/>
        <v/>
      </c>
      <c r="AB802" s="83" t="str">
        <f>IF(R802&lt;&gt;"",(W802-SUMPRODUCT(R$3:R802,$B$3:$B802)/SUM($B$3:$B802))/STDEVA(W792:W802),"")</f>
        <v/>
      </c>
      <c r="AC802" s="84" t="str">
        <f>IF(S802&lt;&gt;"",(X802-SUMPRODUCT(S$3:S802,$B$3:$B802)/SUM($B$3:$B802))/STDEVA(X792:X802),"")</f>
        <v/>
      </c>
      <c r="AD802" s="84" t="str">
        <f>IF(T802&lt;&gt;"",(Y802-SUMPRODUCT(T$3:T802,$B$3:$B802)/SUM($B$3:$B802))/STDEVA(Y792:Y802),"")</f>
        <v/>
      </c>
      <c r="AE802" s="84" t="str">
        <f>IF(U802&lt;&gt;"",(Z802-SUMPRODUCT(U$3:U802,$B$3:$B802)/SUM($B$3:$B802))/STDEVA(Z792:Z802),"")</f>
        <v/>
      </c>
      <c r="AF802" s="85" t="str">
        <f>IF(V802&lt;&gt;"",(AA802-SUMPRODUCT(V$3:V802,$B$3:$B802)/SUM($B$3:$B802))/STDEVA(AA792:AA802),"")</f>
        <v/>
      </c>
      <c r="AG802" s="90" t="str">
        <f t="shared" si="330"/>
        <v/>
      </c>
      <c r="AH802" s="90" t="str">
        <f t="shared" si="330"/>
        <v/>
      </c>
      <c r="AI802" s="90" t="str">
        <f t="shared" si="330"/>
        <v/>
      </c>
      <c r="AJ802" s="90" t="str">
        <f t="shared" si="329"/>
        <v/>
      </c>
      <c r="AK802" s="93" t="str">
        <f t="shared" si="329"/>
        <v/>
      </c>
      <c r="BQ802" s="100" t="str">
        <f>IF(A802&lt;&gt;"",(VLOOKUP(A802,MarketData!$D:$BP,MATCH($BQ$1,MarketData!$D$1:$EG$1,0),TRUE)/100/365+1)^(B802)*BQ801,"")</f>
        <v/>
      </c>
      <c r="BR802" s="98" t="str">
        <f t="shared" si="307"/>
        <v/>
      </c>
      <c r="BS802" s="106" t="str">
        <f>IF(A802&lt;&gt;"",VLOOKUP(A802,MarketData!$D:$BP,MATCH($BS$1,MarketData!$D$1:$EG$1,0),TRUE),"")</f>
        <v/>
      </c>
      <c r="BT802" s="98" t="str">
        <f t="shared" si="318"/>
        <v/>
      </c>
    </row>
    <row r="803" spans="2:72" x14ac:dyDescent="0.25">
      <c r="B803" s="60" t="str">
        <f t="shared" si="331"/>
        <v/>
      </c>
      <c r="C803" s="3" t="str">
        <f t="shared" si="308"/>
        <v/>
      </c>
      <c r="D803" s="3" t="str">
        <f t="shared" si="309"/>
        <v/>
      </c>
      <c r="E803" s="3" t="str">
        <f t="shared" si="310"/>
        <v/>
      </c>
      <c r="F803" s="3" t="str">
        <f t="shared" si="311"/>
        <v/>
      </c>
      <c r="G803" s="74" t="str">
        <f t="shared" si="312"/>
        <v/>
      </c>
      <c r="H803" s="78" t="str">
        <f>IFERROR(C803/SUM(M$2:M802),"")</f>
        <v/>
      </c>
      <c r="I803" s="61" t="str">
        <f>IFERROR(D803/SUM(N$2:N803),"")</f>
        <v/>
      </c>
      <c r="J803" s="61" t="str">
        <f>IFERROR(E803/SUM(O$2:O803),"")</f>
        <v/>
      </c>
      <c r="K803" s="61" t="str">
        <f>IFERROR(F803/SUM(P$2:P803),"")</f>
        <v/>
      </c>
      <c r="L803" s="79" t="str">
        <f>IFERROR(G803/SUM(Q$2:Q803),"")</f>
        <v/>
      </c>
      <c r="M803" s="64" t="str">
        <f t="shared" si="313"/>
        <v/>
      </c>
      <c r="N803" s="55" t="str">
        <f t="shared" si="314"/>
        <v/>
      </c>
      <c r="O803" s="55" t="str">
        <f t="shared" si="315"/>
        <v/>
      </c>
      <c r="P803" s="55" t="str">
        <f t="shared" si="316"/>
        <v/>
      </c>
      <c r="Q803" s="65" t="str">
        <f t="shared" si="317"/>
        <v/>
      </c>
      <c r="R803" s="67" t="str">
        <f t="shared" si="319"/>
        <v/>
      </c>
      <c r="S803" s="56" t="str">
        <f t="shared" si="320"/>
        <v/>
      </c>
      <c r="T803" s="56" t="str">
        <f t="shared" si="321"/>
        <v/>
      </c>
      <c r="U803" s="56" t="str">
        <f t="shared" si="322"/>
        <v/>
      </c>
      <c r="V803" s="68" t="str">
        <f t="shared" si="323"/>
        <v/>
      </c>
      <c r="W803" s="80" t="str">
        <f t="shared" si="324"/>
        <v/>
      </c>
      <c r="X803" s="81" t="str">
        <f t="shared" si="325"/>
        <v/>
      </c>
      <c r="Y803" s="81" t="str">
        <f t="shared" si="326"/>
        <v/>
      </c>
      <c r="Z803" s="81" t="str">
        <f t="shared" si="327"/>
        <v/>
      </c>
      <c r="AA803" s="82" t="str">
        <f t="shared" si="328"/>
        <v/>
      </c>
      <c r="AB803" s="83" t="str">
        <f>IF(R803&lt;&gt;"",(W803-SUMPRODUCT(R$3:R803,$B$3:$B803)/SUM($B$3:$B803))/STDEVA(W793:W803),"")</f>
        <v/>
      </c>
      <c r="AC803" s="84" t="str">
        <f>IF(S803&lt;&gt;"",(X803-SUMPRODUCT(S$3:S803,$B$3:$B803)/SUM($B$3:$B803))/STDEVA(X793:X803),"")</f>
        <v/>
      </c>
      <c r="AD803" s="84" t="str">
        <f>IF(T803&lt;&gt;"",(Y803-SUMPRODUCT(T$3:T803,$B$3:$B803)/SUM($B$3:$B803))/STDEVA(Y793:Y803),"")</f>
        <v/>
      </c>
      <c r="AE803" s="84" t="str">
        <f>IF(U803&lt;&gt;"",(Z803-SUMPRODUCT(U$3:U803,$B$3:$B803)/SUM($B$3:$B803))/STDEVA(Z793:Z803),"")</f>
        <v/>
      </c>
      <c r="AF803" s="85" t="str">
        <f>IF(V803&lt;&gt;"",(AA803-SUMPRODUCT(V$3:V803,$B$3:$B803)/SUM($B$3:$B803))/STDEVA(AA793:AA803),"")</f>
        <v/>
      </c>
      <c r="AG803" s="90" t="str">
        <f t="shared" si="330"/>
        <v/>
      </c>
      <c r="AH803" s="90" t="str">
        <f t="shared" si="330"/>
        <v/>
      </c>
      <c r="AI803" s="90" t="str">
        <f t="shared" si="330"/>
        <v/>
      </c>
      <c r="AJ803" s="90" t="str">
        <f t="shared" si="329"/>
        <v/>
      </c>
      <c r="AK803" s="93" t="str">
        <f t="shared" si="329"/>
        <v/>
      </c>
      <c r="BQ803" s="100" t="str">
        <f>IF(A803&lt;&gt;"",(VLOOKUP(A803,MarketData!$D:$BP,MATCH($BQ$1,MarketData!$D$1:$EG$1,0),TRUE)/100/365+1)^(B803)*BQ802,"")</f>
        <v/>
      </c>
      <c r="BR803" s="98" t="str">
        <f t="shared" si="307"/>
        <v/>
      </c>
      <c r="BS803" s="106" t="str">
        <f>IF(A803&lt;&gt;"",VLOOKUP(A803,MarketData!$D:$BP,MATCH($BS$1,MarketData!$D$1:$EG$1,0),TRUE),"")</f>
        <v/>
      </c>
      <c r="BT803" s="98" t="str">
        <f t="shared" si="318"/>
        <v/>
      </c>
    </row>
    <row r="804" spans="2:72" x14ac:dyDescent="0.25">
      <c r="B804" s="60" t="str">
        <f t="shared" si="331"/>
        <v/>
      </c>
      <c r="C804" s="3" t="str">
        <f t="shared" si="308"/>
        <v/>
      </c>
      <c r="D804" s="3" t="str">
        <f t="shared" si="309"/>
        <v/>
      </c>
      <c r="E804" s="3" t="str">
        <f t="shared" si="310"/>
        <v/>
      </c>
      <c r="F804" s="3" t="str">
        <f t="shared" si="311"/>
        <v/>
      </c>
      <c r="G804" s="74" t="str">
        <f t="shared" si="312"/>
        <v/>
      </c>
      <c r="H804" s="78" t="str">
        <f>IFERROR(C804/SUM(M$2:M803),"")</f>
        <v/>
      </c>
      <c r="I804" s="61" t="str">
        <f>IFERROR(D804/SUM(N$2:N804),"")</f>
        <v/>
      </c>
      <c r="J804" s="61" t="str">
        <f>IFERROR(E804/SUM(O$2:O804),"")</f>
        <v/>
      </c>
      <c r="K804" s="61" t="str">
        <f>IFERROR(F804/SUM(P$2:P804),"")</f>
        <v/>
      </c>
      <c r="L804" s="79" t="str">
        <f>IFERROR(G804/SUM(Q$2:Q804),"")</f>
        <v/>
      </c>
      <c r="M804" s="64" t="str">
        <f t="shared" si="313"/>
        <v/>
      </c>
      <c r="N804" s="55" t="str">
        <f t="shared" si="314"/>
        <v/>
      </c>
      <c r="O804" s="55" t="str">
        <f t="shared" si="315"/>
        <v/>
      </c>
      <c r="P804" s="55" t="str">
        <f t="shared" si="316"/>
        <v/>
      </c>
      <c r="Q804" s="65" t="str">
        <f t="shared" si="317"/>
        <v/>
      </c>
      <c r="R804" s="67" t="str">
        <f t="shared" si="319"/>
        <v/>
      </c>
      <c r="S804" s="56" t="str">
        <f t="shared" si="320"/>
        <v/>
      </c>
      <c r="T804" s="56" t="str">
        <f t="shared" si="321"/>
        <v/>
      </c>
      <c r="U804" s="56" t="str">
        <f t="shared" si="322"/>
        <v/>
      </c>
      <c r="V804" s="68" t="str">
        <f t="shared" si="323"/>
        <v/>
      </c>
      <c r="W804" s="80" t="str">
        <f t="shared" si="324"/>
        <v/>
      </c>
      <c r="X804" s="81" t="str">
        <f t="shared" si="325"/>
        <v/>
      </c>
      <c r="Y804" s="81" t="str">
        <f t="shared" si="326"/>
        <v/>
      </c>
      <c r="Z804" s="81" t="str">
        <f t="shared" si="327"/>
        <v/>
      </c>
      <c r="AA804" s="82" t="str">
        <f t="shared" si="328"/>
        <v/>
      </c>
      <c r="AB804" s="83" t="str">
        <f>IF(R804&lt;&gt;"",(W804-SUMPRODUCT(R$3:R804,$B$3:$B804)/SUM($B$3:$B804))/STDEVA(W794:W804),"")</f>
        <v/>
      </c>
      <c r="AC804" s="84" t="str">
        <f>IF(S804&lt;&gt;"",(X804-SUMPRODUCT(S$3:S804,$B$3:$B804)/SUM($B$3:$B804))/STDEVA(X794:X804),"")</f>
        <v/>
      </c>
      <c r="AD804" s="84" t="str">
        <f>IF(T804&lt;&gt;"",(Y804-SUMPRODUCT(T$3:T804,$B$3:$B804)/SUM($B$3:$B804))/STDEVA(Y794:Y804),"")</f>
        <v/>
      </c>
      <c r="AE804" s="84" t="str">
        <f>IF(U804&lt;&gt;"",(Z804-SUMPRODUCT(U$3:U804,$B$3:$B804)/SUM($B$3:$B804))/STDEVA(Z794:Z804),"")</f>
        <v/>
      </c>
      <c r="AF804" s="85" t="str">
        <f>IF(V804&lt;&gt;"",(AA804-SUMPRODUCT(V$3:V804,$B$3:$B804)/SUM($B$3:$B804))/STDEVA(AA794:AA804),"")</f>
        <v/>
      </c>
      <c r="AG804" s="90" t="str">
        <f t="shared" si="330"/>
        <v/>
      </c>
      <c r="AH804" s="90" t="str">
        <f t="shared" si="330"/>
        <v/>
      </c>
      <c r="AI804" s="90" t="str">
        <f t="shared" si="330"/>
        <v/>
      </c>
      <c r="AJ804" s="90" t="str">
        <f t="shared" si="329"/>
        <v/>
      </c>
      <c r="AK804" s="93" t="str">
        <f t="shared" si="329"/>
        <v/>
      </c>
      <c r="BQ804" s="100" t="str">
        <f>IF(A804&lt;&gt;"",(VLOOKUP(A804,MarketData!$D:$BP,MATCH($BQ$1,MarketData!$D$1:$EG$1,0),TRUE)/100/365+1)^(B804)*BQ803,"")</f>
        <v/>
      </c>
      <c r="BR804" s="98" t="str">
        <f t="shared" si="307"/>
        <v/>
      </c>
      <c r="BS804" s="106" t="str">
        <f>IF(A804&lt;&gt;"",VLOOKUP(A804,MarketData!$D:$BP,MATCH($BS$1,MarketData!$D$1:$EG$1,0),TRUE),"")</f>
        <v/>
      </c>
      <c r="BT804" s="98" t="str">
        <f t="shared" si="318"/>
        <v/>
      </c>
    </row>
    <row r="805" spans="2:72" x14ac:dyDescent="0.25">
      <c r="B805" s="60" t="str">
        <f t="shared" si="331"/>
        <v/>
      </c>
      <c r="C805" s="3" t="str">
        <f t="shared" si="308"/>
        <v/>
      </c>
      <c r="D805" s="3" t="str">
        <f t="shared" si="309"/>
        <v/>
      </c>
      <c r="E805" s="3" t="str">
        <f t="shared" si="310"/>
        <v/>
      </c>
      <c r="F805" s="3" t="str">
        <f t="shared" si="311"/>
        <v/>
      </c>
      <c r="G805" s="74" t="str">
        <f t="shared" si="312"/>
        <v/>
      </c>
      <c r="H805" s="78" t="str">
        <f>IFERROR(C805/SUM(M$2:M804),"")</f>
        <v/>
      </c>
      <c r="I805" s="61" t="str">
        <f>IFERROR(D805/SUM(N$2:N805),"")</f>
        <v/>
      </c>
      <c r="J805" s="61" t="str">
        <f>IFERROR(E805/SUM(O$2:O805),"")</f>
        <v/>
      </c>
      <c r="K805" s="61" t="str">
        <f>IFERROR(F805/SUM(P$2:P805),"")</f>
        <v/>
      </c>
      <c r="L805" s="79" t="str">
        <f>IFERROR(G805/SUM(Q$2:Q805),"")</f>
        <v/>
      </c>
      <c r="M805" s="64" t="str">
        <f t="shared" si="313"/>
        <v/>
      </c>
      <c r="N805" s="55" t="str">
        <f t="shared" si="314"/>
        <v/>
      </c>
      <c r="O805" s="55" t="str">
        <f t="shared" si="315"/>
        <v/>
      </c>
      <c r="P805" s="55" t="str">
        <f t="shared" si="316"/>
        <v/>
      </c>
      <c r="Q805" s="65" t="str">
        <f t="shared" si="317"/>
        <v/>
      </c>
      <c r="R805" s="67" t="str">
        <f t="shared" si="319"/>
        <v/>
      </c>
      <c r="S805" s="56" t="str">
        <f t="shared" si="320"/>
        <v/>
      </c>
      <c r="T805" s="56" t="str">
        <f t="shared" si="321"/>
        <v/>
      </c>
      <c r="U805" s="56" t="str">
        <f t="shared" si="322"/>
        <v/>
      </c>
      <c r="V805" s="68" t="str">
        <f t="shared" si="323"/>
        <v/>
      </c>
      <c r="W805" s="80" t="str">
        <f t="shared" si="324"/>
        <v/>
      </c>
      <c r="X805" s="81" t="str">
        <f t="shared" si="325"/>
        <v/>
      </c>
      <c r="Y805" s="81" t="str">
        <f t="shared" si="326"/>
        <v/>
      </c>
      <c r="Z805" s="81" t="str">
        <f t="shared" si="327"/>
        <v/>
      </c>
      <c r="AA805" s="82" t="str">
        <f t="shared" si="328"/>
        <v/>
      </c>
      <c r="AB805" s="83" t="str">
        <f>IF(R805&lt;&gt;"",(W805-SUMPRODUCT(R$3:R805,$B$3:$B805)/SUM($B$3:$B805))/STDEVA(W795:W805),"")</f>
        <v/>
      </c>
      <c r="AC805" s="84" t="str">
        <f>IF(S805&lt;&gt;"",(X805-SUMPRODUCT(S$3:S805,$B$3:$B805)/SUM($B$3:$B805))/STDEVA(X795:X805),"")</f>
        <v/>
      </c>
      <c r="AD805" s="84" t="str">
        <f>IF(T805&lt;&gt;"",(Y805-SUMPRODUCT(T$3:T805,$B$3:$B805)/SUM($B$3:$B805))/STDEVA(Y795:Y805),"")</f>
        <v/>
      </c>
      <c r="AE805" s="84" t="str">
        <f>IF(U805&lt;&gt;"",(Z805-SUMPRODUCT(U$3:U805,$B$3:$B805)/SUM($B$3:$B805))/STDEVA(Z795:Z805),"")</f>
        <v/>
      </c>
      <c r="AF805" s="85" t="str">
        <f>IF(V805&lt;&gt;"",(AA805-SUMPRODUCT(V$3:V805,$B$3:$B805)/SUM($B$3:$B805))/STDEVA(AA795:AA805),"")</f>
        <v/>
      </c>
      <c r="AG805" s="90" t="str">
        <f t="shared" si="330"/>
        <v/>
      </c>
      <c r="AH805" s="90" t="str">
        <f t="shared" si="330"/>
        <v/>
      </c>
      <c r="AI805" s="90" t="str">
        <f t="shared" si="330"/>
        <v/>
      </c>
      <c r="AJ805" s="90" t="str">
        <f t="shared" si="329"/>
        <v/>
      </c>
      <c r="AK805" s="93" t="str">
        <f t="shared" si="329"/>
        <v/>
      </c>
      <c r="BQ805" s="100" t="str">
        <f>IF(A805&lt;&gt;"",(VLOOKUP(A805,MarketData!$D:$BP,MATCH($BQ$1,MarketData!$D$1:$EG$1,0),TRUE)/100/365+1)^(B805)*BQ804,"")</f>
        <v/>
      </c>
      <c r="BR805" s="98" t="str">
        <f t="shared" si="307"/>
        <v/>
      </c>
      <c r="BS805" s="106" t="str">
        <f>IF(A805&lt;&gt;"",VLOOKUP(A805,MarketData!$D:$BP,MATCH($BS$1,MarketData!$D$1:$EG$1,0),TRUE),"")</f>
        <v/>
      </c>
      <c r="BT805" s="98" t="str">
        <f t="shared" si="318"/>
        <v/>
      </c>
    </row>
    <row r="806" spans="2:72" x14ac:dyDescent="0.25">
      <c r="B806" s="60" t="str">
        <f t="shared" si="331"/>
        <v/>
      </c>
      <c r="C806" s="3" t="str">
        <f t="shared" si="308"/>
        <v/>
      </c>
      <c r="D806" s="3" t="str">
        <f t="shared" si="309"/>
        <v/>
      </c>
      <c r="E806" s="3" t="str">
        <f t="shared" si="310"/>
        <v/>
      </c>
      <c r="F806" s="3" t="str">
        <f t="shared" si="311"/>
        <v/>
      </c>
      <c r="G806" s="74" t="str">
        <f t="shared" si="312"/>
        <v/>
      </c>
      <c r="H806" s="78" t="str">
        <f>IFERROR(C806/SUM(M$2:M805),"")</f>
        <v/>
      </c>
      <c r="I806" s="61" t="str">
        <f>IFERROR(D806/SUM(N$2:N806),"")</f>
        <v/>
      </c>
      <c r="J806" s="61" t="str">
        <f>IFERROR(E806/SUM(O$2:O806),"")</f>
        <v/>
      </c>
      <c r="K806" s="61" t="str">
        <f>IFERROR(F806/SUM(P$2:P806),"")</f>
        <v/>
      </c>
      <c r="L806" s="79" t="str">
        <f>IFERROR(G806/SUM(Q$2:Q806),"")</f>
        <v/>
      </c>
      <c r="M806" s="64" t="str">
        <f t="shared" si="313"/>
        <v/>
      </c>
      <c r="N806" s="55" t="str">
        <f t="shared" si="314"/>
        <v/>
      </c>
      <c r="O806" s="55" t="str">
        <f t="shared" si="315"/>
        <v/>
      </c>
      <c r="P806" s="55" t="str">
        <f t="shared" si="316"/>
        <v/>
      </c>
      <c r="Q806" s="65" t="str">
        <f t="shared" si="317"/>
        <v/>
      </c>
      <c r="R806" s="67" t="str">
        <f t="shared" si="319"/>
        <v/>
      </c>
      <c r="S806" s="56" t="str">
        <f t="shared" si="320"/>
        <v/>
      </c>
      <c r="T806" s="56" t="str">
        <f t="shared" si="321"/>
        <v/>
      </c>
      <c r="U806" s="56" t="str">
        <f t="shared" si="322"/>
        <v/>
      </c>
      <c r="V806" s="68" t="str">
        <f t="shared" si="323"/>
        <v/>
      </c>
      <c r="W806" s="80" t="str">
        <f t="shared" si="324"/>
        <v/>
      </c>
      <c r="X806" s="81" t="str">
        <f t="shared" si="325"/>
        <v/>
      </c>
      <c r="Y806" s="81" t="str">
        <f t="shared" si="326"/>
        <v/>
      </c>
      <c r="Z806" s="81" t="str">
        <f t="shared" si="327"/>
        <v/>
      </c>
      <c r="AA806" s="82" t="str">
        <f t="shared" si="328"/>
        <v/>
      </c>
      <c r="AB806" s="83" t="str">
        <f>IF(R806&lt;&gt;"",(W806-SUMPRODUCT(R$3:R806,$B$3:$B806)/SUM($B$3:$B806))/STDEVA(W796:W806),"")</f>
        <v/>
      </c>
      <c r="AC806" s="84" t="str">
        <f>IF(S806&lt;&gt;"",(X806-SUMPRODUCT(S$3:S806,$B$3:$B806)/SUM($B$3:$B806))/STDEVA(X796:X806),"")</f>
        <v/>
      </c>
      <c r="AD806" s="84" t="str">
        <f>IF(T806&lt;&gt;"",(Y806-SUMPRODUCT(T$3:T806,$B$3:$B806)/SUM($B$3:$B806))/STDEVA(Y796:Y806),"")</f>
        <v/>
      </c>
      <c r="AE806" s="84" t="str">
        <f>IF(U806&lt;&gt;"",(Z806-SUMPRODUCT(U$3:U806,$B$3:$B806)/SUM($B$3:$B806))/STDEVA(Z796:Z806),"")</f>
        <v/>
      </c>
      <c r="AF806" s="85" t="str">
        <f>IF(V806&lt;&gt;"",(AA806-SUMPRODUCT(V$3:V806,$B$3:$B806)/SUM($B$3:$B806))/STDEVA(AA796:AA806),"")</f>
        <v/>
      </c>
      <c r="AG806" s="90" t="str">
        <f t="shared" si="330"/>
        <v/>
      </c>
      <c r="AH806" s="90" t="str">
        <f t="shared" si="330"/>
        <v/>
      </c>
      <c r="AI806" s="90" t="str">
        <f t="shared" si="330"/>
        <v/>
      </c>
      <c r="AJ806" s="90" t="str">
        <f t="shared" si="329"/>
        <v/>
      </c>
      <c r="AK806" s="93" t="str">
        <f t="shared" si="329"/>
        <v/>
      </c>
      <c r="BQ806" s="100" t="str">
        <f>IF(A806&lt;&gt;"",(VLOOKUP(A806,MarketData!$D:$BP,MATCH($BQ$1,MarketData!$D$1:$EG$1,0),TRUE)/100/365+1)^(B806)*BQ805,"")</f>
        <v/>
      </c>
      <c r="BR806" s="98" t="str">
        <f t="shared" si="307"/>
        <v/>
      </c>
      <c r="BS806" s="106" t="str">
        <f>IF(A806&lt;&gt;"",VLOOKUP(A806,MarketData!$D:$BP,MATCH($BS$1,MarketData!$D$1:$EG$1,0),TRUE),"")</f>
        <v/>
      </c>
      <c r="BT806" s="98" t="str">
        <f t="shared" si="318"/>
        <v/>
      </c>
    </row>
    <row r="807" spans="2:72" x14ac:dyDescent="0.25">
      <c r="B807" s="60" t="str">
        <f t="shared" si="331"/>
        <v/>
      </c>
      <c r="C807" s="3" t="str">
        <f t="shared" si="308"/>
        <v/>
      </c>
      <c r="D807" s="3" t="str">
        <f t="shared" si="309"/>
        <v/>
      </c>
      <c r="E807" s="3" t="str">
        <f t="shared" si="310"/>
        <v/>
      </c>
      <c r="F807" s="3" t="str">
        <f t="shared" si="311"/>
        <v/>
      </c>
      <c r="G807" s="74" t="str">
        <f t="shared" si="312"/>
        <v/>
      </c>
      <c r="H807" s="78" t="str">
        <f>IFERROR(C807/SUM(M$2:M806),"")</f>
        <v/>
      </c>
      <c r="I807" s="61" t="str">
        <f>IFERROR(D807/SUM(N$2:N807),"")</f>
        <v/>
      </c>
      <c r="J807" s="61" t="str">
        <f>IFERROR(E807/SUM(O$2:O807),"")</f>
        <v/>
      </c>
      <c r="K807" s="61" t="str">
        <f>IFERROR(F807/SUM(P$2:P807),"")</f>
        <v/>
      </c>
      <c r="L807" s="79" t="str">
        <f>IFERROR(G807/SUM(Q$2:Q807),"")</f>
        <v/>
      </c>
      <c r="M807" s="64" t="str">
        <f t="shared" si="313"/>
        <v/>
      </c>
      <c r="N807" s="55" t="str">
        <f t="shared" si="314"/>
        <v/>
      </c>
      <c r="O807" s="55" t="str">
        <f t="shared" si="315"/>
        <v/>
      </c>
      <c r="P807" s="55" t="str">
        <f t="shared" si="316"/>
        <v/>
      </c>
      <c r="Q807" s="65" t="str">
        <f t="shared" si="317"/>
        <v/>
      </c>
      <c r="R807" s="67" t="str">
        <f t="shared" si="319"/>
        <v/>
      </c>
      <c r="S807" s="56" t="str">
        <f t="shared" si="320"/>
        <v/>
      </c>
      <c r="T807" s="56" t="str">
        <f t="shared" si="321"/>
        <v/>
      </c>
      <c r="U807" s="56" t="str">
        <f t="shared" si="322"/>
        <v/>
      </c>
      <c r="V807" s="68" t="str">
        <f t="shared" si="323"/>
        <v/>
      </c>
      <c r="W807" s="80" t="str">
        <f t="shared" si="324"/>
        <v/>
      </c>
      <c r="X807" s="81" t="str">
        <f t="shared" si="325"/>
        <v/>
      </c>
      <c r="Y807" s="81" t="str">
        <f t="shared" si="326"/>
        <v/>
      </c>
      <c r="Z807" s="81" t="str">
        <f t="shared" si="327"/>
        <v/>
      </c>
      <c r="AA807" s="82" t="str">
        <f t="shared" si="328"/>
        <v/>
      </c>
      <c r="AB807" s="83" t="str">
        <f>IF(R807&lt;&gt;"",(W807-SUMPRODUCT(R$3:R807,$B$3:$B807)/SUM($B$3:$B807))/STDEVA(W797:W807),"")</f>
        <v/>
      </c>
      <c r="AC807" s="84" t="str">
        <f>IF(S807&lt;&gt;"",(X807-SUMPRODUCT(S$3:S807,$B$3:$B807)/SUM($B$3:$B807))/STDEVA(X797:X807),"")</f>
        <v/>
      </c>
      <c r="AD807" s="84" t="str">
        <f>IF(T807&lt;&gt;"",(Y807-SUMPRODUCT(T$3:T807,$B$3:$B807)/SUM($B$3:$B807))/STDEVA(Y797:Y807),"")</f>
        <v/>
      </c>
      <c r="AE807" s="84" t="str">
        <f>IF(U807&lt;&gt;"",(Z807-SUMPRODUCT(U$3:U807,$B$3:$B807)/SUM($B$3:$B807))/STDEVA(Z797:Z807),"")</f>
        <v/>
      </c>
      <c r="AF807" s="85" t="str">
        <f>IF(V807&lt;&gt;"",(AA807-SUMPRODUCT(V$3:V807,$B$3:$B807)/SUM($B$3:$B807))/STDEVA(AA797:AA807),"")</f>
        <v/>
      </c>
      <c r="AG807" s="90" t="str">
        <f t="shared" si="330"/>
        <v/>
      </c>
      <c r="AH807" s="90" t="str">
        <f t="shared" si="330"/>
        <v/>
      </c>
      <c r="AI807" s="90" t="str">
        <f t="shared" si="330"/>
        <v/>
      </c>
      <c r="AJ807" s="90" t="str">
        <f t="shared" si="329"/>
        <v/>
      </c>
      <c r="AK807" s="93" t="str">
        <f t="shared" si="329"/>
        <v/>
      </c>
      <c r="BQ807" s="100" t="str">
        <f>IF(A807&lt;&gt;"",(VLOOKUP(A807,MarketData!$D:$BP,MATCH($BQ$1,MarketData!$D$1:$EG$1,0),TRUE)/100/365+1)^(B807)*BQ806,"")</f>
        <v/>
      </c>
      <c r="BR807" s="98" t="str">
        <f t="shared" si="307"/>
        <v/>
      </c>
      <c r="BS807" s="106" t="str">
        <f>IF(A807&lt;&gt;"",VLOOKUP(A807,MarketData!$D:$BP,MATCH($BS$1,MarketData!$D$1:$EG$1,0),TRUE),"")</f>
        <v/>
      </c>
      <c r="BT807" s="98" t="str">
        <f t="shared" si="318"/>
        <v/>
      </c>
    </row>
    <row r="808" spans="2:72" x14ac:dyDescent="0.25">
      <c r="B808" s="60" t="str">
        <f t="shared" si="331"/>
        <v/>
      </c>
      <c r="C808" s="3" t="str">
        <f t="shared" si="308"/>
        <v/>
      </c>
      <c r="D808" s="3" t="str">
        <f t="shared" si="309"/>
        <v/>
      </c>
      <c r="E808" s="3" t="str">
        <f t="shared" si="310"/>
        <v/>
      </c>
      <c r="F808" s="3" t="str">
        <f t="shared" si="311"/>
        <v/>
      </c>
      <c r="G808" s="74" t="str">
        <f t="shared" si="312"/>
        <v/>
      </c>
      <c r="H808" s="78" t="str">
        <f>IFERROR(C808/SUM(M$2:M807),"")</f>
        <v/>
      </c>
      <c r="I808" s="61" t="str">
        <f>IFERROR(D808/SUM(N$2:N808),"")</f>
        <v/>
      </c>
      <c r="J808" s="61" t="str">
        <f>IFERROR(E808/SUM(O$2:O808),"")</f>
        <v/>
      </c>
      <c r="K808" s="61" t="str">
        <f>IFERROR(F808/SUM(P$2:P808),"")</f>
        <v/>
      </c>
      <c r="L808" s="79" t="str">
        <f>IFERROR(G808/SUM(Q$2:Q808),"")</f>
        <v/>
      </c>
      <c r="M808" s="64" t="str">
        <f t="shared" si="313"/>
        <v/>
      </c>
      <c r="N808" s="55" t="str">
        <f t="shared" si="314"/>
        <v/>
      </c>
      <c r="O808" s="55" t="str">
        <f t="shared" si="315"/>
        <v/>
      </c>
      <c r="P808" s="55" t="str">
        <f t="shared" si="316"/>
        <v/>
      </c>
      <c r="Q808" s="65" t="str">
        <f t="shared" si="317"/>
        <v/>
      </c>
      <c r="R808" s="67" t="str">
        <f t="shared" si="319"/>
        <v/>
      </c>
      <c r="S808" s="56" t="str">
        <f t="shared" si="320"/>
        <v/>
      </c>
      <c r="T808" s="56" t="str">
        <f t="shared" si="321"/>
        <v/>
      </c>
      <c r="U808" s="56" t="str">
        <f t="shared" si="322"/>
        <v/>
      </c>
      <c r="V808" s="68" t="str">
        <f t="shared" si="323"/>
        <v/>
      </c>
      <c r="W808" s="80" t="str">
        <f t="shared" si="324"/>
        <v/>
      </c>
      <c r="X808" s="81" t="str">
        <f t="shared" si="325"/>
        <v/>
      </c>
      <c r="Y808" s="81" t="str">
        <f t="shared" si="326"/>
        <v/>
      </c>
      <c r="Z808" s="81" t="str">
        <f t="shared" si="327"/>
        <v/>
      </c>
      <c r="AA808" s="82" t="str">
        <f t="shared" si="328"/>
        <v/>
      </c>
      <c r="AB808" s="83" t="str">
        <f>IF(R808&lt;&gt;"",(W808-SUMPRODUCT(R$3:R808,$B$3:$B808)/SUM($B$3:$B808))/STDEVA(W798:W808),"")</f>
        <v/>
      </c>
      <c r="AC808" s="84" t="str">
        <f>IF(S808&lt;&gt;"",(X808-SUMPRODUCT(S$3:S808,$B$3:$B808)/SUM($B$3:$B808))/STDEVA(X798:X808),"")</f>
        <v/>
      </c>
      <c r="AD808" s="84" t="str">
        <f>IF(T808&lt;&gt;"",(Y808-SUMPRODUCT(T$3:T808,$B$3:$B808)/SUM($B$3:$B808))/STDEVA(Y798:Y808),"")</f>
        <v/>
      </c>
      <c r="AE808" s="84" t="str">
        <f>IF(U808&lt;&gt;"",(Z808-SUMPRODUCT(U$3:U808,$B$3:$B808)/SUM($B$3:$B808))/STDEVA(Z798:Z808),"")</f>
        <v/>
      </c>
      <c r="AF808" s="85" t="str">
        <f>IF(V808&lt;&gt;"",(AA808-SUMPRODUCT(V$3:V808,$B$3:$B808)/SUM($B$3:$B808))/STDEVA(AA798:AA808),"")</f>
        <v/>
      </c>
      <c r="AG808" s="90" t="str">
        <f t="shared" si="330"/>
        <v/>
      </c>
      <c r="AH808" s="90" t="str">
        <f t="shared" si="330"/>
        <v/>
      </c>
      <c r="AI808" s="90" t="str">
        <f t="shared" si="330"/>
        <v/>
      </c>
      <c r="AJ808" s="90" t="str">
        <f t="shared" si="329"/>
        <v/>
      </c>
      <c r="AK808" s="93" t="str">
        <f t="shared" si="329"/>
        <v/>
      </c>
      <c r="BQ808" s="100" t="str">
        <f>IF(A808&lt;&gt;"",(VLOOKUP(A808,MarketData!$D:$BP,MATCH($BQ$1,MarketData!$D$1:$EG$1,0),TRUE)/100/365+1)^(B808)*BQ807,"")</f>
        <v/>
      </c>
      <c r="BR808" s="98" t="str">
        <f t="shared" si="307"/>
        <v/>
      </c>
      <c r="BS808" s="106" t="str">
        <f>IF(A808&lt;&gt;"",VLOOKUP(A808,MarketData!$D:$BP,MATCH($BS$1,MarketData!$D$1:$EG$1,0),TRUE),"")</f>
        <v/>
      </c>
      <c r="BT808" s="98" t="str">
        <f t="shared" si="318"/>
        <v/>
      </c>
    </row>
    <row r="809" spans="2:72" x14ac:dyDescent="0.25">
      <c r="B809" s="60" t="str">
        <f t="shared" si="331"/>
        <v/>
      </c>
      <c r="C809" s="3" t="str">
        <f t="shared" si="308"/>
        <v/>
      </c>
      <c r="D809" s="3" t="str">
        <f t="shared" si="309"/>
        <v/>
      </c>
      <c r="E809" s="3" t="str">
        <f t="shared" si="310"/>
        <v/>
      </c>
      <c r="F809" s="3" t="str">
        <f t="shared" si="311"/>
        <v/>
      </c>
      <c r="G809" s="74" t="str">
        <f t="shared" si="312"/>
        <v/>
      </c>
      <c r="H809" s="78" t="str">
        <f>IFERROR(C809/SUM(M$2:M808),"")</f>
        <v/>
      </c>
      <c r="I809" s="61" t="str">
        <f>IFERROR(D809/SUM(N$2:N809),"")</f>
        <v/>
      </c>
      <c r="J809" s="61" t="str">
        <f>IFERROR(E809/SUM(O$2:O809),"")</f>
        <v/>
      </c>
      <c r="K809" s="61" t="str">
        <f>IFERROR(F809/SUM(P$2:P809),"")</f>
        <v/>
      </c>
      <c r="L809" s="79" t="str">
        <f>IFERROR(G809/SUM(Q$2:Q809),"")</f>
        <v/>
      </c>
      <c r="M809" s="64" t="str">
        <f t="shared" si="313"/>
        <v/>
      </c>
      <c r="N809" s="55" t="str">
        <f t="shared" si="314"/>
        <v/>
      </c>
      <c r="O809" s="55" t="str">
        <f t="shared" si="315"/>
        <v/>
      </c>
      <c r="P809" s="55" t="str">
        <f t="shared" si="316"/>
        <v/>
      </c>
      <c r="Q809" s="65" t="str">
        <f t="shared" si="317"/>
        <v/>
      </c>
      <c r="R809" s="67" t="str">
        <f t="shared" si="319"/>
        <v/>
      </c>
      <c r="S809" s="56" t="str">
        <f t="shared" si="320"/>
        <v/>
      </c>
      <c r="T809" s="56" t="str">
        <f t="shared" si="321"/>
        <v/>
      </c>
      <c r="U809" s="56" t="str">
        <f t="shared" si="322"/>
        <v/>
      </c>
      <c r="V809" s="68" t="str">
        <f t="shared" si="323"/>
        <v/>
      </c>
      <c r="W809" s="80" t="str">
        <f t="shared" si="324"/>
        <v/>
      </c>
      <c r="X809" s="81" t="str">
        <f t="shared" si="325"/>
        <v/>
      </c>
      <c r="Y809" s="81" t="str">
        <f t="shared" si="326"/>
        <v/>
      </c>
      <c r="Z809" s="81" t="str">
        <f t="shared" si="327"/>
        <v/>
      </c>
      <c r="AA809" s="82" t="str">
        <f t="shared" si="328"/>
        <v/>
      </c>
      <c r="AB809" s="83" t="str">
        <f>IF(R809&lt;&gt;"",(W809-SUMPRODUCT(R$3:R809,$B$3:$B809)/SUM($B$3:$B809))/STDEVA(W799:W809),"")</f>
        <v/>
      </c>
      <c r="AC809" s="84" t="str">
        <f>IF(S809&lt;&gt;"",(X809-SUMPRODUCT(S$3:S809,$B$3:$B809)/SUM($B$3:$B809))/STDEVA(X799:X809),"")</f>
        <v/>
      </c>
      <c r="AD809" s="84" t="str">
        <f>IF(T809&lt;&gt;"",(Y809-SUMPRODUCT(T$3:T809,$B$3:$B809)/SUM($B$3:$B809))/STDEVA(Y799:Y809),"")</f>
        <v/>
      </c>
      <c r="AE809" s="84" t="str">
        <f>IF(U809&lt;&gt;"",(Z809-SUMPRODUCT(U$3:U809,$B$3:$B809)/SUM($B$3:$B809))/STDEVA(Z799:Z809),"")</f>
        <v/>
      </c>
      <c r="AF809" s="85" t="str">
        <f>IF(V809&lt;&gt;"",(AA809-SUMPRODUCT(V$3:V809,$B$3:$B809)/SUM($B$3:$B809))/STDEVA(AA799:AA809),"")</f>
        <v/>
      </c>
      <c r="AG809" s="90" t="str">
        <f t="shared" si="330"/>
        <v/>
      </c>
      <c r="AH809" s="90" t="str">
        <f t="shared" si="330"/>
        <v/>
      </c>
      <c r="AI809" s="90" t="str">
        <f t="shared" si="330"/>
        <v/>
      </c>
      <c r="AJ809" s="90" t="str">
        <f t="shared" si="329"/>
        <v/>
      </c>
      <c r="AK809" s="93" t="str">
        <f t="shared" si="329"/>
        <v/>
      </c>
      <c r="BQ809" s="100" t="str">
        <f>IF(A809&lt;&gt;"",(VLOOKUP(A809,MarketData!$D:$BP,MATCH($BQ$1,MarketData!$D$1:$EG$1,0),TRUE)/100/365+1)^(B809)*BQ808,"")</f>
        <v/>
      </c>
      <c r="BR809" s="98" t="str">
        <f t="shared" si="307"/>
        <v/>
      </c>
      <c r="BS809" s="106" t="str">
        <f>IF(A809&lt;&gt;"",VLOOKUP(A809,MarketData!$D:$BP,MATCH($BS$1,MarketData!$D$1:$EG$1,0),TRUE),"")</f>
        <v/>
      </c>
      <c r="BT809" s="98" t="str">
        <f t="shared" si="318"/>
        <v/>
      </c>
    </row>
    <row r="810" spans="2:72" x14ac:dyDescent="0.25">
      <c r="B810" s="60" t="str">
        <f t="shared" si="331"/>
        <v/>
      </c>
      <c r="C810" s="3" t="str">
        <f t="shared" si="308"/>
        <v/>
      </c>
      <c r="D810" s="3" t="str">
        <f t="shared" si="309"/>
        <v/>
      </c>
      <c r="E810" s="3" t="str">
        <f t="shared" si="310"/>
        <v/>
      </c>
      <c r="F810" s="3" t="str">
        <f t="shared" si="311"/>
        <v/>
      </c>
      <c r="G810" s="74" t="str">
        <f t="shared" si="312"/>
        <v/>
      </c>
      <c r="H810" s="78" t="str">
        <f>IFERROR(C810/SUM(M$2:M809),"")</f>
        <v/>
      </c>
      <c r="I810" s="61" t="str">
        <f>IFERROR(D810/SUM(N$2:N810),"")</f>
        <v/>
      </c>
      <c r="J810" s="61" t="str">
        <f>IFERROR(E810/SUM(O$2:O810),"")</f>
        <v/>
      </c>
      <c r="K810" s="61" t="str">
        <f>IFERROR(F810/SUM(P$2:P810),"")</f>
        <v/>
      </c>
      <c r="L810" s="79" t="str">
        <f>IFERROR(G810/SUM(Q$2:Q810),"")</f>
        <v/>
      </c>
      <c r="M810" s="64" t="str">
        <f t="shared" si="313"/>
        <v/>
      </c>
      <c r="N810" s="55" t="str">
        <f t="shared" si="314"/>
        <v/>
      </c>
      <c r="O810" s="55" t="str">
        <f t="shared" si="315"/>
        <v/>
      </c>
      <c r="P810" s="55" t="str">
        <f t="shared" si="316"/>
        <v/>
      </c>
      <c r="Q810" s="65" t="str">
        <f t="shared" si="317"/>
        <v/>
      </c>
      <c r="R810" s="67" t="str">
        <f t="shared" si="319"/>
        <v/>
      </c>
      <c r="S810" s="56" t="str">
        <f t="shared" si="320"/>
        <v/>
      </c>
      <c r="T810" s="56" t="str">
        <f t="shared" si="321"/>
        <v/>
      </c>
      <c r="U810" s="56" t="str">
        <f t="shared" si="322"/>
        <v/>
      </c>
      <c r="V810" s="68" t="str">
        <f t="shared" si="323"/>
        <v/>
      </c>
      <c r="W810" s="80" t="str">
        <f t="shared" si="324"/>
        <v/>
      </c>
      <c r="X810" s="81" t="str">
        <f t="shared" si="325"/>
        <v/>
      </c>
      <c r="Y810" s="81" t="str">
        <f t="shared" si="326"/>
        <v/>
      </c>
      <c r="Z810" s="81" t="str">
        <f t="shared" si="327"/>
        <v/>
      </c>
      <c r="AA810" s="82" t="str">
        <f t="shared" si="328"/>
        <v/>
      </c>
      <c r="AB810" s="83" t="str">
        <f>IF(R810&lt;&gt;"",(W810-SUMPRODUCT(R$3:R810,$B$3:$B810)/SUM($B$3:$B810))/STDEVA(W800:W810),"")</f>
        <v/>
      </c>
      <c r="AC810" s="84" t="str">
        <f>IF(S810&lt;&gt;"",(X810-SUMPRODUCT(S$3:S810,$B$3:$B810)/SUM($B$3:$B810))/STDEVA(X800:X810),"")</f>
        <v/>
      </c>
      <c r="AD810" s="84" t="str">
        <f>IF(T810&lt;&gt;"",(Y810-SUMPRODUCT(T$3:T810,$B$3:$B810)/SUM($B$3:$B810))/STDEVA(Y800:Y810),"")</f>
        <v/>
      </c>
      <c r="AE810" s="84" t="str">
        <f>IF(U810&lt;&gt;"",(Z810-SUMPRODUCT(U$3:U810,$B$3:$B810)/SUM($B$3:$B810))/STDEVA(Z800:Z810),"")</f>
        <v/>
      </c>
      <c r="AF810" s="85" t="str">
        <f>IF(V810&lt;&gt;"",(AA810-SUMPRODUCT(V$3:V810,$B$3:$B810)/SUM($B$3:$B810))/STDEVA(AA800:AA810),"")</f>
        <v/>
      </c>
      <c r="AG810" s="90" t="str">
        <f t="shared" si="330"/>
        <v/>
      </c>
      <c r="AH810" s="90" t="str">
        <f t="shared" si="330"/>
        <v/>
      </c>
      <c r="AI810" s="90" t="str">
        <f t="shared" si="330"/>
        <v/>
      </c>
      <c r="AJ810" s="90" t="str">
        <f t="shared" si="329"/>
        <v/>
      </c>
      <c r="AK810" s="93" t="str">
        <f t="shared" si="329"/>
        <v/>
      </c>
      <c r="BQ810" s="100" t="str">
        <f>IF(A810&lt;&gt;"",(VLOOKUP(A810,MarketData!$D:$BP,MATCH($BQ$1,MarketData!$D$1:$EG$1,0),TRUE)/100/365+1)^(B810)*BQ809,"")</f>
        <v/>
      </c>
      <c r="BR810" s="98" t="str">
        <f t="shared" si="307"/>
        <v/>
      </c>
      <c r="BS810" s="106" t="str">
        <f>IF(A810&lt;&gt;"",VLOOKUP(A810,MarketData!$D:$BP,MATCH($BS$1,MarketData!$D$1:$EG$1,0),TRUE),"")</f>
        <v/>
      </c>
      <c r="BT810" s="98" t="str">
        <f t="shared" si="318"/>
        <v/>
      </c>
    </row>
    <row r="811" spans="2:72" x14ac:dyDescent="0.25">
      <c r="B811" s="60" t="str">
        <f t="shared" si="331"/>
        <v/>
      </c>
      <c r="C811" s="3" t="str">
        <f t="shared" si="308"/>
        <v/>
      </c>
      <c r="D811" s="3" t="str">
        <f t="shared" si="309"/>
        <v/>
      </c>
      <c r="E811" s="3" t="str">
        <f t="shared" si="310"/>
        <v/>
      </c>
      <c r="F811" s="3" t="str">
        <f t="shared" si="311"/>
        <v/>
      </c>
      <c r="G811" s="74" t="str">
        <f t="shared" si="312"/>
        <v/>
      </c>
      <c r="H811" s="78" t="str">
        <f>IFERROR(C811/SUM(M$2:M810),"")</f>
        <v/>
      </c>
      <c r="I811" s="61" t="str">
        <f>IFERROR(D811/SUM(N$2:N811),"")</f>
        <v/>
      </c>
      <c r="J811" s="61" t="str">
        <f>IFERROR(E811/SUM(O$2:O811),"")</f>
        <v/>
      </c>
      <c r="K811" s="61" t="str">
        <f>IFERROR(F811/SUM(P$2:P811),"")</f>
        <v/>
      </c>
      <c r="L811" s="79" t="str">
        <f>IFERROR(G811/SUM(Q$2:Q811),"")</f>
        <v/>
      </c>
      <c r="M811" s="64" t="str">
        <f t="shared" si="313"/>
        <v/>
      </c>
      <c r="N811" s="55" t="str">
        <f t="shared" si="314"/>
        <v/>
      </c>
      <c r="O811" s="55" t="str">
        <f t="shared" si="315"/>
        <v/>
      </c>
      <c r="P811" s="55" t="str">
        <f t="shared" si="316"/>
        <v/>
      </c>
      <c r="Q811" s="65" t="str">
        <f t="shared" si="317"/>
        <v/>
      </c>
      <c r="R811" s="67" t="str">
        <f t="shared" si="319"/>
        <v/>
      </c>
      <c r="S811" s="56" t="str">
        <f t="shared" si="320"/>
        <v/>
      </c>
      <c r="T811" s="56" t="str">
        <f t="shared" si="321"/>
        <v/>
      </c>
      <c r="U811" s="56" t="str">
        <f t="shared" si="322"/>
        <v/>
      </c>
      <c r="V811" s="68" t="str">
        <f t="shared" si="323"/>
        <v/>
      </c>
      <c r="W811" s="80" t="str">
        <f t="shared" si="324"/>
        <v/>
      </c>
      <c r="X811" s="81" t="str">
        <f t="shared" si="325"/>
        <v/>
      </c>
      <c r="Y811" s="81" t="str">
        <f t="shared" si="326"/>
        <v/>
      </c>
      <c r="Z811" s="81" t="str">
        <f t="shared" si="327"/>
        <v/>
      </c>
      <c r="AA811" s="82" t="str">
        <f t="shared" si="328"/>
        <v/>
      </c>
      <c r="AB811" s="83" t="str">
        <f>IF(R811&lt;&gt;"",(W811-SUMPRODUCT(R$3:R811,$B$3:$B811)/SUM($B$3:$B811))/STDEVA(W801:W811),"")</f>
        <v/>
      </c>
      <c r="AC811" s="84" t="str">
        <f>IF(S811&lt;&gt;"",(X811-SUMPRODUCT(S$3:S811,$B$3:$B811)/SUM($B$3:$B811))/STDEVA(X801:X811),"")</f>
        <v/>
      </c>
      <c r="AD811" s="84" t="str">
        <f>IF(T811&lt;&gt;"",(Y811-SUMPRODUCT(T$3:T811,$B$3:$B811)/SUM($B$3:$B811))/STDEVA(Y801:Y811),"")</f>
        <v/>
      </c>
      <c r="AE811" s="84" t="str">
        <f>IF(U811&lt;&gt;"",(Z811-SUMPRODUCT(U$3:U811,$B$3:$B811)/SUM($B$3:$B811))/STDEVA(Z801:Z811),"")</f>
        <v/>
      </c>
      <c r="AF811" s="85" t="str">
        <f>IF(V811&lt;&gt;"",(AA811-SUMPRODUCT(V$3:V811,$B$3:$B811)/SUM($B$3:$B811))/STDEVA(AA801:AA811),"")</f>
        <v/>
      </c>
      <c r="AG811" s="90" t="str">
        <f t="shared" si="330"/>
        <v/>
      </c>
      <c r="AH811" s="90" t="str">
        <f t="shared" si="330"/>
        <v/>
      </c>
      <c r="AI811" s="90" t="str">
        <f t="shared" si="330"/>
        <v/>
      </c>
      <c r="AJ811" s="90" t="str">
        <f t="shared" si="329"/>
        <v/>
      </c>
      <c r="AK811" s="93" t="str">
        <f t="shared" si="329"/>
        <v/>
      </c>
      <c r="BQ811" s="100" t="str">
        <f>IF(A811&lt;&gt;"",(VLOOKUP(A811,MarketData!$D:$BP,MATCH($BQ$1,MarketData!$D$1:$EG$1,0),TRUE)/100/365+1)^(B811)*BQ810,"")</f>
        <v/>
      </c>
      <c r="BR811" s="98" t="str">
        <f t="shared" si="307"/>
        <v/>
      </c>
      <c r="BS811" s="106" t="str">
        <f>IF(A811&lt;&gt;"",VLOOKUP(A811,MarketData!$D:$BP,MATCH($BS$1,MarketData!$D$1:$EG$1,0),TRUE),"")</f>
        <v/>
      </c>
      <c r="BT811" s="98" t="str">
        <f t="shared" si="318"/>
        <v/>
      </c>
    </row>
    <row r="812" spans="2:72" x14ac:dyDescent="0.25">
      <c r="B812" s="60" t="str">
        <f t="shared" si="331"/>
        <v/>
      </c>
      <c r="C812" s="3" t="str">
        <f t="shared" si="308"/>
        <v/>
      </c>
      <c r="D812" s="3" t="str">
        <f t="shared" si="309"/>
        <v/>
      </c>
      <c r="E812" s="3" t="str">
        <f t="shared" si="310"/>
        <v/>
      </c>
      <c r="F812" s="3" t="str">
        <f t="shared" si="311"/>
        <v/>
      </c>
      <c r="G812" s="74" t="str">
        <f t="shared" si="312"/>
        <v/>
      </c>
      <c r="H812" s="78" t="str">
        <f>IFERROR(C812/SUM(M$2:M811),"")</f>
        <v/>
      </c>
      <c r="I812" s="61" t="str">
        <f>IFERROR(D812/SUM(N$2:N812),"")</f>
        <v/>
      </c>
      <c r="J812" s="61" t="str">
        <f>IFERROR(E812/SUM(O$2:O812),"")</f>
        <v/>
      </c>
      <c r="K812" s="61" t="str">
        <f>IFERROR(F812/SUM(P$2:P812),"")</f>
        <v/>
      </c>
      <c r="L812" s="79" t="str">
        <f>IFERROR(G812/SUM(Q$2:Q812),"")</f>
        <v/>
      </c>
      <c r="M812" s="64" t="str">
        <f t="shared" si="313"/>
        <v/>
      </c>
      <c r="N812" s="55" t="str">
        <f t="shared" si="314"/>
        <v/>
      </c>
      <c r="O812" s="55" t="str">
        <f t="shared" si="315"/>
        <v/>
      </c>
      <c r="P812" s="55" t="str">
        <f t="shared" si="316"/>
        <v/>
      </c>
      <c r="Q812" s="65" t="str">
        <f t="shared" si="317"/>
        <v/>
      </c>
      <c r="R812" s="67" t="str">
        <f t="shared" si="319"/>
        <v/>
      </c>
      <c r="S812" s="56" t="str">
        <f t="shared" si="320"/>
        <v/>
      </c>
      <c r="T812" s="56" t="str">
        <f t="shared" si="321"/>
        <v/>
      </c>
      <c r="U812" s="56" t="str">
        <f t="shared" si="322"/>
        <v/>
      </c>
      <c r="V812" s="68" t="str">
        <f t="shared" si="323"/>
        <v/>
      </c>
      <c r="W812" s="80" t="str">
        <f t="shared" si="324"/>
        <v/>
      </c>
      <c r="X812" s="81" t="str">
        <f t="shared" si="325"/>
        <v/>
      </c>
      <c r="Y812" s="81" t="str">
        <f t="shared" si="326"/>
        <v/>
      </c>
      <c r="Z812" s="81" t="str">
        <f t="shared" si="327"/>
        <v/>
      </c>
      <c r="AA812" s="82" t="str">
        <f t="shared" si="328"/>
        <v/>
      </c>
      <c r="AB812" s="83" t="str">
        <f>IF(R812&lt;&gt;"",(W812-SUMPRODUCT(R$3:R812,$B$3:$B812)/SUM($B$3:$B812))/STDEVA(W802:W812),"")</f>
        <v/>
      </c>
      <c r="AC812" s="84" t="str">
        <f>IF(S812&lt;&gt;"",(X812-SUMPRODUCT(S$3:S812,$B$3:$B812)/SUM($B$3:$B812))/STDEVA(X802:X812),"")</f>
        <v/>
      </c>
      <c r="AD812" s="84" t="str">
        <f>IF(T812&lt;&gt;"",(Y812-SUMPRODUCT(T$3:T812,$B$3:$B812)/SUM($B$3:$B812))/STDEVA(Y802:Y812),"")</f>
        <v/>
      </c>
      <c r="AE812" s="84" t="str">
        <f>IF(U812&lt;&gt;"",(Z812-SUMPRODUCT(U$3:U812,$B$3:$B812)/SUM($B$3:$B812))/STDEVA(Z802:Z812),"")</f>
        <v/>
      </c>
      <c r="AF812" s="85" t="str">
        <f>IF(V812&lt;&gt;"",(AA812-SUMPRODUCT(V$3:V812,$B$3:$B812)/SUM($B$3:$B812))/STDEVA(AA802:AA812),"")</f>
        <v/>
      </c>
      <c r="AG812" s="90" t="str">
        <f t="shared" si="330"/>
        <v/>
      </c>
      <c r="AH812" s="90" t="str">
        <f t="shared" si="330"/>
        <v/>
      </c>
      <c r="AI812" s="90" t="str">
        <f t="shared" si="330"/>
        <v/>
      </c>
      <c r="AJ812" s="90" t="str">
        <f t="shared" si="329"/>
        <v/>
      </c>
      <c r="AK812" s="93" t="str">
        <f t="shared" si="329"/>
        <v/>
      </c>
      <c r="BQ812" s="100" t="str">
        <f>IF(A812&lt;&gt;"",(VLOOKUP(A812,MarketData!$D:$BP,MATCH($BQ$1,MarketData!$D$1:$EG$1,0),TRUE)/100/365+1)^(B812)*BQ811,"")</f>
        <v/>
      </c>
      <c r="BR812" s="98" t="str">
        <f t="shared" si="307"/>
        <v/>
      </c>
      <c r="BS812" s="106" t="str">
        <f>IF(A812&lt;&gt;"",VLOOKUP(A812,MarketData!$D:$BP,MATCH($BS$1,MarketData!$D$1:$EG$1,0),TRUE),"")</f>
        <v/>
      </c>
      <c r="BT812" s="98" t="str">
        <f t="shared" si="318"/>
        <v/>
      </c>
    </row>
    <row r="813" spans="2:72" x14ac:dyDescent="0.25">
      <c r="B813" s="60" t="str">
        <f t="shared" si="331"/>
        <v/>
      </c>
      <c r="C813" s="3" t="str">
        <f t="shared" si="308"/>
        <v/>
      </c>
      <c r="D813" s="3" t="str">
        <f t="shared" si="309"/>
        <v/>
      </c>
      <c r="E813" s="3" t="str">
        <f t="shared" si="310"/>
        <v/>
      </c>
      <c r="F813" s="3" t="str">
        <f t="shared" si="311"/>
        <v/>
      </c>
      <c r="G813" s="74" t="str">
        <f t="shared" si="312"/>
        <v/>
      </c>
      <c r="H813" s="78" t="str">
        <f>IFERROR(C813/SUM(M$2:M812),"")</f>
        <v/>
      </c>
      <c r="I813" s="61" t="str">
        <f>IFERROR(D813/SUM(N$2:N813),"")</f>
        <v/>
      </c>
      <c r="J813" s="61" t="str">
        <f>IFERROR(E813/SUM(O$2:O813),"")</f>
        <v/>
      </c>
      <c r="K813" s="61" t="str">
        <f>IFERROR(F813/SUM(P$2:P813),"")</f>
        <v/>
      </c>
      <c r="L813" s="79" t="str">
        <f>IFERROR(G813/SUM(Q$2:Q813),"")</f>
        <v/>
      </c>
      <c r="M813" s="64" t="str">
        <f t="shared" si="313"/>
        <v/>
      </c>
      <c r="N813" s="55" t="str">
        <f t="shared" si="314"/>
        <v/>
      </c>
      <c r="O813" s="55" t="str">
        <f t="shared" si="315"/>
        <v/>
      </c>
      <c r="P813" s="55" t="str">
        <f t="shared" si="316"/>
        <v/>
      </c>
      <c r="Q813" s="65" t="str">
        <f t="shared" si="317"/>
        <v/>
      </c>
      <c r="R813" s="67" t="str">
        <f t="shared" si="319"/>
        <v/>
      </c>
      <c r="S813" s="56" t="str">
        <f t="shared" si="320"/>
        <v/>
      </c>
      <c r="T813" s="56" t="str">
        <f t="shared" si="321"/>
        <v/>
      </c>
      <c r="U813" s="56" t="str">
        <f t="shared" si="322"/>
        <v/>
      </c>
      <c r="V813" s="68" t="str">
        <f t="shared" si="323"/>
        <v/>
      </c>
      <c r="W813" s="80" t="str">
        <f t="shared" si="324"/>
        <v/>
      </c>
      <c r="X813" s="81" t="str">
        <f t="shared" si="325"/>
        <v/>
      </c>
      <c r="Y813" s="81" t="str">
        <f t="shared" si="326"/>
        <v/>
      </c>
      <c r="Z813" s="81" t="str">
        <f t="shared" si="327"/>
        <v/>
      </c>
      <c r="AA813" s="82" t="str">
        <f t="shared" si="328"/>
        <v/>
      </c>
      <c r="AB813" s="83" t="str">
        <f>IF(R813&lt;&gt;"",(W813-SUMPRODUCT(R$3:R813,$B$3:$B813)/SUM($B$3:$B813))/STDEVA(W803:W813),"")</f>
        <v/>
      </c>
      <c r="AC813" s="84" t="str">
        <f>IF(S813&lt;&gt;"",(X813-SUMPRODUCT(S$3:S813,$B$3:$B813)/SUM($B$3:$B813))/STDEVA(X803:X813),"")</f>
        <v/>
      </c>
      <c r="AD813" s="84" t="str">
        <f>IF(T813&lt;&gt;"",(Y813-SUMPRODUCT(T$3:T813,$B$3:$B813)/SUM($B$3:$B813))/STDEVA(Y803:Y813),"")</f>
        <v/>
      </c>
      <c r="AE813" s="84" t="str">
        <f>IF(U813&lt;&gt;"",(Z813-SUMPRODUCT(U$3:U813,$B$3:$B813)/SUM($B$3:$B813))/STDEVA(Z803:Z813),"")</f>
        <v/>
      </c>
      <c r="AF813" s="85" t="str">
        <f>IF(V813&lt;&gt;"",(AA813-SUMPRODUCT(V$3:V813,$B$3:$B813)/SUM($B$3:$B813))/STDEVA(AA803:AA813),"")</f>
        <v/>
      </c>
      <c r="AG813" s="90" t="str">
        <f t="shared" si="330"/>
        <v/>
      </c>
      <c r="AH813" s="90" t="str">
        <f t="shared" si="330"/>
        <v/>
      </c>
      <c r="AI813" s="90" t="str">
        <f t="shared" si="330"/>
        <v/>
      </c>
      <c r="AJ813" s="90" t="str">
        <f t="shared" si="329"/>
        <v/>
      </c>
      <c r="AK813" s="93" t="str">
        <f t="shared" si="329"/>
        <v/>
      </c>
      <c r="BQ813" s="100" t="str">
        <f>IF(A813&lt;&gt;"",(VLOOKUP(A813,MarketData!$D:$BP,MATCH($BQ$1,MarketData!$D$1:$EG$1,0),TRUE)/100/365+1)^(B813)*BQ812,"")</f>
        <v/>
      </c>
      <c r="BR813" s="98" t="str">
        <f t="shared" si="307"/>
        <v/>
      </c>
      <c r="BS813" s="106" t="str">
        <f>IF(A813&lt;&gt;"",VLOOKUP(A813,MarketData!$D:$BP,MATCH($BS$1,MarketData!$D$1:$EG$1,0),TRUE),"")</f>
        <v/>
      </c>
      <c r="BT813" s="98" t="str">
        <f t="shared" si="318"/>
        <v/>
      </c>
    </row>
    <row r="814" spans="2:72" x14ac:dyDescent="0.25">
      <c r="B814" s="60" t="str">
        <f t="shared" si="331"/>
        <v/>
      </c>
      <c r="C814" s="3" t="str">
        <f t="shared" si="308"/>
        <v/>
      </c>
      <c r="D814" s="3" t="str">
        <f t="shared" si="309"/>
        <v/>
      </c>
      <c r="E814" s="3" t="str">
        <f t="shared" si="310"/>
        <v/>
      </c>
      <c r="F814" s="3" t="str">
        <f t="shared" si="311"/>
        <v/>
      </c>
      <c r="G814" s="74" t="str">
        <f t="shared" si="312"/>
        <v/>
      </c>
      <c r="H814" s="78" t="str">
        <f>IFERROR(C814/SUM(M$2:M813),"")</f>
        <v/>
      </c>
      <c r="I814" s="61" t="str">
        <f>IFERROR(D814/SUM(N$2:N814),"")</f>
        <v/>
      </c>
      <c r="J814" s="61" t="str">
        <f>IFERROR(E814/SUM(O$2:O814),"")</f>
        <v/>
      </c>
      <c r="K814" s="61" t="str">
        <f>IFERROR(F814/SUM(P$2:P814),"")</f>
        <v/>
      </c>
      <c r="L814" s="79" t="str">
        <f>IFERROR(G814/SUM(Q$2:Q814),"")</f>
        <v/>
      </c>
      <c r="M814" s="64" t="str">
        <f t="shared" si="313"/>
        <v/>
      </c>
      <c r="N814" s="55" t="str">
        <f t="shared" si="314"/>
        <v/>
      </c>
      <c r="O814" s="55" t="str">
        <f t="shared" si="315"/>
        <v/>
      </c>
      <c r="P814" s="55" t="str">
        <f t="shared" si="316"/>
        <v/>
      </c>
      <c r="Q814" s="65" t="str">
        <f t="shared" si="317"/>
        <v/>
      </c>
      <c r="R814" s="67" t="str">
        <f t="shared" si="319"/>
        <v/>
      </c>
      <c r="S814" s="56" t="str">
        <f t="shared" si="320"/>
        <v/>
      </c>
      <c r="T814" s="56" t="str">
        <f t="shared" si="321"/>
        <v/>
      </c>
      <c r="U814" s="56" t="str">
        <f t="shared" si="322"/>
        <v/>
      </c>
      <c r="V814" s="68" t="str">
        <f t="shared" si="323"/>
        <v/>
      </c>
      <c r="W814" s="80" t="str">
        <f t="shared" si="324"/>
        <v/>
      </c>
      <c r="X814" s="81" t="str">
        <f t="shared" si="325"/>
        <v/>
      </c>
      <c r="Y814" s="81" t="str">
        <f t="shared" si="326"/>
        <v/>
      </c>
      <c r="Z814" s="81" t="str">
        <f t="shared" si="327"/>
        <v/>
      </c>
      <c r="AA814" s="82" t="str">
        <f t="shared" si="328"/>
        <v/>
      </c>
      <c r="AB814" s="83" t="str">
        <f>IF(R814&lt;&gt;"",(W814-SUMPRODUCT(R$3:R814,$B$3:$B814)/SUM($B$3:$B814))/STDEVA(W804:W814),"")</f>
        <v/>
      </c>
      <c r="AC814" s="84" t="str">
        <f>IF(S814&lt;&gt;"",(X814-SUMPRODUCT(S$3:S814,$B$3:$B814)/SUM($B$3:$B814))/STDEVA(X804:X814),"")</f>
        <v/>
      </c>
      <c r="AD814" s="84" t="str">
        <f>IF(T814&lt;&gt;"",(Y814-SUMPRODUCT(T$3:T814,$B$3:$B814)/SUM($B$3:$B814))/STDEVA(Y804:Y814),"")</f>
        <v/>
      </c>
      <c r="AE814" s="84" t="str">
        <f>IF(U814&lt;&gt;"",(Z814-SUMPRODUCT(U$3:U814,$B$3:$B814)/SUM($B$3:$B814))/STDEVA(Z804:Z814),"")</f>
        <v/>
      </c>
      <c r="AF814" s="85" t="str">
        <f>IF(V814&lt;&gt;"",(AA814-SUMPRODUCT(V$3:V814,$B$3:$B814)/SUM($B$3:$B814))/STDEVA(AA804:AA814),"")</f>
        <v/>
      </c>
      <c r="AG814" s="90" t="str">
        <f t="shared" si="330"/>
        <v/>
      </c>
      <c r="AH814" s="90" t="str">
        <f t="shared" si="330"/>
        <v/>
      </c>
      <c r="AI814" s="90" t="str">
        <f t="shared" si="330"/>
        <v/>
      </c>
      <c r="AJ814" s="90" t="str">
        <f t="shared" si="329"/>
        <v/>
      </c>
      <c r="AK814" s="93" t="str">
        <f t="shared" si="329"/>
        <v/>
      </c>
      <c r="BQ814" s="100" t="str">
        <f>IF(A814&lt;&gt;"",(VLOOKUP(A814,MarketData!$D:$BP,MATCH($BQ$1,MarketData!$D$1:$EG$1,0),TRUE)/100/365+1)^(B814)*BQ813,"")</f>
        <v/>
      </c>
      <c r="BR814" s="98" t="str">
        <f t="shared" si="307"/>
        <v/>
      </c>
      <c r="BS814" s="106" t="str">
        <f>IF(A814&lt;&gt;"",VLOOKUP(A814,MarketData!$D:$BP,MATCH($BS$1,MarketData!$D$1:$EG$1,0),TRUE),"")</f>
        <v/>
      </c>
      <c r="BT814" s="98" t="str">
        <f t="shared" si="318"/>
        <v/>
      </c>
    </row>
    <row r="815" spans="2:72" x14ac:dyDescent="0.25">
      <c r="B815" s="60" t="str">
        <f t="shared" si="331"/>
        <v/>
      </c>
      <c r="C815" s="3" t="str">
        <f t="shared" si="308"/>
        <v/>
      </c>
      <c r="D815" s="3" t="str">
        <f t="shared" si="309"/>
        <v/>
      </c>
      <c r="E815" s="3" t="str">
        <f t="shared" si="310"/>
        <v/>
      </c>
      <c r="F815" s="3" t="str">
        <f t="shared" si="311"/>
        <v/>
      </c>
      <c r="G815" s="74" t="str">
        <f t="shared" si="312"/>
        <v/>
      </c>
      <c r="H815" s="78" t="str">
        <f>IFERROR(C815/SUM(M$2:M814),"")</f>
        <v/>
      </c>
      <c r="I815" s="61" t="str">
        <f>IFERROR(D815/SUM(N$2:N815),"")</f>
        <v/>
      </c>
      <c r="J815" s="61" t="str">
        <f>IFERROR(E815/SUM(O$2:O815),"")</f>
        <v/>
      </c>
      <c r="K815" s="61" t="str">
        <f>IFERROR(F815/SUM(P$2:P815),"")</f>
        <v/>
      </c>
      <c r="L815" s="79" t="str">
        <f>IFERROR(G815/SUM(Q$2:Q815),"")</f>
        <v/>
      </c>
      <c r="M815" s="64" t="str">
        <f t="shared" si="313"/>
        <v/>
      </c>
      <c r="N815" s="55" t="str">
        <f t="shared" si="314"/>
        <v/>
      </c>
      <c r="O815" s="55" t="str">
        <f t="shared" si="315"/>
        <v/>
      </c>
      <c r="P815" s="55" t="str">
        <f t="shared" si="316"/>
        <v/>
      </c>
      <c r="Q815" s="65" t="str">
        <f t="shared" si="317"/>
        <v/>
      </c>
      <c r="R815" s="67" t="str">
        <f t="shared" si="319"/>
        <v/>
      </c>
      <c r="S815" s="56" t="str">
        <f t="shared" si="320"/>
        <v/>
      </c>
      <c r="T815" s="56" t="str">
        <f t="shared" si="321"/>
        <v/>
      </c>
      <c r="U815" s="56" t="str">
        <f t="shared" si="322"/>
        <v/>
      </c>
      <c r="V815" s="68" t="str">
        <f t="shared" si="323"/>
        <v/>
      </c>
      <c r="W815" s="80" t="str">
        <f t="shared" si="324"/>
        <v/>
      </c>
      <c r="X815" s="81" t="str">
        <f t="shared" si="325"/>
        <v/>
      </c>
      <c r="Y815" s="81" t="str">
        <f t="shared" si="326"/>
        <v/>
      </c>
      <c r="Z815" s="81" t="str">
        <f t="shared" si="327"/>
        <v/>
      </c>
      <c r="AA815" s="82" t="str">
        <f t="shared" si="328"/>
        <v/>
      </c>
      <c r="AB815" s="83" t="str">
        <f>IF(R815&lt;&gt;"",(W815-SUMPRODUCT(R$3:R815,$B$3:$B815)/SUM($B$3:$B815))/STDEVA(W805:W815),"")</f>
        <v/>
      </c>
      <c r="AC815" s="84" t="str">
        <f>IF(S815&lt;&gt;"",(X815-SUMPRODUCT(S$3:S815,$B$3:$B815)/SUM($B$3:$B815))/STDEVA(X805:X815),"")</f>
        <v/>
      </c>
      <c r="AD815" s="84" t="str">
        <f>IF(T815&lt;&gt;"",(Y815-SUMPRODUCT(T$3:T815,$B$3:$B815)/SUM($B$3:$B815))/STDEVA(Y805:Y815),"")</f>
        <v/>
      </c>
      <c r="AE815" s="84" t="str">
        <f>IF(U815&lt;&gt;"",(Z815-SUMPRODUCT(U$3:U815,$B$3:$B815)/SUM($B$3:$B815))/STDEVA(Z805:Z815),"")</f>
        <v/>
      </c>
      <c r="AF815" s="85" t="str">
        <f>IF(V815&lt;&gt;"",(AA815-SUMPRODUCT(V$3:V815,$B$3:$B815)/SUM($B$3:$B815))/STDEVA(AA805:AA815),"")</f>
        <v/>
      </c>
      <c r="AG815" s="90" t="str">
        <f t="shared" si="330"/>
        <v/>
      </c>
      <c r="AH815" s="90" t="str">
        <f t="shared" si="330"/>
        <v/>
      </c>
      <c r="AI815" s="90" t="str">
        <f t="shared" si="330"/>
        <v/>
      </c>
      <c r="AJ815" s="90" t="str">
        <f t="shared" si="329"/>
        <v/>
      </c>
      <c r="AK815" s="93" t="str">
        <f t="shared" si="329"/>
        <v/>
      </c>
      <c r="BQ815" s="100" t="str">
        <f>IF(A815&lt;&gt;"",(VLOOKUP(A815,MarketData!$D:$BP,MATCH($BQ$1,MarketData!$D$1:$EG$1,0),TRUE)/100/365+1)^(B815)*BQ814,"")</f>
        <v/>
      </c>
      <c r="BR815" s="98" t="str">
        <f t="shared" si="307"/>
        <v/>
      </c>
      <c r="BS815" s="106" t="str">
        <f>IF(A815&lt;&gt;"",VLOOKUP(A815,MarketData!$D:$BP,MATCH($BS$1,MarketData!$D$1:$EG$1,0),TRUE),"")</f>
        <v/>
      </c>
      <c r="BT815" s="98" t="str">
        <f t="shared" si="318"/>
        <v/>
      </c>
    </row>
    <row r="816" spans="2:72" x14ac:dyDescent="0.25">
      <c r="B816" s="60" t="str">
        <f t="shared" si="331"/>
        <v/>
      </c>
      <c r="C816" s="3" t="str">
        <f t="shared" si="308"/>
        <v/>
      </c>
      <c r="D816" s="3" t="str">
        <f t="shared" si="309"/>
        <v/>
      </c>
      <c r="E816" s="3" t="str">
        <f t="shared" si="310"/>
        <v/>
      </c>
      <c r="F816" s="3" t="str">
        <f t="shared" si="311"/>
        <v/>
      </c>
      <c r="G816" s="74" t="str">
        <f t="shared" si="312"/>
        <v/>
      </c>
      <c r="H816" s="78" t="str">
        <f>IFERROR(C816/SUM(M$2:M815),"")</f>
        <v/>
      </c>
      <c r="I816" s="61" t="str">
        <f>IFERROR(D816/SUM(N$2:N816),"")</f>
        <v/>
      </c>
      <c r="J816" s="61" t="str">
        <f>IFERROR(E816/SUM(O$2:O816),"")</f>
        <v/>
      </c>
      <c r="K816" s="61" t="str">
        <f>IFERROR(F816/SUM(P$2:P816),"")</f>
        <v/>
      </c>
      <c r="L816" s="79" t="str">
        <f>IFERROR(G816/SUM(Q$2:Q816),"")</f>
        <v/>
      </c>
      <c r="M816" s="64" t="str">
        <f t="shared" si="313"/>
        <v/>
      </c>
      <c r="N816" s="55" t="str">
        <f t="shared" si="314"/>
        <v/>
      </c>
      <c r="O816" s="55" t="str">
        <f t="shared" si="315"/>
        <v/>
      </c>
      <c r="P816" s="55" t="str">
        <f t="shared" si="316"/>
        <v/>
      </c>
      <c r="Q816" s="65" t="str">
        <f t="shared" si="317"/>
        <v/>
      </c>
      <c r="R816" s="67" t="str">
        <f t="shared" si="319"/>
        <v/>
      </c>
      <c r="S816" s="56" t="str">
        <f t="shared" si="320"/>
        <v/>
      </c>
      <c r="T816" s="56" t="str">
        <f t="shared" si="321"/>
        <v/>
      </c>
      <c r="U816" s="56" t="str">
        <f t="shared" si="322"/>
        <v/>
      </c>
      <c r="V816" s="68" t="str">
        <f t="shared" si="323"/>
        <v/>
      </c>
      <c r="W816" s="80" t="str">
        <f t="shared" si="324"/>
        <v/>
      </c>
      <c r="X816" s="81" t="str">
        <f t="shared" si="325"/>
        <v/>
      </c>
      <c r="Y816" s="81" t="str">
        <f t="shared" si="326"/>
        <v/>
      </c>
      <c r="Z816" s="81" t="str">
        <f t="shared" si="327"/>
        <v/>
      </c>
      <c r="AA816" s="82" t="str">
        <f t="shared" si="328"/>
        <v/>
      </c>
      <c r="AB816" s="83" t="str">
        <f>IF(R816&lt;&gt;"",(W816-SUMPRODUCT(R$3:R816,$B$3:$B816)/SUM($B$3:$B816))/STDEVA(W806:W816),"")</f>
        <v/>
      </c>
      <c r="AC816" s="84" t="str">
        <f>IF(S816&lt;&gt;"",(X816-SUMPRODUCT(S$3:S816,$B$3:$B816)/SUM($B$3:$B816))/STDEVA(X806:X816),"")</f>
        <v/>
      </c>
      <c r="AD816" s="84" t="str">
        <f>IF(T816&lt;&gt;"",(Y816-SUMPRODUCT(T$3:T816,$B$3:$B816)/SUM($B$3:$B816))/STDEVA(Y806:Y816),"")</f>
        <v/>
      </c>
      <c r="AE816" s="84" t="str">
        <f>IF(U816&lt;&gt;"",(Z816-SUMPRODUCT(U$3:U816,$B$3:$B816)/SUM($B$3:$B816))/STDEVA(Z806:Z816),"")</f>
        <v/>
      </c>
      <c r="AF816" s="85" t="str">
        <f>IF(V816&lt;&gt;"",(AA816-SUMPRODUCT(V$3:V816,$B$3:$B816)/SUM($B$3:$B816))/STDEVA(AA806:AA816),"")</f>
        <v/>
      </c>
      <c r="AG816" s="90" t="str">
        <f t="shared" si="330"/>
        <v/>
      </c>
      <c r="AH816" s="90" t="str">
        <f t="shared" si="330"/>
        <v/>
      </c>
      <c r="AI816" s="90" t="str">
        <f t="shared" si="330"/>
        <v/>
      </c>
      <c r="AJ816" s="90" t="str">
        <f t="shared" si="329"/>
        <v/>
      </c>
      <c r="AK816" s="93" t="str">
        <f t="shared" si="329"/>
        <v/>
      </c>
      <c r="BQ816" s="100" t="str">
        <f>IF(A816&lt;&gt;"",(VLOOKUP(A816,MarketData!$D:$BP,MATCH($BQ$1,MarketData!$D$1:$EG$1,0),TRUE)/100/365+1)^(B816)*BQ815,"")</f>
        <v/>
      </c>
      <c r="BR816" s="98" t="str">
        <f t="shared" si="307"/>
        <v/>
      </c>
      <c r="BS816" s="106" t="str">
        <f>IF(A816&lt;&gt;"",VLOOKUP(A816,MarketData!$D:$BP,MATCH($BS$1,MarketData!$D$1:$EG$1,0),TRUE),"")</f>
        <v/>
      </c>
      <c r="BT816" s="98" t="str">
        <f t="shared" si="318"/>
        <v/>
      </c>
    </row>
    <row r="817" spans="2:72" x14ac:dyDescent="0.25">
      <c r="B817" s="60" t="str">
        <f t="shared" si="331"/>
        <v/>
      </c>
      <c r="C817" s="3" t="str">
        <f t="shared" si="308"/>
        <v/>
      </c>
      <c r="D817" s="3" t="str">
        <f t="shared" si="309"/>
        <v/>
      </c>
      <c r="E817" s="3" t="str">
        <f t="shared" si="310"/>
        <v/>
      </c>
      <c r="F817" s="3" t="str">
        <f t="shared" si="311"/>
        <v/>
      </c>
      <c r="G817" s="74" t="str">
        <f t="shared" si="312"/>
        <v/>
      </c>
      <c r="H817" s="78" t="str">
        <f>IFERROR(C817/SUM(M$2:M816),"")</f>
        <v/>
      </c>
      <c r="I817" s="61" t="str">
        <f>IFERROR(D817/SUM(N$2:N817),"")</f>
        <v/>
      </c>
      <c r="J817" s="61" t="str">
        <f>IFERROR(E817/SUM(O$2:O817),"")</f>
        <v/>
      </c>
      <c r="K817" s="61" t="str">
        <f>IFERROR(F817/SUM(P$2:P817),"")</f>
        <v/>
      </c>
      <c r="L817" s="79" t="str">
        <f>IFERROR(G817/SUM(Q$2:Q817),"")</f>
        <v/>
      </c>
      <c r="M817" s="64" t="str">
        <f t="shared" si="313"/>
        <v/>
      </c>
      <c r="N817" s="55" t="str">
        <f t="shared" si="314"/>
        <v/>
      </c>
      <c r="O817" s="55" t="str">
        <f t="shared" si="315"/>
        <v/>
      </c>
      <c r="P817" s="55" t="str">
        <f t="shared" si="316"/>
        <v/>
      </c>
      <c r="Q817" s="65" t="str">
        <f t="shared" si="317"/>
        <v/>
      </c>
      <c r="R817" s="67" t="str">
        <f t="shared" si="319"/>
        <v/>
      </c>
      <c r="S817" s="56" t="str">
        <f t="shared" si="320"/>
        <v/>
      </c>
      <c r="T817" s="56" t="str">
        <f t="shared" si="321"/>
        <v/>
      </c>
      <c r="U817" s="56" t="str">
        <f t="shared" si="322"/>
        <v/>
      </c>
      <c r="V817" s="68" t="str">
        <f t="shared" si="323"/>
        <v/>
      </c>
      <c r="W817" s="80" t="str">
        <f t="shared" si="324"/>
        <v/>
      </c>
      <c r="X817" s="81" t="str">
        <f t="shared" si="325"/>
        <v/>
      </c>
      <c r="Y817" s="81" t="str">
        <f t="shared" si="326"/>
        <v/>
      </c>
      <c r="Z817" s="81" t="str">
        <f t="shared" si="327"/>
        <v/>
      </c>
      <c r="AA817" s="82" t="str">
        <f t="shared" si="328"/>
        <v/>
      </c>
      <c r="AB817" s="83" t="str">
        <f>IF(R817&lt;&gt;"",(W817-SUMPRODUCT(R$3:R817,$B$3:$B817)/SUM($B$3:$B817))/STDEVA(W807:W817),"")</f>
        <v/>
      </c>
      <c r="AC817" s="84" t="str">
        <f>IF(S817&lt;&gt;"",(X817-SUMPRODUCT(S$3:S817,$B$3:$B817)/SUM($B$3:$B817))/STDEVA(X807:X817),"")</f>
        <v/>
      </c>
      <c r="AD817" s="84" t="str">
        <f>IF(T817&lt;&gt;"",(Y817-SUMPRODUCT(T$3:T817,$B$3:$B817)/SUM($B$3:$B817))/STDEVA(Y807:Y817),"")</f>
        <v/>
      </c>
      <c r="AE817" s="84" t="str">
        <f>IF(U817&lt;&gt;"",(Z817-SUMPRODUCT(U$3:U817,$B$3:$B817)/SUM($B$3:$B817))/STDEVA(Z807:Z817),"")</f>
        <v/>
      </c>
      <c r="AF817" s="85" t="str">
        <f>IF(V817&lt;&gt;"",(AA817-SUMPRODUCT(V$3:V817,$B$3:$B817)/SUM($B$3:$B817))/STDEVA(AA807:AA817),"")</f>
        <v/>
      </c>
      <c r="AG817" s="90" t="str">
        <f t="shared" si="330"/>
        <v/>
      </c>
      <c r="AH817" s="90" t="str">
        <f t="shared" si="330"/>
        <v/>
      </c>
      <c r="AI817" s="90" t="str">
        <f t="shared" si="330"/>
        <v/>
      </c>
      <c r="AJ817" s="90" t="str">
        <f t="shared" si="329"/>
        <v/>
      </c>
      <c r="AK817" s="93" t="str">
        <f t="shared" si="329"/>
        <v/>
      </c>
      <c r="BQ817" s="100" t="str">
        <f>IF(A817&lt;&gt;"",(VLOOKUP(A817,MarketData!$D:$BP,MATCH($BQ$1,MarketData!$D$1:$EG$1,0),TRUE)/100/365+1)^(B817)*BQ816,"")</f>
        <v/>
      </c>
      <c r="BR817" s="98" t="str">
        <f t="shared" si="307"/>
        <v/>
      </c>
      <c r="BS817" s="106" t="str">
        <f>IF(A817&lt;&gt;"",VLOOKUP(A817,MarketData!$D:$BP,MATCH($BS$1,MarketData!$D$1:$EG$1,0),TRUE),"")</f>
        <v/>
      </c>
      <c r="BT817" s="98" t="str">
        <f t="shared" si="318"/>
        <v/>
      </c>
    </row>
    <row r="818" spans="2:72" x14ac:dyDescent="0.25">
      <c r="B818" s="60" t="str">
        <f t="shared" si="331"/>
        <v/>
      </c>
      <c r="C818" s="3" t="str">
        <f t="shared" si="308"/>
        <v/>
      </c>
      <c r="D818" s="3" t="str">
        <f t="shared" si="309"/>
        <v/>
      </c>
      <c r="E818" s="3" t="str">
        <f t="shared" si="310"/>
        <v/>
      </c>
      <c r="F818" s="3" t="str">
        <f t="shared" si="311"/>
        <v/>
      </c>
      <c r="G818" s="74" t="str">
        <f t="shared" si="312"/>
        <v/>
      </c>
      <c r="H818" s="78" t="str">
        <f>IFERROR(C818/SUM(M$2:M817),"")</f>
        <v/>
      </c>
      <c r="I818" s="61" t="str">
        <f>IFERROR(D818/SUM(N$2:N818),"")</f>
        <v/>
      </c>
      <c r="J818" s="61" t="str">
        <f>IFERROR(E818/SUM(O$2:O818),"")</f>
        <v/>
      </c>
      <c r="K818" s="61" t="str">
        <f>IFERROR(F818/SUM(P$2:P818),"")</f>
        <v/>
      </c>
      <c r="L818" s="79" t="str">
        <f>IFERROR(G818/SUM(Q$2:Q818),"")</f>
        <v/>
      </c>
      <c r="M818" s="64" t="str">
        <f t="shared" si="313"/>
        <v/>
      </c>
      <c r="N818" s="55" t="str">
        <f t="shared" si="314"/>
        <v/>
      </c>
      <c r="O818" s="55" t="str">
        <f t="shared" si="315"/>
        <v/>
      </c>
      <c r="P818" s="55" t="str">
        <f t="shared" si="316"/>
        <v/>
      </c>
      <c r="Q818" s="65" t="str">
        <f t="shared" si="317"/>
        <v/>
      </c>
      <c r="R818" s="67" t="str">
        <f t="shared" si="319"/>
        <v/>
      </c>
      <c r="S818" s="56" t="str">
        <f t="shared" si="320"/>
        <v/>
      </c>
      <c r="T818" s="56" t="str">
        <f t="shared" si="321"/>
        <v/>
      </c>
      <c r="U818" s="56" t="str">
        <f t="shared" si="322"/>
        <v/>
      </c>
      <c r="V818" s="68" t="str">
        <f t="shared" si="323"/>
        <v/>
      </c>
      <c r="W818" s="80" t="str">
        <f t="shared" si="324"/>
        <v/>
      </c>
      <c r="X818" s="81" t="str">
        <f t="shared" si="325"/>
        <v/>
      </c>
      <c r="Y818" s="81" t="str">
        <f t="shared" si="326"/>
        <v/>
      </c>
      <c r="Z818" s="81" t="str">
        <f t="shared" si="327"/>
        <v/>
      </c>
      <c r="AA818" s="82" t="str">
        <f t="shared" si="328"/>
        <v/>
      </c>
      <c r="AB818" s="83" t="str">
        <f>IF(R818&lt;&gt;"",(W818-SUMPRODUCT(R$3:R818,$B$3:$B818)/SUM($B$3:$B818))/STDEVA(W808:W818),"")</f>
        <v/>
      </c>
      <c r="AC818" s="84" t="str">
        <f>IF(S818&lt;&gt;"",(X818-SUMPRODUCT(S$3:S818,$B$3:$B818)/SUM($B$3:$B818))/STDEVA(X808:X818),"")</f>
        <v/>
      </c>
      <c r="AD818" s="84" t="str">
        <f>IF(T818&lt;&gt;"",(Y818-SUMPRODUCT(T$3:T818,$B$3:$B818)/SUM($B$3:$B818))/STDEVA(Y808:Y818),"")</f>
        <v/>
      </c>
      <c r="AE818" s="84" t="str">
        <f>IF(U818&lt;&gt;"",(Z818-SUMPRODUCT(U$3:U818,$B$3:$B818)/SUM($B$3:$B818))/STDEVA(Z808:Z818),"")</f>
        <v/>
      </c>
      <c r="AF818" s="85" t="str">
        <f>IF(V818&lt;&gt;"",(AA818-SUMPRODUCT(V$3:V818,$B$3:$B818)/SUM($B$3:$B818))/STDEVA(AA808:AA818),"")</f>
        <v/>
      </c>
      <c r="AG818" s="90" t="str">
        <f t="shared" si="330"/>
        <v/>
      </c>
      <c r="AH818" s="90" t="str">
        <f t="shared" si="330"/>
        <v/>
      </c>
      <c r="AI818" s="90" t="str">
        <f t="shared" si="330"/>
        <v/>
      </c>
      <c r="AJ818" s="90" t="str">
        <f t="shared" si="329"/>
        <v/>
      </c>
      <c r="AK818" s="93" t="str">
        <f t="shared" si="329"/>
        <v/>
      </c>
      <c r="BQ818" s="100" t="str">
        <f>IF(A818&lt;&gt;"",(VLOOKUP(A818,MarketData!$D:$BP,MATCH($BQ$1,MarketData!$D$1:$EG$1,0),TRUE)/100/365+1)^(B818)*BQ817,"")</f>
        <v/>
      </c>
      <c r="BR818" s="98" t="str">
        <f t="shared" si="307"/>
        <v/>
      </c>
      <c r="BS818" s="106" t="str">
        <f>IF(A818&lt;&gt;"",VLOOKUP(A818,MarketData!$D:$BP,MATCH($BS$1,MarketData!$D$1:$EG$1,0),TRUE),"")</f>
        <v/>
      </c>
      <c r="BT818" s="98" t="str">
        <f t="shared" si="318"/>
        <v/>
      </c>
    </row>
    <row r="819" spans="2:72" x14ac:dyDescent="0.25">
      <c r="B819" s="60" t="str">
        <f t="shared" si="331"/>
        <v/>
      </c>
      <c r="C819" s="3" t="str">
        <f t="shared" si="308"/>
        <v/>
      </c>
      <c r="D819" s="3" t="str">
        <f t="shared" si="309"/>
        <v/>
      </c>
      <c r="E819" s="3" t="str">
        <f t="shared" si="310"/>
        <v/>
      </c>
      <c r="F819" s="3" t="str">
        <f t="shared" si="311"/>
        <v/>
      </c>
      <c r="G819" s="74" t="str">
        <f t="shared" si="312"/>
        <v/>
      </c>
      <c r="H819" s="78" t="str">
        <f>IFERROR(C819/SUM(M$2:M818),"")</f>
        <v/>
      </c>
      <c r="I819" s="61" t="str">
        <f>IFERROR(D819/SUM(N$2:N819),"")</f>
        <v/>
      </c>
      <c r="J819" s="61" t="str">
        <f>IFERROR(E819/SUM(O$2:O819),"")</f>
        <v/>
      </c>
      <c r="K819" s="61" t="str">
        <f>IFERROR(F819/SUM(P$2:P819),"")</f>
        <v/>
      </c>
      <c r="L819" s="79" t="str">
        <f>IFERROR(G819/SUM(Q$2:Q819),"")</f>
        <v/>
      </c>
      <c r="M819" s="64" t="str">
        <f t="shared" si="313"/>
        <v/>
      </c>
      <c r="N819" s="55" t="str">
        <f t="shared" si="314"/>
        <v/>
      </c>
      <c r="O819" s="55" t="str">
        <f t="shared" si="315"/>
        <v/>
      </c>
      <c r="P819" s="55" t="str">
        <f t="shared" si="316"/>
        <v/>
      </c>
      <c r="Q819" s="65" t="str">
        <f t="shared" si="317"/>
        <v/>
      </c>
      <c r="R819" s="67" t="str">
        <f t="shared" si="319"/>
        <v/>
      </c>
      <c r="S819" s="56" t="str">
        <f t="shared" si="320"/>
        <v/>
      </c>
      <c r="T819" s="56" t="str">
        <f t="shared" si="321"/>
        <v/>
      </c>
      <c r="U819" s="56" t="str">
        <f t="shared" si="322"/>
        <v/>
      </c>
      <c r="V819" s="68" t="str">
        <f t="shared" si="323"/>
        <v/>
      </c>
      <c r="W819" s="80" t="str">
        <f t="shared" si="324"/>
        <v/>
      </c>
      <c r="X819" s="81" t="str">
        <f t="shared" si="325"/>
        <v/>
      </c>
      <c r="Y819" s="81" t="str">
        <f t="shared" si="326"/>
        <v/>
      </c>
      <c r="Z819" s="81" t="str">
        <f t="shared" si="327"/>
        <v/>
      </c>
      <c r="AA819" s="82" t="str">
        <f t="shared" si="328"/>
        <v/>
      </c>
      <c r="AB819" s="83" t="str">
        <f>IF(R819&lt;&gt;"",(W819-SUMPRODUCT(R$3:R819,$B$3:$B819)/SUM($B$3:$B819))/STDEVA(W809:W819),"")</f>
        <v/>
      </c>
      <c r="AC819" s="84" t="str">
        <f>IF(S819&lt;&gt;"",(X819-SUMPRODUCT(S$3:S819,$B$3:$B819)/SUM($B$3:$B819))/STDEVA(X809:X819),"")</f>
        <v/>
      </c>
      <c r="AD819" s="84" t="str">
        <f>IF(T819&lt;&gt;"",(Y819-SUMPRODUCT(T$3:T819,$B$3:$B819)/SUM($B$3:$B819))/STDEVA(Y809:Y819),"")</f>
        <v/>
      </c>
      <c r="AE819" s="84" t="str">
        <f>IF(U819&lt;&gt;"",(Z819-SUMPRODUCT(U$3:U819,$B$3:$B819)/SUM($B$3:$B819))/STDEVA(Z809:Z819),"")</f>
        <v/>
      </c>
      <c r="AF819" s="85" t="str">
        <f>IF(V819&lt;&gt;"",(AA819-SUMPRODUCT(V$3:V819,$B$3:$B819)/SUM($B$3:$B819))/STDEVA(AA809:AA819),"")</f>
        <v/>
      </c>
      <c r="AG819" s="90" t="str">
        <f t="shared" si="330"/>
        <v/>
      </c>
      <c r="AH819" s="90" t="str">
        <f t="shared" si="330"/>
        <v/>
      </c>
      <c r="AI819" s="90" t="str">
        <f t="shared" si="330"/>
        <v/>
      </c>
      <c r="AJ819" s="90" t="str">
        <f t="shared" si="329"/>
        <v/>
      </c>
      <c r="AK819" s="93" t="str">
        <f t="shared" si="329"/>
        <v/>
      </c>
      <c r="BQ819" s="100" t="str">
        <f>IF(A819&lt;&gt;"",(VLOOKUP(A819,MarketData!$D:$BP,MATCH($BQ$1,MarketData!$D$1:$EG$1,0),TRUE)/100/365+1)^(B819)*BQ818,"")</f>
        <v/>
      </c>
      <c r="BR819" s="98" t="str">
        <f t="shared" si="307"/>
        <v/>
      </c>
      <c r="BS819" s="106" t="str">
        <f>IF(A819&lt;&gt;"",VLOOKUP(A819,MarketData!$D:$BP,MATCH($BS$1,MarketData!$D$1:$EG$1,0),TRUE),"")</f>
        <v/>
      </c>
      <c r="BT819" s="98" t="str">
        <f t="shared" si="318"/>
        <v/>
      </c>
    </row>
    <row r="820" spans="2:72" x14ac:dyDescent="0.25">
      <c r="B820" s="60" t="str">
        <f t="shared" si="331"/>
        <v/>
      </c>
      <c r="C820" s="3" t="str">
        <f t="shared" si="308"/>
        <v/>
      </c>
      <c r="D820" s="3" t="str">
        <f t="shared" si="309"/>
        <v/>
      </c>
      <c r="E820" s="3" t="str">
        <f t="shared" si="310"/>
        <v/>
      </c>
      <c r="F820" s="3" t="str">
        <f t="shared" si="311"/>
        <v/>
      </c>
      <c r="G820" s="74" t="str">
        <f t="shared" si="312"/>
        <v/>
      </c>
      <c r="H820" s="78" t="str">
        <f>IFERROR(C820/SUM(M$2:M819),"")</f>
        <v/>
      </c>
      <c r="I820" s="61" t="str">
        <f>IFERROR(D820/SUM(N$2:N820),"")</f>
        <v/>
      </c>
      <c r="J820" s="61" t="str">
        <f>IFERROR(E820/SUM(O$2:O820),"")</f>
        <v/>
      </c>
      <c r="K820" s="61" t="str">
        <f>IFERROR(F820/SUM(P$2:P820),"")</f>
        <v/>
      </c>
      <c r="L820" s="79" t="str">
        <f>IFERROR(G820/SUM(Q$2:Q820),"")</f>
        <v/>
      </c>
      <c r="M820" s="64" t="str">
        <f t="shared" si="313"/>
        <v/>
      </c>
      <c r="N820" s="55" t="str">
        <f t="shared" si="314"/>
        <v/>
      </c>
      <c r="O820" s="55" t="str">
        <f t="shared" si="315"/>
        <v/>
      </c>
      <c r="P820" s="55" t="str">
        <f t="shared" si="316"/>
        <v/>
      </c>
      <c r="Q820" s="65" t="str">
        <f t="shared" si="317"/>
        <v/>
      </c>
      <c r="R820" s="67" t="str">
        <f t="shared" si="319"/>
        <v/>
      </c>
      <c r="S820" s="56" t="str">
        <f t="shared" si="320"/>
        <v/>
      </c>
      <c r="T820" s="56" t="str">
        <f t="shared" si="321"/>
        <v/>
      </c>
      <c r="U820" s="56" t="str">
        <f t="shared" si="322"/>
        <v/>
      </c>
      <c r="V820" s="68" t="str">
        <f t="shared" si="323"/>
        <v/>
      </c>
      <c r="W820" s="80" t="str">
        <f t="shared" si="324"/>
        <v/>
      </c>
      <c r="X820" s="81" t="str">
        <f t="shared" si="325"/>
        <v/>
      </c>
      <c r="Y820" s="81" t="str">
        <f t="shared" si="326"/>
        <v/>
      </c>
      <c r="Z820" s="81" t="str">
        <f t="shared" si="327"/>
        <v/>
      </c>
      <c r="AA820" s="82" t="str">
        <f t="shared" si="328"/>
        <v/>
      </c>
      <c r="AB820" s="83" t="str">
        <f>IF(R820&lt;&gt;"",(W820-SUMPRODUCT(R$3:R820,$B$3:$B820)/SUM($B$3:$B820))/STDEVA(W810:W820),"")</f>
        <v/>
      </c>
      <c r="AC820" s="84" t="str">
        <f>IF(S820&lt;&gt;"",(X820-SUMPRODUCT(S$3:S820,$B$3:$B820)/SUM($B$3:$B820))/STDEVA(X810:X820),"")</f>
        <v/>
      </c>
      <c r="AD820" s="84" t="str">
        <f>IF(T820&lt;&gt;"",(Y820-SUMPRODUCT(T$3:T820,$B$3:$B820)/SUM($B$3:$B820))/STDEVA(Y810:Y820),"")</f>
        <v/>
      </c>
      <c r="AE820" s="84" t="str">
        <f>IF(U820&lt;&gt;"",(Z820-SUMPRODUCT(U$3:U820,$B$3:$B820)/SUM($B$3:$B820))/STDEVA(Z810:Z820),"")</f>
        <v/>
      </c>
      <c r="AF820" s="85" t="str">
        <f>IF(V820&lt;&gt;"",(AA820-SUMPRODUCT(V$3:V820,$B$3:$B820)/SUM($B$3:$B820))/STDEVA(AA810:AA820),"")</f>
        <v/>
      </c>
      <c r="AG820" s="90" t="str">
        <f t="shared" si="330"/>
        <v/>
      </c>
      <c r="AH820" s="90" t="str">
        <f t="shared" si="330"/>
        <v/>
      </c>
      <c r="AI820" s="90" t="str">
        <f t="shared" si="330"/>
        <v/>
      </c>
      <c r="AJ820" s="90" t="str">
        <f t="shared" si="329"/>
        <v/>
      </c>
      <c r="AK820" s="93" t="str">
        <f t="shared" si="329"/>
        <v/>
      </c>
      <c r="BQ820" s="100" t="str">
        <f>IF(A820&lt;&gt;"",(VLOOKUP(A820,MarketData!$D:$BP,MATCH($BQ$1,MarketData!$D$1:$EG$1,0),TRUE)/100/365+1)^(B820)*BQ819,"")</f>
        <v/>
      </c>
      <c r="BR820" s="98" t="str">
        <f t="shared" si="307"/>
        <v/>
      </c>
      <c r="BS820" s="106" t="str">
        <f>IF(A820&lt;&gt;"",VLOOKUP(A820,MarketData!$D:$BP,MATCH($BS$1,MarketData!$D$1:$EG$1,0),TRUE),"")</f>
        <v/>
      </c>
      <c r="BT820" s="98" t="str">
        <f t="shared" si="318"/>
        <v/>
      </c>
    </row>
    <row r="821" spans="2:72" x14ac:dyDescent="0.25">
      <c r="B821" s="60" t="str">
        <f t="shared" si="331"/>
        <v/>
      </c>
      <c r="C821" s="3" t="str">
        <f t="shared" si="308"/>
        <v/>
      </c>
      <c r="D821" s="3" t="str">
        <f t="shared" si="309"/>
        <v/>
      </c>
      <c r="E821" s="3" t="str">
        <f t="shared" si="310"/>
        <v/>
      </c>
      <c r="F821" s="3" t="str">
        <f t="shared" si="311"/>
        <v/>
      </c>
      <c r="G821" s="74" t="str">
        <f t="shared" si="312"/>
        <v/>
      </c>
      <c r="H821" s="78" t="str">
        <f>IFERROR(C821/SUM(M$2:M820),"")</f>
        <v/>
      </c>
      <c r="I821" s="61" t="str">
        <f>IFERROR(D821/SUM(N$2:N821),"")</f>
        <v/>
      </c>
      <c r="J821" s="61" t="str">
        <f>IFERROR(E821/SUM(O$2:O821),"")</f>
        <v/>
      </c>
      <c r="K821" s="61" t="str">
        <f>IFERROR(F821/SUM(P$2:P821),"")</f>
        <v/>
      </c>
      <c r="L821" s="79" t="str">
        <f>IFERROR(G821/SUM(Q$2:Q821),"")</f>
        <v/>
      </c>
      <c r="M821" s="64" t="str">
        <f t="shared" si="313"/>
        <v/>
      </c>
      <c r="N821" s="55" t="str">
        <f t="shared" si="314"/>
        <v/>
      </c>
      <c r="O821" s="55" t="str">
        <f t="shared" si="315"/>
        <v/>
      </c>
      <c r="P821" s="55" t="str">
        <f t="shared" si="316"/>
        <v/>
      </c>
      <c r="Q821" s="65" t="str">
        <f t="shared" si="317"/>
        <v/>
      </c>
      <c r="R821" s="67" t="str">
        <f t="shared" si="319"/>
        <v/>
      </c>
      <c r="S821" s="56" t="str">
        <f t="shared" si="320"/>
        <v/>
      </c>
      <c r="T821" s="56" t="str">
        <f t="shared" si="321"/>
        <v/>
      </c>
      <c r="U821" s="56" t="str">
        <f t="shared" si="322"/>
        <v/>
      </c>
      <c r="V821" s="68" t="str">
        <f t="shared" si="323"/>
        <v/>
      </c>
      <c r="W821" s="80" t="str">
        <f t="shared" si="324"/>
        <v/>
      </c>
      <c r="X821" s="81" t="str">
        <f t="shared" si="325"/>
        <v/>
      </c>
      <c r="Y821" s="81" t="str">
        <f t="shared" si="326"/>
        <v/>
      </c>
      <c r="Z821" s="81" t="str">
        <f t="shared" si="327"/>
        <v/>
      </c>
      <c r="AA821" s="82" t="str">
        <f t="shared" si="328"/>
        <v/>
      </c>
      <c r="AB821" s="83" t="str">
        <f>IF(R821&lt;&gt;"",(W821-SUMPRODUCT(R$3:R821,$B$3:$B821)/SUM($B$3:$B821))/STDEVA(W811:W821),"")</f>
        <v/>
      </c>
      <c r="AC821" s="84" t="str">
        <f>IF(S821&lt;&gt;"",(X821-SUMPRODUCT(S$3:S821,$B$3:$B821)/SUM($B$3:$B821))/STDEVA(X811:X821),"")</f>
        <v/>
      </c>
      <c r="AD821" s="84" t="str">
        <f>IF(T821&lt;&gt;"",(Y821-SUMPRODUCT(T$3:T821,$B$3:$B821)/SUM($B$3:$B821))/STDEVA(Y811:Y821),"")</f>
        <v/>
      </c>
      <c r="AE821" s="84" t="str">
        <f>IF(U821&lt;&gt;"",(Z821-SUMPRODUCT(U$3:U821,$B$3:$B821)/SUM($B$3:$B821))/STDEVA(Z811:Z821),"")</f>
        <v/>
      </c>
      <c r="AF821" s="85" t="str">
        <f>IF(V821&lt;&gt;"",(AA821-SUMPRODUCT(V$3:V821,$B$3:$B821)/SUM($B$3:$B821))/STDEVA(AA811:AA821),"")</f>
        <v/>
      </c>
      <c r="AG821" s="90" t="str">
        <f t="shared" si="330"/>
        <v/>
      </c>
      <c r="AH821" s="90" t="str">
        <f t="shared" si="330"/>
        <v/>
      </c>
      <c r="AI821" s="90" t="str">
        <f t="shared" si="330"/>
        <v/>
      </c>
      <c r="AJ821" s="90" t="str">
        <f t="shared" si="329"/>
        <v/>
      </c>
      <c r="AK821" s="93" t="str">
        <f t="shared" si="329"/>
        <v/>
      </c>
      <c r="BQ821" s="100" t="str">
        <f>IF(A821&lt;&gt;"",(VLOOKUP(A821,MarketData!$D:$BP,MATCH($BQ$1,MarketData!$D$1:$EG$1,0),TRUE)/100/365+1)^(B821)*BQ820,"")</f>
        <v/>
      </c>
      <c r="BR821" s="98" t="str">
        <f t="shared" si="307"/>
        <v/>
      </c>
      <c r="BS821" s="106" t="str">
        <f>IF(A821&lt;&gt;"",VLOOKUP(A821,MarketData!$D:$BP,MATCH($BS$1,MarketData!$D$1:$EG$1,0),TRUE),"")</f>
        <v/>
      </c>
      <c r="BT821" s="98" t="str">
        <f t="shared" si="318"/>
        <v/>
      </c>
    </row>
    <row r="822" spans="2:72" x14ac:dyDescent="0.25">
      <c r="B822" s="60" t="str">
        <f t="shared" si="331"/>
        <v/>
      </c>
      <c r="C822" s="3" t="str">
        <f t="shared" si="308"/>
        <v/>
      </c>
      <c r="D822" s="3" t="str">
        <f t="shared" si="309"/>
        <v/>
      </c>
      <c r="E822" s="3" t="str">
        <f t="shared" si="310"/>
        <v/>
      </c>
      <c r="F822" s="3" t="str">
        <f t="shared" si="311"/>
        <v/>
      </c>
      <c r="G822" s="74" t="str">
        <f t="shared" si="312"/>
        <v/>
      </c>
      <c r="H822" s="78" t="str">
        <f>IFERROR(C822/SUM(M$2:M821),"")</f>
        <v/>
      </c>
      <c r="I822" s="61" t="str">
        <f>IFERROR(D822/SUM(N$2:N822),"")</f>
        <v/>
      </c>
      <c r="J822" s="61" t="str">
        <f>IFERROR(E822/SUM(O$2:O822),"")</f>
        <v/>
      </c>
      <c r="K822" s="61" t="str">
        <f>IFERROR(F822/SUM(P$2:P822),"")</f>
        <v/>
      </c>
      <c r="L822" s="79" t="str">
        <f>IFERROR(G822/SUM(Q$2:Q822),"")</f>
        <v/>
      </c>
      <c r="M822" s="64" t="str">
        <f t="shared" si="313"/>
        <v/>
      </c>
      <c r="N822" s="55" t="str">
        <f t="shared" si="314"/>
        <v/>
      </c>
      <c r="O822" s="55" t="str">
        <f t="shared" si="315"/>
        <v/>
      </c>
      <c r="P822" s="55" t="str">
        <f t="shared" si="316"/>
        <v/>
      </c>
      <c r="Q822" s="65" t="str">
        <f t="shared" si="317"/>
        <v/>
      </c>
      <c r="R822" s="67" t="str">
        <f t="shared" si="319"/>
        <v/>
      </c>
      <c r="S822" s="56" t="str">
        <f t="shared" si="320"/>
        <v/>
      </c>
      <c r="T822" s="56" t="str">
        <f t="shared" si="321"/>
        <v/>
      </c>
      <c r="U822" s="56" t="str">
        <f t="shared" si="322"/>
        <v/>
      </c>
      <c r="V822" s="68" t="str">
        <f t="shared" si="323"/>
        <v/>
      </c>
      <c r="W822" s="80" t="str">
        <f t="shared" si="324"/>
        <v/>
      </c>
      <c r="X822" s="81" t="str">
        <f t="shared" si="325"/>
        <v/>
      </c>
      <c r="Y822" s="81" t="str">
        <f t="shared" si="326"/>
        <v/>
      </c>
      <c r="Z822" s="81" t="str">
        <f t="shared" si="327"/>
        <v/>
      </c>
      <c r="AA822" s="82" t="str">
        <f t="shared" si="328"/>
        <v/>
      </c>
      <c r="AB822" s="83" t="str">
        <f>IF(R822&lt;&gt;"",(W822-SUMPRODUCT(R$3:R822,$B$3:$B822)/SUM($B$3:$B822))/STDEVA(W812:W822),"")</f>
        <v/>
      </c>
      <c r="AC822" s="84" t="str">
        <f>IF(S822&lt;&gt;"",(X822-SUMPRODUCT(S$3:S822,$B$3:$B822)/SUM($B$3:$B822))/STDEVA(X812:X822),"")</f>
        <v/>
      </c>
      <c r="AD822" s="84" t="str">
        <f>IF(T822&lt;&gt;"",(Y822-SUMPRODUCT(T$3:T822,$B$3:$B822)/SUM($B$3:$B822))/STDEVA(Y812:Y822),"")</f>
        <v/>
      </c>
      <c r="AE822" s="84" t="str">
        <f>IF(U822&lt;&gt;"",(Z822-SUMPRODUCT(U$3:U822,$B$3:$B822)/SUM($B$3:$B822))/STDEVA(Z812:Z822),"")</f>
        <v/>
      </c>
      <c r="AF822" s="85" t="str">
        <f>IF(V822&lt;&gt;"",(AA822-SUMPRODUCT(V$3:V822,$B$3:$B822)/SUM($B$3:$B822))/STDEVA(AA812:AA822),"")</f>
        <v/>
      </c>
      <c r="AG822" s="90" t="str">
        <f t="shared" si="330"/>
        <v/>
      </c>
      <c r="AH822" s="90" t="str">
        <f t="shared" si="330"/>
        <v/>
      </c>
      <c r="AI822" s="90" t="str">
        <f t="shared" si="330"/>
        <v/>
      </c>
      <c r="AJ822" s="90" t="str">
        <f t="shared" si="329"/>
        <v/>
      </c>
      <c r="AK822" s="93" t="str">
        <f t="shared" si="329"/>
        <v/>
      </c>
      <c r="BQ822" s="100" t="str">
        <f>IF(A822&lt;&gt;"",(VLOOKUP(A822,MarketData!$D:$BP,MATCH($BQ$1,MarketData!$D$1:$EG$1,0),TRUE)/100/365+1)^(B822)*BQ821,"")</f>
        <v/>
      </c>
      <c r="BR822" s="98" t="str">
        <f t="shared" si="307"/>
        <v/>
      </c>
      <c r="BS822" s="106" t="str">
        <f>IF(A822&lt;&gt;"",VLOOKUP(A822,MarketData!$D:$BP,MATCH($BS$1,MarketData!$D$1:$EG$1,0),TRUE),"")</f>
        <v/>
      </c>
      <c r="BT822" s="98" t="str">
        <f t="shared" si="318"/>
        <v/>
      </c>
    </row>
    <row r="823" spans="2:72" x14ac:dyDescent="0.25">
      <c r="B823" s="60" t="str">
        <f t="shared" si="331"/>
        <v/>
      </c>
      <c r="C823" s="3" t="str">
        <f t="shared" si="308"/>
        <v/>
      </c>
      <c r="D823" s="3" t="str">
        <f t="shared" si="309"/>
        <v/>
      </c>
      <c r="E823" s="3" t="str">
        <f t="shared" si="310"/>
        <v/>
      </c>
      <c r="F823" s="3" t="str">
        <f t="shared" si="311"/>
        <v/>
      </c>
      <c r="G823" s="74" t="str">
        <f t="shared" si="312"/>
        <v/>
      </c>
      <c r="H823" s="78" t="str">
        <f>IFERROR(C823/SUM(M$2:M822),"")</f>
        <v/>
      </c>
      <c r="I823" s="61" t="str">
        <f>IFERROR(D823/SUM(N$2:N823),"")</f>
        <v/>
      </c>
      <c r="J823" s="61" t="str">
        <f>IFERROR(E823/SUM(O$2:O823),"")</f>
        <v/>
      </c>
      <c r="K823" s="61" t="str">
        <f>IFERROR(F823/SUM(P$2:P823),"")</f>
        <v/>
      </c>
      <c r="L823" s="79" t="str">
        <f>IFERROR(G823/SUM(Q$2:Q823),"")</f>
        <v/>
      </c>
      <c r="M823" s="64" t="str">
        <f t="shared" si="313"/>
        <v/>
      </c>
      <c r="N823" s="55" t="str">
        <f t="shared" si="314"/>
        <v/>
      </c>
      <c r="O823" s="55" t="str">
        <f t="shared" si="315"/>
        <v/>
      </c>
      <c r="P823" s="55" t="str">
        <f t="shared" si="316"/>
        <v/>
      </c>
      <c r="Q823" s="65" t="str">
        <f t="shared" si="317"/>
        <v/>
      </c>
      <c r="R823" s="67" t="str">
        <f t="shared" si="319"/>
        <v/>
      </c>
      <c r="S823" s="56" t="str">
        <f t="shared" si="320"/>
        <v/>
      </c>
      <c r="T823" s="56" t="str">
        <f t="shared" si="321"/>
        <v/>
      </c>
      <c r="U823" s="56" t="str">
        <f t="shared" si="322"/>
        <v/>
      </c>
      <c r="V823" s="68" t="str">
        <f t="shared" si="323"/>
        <v/>
      </c>
      <c r="W823" s="80" t="str">
        <f t="shared" si="324"/>
        <v/>
      </c>
      <c r="X823" s="81" t="str">
        <f t="shared" si="325"/>
        <v/>
      </c>
      <c r="Y823" s="81" t="str">
        <f t="shared" si="326"/>
        <v/>
      </c>
      <c r="Z823" s="81" t="str">
        <f t="shared" si="327"/>
        <v/>
      </c>
      <c r="AA823" s="82" t="str">
        <f t="shared" si="328"/>
        <v/>
      </c>
      <c r="AB823" s="83" t="str">
        <f>IF(R823&lt;&gt;"",(W823-SUMPRODUCT(R$3:R823,$B$3:$B823)/SUM($B$3:$B823))/STDEVA(W813:W823),"")</f>
        <v/>
      </c>
      <c r="AC823" s="84" t="str">
        <f>IF(S823&lt;&gt;"",(X823-SUMPRODUCT(S$3:S823,$B$3:$B823)/SUM($B$3:$B823))/STDEVA(X813:X823),"")</f>
        <v/>
      </c>
      <c r="AD823" s="84" t="str">
        <f>IF(T823&lt;&gt;"",(Y823-SUMPRODUCT(T$3:T823,$B$3:$B823)/SUM($B$3:$B823))/STDEVA(Y813:Y823),"")</f>
        <v/>
      </c>
      <c r="AE823" s="84" t="str">
        <f>IF(U823&lt;&gt;"",(Z823-SUMPRODUCT(U$3:U823,$B$3:$B823)/SUM($B$3:$B823))/STDEVA(Z813:Z823),"")</f>
        <v/>
      </c>
      <c r="AF823" s="85" t="str">
        <f>IF(V823&lt;&gt;"",(AA823-SUMPRODUCT(V$3:V823,$B$3:$B823)/SUM($B$3:$B823))/STDEVA(AA813:AA823),"")</f>
        <v/>
      </c>
      <c r="AG823" s="90" t="str">
        <f t="shared" si="330"/>
        <v/>
      </c>
      <c r="AH823" s="90" t="str">
        <f t="shared" si="330"/>
        <v/>
      </c>
      <c r="AI823" s="90" t="str">
        <f t="shared" si="330"/>
        <v/>
      </c>
      <c r="AJ823" s="90" t="str">
        <f t="shared" si="329"/>
        <v/>
      </c>
      <c r="AK823" s="93" t="str">
        <f t="shared" si="329"/>
        <v/>
      </c>
      <c r="BQ823" s="100" t="str">
        <f>IF(A823&lt;&gt;"",(VLOOKUP(A823,MarketData!$D:$BP,MATCH($BQ$1,MarketData!$D$1:$EG$1,0),TRUE)/100/365+1)^(B823)*BQ822,"")</f>
        <v/>
      </c>
      <c r="BR823" s="98" t="str">
        <f t="shared" si="307"/>
        <v/>
      </c>
      <c r="BS823" s="106" t="str">
        <f>IF(A823&lt;&gt;"",VLOOKUP(A823,MarketData!$D:$BP,MATCH($BS$1,MarketData!$D$1:$EG$1,0),TRUE),"")</f>
        <v/>
      </c>
      <c r="BT823" s="98" t="str">
        <f t="shared" si="318"/>
        <v/>
      </c>
    </row>
    <row r="824" spans="2:72" x14ac:dyDescent="0.25">
      <c r="B824" s="60" t="str">
        <f t="shared" si="331"/>
        <v/>
      </c>
      <c r="C824" s="3" t="str">
        <f t="shared" si="308"/>
        <v/>
      </c>
      <c r="D824" s="3" t="str">
        <f t="shared" si="309"/>
        <v/>
      </c>
      <c r="E824" s="3" t="str">
        <f t="shared" si="310"/>
        <v/>
      </c>
      <c r="F824" s="3" t="str">
        <f t="shared" si="311"/>
        <v/>
      </c>
      <c r="G824" s="74" t="str">
        <f t="shared" si="312"/>
        <v/>
      </c>
      <c r="H824" s="78" t="str">
        <f>IFERROR(C824/SUM(M$2:M823),"")</f>
        <v/>
      </c>
      <c r="I824" s="61" t="str">
        <f>IFERROR(D824/SUM(N$2:N824),"")</f>
        <v/>
      </c>
      <c r="J824" s="61" t="str">
        <f>IFERROR(E824/SUM(O$2:O824),"")</f>
        <v/>
      </c>
      <c r="K824" s="61" t="str">
        <f>IFERROR(F824/SUM(P$2:P824),"")</f>
        <v/>
      </c>
      <c r="L824" s="79" t="str">
        <f>IFERROR(G824/SUM(Q$2:Q824),"")</f>
        <v/>
      </c>
      <c r="M824" s="64" t="str">
        <f t="shared" si="313"/>
        <v/>
      </c>
      <c r="N824" s="55" t="str">
        <f t="shared" si="314"/>
        <v/>
      </c>
      <c r="O824" s="55" t="str">
        <f t="shared" si="315"/>
        <v/>
      </c>
      <c r="P824" s="55" t="str">
        <f t="shared" si="316"/>
        <v/>
      </c>
      <c r="Q824" s="65" t="str">
        <f t="shared" si="317"/>
        <v/>
      </c>
      <c r="R824" s="67" t="str">
        <f t="shared" si="319"/>
        <v/>
      </c>
      <c r="S824" s="56" t="str">
        <f t="shared" si="320"/>
        <v/>
      </c>
      <c r="T824" s="56" t="str">
        <f t="shared" si="321"/>
        <v/>
      </c>
      <c r="U824" s="56" t="str">
        <f t="shared" si="322"/>
        <v/>
      </c>
      <c r="V824" s="68" t="str">
        <f t="shared" si="323"/>
        <v/>
      </c>
      <c r="W824" s="80" t="str">
        <f t="shared" si="324"/>
        <v/>
      </c>
      <c r="X824" s="81" t="str">
        <f t="shared" si="325"/>
        <v/>
      </c>
      <c r="Y824" s="81" t="str">
        <f t="shared" si="326"/>
        <v/>
      </c>
      <c r="Z824" s="81" t="str">
        <f t="shared" si="327"/>
        <v/>
      </c>
      <c r="AA824" s="82" t="str">
        <f t="shared" si="328"/>
        <v/>
      </c>
      <c r="AB824" s="83" t="str">
        <f>IF(R824&lt;&gt;"",(W824-SUMPRODUCT(R$3:R824,$B$3:$B824)/SUM($B$3:$B824))/STDEVA(W814:W824),"")</f>
        <v/>
      </c>
      <c r="AC824" s="84" t="str">
        <f>IF(S824&lt;&gt;"",(X824-SUMPRODUCT(S$3:S824,$B$3:$B824)/SUM($B$3:$B824))/STDEVA(X814:X824),"")</f>
        <v/>
      </c>
      <c r="AD824" s="84" t="str">
        <f>IF(T824&lt;&gt;"",(Y824-SUMPRODUCT(T$3:T824,$B$3:$B824)/SUM($B$3:$B824))/STDEVA(Y814:Y824),"")</f>
        <v/>
      </c>
      <c r="AE824" s="84" t="str">
        <f>IF(U824&lt;&gt;"",(Z824-SUMPRODUCT(U$3:U824,$B$3:$B824)/SUM($B$3:$B824))/STDEVA(Z814:Z824),"")</f>
        <v/>
      </c>
      <c r="AF824" s="85" t="str">
        <f>IF(V824&lt;&gt;"",(AA824-SUMPRODUCT(V$3:V824,$B$3:$B824)/SUM($B$3:$B824))/STDEVA(AA814:AA824),"")</f>
        <v/>
      </c>
      <c r="AG824" s="90" t="str">
        <f t="shared" si="330"/>
        <v/>
      </c>
      <c r="AH824" s="90" t="str">
        <f t="shared" si="330"/>
        <v/>
      </c>
      <c r="AI824" s="90" t="str">
        <f t="shared" si="330"/>
        <v/>
      </c>
      <c r="AJ824" s="90" t="str">
        <f t="shared" si="329"/>
        <v/>
      </c>
      <c r="AK824" s="93" t="str">
        <f t="shared" si="329"/>
        <v/>
      </c>
      <c r="BQ824" s="100" t="str">
        <f>IF(A824&lt;&gt;"",(VLOOKUP(A824,MarketData!$D:$BP,MATCH($BQ$1,MarketData!$D$1:$EG$1,0),TRUE)/100/365+1)^(B824)*BQ823,"")</f>
        <v/>
      </c>
      <c r="BR824" s="98" t="str">
        <f t="shared" si="307"/>
        <v/>
      </c>
      <c r="BS824" s="106" t="str">
        <f>IF(A824&lt;&gt;"",VLOOKUP(A824,MarketData!$D:$BP,MATCH($BS$1,MarketData!$D$1:$EG$1,0),TRUE),"")</f>
        <v/>
      </c>
      <c r="BT824" s="98" t="str">
        <f t="shared" si="318"/>
        <v/>
      </c>
    </row>
    <row r="825" spans="2:72" x14ac:dyDescent="0.25">
      <c r="B825" s="60" t="str">
        <f t="shared" si="331"/>
        <v/>
      </c>
      <c r="C825" s="3" t="str">
        <f t="shared" si="308"/>
        <v/>
      </c>
      <c r="D825" s="3" t="str">
        <f t="shared" si="309"/>
        <v/>
      </c>
      <c r="E825" s="3" t="str">
        <f t="shared" si="310"/>
        <v/>
      </c>
      <c r="F825" s="3" t="str">
        <f t="shared" si="311"/>
        <v/>
      </c>
      <c r="G825" s="74" t="str">
        <f t="shared" si="312"/>
        <v/>
      </c>
      <c r="H825" s="78" t="str">
        <f>IFERROR(C825/SUM(M$2:M824),"")</f>
        <v/>
      </c>
      <c r="I825" s="61" t="str">
        <f>IFERROR(D825/SUM(N$2:N825),"")</f>
        <v/>
      </c>
      <c r="J825" s="61" t="str">
        <f>IFERROR(E825/SUM(O$2:O825),"")</f>
        <v/>
      </c>
      <c r="K825" s="61" t="str">
        <f>IFERROR(F825/SUM(P$2:P825),"")</f>
        <v/>
      </c>
      <c r="L825" s="79" t="str">
        <f>IFERROR(G825/SUM(Q$2:Q825),"")</f>
        <v/>
      </c>
      <c r="M825" s="64" t="str">
        <f t="shared" si="313"/>
        <v/>
      </c>
      <c r="N825" s="55" t="str">
        <f t="shared" si="314"/>
        <v/>
      </c>
      <c r="O825" s="55" t="str">
        <f t="shared" si="315"/>
        <v/>
      </c>
      <c r="P825" s="55" t="str">
        <f t="shared" si="316"/>
        <v/>
      </c>
      <c r="Q825" s="65" t="str">
        <f t="shared" si="317"/>
        <v/>
      </c>
      <c r="R825" s="67" t="str">
        <f t="shared" si="319"/>
        <v/>
      </c>
      <c r="S825" s="56" t="str">
        <f t="shared" si="320"/>
        <v/>
      </c>
      <c r="T825" s="56" t="str">
        <f t="shared" si="321"/>
        <v/>
      </c>
      <c r="U825" s="56" t="str">
        <f t="shared" si="322"/>
        <v/>
      </c>
      <c r="V825" s="68" t="str">
        <f t="shared" si="323"/>
        <v/>
      </c>
      <c r="W825" s="80" t="str">
        <f t="shared" si="324"/>
        <v/>
      </c>
      <c r="X825" s="81" t="str">
        <f t="shared" si="325"/>
        <v/>
      </c>
      <c r="Y825" s="81" t="str">
        <f t="shared" si="326"/>
        <v/>
      </c>
      <c r="Z825" s="81" t="str">
        <f t="shared" si="327"/>
        <v/>
      </c>
      <c r="AA825" s="82" t="str">
        <f t="shared" si="328"/>
        <v/>
      </c>
      <c r="AB825" s="83" t="str">
        <f>IF(R825&lt;&gt;"",(W825-SUMPRODUCT(R$3:R825,$B$3:$B825)/SUM($B$3:$B825))/STDEVA(W815:W825),"")</f>
        <v/>
      </c>
      <c r="AC825" s="84" t="str">
        <f>IF(S825&lt;&gt;"",(X825-SUMPRODUCT(S$3:S825,$B$3:$B825)/SUM($B$3:$B825))/STDEVA(X815:X825),"")</f>
        <v/>
      </c>
      <c r="AD825" s="84" t="str">
        <f>IF(T825&lt;&gt;"",(Y825-SUMPRODUCT(T$3:T825,$B$3:$B825)/SUM($B$3:$B825))/STDEVA(Y815:Y825),"")</f>
        <v/>
      </c>
      <c r="AE825" s="84" t="str">
        <f>IF(U825&lt;&gt;"",(Z825-SUMPRODUCT(U$3:U825,$B$3:$B825)/SUM($B$3:$B825))/STDEVA(Z815:Z825),"")</f>
        <v/>
      </c>
      <c r="AF825" s="85" t="str">
        <f>IF(V825&lt;&gt;"",(AA825-SUMPRODUCT(V$3:V825,$B$3:$B825)/SUM($B$3:$B825))/STDEVA(AA815:AA825),"")</f>
        <v/>
      </c>
      <c r="AG825" s="90" t="str">
        <f t="shared" si="330"/>
        <v/>
      </c>
      <c r="AH825" s="90" t="str">
        <f t="shared" si="330"/>
        <v/>
      </c>
      <c r="AI825" s="90" t="str">
        <f t="shared" si="330"/>
        <v/>
      </c>
      <c r="AJ825" s="90" t="str">
        <f t="shared" si="329"/>
        <v/>
      </c>
      <c r="AK825" s="93" t="str">
        <f t="shared" si="329"/>
        <v/>
      </c>
      <c r="BQ825" s="100" t="str">
        <f>IF(A825&lt;&gt;"",(VLOOKUP(A825,MarketData!$D:$BP,MATCH($BQ$1,MarketData!$D$1:$EG$1,0),TRUE)/100/365+1)^(B825)*BQ824,"")</f>
        <v/>
      </c>
      <c r="BR825" s="98" t="str">
        <f t="shared" si="307"/>
        <v/>
      </c>
      <c r="BS825" s="106" t="str">
        <f>IF(A825&lt;&gt;"",VLOOKUP(A825,MarketData!$D:$BP,MATCH($BS$1,MarketData!$D$1:$EG$1,0),TRUE),"")</f>
        <v/>
      </c>
      <c r="BT825" s="98" t="str">
        <f t="shared" si="318"/>
        <v/>
      </c>
    </row>
    <row r="826" spans="2:72" x14ac:dyDescent="0.25">
      <c r="B826" s="60" t="str">
        <f t="shared" si="331"/>
        <v/>
      </c>
      <c r="C826" s="3" t="str">
        <f t="shared" si="308"/>
        <v/>
      </c>
      <c r="D826" s="3" t="str">
        <f t="shared" si="309"/>
        <v/>
      </c>
      <c r="E826" s="3" t="str">
        <f t="shared" si="310"/>
        <v/>
      </c>
      <c r="F826" s="3" t="str">
        <f t="shared" si="311"/>
        <v/>
      </c>
      <c r="G826" s="74" t="str">
        <f t="shared" si="312"/>
        <v/>
      </c>
      <c r="H826" s="78" t="str">
        <f>IFERROR(C826/SUM(M$2:M825),"")</f>
        <v/>
      </c>
      <c r="I826" s="61" t="str">
        <f>IFERROR(D826/SUM(N$2:N826),"")</f>
        <v/>
      </c>
      <c r="J826" s="61" t="str">
        <f>IFERROR(E826/SUM(O$2:O826),"")</f>
        <v/>
      </c>
      <c r="K826" s="61" t="str">
        <f>IFERROR(F826/SUM(P$2:P826),"")</f>
        <v/>
      </c>
      <c r="L826" s="79" t="str">
        <f>IFERROR(G826/SUM(Q$2:Q826),"")</f>
        <v/>
      </c>
      <c r="M826" s="64" t="str">
        <f t="shared" si="313"/>
        <v/>
      </c>
      <c r="N826" s="55" t="str">
        <f t="shared" si="314"/>
        <v/>
      </c>
      <c r="O826" s="55" t="str">
        <f t="shared" si="315"/>
        <v/>
      </c>
      <c r="P826" s="55" t="str">
        <f t="shared" si="316"/>
        <v/>
      </c>
      <c r="Q826" s="65" t="str">
        <f t="shared" si="317"/>
        <v/>
      </c>
      <c r="R826" s="67" t="str">
        <f t="shared" si="319"/>
        <v/>
      </c>
      <c r="S826" s="56" t="str">
        <f t="shared" si="320"/>
        <v/>
      </c>
      <c r="T826" s="56" t="str">
        <f t="shared" si="321"/>
        <v/>
      </c>
      <c r="U826" s="56" t="str">
        <f t="shared" si="322"/>
        <v/>
      </c>
      <c r="V826" s="68" t="str">
        <f t="shared" si="323"/>
        <v/>
      </c>
      <c r="W826" s="80" t="str">
        <f t="shared" si="324"/>
        <v/>
      </c>
      <c r="X826" s="81" t="str">
        <f t="shared" si="325"/>
        <v/>
      </c>
      <c r="Y826" s="81" t="str">
        <f t="shared" si="326"/>
        <v/>
      </c>
      <c r="Z826" s="81" t="str">
        <f t="shared" si="327"/>
        <v/>
      </c>
      <c r="AA826" s="82" t="str">
        <f t="shared" si="328"/>
        <v/>
      </c>
      <c r="AB826" s="83" t="str">
        <f>IF(R826&lt;&gt;"",(W826-SUMPRODUCT(R$3:R826,$B$3:$B826)/SUM($B$3:$B826))/STDEVA(W816:W826),"")</f>
        <v/>
      </c>
      <c r="AC826" s="84" t="str">
        <f>IF(S826&lt;&gt;"",(X826-SUMPRODUCT(S$3:S826,$B$3:$B826)/SUM($B$3:$B826))/STDEVA(X816:X826),"")</f>
        <v/>
      </c>
      <c r="AD826" s="84" t="str">
        <f>IF(T826&lt;&gt;"",(Y826-SUMPRODUCT(T$3:T826,$B$3:$B826)/SUM($B$3:$B826))/STDEVA(Y816:Y826),"")</f>
        <v/>
      </c>
      <c r="AE826" s="84" t="str">
        <f>IF(U826&lt;&gt;"",(Z826-SUMPRODUCT(U$3:U826,$B$3:$B826)/SUM($B$3:$B826))/STDEVA(Z816:Z826),"")</f>
        <v/>
      </c>
      <c r="AF826" s="85" t="str">
        <f>IF(V826&lt;&gt;"",(AA826-SUMPRODUCT(V$3:V826,$B$3:$B826)/SUM($B$3:$B826))/STDEVA(AA816:AA826),"")</f>
        <v/>
      </c>
      <c r="AG826" s="90" t="str">
        <f t="shared" si="330"/>
        <v/>
      </c>
      <c r="AH826" s="90" t="str">
        <f t="shared" si="330"/>
        <v/>
      </c>
      <c r="AI826" s="90" t="str">
        <f t="shared" si="330"/>
        <v/>
      </c>
      <c r="AJ826" s="90" t="str">
        <f t="shared" si="329"/>
        <v/>
      </c>
      <c r="AK826" s="93" t="str">
        <f t="shared" si="329"/>
        <v/>
      </c>
      <c r="BQ826" s="100" t="str">
        <f>IF(A826&lt;&gt;"",(VLOOKUP(A826,MarketData!$D:$BP,MATCH($BQ$1,MarketData!$D$1:$EG$1,0),TRUE)/100/365+1)^(B826)*BQ825,"")</f>
        <v/>
      </c>
      <c r="BR826" s="98" t="str">
        <f t="shared" si="307"/>
        <v/>
      </c>
      <c r="BS826" s="106" t="str">
        <f>IF(A826&lt;&gt;"",VLOOKUP(A826,MarketData!$D:$BP,MATCH($BS$1,MarketData!$D$1:$EG$1,0),TRUE),"")</f>
        <v/>
      </c>
      <c r="BT826" s="98" t="str">
        <f t="shared" si="318"/>
        <v/>
      </c>
    </row>
    <row r="827" spans="2:72" x14ac:dyDescent="0.25">
      <c r="B827" s="60" t="str">
        <f t="shared" si="331"/>
        <v/>
      </c>
      <c r="C827" s="3" t="str">
        <f t="shared" si="308"/>
        <v/>
      </c>
      <c r="D827" s="3" t="str">
        <f t="shared" si="309"/>
        <v/>
      </c>
      <c r="E827" s="3" t="str">
        <f t="shared" si="310"/>
        <v/>
      </c>
      <c r="F827" s="3" t="str">
        <f t="shared" si="311"/>
        <v/>
      </c>
      <c r="G827" s="74" t="str">
        <f t="shared" si="312"/>
        <v/>
      </c>
      <c r="H827" s="78" t="str">
        <f>IFERROR(C827/SUM(M$2:M826),"")</f>
        <v/>
      </c>
      <c r="I827" s="61" t="str">
        <f>IFERROR(D827/SUM(N$2:N827),"")</f>
        <v/>
      </c>
      <c r="J827" s="61" t="str">
        <f>IFERROR(E827/SUM(O$2:O827),"")</f>
        <v/>
      </c>
      <c r="K827" s="61" t="str">
        <f>IFERROR(F827/SUM(P$2:P827),"")</f>
        <v/>
      </c>
      <c r="L827" s="79" t="str">
        <f>IFERROR(G827/SUM(Q$2:Q827),"")</f>
        <v/>
      </c>
      <c r="M827" s="64" t="str">
        <f t="shared" si="313"/>
        <v/>
      </c>
      <c r="N827" s="55" t="str">
        <f t="shared" si="314"/>
        <v/>
      </c>
      <c r="O827" s="55" t="str">
        <f t="shared" si="315"/>
        <v/>
      </c>
      <c r="P827" s="55" t="str">
        <f t="shared" si="316"/>
        <v/>
      </c>
      <c r="Q827" s="65" t="str">
        <f t="shared" si="317"/>
        <v/>
      </c>
      <c r="R827" s="67" t="str">
        <f t="shared" si="319"/>
        <v/>
      </c>
      <c r="S827" s="56" t="str">
        <f t="shared" si="320"/>
        <v/>
      </c>
      <c r="T827" s="56" t="str">
        <f t="shared" si="321"/>
        <v/>
      </c>
      <c r="U827" s="56" t="str">
        <f t="shared" si="322"/>
        <v/>
      </c>
      <c r="V827" s="68" t="str">
        <f t="shared" si="323"/>
        <v/>
      </c>
      <c r="W827" s="80" t="str">
        <f t="shared" si="324"/>
        <v/>
      </c>
      <c r="X827" s="81" t="str">
        <f t="shared" si="325"/>
        <v/>
      </c>
      <c r="Y827" s="81" t="str">
        <f t="shared" si="326"/>
        <v/>
      </c>
      <c r="Z827" s="81" t="str">
        <f t="shared" si="327"/>
        <v/>
      </c>
      <c r="AA827" s="82" t="str">
        <f t="shared" si="328"/>
        <v/>
      </c>
      <c r="AB827" s="83" t="str">
        <f>IF(R827&lt;&gt;"",(W827-SUMPRODUCT(R$3:R827,$B$3:$B827)/SUM($B$3:$B827))/STDEVA(W817:W827),"")</f>
        <v/>
      </c>
      <c r="AC827" s="84" t="str">
        <f>IF(S827&lt;&gt;"",(X827-SUMPRODUCT(S$3:S827,$B$3:$B827)/SUM($B$3:$B827))/STDEVA(X817:X827),"")</f>
        <v/>
      </c>
      <c r="AD827" s="84" t="str">
        <f>IF(T827&lt;&gt;"",(Y827-SUMPRODUCT(T$3:T827,$B$3:$B827)/SUM($B$3:$B827))/STDEVA(Y817:Y827),"")</f>
        <v/>
      </c>
      <c r="AE827" s="84" t="str">
        <f>IF(U827&lt;&gt;"",(Z827-SUMPRODUCT(U$3:U827,$B$3:$B827)/SUM($B$3:$B827))/STDEVA(Z817:Z827),"")</f>
        <v/>
      </c>
      <c r="AF827" s="85" t="str">
        <f>IF(V827&lt;&gt;"",(AA827-SUMPRODUCT(V$3:V827,$B$3:$B827)/SUM($B$3:$B827))/STDEVA(AA817:AA827),"")</f>
        <v/>
      </c>
      <c r="AG827" s="90" t="str">
        <f t="shared" si="330"/>
        <v/>
      </c>
      <c r="AH827" s="90" t="str">
        <f t="shared" si="330"/>
        <v/>
      </c>
      <c r="AI827" s="90" t="str">
        <f t="shared" si="330"/>
        <v/>
      </c>
      <c r="AJ827" s="90" t="str">
        <f t="shared" si="329"/>
        <v/>
      </c>
      <c r="AK827" s="93" t="str">
        <f t="shared" si="329"/>
        <v/>
      </c>
      <c r="BQ827" s="100" t="str">
        <f>IF(A827&lt;&gt;"",(VLOOKUP(A827,MarketData!$D:$BP,MATCH($BQ$1,MarketData!$D$1:$EG$1,0),TRUE)/100/365+1)^(B827)*BQ826,"")</f>
        <v/>
      </c>
      <c r="BR827" s="98" t="str">
        <f t="shared" si="307"/>
        <v/>
      </c>
      <c r="BS827" s="106" t="str">
        <f>IF(A827&lt;&gt;"",VLOOKUP(A827,MarketData!$D:$BP,MATCH($BS$1,MarketData!$D$1:$EG$1,0),TRUE),"")</f>
        <v/>
      </c>
      <c r="BT827" s="98" t="str">
        <f t="shared" si="318"/>
        <v/>
      </c>
    </row>
    <row r="828" spans="2:72" x14ac:dyDescent="0.25">
      <c r="B828" s="60" t="str">
        <f t="shared" si="331"/>
        <v/>
      </c>
      <c r="C828" s="3" t="str">
        <f t="shared" si="308"/>
        <v/>
      </c>
      <c r="D828" s="3" t="str">
        <f t="shared" si="309"/>
        <v/>
      </c>
      <c r="E828" s="3" t="str">
        <f t="shared" si="310"/>
        <v/>
      </c>
      <c r="F828" s="3" t="str">
        <f t="shared" si="311"/>
        <v/>
      </c>
      <c r="G828" s="74" t="str">
        <f t="shared" si="312"/>
        <v/>
      </c>
      <c r="H828" s="78" t="str">
        <f>IFERROR(C828/SUM(M$2:M827),"")</f>
        <v/>
      </c>
      <c r="I828" s="61" t="str">
        <f>IFERROR(D828/SUM(N$2:N828),"")</f>
        <v/>
      </c>
      <c r="J828" s="61" t="str">
        <f>IFERROR(E828/SUM(O$2:O828),"")</f>
        <v/>
      </c>
      <c r="K828" s="61" t="str">
        <f>IFERROR(F828/SUM(P$2:P828),"")</f>
        <v/>
      </c>
      <c r="L828" s="79" t="str">
        <f>IFERROR(G828/SUM(Q$2:Q828),"")</f>
        <v/>
      </c>
      <c r="M828" s="64" t="str">
        <f t="shared" si="313"/>
        <v/>
      </c>
      <c r="N828" s="55" t="str">
        <f t="shared" si="314"/>
        <v/>
      </c>
      <c r="O828" s="55" t="str">
        <f t="shared" si="315"/>
        <v/>
      </c>
      <c r="P828" s="55" t="str">
        <f t="shared" si="316"/>
        <v/>
      </c>
      <c r="Q828" s="65" t="str">
        <f t="shared" si="317"/>
        <v/>
      </c>
      <c r="R828" s="67" t="str">
        <f t="shared" si="319"/>
        <v/>
      </c>
      <c r="S828" s="56" t="str">
        <f t="shared" si="320"/>
        <v/>
      </c>
      <c r="T828" s="56" t="str">
        <f t="shared" si="321"/>
        <v/>
      </c>
      <c r="U828" s="56" t="str">
        <f t="shared" si="322"/>
        <v/>
      </c>
      <c r="V828" s="68" t="str">
        <f t="shared" si="323"/>
        <v/>
      </c>
      <c r="W828" s="80" t="str">
        <f t="shared" si="324"/>
        <v/>
      </c>
      <c r="X828" s="81" t="str">
        <f t="shared" si="325"/>
        <v/>
      </c>
      <c r="Y828" s="81" t="str">
        <f t="shared" si="326"/>
        <v/>
      </c>
      <c r="Z828" s="81" t="str">
        <f t="shared" si="327"/>
        <v/>
      </c>
      <c r="AA828" s="82" t="str">
        <f t="shared" si="328"/>
        <v/>
      </c>
      <c r="AB828" s="83" t="str">
        <f>IF(R828&lt;&gt;"",(W828-SUMPRODUCT(R$3:R828,$B$3:$B828)/SUM($B$3:$B828))/STDEVA(W818:W828),"")</f>
        <v/>
      </c>
      <c r="AC828" s="84" t="str">
        <f>IF(S828&lt;&gt;"",(X828-SUMPRODUCT(S$3:S828,$B$3:$B828)/SUM($B$3:$B828))/STDEVA(X818:X828),"")</f>
        <v/>
      </c>
      <c r="AD828" s="84" t="str">
        <f>IF(T828&lt;&gt;"",(Y828-SUMPRODUCT(T$3:T828,$B$3:$B828)/SUM($B$3:$B828))/STDEVA(Y818:Y828),"")</f>
        <v/>
      </c>
      <c r="AE828" s="84" t="str">
        <f>IF(U828&lt;&gt;"",(Z828-SUMPRODUCT(U$3:U828,$B$3:$B828)/SUM($B$3:$B828))/STDEVA(Z818:Z828),"")</f>
        <v/>
      </c>
      <c r="AF828" s="85" t="str">
        <f>IF(V828&lt;&gt;"",(AA828-SUMPRODUCT(V$3:V828,$B$3:$B828)/SUM($B$3:$B828))/STDEVA(AA818:AA828),"")</f>
        <v/>
      </c>
      <c r="AG828" s="90" t="str">
        <f t="shared" si="330"/>
        <v/>
      </c>
      <c r="AH828" s="90" t="str">
        <f t="shared" si="330"/>
        <v/>
      </c>
      <c r="AI828" s="90" t="str">
        <f t="shared" si="330"/>
        <v/>
      </c>
      <c r="AJ828" s="90" t="str">
        <f t="shared" si="329"/>
        <v/>
      </c>
      <c r="AK828" s="93" t="str">
        <f t="shared" si="329"/>
        <v/>
      </c>
      <c r="BQ828" s="100" t="str">
        <f>IF(A828&lt;&gt;"",(VLOOKUP(A828,MarketData!$D:$BP,MATCH($BQ$1,MarketData!$D$1:$EG$1,0),TRUE)/100/365+1)^(B828)*BQ827,"")</f>
        <v/>
      </c>
      <c r="BR828" s="98" t="str">
        <f t="shared" si="307"/>
        <v/>
      </c>
      <c r="BS828" s="106" t="str">
        <f>IF(A828&lt;&gt;"",VLOOKUP(A828,MarketData!$D:$BP,MATCH($BS$1,MarketData!$D$1:$EG$1,0),TRUE),"")</f>
        <v/>
      </c>
      <c r="BT828" s="98" t="str">
        <f t="shared" si="318"/>
        <v/>
      </c>
    </row>
    <row r="829" spans="2:72" x14ac:dyDescent="0.25">
      <c r="B829" s="60" t="str">
        <f t="shared" si="331"/>
        <v/>
      </c>
      <c r="C829" s="3" t="str">
        <f t="shared" si="308"/>
        <v/>
      </c>
      <c r="D829" s="3" t="str">
        <f t="shared" si="309"/>
        <v/>
      </c>
      <c r="E829" s="3" t="str">
        <f t="shared" si="310"/>
        <v/>
      </c>
      <c r="F829" s="3" t="str">
        <f t="shared" si="311"/>
        <v/>
      </c>
      <c r="G829" s="74" t="str">
        <f t="shared" si="312"/>
        <v/>
      </c>
      <c r="H829" s="78" t="str">
        <f>IFERROR(C829/SUM(M$2:M828),"")</f>
        <v/>
      </c>
      <c r="I829" s="61" t="str">
        <f>IFERROR(D829/SUM(N$2:N829),"")</f>
        <v/>
      </c>
      <c r="J829" s="61" t="str">
        <f>IFERROR(E829/SUM(O$2:O829),"")</f>
        <v/>
      </c>
      <c r="K829" s="61" t="str">
        <f>IFERROR(F829/SUM(P$2:P829),"")</f>
        <v/>
      </c>
      <c r="L829" s="79" t="str">
        <f>IFERROR(G829/SUM(Q$2:Q829),"")</f>
        <v/>
      </c>
      <c r="M829" s="64" t="str">
        <f t="shared" si="313"/>
        <v/>
      </c>
      <c r="N829" s="55" t="str">
        <f t="shared" si="314"/>
        <v/>
      </c>
      <c r="O829" s="55" t="str">
        <f t="shared" si="315"/>
        <v/>
      </c>
      <c r="P829" s="55" t="str">
        <f t="shared" si="316"/>
        <v/>
      </c>
      <c r="Q829" s="65" t="str">
        <f t="shared" si="317"/>
        <v/>
      </c>
      <c r="R829" s="67" t="str">
        <f t="shared" si="319"/>
        <v/>
      </c>
      <c r="S829" s="56" t="str">
        <f t="shared" si="320"/>
        <v/>
      </c>
      <c r="T829" s="56" t="str">
        <f t="shared" si="321"/>
        <v/>
      </c>
      <c r="U829" s="56" t="str">
        <f t="shared" si="322"/>
        <v/>
      </c>
      <c r="V829" s="68" t="str">
        <f t="shared" si="323"/>
        <v/>
      </c>
      <c r="W829" s="80" t="str">
        <f t="shared" si="324"/>
        <v/>
      </c>
      <c r="X829" s="81" t="str">
        <f t="shared" si="325"/>
        <v/>
      </c>
      <c r="Y829" s="81" t="str">
        <f t="shared" si="326"/>
        <v/>
      </c>
      <c r="Z829" s="81" t="str">
        <f t="shared" si="327"/>
        <v/>
      </c>
      <c r="AA829" s="82" t="str">
        <f t="shared" si="328"/>
        <v/>
      </c>
      <c r="AB829" s="83" t="str">
        <f>IF(R829&lt;&gt;"",(W829-SUMPRODUCT(R$3:R829,$B$3:$B829)/SUM($B$3:$B829))/STDEVA(W819:W829),"")</f>
        <v/>
      </c>
      <c r="AC829" s="84" t="str">
        <f>IF(S829&lt;&gt;"",(X829-SUMPRODUCT(S$3:S829,$B$3:$B829)/SUM($B$3:$B829))/STDEVA(X819:X829),"")</f>
        <v/>
      </c>
      <c r="AD829" s="84" t="str">
        <f>IF(T829&lt;&gt;"",(Y829-SUMPRODUCT(T$3:T829,$B$3:$B829)/SUM($B$3:$B829))/STDEVA(Y819:Y829),"")</f>
        <v/>
      </c>
      <c r="AE829" s="84" t="str">
        <f>IF(U829&lt;&gt;"",(Z829-SUMPRODUCT(U$3:U829,$B$3:$B829)/SUM($B$3:$B829))/STDEVA(Z819:Z829),"")</f>
        <v/>
      </c>
      <c r="AF829" s="85" t="str">
        <f>IF(V829&lt;&gt;"",(AA829-SUMPRODUCT(V$3:V829,$B$3:$B829)/SUM($B$3:$B829))/STDEVA(AA819:AA829),"")</f>
        <v/>
      </c>
      <c r="AG829" s="90" t="str">
        <f t="shared" si="330"/>
        <v/>
      </c>
      <c r="AH829" s="90" t="str">
        <f t="shared" si="330"/>
        <v/>
      </c>
      <c r="AI829" s="90" t="str">
        <f t="shared" si="330"/>
        <v/>
      </c>
      <c r="AJ829" s="90" t="str">
        <f t="shared" si="329"/>
        <v/>
      </c>
      <c r="AK829" s="93" t="str">
        <f t="shared" si="329"/>
        <v/>
      </c>
      <c r="BQ829" s="100" t="str">
        <f>IF(A829&lt;&gt;"",(VLOOKUP(A829,MarketData!$D:$BP,MATCH($BQ$1,MarketData!$D$1:$EG$1,0),TRUE)/100/365+1)^(B829)*BQ828,"")</f>
        <v/>
      </c>
      <c r="BR829" s="98" t="str">
        <f t="shared" si="307"/>
        <v/>
      </c>
      <c r="BS829" s="106" t="str">
        <f>IF(A829&lt;&gt;"",VLOOKUP(A829,MarketData!$D:$BP,MATCH($BS$1,MarketData!$D$1:$EG$1,0),TRUE),"")</f>
        <v/>
      </c>
      <c r="BT829" s="98" t="str">
        <f t="shared" si="318"/>
        <v/>
      </c>
    </row>
    <row r="830" spans="2:72" x14ac:dyDescent="0.25">
      <c r="B830" s="60" t="str">
        <f t="shared" si="331"/>
        <v/>
      </c>
      <c r="C830" s="3" t="str">
        <f t="shared" si="308"/>
        <v/>
      </c>
      <c r="D830" s="3" t="str">
        <f t="shared" si="309"/>
        <v/>
      </c>
      <c r="E830" s="3" t="str">
        <f t="shared" si="310"/>
        <v/>
      </c>
      <c r="F830" s="3" t="str">
        <f t="shared" si="311"/>
        <v/>
      </c>
      <c r="G830" s="74" t="str">
        <f t="shared" si="312"/>
        <v/>
      </c>
      <c r="H830" s="78" t="str">
        <f>IFERROR(C830/SUM(M$2:M829),"")</f>
        <v/>
      </c>
      <c r="I830" s="61" t="str">
        <f>IFERROR(D830/SUM(N$2:N830),"")</f>
        <v/>
      </c>
      <c r="J830" s="61" t="str">
        <f>IFERROR(E830/SUM(O$2:O830),"")</f>
        <v/>
      </c>
      <c r="K830" s="61" t="str">
        <f>IFERROR(F830/SUM(P$2:P830),"")</f>
        <v/>
      </c>
      <c r="L830" s="79" t="str">
        <f>IFERROR(G830/SUM(Q$2:Q830),"")</f>
        <v/>
      </c>
      <c r="M830" s="64" t="str">
        <f t="shared" si="313"/>
        <v/>
      </c>
      <c r="N830" s="55" t="str">
        <f t="shared" si="314"/>
        <v/>
      </c>
      <c r="O830" s="55" t="str">
        <f t="shared" si="315"/>
        <v/>
      </c>
      <c r="P830" s="55" t="str">
        <f t="shared" si="316"/>
        <v/>
      </c>
      <c r="Q830" s="65" t="str">
        <f t="shared" si="317"/>
        <v/>
      </c>
      <c r="R830" s="67" t="str">
        <f t="shared" si="319"/>
        <v/>
      </c>
      <c r="S830" s="56" t="str">
        <f t="shared" si="320"/>
        <v/>
      </c>
      <c r="T830" s="56" t="str">
        <f t="shared" si="321"/>
        <v/>
      </c>
      <c r="U830" s="56" t="str">
        <f t="shared" si="322"/>
        <v/>
      </c>
      <c r="V830" s="68" t="str">
        <f t="shared" si="323"/>
        <v/>
      </c>
      <c r="W830" s="80" t="str">
        <f t="shared" si="324"/>
        <v/>
      </c>
      <c r="X830" s="81" t="str">
        <f t="shared" si="325"/>
        <v/>
      </c>
      <c r="Y830" s="81" t="str">
        <f t="shared" si="326"/>
        <v/>
      </c>
      <c r="Z830" s="81" t="str">
        <f t="shared" si="327"/>
        <v/>
      </c>
      <c r="AA830" s="82" t="str">
        <f t="shared" si="328"/>
        <v/>
      </c>
      <c r="AB830" s="83" t="str">
        <f>IF(R830&lt;&gt;"",(W830-SUMPRODUCT(R$3:R830,$B$3:$B830)/SUM($B$3:$B830))/STDEVA(W820:W830),"")</f>
        <v/>
      </c>
      <c r="AC830" s="84" t="str">
        <f>IF(S830&lt;&gt;"",(X830-SUMPRODUCT(S$3:S830,$B$3:$B830)/SUM($B$3:$B830))/STDEVA(X820:X830),"")</f>
        <v/>
      </c>
      <c r="AD830" s="84" t="str">
        <f>IF(T830&lt;&gt;"",(Y830-SUMPRODUCT(T$3:T830,$B$3:$B830)/SUM($B$3:$B830))/STDEVA(Y820:Y830),"")</f>
        <v/>
      </c>
      <c r="AE830" s="84" t="str">
        <f>IF(U830&lt;&gt;"",(Z830-SUMPRODUCT(U$3:U830,$B$3:$B830)/SUM($B$3:$B830))/STDEVA(Z820:Z830),"")</f>
        <v/>
      </c>
      <c r="AF830" s="85" t="str">
        <f>IF(V830&lt;&gt;"",(AA830-SUMPRODUCT(V$3:V830,$B$3:$B830)/SUM($B$3:$B830))/STDEVA(AA820:AA830),"")</f>
        <v/>
      </c>
      <c r="AG830" s="90" t="str">
        <f t="shared" si="330"/>
        <v/>
      </c>
      <c r="AH830" s="90" t="str">
        <f t="shared" si="330"/>
        <v/>
      </c>
      <c r="AI830" s="90" t="str">
        <f t="shared" si="330"/>
        <v/>
      </c>
      <c r="AJ830" s="90" t="str">
        <f t="shared" si="329"/>
        <v/>
      </c>
      <c r="AK830" s="93" t="str">
        <f t="shared" si="329"/>
        <v/>
      </c>
      <c r="BQ830" s="100" t="str">
        <f>IF(A830&lt;&gt;"",(VLOOKUP(A830,MarketData!$D:$BP,MATCH($BQ$1,MarketData!$D$1:$EG$1,0),TRUE)/100/365+1)^(B830)*BQ829,"")</f>
        <v/>
      </c>
      <c r="BR830" s="98" t="str">
        <f t="shared" si="307"/>
        <v/>
      </c>
      <c r="BS830" s="106" t="str">
        <f>IF(A830&lt;&gt;"",VLOOKUP(A830,MarketData!$D:$BP,MATCH($BS$1,MarketData!$D$1:$EG$1,0),TRUE),"")</f>
        <v/>
      </c>
      <c r="BT830" s="98" t="str">
        <f t="shared" si="318"/>
        <v/>
      </c>
    </row>
    <row r="831" spans="2:72" x14ac:dyDescent="0.25">
      <c r="B831" s="60" t="str">
        <f t="shared" si="331"/>
        <v/>
      </c>
      <c r="C831" s="3" t="str">
        <f t="shared" si="308"/>
        <v/>
      </c>
      <c r="D831" s="3" t="str">
        <f t="shared" si="309"/>
        <v/>
      </c>
      <c r="E831" s="3" t="str">
        <f t="shared" si="310"/>
        <v/>
      </c>
      <c r="F831" s="3" t="str">
        <f t="shared" si="311"/>
        <v/>
      </c>
      <c r="G831" s="74" t="str">
        <f t="shared" si="312"/>
        <v/>
      </c>
      <c r="H831" s="78" t="str">
        <f>IFERROR(C831/SUM(M$2:M830),"")</f>
        <v/>
      </c>
      <c r="I831" s="61" t="str">
        <f>IFERROR(D831/SUM(N$2:N831),"")</f>
        <v/>
      </c>
      <c r="J831" s="61" t="str">
        <f>IFERROR(E831/SUM(O$2:O831),"")</f>
        <v/>
      </c>
      <c r="K831" s="61" t="str">
        <f>IFERROR(F831/SUM(P$2:P831),"")</f>
        <v/>
      </c>
      <c r="L831" s="79" t="str">
        <f>IFERROR(G831/SUM(Q$2:Q831),"")</f>
        <v/>
      </c>
      <c r="M831" s="64" t="str">
        <f t="shared" si="313"/>
        <v/>
      </c>
      <c r="N831" s="55" t="str">
        <f t="shared" si="314"/>
        <v/>
      </c>
      <c r="O831" s="55" t="str">
        <f t="shared" si="315"/>
        <v/>
      </c>
      <c r="P831" s="55" t="str">
        <f t="shared" si="316"/>
        <v/>
      </c>
      <c r="Q831" s="65" t="str">
        <f t="shared" si="317"/>
        <v/>
      </c>
      <c r="R831" s="67" t="str">
        <f t="shared" si="319"/>
        <v/>
      </c>
      <c r="S831" s="56" t="str">
        <f t="shared" si="320"/>
        <v/>
      </c>
      <c r="T831" s="56" t="str">
        <f t="shared" si="321"/>
        <v/>
      </c>
      <c r="U831" s="56" t="str">
        <f t="shared" si="322"/>
        <v/>
      </c>
      <c r="V831" s="68" t="str">
        <f t="shared" si="323"/>
        <v/>
      </c>
      <c r="W831" s="80" t="str">
        <f t="shared" si="324"/>
        <v/>
      </c>
      <c r="X831" s="81" t="str">
        <f t="shared" si="325"/>
        <v/>
      </c>
      <c r="Y831" s="81" t="str">
        <f t="shared" si="326"/>
        <v/>
      </c>
      <c r="Z831" s="81" t="str">
        <f t="shared" si="327"/>
        <v/>
      </c>
      <c r="AA831" s="82" t="str">
        <f t="shared" si="328"/>
        <v/>
      </c>
      <c r="AB831" s="83" t="str">
        <f>IF(R831&lt;&gt;"",(W831-SUMPRODUCT(R$3:R831,$B$3:$B831)/SUM($B$3:$B831))/STDEVA(W821:W831),"")</f>
        <v/>
      </c>
      <c r="AC831" s="84" t="str">
        <f>IF(S831&lt;&gt;"",(X831-SUMPRODUCT(S$3:S831,$B$3:$B831)/SUM($B$3:$B831))/STDEVA(X821:X831),"")</f>
        <v/>
      </c>
      <c r="AD831" s="84" t="str">
        <f>IF(T831&lt;&gt;"",(Y831-SUMPRODUCT(T$3:T831,$B$3:$B831)/SUM($B$3:$B831))/STDEVA(Y821:Y831),"")</f>
        <v/>
      </c>
      <c r="AE831" s="84" t="str">
        <f>IF(U831&lt;&gt;"",(Z831-SUMPRODUCT(U$3:U831,$B$3:$B831)/SUM($B$3:$B831))/STDEVA(Z821:Z831),"")</f>
        <v/>
      </c>
      <c r="AF831" s="85" t="str">
        <f>IF(V831&lt;&gt;"",(AA831-SUMPRODUCT(V$3:V831,$B$3:$B831)/SUM($B$3:$B831))/STDEVA(AA821:AA831),"")</f>
        <v/>
      </c>
      <c r="AG831" s="90" t="str">
        <f t="shared" si="330"/>
        <v/>
      </c>
      <c r="AH831" s="90" t="str">
        <f t="shared" si="330"/>
        <v/>
      </c>
      <c r="AI831" s="90" t="str">
        <f t="shared" si="330"/>
        <v/>
      </c>
      <c r="AJ831" s="90" t="str">
        <f t="shared" si="329"/>
        <v/>
      </c>
      <c r="AK831" s="93" t="str">
        <f t="shared" si="329"/>
        <v/>
      </c>
      <c r="BQ831" s="100" t="str">
        <f>IF(A831&lt;&gt;"",(VLOOKUP(A831,MarketData!$D:$BP,MATCH($BQ$1,MarketData!$D$1:$EG$1,0),TRUE)/100/365+1)^(B831)*BQ830,"")</f>
        <v/>
      </c>
      <c r="BR831" s="98" t="str">
        <f t="shared" si="307"/>
        <v/>
      </c>
      <c r="BS831" s="106" t="str">
        <f>IF(A831&lt;&gt;"",VLOOKUP(A831,MarketData!$D:$BP,MATCH($BS$1,MarketData!$D$1:$EG$1,0),TRUE),"")</f>
        <v/>
      </c>
      <c r="BT831" s="98" t="str">
        <f t="shared" si="318"/>
        <v/>
      </c>
    </row>
    <row r="832" spans="2:72" x14ac:dyDescent="0.25">
      <c r="B832" s="60" t="str">
        <f t="shared" si="331"/>
        <v/>
      </c>
      <c r="C832" s="3" t="str">
        <f t="shared" si="308"/>
        <v/>
      </c>
      <c r="D832" s="3" t="str">
        <f t="shared" si="309"/>
        <v/>
      </c>
      <c r="E832" s="3" t="str">
        <f t="shared" si="310"/>
        <v/>
      </c>
      <c r="F832" s="3" t="str">
        <f t="shared" si="311"/>
        <v/>
      </c>
      <c r="G832" s="74" t="str">
        <f t="shared" si="312"/>
        <v/>
      </c>
      <c r="H832" s="78" t="str">
        <f>IFERROR(C832/SUM(M$2:M831),"")</f>
        <v/>
      </c>
      <c r="I832" s="61" t="str">
        <f>IFERROR(D832/SUM(N$2:N832),"")</f>
        <v/>
      </c>
      <c r="J832" s="61" t="str">
        <f>IFERROR(E832/SUM(O$2:O832),"")</f>
        <v/>
      </c>
      <c r="K832" s="61" t="str">
        <f>IFERROR(F832/SUM(P$2:P832),"")</f>
        <v/>
      </c>
      <c r="L832" s="79" t="str">
        <f>IFERROR(G832/SUM(Q$2:Q832),"")</f>
        <v/>
      </c>
      <c r="M832" s="64" t="str">
        <f t="shared" si="313"/>
        <v/>
      </c>
      <c r="N832" s="55" t="str">
        <f t="shared" si="314"/>
        <v/>
      </c>
      <c r="O832" s="55" t="str">
        <f t="shared" si="315"/>
        <v/>
      </c>
      <c r="P832" s="55" t="str">
        <f t="shared" si="316"/>
        <v/>
      </c>
      <c r="Q832" s="65" t="str">
        <f t="shared" si="317"/>
        <v/>
      </c>
      <c r="R832" s="67" t="str">
        <f t="shared" si="319"/>
        <v/>
      </c>
      <c r="S832" s="56" t="str">
        <f t="shared" si="320"/>
        <v/>
      </c>
      <c r="T832" s="56" t="str">
        <f t="shared" si="321"/>
        <v/>
      </c>
      <c r="U832" s="56" t="str">
        <f t="shared" si="322"/>
        <v/>
      </c>
      <c r="V832" s="68" t="str">
        <f t="shared" si="323"/>
        <v/>
      </c>
      <c r="W832" s="80" t="str">
        <f t="shared" si="324"/>
        <v/>
      </c>
      <c r="X832" s="81" t="str">
        <f t="shared" si="325"/>
        <v/>
      </c>
      <c r="Y832" s="81" t="str">
        <f t="shared" si="326"/>
        <v/>
      </c>
      <c r="Z832" s="81" t="str">
        <f t="shared" si="327"/>
        <v/>
      </c>
      <c r="AA832" s="82" t="str">
        <f t="shared" si="328"/>
        <v/>
      </c>
      <c r="AB832" s="83" t="str">
        <f>IF(R832&lt;&gt;"",(W832-SUMPRODUCT(R$3:R832,$B$3:$B832)/SUM($B$3:$B832))/STDEVA(W822:W832),"")</f>
        <v/>
      </c>
      <c r="AC832" s="84" t="str">
        <f>IF(S832&lt;&gt;"",(X832-SUMPRODUCT(S$3:S832,$B$3:$B832)/SUM($B$3:$B832))/STDEVA(X822:X832),"")</f>
        <v/>
      </c>
      <c r="AD832" s="84" t="str">
        <f>IF(T832&lt;&gt;"",(Y832-SUMPRODUCT(T$3:T832,$B$3:$B832)/SUM($B$3:$B832))/STDEVA(Y822:Y832),"")</f>
        <v/>
      </c>
      <c r="AE832" s="84" t="str">
        <f>IF(U832&lt;&gt;"",(Z832-SUMPRODUCT(U$3:U832,$B$3:$B832)/SUM($B$3:$B832))/STDEVA(Z822:Z832),"")</f>
        <v/>
      </c>
      <c r="AF832" s="85" t="str">
        <f>IF(V832&lt;&gt;"",(AA832-SUMPRODUCT(V$3:V832,$B$3:$B832)/SUM($B$3:$B832))/STDEVA(AA822:AA832),"")</f>
        <v/>
      </c>
      <c r="AG832" s="90" t="str">
        <f t="shared" si="330"/>
        <v/>
      </c>
      <c r="AH832" s="90" t="str">
        <f t="shared" si="330"/>
        <v/>
      </c>
      <c r="AI832" s="90" t="str">
        <f t="shared" si="330"/>
        <v/>
      </c>
      <c r="AJ832" s="90" t="str">
        <f t="shared" si="329"/>
        <v/>
      </c>
      <c r="AK832" s="93" t="str">
        <f t="shared" si="329"/>
        <v/>
      </c>
      <c r="BQ832" s="100" t="str">
        <f>IF(A832&lt;&gt;"",(VLOOKUP(A832,MarketData!$D:$BP,MATCH($BQ$1,MarketData!$D$1:$EG$1,0),TRUE)/100/365+1)^(B832)*BQ831,"")</f>
        <v/>
      </c>
      <c r="BR832" s="98" t="str">
        <f t="shared" si="307"/>
        <v/>
      </c>
      <c r="BS832" s="106" t="str">
        <f>IF(A832&lt;&gt;"",VLOOKUP(A832,MarketData!$D:$BP,MATCH($BS$1,MarketData!$D$1:$EG$1,0),TRUE),"")</f>
        <v/>
      </c>
      <c r="BT832" s="98" t="str">
        <f t="shared" si="318"/>
        <v/>
      </c>
    </row>
    <row r="833" spans="2:72" x14ac:dyDescent="0.25">
      <c r="B833" s="60" t="str">
        <f t="shared" si="331"/>
        <v/>
      </c>
      <c r="C833" s="3" t="str">
        <f t="shared" si="308"/>
        <v/>
      </c>
      <c r="D833" s="3" t="str">
        <f t="shared" si="309"/>
        <v/>
      </c>
      <c r="E833" s="3" t="str">
        <f t="shared" si="310"/>
        <v/>
      </c>
      <c r="F833" s="3" t="str">
        <f t="shared" si="311"/>
        <v/>
      </c>
      <c r="G833" s="74" t="str">
        <f t="shared" si="312"/>
        <v/>
      </c>
      <c r="H833" s="78" t="str">
        <f>IFERROR(C833/SUM(M$2:M832),"")</f>
        <v/>
      </c>
      <c r="I833" s="61" t="str">
        <f>IFERROR(D833/SUM(N$2:N833),"")</f>
        <v/>
      </c>
      <c r="J833" s="61" t="str">
        <f>IFERROR(E833/SUM(O$2:O833),"")</f>
        <v/>
      </c>
      <c r="K833" s="61" t="str">
        <f>IFERROR(F833/SUM(P$2:P833),"")</f>
        <v/>
      </c>
      <c r="L833" s="79" t="str">
        <f>IFERROR(G833/SUM(Q$2:Q833),"")</f>
        <v/>
      </c>
      <c r="M833" s="64" t="str">
        <f t="shared" si="313"/>
        <v/>
      </c>
      <c r="N833" s="55" t="str">
        <f t="shared" si="314"/>
        <v/>
      </c>
      <c r="O833" s="55" t="str">
        <f t="shared" si="315"/>
        <v/>
      </c>
      <c r="P833" s="55" t="str">
        <f t="shared" si="316"/>
        <v/>
      </c>
      <c r="Q833" s="65" t="str">
        <f t="shared" si="317"/>
        <v/>
      </c>
      <c r="R833" s="67" t="str">
        <f t="shared" si="319"/>
        <v/>
      </c>
      <c r="S833" s="56" t="str">
        <f t="shared" si="320"/>
        <v/>
      </c>
      <c r="T833" s="56" t="str">
        <f t="shared" si="321"/>
        <v/>
      </c>
      <c r="U833" s="56" t="str">
        <f t="shared" si="322"/>
        <v/>
      </c>
      <c r="V833" s="68" t="str">
        <f t="shared" si="323"/>
        <v/>
      </c>
      <c r="W833" s="80" t="str">
        <f t="shared" si="324"/>
        <v/>
      </c>
      <c r="X833" s="81" t="str">
        <f t="shared" si="325"/>
        <v/>
      </c>
      <c r="Y833" s="81" t="str">
        <f t="shared" si="326"/>
        <v/>
      </c>
      <c r="Z833" s="81" t="str">
        <f t="shared" si="327"/>
        <v/>
      </c>
      <c r="AA833" s="82" t="str">
        <f t="shared" si="328"/>
        <v/>
      </c>
      <c r="AB833" s="83" t="str">
        <f>IF(R833&lt;&gt;"",(W833-SUMPRODUCT(R$3:R833,$B$3:$B833)/SUM($B$3:$B833))/STDEVA(W823:W833),"")</f>
        <v/>
      </c>
      <c r="AC833" s="84" t="str">
        <f>IF(S833&lt;&gt;"",(X833-SUMPRODUCT(S$3:S833,$B$3:$B833)/SUM($B$3:$B833))/STDEVA(X823:X833),"")</f>
        <v/>
      </c>
      <c r="AD833" s="84" t="str">
        <f>IF(T833&lt;&gt;"",(Y833-SUMPRODUCT(T$3:T833,$B$3:$B833)/SUM($B$3:$B833))/STDEVA(Y823:Y833),"")</f>
        <v/>
      </c>
      <c r="AE833" s="84" t="str">
        <f>IF(U833&lt;&gt;"",(Z833-SUMPRODUCT(U$3:U833,$B$3:$B833)/SUM($B$3:$B833))/STDEVA(Z823:Z833),"")</f>
        <v/>
      </c>
      <c r="AF833" s="85" t="str">
        <f>IF(V833&lt;&gt;"",(AA833-SUMPRODUCT(V$3:V833,$B$3:$B833)/SUM($B$3:$B833))/STDEVA(AA823:AA833),"")</f>
        <v/>
      </c>
      <c r="AG833" s="90" t="str">
        <f t="shared" si="330"/>
        <v/>
      </c>
      <c r="AH833" s="90" t="str">
        <f t="shared" si="330"/>
        <v/>
      </c>
      <c r="AI833" s="90" t="str">
        <f t="shared" si="330"/>
        <v/>
      </c>
      <c r="AJ833" s="90" t="str">
        <f t="shared" si="329"/>
        <v/>
      </c>
      <c r="AK833" s="93" t="str">
        <f t="shared" si="329"/>
        <v/>
      </c>
      <c r="BQ833" s="100" t="str">
        <f>IF(A833&lt;&gt;"",(VLOOKUP(A833,MarketData!$D:$BP,MATCH($BQ$1,MarketData!$D$1:$EG$1,0),TRUE)/100/365+1)^(B833)*BQ832,"")</f>
        <v/>
      </c>
      <c r="BR833" s="98" t="str">
        <f t="shared" si="307"/>
        <v/>
      </c>
      <c r="BS833" s="106" t="str">
        <f>IF(A833&lt;&gt;"",VLOOKUP(A833,MarketData!$D:$BP,MATCH($BS$1,MarketData!$D$1:$EG$1,0),TRUE),"")</f>
        <v/>
      </c>
      <c r="BT833" s="98" t="str">
        <f t="shared" si="318"/>
        <v/>
      </c>
    </row>
    <row r="834" spans="2:72" x14ac:dyDescent="0.25">
      <c r="B834" s="60" t="str">
        <f t="shared" si="331"/>
        <v/>
      </c>
      <c r="C834" s="3" t="str">
        <f t="shared" si="308"/>
        <v/>
      </c>
      <c r="D834" s="3" t="str">
        <f t="shared" si="309"/>
        <v/>
      </c>
      <c r="E834" s="3" t="str">
        <f t="shared" si="310"/>
        <v/>
      </c>
      <c r="F834" s="3" t="str">
        <f t="shared" si="311"/>
        <v/>
      </c>
      <c r="G834" s="74" t="str">
        <f t="shared" si="312"/>
        <v/>
      </c>
      <c r="H834" s="78" t="str">
        <f>IFERROR(C834/SUM(M$2:M833),"")</f>
        <v/>
      </c>
      <c r="I834" s="61" t="str">
        <f>IFERROR(D834/SUM(N$2:N834),"")</f>
        <v/>
      </c>
      <c r="J834" s="61" t="str">
        <f>IFERROR(E834/SUM(O$2:O834),"")</f>
        <v/>
      </c>
      <c r="K834" s="61" t="str">
        <f>IFERROR(F834/SUM(P$2:P834),"")</f>
        <v/>
      </c>
      <c r="L834" s="79" t="str">
        <f>IFERROR(G834/SUM(Q$2:Q834),"")</f>
        <v/>
      </c>
      <c r="M834" s="64" t="str">
        <f t="shared" si="313"/>
        <v/>
      </c>
      <c r="N834" s="55" t="str">
        <f t="shared" si="314"/>
        <v/>
      </c>
      <c r="O834" s="55" t="str">
        <f t="shared" si="315"/>
        <v/>
      </c>
      <c r="P834" s="55" t="str">
        <f t="shared" si="316"/>
        <v/>
      </c>
      <c r="Q834" s="65" t="str">
        <f t="shared" si="317"/>
        <v/>
      </c>
      <c r="R834" s="67" t="str">
        <f t="shared" si="319"/>
        <v/>
      </c>
      <c r="S834" s="56" t="str">
        <f t="shared" si="320"/>
        <v/>
      </c>
      <c r="T834" s="56" t="str">
        <f t="shared" si="321"/>
        <v/>
      </c>
      <c r="U834" s="56" t="str">
        <f t="shared" si="322"/>
        <v/>
      </c>
      <c r="V834" s="68" t="str">
        <f t="shared" si="323"/>
        <v/>
      </c>
      <c r="W834" s="80" t="str">
        <f t="shared" si="324"/>
        <v/>
      </c>
      <c r="X834" s="81" t="str">
        <f t="shared" si="325"/>
        <v/>
      </c>
      <c r="Y834" s="81" t="str">
        <f t="shared" si="326"/>
        <v/>
      </c>
      <c r="Z834" s="81" t="str">
        <f t="shared" si="327"/>
        <v/>
      </c>
      <c r="AA834" s="82" t="str">
        <f t="shared" si="328"/>
        <v/>
      </c>
      <c r="AB834" s="83" t="str">
        <f>IF(R834&lt;&gt;"",(W834-SUMPRODUCT(R$3:R834,$B$3:$B834)/SUM($B$3:$B834))/STDEVA(W824:W834),"")</f>
        <v/>
      </c>
      <c r="AC834" s="84" t="str">
        <f>IF(S834&lt;&gt;"",(X834-SUMPRODUCT(S$3:S834,$B$3:$B834)/SUM($B$3:$B834))/STDEVA(X824:X834),"")</f>
        <v/>
      </c>
      <c r="AD834" s="84" t="str">
        <f>IF(T834&lt;&gt;"",(Y834-SUMPRODUCT(T$3:T834,$B$3:$B834)/SUM($B$3:$B834))/STDEVA(Y824:Y834),"")</f>
        <v/>
      </c>
      <c r="AE834" s="84" t="str">
        <f>IF(U834&lt;&gt;"",(Z834-SUMPRODUCT(U$3:U834,$B$3:$B834)/SUM($B$3:$B834))/STDEVA(Z824:Z834),"")</f>
        <v/>
      </c>
      <c r="AF834" s="85" t="str">
        <f>IF(V834&lt;&gt;"",(AA834-SUMPRODUCT(V$3:V834,$B$3:$B834)/SUM($B$3:$B834))/STDEVA(AA824:AA834),"")</f>
        <v/>
      </c>
      <c r="AG834" s="90" t="str">
        <f t="shared" si="330"/>
        <v/>
      </c>
      <c r="AH834" s="90" t="str">
        <f t="shared" si="330"/>
        <v/>
      </c>
      <c r="AI834" s="90" t="str">
        <f t="shared" si="330"/>
        <v/>
      </c>
      <c r="AJ834" s="90" t="str">
        <f t="shared" si="329"/>
        <v/>
      </c>
      <c r="AK834" s="93" t="str">
        <f t="shared" si="329"/>
        <v/>
      </c>
      <c r="BQ834" s="100" t="str">
        <f>IF(A834&lt;&gt;"",(VLOOKUP(A834,MarketData!$D:$BP,MATCH($BQ$1,MarketData!$D$1:$EG$1,0),TRUE)/100/365+1)^(B834)*BQ833,"")</f>
        <v/>
      </c>
      <c r="BR834" s="98" t="str">
        <f t="shared" ref="BR834:BR897" si="332">IF(A834&lt;&gt;"",(BQ834-$BQ$2)/$BQ$2,"")</f>
        <v/>
      </c>
      <c r="BS834" s="106" t="str">
        <f>IF(A834&lt;&gt;"",VLOOKUP(A834,MarketData!$D:$BP,MATCH($BS$1,MarketData!$D$1:$EG$1,0),TRUE),"")</f>
        <v/>
      </c>
      <c r="BT834" s="98" t="str">
        <f t="shared" si="318"/>
        <v/>
      </c>
    </row>
    <row r="835" spans="2:72" x14ac:dyDescent="0.25">
      <c r="B835" s="60" t="str">
        <f t="shared" si="331"/>
        <v/>
      </c>
      <c r="C835" s="3" t="str">
        <f t="shared" ref="C835:C898" si="333">IF($A835&lt;&gt;0,SUMIFS(VM,Fecha,$A835,Linea,C$1)+SUMIFS(FX,Fecha,$A835,Linea,C$1)+C834,"")</f>
        <v/>
      </c>
      <c r="D835" s="3" t="str">
        <f t="shared" ref="D835:D898" si="334">IF($A835&lt;&gt;0,SUMIFS(VM,Fecha,$A835,Linea,D$1)+SUMIFS(FX,Fecha,$A835,Linea,D$1)+D834,"")</f>
        <v/>
      </c>
      <c r="E835" s="3" t="str">
        <f t="shared" ref="E835:E898" si="335">IF($A835&lt;&gt;0,SUMIFS(VM,Fecha,$A835,Linea,E$1)+SUMIFS(FX,Fecha,$A835,Linea,E$1)+E834,"")</f>
        <v/>
      </c>
      <c r="F835" s="3" t="str">
        <f t="shared" ref="F835:F898" si="336">IF($A835&lt;&gt;0,SUMIFS(VM,Fecha,$A835,Linea,F$1)+SUMIFS(FX,Fecha,$A835,Linea,F$1)+F834,"")</f>
        <v/>
      </c>
      <c r="G835" s="74" t="str">
        <f t="shared" ref="G835:G898" si="337">IF($A835&lt;&gt;0,SUMIFS(VM,Fecha,$A835,Linea,G$1)+SUMIFS(FX,Fecha,$A835,Linea,G$1)+G834,"")</f>
        <v/>
      </c>
      <c r="H835" s="78" t="str">
        <f>IFERROR(C835/SUM(M$2:M834),"")</f>
        <v/>
      </c>
      <c r="I835" s="61" t="str">
        <f>IFERROR(D835/SUM(N$2:N835),"")</f>
        <v/>
      </c>
      <c r="J835" s="61" t="str">
        <f>IFERROR(E835/SUM(O$2:O835),"")</f>
        <v/>
      </c>
      <c r="K835" s="61" t="str">
        <f>IFERROR(F835/SUM(P$2:P835),"")</f>
        <v/>
      </c>
      <c r="L835" s="79" t="str">
        <f>IFERROR(G835/SUM(Q$2:Q835),"")</f>
        <v/>
      </c>
      <c r="M835" s="64" t="str">
        <f t="shared" ref="M835:M898" si="338">IF($A835&lt;&gt;"",SUMIFS(Transferencias,Fecha,$A835,Linea,C$1),"")</f>
        <v/>
      </c>
      <c r="N835" s="55" t="str">
        <f t="shared" ref="N835:N898" si="339">IF($A835&lt;&gt;"",SUMIFS(Transferencias,Fecha,$A835,Linea,D$1),"")</f>
        <v/>
      </c>
      <c r="O835" s="55" t="str">
        <f t="shared" ref="O835:O898" si="340">IF($A835&lt;&gt;"",SUMIFS(Transferencias,Fecha,$A835,Linea,E$1),"")</f>
        <v/>
      </c>
      <c r="P835" s="55" t="str">
        <f t="shared" ref="P835:P898" si="341">IF($A835&lt;&gt;"",SUMIFS(Transferencias,Fecha,$A835,Linea,F$1),"")</f>
        <v/>
      </c>
      <c r="Q835" s="65" t="str">
        <f t="shared" ref="Q835:Q898" si="342">IF($A835&lt;&gt;"",SUMIFS(Transferencias,Fecha,$A835,Linea,G$1),"")</f>
        <v/>
      </c>
      <c r="R835" s="67" t="str">
        <f t="shared" si="319"/>
        <v/>
      </c>
      <c r="S835" s="56" t="str">
        <f t="shared" si="320"/>
        <v/>
      </c>
      <c r="T835" s="56" t="str">
        <f t="shared" si="321"/>
        <v/>
      </c>
      <c r="U835" s="56" t="str">
        <f t="shared" si="322"/>
        <v/>
      </c>
      <c r="V835" s="68" t="str">
        <f t="shared" si="323"/>
        <v/>
      </c>
      <c r="W835" s="80" t="str">
        <f t="shared" si="324"/>
        <v/>
      </c>
      <c r="X835" s="81" t="str">
        <f t="shared" si="325"/>
        <v/>
      </c>
      <c r="Y835" s="81" t="str">
        <f t="shared" si="326"/>
        <v/>
      </c>
      <c r="Z835" s="81" t="str">
        <f t="shared" si="327"/>
        <v/>
      </c>
      <c r="AA835" s="82" t="str">
        <f t="shared" si="328"/>
        <v/>
      </c>
      <c r="AB835" s="83" t="str">
        <f>IF(R835&lt;&gt;"",(W835-SUMPRODUCT(R$3:R835,$B$3:$B835)/SUM($B$3:$B835))/STDEVA(W825:W835),"")</f>
        <v/>
      </c>
      <c r="AC835" s="84" t="str">
        <f>IF(S835&lt;&gt;"",(X835-SUMPRODUCT(S$3:S835,$B$3:$B835)/SUM($B$3:$B835))/STDEVA(X825:X835),"")</f>
        <v/>
      </c>
      <c r="AD835" s="84" t="str">
        <f>IF(T835&lt;&gt;"",(Y835-SUMPRODUCT(T$3:T835,$B$3:$B835)/SUM($B$3:$B835))/STDEVA(Y825:Y835),"")</f>
        <v/>
      </c>
      <c r="AE835" s="84" t="str">
        <f>IF(U835&lt;&gt;"",(Z835-SUMPRODUCT(U$3:U835,$B$3:$B835)/SUM($B$3:$B835))/STDEVA(Z825:Z835),"")</f>
        <v/>
      </c>
      <c r="AF835" s="85" t="str">
        <f>IF(V835&lt;&gt;"",(AA835-SUMPRODUCT(V$3:V835,$B$3:$B835)/SUM($B$3:$B835))/STDEVA(AA825:AA835),"")</f>
        <v/>
      </c>
      <c r="AG835" s="90" t="str">
        <f t="shared" si="330"/>
        <v/>
      </c>
      <c r="AH835" s="90" t="str">
        <f t="shared" si="330"/>
        <v/>
      </c>
      <c r="AI835" s="90" t="str">
        <f t="shared" si="330"/>
        <v/>
      </c>
      <c r="AJ835" s="90" t="str">
        <f t="shared" si="329"/>
        <v/>
      </c>
      <c r="AK835" s="93" t="str">
        <f t="shared" si="329"/>
        <v/>
      </c>
      <c r="BQ835" s="100" t="str">
        <f>IF(A835&lt;&gt;"",(VLOOKUP(A835,MarketData!$D:$BP,MATCH($BQ$1,MarketData!$D$1:$EG$1,0),TRUE)/100/365+1)^(B835)*BQ834,"")</f>
        <v/>
      </c>
      <c r="BR835" s="98" t="str">
        <f t="shared" si="332"/>
        <v/>
      </c>
      <c r="BS835" s="106" t="str">
        <f>IF(A835&lt;&gt;"",VLOOKUP(A835,MarketData!$D:$BP,MATCH($BS$1,MarketData!$D$1:$EG$1,0),TRUE),"")</f>
        <v/>
      </c>
      <c r="BT835" s="98" t="str">
        <f t="shared" ref="BT835:BT898" si="343">IF(A835&lt;&gt;"",(BS835-$BS$2)/$BS$2,"")</f>
        <v/>
      </c>
    </row>
    <row r="836" spans="2:72" x14ac:dyDescent="0.25">
      <c r="B836" s="60" t="str">
        <f t="shared" si="331"/>
        <v/>
      </c>
      <c r="C836" s="3" t="str">
        <f t="shared" si="333"/>
        <v/>
      </c>
      <c r="D836" s="3" t="str">
        <f t="shared" si="334"/>
        <v/>
      </c>
      <c r="E836" s="3" t="str">
        <f t="shared" si="335"/>
        <v/>
      </c>
      <c r="F836" s="3" t="str">
        <f t="shared" si="336"/>
        <v/>
      </c>
      <c r="G836" s="74" t="str">
        <f t="shared" si="337"/>
        <v/>
      </c>
      <c r="H836" s="78" t="str">
        <f>IFERROR(C836/SUM(M$2:M835),"")</f>
        <v/>
      </c>
      <c r="I836" s="61" t="str">
        <f>IFERROR(D836/SUM(N$2:N836),"")</f>
        <v/>
      </c>
      <c r="J836" s="61" t="str">
        <f>IFERROR(E836/SUM(O$2:O836),"")</f>
        <v/>
      </c>
      <c r="K836" s="61" t="str">
        <f>IFERROR(F836/SUM(P$2:P836),"")</f>
        <v/>
      </c>
      <c r="L836" s="79" t="str">
        <f>IFERROR(G836/SUM(Q$2:Q836),"")</f>
        <v/>
      </c>
      <c r="M836" s="64" t="str">
        <f t="shared" si="338"/>
        <v/>
      </c>
      <c r="N836" s="55" t="str">
        <f t="shared" si="339"/>
        <v/>
      </c>
      <c r="O836" s="55" t="str">
        <f t="shared" si="340"/>
        <v/>
      </c>
      <c r="P836" s="55" t="str">
        <f t="shared" si="341"/>
        <v/>
      </c>
      <c r="Q836" s="65" t="str">
        <f t="shared" si="342"/>
        <v/>
      </c>
      <c r="R836" s="67" t="str">
        <f t="shared" ref="R836:R899" si="344">IF(C836&lt;&gt;"",LN((C836-C835)/(SUMIFS(Total,Fecha,$A835,Linea,C$1)+M835)+1)*365/($A836-$A835),"")</f>
        <v/>
      </c>
      <c r="S836" s="56" t="str">
        <f t="shared" ref="S836:S899" si="345">IF(D836&lt;&gt;"",LN((D836-D835)/(SUMIFS(Total,Fecha,$A835,Linea,D$1)+N835)+1)*365/($A836-$A835),"")</f>
        <v/>
      </c>
      <c r="T836" s="56" t="str">
        <f t="shared" ref="T836:T899" si="346">IF(E836&lt;&gt;"",LN((E836-E835)/(SUMIFS(Total,Fecha,$A835,Linea,E$1)+O835)+1)*365/($A836-$A835),"")</f>
        <v/>
      </c>
      <c r="U836" s="56" t="str">
        <f t="shared" ref="U836:U899" si="347">IF(F836&lt;&gt;"",LN((F836-F835)/(SUMIFS(Total,Fecha,$A835,Linea,F$1)+P835)+1)*365/($A836-$A835),"")</f>
        <v/>
      </c>
      <c r="V836" s="68" t="str">
        <f t="shared" ref="V836:V899" si="348">IF(G836&lt;&gt;"",LN((G836-G835)/(SUMIFS(Total,Fecha,$A835,Linea,G$1)+Q835)+1)*365/($A836-$A835),"")</f>
        <v/>
      </c>
      <c r="W836" s="80" t="str">
        <f t="shared" si="324"/>
        <v/>
      </c>
      <c r="X836" s="81" t="str">
        <f t="shared" si="325"/>
        <v/>
      </c>
      <c r="Y836" s="81" t="str">
        <f t="shared" si="326"/>
        <v/>
      </c>
      <c r="Z836" s="81" t="str">
        <f t="shared" si="327"/>
        <v/>
      </c>
      <c r="AA836" s="82" t="str">
        <f t="shared" si="328"/>
        <v/>
      </c>
      <c r="AB836" s="83" t="str">
        <f>IF(R836&lt;&gt;"",(W836-SUMPRODUCT(R$3:R836,$B$3:$B836)/SUM($B$3:$B836))/STDEVA(W826:W836),"")</f>
        <v/>
      </c>
      <c r="AC836" s="84" t="str">
        <f>IF(S836&lt;&gt;"",(X836-SUMPRODUCT(S$3:S836,$B$3:$B836)/SUM($B$3:$B836))/STDEVA(X826:X836),"")</f>
        <v/>
      </c>
      <c r="AD836" s="84" t="str">
        <f>IF(T836&lt;&gt;"",(Y836-SUMPRODUCT(T$3:T836,$B$3:$B836)/SUM($B$3:$B836))/STDEVA(Y826:Y836),"")</f>
        <v/>
      </c>
      <c r="AE836" s="84" t="str">
        <f>IF(U836&lt;&gt;"",(Z836-SUMPRODUCT(U$3:U836,$B$3:$B836)/SUM($B$3:$B836))/STDEVA(Z826:Z836),"")</f>
        <v/>
      </c>
      <c r="AF836" s="85" t="str">
        <f>IF(V836&lt;&gt;"",(AA836-SUMPRODUCT(V$3:V836,$B$3:$B836)/SUM($B$3:$B836))/STDEVA(AA826:AA836),"")</f>
        <v/>
      </c>
      <c r="AG836" s="90" t="str">
        <f t="shared" si="330"/>
        <v/>
      </c>
      <c r="AH836" s="90" t="str">
        <f t="shared" si="330"/>
        <v/>
      </c>
      <c r="AI836" s="90" t="str">
        <f t="shared" si="330"/>
        <v/>
      </c>
      <c r="AJ836" s="90" t="str">
        <f t="shared" si="329"/>
        <v/>
      </c>
      <c r="AK836" s="93" t="str">
        <f t="shared" si="329"/>
        <v/>
      </c>
      <c r="BQ836" s="100" t="str">
        <f>IF(A836&lt;&gt;"",(VLOOKUP(A836,MarketData!$D:$BP,MATCH($BQ$1,MarketData!$D$1:$EG$1,0),TRUE)/100/365+1)^(B836)*BQ835,"")</f>
        <v/>
      </c>
      <c r="BR836" s="98" t="str">
        <f t="shared" si="332"/>
        <v/>
      </c>
      <c r="BS836" s="106" t="str">
        <f>IF(A836&lt;&gt;"",VLOOKUP(A836,MarketData!$D:$BP,MATCH($BS$1,MarketData!$D$1:$EG$1,0),TRUE),"")</f>
        <v/>
      </c>
      <c r="BT836" s="98" t="str">
        <f t="shared" si="343"/>
        <v/>
      </c>
    </row>
    <row r="837" spans="2:72" x14ac:dyDescent="0.25">
      <c r="B837" s="60" t="str">
        <f t="shared" si="331"/>
        <v/>
      </c>
      <c r="C837" s="3" t="str">
        <f t="shared" si="333"/>
        <v/>
      </c>
      <c r="D837" s="3" t="str">
        <f t="shared" si="334"/>
        <v/>
      </c>
      <c r="E837" s="3" t="str">
        <f t="shared" si="335"/>
        <v/>
      </c>
      <c r="F837" s="3" t="str">
        <f t="shared" si="336"/>
        <v/>
      </c>
      <c r="G837" s="74" t="str">
        <f t="shared" si="337"/>
        <v/>
      </c>
      <c r="H837" s="78" t="str">
        <f>IFERROR(C837/SUM(M$2:M836),"")</f>
        <v/>
      </c>
      <c r="I837" s="61" t="str">
        <f>IFERROR(D837/SUM(N$2:N837),"")</f>
        <v/>
      </c>
      <c r="J837" s="61" t="str">
        <f>IFERROR(E837/SUM(O$2:O837),"")</f>
        <v/>
      </c>
      <c r="K837" s="61" t="str">
        <f>IFERROR(F837/SUM(P$2:P837),"")</f>
        <v/>
      </c>
      <c r="L837" s="79" t="str">
        <f>IFERROR(G837/SUM(Q$2:Q837),"")</f>
        <v/>
      </c>
      <c r="M837" s="64" t="str">
        <f t="shared" si="338"/>
        <v/>
      </c>
      <c r="N837" s="55" t="str">
        <f t="shared" si="339"/>
        <v/>
      </c>
      <c r="O837" s="55" t="str">
        <f t="shared" si="340"/>
        <v/>
      </c>
      <c r="P837" s="55" t="str">
        <f t="shared" si="341"/>
        <v/>
      </c>
      <c r="Q837" s="65" t="str">
        <f t="shared" si="342"/>
        <v/>
      </c>
      <c r="R837" s="67" t="str">
        <f t="shared" si="344"/>
        <v/>
      </c>
      <c r="S837" s="56" t="str">
        <f t="shared" si="345"/>
        <v/>
      </c>
      <c r="T837" s="56" t="str">
        <f t="shared" si="346"/>
        <v/>
      </c>
      <c r="U837" s="56" t="str">
        <f t="shared" si="347"/>
        <v/>
      </c>
      <c r="V837" s="68" t="str">
        <f t="shared" si="348"/>
        <v/>
      </c>
      <c r="W837" s="80" t="str">
        <f t="shared" si="324"/>
        <v/>
      </c>
      <c r="X837" s="81" t="str">
        <f t="shared" si="325"/>
        <v/>
      </c>
      <c r="Y837" s="81" t="str">
        <f t="shared" si="326"/>
        <v/>
      </c>
      <c r="Z837" s="81" t="str">
        <f t="shared" si="327"/>
        <v/>
      </c>
      <c r="AA837" s="82" t="str">
        <f t="shared" si="328"/>
        <v/>
      </c>
      <c r="AB837" s="83" t="str">
        <f>IF(R837&lt;&gt;"",(W837-SUMPRODUCT(R$3:R837,$B$3:$B837)/SUM($B$3:$B837))/STDEVA(W827:W837),"")</f>
        <v/>
      </c>
      <c r="AC837" s="84" t="str">
        <f>IF(S837&lt;&gt;"",(X837-SUMPRODUCT(S$3:S837,$B$3:$B837)/SUM($B$3:$B837))/STDEVA(X827:X837),"")</f>
        <v/>
      </c>
      <c r="AD837" s="84" t="str">
        <f>IF(T837&lt;&gt;"",(Y837-SUMPRODUCT(T$3:T837,$B$3:$B837)/SUM($B$3:$B837))/STDEVA(Y827:Y837),"")</f>
        <v/>
      </c>
      <c r="AE837" s="84" t="str">
        <f>IF(U837&lt;&gt;"",(Z837-SUMPRODUCT(U$3:U837,$B$3:$B837)/SUM($B$3:$B837))/STDEVA(Z827:Z837),"")</f>
        <v/>
      </c>
      <c r="AF837" s="85" t="str">
        <f>IF(V837&lt;&gt;"",(AA837-SUMPRODUCT(V$3:V837,$B$3:$B837)/SUM($B$3:$B837))/STDEVA(AA827:AA837),"")</f>
        <v/>
      </c>
      <c r="AG837" s="90" t="str">
        <f t="shared" si="330"/>
        <v/>
      </c>
      <c r="AH837" s="90" t="str">
        <f t="shared" si="330"/>
        <v/>
      </c>
      <c r="AI837" s="90" t="str">
        <f t="shared" si="330"/>
        <v/>
      </c>
      <c r="AJ837" s="90" t="str">
        <f t="shared" si="329"/>
        <v/>
      </c>
      <c r="AK837" s="93" t="str">
        <f t="shared" si="329"/>
        <v/>
      </c>
      <c r="BQ837" s="100" t="str">
        <f>IF(A837&lt;&gt;"",(VLOOKUP(A837,MarketData!$D:$BP,MATCH($BQ$1,MarketData!$D$1:$EG$1,0),TRUE)/100/365+1)^(B837)*BQ836,"")</f>
        <v/>
      </c>
      <c r="BR837" s="98" t="str">
        <f t="shared" si="332"/>
        <v/>
      </c>
      <c r="BS837" s="106" t="str">
        <f>IF(A837&lt;&gt;"",VLOOKUP(A837,MarketData!$D:$BP,MATCH($BS$1,MarketData!$D$1:$EG$1,0),TRUE),"")</f>
        <v/>
      </c>
      <c r="BT837" s="98" t="str">
        <f t="shared" si="343"/>
        <v/>
      </c>
    </row>
    <row r="838" spans="2:72" x14ac:dyDescent="0.25">
      <c r="B838" s="60" t="str">
        <f t="shared" si="331"/>
        <v/>
      </c>
      <c r="C838" s="3" t="str">
        <f t="shared" si="333"/>
        <v/>
      </c>
      <c r="D838" s="3" t="str">
        <f t="shared" si="334"/>
        <v/>
      </c>
      <c r="E838" s="3" t="str">
        <f t="shared" si="335"/>
        <v/>
      </c>
      <c r="F838" s="3" t="str">
        <f t="shared" si="336"/>
        <v/>
      </c>
      <c r="G838" s="74" t="str">
        <f t="shared" si="337"/>
        <v/>
      </c>
      <c r="H838" s="78" t="str">
        <f>IFERROR(C838/SUM(M$2:M837),"")</f>
        <v/>
      </c>
      <c r="I838" s="61" t="str">
        <f>IFERROR(D838/SUM(N$2:N838),"")</f>
        <v/>
      </c>
      <c r="J838" s="61" t="str">
        <f>IFERROR(E838/SUM(O$2:O838),"")</f>
        <v/>
      </c>
      <c r="K838" s="61" t="str">
        <f>IFERROR(F838/SUM(P$2:P838),"")</f>
        <v/>
      </c>
      <c r="L838" s="79" t="str">
        <f>IFERROR(G838/SUM(Q$2:Q838),"")</f>
        <v/>
      </c>
      <c r="M838" s="64" t="str">
        <f t="shared" si="338"/>
        <v/>
      </c>
      <c r="N838" s="55" t="str">
        <f t="shared" si="339"/>
        <v/>
      </c>
      <c r="O838" s="55" t="str">
        <f t="shared" si="340"/>
        <v/>
      </c>
      <c r="P838" s="55" t="str">
        <f t="shared" si="341"/>
        <v/>
      </c>
      <c r="Q838" s="65" t="str">
        <f t="shared" si="342"/>
        <v/>
      </c>
      <c r="R838" s="67" t="str">
        <f t="shared" si="344"/>
        <v/>
      </c>
      <c r="S838" s="56" t="str">
        <f t="shared" si="345"/>
        <v/>
      </c>
      <c r="T838" s="56" t="str">
        <f t="shared" si="346"/>
        <v/>
      </c>
      <c r="U838" s="56" t="str">
        <f t="shared" si="347"/>
        <v/>
      </c>
      <c r="V838" s="68" t="str">
        <f t="shared" si="348"/>
        <v/>
      </c>
      <c r="W838" s="80" t="str">
        <f t="shared" si="324"/>
        <v/>
      </c>
      <c r="X838" s="81" t="str">
        <f t="shared" si="325"/>
        <v/>
      </c>
      <c r="Y838" s="81" t="str">
        <f t="shared" si="326"/>
        <v/>
      </c>
      <c r="Z838" s="81" t="str">
        <f t="shared" si="327"/>
        <v/>
      </c>
      <c r="AA838" s="82" t="str">
        <f t="shared" si="328"/>
        <v/>
      </c>
      <c r="AB838" s="83" t="str">
        <f>IF(R838&lt;&gt;"",(W838-SUMPRODUCT(R$3:R838,$B$3:$B838)/SUM($B$3:$B838))/STDEVA(W828:W838),"")</f>
        <v/>
      </c>
      <c r="AC838" s="84" t="str">
        <f>IF(S838&lt;&gt;"",(X838-SUMPRODUCT(S$3:S838,$B$3:$B838)/SUM($B$3:$B838))/STDEVA(X828:X838),"")</f>
        <v/>
      </c>
      <c r="AD838" s="84" t="str">
        <f>IF(T838&lt;&gt;"",(Y838-SUMPRODUCT(T$3:T838,$B$3:$B838)/SUM($B$3:$B838))/STDEVA(Y828:Y838),"")</f>
        <v/>
      </c>
      <c r="AE838" s="84" t="str">
        <f>IF(U838&lt;&gt;"",(Z838-SUMPRODUCT(U$3:U838,$B$3:$B838)/SUM($B$3:$B838))/STDEVA(Z828:Z838),"")</f>
        <v/>
      </c>
      <c r="AF838" s="85" t="str">
        <f>IF(V838&lt;&gt;"",(AA838-SUMPRODUCT(V$3:V838,$B$3:$B838)/SUM($B$3:$B838))/STDEVA(AA828:AA838),"")</f>
        <v/>
      </c>
      <c r="AG838" s="90" t="str">
        <f t="shared" si="330"/>
        <v/>
      </c>
      <c r="AH838" s="90" t="str">
        <f t="shared" si="330"/>
        <v/>
      </c>
      <c r="AI838" s="90" t="str">
        <f t="shared" si="330"/>
        <v/>
      </c>
      <c r="AJ838" s="90" t="str">
        <f t="shared" si="329"/>
        <v/>
      </c>
      <c r="AK838" s="93" t="str">
        <f t="shared" si="329"/>
        <v/>
      </c>
      <c r="BQ838" s="100" t="str">
        <f>IF(A838&lt;&gt;"",(VLOOKUP(A838,MarketData!$D:$BP,MATCH($BQ$1,MarketData!$D$1:$EG$1,0),TRUE)/100/365+1)^(B838)*BQ837,"")</f>
        <v/>
      </c>
      <c r="BR838" s="98" t="str">
        <f t="shared" si="332"/>
        <v/>
      </c>
      <c r="BS838" s="106" t="str">
        <f>IF(A838&lt;&gt;"",VLOOKUP(A838,MarketData!$D:$BP,MATCH($BS$1,MarketData!$D$1:$EG$1,0),TRUE),"")</f>
        <v/>
      </c>
      <c r="BT838" s="98" t="str">
        <f t="shared" si="343"/>
        <v/>
      </c>
    </row>
    <row r="839" spans="2:72" x14ac:dyDescent="0.25">
      <c r="B839" s="60" t="str">
        <f t="shared" si="331"/>
        <v/>
      </c>
      <c r="C839" s="3" t="str">
        <f t="shared" si="333"/>
        <v/>
      </c>
      <c r="D839" s="3" t="str">
        <f t="shared" si="334"/>
        <v/>
      </c>
      <c r="E839" s="3" t="str">
        <f t="shared" si="335"/>
        <v/>
      </c>
      <c r="F839" s="3" t="str">
        <f t="shared" si="336"/>
        <v/>
      </c>
      <c r="G839" s="74" t="str">
        <f t="shared" si="337"/>
        <v/>
      </c>
      <c r="H839" s="78" t="str">
        <f>IFERROR(C839/SUM(M$2:M838),"")</f>
        <v/>
      </c>
      <c r="I839" s="61" t="str">
        <f>IFERROR(D839/SUM(N$2:N839),"")</f>
        <v/>
      </c>
      <c r="J839" s="61" t="str">
        <f>IFERROR(E839/SUM(O$2:O839),"")</f>
        <v/>
      </c>
      <c r="K839" s="61" t="str">
        <f>IFERROR(F839/SUM(P$2:P839),"")</f>
        <v/>
      </c>
      <c r="L839" s="79" t="str">
        <f>IFERROR(G839/SUM(Q$2:Q839),"")</f>
        <v/>
      </c>
      <c r="M839" s="64" t="str">
        <f t="shared" si="338"/>
        <v/>
      </c>
      <c r="N839" s="55" t="str">
        <f t="shared" si="339"/>
        <v/>
      </c>
      <c r="O839" s="55" t="str">
        <f t="shared" si="340"/>
        <v/>
      </c>
      <c r="P839" s="55" t="str">
        <f t="shared" si="341"/>
        <v/>
      </c>
      <c r="Q839" s="65" t="str">
        <f t="shared" si="342"/>
        <v/>
      </c>
      <c r="R839" s="67" t="str">
        <f t="shared" si="344"/>
        <v/>
      </c>
      <c r="S839" s="56" t="str">
        <f t="shared" si="345"/>
        <v/>
      </c>
      <c r="T839" s="56" t="str">
        <f t="shared" si="346"/>
        <v/>
      </c>
      <c r="U839" s="56" t="str">
        <f t="shared" si="347"/>
        <v/>
      </c>
      <c r="V839" s="68" t="str">
        <f t="shared" si="348"/>
        <v/>
      </c>
      <c r="W839" s="80" t="str">
        <f t="shared" si="324"/>
        <v/>
      </c>
      <c r="X839" s="81" t="str">
        <f t="shared" si="325"/>
        <v/>
      </c>
      <c r="Y839" s="81" t="str">
        <f t="shared" si="326"/>
        <v/>
      </c>
      <c r="Z839" s="81" t="str">
        <f t="shared" si="327"/>
        <v/>
      </c>
      <c r="AA839" s="82" t="str">
        <f t="shared" si="328"/>
        <v/>
      </c>
      <c r="AB839" s="83" t="str">
        <f>IF(R839&lt;&gt;"",(W839-SUMPRODUCT(R$3:R839,$B$3:$B839)/SUM($B$3:$B839))/STDEVA(W829:W839),"")</f>
        <v/>
      </c>
      <c r="AC839" s="84" t="str">
        <f>IF(S839&lt;&gt;"",(X839-SUMPRODUCT(S$3:S839,$B$3:$B839)/SUM($B$3:$B839))/STDEVA(X829:X839),"")</f>
        <v/>
      </c>
      <c r="AD839" s="84" t="str">
        <f>IF(T839&lt;&gt;"",(Y839-SUMPRODUCT(T$3:T839,$B$3:$B839)/SUM($B$3:$B839))/STDEVA(Y829:Y839),"")</f>
        <v/>
      </c>
      <c r="AE839" s="84" t="str">
        <f>IF(U839&lt;&gt;"",(Z839-SUMPRODUCT(U$3:U839,$B$3:$B839)/SUM($B$3:$B839))/STDEVA(Z829:Z839),"")</f>
        <v/>
      </c>
      <c r="AF839" s="85" t="str">
        <f>IF(V839&lt;&gt;"",(AA839-SUMPRODUCT(V$3:V839,$B$3:$B839)/SUM($B$3:$B839))/STDEVA(AA829:AA839),"")</f>
        <v/>
      </c>
      <c r="AG839" s="90" t="str">
        <f t="shared" si="330"/>
        <v/>
      </c>
      <c r="AH839" s="90" t="str">
        <f t="shared" si="330"/>
        <v/>
      </c>
      <c r="AI839" s="90" t="str">
        <f t="shared" si="330"/>
        <v/>
      </c>
      <c r="AJ839" s="90" t="str">
        <f t="shared" si="329"/>
        <v/>
      </c>
      <c r="AK839" s="93" t="str">
        <f t="shared" si="329"/>
        <v/>
      </c>
      <c r="BQ839" s="100" t="str">
        <f>IF(A839&lt;&gt;"",(VLOOKUP(A839,MarketData!$D:$BP,MATCH($BQ$1,MarketData!$D$1:$EG$1,0),TRUE)/100/365+1)^(B839)*BQ838,"")</f>
        <v/>
      </c>
      <c r="BR839" s="98" t="str">
        <f t="shared" si="332"/>
        <v/>
      </c>
      <c r="BS839" s="106" t="str">
        <f>IF(A839&lt;&gt;"",VLOOKUP(A839,MarketData!$D:$BP,MATCH($BS$1,MarketData!$D$1:$EG$1,0),TRUE),"")</f>
        <v/>
      </c>
      <c r="BT839" s="98" t="str">
        <f t="shared" si="343"/>
        <v/>
      </c>
    </row>
    <row r="840" spans="2:72" x14ac:dyDescent="0.25">
      <c r="B840" s="60" t="str">
        <f t="shared" si="331"/>
        <v/>
      </c>
      <c r="C840" s="3" t="str">
        <f t="shared" si="333"/>
        <v/>
      </c>
      <c r="D840" s="3" t="str">
        <f t="shared" si="334"/>
        <v/>
      </c>
      <c r="E840" s="3" t="str">
        <f t="shared" si="335"/>
        <v/>
      </c>
      <c r="F840" s="3" t="str">
        <f t="shared" si="336"/>
        <v/>
      </c>
      <c r="G840" s="74" t="str">
        <f t="shared" si="337"/>
        <v/>
      </c>
      <c r="H840" s="78" t="str">
        <f>IFERROR(C840/SUM(M$2:M839),"")</f>
        <v/>
      </c>
      <c r="I840" s="61" t="str">
        <f>IFERROR(D840/SUM(N$2:N840),"")</f>
        <v/>
      </c>
      <c r="J840" s="61" t="str">
        <f>IFERROR(E840/SUM(O$2:O840),"")</f>
        <v/>
      </c>
      <c r="K840" s="61" t="str">
        <f>IFERROR(F840/SUM(P$2:P840),"")</f>
        <v/>
      </c>
      <c r="L840" s="79" t="str">
        <f>IFERROR(G840/SUM(Q$2:Q840),"")</f>
        <v/>
      </c>
      <c r="M840" s="64" t="str">
        <f t="shared" si="338"/>
        <v/>
      </c>
      <c r="N840" s="55" t="str">
        <f t="shared" si="339"/>
        <v/>
      </c>
      <c r="O840" s="55" t="str">
        <f t="shared" si="340"/>
        <v/>
      </c>
      <c r="P840" s="55" t="str">
        <f t="shared" si="341"/>
        <v/>
      </c>
      <c r="Q840" s="65" t="str">
        <f t="shared" si="342"/>
        <v/>
      </c>
      <c r="R840" s="67" t="str">
        <f t="shared" si="344"/>
        <v/>
      </c>
      <c r="S840" s="56" t="str">
        <f t="shared" si="345"/>
        <v/>
      </c>
      <c r="T840" s="56" t="str">
        <f t="shared" si="346"/>
        <v/>
      </c>
      <c r="U840" s="56" t="str">
        <f t="shared" si="347"/>
        <v/>
      </c>
      <c r="V840" s="68" t="str">
        <f t="shared" si="348"/>
        <v/>
      </c>
      <c r="W840" s="80" t="str">
        <f t="shared" si="324"/>
        <v/>
      </c>
      <c r="X840" s="81" t="str">
        <f t="shared" si="325"/>
        <v/>
      </c>
      <c r="Y840" s="81" t="str">
        <f t="shared" si="326"/>
        <v/>
      </c>
      <c r="Z840" s="81" t="str">
        <f t="shared" si="327"/>
        <v/>
      </c>
      <c r="AA840" s="82" t="str">
        <f t="shared" si="328"/>
        <v/>
      </c>
      <c r="AB840" s="83" t="str">
        <f>IF(R840&lt;&gt;"",(W840-SUMPRODUCT(R$3:R840,$B$3:$B840)/SUM($B$3:$B840))/STDEVA(W830:W840),"")</f>
        <v/>
      </c>
      <c r="AC840" s="84" t="str">
        <f>IF(S840&lt;&gt;"",(X840-SUMPRODUCT(S$3:S840,$B$3:$B840)/SUM($B$3:$B840))/STDEVA(X830:X840),"")</f>
        <v/>
      </c>
      <c r="AD840" s="84" t="str">
        <f>IF(T840&lt;&gt;"",(Y840-SUMPRODUCT(T$3:T840,$B$3:$B840)/SUM($B$3:$B840))/STDEVA(Y830:Y840),"")</f>
        <v/>
      </c>
      <c r="AE840" s="84" t="str">
        <f>IF(U840&lt;&gt;"",(Z840-SUMPRODUCT(U$3:U840,$B$3:$B840)/SUM($B$3:$B840))/STDEVA(Z830:Z840),"")</f>
        <v/>
      </c>
      <c r="AF840" s="85" t="str">
        <f>IF(V840&lt;&gt;"",(AA840-SUMPRODUCT(V$3:V840,$B$3:$B840)/SUM($B$3:$B840))/STDEVA(AA830:AA840),"")</f>
        <v/>
      </c>
      <c r="AG840" s="90" t="str">
        <f t="shared" si="330"/>
        <v/>
      </c>
      <c r="AH840" s="90" t="str">
        <f t="shared" si="330"/>
        <v/>
      </c>
      <c r="AI840" s="90" t="str">
        <f t="shared" si="330"/>
        <v/>
      </c>
      <c r="AJ840" s="90" t="str">
        <f t="shared" si="329"/>
        <v/>
      </c>
      <c r="AK840" s="93" t="str">
        <f t="shared" si="329"/>
        <v/>
      </c>
      <c r="BQ840" s="100" t="str">
        <f>IF(A840&lt;&gt;"",(VLOOKUP(A840,MarketData!$D:$BP,MATCH($BQ$1,MarketData!$D$1:$EG$1,0),TRUE)/100/365+1)^(B840)*BQ839,"")</f>
        <v/>
      </c>
      <c r="BR840" s="98" t="str">
        <f t="shared" si="332"/>
        <v/>
      </c>
      <c r="BS840" s="106" t="str">
        <f>IF(A840&lt;&gt;"",VLOOKUP(A840,MarketData!$D:$BP,MATCH($BS$1,MarketData!$D$1:$EG$1,0),TRUE),"")</f>
        <v/>
      </c>
      <c r="BT840" s="98" t="str">
        <f t="shared" si="343"/>
        <v/>
      </c>
    </row>
    <row r="841" spans="2:72" x14ac:dyDescent="0.25">
      <c r="B841" s="60" t="str">
        <f t="shared" si="331"/>
        <v/>
      </c>
      <c r="C841" s="3" t="str">
        <f t="shared" si="333"/>
        <v/>
      </c>
      <c r="D841" s="3" t="str">
        <f t="shared" si="334"/>
        <v/>
      </c>
      <c r="E841" s="3" t="str">
        <f t="shared" si="335"/>
        <v/>
      </c>
      <c r="F841" s="3" t="str">
        <f t="shared" si="336"/>
        <v/>
      </c>
      <c r="G841" s="74" t="str">
        <f t="shared" si="337"/>
        <v/>
      </c>
      <c r="H841" s="78" t="str">
        <f>IFERROR(C841/SUM(M$2:M840),"")</f>
        <v/>
      </c>
      <c r="I841" s="61" t="str">
        <f>IFERROR(D841/SUM(N$2:N841),"")</f>
        <v/>
      </c>
      <c r="J841" s="61" t="str">
        <f>IFERROR(E841/SUM(O$2:O841),"")</f>
        <v/>
      </c>
      <c r="K841" s="61" t="str">
        <f>IFERROR(F841/SUM(P$2:P841),"")</f>
        <v/>
      </c>
      <c r="L841" s="79" t="str">
        <f>IFERROR(G841/SUM(Q$2:Q841),"")</f>
        <v/>
      </c>
      <c r="M841" s="64" t="str">
        <f t="shared" si="338"/>
        <v/>
      </c>
      <c r="N841" s="55" t="str">
        <f t="shared" si="339"/>
        <v/>
      </c>
      <c r="O841" s="55" t="str">
        <f t="shared" si="340"/>
        <v/>
      </c>
      <c r="P841" s="55" t="str">
        <f t="shared" si="341"/>
        <v/>
      </c>
      <c r="Q841" s="65" t="str">
        <f t="shared" si="342"/>
        <v/>
      </c>
      <c r="R841" s="67" t="str">
        <f t="shared" si="344"/>
        <v/>
      </c>
      <c r="S841" s="56" t="str">
        <f t="shared" si="345"/>
        <v/>
      </c>
      <c r="T841" s="56" t="str">
        <f t="shared" si="346"/>
        <v/>
      </c>
      <c r="U841" s="56" t="str">
        <f t="shared" si="347"/>
        <v/>
      </c>
      <c r="V841" s="68" t="str">
        <f t="shared" si="348"/>
        <v/>
      </c>
      <c r="W841" s="80" t="str">
        <f t="shared" si="324"/>
        <v/>
      </c>
      <c r="X841" s="81" t="str">
        <f t="shared" si="325"/>
        <v/>
      </c>
      <c r="Y841" s="81" t="str">
        <f t="shared" si="326"/>
        <v/>
      </c>
      <c r="Z841" s="81" t="str">
        <f t="shared" si="327"/>
        <v/>
      </c>
      <c r="AA841" s="82" t="str">
        <f t="shared" si="328"/>
        <v/>
      </c>
      <c r="AB841" s="83" t="str">
        <f>IF(R841&lt;&gt;"",(W841-SUMPRODUCT(R$3:R841,$B$3:$B841)/SUM($B$3:$B841))/STDEVA(W831:W841),"")</f>
        <v/>
      </c>
      <c r="AC841" s="84" t="str">
        <f>IF(S841&lt;&gt;"",(X841-SUMPRODUCT(S$3:S841,$B$3:$B841)/SUM($B$3:$B841))/STDEVA(X831:X841),"")</f>
        <v/>
      </c>
      <c r="AD841" s="84" t="str">
        <f>IF(T841&lt;&gt;"",(Y841-SUMPRODUCT(T$3:T841,$B$3:$B841)/SUM($B$3:$B841))/STDEVA(Y831:Y841),"")</f>
        <v/>
      </c>
      <c r="AE841" s="84" t="str">
        <f>IF(U841&lt;&gt;"",(Z841-SUMPRODUCT(U$3:U841,$B$3:$B841)/SUM($B$3:$B841))/STDEVA(Z831:Z841),"")</f>
        <v/>
      </c>
      <c r="AF841" s="85" t="str">
        <f>IF(V841&lt;&gt;"",(AA841-SUMPRODUCT(V$3:V841,$B$3:$B841)/SUM($B$3:$B841))/STDEVA(AA831:AA841),"")</f>
        <v/>
      </c>
      <c r="AG841" s="90" t="str">
        <f t="shared" si="330"/>
        <v/>
      </c>
      <c r="AH841" s="90" t="str">
        <f t="shared" si="330"/>
        <v/>
      </c>
      <c r="AI841" s="90" t="str">
        <f t="shared" si="330"/>
        <v/>
      </c>
      <c r="AJ841" s="90" t="str">
        <f t="shared" si="329"/>
        <v/>
      </c>
      <c r="AK841" s="93" t="str">
        <f t="shared" si="329"/>
        <v/>
      </c>
      <c r="BQ841" s="100" t="str">
        <f>IF(A841&lt;&gt;"",(VLOOKUP(A841,MarketData!$D:$BP,MATCH($BQ$1,MarketData!$D$1:$EG$1,0),TRUE)/100/365+1)^(B841)*BQ840,"")</f>
        <v/>
      </c>
      <c r="BR841" s="98" t="str">
        <f t="shared" si="332"/>
        <v/>
      </c>
      <c r="BS841" s="106" t="str">
        <f>IF(A841&lt;&gt;"",VLOOKUP(A841,MarketData!$D:$BP,MATCH($BS$1,MarketData!$D$1:$EG$1,0),TRUE),"")</f>
        <v/>
      </c>
      <c r="BT841" s="98" t="str">
        <f t="shared" si="343"/>
        <v/>
      </c>
    </row>
    <row r="842" spans="2:72" x14ac:dyDescent="0.25">
      <c r="B842" s="60" t="str">
        <f t="shared" si="331"/>
        <v/>
      </c>
      <c r="C842" s="3" t="str">
        <f t="shared" si="333"/>
        <v/>
      </c>
      <c r="D842" s="3" t="str">
        <f t="shared" si="334"/>
        <v/>
      </c>
      <c r="E842" s="3" t="str">
        <f t="shared" si="335"/>
        <v/>
      </c>
      <c r="F842" s="3" t="str">
        <f t="shared" si="336"/>
        <v/>
      </c>
      <c r="G842" s="74" t="str">
        <f t="shared" si="337"/>
        <v/>
      </c>
      <c r="H842" s="78" t="str">
        <f>IFERROR(C842/SUM(M$2:M841),"")</f>
        <v/>
      </c>
      <c r="I842" s="61" t="str">
        <f>IFERROR(D842/SUM(N$2:N842),"")</f>
        <v/>
      </c>
      <c r="J842" s="61" t="str">
        <f>IFERROR(E842/SUM(O$2:O842),"")</f>
        <v/>
      </c>
      <c r="K842" s="61" t="str">
        <f>IFERROR(F842/SUM(P$2:P842),"")</f>
        <v/>
      </c>
      <c r="L842" s="79" t="str">
        <f>IFERROR(G842/SUM(Q$2:Q842),"")</f>
        <v/>
      </c>
      <c r="M842" s="64" t="str">
        <f t="shared" si="338"/>
        <v/>
      </c>
      <c r="N842" s="55" t="str">
        <f t="shared" si="339"/>
        <v/>
      </c>
      <c r="O842" s="55" t="str">
        <f t="shared" si="340"/>
        <v/>
      </c>
      <c r="P842" s="55" t="str">
        <f t="shared" si="341"/>
        <v/>
      </c>
      <c r="Q842" s="65" t="str">
        <f t="shared" si="342"/>
        <v/>
      </c>
      <c r="R842" s="67" t="str">
        <f t="shared" si="344"/>
        <v/>
      </c>
      <c r="S842" s="56" t="str">
        <f t="shared" si="345"/>
        <v/>
      </c>
      <c r="T842" s="56" t="str">
        <f t="shared" si="346"/>
        <v/>
      </c>
      <c r="U842" s="56" t="str">
        <f t="shared" si="347"/>
        <v/>
      </c>
      <c r="V842" s="68" t="str">
        <f t="shared" si="348"/>
        <v/>
      </c>
      <c r="W842" s="80" t="str">
        <f t="shared" si="324"/>
        <v/>
      </c>
      <c r="X842" s="81" t="str">
        <f t="shared" si="325"/>
        <v/>
      </c>
      <c r="Y842" s="81" t="str">
        <f t="shared" si="326"/>
        <v/>
      </c>
      <c r="Z842" s="81" t="str">
        <f t="shared" si="327"/>
        <v/>
      </c>
      <c r="AA842" s="82" t="str">
        <f t="shared" si="328"/>
        <v/>
      </c>
      <c r="AB842" s="83" t="str">
        <f>IF(R842&lt;&gt;"",(W842-SUMPRODUCT(R$3:R842,$B$3:$B842)/SUM($B$3:$B842))/STDEVA(W832:W842),"")</f>
        <v/>
      </c>
      <c r="AC842" s="84" t="str">
        <f>IF(S842&lt;&gt;"",(X842-SUMPRODUCT(S$3:S842,$B$3:$B842)/SUM($B$3:$B842))/STDEVA(X832:X842),"")</f>
        <v/>
      </c>
      <c r="AD842" s="84" t="str">
        <f>IF(T842&lt;&gt;"",(Y842-SUMPRODUCT(T$3:T842,$B$3:$B842)/SUM($B$3:$B842))/STDEVA(Y832:Y842),"")</f>
        <v/>
      </c>
      <c r="AE842" s="84" t="str">
        <f>IF(U842&lt;&gt;"",(Z842-SUMPRODUCT(U$3:U842,$B$3:$B842)/SUM($B$3:$B842))/STDEVA(Z832:Z842),"")</f>
        <v/>
      </c>
      <c r="AF842" s="85" t="str">
        <f>IF(V842&lt;&gt;"",(AA842-SUMPRODUCT(V$3:V842,$B$3:$B842)/SUM($B$3:$B842))/STDEVA(AA832:AA842),"")</f>
        <v/>
      </c>
      <c r="AG842" s="90" t="str">
        <f t="shared" si="330"/>
        <v/>
      </c>
      <c r="AH842" s="90" t="str">
        <f t="shared" si="330"/>
        <v/>
      </c>
      <c r="AI842" s="90" t="str">
        <f t="shared" si="330"/>
        <v/>
      </c>
      <c r="AJ842" s="90" t="str">
        <f t="shared" si="329"/>
        <v/>
      </c>
      <c r="AK842" s="93" t="str">
        <f t="shared" si="329"/>
        <v/>
      </c>
      <c r="BQ842" s="100" t="str">
        <f>IF(A842&lt;&gt;"",(VLOOKUP(A842,MarketData!$D:$BP,MATCH($BQ$1,MarketData!$D$1:$EG$1,0),TRUE)/100/365+1)^(B842)*BQ841,"")</f>
        <v/>
      </c>
      <c r="BR842" s="98" t="str">
        <f t="shared" si="332"/>
        <v/>
      </c>
      <c r="BS842" s="106" t="str">
        <f>IF(A842&lt;&gt;"",VLOOKUP(A842,MarketData!$D:$BP,MATCH($BS$1,MarketData!$D$1:$EG$1,0),TRUE),"")</f>
        <v/>
      </c>
      <c r="BT842" s="98" t="str">
        <f t="shared" si="343"/>
        <v/>
      </c>
    </row>
    <row r="843" spans="2:72" x14ac:dyDescent="0.25">
      <c r="B843" s="60" t="str">
        <f t="shared" si="331"/>
        <v/>
      </c>
      <c r="C843" s="3" t="str">
        <f t="shared" si="333"/>
        <v/>
      </c>
      <c r="D843" s="3" t="str">
        <f t="shared" si="334"/>
        <v/>
      </c>
      <c r="E843" s="3" t="str">
        <f t="shared" si="335"/>
        <v/>
      </c>
      <c r="F843" s="3" t="str">
        <f t="shared" si="336"/>
        <v/>
      </c>
      <c r="G843" s="74" t="str">
        <f t="shared" si="337"/>
        <v/>
      </c>
      <c r="H843" s="78" t="str">
        <f>IFERROR(C843/SUM(M$2:M842),"")</f>
        <v/>
      </c>
      <c r="I843" s="61" t="str">
        <f>IFERROR(D843/SUM(N$2:N843),"")</f>
        <v/>
      </c>
      <c r="J843" s="61" t="str">
        <f>IFERROR(E843/SUM(O$2:O843),"")</f>
        <v/>
      </c>
      <c r="K843" s="61" t="str">
        <f>IFERROR(F843/SUM(P$2:P843),"")</f>
        <v/>
      </c>
      <c r="L843" s="79" t="str">
        <f>IFERROR(G843/SUM(Q$2:Q843),"")</f>
        <v/>
      </c>
      <c r="M843" s="64" t="str">
        <f t="shared" si="338"/>
        <v/>
      </c>
      <c r="N843" s="55" t="str">
        <f t="shared" si="339"/>
        <v/>
      </c>
      <c r="O843" s="55" t="str">
        <f t="shared" si="340"/>
        <v/>
      </c>
      <c r="P843" s="55" t="str">
        <f t="shared" si="341"/>
        <v/>
      </c>
      <c r="Q843" s="65" t="str">
        <f t="shared" si="342"/>
        <v/>
      </c>
      <c r="R843" s="67" t="str">
        <f t="shared" si="344"/>
        <v/>
      </c>
      <c r="S843" s="56" t="str">
        <f t="shared" si="345"/>
        <v/>
      </c>
      <c r="T843" s="56" t="str">
        <f t="shared" si="346"/>
        <v/>
      </c>
      <c r="U843" s="56" t="str">
        <f t="shared" si="347"/>
        <v/>
      </c>
      <c r="V843" s="68" t="str">
        <f t="shared" si="348"/>
        <v/>
      </c>
      <c r="W843" s="80" t="str">
        <f t="shared" si="324"/>
        <v/>
      </c>
      <c r="X843" s="81" t="str">
        <f t="shared" si="325"/>
        <v/>
      </c>
      <c r="Y843" s="81" t="str">
        <f t="shared" si="326"/>
        <v/>
      </c>
      <c r="Z843" s="81" t="str">
        <f t="shared" si="327"/>
        <v/>
      </c>
      <c r="AA843" s="82" t="str">
        <f t="shared" si="328"/>
        <v/>
      </c>
      <c r="AB843" s="83" t="str">
        <f>IF(R843&lt;&gt;"",(W843-SUMPRODUCT(R$3:R843,$B$3:$B843)/SUM($B$3:$B843))/STDEVA(W833:W843),"")</f>
        <v/>
      </c>
      <c r="AC843" s="84" t="str">
        <f>IF(S843&lt;&gt;"",(X843-SUMPRODUCT(S$3:S843,$B$3:$B843)/SUM($B$3:$B843))/STDEVA(X833:X843),"")</f>
        <v/>
      </c>
      <c r="AD843" s="84" t="str">
        <f>IF(T843&lt;&gt;"",(Y843-SUMPRODUCT(T$3:T843,$B$3:$B843)/SUM($B$3:$B843))/STDEVA(Y833:Y843),"")</f>
        <v/>
      </c>
      <c r="AE843" s="84" t="str">
        <f>IF(U843&lt;&gt;"",(Z843-SUMPRODUCT(U$3:U843,$B$3:$B843)/SUM($B$3:$B843))/STDEVA(Z833:Z843),"")</f>
        <v/>
      </c>
      <c r="AF843" s="85" t="str">
        <f>IF(V843&lt;&gt;"",(AA843-SUMPRODUCT(V$3:V843,$B$3:$B843)/SUM($B$3:$B843))/STDEVA(AA833:AA843),"")</f>
        <v/>
      </c>
      <c r="AG843" s="90" t="str">
        <f t="shared" si="330"/>
        <v/>
      </c>
      <c r="AH843" s="90" t="str">
        <f t="shared" si="330"/>
        <v/>
      </c>
      <c r="AI843" s="90" t="str">
        <f t="shared" si="330"/>
        <v/>
      </c>
      <c r="AJ843" s="90" t="str">
        <f t="shared" si="329"/>
        <v/>
      </c>
      <c r="AK843" s="93" t="str">
        <f t="shared" si="329"/>
        <v/>
      </c>
      <c r="BQ843" s="100" t="str">
        <f>IF(A843&lt;&gt;"",(VLOOKUP(A843,MarketData!$D:$BP,MATCH($BQ$1,MarketData!$D$1:$EG$1,0),TRUE)/100/365+1)^(B843)*BQ842,"")</f>
        <v/>
      </c>
      <c r="BR843" s="98" t="str">
        <f t="shared" si="332"/>
        <v/>
      </c>
      <c r="BS843" s="106" t="str">
        <f>IF(A843&lt;&gt;"",VLOOKUP(A843,MarketData!$D:$BP,MATCH($BS$1,MarketData!$D$1:$EG$1,0),TRUE),"")</f>
        <v/>
      </c>
      <c r="BT843" s="98" t="str">
        <f t="shared" si="343"/>
        <v/>
      </c>
    </row>
    <row r="844" spans="2:72" x14ac:dyDescent="0.25">
      <c r="B844" s="60" t="str">
        <f t="shared" si="331"/>
        <v/>
      </c>
      <c r="C844" s="3" t="str">
        <f t="shared" si="333"/>
        <v/>
      </c>
      <c r="D844" s="3" t="str">
        <f t="shared" si="334"/>
        <v/>
      </c>
      <c r="E844" s="3" t="str">
        <f t="shared" si="335"/>
        <v/>
      </c>
      <c r="F844" s="3" t="str">
        <f t="shared" si="336"/>
        <v/>
      </c>
      <c r="G844" s="74" t="str">
        <f t="shared" si="337"/>
        <v/>
      </c>
      <c r="H844" s="78" t="str">
        <f>IFERROR(C844/SUM(M$2:M843),"")</f>
        <v/>
      </c>
      <c r="I844" s="61" t="str">
        <f>IFERROR(D844/SUM(N$2:N844),"")</f>
        <v/>
      </c>
      <c r="J844" s="61" t="str">
        <f>IFERROR(E844/SUM(O$2:O844),"")</f>
        <v/>
      </c>
      <c r="K844" s="61" t="str">
        <f>IFERROR(F844/SUM(P$2:P844),"")</f>
        <v/>
      </c>
      <c r="L844" s="79" t="str">
        <f>IFERROR(G844/SUM(Q$2:Q844),"")</f>
        <v/>
      </c>
      <c r="M844" s="64" t="str">
        <f t="shared" si="338"/>
        <v/>
      </c>
      <c r="N844" s="55" t="str">
        <f t="shared" si="339"/>
        <v/>
      </c>
      <c r="O844" s="55" t="str">
        <f t="shared" si="340"/>
        <v/>
      </c>
      <c r="P844" s="55" t="str">
        <f t="shared" si="341"/>
        <v/>
      </c>
      <c r="Q844" s="65" t="str">
        <f t="shared" si="342"/>
        <v/>
      </c>
      <c r="R844" s="67" t="str">
        <f t="shared" si="344"/>
        <v/>
      </c>
      <c r="S844" s="56" t="str">
        <f t="shared" si="345"/>
        <v/>
      </c>
      <c r="T844" s="56" t="str">
        <f t="shared" si="346"/>
        <v/>
      </c>
      <c r="U844" s="56" t="str">
        <f t="shared" si="347"/>
        <v/>
      </c>
      <c r="V844" s="68" t="str">
        <f t="shared" si="348"/>
        <v/>
      </c>
      <c r="W844" s="80" t="str">
        <f t="shared" ref="W844:W907" si="349">IF(R844&lt;&gt;"",SUMPRODUCT(R835:R844,$B835:$B844)/SUM($B835:$B844),"")</f>
        <v/>
      </c>
      <c r="X844" s="81" t="str">
        <f t="shared" ref="X844:X907" si="350">IF(S844&lt;&gt;"",SUMPRODUCT(S835:S844,$B835:$B844)/SUM($B835:$B844),"")</f>
        <v/>
      </c>
      <c r="Y844" s="81" t="str">
        <f t="shared" ref="Y844:Y907" si="351">IF(T844&lt;&gt;"",SUMPRODUCT(T835:T844,$B835:$B844)/SUM($B835:$B844),"")</f>
        <v/>
      </c>
      <c r="Z844" s="81" t="str">
        <f t="shared" ref="Z844:Z907" si="352">IF(U844&lt;&gt;"",SUMPRODUCT(U835:U844,$B835:$B844)/SUM($B835:$B844),"")</f>
        <v/>
      </c>
      <c r="AA844" s="82" t="str">
        <f t="shared" ref="AA844:AA907" si="353">IF(V844&lt;&gt;"",SUMPRODUCT(V835:V844,$B835:$B844)/SUM($B835:$B844),"")</f>
        <v/>
      </c>
      <c r="AB844" s="83" t="str">
        <f>IF(R844&lt;&gt;"",(W844-SUMPRODUCT(R$3:R844,$B$3:$B844)/SUM($B$3:$B844))/STDEVA(W834:W844),"")</f>
        <v/>
      </c>
      <c r="AC844" s="84" t="str">
        <f>IF(S844&lt;&gt;"",(X844-SUMPRODUCT(S$3:S844,$B$3:$B844)/SUM($B$3:$B844))/STDEVA(X834:X844),"")</f>
        <v/>
      </c>
      <c r="AD844" s="84" t="str">
        <f>IF(T844&lt;&gt;"",(Y844-SUMPRODUCT(T$3:T844,$B$3:$B844)/SUM($B$3:$B844))/STDEVA(Y834:Y844),"")</f>
        <v/>
      </c>
      <c r="AE844" s="84" t="str">
        <f>IF(U844&lt;&gt;"",(Z844-SUMPRODUCT(U$3:U844,$B$3:$B844)/SUM($B$3:$B844))/STDEVA(Z834:Z844),"")</f>
        <v/>
      </c>
      <c r="AF844" s="85" t="str">
        <f>IF(V844&lt;&gt;"",(AA844-SUMPRODUCT(V$3:V844,$B$3:$B844)/SUM($B$3:$B844))/STDEVA(AA834:AA844),"")</f>
        <v/>
      </c>
      <c r="AG844" s="90" t="str">
        <f t="shared" si="330"/>
        <v/>
      </c>
      <c r="AH844" s="90" t="str">
        <f t="shared" si="330"/>
        <v/>
      </c>
      <c r="AI844" s="90" t="str">
        <f t="shared" si="330"/>
        <v/>
      </c>
      <c r="AJ844" s="90" t="str">
        <f t="shared" si="329"/>
        <v/>
      </c>
      <c r="AK844" s="93" t="str">
        <f t="shared" si="329"/>
        <v/>
      </c>
      <c r="BQ844" s="100" t="str">
        <f>IF(A844&lt;&gt;"",(VLOOKUP(A844,MarketData!$D:$BP,MATCH($BQ$1,MarketData!$D$1:$EG$1,0),TRUE)/100/365+1)^(B844)*BQ843,"")</f>
        <v/>
      </c>
      <c r="BR844" s="98" t="str">
        <f t="shared" si="332"/>
        <v/>
      </c>
      <c r="BS844" s="106" t="str">
        <f>IF(A844&lt;&gt;"",VLOOKUP(A844,MarketData!$D:$BP,MATCH($BS$1,MarketData!$D$1:$EG$1,0),TRUE),"")</f>
        <v/>
      </c>
      <c r="BT844" s="98" t="str">
        <f t="shared" si="343"/>
        <v/>
      </c>
    </row>
    <row r="845" spans="2:72" x14ac:dyDescent="0.25">
      <c r="B845" s="60" t="str">
        <f t="shared" si="331"/>
        <v/>
      </c>
      <c r="C845" s="3" t="str">
        <f t="shared" si="333"/>
        <v/>
      </c>
      <c r="D845" s="3" t="str">
        <f t="shared" si="334"/>
        <v/>
      </c>
      <c r="E845" s="3" t="str">
        <f t="shared" si="335"/>
        <v/>
      </c>
      <c r="F845" s="3" t="str">
        <f t="shared" si="336"/>
        <v/>
      </c>
      <c r="G845" s="74" t="str">
        <f t="shared" si="337"/>
        <v/>
      </c>
      <c r="H845" s="78" t="str">
        <f>IFERROR(C845/SUM(M$2:M844),"")</f>
        <v/>
      </c>
      <c r="I845" s="61" t="str">
        <f>IFERROR(D845/SUM(N$2:N845),"")</f>
        <v/>
      </c>
      <c r="J845" s="61" t="str">
        <f>IFERROR(E845/SUM(O$2:O845),"")</f>
        <v/>
      </c>
      <c r="K845" s="61" t="str">
        <f>IFERROR(F845/SUM(P$2:P845),"")</f>
        <v/>
      </c>
      <c r="L845" s="79" t="str">
        <f>IFERROR(G845/SUM(Q$2:Q845),"")</f>
        <v/>
      </c>
      <c r="M845" s="64" t="str">
        <f t="shared" si="338"/>
        <v/>
      </c>
      <c r="N845" s="55" t="str">
        <f t="shared" si="339"/>
        <v/>
      </c>
      <c r="O845" s="55" t="str">
        <f t="shared" si="340"/>
        <v/>
      </c>
      <c r="P845" s="55" t="str">
        <f t="shared" si="341"/>
        <v/>
      </c>
      <c r="Q845" s="65" t="str">
        <f t="shared" si="342"/>
        <v/>
      </c>
      <c r="R845" s="67" t="str">
        <f t="shared" si="344"/>
        <v/>
      </c>
      <c r="S845" s="56" t="str">
        <f t="shared" si="345"/>
        <v/>
      </c>
      <c r="T845" s="56" t="str">
        <f t="shared" si="346"/>
        <v/>
      </c>
      <c r="U845" s="56" t="str">
        <f t="shared" si="347"/>
        <v/>
      </c>
      <c r="V845" s="68" t="str">
        <f t="shared" si="348"/>
        <v/>
      </c>
      <c r="W845" s="80" t="str">
        <f t="shared" si="349"/>
        <v/>
      </c>
      <c r="X845" s="81" t="str">
        <f t="shared" si="350"/>
        <v/>
      </c>
      <c r="Y845" s="81" t="str">
        <f t="shared" si="351"/>
        <v/>
      </c>
      <c r="Z845" s="81" t="str">
        <f t="shared" si="352"/>
        <v/>
      </c>
      <c r="AA845" s="82" t="str">
        <f t="shared" si="353"/>
        <v/>
      </c>
      <c r="AB845" s="83" t="str">
        <f>IF(R845&lt;&gt;"",(W845-SUMPRODUCT(R$3:R845,$B$3:$B845)/SUM($B$3:$B845))/STDEVA(W835:W845),"")</f>
        <v/>
      </c>
      <c r="AC845" s="84" t="str">
        <f>IF(S845&lt;&gt;"",(X845-SUMPRODUCT(S$3:S845,$B$3:$B845)/SUM($B$3:$B845))/STDEVA(X835:X845),"")</f>
        <v/>
      </c>
      <c r="AD845" s="84" t="str">
        <f>IF(T845&lt;&gt;"",(Y845-SUMPRODUCT(T$3:T845,$B$3:$B845)/SUM($B$3:$B845))/STDEVA(Y835:Y845),"")</f>
        <v/>
      </c>
      <c r="AE845" s="84" t="str">
        <f>IF(U845&lt;&gt;"",(Z845-SUMPRODUCT(U$3:U845,$B$3:$B845)/SUM($B$3:$B845))/STDEVA(Z835:Z845),"")</f>
        <v/>
      </c>
      <c r="AF845" s="85" t="str">
        <f>IF(V845&lt;&gt;"",(AA845-SUMPRODUCT(V$3:V845,$B$3:$B845)/SUM($B$3:$B845))/STDEVA(AA835:AA845),"")</f>
        <v/>
      </c>
      <c r="AG845" s="90" t="str">
        <f t="shared" si="330"/>
        <v/>
      </c>
      <c r="AH845" s="90" t="str">
        <f t="shared" si="330"/>
        <v/>
      </c>
      <c r="AI845" s="90" t="str">
        <f t="shared" si="330"/>
        <v/>
      </c>
      <c r="AJ845" s="90" t="str">
        <f t="shared" si="330"/>
        <v/>
      </c>
      <c r="AK845" s="93" t="str">
        <f t="shared" si="330"/>
        <v/>
      </c>
      <c r="BQ845" s="100" t="str">
        <f>IF(A845&lt;&gt;"",(VLOOKUP(A845,MarketData!$D:$BP,MATCH($BQ$1,MarketData!$D$1:$EG$1,0),TRUE)/100/365+1)^(B845)*BQ844,"")</f>
        <v/>
      </c>
      <c r="BR845" s="98" t="str">
        <f t="shared" si="332"/>
        <v/>
      </c>
      <c r="BS845" s="106" t="str">
        <f>IF(A845&lt;&gt;"",VLOOKUP(A845,MarketData!$D:$BP,MATCH($BS$1,MarketData!$D$1:$EG$1,0),TRUE),"")</f>
        <v/>
      </c>
      <c r="BT845" s="98" t="str">
        <f t="shared" si="343"/>
        <v/>
      </c>
    </row>
    <row r="846" spans="2:72" x14ac:dyDescent="0.25">
      <c r="B846" s="60" t="str">
        <f t="shared" si="331"/>
        <v/>
      </c>
      <c r="C846" s="3" t="str">
        <f t="shared" si="333"/>
        <v/>
      </c>
      <c r="D846" s="3" t="str">
        <f t="shared" si="334"/>
        <v/>
      </c>
      <c r="E846" s="3" t="str">
        <f t="shared" si="335"/>
        <v/>
      </c>
      <c r="F846" s="3" t="str">
        <f t="shared" si="336"/>
        <v/>
      </c>
      <c r="G846" s="74" t="str">
        <f t="shared" si="337"/>
        <v/>
      </c>
      <c r="H846" s="78" t="str">
        <f>IFERROR(C846/SUM(M$2:M845),"")</f>
        <v/>
      </c>
      <c r="I846" s="61" t="str">
        <f>IFERROR(D846/SUM(N$2:N846),"")</f>
        <v/>
      </c>
      <c r="J846" s="61" t="str">
        <f>IFERROR(E846/SUM(O$2:O846),"")</f>
        <v/>
      </c>
      <c r="K846" s="61" t="str">
        <f>IFERROR(F846/SUM(P$2:P846),"")</f>
        <v/>
      </c>
      <c r="L846" s="79" t="str">
        <f>IFERROR(G846/SUM(Q$2:Q846),"")</f>
        <v/>
      </c>
      <c r="M846" s="64" t="str">
        <f t="shared" si="338"/>
        <v/>
      </c>
      <c r="N846" s="55" t="str">
        <f t="shared" si="339"/>
        <v/>
      </c>
      <c r="O846" s="55" t="str">
        <f t="shared" si="340"/>
        <v/>
      </c>
      <c r="P846" s="55" t="str">
        <f t="shared" si="341"/>
        <v/>
      </c>
      <c r="Q846" s="65" t="str">
        <f t="shared" si="342"/>
        <v/>
      </c>
      <c r="R846" s="67" t="str">
        <f t="shared" si="344"/>
        <v/>
      </c>
      <c r="S846" s="56" t="str">
        <f t="shared" si="345"/>
        <v/>
      </c>
      <c r="T846" s="56" t="str">
        <f t="shared" si="346"/>
        <v/>
      </c>
      <c r="U846" s="56" t="str">
        <f t="shared" si="347"/>
        <v/>
      </c>
      <c r="V846" s="68" t="str">
        <f t="shared" si="348"/>
        <v/>
      </c>
      <c r="W846" s="80" t="str">
        <f t="shared" si="349"/>
        <v/>
      </c>
      <c r="X846" s="81" t="str">
        <f t="shared" si="350"/>
        <v/>
      </c>
      <c r="Y846" s="81" t="str">
        <f t="shared" si="351"/>
        <v/>
      </c>
      <c r="Z846" s="81" t="str">
        <f t="shared" si="352"/>
        <v/>
      </c>
      <c r="AA846" s="82" t="str">
        <f t="shared" si="353"/>
        <v/>
      </c>
      <c r="AB846" s="83" t="str">
        <f>IF(R846&lt;&gt;"",(W846-SUMPRODUCT(R$3:R846,$B$3:$B846)/SUM($B$3:$B846))/STDEVA(W836:W846),"")</f>
        <v/>
      </c>
      <c r="AC846" s="84" t="str">
        <f>IF(S846&lt;&gt;"",(X846-SUMPRODUCT(S$3:S846,$B$3:$B846)/SUM($B$3:$B846))/STDEVA(X836:X846),"")</f>
        <v/>
      </c>
      <c r="AD846" s="84" t="str">
        <f>IF(T846&lt;&gt;"",(Y846-SUMPRODUCT(T$3:T846,$B$3:$B846)/SUM($B$3:$B846))/STDEVA(Y836:Y846),"")</f>
        <v/>
      </c>
      <c r="AE846" s="84" t="str">
        <f>IF(U846&lt;&gt;"",(Z846-SUMPRODUCT(U$3:U846,$B$3:$B846)/SUM($B$3:$B846))/STDEVA(Z836:Z846),"")</f>
        <v/>
      </c>
      <c r="AF846" s="85" t="str">
        <f>IF(V846&lt;&gt;"",(AA846-SUMPRODUCT(V$3:V846,$B$3:$B846)/SUM($B$3:$B846))/STDEVA(AA836:AA846),"")</f>
        <v/>
      </c>
      <c r="AG846" s="90" t="str">
        <f t="shared" ref="AG846:AJ909" si="354">IF(AB846&lt;&gt;"",SUMPRODUCT(AB841:AB846,$B841:$B846)/SUM($B841:$B846),"")</f>
        <v/>
      </c>
      <c r="AH846" s="90" t="str">
        <f t="shared" si="354"/>
        <v/>
      </c>
      <c r="AI846" s="90" t="str">
        <f t="shared" si="354"/>
        <v/>
      </c>
      <c r="AJ846" s="90" t="str">
        <f t="shared" si="354"/>
        <v/>
      </c>
      <c r="AK846" s="93" t="str">
        <f t="shared" ref="AK846:AK909" si="355">IF(AF846&lt;&gt;"",SUMPRODUCT(AF841:AF846,$B841:$B846)/SUM($B841:$B846),"")</f>
        <v/>
      </c>
      <c r="BQ846" s="100" t="str">
        <f>IF(A846&lt;&gt;"",(VLOOKUP(A846,MarketData!$D:$BP,MATCH($BQ$1,MarketData!$D$1:$EG$1,0),TRUE)/100/365+1)^(B846)*BQ845,"")</f>
        <v/>
      </c>
      <c r="BR846" s="98" t="str">
        <f t="shared" si="332"/>
        <v/>
      </c>
      <c r="BS846" s="106" t="str">
        <f>IF(A846&lt;&gt;"",VLOOKUP(A846,MarketData!$D:$BP,MATCH($BS$1,MarketData!$D$1:$EG$1,0),TRUE),"")</f>
        <v/>
      </c>
      <c r="BT846" s="98" t="str">
        <f t="shared" si="343"/>
        <v/>
      </c>
    </row>
    <row r="847" spans="2:72" x14ac:dyDescent="0.25">
      <c r="B847" s="60" t="str">
        <f t="shared" si="331"/>
        <v/>
      </c>
      <c r="C847" s="3" t="str">
        <f t="shared" si="333"/>
        <v/>
      </c>
      <c r="D847" s="3" t="str">
        <f t="shared" si="334"/>
        <v/>
      </c>
      <c r="E847" s="3" t="str">
        <f t="shared" si="335"/>
        <v/>
      </c>
      <c r="F847" s="3" t="str">
        <f t="shared" si="336"/>
        <v/>
      </c>
      <c r="G847" s="74" t="str">
        <f t="shared" si="337"/>
        <v/>
      </c>
      <c r="H847" s="78" t="str">
        <f>IFERROR(C847/SUM(M$2:M846),"")</f>
        <v/>
      </c>
      <c r="I847" s="61" t="str">
        <f>IFERROR(D847/SUM(N$2:N847),"")</f>
        <v/>
      </c>
      <c r="J847" s="61" t="str">
        <f>IFERROR(E847/SUM(O$2:O847),"")</f>
        <v/>
      </c>
      <c r="K847" s="61" t="str">
        <f>IFERROR(F847/SUM(P$2:P847),"")</f>
        <v/>
      </c>
      <c r="L847" s="79" t="str">
        <f>IFERROR(G847/SUM(Q$2:Q847),"")</f>
        <v/>
      </c>
      <c r="M847" s="64" t="str">
        <f t="shared" si="338"/>
        <v/>
      </c>
      <c r="N847" s="55" t="str">
        <f t="shared" si="339"/>
        <v/>
      </c>
      <c r="O847" s="55" t="str">
        <f t="shared" si="340"/>
        <v/>
      </c>
      <c r="P847" s="55" t="str">
        <f t="shared" si="341"/>
        <v/>
      </c>
      <c r="Q847" s="65" t="str">
        <f t="shared" si="342"/>
        <v/>
      </c>
      <c r="R847" s="67" t="str">
        <f t="shared" si="344"/>
        <v/>
      </c>
      <c r="S847" s="56" t="str">
        <f t="shared" si="345"/>
        <v/>
      </c>
      <c r="T847" s="56" t="str">
        <f t="shared" si="346"/>
        <v/>
      </c>
      <c r="U847" s="56" t="str">
        <f t="shared" si="347"/>
        <v/>
      </c>
      <c r="V847" s="68" t="str">
        <f t="shared" si="348"/>
        <v/>
      </c>
      <c r="W847" s="80" t="str">
        <f t="shared" si="349"/>
        <v/>
      </c>
      <c r="X847" s="81" t="str">
        <f t="shared" si="350"/>
        <v/>
      </c>
      <c r="Y847" s="81" t="str">
        <f t="shared" si="351"/>
        <v/>
      </c>
      <c r="Z847" s="81" t="str">
        <f t="shared" si="352"/>
        <v/>
      </c>
      <c r="AA847" s="82" t="str">
        <f t="shared" si="353"/>
        <v/>
      </c>
      <c r="AB847" s="83" t="str">
        <f>IF(R847&lt;&gt;"",(W847-SUMPRODUCT(R$3:R847,$B$3:$B847)/SUM($B$3:$B847))/STDEVA(W837:W847),"")</f>
        <v/>
      </c>
      <c r="AC847" s="84" t="str">
        <f>IF(S847&lt;&gt;"",(X847-SUMPRODUCT(S$3:S847,$B$3:$B847)/SUM($B$3:$B847))/STDEVA(X837:X847),"")</f>
        <v/>
      </c>
      <c r="AD847" s="84" t="str">
        <f>IF(T847&lt;&gt;"",(Y847-SUMPRODUCT(T$3:T847,$B$3:$B847)/SUM($B$3:$B847))/STDEVA(Y837:Y847),"")</f>
        <v/>
      </c>
      <c r="AE847" s="84" t="str">
        <f>IF(U847&lt;&gt;"",(Z847-SUMPRODUCT(U$3:U847,$B$3:$B847)/SUM($B$3:$B847))/STDEVA(Z837:Z847),"")</f>
        <v/>
      </c>
      <c r="AF847" s="85" t="str">
        <f>IF(V847&lt;&gt;"",(AA847-SUMPRODUCT(V$3:V847,$B$3:$B847)/SUM($B$3:$B847))/STDEVA(AA837:AA847),"")</f>
        <v/>
      </c>
      <c r="AG847" s="90" t="str">
        <f t="shared" si="354"/>
        <v/>
      </c>
      <c r="AH847" s="90" t="str">
        <f t="shared" si="354"/>
        <v/>
      </c>
      <c r="AI847" s="90" t="str">
        <f t="shared" si="354"/>
        <v/>
      </c>
      <c r="AJ847" s="90" t="str">
        <f t="shared" si="354"/>
        <v/>
      </c>
      <c r="AK847" s="93" t="str">
        <f t="shared" si="355"/>
        <v/>
      </c>
      <c r="BQ847" s="100" t="str">
        <f>IF(A847&lt;&gt;"",(VLOOKUP(A847,MarketData!$D:$BP,MATCH($BQ$1,MarketData!$D$1:$EG$1,0),TRUE)/100/365+1)^(B847)*BQ846,"")</f>
        <v/>
      </c>
      <c r="BR847" s="98" t="str">
        <f t="shared" si="332"/>
        <v/>
      </c>
      <c r="BS847" s="106" t="str">
        <f>IF(A847&lt;&gt;"",VLOOKUP(A847,MarketData!$D:$BP,MATCH($BS$1,MarketData!$D$1:$EG$1,0),TRUE),"")</f>
        <v/>
      </c>
      <c r="BT847" s="98" t="str">
        <f t="shared" si="343"/>
        <v/>
      </c>
    </row>
    <row r="848" spans="2:72" x14ac:dyDescent="0.25">
      <c r="B848" s="60" t="str">
        <f t="shared" si="331"/>
        <v/>
      </c>
      <c r="C848" s="3" t="str">
        <f t="shared" si="333"/>
        <v/>
      </c>
      <c r="D848" s="3" t="str">
        <f t="shared" si="334"/>
        <v/>
      </c>
      <c r="E848" s="3" t="str">
        <f t="shared" si="335"/>
        <v/>
      </c>
      <c r="F848" s="3" t="str">
        <f t="shared" si="336"/>
        <v/>
      </c>
      <c r="G848" s="74" t="str">
        <f t="shared" si="337"/>
        <v/>
      </c>
      <c r="H848" s="78" t="str">
        <f>IFERROR(C848/SUM(M$2:M847),"")</f>
        <v/>
      </c>
      <c r="I848" s="61" t="str">
        <f>IFERROR(D848/SUM(N$2:N848),"")</f>
        <v/>
      </c>
      <c r="J848" s="61" t="str">
        <f>IFERROR(E848/SUM(O$2:O848),"")</f>
        <v/>
      </c>
      <c r="K848" s="61" t="str">
        <f>IFERROR(F848/SUM(P$2:P848),"")</f>
        <v/>
      </c>
      <c r="L848" s="79" t="str">
        <f>IFERROR(G848/SUM(Q$2:Q848),"")</f>
        <v/>
      </c>
      <c r="M848" s="64" t="str">
        <f t="shared" si="338"/>
        <v/>
      </c>
      <c r="N848" s="55" t="str">
        <f t="shared" si="339"/>
        <v/>
      </c>
      <c r="O848" s="55" t="str">
        <f t="shared" si="340"/>
        <v/>
      </c>
      <c r="P848" s="55" t="str">
        <f t="shared" si="341"/>
        <v/>
      </c>
      <c r="Q848" s="65" t="str">
        <f t="shared" si="342"/>
        <v/>
      </c>
      <c r="R848" s="67" t="str">
        <f t="shared" si="344"/>
        <v/>
      </c>
      <c r="S848" s="56" t="str">
        <f t="shared" si="345"/>
        <v/>
      </c>
      <c r="T848" s="56" t="str">
        <f t="shared" si="346"/>
        <v/>
      </c>
      <c r="U848" s="56" t="str">
        <f t="shared" si="347"/>
        <v/>
      </c>
      <c r="V848" s="68" t="str">
        <f t="shared" si="348"/>
        <v/>
      </c>
      <c r="W848" s="80" t="str">
        <f t="shared" si="349"/>
        <v/>
      </c>
      <c r="X848" s="81" t="str">
        <f t="shared" si="350"/>
        <v/>
      </c>
      <c r="Y848" s="81" t="str">
        <f t="shared" si="351"/>
        <v/>
      </c>
      <c r="Z848" s="81" t="str">
        <f t="shared" si="352"/>
        <v/>
      </c>
      <c r="AA848" s="82" t="str">
        <f t="shared" si="353"/>
        <v/>
      </c>
      <c r="AB848" s="83" t="str">
        <f>IF(R848&lt;&gt;"",(W848-SUMPRODUCT(R$3:R848,$B$3:$B848)/SUM($B$3:$B848))/STDEVA(W838:W848),"")</f>
        <v/>
      </c>
      <c r="AC848" s="84" t="str">
        <f>IF(S848&lt;&gt;"",(X848-SUMPRODUCT(S$3:S848,$B$3:$B848)/SUM($B$3:$B848))/STDEVA(X838:X848),"")</f>
        <v/>
      </c>
      <c r="AD848" s="84" t="str">
        <f>IF(T848&lt;&gt;"",(Y848-SUMPRODUCT(T$3:T848,$B$3:$B848)/SUM($B$3:$B848))/STDEVA(Y838:Y848),"")</f>
        <v/>
      </c>
      <c r="AE848" s="84" t="str">
        <f>IF(U848&lt;&gt;"",(Z848-SUMPRODUCT(U$3:U848,$B$3:$B848)/SUM($B$3:$B848))/STDEVA(Z838:Z848),"")</f>
        <v/>
      </c>
      <c r="AF848" s="85" t="str">
        <f>IF(V848&lt;&gt;"",(AA848-SUMPRODUCT(V$3:V848,$B$3:$B848)/SUM($B$3:$B848))/STDEVA(AA838:AA848),"")</f>
        <v/>
      </c>
      <c r="AG848" s="90" t="str">
        <f t="shared" si="354"/>
        <v/>
      </c>
      <c r="AH848" s="90" t="str">
        <f t="shared" si="354"/>
        <v/>
      </c>
      <c r="AI848" s="90" t="str">
        <f t="shared" si="354"/>
        <v/>
      </c>
      <c r="AJ848" s="90" t="str">
        <f t="shared" si="354"/>
        <v/>
      </c>
      <c r="AK848" s="93" t="str">
        <f t="shared" si="355"/>
        <v/>
      </c>
      <c r="BQ848" s="100" t="str">
        <f>IF(A848&lt;&gt;"",(VLOOKUP(A848,MarketData!$D:$BP,MATCH($BQ$1,MarketData!$D$1:$EG$1,0),TRUE)/100/365+1)^(B848)*BQ847,"")</f>
        <v/>
      </c>
      <c r="BR848" s="98" t="str">
        <f t="shared" si="332"/>
        <v/>
      </c>
      <c r="BS848" s="106" t="str">
        <f>IF(A848&lt;&gt;"",VLOOKUP(A848,MarketData!$D:$BP,MATCH($BS$1,MarketData!$D$1:$EG$1,0),TRUE),"")</f>
        <v/>
      </c>
      <c r="BT848" s="98" t="str">
        <f t="shared" si="343"/>
        <v/>
      </c>
    </row>
    <row r="849" spans="2:72" x14ac:dyDescent="0.25">
      <c r="B849" s="60" t="str">
        <f t="shared" si="331"/>
        <v/>
      </c>
      <c r="C849" s="3" t="str">
        <f t="shared" si="333"/>
        <v/>
      </c>
      <c r="D849" s="3" t="str">
        <f t="shared" si="334"/>
        <v/>
      </c>
      <c r="E849" s="3" t="str">
        <f t="shared" si="335"/>
        <v/>
      </c>
      <c r="F849" s="3" t="str">
        <f t="shared" si="336"/>
        <v/>
      </c>
      <c r="G849" s="74" t="str">
        <f t="shared" si="337"/>
        <v/>
      </c>
      <c r="H849" s="78" t="str">
        <f>IFERROR(C849/SUM(M$2:M848),"")</f>
        <v/>
      </c>
      <c r="I849" s="61" t="str">
        <f>IFERROR(D849/SUM(N$2:N849),"")</f>
        <v/>
      </c>
      <c r="J849" s="61" t="str">
        <f>IFERROR(E849/SUM(O$2:O849),"")</f>
        <v/>
      </c>
      <c r="K849" s="61" t="str">
        <f>IFERROR(F849/SUM(P$2:P849),"")</f>
        <v/>
      </c>
      <c r="L849" s="79" t="str">
        <f>IFERROR(G849/SUM(Q$2:Q849),"")</f>
        <v/>
      </c>
      <c r="M849" s="64" t="str">
        <f t="shared" si="338"/>
        <v/>
      </c>
      <c r="N849" s="55" t="str">
        <f t="shared" si="339"/>
        <v/>
      </c>
      <c r="O849" s="55" t="str">
        <f t="shared" si="340"/>
        <v/>
      </c>
      <c r="P849" s="55" t="str">
        <f t="shared" si="341"/>
        <v/>
      </c>
      <c r="Q849" s="65" t="str">
        <f t="shared" si="342"/>
        <v/>
      </c>
      <c r="R849" s="67" t="str">
        <f t="shared" si="344"/>
        <v/>
      </c>
      <c r="S849" s="56" t="str">
        <f t="shared" si="345"/>
        <v/>
      </c>
      <c r="T849" s="56" t="str">
        <f t="shared" si="346"/>
        <v/>
      </c>
      <c r="U849" s="56" t="str">
        <f t="shared" si="347"/>
        <v/>
      </c>
      <c r="V849" s="68" t="str">
        <f t="shared" si="348"/>
        <v/>
      </c>
      <c r="W849" s="80" t="str">
        <f t="shared" si="349"/>
        <v/>
      </c>
      <c r="X849" s="81" t="str">
        <f t="shared" si="350"/>
        <v/>
      </c>
      <c r="Y849" s="81" t="str">
        <f t="shared" si="351"/>
        <v/>
      </c>
      <c r="Z849" s="81" t="str">
        <f t="shared" si="352"/>
        <v/>
      </c>
      <c r="AA849" s="82" t="str">
        <f t="shared" si="353"/>
        <v/>
      </c>
      <c r="AB849" s="83" t="str">
        <f>IF(R849&lt;&gt;"",(W849-SUMPRODUCT(R$3:R849,$B$3:$B849)/SUM($B$3:$B849))/STDEVA(W839:W849),"")</f>
        <v/>
      </c>
      <c r="AC849" s="84" t="str">
        <f>IF(S849&lt;&gt;"",(X849-SUMPRODUCT(S$3:S849,$B$3:$B849)/SUM($B$3:$B849))/STDEVA(X839:X849),"")</f>
        <v/>
      </c>
      <c r="AD849" s="84" t="str">
        <f>IF(T849&lt;&gt;"",(Y849-SUMPRODUCT(T$3:T849,$B$3:$B849)/SUM($B$3:$B849))/STDEVA(Y839:Y849),"")</f>
        <v/>
      </c>
      <c r="AE849" s="84" t="str">
        <f>IF(U849&lt;&gt;"",(Z849-SUMPRODUCT(U$3:U849,$B$3:$B849)/SUM($B$3:$B849))/STDEVA(Z839:Z849),"")</f>
        <v/>
      </c>
      <c r="AF849" s="85" t="str">
        <f>IF(V849&lt;&gt;"",(AA849-SUMPRODUCT(V$3:V849,$B$3:$B849)/SUM($B$3:$B849))/STDEVA(AA839:AA849),"")</f>
        <v/>
      </c>
      <c r="AG849" s="90" t="str">
        <f t="shared" si="354"/>
        <v/>
      </c>
      <c r="AH849" s="90" t="str">
        <f t="shared" si="354"/>
        <v/>
      </c>
      <c r="AI849" s="90" t="str">
        <f t="shared" si="354"/>
        <v/>
      </c>
      <c r="AJ849" s="90" t="str">
        <f t="shared" si="354"/>
        <v/>
      </c>
      <c r="AK849" s="93" t="str">
        <f t="shared" si="355"/>
        <v/>
      </c>
      <c r="BQ849" s="100" t="str">
        <f>IF(A849&lt;&gt;"",(VLOOKUP(A849,MarketData!$D:$BP,MATCH($BQ$1,MarketData!$D$1:$EG$1,0),TRUE)/100/365+1)^(B849)*BQ848,"")</f>
        <v/>
      </c>
      <c r="BR849" s="98" t="str">
        <f t="shared" si="332"/>
        <v/>
      </c>
      <c r="BS849" s="106" t="str">
        <f>IF(A849&lt;&gt;"",VLOOKUP(A849,MarketData!$D:$BP,MATCH($BS$1,MarketData!$D$1:$EG$1,0),TRUE),"")</f>
        <v/>
      </c>
      <c r="BT849" s="98" t="str">
        <f t="shared" si="343"/>
        <v/>
      </c>
    </row>
    <row r="850" spans="2:72" x14ac:dyDescent="0.25">
      <c r="B850" s="60" t="str">
        <f t="shared" si="331"/>
        <v/>
      </c>
      <c r="C850" s="3" t="str">
        <f t="shared" si="333"/>
        <v/>
      </c>
      <c r="D850" s="3" t="str">
        <f t="shared" si="334"/>
        <v/>
      </c>
      <c r="E850" s="3" t="str">
        <f t="shared" si="335"/>
        <v/>
      </c>
      <c r="F850" s="3" t="str">
        <f t="shared" si="336"/>
        <v/>
      </c>
      <c r="G850" s="74" t="str">
        <f t="shared" si="337"/>
        <v/>
      </c>
      <c r="H850" s="78" t="str">
        <f>IFERROR(C850/SUM(M$2:M849),"")</f>
        <v/>
      </c>
      <c r="I850" s="61" t="str">
        <f>IFERROR(D850/SUM(N$2:N850),"")</f>
        <v/>
      </c>
      <c r="J850" s="61" t="str">
        <f>IFERROR(E850/SUM(O$2:O850),"")</f>
        <v/>
      </c>
      <c r="K850" s="61" t="str">
        <f>IFERROR(F850/SUM(P$2:P850),"")</f>
        <v/>
      </c>
      <c r="L850" s="79" t="str">
        <f>IFERROR(G850/SUM(Q$2:Q850),"")</f>
        <v/>
      </c>
      <c r="M850" s="64" t="str">
        <f t="shared" si="338"/>
        <v/>
      </c>
      <c r="N850" s="55" t="str">
        <f t="shared" si="339"/>
        <v/>
      </c>
      <c r="O850" s="55" t="str">
        <f t="shared" si="340"/>
        <v/>
      </c>
      <c r="P850" s="55" t="str">
        <f t="shared" si="341"/>
        <v/>
      </c>
      <c r="Q850" s="65" t="str">
        <f t="shared" si="342"/>
        <v/>
      </c>
      <c r="R850" s="67" t="str">
        <f t="shared" si="344"/>
        <v/>
      </c>
      <c r="S850" s="56" t="str">
        <f t="shared" si="345"/>
        <v/>
      </c>
      <c r="T850" s="56" t="str">
        <f t="shared" si="346"/>
        <v/>
      </c>
      <c r="U850" s="56" t="str">
        <f t="shared" si="347"/>
        <v/>
      </c>
      <c r="V850" s="68" t="str">
        <f t="shared" si="348"/>
        <v/>
      </c>
      <c r="W850" s="80" t="str">
        <f t="shared" si="349"/>
        <v/>
      </c>
      <c r="X850" s="81" t="str">
        <f t="shared" si="350"/>
        <v/>
      </c>
      <c r="Y850" s="81" t="str">
        <f t="shared" si="351"/>
        <v/>
      </c>
      <c r="Z850" s="81" t="str">
        <f t="shared" si="352"/>
        <v/>
      </c>
      <c r="AA850" s="82" t="str">
        <f t="shared" si="353"/>
        <v/>
      </c>
      <c r="AB850" s="83" t="str">
        <f>IF(R850&lt;&gt;"",(W850-SUMPRODUCT(R$3:R850,$B$3:$B850)/SUM($B$3:$B850))/STDEVA(W840:W850),"")</f>
        <v/>
      </c>
      <c r="AC850" s="84" t="str">
        <f>IF(S850&lt;&gt;"",(X850-SUMPRODUCT(S$3:S850,$B$3:$B850)/SUM($B$3:$B850))/STDEVA(X840:X850),"")</f>
        <v/>
      </c>
      <c r="AD850" s="84" t="str">
        <f>IF(T850&lt;&gt;"",(Y850-SUMPRODUCT(T$3:T850,$B$3:$B850)/SUM($B$3:$B850))/STDEVA(Y840:Y850),"")</f>
        <v/>
      </c>
      <c r="AE850" s="84" t="str">
        <f>IF(U850&lt;&gt;"",(Z850-SUMPRODUCT(U$3:U850,$B$3:$B850)/SUM($B$3:$B850))/STDEVA(Z840:Z850),"")</f>
        <v/>
      </c>
      <c r="AF850" s="85" t="str">
        <f>IF(V850&lt;&gt;"",(AA850-SUMPRODUCT(V$3:V850,$B$3:$B850)/SUM($B$3:$B850))/STDEVA(AA840:AA850),"")</f>
        <v/>
      </c>
      <c r="AG850" s="90" t="str">
        <f t="shared" si="354"/>
        <v/>
      </c>
      <c r="AH850" s="90" t="str">
        <f t="shared" si="354"/>
        <v/>
      </c>
      <c r="AI850" s="90" t="str">
        <f t="shared" si="354"/>
        <v/>
      </c>
      <c r="AJ850" s="90" t="str">
        <f t="shared" si="354"/>
        <v/>
      </c>
      <c r="AK850" s="93" t="str">
        <f t="shared" si="355"/>
        <v/>
      </c>
      <c r="BQ850" s="100" t="str">
        <f>IF(A850&lt;&gt;"",(VLOOKUP(A850,MarketData!$D:$BP,MATCH($BQ$1,MarketData!$D$1:$EG$1,0),TRUE)/100/365+1)^(B850)*BQ849,"")</f>
        <v/>
      </c>
      <c r="BR850" s="98" t="str">
        <f t="shared" si="332"/>
        <v/>
      </c>
      <c r="BS850" s="106" t="str">
        <f>IF(A850&lt;&gt;"",VLOOKUP(A850,MarketData!$D:$BP,MATCH($BS$1,MarketData!$D$1:$EG$1,0),TRUE),"")</f>
        <v/>
      </c>
      <c r="BT850" s="98" t="str">
        <f t="shared" si="343"/>
        <v/>
      </c>
    </row>
    <row r="851" spans="2:72" x14ac:dyDescent="0.25">
      <c r="B851" s="60" t="str">
        <f t="shared" si="331"/>
        <v/>
      </c>
      <c r="C851" s="3" t="str">
        <f t="shared" si="333"/>
        <v/>
      </c>
      <c r="D851" s="3" t="str">
        <f t="shared" si="334"/>
        <v/>
      </c>
      <c r="E851" s="3" t="str">
        <f t="shared" si="335"/>
        <v/>
      </c>
      <c r="F851" s="3" t="str">
        <f t="shared" si="336"/>
        <v/>
      </c>
      <c r="G851" s="74" t="str">
        <f t="shared" si="337"/>
        <v/>
      </c>
      <c r="H851" s="78" t="str">
        <f>IFERROR(C851/SUM(M$2:M850),"")</f>
        <v/>
      </c>
      <c r="I851" s="61" t="str">
        <f>IFERROR(D851/SUM(N$2:N851),"")</f>
        <v/>
      </c>
      <c r="J851" s="61" t="str">
        <f>IFERROR(E851/SUM(O$2:O851),"")</f>
        <v/>
      </c>
      <c r="K851" s="61" t="str">
        <f>IFERROR(F851/SUM(P$2:P851),"")</f>
        <v/>
      </c>
      <c r="L851" s="79" t="str">
        <f>IFERROR(G851/SUM(Q$2:Q851),"")</f>
        <v/>
      </c>
      <c r="M851" s="64" t="str">
        <f t="shared" si="338"/>
        <v/>
      </c>
      <c r="N851" s="55" t="str">
        <f t="shared" si="339"/>
        <v/>
      </c>
      <c r="O851" s="55" t="str">
        <f t="shared" si="340"/>
        <v/>
      </c>
      <c r="P851" s="55" t="str">
        <f t="shared" si="341"/>
        <v/>
      </c>
      <c r="Q851" s="65" t="str">
        <f t="shared" si="342"/>
        <v/>
      </c>
      <c r="R851" s="67" t="str">
        <f t="shared" si="344"/>
        <v/>
      </c>
      <c r="S851" s="56" t="str">
        <f t="shared" si="345"/>
        <v/>
      </c>
      <c r="T851" s="56" t="str">
        <f t="shared" si="346"/>
        <v/>
      </c>
      <c r="U851" s="56" t="str">
        <f t="shared" si="347"/>
        <v/>
      </c>
      <c r="V851" s="68" t="str">
        <f t="shared" si="348"/>
        <v/>
      </c>
      <c r="W851" s="80" t="str">
        <f t="shared" si="349"/>
        <v/>
      </c>
      <c r="X851" s="81" t="str">
        <f t="shared" si="350"/>
        <v/>
      </c>
      <c r="Y851" s="81" t="str">
        <f t="shared" si="351"/>
        <v/>
      </c>
      <c r="Z851" s="81" t="str">
        <f t="shared" si="352"/>
        <v/>
      </c>
      <c r="AA851" s="82" t="str">
        <f t="shared" si="353"/>
        <v/>
      </c>
      <c r="AB851" s="83" t="str">
        <f>IF(R851&lt;&gt;"",(W851-SUMPRODUCT(R$3:R851,$B$3:$B851)/SUM($B$3:$B851))/STDEVA(W841:W851),"")</f>
        <v/>
      </c>
      <c r="AC851" s="84" t="str">
        <f>IF(S851&lt;&gt;"",(X851-SUMPRODUCT(S$3:S851,$B$3:$B851)/SUM($B$3:$B851))/STDEVA(X841:X851),"")</f>
        <v/>
      </c>
      <c r="AD851" s="84" t="str">
        <f>IF(T851&lt;&gt;"",(Y851-SUMPRODUCT(T$3:T851,$B$3:$B851)/SUM($B$3:$B851))/STDEVA(Y841:Y851),"")</f>
        <v/>
      </c>
      <c r="AE851" s="84" t="str">
        <f>IF(U851&lt;&gt;"",(Z851-SUMPRODUCT(U$3:U851,$B$3:$B851)/SUM($B$3:$B851))/STDEVA(Z841:Z851),"")</f>
        <v/>
      </c>
      <c r="AF851" s="85" t="str">
        <f>IF(V851&lt;&gt;"",(AA851-SUMPRODUCT(V$3:V851,$B$3:$B851)/SUM($B$3:$B851))/STDEVA(AA841:AA851),"")</f>
        <v/>
      </c>
      <c r="AG851" s="90" t="str">
        <f t="shared" si="354"/>
        <v/>
      </c>
      <c r="AH851" s="90" t="str">
        <f t="shared" si="354"/>
        <v/>
      </c>
      <c r="AI851" s="90" t="str">
        <f t="shared" si="354"/>
        <v/>
      </c>
      <c r="AJ851" s="90" t="str">
        <f t="shared" si="354"/>
        <v/>
      </c>
      <c r="AK851" s="93" t="str">
        <f t="shared" si="355"/>
        <v/>
      </c>
      <c r="BQ851" s="100" t="str">
        <f>IF(A851&lt;&gt;"",(VLOOKUP(A851,MarketData!$D:$BP,MATCH($BQ$1,MarketData!$D$1:$EG$1,0),TRUE)/100/365+1)^(B851)*BQ850,"")</f>
        <v/>
      </c>
      <c r="BR851" s="98" t="str">
        <f t="shared" si="332"/>
        <v/>
      </c>
      <c r="BS851" s="106" t="str">
        <f>IF(A851&lt;&gt;"",VLOOKUP(A851,MarketData!$D:$BP,MATCH($BS$1,MarketData!$D$1:$EG$1,0),TRUE),"")</f>
        <v/>
      </c>
      <c r="BT851" s="98" t="str">
        <f t="shared" si="343"/>
        <v/>
      </c>
    </row>
    <row r="852" spans="2:72" x14ac:dyDescent="0.25">
      <c r="B852" s="60" t="str">
        <f t="shared" si="331"/>
        <v/>
      </c>
      <c r="C852" s="3" t="str">
        <f t="shared" si="333"/>
        <v/>
      </c>
      <c r="D852" s="3" t="str">
        <f t="shared" si="334"/>
        <v/>
      </c>
      <c r="E852" s="3" t="str">
        <f t="shared" si="335"/>
        <v/>
      </c>
      <c r="F852" s="3" t="str">
        <f t="shared" si="336"/>
        <v/>
      </c>
      <c r="G852" s="74" t="str">
        <f t="shared" si="337"/>
        <v/>
      </c>
      <c r="H852" s="78" t="str">
        <f>IFERROR(C852/SUM(M$2:M851),"")</f>
        <v/>
      </c>
      <c r="I852" s="61" t="str">
        <f>IFERROR(D852/SUM(N$2:N852),"")</f>
        <v/>
      </c>
      <c r="J852" s="61" t="str">
        <f>IFERROR(E852/SUM(O$2:O852),"")</f>
        <v/>
      </c>
      <c r="K852" s="61" t="str">
        <f>IFERROR(F852/SUM(P$2:P852),"")</f>
        <v/>
      </c>
      <c r="L852" s="79" t="str">
        <f>IFERROR(G852/SUM(Q$2:Q852),"")</f>
        <v/>
      </c>
      <c r="M852" s="64" t="str">
        <f t="shared" si="338"/>
        <v/>
      </c>
      <c r="N852" s="55" t="str">
        <f t="shared" si="339"/>
        <v/>
      </c>
      <c r="O852" s="55" t="str">
        <f t="shared" si="340"/>
        <v/>
      </c>
      <c r="P852" s="55" t="str">
        <f t="shared" si="341"/>
        <v/>
      </c>
      <c r="Q852" s="65" t="str">
        <f t="shared" si="342"/>
        <v/>
      </c>
      <c r="R852" s="67" t="str">
        <f t="shared" si="344"/>
        <v/>
      </c>
      <c r="S852" s="56" t="str">
        <f t="shared" si="345"/>
        <v/>
      </c>
      <c r="T852" s="56" t="str">
        <f t="shared" si="346"/>
        <v/>
      </c>
      <c r="U852" s="56" t="str">
        <f t="shared" si="347"/>
        <v/>
      </c>
      <c r="V852" s="68" t="str">
        <f t="shared" si="348"/>
        <v/>
      </c>
      <c r="W852" s="80" t="str">
        <f t="shared" si="349"/>
        <v/>
      </c>
      <c r="X852" s="81" t="str">
        <f t="shared" si="350"/>
        <v/>
      </c>
      <c r="Y852" s="81" t="str">
        <f t="shared" si="351"/>
        <v/>
      </c>
      <c r="Z852" s="81" t="str">
        <f t="shared" si="352"/>
        <v/>
      </c>
      <c r="AA852" s="82" t="str">
        <f t="shared" si="353"/>
        <v/>
      </c>
      <c r="AB852" s="83" t="str">
        <f>IF(R852&lt;&gt;"",(W852-SUMPRODUCT(R$3:R852,$B$3:$B852)/SUM($B$3:$B852))/STDEVA(W842:W852),"")</f>
        <v/>
      </c>
      <c r="AC852" s="84" t="str">
        <f>IF(S852&lt;&gt;"",(X852-SUMPRODUCT(S$3:S852,$B$3:$B852)/SUM($B$3:$B852))/STDEVA(X842:X852),"")</f>
        <v/>
      </c>
      <c r="AD852" s="84" t="str">
        <f>IF(T852&lt;&gt;"",(Y852-SUMPRODUCT(T$3:T852,$B$3:$B852)/SUM($B$3:$B852))/STDEVA(Y842:Y852),"")</f>
        <v/>
      </c>
      <c r="AE852" s="84" t="str">
        <f>IF(U852&lt;&gt;"",(Z852-SUMPRODUCT(U$3:U852,$B$3:$B852)/SUM($B$3:$B852))/STDEVA(Z842:Z852),"")</f>
        <v/>
      </c>
      <c r="AF852" s="85" t="str">
        <f>IF(V852&lt;&gt;"",(AA852-SUMPRODUCT(V$3:V852,$B$3:$B852)/SUM($B$3:$B852))/STDEVA(AA842:AA852),"")</f>
        <v/>
      </c>
      <c r="AG852" s="90" t="str">
        <f t="shared" si="354"/>
        <v/>
      </c>
      <c r="AH852" s="90" t="str">
        <f t="shared" si="354"/>
        <v/>
      </c>
      <c r="AI852" s="90" t="str">
        <f t="shared" si="354"/>
        <v/>
      </c>
      <c r="AJ852" s="90" t="str">
        <f t="shared" si="354"/>
        <v/>
      </c>
      <c r="AK852" s="93" t="str">
        <f t="shared" si="355"/>
        <v/>
      </c>
      <c r="BQ852" s="100" t="str">
        <f>IF(A852&lt;&gt;"",(VLOOKUP(A852,MarketData!$D:$BP,MATCH($BQ$1,MarketData!$D$1:$EG$1,0),TRUE)/100/365+1)^(B852)*BQ851,"")</f>
        <v/>
      </c>
      <c r="BR852" s="98" t="str">
        <f t="shared" si="332"/>
        <v/>
      </c>
      <c r="BS852" s="106" t="str">
        <f>IF(A852&lt;&gt;"",VLOOKUP(A852,MarketData!$D:$BP,MATCH($BS$1,MarketData!$D$1:$EG$1,0),TRUE),"")</f>
        <v/>
      </c>
      <c r="BT852" s="98" t="str">
        <f t="shared" si="343"/>
        <v/>
      </c>
    </row>
    <row r="853" spans="2:72" x14ac:dyDescent="0.25">
      <c r="B853" s="60" t="str">
        <f t="shared" si="331"/>
        <v/>
      </c>
      <c r="C853" s="3" t="str">
        <f t="shared" si="333"/>
        <v/>
      </c>
      <c r="D853" s="3" t="str">
        <f t="shared" si="334"/>
        <v/>
      </c>
      <c r="E853" s="3" t="str">
        <f t="shared" si="335"/>
        <v/>
      </c>
      <c r="F853" s="3" t="str">
        <f t="shared" si="336"/>
        <v/>
      </c>
      <c r="G853" s="74" t="str">
        <f t="shared" si="337"/>
        <v/>
      </c>
      <c r="H853" s="78" t="str">
        <f>IFERROR(C853/SUM(M$2:M852),"")</f>
        <v/>
      </c>
      <c r="I853" s="61" t="str">
        <f>IFERROR(D853/SUM(N$2:N853),"")</f>
        <v/>
      </c>
      <c r="J853" s="61" t="str">
        <f>IFERROR(E853/SUM(O$2:O853),"")</f>
        <v/>
      </c>
      <c r="K853" s="61" t="str">
        <f>IFERROR(F853/SUM(P$2:P853),"")</f>
        <v/>
      </c>
      <c r="L853" s="79" t="str">
        <f>IFERROR(G853/SUM(Q$2:Q853),"")</f>
        <v/>
      </c>
      <c r="M853" s="64" t="str">
        <f t="shared" si="338"/>
        <v/>
      </c>
      <c r="N853" s="55" t="str">
        <f t="shared" si="339"/>
        <v/>
      </c>
      <c r="O853" s="55" t="str">
        <f t="shared" si="340"/>
        <v/>
      </c>
      <c r="P853" s="55" t="str">
        <f t="shared" si="341"/>
        <v/>
      </c>
      <c r="Q853" s="65" t="str">
        <f t="shared" si="342"/>
        <v/>
      </c>
      <c r="R853" s="67" t="str">
        <f t="shared" si="344"/>
        <v/>
      </c>
      <c r="S853" s="56" t="str">
        <f t="shared" si="345"/>
        <v/>
      </c>
      <c r="T853" s="56" t="str">
        <f t="shared" si="346"/>
        <v/>
      </c>
      <c r="U853" s="56" t="str">
        <f t="shared" si="347"/>
        <v/>
      </c>
      <c r="V853" s="68" t="str">
        <f t="shared" si="348"/>
        <v/>
      </c>
      <c r="W853" s="80" t="str">
        <f t="shared" si="349"/>
        <v/>
      </c>
      <c r="X853" s="81" t="str">
        <f t="shared" si="350"/>
        <v/>
      </c>
      <c r="Y853" s="81" t="str">
        <f t="shared" si="351"/>
        <v/>
      </c>
      <c r="Z853" s="81" t="str">
        <f t="shared" si="352"/>
        <v/>
      </c>
      <c r="AA853" s="82" t="str">
        <f t="shared" si="353"/>
        <v/>
      </c>
      <c r="AB853" s="83" t="str">
        <f>IF(R853&lt;&gt;"",(W853-SUMPRODUCT(R$3:R853,$B$3:$B853)/SUM($B$3:$B853))/STDEVA(W843:W853),"")</f>
        <v/>
      </c>
      <c r="AC853" s="84" t="str">
        <f>IF(S853&lt;&gt;"",(X853-SUMPRODUCT(S$3:S853,$B$3:$B853)/SUM($B$3:$B853))/STDEVA(X843:X853),"")</f>
        <v/>
      </c>
      <c r="AD853" s="84" t="str">
        <f>IF(T853&lt;&gt;"",(Y853-SUMPRODUCT(T$3:T853,$B$3:$B853)/SUM($B$3:$B853))/STDEVA(Y843:Y853),"")</f>
        <v/>
      </c>
      <c r="AE853" s="84" t="str">
        <f>IF(U853&lt;&gt;"",(Z853-SUMPRODUCT(U$3:U853,$B$3:$B853)/SUM($B$3:$B853))/STDEVA(Z843:Z853),"")</f>
        <v/>
      </c>
      <c r="AF853" s="85" t="str">
        <f>IF(V853&lt;&gt;"",(AA853-SUMPRODUCT(V$3:V853,$B$3:$B853)/SUM($B$3:$B853))/STDEVA(AA843:AA853),"")</f>
        <v/>
      </c>
      <c r="AG853" s="90" t="str">
        <f t="shared" si="354"/>
        <v/>
      </c>
      <c r="AH853" s="90" t="str">
        <f t="shared" si="354"/>
        <v/>
      </c>
      <c r="AI853" s="90" t="str">
        <f t="shared" si="354"/>
        <v/>
      </c>
      <c r="AJ853" s="90" t="str">
        <f t="shared" si="354"/>
        <v/>
      </c>
      <c r="AK853" s="93" t="str">
        <f t="shared" si="355"/>
        <v/>
      </c>
      <c r="BQ853" s="100" t="str">
        <f>IF(A853&lt;&gt;"",(VLOOKUP(A853,MarketData!$D:$BP,MATCH($BQ$1,MarketData!$D$1:$EG$1,0),TRUE)/100/365+1)^(B853)*BQ852,"")</f>
        <v/>
      </c>
      <c r="BR853" s="98" t="str">
        <f t="shared" si="332"/>
        <v/>
      </c>
      <c r="BS853" s="106" t="str">
        <f>IF(A853&lt;&gt;"",VLOOKUP(A853,MarketData!$D:$BP,MATCH($BS$1,MarketData!$D$1:$EG$1,0),TRUE),"")</f>
        <v/>
      </c>
      <c r="BT853" s="98" t="str">
        <f t="shared" si="343"/>
        <v/>
      </c>
    </row>
    <row r="854" spans="2:72" x14ac:dyDescent="0.25">
      <c r="B854" s="60" t="str">
        <f t="shared" si="331"/>
        <v/>
      </c>
      <c r="C854" s="3" t="str">
        <f t="shared" si="333"/>
        <v/>
      </c>
      <c r="D854" s="3" t="str">
        <f t="shared" si="334"/>
        <v/>
      </c>
      <c r="E854" s="3" t="str">
        <f t="shared" si="335"/>
        <v/>
      </c>
      <c r="F854" s="3" t="str">
        <f t="shared" si="336"/>
        <v/>
      </c>
      <c r="G854" s="74" t="str">
        <f t="shared" si="337"/>
        <v/>
      </c>
      <c r="H854" s="78" t="str">
        <f>IFERROR(C854/SUM(M$2:M853),"")</f>
        <v/>
      </c>
      <c r="I854" s="61" t="str">
        <f>IFERROR(D854/SUM(N$2:N854),"")</f>
        <v/>
      </c>
      <c r="J854" s="61" t="str">
        <f>IFERROR(E854/SUM(O$2:O854),"")</f>
        <v/>
      </c>
      <c r="K854" s="61" t="str">
        <f>IFERROR(F854/SUM(P$2:P854),"")</f>
        <v/>
      </c>
      <c r="L854" s="79" t="str">
        <f>IFERROR(G854/SUM(Q$2:Q854),"")</f>
        <v/>
      </c>
      <c r="M854" s="64" t="str">
        <f t="shared" si="338"/>
        <v/>
      </c>
      <c r="N854" s="55" t="str">
        <f t="shared" si="339"/>
        <v/>
      </c>
      <c r="O854" s="55" t="str">
        <f t="shared" si="340"/>
        <v/>
      </c>
      <c r="P854" s="55" t="str">
        <f t="shared" si="341"/>
        <v/>
      </c>
      <c r="Q854" s="65" t="str">
        <f t="shared" si="342"/>
        <v/>
      </c>
      <c r="R854" s="67" t="str">
        <f t="shared" si="344"/>
        <v/>
      </c>
      <c r="S854" s="56" t="str">
        <f t="shared" si="345"/>
        <v/>
      </c>
      <c r="T854" s="56" t="str">
        <f t="shared" si="346"/>
        <v/>
      </c>
      <c r="U854" s="56" t="str">
        <f t="shared" si="347"/>
        <v/>
      </c>
      <c r="V854" s="68" t="str">
        <f t="shared" si="348"/>
        <v/>
      </c>
      <c r="W854" s="80" t="str">
        <f t="shared" si="349"/>
        <v/>
      </c>
      <c r="X854" s="81" t="str">
        <f t="shared" si="350"/>
        <v/>
      </c>
      <c r="Y854" s="81" t="str">
        <f t="shared" si="351"/>
        <v/>
      </c>
      <c r="Z854" s="81" t="str">
        <f t="shared" si="352"/>
        <v/>
      </c>
      <c r="AA854" s="82" t="str">
        <f t="shared" si="353"/>
        <v/>
      </c>
      <c r="AB854" s="83" t="str">
        <f>IF(R854&lt;&gt;"",(W854-SUMPRODUCT(R$3:R854,$B$3:$B854)/SUM($B$3:$B854))/STDEVA(W844:W854),"")</f>
        <v/>
      </c>
      <c r="AC854" s="84" t="str">
        <f>IF(S854&lt;&gt;"",(X854-SUMPRODUCT(S$3:S854,$B$3:$B854)/SUM($B$3:$B854))/STDEVA(X844:X854),"")</f>
        <v/>
      </c>
      <c r="AD854" s="84" t="str">
        <f>IF(T854&lt;&gt;"",(Y854-SUMPRODUCT(T$3:T854,$B$3:$B854)/SUM($B$3:$B854))/STDEVA(Y844:Y854),"")</f>
        <v/>
      </c>
      <c r="AE854" s="84" t="str">
        <f>IF(U854&lt;&gt;"",(Z854-SUMPRODUCT(U$3:U854,$B$3:$B854)/SUM($B$3:$B854))/STDEVA(Z844:Z854),"")</f>
        <v/>
      </c>
      <c r="AF854" s="85" t="str">
        <f>IF(V854&lt;&gt;"",(AA854-SUMPRODUCT(V$3:V854,$B$3:$B854)/SUM($B$3:$B854))/STDEVA(AA844:AA854),"")</f>
        <v/>
      </c>
      <c r="AG854" s="90" t="str">
        <f t="shared" si="354"/>
        <v/>
      </c>
      <c r="AH854" s="90" t="str">
        <f t="shared" si="354"/>
        <v/>
      </c>
      <c r="AI854" s="90" t="str">
        <f t="shared" si="354"/>
        <v/>
      </c>
      <c r="AJ854" s="90" t="str">
        <f t="shared" si="354"/>
        <v/>
      </c>
      <c r="AK854" s="93" t="str">
        <f t="shared" si="355"/>
        <v/>
      </c>
      <c r="BQ854" s="100" t="str">
        <f>IF(A854&lt;&gt;"",(VLOOKUP(A854,MarketData!$D:$BP,MATCH($BQ$1,MarketData!$D$1:$EG$1,0),TRUE)/100/365+1)^(B854)*BQ853,"")</f>
        <v/>
      </c>
      <c r="BR854" s="98" t="str">
        <f t="shared" si="332"/>
        <v/>
      </c>
      <c r="BS854" s="106" t="str">
        <f>IF(A854&lt;&gt;"",VLOOKUP(A854,MarketData!$D:$BP,MATCH($BS$1,MarketData!$D$1:$EG$1,0),TRUE),"")</f>
        <v/>
      </c>
      <c r="BT854" s="98" t="str">
        <f t="shared" si="343"/>
        <v/>
      </c>
    </row>
    <row r="855" spans="2:72" x14ac:dyDescent="0.25">
      <c r="B855" s="60" t="str">
        <f t="shared" si="331"/>
        <v/>
      </c>
      <c r="C855" s="3" t="str">
        <f t="shared" si="333"/>
        <v/>
      </c>
      <c r="D855" s="3" t="str">
        <f t="shared" si="334"/>
        <v/>
      </c>
      <c r="E855" s="3" t="str">
        <f t="shared" si="335"/>
        <v/>
      </c>
      <c r="F855" s="3" t="str">
        <f t="shared" si="336"/>
        <v/>
      </c>
      <c r="G855" s="74" t="str">
        <f t="shared" si="337"/>
        <v/>
      </c>
      <c r="H855" s="78" t="str">
        <f>IFERROR(C855/SUM(M$2:M854),"")</f>
        <v/>
      </c>
      <c r="I855" s="61" t="str">
        <f>IFERROR(D855/SUM(N$2:N855),"")</f>
        <v/>
      </c>
      <c r="J855" s="61" t="str">
        <f>IFERROR(E855/SUM(O$2:O855),"")</f>
        <v/>
      </c>
      <c r="K855" s="61" t="str">
        <f>IFERROR(F855/SUM(P$2:P855),"")</f>
        <v/>
      </c>
      <c r="L855" s="79" t="str">
        <f>IFERROR(G855/SUM(Q$2:Q855),"")</f>
        <v/>
      </c>
      <c r="M855" s="64" t="str">
        <f t="shared" si="338"/>
        <v/>
      </c>
      <c r="N855" s="55" t="str">
        <f t="shared" si="339"/>
        <v/>
      </c>
      <c r="O855" s="55" t="str">
        <f t="shared" si="340"/>
        <v/>
      </c>
      <c r="P855" s="55" t="str">
        <f t="shared" si="341"/>
        <v/>
      </c>
      <c r="Q855" s="65" t="str">
        <f t="shared" si="342"/>
        <v/>
      </c>
      <c r="R855" s="67" t="str">
        <f t="shared" si="344"/>
        <v/>
      </c>
      <c r="S855" s="56" t="str">
        <f t="shared" si="345"/>
        <v/>
      </c>
      <c r="T855" s="56" t="str">
        <f t="shared" si="346"/>
        <v/>
      </c>
      <c r="U855" s="56" t="str">
        <f t="shared" si="347"/>
        <v/>
      </c>
      <c r="V855" s="68" t="str">
        <f t="shared" si="348"/>
        <v/>
      </c>
      <c r="W855" s="80" t="str">
        <f t="shared" si="349"/>
        <v/>
      </c>
      <c r="X855" s="81" t="str">
        <f t="shared" si="350"/>
        <v/>
      </c>
      <c r="Y855" s="81" t="str">
        <f t="shared" si="351"/>
        <v/>
      </c>
      <c r="Z855" s="81" t="str">
        <f t="shared" si="352"/>
        <v/>
      </c>
      <c r="AA855" s="82" t="str">
        <f t="shared" si="353"/>
        <v/>
      </c>
      <c r="AB855" s="83" t="str">
        <f>IF(R855&lt;&gt;"",(W855-SUMPRODUCT(R$3:R855,$B$3:$B855)/SUM($B$3:$B855))/STDEVA(W845:W855),"")</f>
        <v/>
      </c>
      <c r="AC855" s="84" t="str">
        <f>IF(S855&lt;&gt;"",(X855-SUMPRODUCT(S$3:S855,$B$3:$B855)/SUM($B$3:$B855))/STDEVA(X845:X855),"")</f>
        <v/>
      </c>
      <c r="AD855" s="84" t="str">
        <f>IF(T855&lt;&gt;"",(Y855-SUMPRODUCT(T$3:T855,$B$3:$B855)/SUM($B$3:$B855))/STDEVA(Y845:Y855),"")</f>
        <v/>
      </c>
      <c r="AE855" s="84" t="str">
        <f>IF(U855&lt;&gt;"",(Z855-SUMPRODUCT(U$3:U855,$B$3:$B855)/SUM($B$3:$B855))/STDEVA(Z845:Z855),"")</f>
        <v/>
      </c>
      <c r="AF855" s="85" t="str">
        <f>IF(V855&lt;&gt;"",(AA855-SUMPRODUCT(V$3:V855,$B$3:$B855)/SUM($B$3:$B855))/STDEVA(AA845:AA855),"")</f>
        <v/>
      </c>
      <c r="AG855" s="90" t="str">
        <f t="shared" si="354"/>
        <v/>
      </c>
      <c r="AH855" s="90" t="str">
        <f t="shared" si="354"/>
        <v/>
      </c>
      <c r="AI855" s="90" t="str">
        <f t="shared" si="354"/>
        <v/>
      </c>
      <c r="AJ855" s="90" t="str">
        <f t="shared" si="354"/>
        <v/>
      </c>
      <c r="AK855" s="93" t="str">
        <f t="shared" si="355"/>
        <v/>
      </c>
      <c r="BQ855" s="100" t="str">
        <f>IF(A855&lt;&gt;"",(VLOOKUP(A855,MarketData!$D:$BP,MATCH($BQ$1,MarketData!$D$1:$EG$1,0),TRUE)/100/365+1)^(B855)*BQ854,"")</f>
        <v/>
      </c>
      <c r="BR855" s="98" t="str">
        <f t="shared" si="332"/>
        <v/>
      </c>
      <c r="BS855" s="106" t="str">
        <f>IF(A855&lt;&gt;"",VLOOKUP(A855,MarketData!$D:$BP,MATCH($BS$1,MarketData!$D$1:$EG$1,0),TRUE),"")</f>
        <v/>
      </c>
      <c r="BT855" s="98" t="str">
        <f t="shared" si="343"/>
        <v/>
      </c>
    </row>
    <row r="856" spans="2:72" x14ac:dyDescent="0.25">
      <c r="B856" s="60" t="str">
        <f t="shared" si="331"/>
        <v/>
      </c>
      <c r="C856" s="3" t="str">
        <f t="shared" si="333"/>
        <v/>
      </c>
      <c r="D856" s="3" t="str">
        <f t="shared" si="334"/>
        <v/>
      </c>
      <c r="E856" s="3" t="str">
        <f t="shared" si="335"/>
        <v/>
      </c>
      <c r="F856" s="3" t="str">
        <f t="shared" si="336"/>
        <v/>
      </c>
      <c r="G856" s="74" t="str">
        <f t="shared" si="337"/>
        <v/>
      </c>
      <c r="H856" s="78" t="str">
        <f>IFERROR(C856/SUM(M$2:M855),"")</f>
        <v/>
      </c>
      <c r="I856" s="61" t="str">
        <f>IFERROR(D856/SUM(N$2:N856),"")</f>
        <v/>
      </c>
      <c r="J856" s="61" t="str">
        <f>IFERROR(E856/SUM(O$2:O856),"")</f>
        <v/>
      </c>
      <c r="K856" s="61" t="str">
        <f>IFERROR(F856/SUM(P$2:P856),"")</f>
        <v/>
      </c>
      <c r="L856" s="79" t="str">
        <f>IFERROR(G856/SUM(Q$2:Q856),"")</f>
        <v/>
      </c>
      <c r="M856" s="64" t="str">
        <f t="shared" si="338"/>
        <v/>
      </c>
      <c r="N856" s="55" t="str">
        <f t="shared" si="339"/>
        <v/>
      </c>
      <c r="O856" s="55" t="str">
        <f t="shared" si="340"/>
        <v/>
      </c>
      <c r="P856" s="55" t="str">
        <f t="shared" si="341"/>
        <v/>
      </c>
      <c r="Q856" s="65" t="str">
        <f t="shared" si="342"/>
        <v/>
      </c>
      <c r="R856" s="67" t="str">
        <f t="shared" si="344"/>
        <v/>
      </c>
      <c r="S856" s="56" t="str">
        <f t="shared" si="345"/>
        <v/>
      </c>
      <c r="T856" s="56" t="str">
        <f t="shared" si="346"/>
        <v/>
      </c>
      <c r="U856" s="56" t="str">
        <f t="shared" si="347"/>
        <v/>
      </c>
      <c r="V856" s="68" t="str">
        <f t="shared" si="348"/>
        <v/>
      </c>
      <c r="W856" s="80" t="str">
        <f t="shared" si="349"/>
        <v/>
      </c>
      <c r="X856" s="81" t="str">
        <f t="shared" si="350"/>
        <v/>
      </c>
      <c r="Y856" s="81" t="str">
        <f t="shared" si="351"/>
        <v/>
      </c>
      <c r="Z856" s="81" t="str">
        <f t="shared" si="352"/>
        <v/>
      </c>
      <c r="AA856" s="82" t="str">
        <f t="shared" si="353"/>
        <v/>
      </c>
      <c r="AB856" s="83" t="str">
        <f>IF(R856&lt;&gt;"",(W856-SUMPRODUCT(R$3:R856,$B$3:$B856)/SUM($B$3:$B856))/STDEVA(W846:W856),"")</f>
        <v/>
      </c>
      <c r="AC856" s="84" t="str">
        <f>IF(S856&lt;&gt;"",(X856-SUMPRODUCT(S$3:S856,$B$3:$B856)/SUM($B$3:$B856))/STDEVA(X846:X856),"")</f>
        <v/>
      </c>
      <c r="AD856" s="84" t="str">
        <f>IF(T856&lt;&gt;"",(Y856-SUMPRODUCT(T$3:T856,$B$3:$B856)/SUM($B$3:$B856))/STDEVA(Y846:Y856),"")</f>
        <v/>
      </c>
      <c r="AE856" s="84" t="str">
        <f>IF(U856&lt;&gt;"",(Z856-SUMPRODUCT(U$3:U856,$B$3:$B856)/SUM($B$3:$B856))/STDEVA(Z846:Z856),"")</f>
        <v/>
      </c>
      <c r="AF856" s="85" t="str">
        <f>IF(V856&lt;&gt;"",(AA856-SUMPRODUCT(V$3:V856,$B$3:$B856)/SUM($B$3:$B856))/STDEVA(AA846:AA856),"")</f>
        <v/>
      </c>
      <c r="AG856" s="90" t="str">
        <f t="shared" si="354"/>
        <v/>
      </c>
      <c r="AH856" s="90" t="str">
        <f t="shared" si="354"/>
        <v/>
      </c>
      <c r="AI856" s="90" t="str">
        <f t="shared" si="354"/>
        <v/>
      </c>
      <c r="AJ856" s="90" t="str">
        <f t="shared" si="354"/>
        <v/>
      </c>
      <c r="AK856" s="93" t="str">
        <f t="shared" si="355"/>
        <v/>
      </c>
      <c r="BQ856" s="100" t="str">
        <f>IF(A856&lt;&gt;"",(VLOOKUP(A856,MarketData!$D:$BP,MATCH($BQ$1,MarketData!$D$1:$EG$1,0),TRUE)/100/365+1)^(B856)*BQ855,"")</f>
        <v/>
      </c>
      <c r="BR856" s="98" t="str">
        <f t="shared" si="332"/>
        <v/>
      </c>
      <c r="BS856" s="106" t="str">
        <f>IF(A856&lt;&gt;"",VLOOKUP(A856,MarketData!$D:$BP,MATCH($BS$1,MarketData!$D$1:$EG$1,0),TRUE),"")</f>
        <v/>
      </c>
      <c r="BT856" s="98" t="str">
        <f t="shared" si="343"/>
        <v/>
      </c>
    </row>
    <row r="857" spans="2:72" x14ac:dyDescent="0.25">
      <c r="B857" s="60" t="str">
        <f t="shared" si="331"/>
        <v/>
      </c>
      <c r="C857" s="3" t="str">
        <f t="shared" si="333"/>
        <v/>
      </c>
      <c r="D857" s="3" t="str">
        <f t="shared" si="334"/>
        <v/>
      </c>
      <c r="E857" s="3" t="str">
        <f t="shared" si="335"/>
        <v/>
      </c>
      <c r="F857" s="3" t="str">
        <f t="shared" si="336"/>
        <v/>
      </c>
      <c r="G857" s="74" t="str">
        <f t="shared" si="337"/>
        <v/>
      </c>
      <c r="H857" s="78" t="str">
        <f>IFERROR(C857/SUM(M$2:M856),"")</f>
        <v/>
      </c>
      <c r="I857" s="61" t="str">
        <f>IFERROR(D857/SUM(N$2:N857),"")</f>
        <v/>
      </c>
      <c r="J857" s="61" t="str">
        <f>IFERROR(E857/SUM(O$2:O857),"")</f>
        <v/>
      </c>
      <c r="K857" s="61" t="str">
        <f>IFERROR(F857/SUM(P$2:P857),"")</f>
        <v/>
      </c>
      <c r="L857" s="79" t="str">
        <f>IFERROR(G857/SUM(Q$2:Q857),"")</f>
        <v/>
      </c>
      <c r="M857" s="64" t="str">
        <f t="shared" si="338"/>
        <v/>
      </c>
      <c r="N857" s="55" t="str">
        <f t="shared" si="339"/>
        <v/>
      </c>
      <c r="O857" s="55" t="str">
        <f t="shared" si="340"/>
        <v/>
      </c>
      <c r="P857" s="55" t="str">
        <f t="shared" si="341"/>
        <v/>
      </c>
      <c r="Q857" s="65" t="str">
        <f t="shared" si="342"/>
        <v/>
      </c>
      <c r="R857" s="67" t="str">
        <f t="shared" si="344"/>
        <v/>
      </c>
      <c r="S857" s="56" t="str">
        <f t="shared" si="345"/>
        <v/>
      </c>
      <c r="T857" s="56" t="str">
        <f t="shared" si="346"/>
        <v/>
      </c>
      <c r="U857" s="56" t="str">
        <f t="shared" si="347"/>
        <v/>
      </c>
      <c r="V857" s="68" t="str">
        <f t="shared" si="348"/>
        <v/>
      </c>
      <c r="W857" s="80" t="str">
        <f t="shared" si="349"/>
        <v/>
      </c>
      <c r="X857" s="81" t="str">
        <f t="shared" si="350"/>
        <v/>
      </c>
      <c r="Y857" s="81" t="str">
        <f t="shared" si="351"/>
        <v/>
      </c>
      <c r="Z857" s="81" t="str">
        <f t="shared" si="352"/>
        <v/>
      </c>
      <c r="AA857" s="82" t="str">
        <f t="shared" si="353"/>
        <v/>
      </c>
      <c r="AB857" s="83" t="str">
        <f>IF(R857&lt;&gt;"",(W857-SUMPRODUCT(R$3:R857,$B$3:$B857)/SUM($B$3:$B857))/STDEVA(W847:W857),"")</f>
        <v/>
      </c>
      <c r="AC857" s="84" t="str">
        <f>IF(S857&lt;&gt;"",(X857-SUMPRODUCT(S$3:S857,$B$3:$B857)/SUM($B$3:$B857))/STDEVA(X847:X857),"")</f>
        <v/>
      </c>
      <c r="AD857" s="84" t="str">
        <f>IF(T857&lt;&gt;"",(Y857-SUMPRODUCT(T$3:T857,$B$3:$B857)/SUM($B$3:$B857))/STDEVA(Y847:Y857),"")</f>
        <v/>
      </c>
      <c r="AE857" s="84" t="str">
        <f>IF(U857&lt;&gt;"",(Z857-SUMPRODUCT(U$3:U857,$B$3:$B857)/SUM($B$3:$B857))/STDEVA(Z847:Z857),"")</f>
        <v/>
      </c>
      <c r="AF857" s="85" t="str">
        <f>IF(V857&lt;&gt;"",(AA857-SUMPRODUCT(V$3:V857,$B$3:$B857)/SUM($B$3:$B857))/STDEVA(AA847:AA857),"")</f>
        <v/>
      </c>
      <c r="AG857" s="90" t="str">
        <f t="shared" si="354"/>
        <v/>
      </c>
      <c r="AH857" s="90" t="str">
        <f t="shared" si="354"/>
        <v/>
      </c>
      <c r="AI857" s="90" t="str">
        <f t="shared" si="354"/>
        <v/>
      </c>
      <c r="AJ857" s="90" t="str">
        <f t="shared" si="354"/>
        <v/>
      </c>
      <c r="AK857" s="93" t="str">
        <f t="shared" si="355"/>
        <v/>
      </c>
      <c r="BQ857" s="100" t="str">
        <f>IF(A857&lt;&gt;"",(VLOOKUP(A857,MarketData!$D:$BP,MATCH($BQ$1,MarketData!$D$1:$EG$1,0),TRUE)/100/365+1)^(B857)*BQ856,"")</f>
        <v/>
      </c>
      <c r="BR857" s="98" t="str">
        <f t="shared" si="332"/>
        <v/>
      </c>
      <c r="BS857" s="106" t="str">
        <f>IF(A857&lt;&gt;"",VLOOKUP(A857,MarketData!$D:$BP,MATCH($BS$1,MarketData!$D$1:$EG$1,0),TRUE),"")</f>
        <v/>
      </c>
      <c r="BT857" s="98" t="str">
        <f t="shared" si="343"/>
        <v/>
      </c>
    </row>
    <row r="858" spans="2:72" x14ac:dyDescent="0.25">
      <c r="B858" s="60" t="str">
        <f t="shared" si="331"/>
        <v/>
      </c>
      <c r="C858" s="3" t="str">
        <f t="shared" si="333"/>
        <v/>
      </c>
      <c r="D858" s="3" t="str">
        <f t="shared" si="334"/>
        <v/>
      </c>
      <c r="E858" s="3" t="str">
        <f t="shared" si="335"/>
        <v/>
      </c>
      <c r="F858" s="3" t="str">
        <f t="shared" si="336"/>
        <v/>
      </c>
      <c r="G858" s="74" t="str">
        <f t="shared" si="337"/>
        <v/>
      </c>
      <c r="H858" s="78" t="str">
        <f>IFERROR(C858/SUM(M$2:M857),"")</f>
        <v/>
      </c>
      <c r="I858" s="61" t="str">
        <f>IFERROR(D858/SUM(N$2:N858),"")</f>
        <v/>
      </c>
      <c r="J858" s="61" t="str">
        <f>IFERROR(E858/SUM(O$2:O858),"")</f>
        <v/>
      </c>
      <c r="K858" s="61" t="str">
        <f>IFERROR(F858/SUM(P$2:P858),"")</f>
        <v/>
      </c>
      <c r="L858" s="79" t="str">
        <f>IFERROR(G858/SUM(Q$2:Q858),"")</f>
        <v/>
      </c>
      <c r="M858" s="64" t="str">
        <f t="shared" si="338"/>
        <v/>
      </c>
      <c r="N858" s="55" t="str">
        <f t="shared" si="339"/>
        <v/>
      </c>
      <c r="O858" s="55" t="str">
        <f t="shared" si="340"/>
        <v/>
      </c>
      <c r="P858" s="55" t="str">
        <f t="shared" si="341"/>
        <v/>
      </c>
      <c r="Q858" s="65" t="str">
        <f t="shared" si="342"/>
        <v/>
      </c>
      <c r="R858" s="67" t="str">
        <f t="shared" si="344"/>
        <v/>
      </c>
      <c r="S858" s="56" t="str">
        <f t="shared" si="345"/>
        <v/>
      </c>
      <c r="T858" s="56" t="str">
        <f t="shared" si="346"/>
        <v/>
      </c>
      <c r="U858" s="56" t="str">
        <f t="shared" si="347"/>
        <v/>
      </c>
      <c r="V858" s="68" t="str">
        <f t="shared" si="348"/>
        <v/>
      </c>
      <c r="W858" s="80" t="str">
        <f t="shared" si="349"/>
        <v/>
      </c>
      <c r="X858" s="81" t="str">
        <f t="shared" si="350"/>
        <v/>
      </c>
      <c r="Y858" s="81" t="str">
        <f t="shared" si="351"/>
        <v/>
      </c>
      <c r="Z858" s="81" t="str">
        <f t="shared" si="352"/>
        <v/>
      </c>
      <c r="AA858" s="82" t="str">
        <f t="shared" si="353"/>
        <v/>
      </c>
      <c r="AB858" s="83" t="str">
        <f>IF(R858&lt;&gt;"",(W858-SUMPRODUCT(R$3:R858,$B$3:$B858)/SUM($B$3:$B858))/STDEVA(W848:W858),"")</f>
        <v/>
      </c>
      <c r="AC858" s="84" t="str">
        <f>IF(S858&lt;&gt;"",(X858-SUMPRODUCT(S$3:S858,$B$3:$B858)/SUM($B$3:$B858))/STDEVA(X848:X858),"")</f>
        <v/>
      </c>
      <c r="AD858" s="84" t="str">
        <f>IF(T858&lt;&gt;"",(Y858-SUMPRODUCT(T$3:T858,$B$3:$B858)/SUM($B$3:$B858))/STDEVA(Y848:Y858),"")</f>
        <v/>
      </c>
      <c r="AE858" s="84" t="str">
        <f>IF(U858&lt;&gt;"",(Z858-SUMPRODUCT(U$3:U858,$B$3:$B858)/SUM($B$3:$B858))/STDEVA(Z848:Z858),"")</f>
        <v/>
      </c>
      <c r="AF858" s="85" t="str">
        <f>IF(V858&lt;&gt;"",(AA858-SUMPRODUCT(V$3:V858,$B$3:$B858)/SUM($B$3:$B858))/STDEVA(AA848:AA858),"")</f>
        <v/>
      </c>
      <c r="AG858" s="90" t="str">
        <f t="shared" si="354"/>
        <v/>
      </c>
      <c r="AH858" s="90" t="str">
        <f t="shared" si="354"/>
        <v/>
      </c>
      <c r="AI858" s="90" t="str">
        <f t="shared" si="354"/>
        <v/>
      </c>
      <c r="AJ858" s="90" t="str">
        <f t="shared" si="354"/>
        <v/>
      </c>
      <c r="AK858" s="93" t="str">
        <f t="shared" si="355"/>
        <v/>
      </c>
      <c r="BQ858" s="100" t="str">
        <f>IF(A858&lt;&gt;"",(VLOOKUP(A858,MarketData!$D:$BP,MATCH($BQ$1,MarketData!$D$1:$EG$1,0),TRUE)/100/365+1)^(B858)*BQ857,"")</f>
        <v/>
      </c>
      <c r="BR858" s="98" t="str">
        <f t="shared" si="332"/>
        <v/>
      </c>
      <c r="BS858" s="106" t="str">
        <f>IF(A858&lt;&gt;"",VLOOKUP(A858,MarketData!$D:$BP,MATCH($BS$1,MarketData!$D$1:$EG$1,0),TRUE),"")</f>
        <v/>
      </c>
      <c r="BT858" s="98" t="str">
        <f t="shared" si="343"/>
        <v/>
      </c>
    </row>
    <row r="859" spans="2:72" x14ac:dyDescent="0.25">
      <c r="B859" s="60" t="str">
        <f t="shared" ref="B859:B922" si="356">IF(A859&lt;&gt;0,A859-A858,"")</f>
        <v/>
      </c>
      <c r="C859" s="3" t="str">
        <f t="shared" si="333"/>
        <v/>
      </c>
      <c r="D859" s="3" t="str">
        <f t="shared" si="334"/>
        <v/>
      </c>
      <c r="E859" s="3" t="str">
        <f t="shared" si="335"/>
        <v/>
      </c>
      <c r="F859" s="3" t="str">
        <f t="shared" si="336"/>
        <v/>
      </c>
      <c r="G859" s="74" t="str">
        <f t="shared" si="337"/>
        <v/>
      </c>
      <c r="H859" s="78" t="str">
        <f>IFERROR(C859/SUM(M$2:M858),"")</f>
        <v/>
      </c>
      <c r="I859" s="61" t="str">
        <f>IFERROR(D859/SUM(N$2:N859),"")</f>
        <v/>
      </c>
      <c r="J859" s="61" t="str">
        <f>IFERROR(E859/SUM(O$2:O859),"")</f>
        <v/>
      </c>
      <c r="K859" s="61" t="str">
        <f>IFERROR(F859/SUM(P$2:P859),"")</f>
        <v/>
      </c>
      <c r="L859" s="79" t="str">
        <f>IFERROR(G859/SUM(Q$2:Q859),"")</f>
        <v/>
      </c>
      <c r="M859" s="64" t="str">
        <f t="shared" si="338"/>
        <v/>
      </c>
      <c r="N859" s="55" t="str">
        <f t="shared" si="339"/>
        <v/>
      </c>
      <c r="O859" s="55" t="str">
        <f t="shared" si="340"/>
        <v/>
      </c>
      <c r="P859" s="55" t="str">
        <f t="shared" si="341"/>
        <v/>
      </c>
      <c r="Q859" s="65" t="str">
        <f t="shared" si="342"/>
        <v/>
      </c>
      <c r="R859" s="67" t="str">
        <f t="shared" si="344"/>
        <v/>
      </c>
      <c r="S859" s="56" t="str">
        <f t="shared" si="345"/>
        <v/>
      </c>
      <c r="T859" s="56" t="str">
        <f t="shared" si="346"/>
        <v/>
      </c>
      <c r="U859" s="56" t="str">
        <f t="shared" si="347"/>
        <v/>
      </c>
      <c r="V859" s="68" t="str">
        <f t="shared" si="348"/>
        <v/>
      </c>
      <c r="W859" s="80" t="str">
        <f t="shared" si="349"/>
        <v/>
      </c>
      <c r="X859" s="81" t="str">
        <f t="shared" si="350"/>
        <v/>
      </c>
      <c r="Y859" s="81" t="str">
        <f t="shared" si="351"/>
        <v/>
      </c>
      <c r="Z859" s="81" t="str">
        <f t="shared" si="352"/>
        <v/>
      </c>
      <c r="AA859" s="82" t="str">
        <f t="shared" si="353"/>
        <v/>
      </c>
      <c r="AB859" s="83" t="str">
        <f>IF(R859&lt;&gt;"",(W859-SUMPRODUCT(R$3:R859,$B$3:$B859)/SUM($B$3:$B859))/STDEVA(W849:W859),"")</f>
        <v/>
      </c>
      <c r="AC859" s="84" t="str">
        <f>IF(S859&lt;&gt;"",(X859-SUMPRODUCT(S$3:S859,$B$3:$B859)/SUM($B$3:$B859))/STDEVA(X849:X859),"")</f>
        <v/>
      </c>
      <c r="AD859" s="84" t="str">
        <f>IF(T859&lt;&gt;"",(Y859-SUMPRODUCT(T$3:T859,$B$3:$B859)/SUM($B$3:$B859))/STDEVA(Y849:Y859),"")</f>
        <v/>
      </c>
      <c r="AE859" s="84" t="str">
        <f>IF(U859&lt;&gt;"",(Z859-SUMPRODUCT(U$3:U859,$B$3:$B859)/SUM($B$3:$B859))/STDEVA(Z849:Z859),"")</f>
        <v/>
      </c>
      <c r="AF859" s="85" t="str">
        <f>IF(V859&lt;&gt;"",(AA859-SUMPRODUCT(V$3:V859,$B$3:$B859)/SUM($B$3:$B859))/STDEVA(AA849:AA859),"")</f>
        <v/>
      </c>
      <c r="AG859" s="90" t="str">
        <f t="shared" si="354"/>
        <v/>
      </c>
      <c r="AH859" s="90" t="str">
        <f t="shared" si="354"/>
        <v/>
      </c>
      <c r="AI859" s="90" t="str">
        <f t="shared" si="354"/>
        <v/>
      </c>
      <c r="AJ859" s="90" t="str">
        <f t="shared" si="354"/>
        <v/>
      </c>
      <c r="AK859" s="93" t="str">
        <f t="shared" si="355"/>
        <v/>
      </c>
      <c r="BQ859" s="100" t="str">
        <f>IF(A859&lt;&gt;"",(VLOOKUP(A859,MarketData!$D:$BP,MATCH($BQ$1,MarketData!$D$1:$EG$1,0),TRUE)/100/365+1)^(B859)*BQ858,"")</f>
        <v/>
      </c>
      <c r="BR859" s="98" t="str">
        <f t="shared" si="332"/>
        <v/>
      </c>
      <c r="BS859" s="106" t="str">
        <f>IF(A859&lt;&gt;"",VLOOKUP(A859,MarketData!$D:$BP,MATCH($BS$1,MarketData!$D$1:$EG$1,0),TRUE),"")</f>
        <v/>
      </c>
      <c r="BT859" s="98" t="str">
        <f t="shared" si="343"/>
        <v/>
      </c>
    </row>
    <row r="860" spans="2:72" x14ac:dyDescent="0.25">
      <c r="B860" s="60" t="str">
        <f t="shared" si="356"/>
        <v/>
      </c>
      <c r="C860" s="3" t="str">
        <f t="shared" si="333"/>
        <v/>
      </c>
      <c r="D860" s="3" t="str">
        <f t="shared" si="334"/>
        <v/>
      </c>
      <c r="E860" s="3" t="str">
        <f t="shared" si="335"/>
        <v/>
      </c>
      <c r="F860" s="3" t="str">
        <f t="shared" si="336"/>
        <v/>
      </c>
      <c r="G860" s="74" t="str">
        <f t="shared" si="337"/>
        <v/>
      </c>
      <c r="H860" s="78" t="str">
        <f>IFERROR(C860/SUM(M$2:M859),"")</f>
        <v/>
      </c>
      <c r="I860" s="61" t="str">
        <f>IFERROR(D860/SUM(N$2:N860),"")</f>
        <v/>
      </c>
      <c r="J860" s="61" t="str">
        <f>IFERROR(E860/SUM(O$2:O860),"")</f>
        <v/>
      </c>
      <c r="K860" s="61" t="str">
        <f>IFERROR(F860/SUM(P$2:P860),"")</f>
        <v/>
      </c>
      <c r="L860" s="79" t="str">
        <f>IFERROR(G860/SUM(Q$2:Q860),"")</f>
        <v/>
      </c>
      <c r="M860" s="64" t="str">
        <f t="shared" si="338"/>
        <v/>
      </c>
      <c r="N860" s="55" t="str">
        <f t="shared" si="339"/>
        <v/>
      </c>
      <c r="O860" s="55" t="str">
        <f t="shared" si="340"/>
        <v/>
      </c>
      <c r="P860" s="55" t="str">
        <f t="shared" si="341"/>
        <v/>
      </c>
      <c r="Q860" s="65" t="str">
        <f t="shared" si="342"/>
        <v/>
      </c>
      <c r="R860" s="67" t="str">
        <f t="shared" si="344"/>
        <v/>
      </c>
      <c r="S860" s="56" t="str">
        <f t="shared" si="345"/>
        <v/>
      </c>
      <c r="T860" s="56" t="str">
        <f t="shared" si="346"/>
        <v/>
      </c>
      <c r="U860" s="56" t="str">
        <f t="shared" si="347"/>
        <v/>
      </c>
      <c r="V860" s="68" t="str">
        <f t="shared" si="348"/>
        <v/>
      </c>
      <c r="W860" s="80" t="str">
        <f t="shared" si="349"/>
        <v/>
      </c>
      <c r="X860" s="81" t="str">
        <f t="shared" si="350"/>
        <v/>
      </c>
      <c r="Y860" s="81" t="str">
        <f t="shared" si="351"/>
        <v/>
      </c>
      <c r="Z860" s="81" t="str">
        <f t="shared" si="352"/>
        <v/>
      </c>
      <c r="AA860" s="82" t="str">
        <f t="shared" si="353"/>
        <v/>
      </c>
      <c r="AB860" s="83" t="str">
        <f>IF(R860&lt;&gt;"",(W860-SUMPRODUCT(R$3:R860,$B$3:$B860)/SUM($B$3:$B860))/STDEVA(W850:W860),"")</f>
        <v/>
      </c>
      <c r="AC860" s="84" t="str">
        <f>IF(S860&lt;&gt;"",(X860-SUMPRODUCT(S$3:S860,$B$3:$B860)/SUM($B$3:$B860))/STDEVA(X850:X860),"")</f>
        <v/>
      </c>
      <c r="AD860" s="84" t="str">
        <f>IF(T860&lt;&gt;"",(Y860-SUMPRODUCT(T$3:T860,$B$3:$B860)/SUM($B$3:$B860))/STDEVA(Y850:Y860),"")</f>
        <v/>
      </c>
      <c r="AE860" s="84" t="str">
        <f>IF(U860&lt;&gt;"",(Z860-SUMPRODUCT(U$3:U860,$B$3:$B860)/SUM($B$3:$B860))/STDEVA(Z850:Z860),"")</f>
        <v/>
      </c>
      <c r="AF860" s="85" t="str">
        <f>IF(V860&lt;&gt;"",(AA860-SUMPRODUCT(V$3:V860,$B$3:$B860)/SUM($B$3:$B860))/STDEVA(AA850:AA860),"")</f>
        <v/>
      </c>
      <c r="AG860" s="90" t="str">
        <f t="shared" si="354"/>
        <v/>
      </c>
      <c r="AH860" s="90" t="str">
        <f t="shared" si="354"/>
        <v/>
      </c>
      <c r="AI860" s="90" t="str">
        <f t="shared" si="354"/>
        <v/>
      </c>
      <c r="AJ860" s="90" t="str">
        <f t="shared" si="354"/>
        <v/>
      </c>
      <c r="AK860" s="93" t="str">
        <f t="shared" si="355"/>
        <v/>
      </c>
      <c r="BQ860" s="100" t="str">
        <f>IF(A860&lt;&gt;"",(VLOOKUP(A860,MarketData!$D:$BP,MATCH($BQ$1,MarketData!$D$1:$EG$1,0),TRUE)/100/365+1)^(B860)*BQ859,"")</f>
        <v/>
      </c>
      <c r="BR860" s="98" t="str">
        <f t="shared" si="332"/>
        <v/>
      </c>
      <c r="BS860" s="106" t="str">
        <f>IF(A860&lt;&gt;"",VLOOKUP(A860,MarketData!$D:$BP,MATCH($BS$1,MarketData!$D$1:$EG$1,0),TRUE),"")</f>
        <v/>
      </c>
      <c r="BT860" s="98" t="str">
        <f t="shared" si="343"/>
        <v/>
      </c>
    </row>
    <row r="861" spans="2:72" x14ac:dyDescent="0.25">
      <c r="B861" s="60" t="str">
        <f t="shared" si="356"/>
        <v/>
      </c>
      <c r="C861" s="3" t="str">
        <f t="shared" si="333"/>
        <v/>
      </c>
      <c r="D861" s="3" t="str">
        <f t="shared" si="334"/>
        <v/>
      </c>
      <c r="E861" s="3" t="str">
        <f t="shared" si="335"/>
        <v/>
      </c>
      <c r="F861" s="3" t="str">
        <f t="shared" si="336"/>
        <v/>
      </c>
      <c r="G861" s="74" t="str">
        <f t="shared" si="337"/>
        <v/>
      </c>
      <c r="H861" s="78" t="str">
        <f>IFERROR(C861/SUM(M$2:M860),"")</f>
        <v/>
      </c>
      <c r="I861" s="61" t="str">
        <f>IFERROR(D861/SUM(N$2:N861),"")</f>
        <v/>
      </c>
      <c r="J861" s="61" t="str">
        <f>IFERROR(E861/SUM(O$2:O861),"")</f>
        <v/>
      </c>
      <c r="K861" s="61" t="str">
        <f>IFERROR(F861/SUM(P$2:P861),"")</f>
        <v/>
      </c>
      <c r="L861" s="79" t="str">
        <f>IFERROR(G861/SUM(Q$2:Q861),"")</f>
        <v/>
      </c>
      <c r="M861" s="64" t="str">
        <f t="shared" si="338"/>
        <v/>
      </c>
      <c r="N861" s="55" t="str">
        <f t="shared" si="339"/>
        <v/>
      </c>
      <c r="O861" s="55" t="str">
        <f t="shared" si="340"/>
        <v/>
      </c>
      <c r="P861" s="55" t="str">
        <f t="shared" si="341"/>
        <v/>
      </c>
      <c r="Q861" s="65" t="str">
        <f t="shared" si="342"/>
        <v/>
      </c>
      <c r="R861" s="67" t="str">
        <f t="shared" si="344"/>
        <v/>
      </c>
      <c r="S861" s="56" t="str">
        <f t="shared" si="345"/>
        <v/>
      </c>
      <c r="T861" s="56" t="str">
        <f t="shared" si="346"/>
        <v/>
      </c>
      <c r="U861" s="56" t="str">
        <f t="shared" si="347"/>
        <v/>
      </c>
      <c r="V861" s="68" t="str">
        <f t="shared" si="348"/>
        <v/>
      </c>
      <c r="W861" s="80" t="str">
        <f t="shared" si="349"/>
        <v/>
      </c>
      <c r="X861" s="81" t="str">
        <f t="shared" si="350"/>
        <v/>
      </c>
      <c r="Y861" s="81" t="str">
        <f t="shared" si="351"/>
        <v/>
      </c>
      <c r="Z861" s="81" t="str">
        <f t="shared" si="352"/>
        <v/>
      </c>
      <c r="AA861" s="82" t="str">
        <f t="shared" si="353"/>
        <v/>
      </c>
      <c r="AB861" s="83" t="str">
        <f>IF(R861&lt;&gt;"",(W861-SUMPRODUCT(R$3:R861,$B$3:$B861)/SUM($B$3:$B861))/STDEVA(W851:W861),"")</f>
        <v/>
      </c>
      <c r="AC861" s="84" t="str">
        <f>IF(S861&lt;&gt;"",(X861-SUMPRODUCT(S$3:S861,$B$3:$B861)/SUM($B$3:$B861))/STDEVA(X851:X861),"")</f>
        <v/>
      </c>
      <c r="AD861" s="84" t="str">
        <f>IF(T861&lt;&gt;"",(Y861-SUMPRODUCT(T$3:T861,$B$3:$B861)/SUM($B$3:$B861))/STDEVA(Y851:Y861),"")</f>
        <v/>
      </c>
      <c r="AE861" s="84" t="str">
        <f>IF(U861&lt;&gt;"",(Z861-SUMPRODUCT(U$3:U861,$B$3:$B861)/SUM($B$3:$B861))/STDEVA(Z851:Z861),"")</f>
        <v/>
      </c>
      <c r="AF861" s="85" t="str">
        <f>IF(V861&lt;&gt;"",(AA861-SUMPRODUCT(V$3:V861,$B$3:$B861)/SUM($B$3:$B861))/STDEVA(AA851:AA861),"")</f>
        <v/>
      </c>
      <c r="AG861" s="90" t="str">
        <f t="shared" si="354"/>
        <v/>
      </c>
      <c r="AH861" s="90" t="str">
        <f t="shared" si="354"/>
        <v/>
      </c>
      <c r="AI861" s="90" t="str">
        <f t="shared" si="354"/>
        <v/>
      </c>
      <c r="AJ861" s="90" t="str">
        <f t="shared" si="354"/>
        <v/>
      </c>
      <c r="AK861" s="93" t="str">
        <f t="shared" si="355"/>
        <v/>
      </c>
      <c r="BQ861" s="100" t="str">
        <f>IF(A861&lt;&gt;"",(VLOOKUP(A861,MarketData!$D:$BP,MATCH($BQ$1,MarketData!$D$1:$EG$1,0),TRUE)/100/365+1)^(B861)*BQ860,"")</f>
        <v/>
      </c>
      <c r="BR861" s="98" t="str">
        <f t="shared" si="332"/>
        <v/>
      </c>
      <c r="BS861" s="106" t="str">
        <f>IF(A861&lt;&gt;"",VLOOKUP(A861,MarketData!$D:$BP,MATCH($BS$1,MarketData!$D$1:$EG$1,0),TRUE),"")</f>
        <v/>
      </c>
      <c r="BT861" s="98" t="str">
        <f t="shared" si="343"/>
        <v/>
      </c>
    </row>
    <row r="862" spans="2:72" x14ac:dyDescent="0.25">
      <c r="B862" s="60" t="str">
        <f t="shared" si="356"/>
        <v/>
      </c>
      <c r="C862" s="3" t="str">
        <f t="shared" si="333"/>
        <v/>
      </c>
      <c r="D862" s="3" t="str">
        <f t="shared" si="334"/>
        <v/>
      </c>
      <c r="E862" s="3" t="str">
        <f t="shared" si="335"/>
        <v/>
      </c>
      <c r="F862" s="3" t="str">
        <f t="shared" si="336"/>
        <v/>
      </c>
      <c r="G862" s="74" t="str">
        <f t="shared" si="337"/>
        <v/>
      </c>
      <c r="H862" s="78" t="str">
        <f>IFERROR(C862/SUM(M$2:M861),"")</f>
        <v/>
      </c>
      <c r="I862" s="61" t="str">
        <f>IFERROR(D862/SUM(N$2:N862),"")</f>
        <v/>
      </c>
      <c r="J862" s="61" t="str">
        <f>IFERROR(E862/SUM(O$2:O862),"")</f>
        <v/>
      </c>
      <c r="K862" s="61" t="str">
        <f>IFERROR(F862/SUM(P$2:P862),"")</f>
        <v/>
      </c>
      <c r="L862" s="79" t="str">
        <f>IFERROR(G862/SUM(Q$2:Q862),"")</f>
        <v/>
      </c>
      <c r="M862" s="64" t="str">
        <f t="shared" si="338"/>
        <v/>
      </c>
      <c r="N862" s="55" t="str">
        <f t="shared" si="339"/>
        <v/>
      </c>
      <c r="O862" s="55" t="str">
        <f t="shared" si="340"/>
        <v/>
      </c>
      <c r="P862" s="55" t="str">
        <f t="shared" si="341"/>
        <v/>
      </c>
      <c r="Q862" s="65" t="str">
        <f t="shared" si="342"/>
        <v/>
      </c>
      <c r="R862" s="67" t="str">
        <f t="shared" si="344"/>
        <v/>
      </c>
      <c r="S862" s="56" t="str">
        <f t="shared" si="345"/>
        <v/>
      </c>
      <c r="T862" s="56" t="str">
        <f t="shared" si="346"/>
        <v/>
      </c>
      <c r="U862" s="56" t="str">
        <f t="shared" si="347"/>
        <v/>
      </c>
      <c r="V862" s="68" t="str">
        <f t="shared" si="348"/>
        <v/>
      </c>
      <c r="W862" s="80" t="str">
        <f t="shared" si="349"/>
        <v/>
      </c>
      <c r="X862" s="81" t="str">
        <f t="shared" si="350"/>
        <v/>
      </c>
      <c r="Y862" s="81" t="str">
        <f t="shared" si="351"/>
        <v/>
      </c>
      <c r="Z862" s="81" t="str">
        <f t="shared" si="352"/>
        <v/>
      </c>
      <c r="AA862" s="82" t="str">
        <f t="shared" si="353"/>
        <v/>
      </c>
      <c r="AB862" s="83" t="str">
        <f>IF(R862&lt;&gt;"",(W862-SUMPRODUCT(R$3:R862,$B$3:$B862)/SUM($B$3:$B862))/STDEVA(W852:W862),"")</f>
        <v/>
      </c>
      <c r="AC862" s="84" t="str">
        <f>IF(S862&lt;&gt;"",(X862-SUMPRODUCT(S$3:S862,$B$3:$B862)/SUM($B$3:$B862))/STDEVA(X852:X862),"")</f>
        <v/>
      </c>
      <c r="AD862" s="84" t="str">
        <f>IF(T862&lt;&gt;"",(Y862-SUMPRODUCT(T$3:T862,$B$3:$B862)/SUM($B$3:$B862))/STDEVA(Y852:Y862),"")</f>
        <v/>
      </c>
      <c r="AE862" s="84" t="str">
        <f>IF(U862&lt;&gt;"",(Z862-SUMPRODUCT(U$3:U862,$B$3:$B862)/SUM($B$3:$B862))/STDEVA(Z852:Z862),"")</f>
        <v/>
      </c>
      <c r="AF862" s="85" t="str">
        <f>IF(V862&lt;&gt;"",(AA862-SUMPRODUCT(V$3:V862,$B$3:$B862)/SUM($B$3:$B862))/STDEVA(AA852:AA862),"")</f>
        <v/>
      </c>
      <c r="AG862" s="90" t="str">
        <f t="shared" si="354"/>
        <v/>
      </c>
      <c r="AH862" s="90" t="str">
        <f t="shared" si="354"/>
        <v/>
      </c>
      <c r="AI862" s="90" t="str">
        <f t="shared" si="354"/>
        <v/>
      </c>
      <c r="AJ862" s="90" t="str">
        <f t="shared" si="354"/>
        <v/>
      </c>
      <c r="AK862" s="93" t="str">
        <f t="shared" si="355"/>
        <v/>
      </c>
      <c r="BQ862" s="100" t="str">
        <f>IF(A862&lt;&gt;"",(VLOOKUP(A862,MarketData!$D:$BP,MATCH($BQ$1,MarketData!$D$1:$EG$1,0),TRUE)/100/365+1)^(B862)*BQ861,"")</f>
        <v/>
      </c>
      <c r="BR862" s="98" t="str">
        <f t="shared" si="332"/>
        <v/>
      </c>
      <c r="BS862" s="106" t="str">
        <f>IF(A862&lt;&gt;"",VLOOKUP(A862,MarketData!$D:$BP,MATCH($BS$1,MarketData!$D$1:$EG$1,0),TRUE),"")</f>
        <v/>
      </c>
      <c r="BT862" s="98" t="str">
        <f t="shared" si="343"/>
        <v/>
      </c>
    </row>
    <row r="863" spans="2:72" x14ac:dyDescent="0.25">
      <c r="B863" s="60" t="str">
        <f t="shared" si="356"/>
        <v/>
      </c>
      <c r="C863" s="3" t="str">
        <f t="shared" si="333"/>
        <v/>
      </c>
      <c r="D863" s="3" t="str">
        <f t="shared" si="334"/>
        <v/>
      </c>
      <c r="E863" s="3" t="str">
        <f t="shared" si="335"/>
        <v/>
      </c>
      <c r="F863" s="3" t="str">
        <f t="shared" si="336"/>
        <v/>
      </c>
      <c r="G863" s="74" t="str">
        <f t="shared" si="337"/>
        <v/>
      </c>
      <c r="H863" s="78" t="str">
        <f>IFERROR(C863/SUM(M$2:M862),"")</f>
        <v/>
      </c>
      <c r="I863" s="61" t="str">
        <f>IFERROR(D863/SUM(N$2:N863),"")</f>
        <v/>
      </c>
      <c r="J863" s="61" t="str">
        <f>IFERROR(E863/SUM(O$2:O863),"")</f>
        <v/>
      </c>
      <c r="K863" s="61" t="str">
        <f>IFERROR(F863/SUM(P$2:P863),"")</f>
        <v/>
      </c>
      <c r="L863" s="79" t="str">
        <f>IFERROR(G863/SUM(Q$2:Q863),"")</f>
        <v/>
      </c>
      <c r="M863" s="64" t="str">
        <f t="shared" si="338"/>
        <v/>
      </c>
      <c r="N863" s="55" t="str">
        <f t="shared" si="339"/>
        <v/>
      </c>
      <c r="O863" s="55" t="str">
        <f t="shared" si="340"/>
        <v/>
      </c>
      <c r="P863" s="55" t="str">
        <f t="shared" si="341"/>
        <v/>
      </c>
      <c r="Q863" s="65" t="str">
        <f t="shared" si="342"/>
        <v/>
      </c>
      <c r="R863" s="67" t="str">
        <f t="shared" si="344"/>
        <v/>
      </c>
      <c r="S863" s="56" t="str">
        <f t="shared" si="345"/>
        <v/>
      </c>
      <c r="T863" s="56" t="str">
        <f t="shared" si="346"/>
        <v/>
      </c>
      <c r="U863" s="56" t="str">
        <f t="shared" si="347"/>
        <v/>
      </c>
      <c r="V863" s="68" t="str">
        <f t="shared" si="348"/>
        <v/>
      </c>
      <c r="W863" s="80" t="str">
        <f t="shared" si="349"/>
        <v/>
      </c>
      <c r="X863" s="81" t="str">
        <f t="shared" si="350"/>
        <v/>
      </c>
      <c r="Y863" s="81" t="str">
        <f t="shared" si="351"/>
        <v/>
      </c>
      <c r="Z863" s="81" t="str">
        <f t="shared" si="352"/>
        <v/>
      </c>
      <c r="AA863" s="82" t="str">
        <f t="shared" si="353"/>
        <v/>
      </c>
      <c r="AB863" s="83" t="str">
        <f>IF(R863&lt;&gt;"",(W863-SUMPRODUCT(R$3:R863,$B$3:$B863)/SUM($B$3:$B863))/STDEVA(W853:W863),"")</f>
        <v/>
      </c>
      <c r="AC863" s="84" t="str">
        <f>IF(S863&lt;&gt;"",(X863-SUMPRODUCT(S$3:S863,$B$3:$B863)/SUM($B$3:$B863))/STDEVA(X853:X863),"")</f>
        <v/>
      </c>
      <c r="AD863" s="84" t="str">
        <f>IF(T863&lt;&gt;"",(Y863-SUMPRODUCT(T$3:T863,$B$3:$B863)/SUM($B$3:$B863))/STDEVA(Y853:Y863),"")</f>
        <v/>
      </c>
      <c r="AE863" s="84" t="str">
        <f>IF(U863&lt;&gt;"",(Z863-SUMPRODUCT(U$3:U863,$B$3:$B863)/SUM($B$3:$B863))/STDEVA(Z853:Z863),"")</f>
        <v/>
      </c>
      <c r="AF863" s="85" t="str">
        <f>IF(V863&lt;&gt;"",(AA863-SUMPRODUCT(V$3:V863,$B$3:$B863)/SUM($B$3:$B863))/STDEVA(AA853:AA863),"")</f>
        <v/>
      </c>
      <c r="AG863" s="90" t="str">
        <f t="shared" si="354"/>
        <v/>
      </c>
      <c r="AH863" s="90" t="str">
        <f t="shared" si="354"/>
        <v/>
      </c>
      <c r="AI863" s="90" t="str">
        <f t="shared" si="354"/>
        <v/>
      </c>
      <c r="AJ863" s="90" t="str">
        <f t="shared" si="354"/>
        <v/>
      </c>
      <c r="AK863" s="93" t="str">
        <f t="shared" si="355"/>
        <v/>
      </c>
      <c r="BQ863" s="100" t="str">
        <f>IF(A863&lt;&gt;"",(VLOOKUP(A863,MarketData!$D:$BP,MATCH($BQ$1,MarketData!$D$1:$EG$1,0),TRUE)/100/365+1)^(B863)*BQ862,"")</f>
        <v/>
      </c>
      <c r="BR863" s="98" t="str">
        <f t="shared" si="332"/>
        <v/>
      </c>
      <c r="BS863" s="106" t="str">
        <f>IF(A863&lt;&gt;"",VLOOKUP(A863,MarketData!$D:$BP,MATCH($BS$1,MarketData!$D$1:$EG$1,0),TRUE),"")</f>
        <v/>
      </c>
      <c r="BT863" s="98" t="str">
        <f t="shared" si="343"/>
        <v/>
      </c>
    </row>
    <row r="864" spans="2:72" x14ac:dyDescent="0.25">
      <c r="B864" s="60" t="str">
        <f t="shared" si="356"/>
        <v/>
      </c>
      <c r="C864" s="3" t="str">
        <f t="shared" si="333"/>
        <v/>
      </c>
      <c r="D864" s="3" t="str">
        <f t="shared" si="334"/>
        <v/>
      </c>
      <c r="E864" s="3" t="str">
        <f t="shared" si="335"/>
        <v/>
      </c>
      <c r="F864" s="3" t="str">
        <f t="shared" si="336"/>
        <v/>
      </c>
      <c r="G864" s="74" t="str">
        <f t="shared" si="337"/>
        <v/>
      </c>
      <c r="H864" s="78" t="str">
        <f>IFERROR(C864/SUM(M$2:M863),"")</f>
        <v/>
      </c>
      <c r="I864" s="61" t="str">
        <f>IFERROR(D864/SUM(N$2:N864),"")</f>
        <v/>
      </c>
      <c r="J864" s="61" t="str">
        <f>IFERROR(E864/SUM(O$2:O864),"")</f>
        <v/>
      </c>
      <c r="K864" s="61" t="str">
        <f>IFERROR(F864/SUM(P$2:P864),"")</f>
        <v/>
      </c>
      <c r="L864" s="79" t="str">
        <f>IFERROR(G864/SUM(Q$2:Q864),"")</f>
        <v/>
      </c>
      <c r="M864" s="64" t="str">
        <f t="shared" si="338"/>
        <v/>
      </c>
      <c r="N864" s="55" t="str">
        <f t="shared" si="339"/>
        <v/>
      </c>
      <c r="O864" s="55" t="str">
        <f t="shared" si="340"/>
        <v/>
      </c>
      <c r="P864" s="55" t="str">
        <f t="shared" si="341"/>
        <v/>
      </c>
      <c r="Q864" s="65" t="str">
        <f t="shared" si="342"/>
        <v/>
      </c>
      <c r="R864" s="67" t="str">
        <f t="shared" si="344"/>
        <v/>
      </c>
      <c r="S864" s="56" t="str">
        <f t="shared" si="345"/>
        <v/>
      </c>
      <c r="T864" s="56" t="str">
        <f t="shared" si="346"/>
        <v/>
      </c>
      <c r="U864" s="56" t="str">
        <f t="shared" si="347"/>
        <v/>
      </c>
      <c r="V864" s="68" t="str">
        <f t="shared" si="348"/>
        <v/>
      </c>
      <c r="W864" s="80" t="str">
        <f t="shared" si="349"/>
        <v/>
      </c>
      <c r="X864" s="81" t="str">
        <f t="shared" si="350"/>
        <v/>
      </c>
      <c r="Y864" s="81" t="str">
        <f t="shared" si="351"/>
        <v/>
      </c>
      <c r="Z864" s="81" t="str">
        <f t="shared" si="352"/>
        <v/>
      </c>
      <c r="AA864" s="82" t="str">
        <f t="shared" si="353"/>
        <v/>
      </c>
      <c r="AB864" s="83" t="str">
        <f>IF(R864&lt;&gt;"",(W864-SUMPRODUCT(R$3:R864,$B$3:$B864)/SUM($B$3:$B864))/STDEVA(W854:W864),"")</f>
        <v/>
      </c>
      <c r="AC864" s="84" t="str">
        <f>IF(S864&lt;&gt;"",(X864-SUMPRODUCT(S$3:S864,$B$3:$B864)/SUM($B$3:$B864))/STDEVA(X854:X864),"")</f>
        <v/>
      </c>
      <c r="AD864" s="84" t="str">
        <f>IF(T864&lt;&gt;"",(Y864-SUMPRODUCT(T$3:T864,$B$3:$B864)/SUM($B$3:$B864))/STDEVA(Y854:Y864),"")</f>
        <v/>
      </c>
      <c r="AE864" s="84" t="str">
        <f>IF(U864&lt;&gt;"",(Z864-SUMPRODUCT(U$3:U864,$B$3:$B864)/SUM($B$3:$B864))/STDEVA(Z854:Z864),"")</f>
        <v/>
      </c>
      <c r="AF864" s="85" t="str">
        <f>IF(V864&lt;&gt;"",(AA864-SUMPRODUCT(V$3:V864,$B$3:$B864)/SUM($B$3:$B864))/STDEVA(AA854:AA864),"")</f>
        <v/>
      </c>
      <c r="AG864" s="90" t="str">
        <f t="shared" si="354"/>
        <v/>
      </c>
      <c r="AH864" s="90" t="str">
        <f t="shared" si="354"/>
        <v/>
      </c>
      <c r="AI864" s="90" t="str">
        <f t="shared" si="354"/>
        <v/>
      </c>
      <c r="AJ864" s="90" t="str">
        <f t="shared" si="354"/>
        <v/>
      </c>
      <c r="AK864" s="93" t="str">
        <f t="shared" si="355"/>
        <v/>
      </c>
      <c r="BQ864" s="100" t="str">
        <f>IF(A864&lt;&gt;"",(VLOOKUP(A864,MarketData!$D:$BP,MATCH($BQ$1,MarketData!$D$1:$EG$1,0),TRUE)/100/365+1)^(B864)*BQ863,"")</f>
        <v/>
      </c>
      <c r="BR864" s="98" t="str">
        <f t="shared" si="332"/>
        <v/>
      </c>
      <c r="BS864" s="106" t="str">
        <f>IF(A864&lt;&gt;"",VLOOKUP(A864,MarketData!$D:$BP,MATCH($BS$1,MarketData!$D$1:$EG$1,0),TRUE),"")</f>
        <v/>
      </c>
      <c r="BT864" s="98" t="str">
        <f t="shared" si="343"/>
        <v/>
      </c>
    </row>
    <row r="865" spans="2:72" x14ac:dyDescent="0.25">
      <c r="B865" s="60" t="str">
        <f t="shared" si="356"/>
        <v/>
      </c>
      <c r="C865" s="3" t="str">
        <f t="shared" si="333"/>
        <v/>
      </c>
      <c r="D865" s="3" t="str">
        <f t="shared" si="334"/>
        <v/>
      </c>
      <c r="E865" s="3" t="str">
        <f t="shared" si="335"/>
        <v/>
      </c>
      <c r="F865" s="3" t="str">
        <f t="shared" si="336"/>
        <v/>
      </c>
      <c r="G865" s="74" t="str">
        <f t="shared" si="337"/>
        <v/>
      </c>
      <c r="H865" s="78" t="str">
        <f>IFERROR(C865/SUM(M$2:M864),"")</f>
        <v/>
      </c>
      <c r="I865" s="61" t="str">
        <f>IFERROR(D865/SUM(N$2:N865),"")</f>
        <v/>
      </c>
      <c r="J865" s="61" t="str">
        <f>IFERROR(E865/SUM(O$2:O865),"")</f>
        <v/>
      </c>
      <c r="K865" s="61" t="str">
        <f>IFERROR(F865/SUM(P$2:P865),"")</f>
        <v/>
      </c>
      <c r="L865" s="79" t="str">
        <f>IFERROR(G865/SUM(Q$2:Q865),"")</f>
        <v/>
      </c>
      <c r="M865" s="64" t="str">
        <f t="shared" si="338"/>
        <v/>
      </c>
      <c r="N865" s="55" t="str">
        <f t="shared" si="339"/>
        <v/>
      </c>
      <c r="O865" s="55" t="str">
        <f t="shared" si="340"/>
        <v/>
      </c>
      <c r="P865" s="55" t="str">
        <f t="shared" si="341"/>
        <v/>
      </c>
      <c r="Q865" s="65" t="str">
        <f t="shared" si="342"/>
        <v/>
      </c>
      <c r="R865" s="67" t="str">
        <f t="shared" si="344"/>
        <v/>
      </c>
      <c r="S865" s="56" t="str">
        <f t="shared" si="345"/>
        <v/>
      </c>
      <c r="T865" s="56" t="str">
        <f t="shared" si="346"/>
        <v/>
      </c>
      <c r="U865" s="56" t="str">
        <f t="shared" si="347"/>
        <v/>
      </c>
      <c r="V865" s="68" t="str">
        <f t="shared" si="348"/>
        <v/>
      </c>
      <c r="W865" s="80" t="str">
        <f t="shared" si="349"/>
        <v/>
      </c>
      <c r="X865" s="81" t="str">
        <f t="shared" si="350"/>
        <v/>
      </c>
      <c r="Y865" s="81" t="str">
        <f t="shared" si="351"/>
        <v/>
      </c>
      <c r="Z865" s="81" t="str">
        <f t="shared" si="352"/>
        <v/>
      </c>
      <c r="AA865" s="82" t="str">
        <f t="shared" si="353"/>
        <v/>
      </c>
      <c r="AB865" s="83" t="str">
        <f>IF(R865&lt;&gt;"",(W865-SUMPRODUCT(R$3:R865,$B$3:$B865)/SUM($B$3:$B865))/STDEVA(W855:W865),"")</f>
        <v/>
      </c>
      <c r="AC865" s="84" t="str">
        <f>IF(S865&lt;&gt;"",(X865-SUMPRODUCT(S$3:S865,$B$3:$B865)/SUM($B$3:$B865))/STDEVA(X855:X865),"")</f>
        <v/>
      </c>
      <c r="AD865" s="84" t="str">
        <f>IF(T865&lt;&gt;"",(Y865-SUMPRODUCT(T$3:T865,$B$3:$B865)/SUM($B$3:$B865))/STDEVA(Y855:Y865),"")</f>
        <v/>
      </c>
      <c r="AE865" s="84" t="str">
        <f>IF(U865&lt;&gt;"",(Z865-SUMPRODUCT(U$3:U865,$B$3:$B865)/SUM($B$3:$B865))/STDEVA(Z855:Z865),"")</f>
        <v/>
      </c>
      <c r="AF865" s="85" t="str">
        <f>IF(V865&lt;&gt;"",(AA865-SUMPRODUCT(V$3:V865,$B$3:$B865)/SUM($B$3:$B865))/STDEVA(AA855:AA865),"")</f>
        <v/>
      </c>
      <c r="AG865" s="90" t="str">
        <f t="shared" si="354"/>
        <v/>
      </c>
      <c r="AH865" s="90" t="str">
        <f t="shared" si="354"/>
        <v/>
      </c>
      <c r="AI865" s="90" t="str">
        <f t="shared" si="354"/>
        <v/>
      </c>
      <c r="AJ865" s="90" t="str">
        <f t="shared" si="354"/>
        <v/>
      </c>
      <c r="AK865" s="93" t="str">
        <f t="shared" si="355"/>
        <v/>
      </c>
      <c r="BQ865" s="100" t="str">
        <f>IF(A865&lt;&gt;"",(VLOOKUP(A865,MarketData!$D:$BP,MATCH($BQ$1,MarketData!$D$1:$EG$1,0),TRUE)/100/365+1)^(B865)*BQ864,"")</f>
        <v/>
      </c>
      <c r="BR865" s="98" t="str">
        <f t="shared" si="332"/>
        <v/>
      </c>
      <c r="BS865" s="106" t="str">
        <f>IF(A865&lt;&gt;"",VLOOKUP(A865,MarketData!$D:$BP,MATCH($BS$1,MarketData!$D$1:$EG$1,0),TRUE),"")</f>
        <v/>
      </c>
      <c r="BT865" s="98" t="str">
        <f t="shared" si="343"/>
        <v/>
      </c>
    </row>
    <row r="866" spans="2:72" x14ac:dyDescent="0.25">
      <c r="B866" s="60" t="str">
        <f t="shared" si="356"/>
        <v/>
      </c>
      <c r="C866" s="3" t="str">
        <f t="shared" si="333"/>
        <v/>
      </c>
      <c r="D866" s="3" t="str">
        <f t="shared" si="334"/>
        <v/>
      </c>
      <c r="E866" s="3" t="str">
        <f t="shared" si="335"/>
        <v/>
      </c>
      <c r="F866" s="3" t="str">
        <f t="shared" si="336"/>
        <v/>
      </c>
      <c r="G866" s="74" t="str">
        <f t="shared" si="337"/>
        <v/>
      </c>
      <c r="H866" s="78" t="str">
        <f>IFERROR(C866/SUM(M$2:M865),"")</f>
        <v/>
      </c>
      <c r="I866" s="61" t="str">
        <f>IFERROR(D866/SUM(N$2:N866),"")</f>
        <v/>
      </c>
      <c r="J866" s="61" t="str">
        <f>IFERROR(E866/SUM(O$2:O866),"")</f>
        <v/>
      </c>
      <c r="K866" s="61" t="str">
        <f>IFERROR(F866/SUM(P$2:P866),"")</f>
        <v/>
      </c>
      <c r="L866" s="79" t="str">
        <f>IFERROR(G866/SUM(Q$2:Q866),"")</f>
        <v/>
      </c>
      <c r="M866" s="64" t="str">
        <f t="shared" si="338"/>
        <v/>
      </c>
      <c r="N866" s="55" t="str">
        <f t="shared" si="339"/>
        <v/>
      </c>
      <c r="O866" s="55" t="str">
        <f t="shared" si="340"/>
        <v/>
      </c>
      <c r="P866" s="55" t="str">
        <f t="shared" si="341"/>
        <v/>
      </c>
      <c r="Q866" s="65" t="str">
        <f t="shared" si="342"/>
        <v/>
      </c>
      <c r="R866" s="67" t="str">
        <f t="shared" si="344"/>
        <v/>
      </c>
      <c r="S866" s="56" t="str">
        <f t="shared" si="345"/>
        <v/>
      </c>
      <c r="T866" s="56" t="str">
        <f t="shared" si="346"/>
        <v/>
      </c>
      <c r="U866" s="56" t="str">
        <f t="shared" si="347"/>
        <v/>
      </c>
      <c r="V866" s="68" t="str">
        <f t="shared" si="348"/>
        <v/>
      </c>
      <c r="W866" s="80" t="str">
        <f t="shared" si="349"/>
        <v/>
      </c>
      <c r="X866" s="81" t="str">
        <f t="shared" si="350"/>
        <v/>
      </c>
      <c r="Y866" s="81" t="str">
        <f t="shared" si="351"/>
        <v/>
      </c>
      <c r="Z866" s="81" t="str">
        <f t="shared" si="352"/>
        <v/>
      </c>
      <c r="AA866" s="82" t="str">
        <f t="shared" si="353"/>
        <v/>
      </c>
      <c r="AB866" s="83" t="str">
        <f>IF(R866&lt;&gt;"",(W866-SUMPRODUCT(R$3:R866,$B$3:$B866)/SUM($B$3:$B866))/STDEVA(W856:W866),"")</f>
        <v/>
      </c>
      <c r="AC866" s="84" t="str">
        <f>IF(S866&lt;&gt;"",(X866-SUMPRODUCT(S$3:S866,$B$3:$B866)/SUM($B$3:$B866))/STDEVA(X856:X866),"")</f>
        <v/>
      </c>
      <c r="AD866" s="84" t="str">
        <f>IF(T866&lt;&gt;"",(Y866-SUMPRODUCT(T$3:T866,$B$3:$B866)/SUM($B$3:$B866))/STDEVA(Y856:Y866),"")</f>
        <v/>
      </c>
      <c r="AE866" s="84" t="str">
        <f>IF(U866&lt;&gt;"",(Z866-SUMPRODUCT(U$3:U866,$B$3:$B866)/SUM($B$3:$B866))/STDEVA(Z856:Z866),"")</f>
        <v/>
      </c>
      <c r="AF866" s="85" t="str">
        <f>IF(V866&lt;&gt;"",(AA866-SUMPRODUCT(V$3:V866,$B$3:$B866)/SUM($B$3:$B866))/STDEVA(AA856:AA866),"")</f>
        <v/>
      </c>
      <c r="AG866" s="90" t="str">
        <f t="shared" si="354"/>
        <v/>
      </c>
      <c r="AH866" s="90" t="str">
        <f t="shared" si="354"/>
        <v/>
      </c>
      <c r="AI866" s="90" t="str">
        <f t="shared" si="354"/>
        <v/>
      </c>
      <c r="AJ866" s="90" t="str">
        <f t="shared" si="354"/>
        <v/>
      </c>
      <c r="AK866" s="93" t="str">
        <f t="shared" si="355"/>
        <v/>
      </c>
      <c r="BQ866" s="100" t="str">
        <f>IF(A866&lt;&gt;"",(VLOOKUP(A866,MarketData!$D:$BP,MATCH($BQ$1,MarketData!$D$1:$EG$1,0),TRUE)/100/365+1)^(B866)*BQ865,"")</f>
        <v/>
      </c>
      <c r="BR866" s="98" t="str">
        <f t="shared" si="332"/>
        <v/>
      </c>
      <c r="BS866" s="106" t="str">
        <f>IF(A866&lt;&gt;"",VLOOKUP(A866,MarketData!$D:$BP,MATCH($BS$1,MarketData!$D$1:$EG$1,0),TRUE),"")</f>
        <v/>
      </c>
      <c r="BT866" s="98" t="str">
        <f t="shared" si="343"/>
        <v/>
      </c>
    </row>
    <row r="867" spans="2:72" x14ac:dyDescent="0.25">
      <c r="B867" s="60" t="str">
        <f t="shared" si="356"/>
        <v/>
      </c>
      <c r="C867" s="3" t="str">
        <f t="shared" si="333"/>
        <v/>
      </c>
      <c r="D867" s="3" t="str">
        <f t="shared" si="334"/>
        <v/>
      </c>
      <c r="E867" s="3" t="str">
        <f t="shared" si="335"/>
        <v/>
      </c>
      <c r="F867" s="3" t="str">
        <f t="shared" si="336"/>
        <v/>
      </c>
      <c r="G867" s="74" t="str">
        <f t="shared" si="337"/>
        <v/>
      </c>
      <c r="H867" s="78" t="str">
        <f>IFERROR(C867/SUM(M$2:M866),"")</f>
        <v/>
      </c>
      <c r="I867" s="61" t="str">
        <f>IFERROR(D867/SUM(N$2:N867),"")</f>
        <v/>
      </c>
      <c r="J867" s="61" t="str">
        <f>IFERROR(E867/SUM(O$2:O867),"")</f>
        <v/>
      </c>
      <c r="K867" s="61" t="str">
        <f>IFERROR(F867/SUM(P$2:P867),"")</f>
        <v/>
      </c>
      <c r="L867" s="79" t="str">
        <f>IFERROR(G867/SUM(Q$2:Q867),"")</f>
        <v/>
      </c>
      <c r="M867" s="64" t="str">
        <f t="shared" si="338"/>
        <v/>
      </c>
      <c r="N867" s="55" t="str">
        <f t="shared" si="339"/>
        <v/>
      </c>
      <c r="O867" s="55" t="str">
        <f t="shared" si="340"/>
        <v/>
      </c>
      <c r="P867" s="55" t="str">
        <f t="shared" si="341"/>
        <v/>
      </c>
      <c r="Q867" s="65" t="str">
        <f t="shared" si="342"/>
        <v/>
      </c>
      <c r="R867" s="67" t="str">
        <f t="shared" si="344"/>
        <v/>
      </c>
      <c r="S867" s="56" t="str">
        <f t="shared" si="345"/>
        <v/>
      </c>
      <c r="T867" s="56" t="str">
        <f t="shared" si="346"/>
        <v/>
      </c>
      <c r="U867" s="56" t="str">
        <f t="shared" si="347"/>
        <v/>
      </c>
      <c r="V867" s="68" t="str">
        <f t="shared" si="348"/>
        <v/>
      </c>
      <c r="W867" s="80" t="str">
        <f t="shared" si="349"/>
        <v/>
      </c>
      <c r="X867" s="81" t="str">
        <f t="shared" si="350"/>
        <v/>
      </c>
      <c r="Y867" s="81" t="str">
        <f t="shared" si="351"/>
        <v/>
      </c>
      <c r="Z867" s="81" t="str">
        <f t="shared" si="352"/>
        <v/>
      </c>
      <c r="AA867" s="82" t="str">
        <f t="shared" si="353"/>
        <v/>
      </c>
      <c r="AB867" s="83" t="str">
        <f>IF(R867&lt;&gt;"",(W867-SUMPRODUCT(R$3:R867,$B$3:$B867)/SUM($B$3:$B867))/STDEVA(W857:W867),"")</f>
        <v/>
      </c>
      <c r="AC867" s="84" t="str">
        <f>IF(S867&lt;&gt;"",(X867-SUMPRODUCT(S$3:S867,$B$3:$B867)/SUM($B$3:$B867))/STDEVA(X857:X867),"")</f>
        <v/>
      </c>
      <c r="AD867" s="84" t="str">
        <f>IF(T867&lt;&gt;"",(Y867-SUMPRODUCT(T$3:T867,$B$3:$B867)/SUM($B$3:$B867))/STDEVA(Y857:Y867),"")</f>
        <v/>
      </c>
      <c r="AE867" s="84" t="str">
        <f>IF(U867&lt;&gt;"",(Z867-SUMPRODUCT(U$3:U867,$B$3:$B867)/SUM($B$3:$B867))/STDEVA(Z857:Z867),"")</f>
        <v/>
      </c>
      <c r="AF867" s="85" t="str">
        <f>IF(V867&lt;&gt;"",(AA867-SUMPRODUCT(V$3:V867,$B$3:$B867)/SUM($B$3:$B867))/STDEVA(AA857:AA867),"")</f>
        <v/>
      </c>
      <c r="AG867" s="90" t="str">
        <f t="shared" si="354"/>
        <v/>
      </c>
      <c r="AH867" s="90" t="str">
        <f t="shared" si="354"/>
        <v/>
      </c>
      <c r="AI867" s="90" t="str">
        <f t="shared" si="354"/>
        <v/>
      </c>
      <c r="AJ867" s="90" t="str">
        <f t="shared" si="354"/>
        <v/>
      </c>
      <c r="AK867" s="93" t="str">
        <f t="shared" si="355"/>
        <v/>
      </c>
      <c r="BQ867" s="100" t="str">
        <f>IF(A867&lt;&gt;"",(VLOOKUP(A867,MarketData!$D:$BP,MATCH($BQ$1,MarketData!$D$1:$EG$1,0),TRUE)/100/365+1)^(B867)*BQ866,"")</f>
        <v/>
      </c>
      <c r="BR867" s="98" t="str">
        <f t="shared" si="332"/>
        <v/>
      </c>
      <c r="BS867" s="106" t="str">
        <f>IF(A867&lt;&gt;"",VLOOKUP(A867,MarketData!$D:$BP,MATCH($BS$1,MarketData!$D$1:$EG$1,0),TRUE),"")</f>
        <v/>
      </c>
      <c r="BT867" s="98" t="str">
        <f t="shared" si="343"/>
        <v/>
      </c>
    </row>
    <row r="868" spans="2:72" x14ac:dyDescent="0.25">
      <c r="B868" s="60" t="str">
        <f t="shared" si="356"/>
        <v/>
      </c>
      <c r="C868" s="3" t="str">
        <f t="shared" si="333"/>
        <v/>
      </c>
      <c r="D868" s="3" t="str">
        <f t="shared" si="334"/>
        <v/>
      </c>
      <c r="E868" s="3" t="str">
        <f t="shared" si="335"/>
        <v/>
      </c>
      <c r="F868" s="3" t="str">
        <f t="shared" si="336"/>
        <v/>
      </c>
      <c r="G868" s="74" t="str">
        <f t="shared" si="337"/>
        <v/>
      </c>
      <c r="H868" s="78" t="str">
        <f>IFERROR(C868/SUM(M$2:M867),"")</f>
        <v/>
      </c>
      <c r="I868" s="61" t="str">
        <f>IFERROR(D868/SUM(N$2:N868),"")</f>
        <v/>
      </c>
      <c r="J868" s="61" t="str">
        <f>IFERROR(E868/SUM(O$2:O868),"")</f>
        <v/>
      </c>
      <c r="K868" s="61" t="str">
        <f>IFERROR(F868/SUM(P$2:P868),"")</f>
        <v/>
      </c>
      <c r="L868" s="79" t="str">
        <f>IFERROR(G868/SUM(Q$2:Q868),"")</f>
        <v/>
      </c>
      <c r="M868" s="64" t="str">
        <f t="shared" si="338"/>
        <v/>
      </c>
      <c r="N868" s="55" t="str">
        <f t="shared" si="339"/>
        <v/>
      </c>
      <c r="O868" s="55" t="str">
        <f t="shared" si="340"/>
        <v/>
      </c>
      <c r="P868" s="55" t="str">
        <f t="shared" si="341"/>
        <v/>
      </c>
      <c r="Q868" s="65" t="str">
        <f t="shared" si="342"/>
        <v/>
      </c>
      <c r="R868" s="67" t="str">
        <f t="shared" si="344"/>
        <v/>
      </c>
      <c r="S868" s="56" t="str">
        <f t="shared" si="345"/>
        <v/>
      </c>
      <c r="T868" s="56" t="str">
        <f t="shared" si="346"/>
        <v/>
      </c>
      <c r="U868" s="56" t="str">
        <f t="shared" si="347"/>
        <v/>
      </c>
      <c r="V868" s="68" t="str">
        <f t="shared" si="348"/>
        <v/>
      </c>
      <c r="W868" s="80" t="str">
        <f t="shared" si="349"/>
        <v/>
      </c>
      <c r="X868" s="81" t="str">
        <f t="shared" si="350"/>
        <v/>
      </c>
      <c r="Y868" s="81" t="str">
        <f t="shared" si="351"/>
        <v/>
      </c>
      <c r="Z868" s="81" t="str">
        <f t="shared" si="352"/>
        <v/>
      </c>
      <c r="AA868" s="82" t="str">
        <f t="shared" si="353"/>
        <v/>
      </c>
      <c r="AB868" s="83" t="str">
        <f>IF(R868&lt;&gt;"",(W868-SUMPRODUCT(R$3:R868,$B$3:$B868)/SUM($B$3:$B868))/STDEVA(W858:W868),"")</f>
        <v/>
      </c>
      <c r="AC868" s="84" t="str">
        <f>IF(S868&lt;&gt;"",(X868-SUMPRODUCT(S$3:S868,$B$3:$B868)/SUM($B$3:$B868))/STDEVA(X858:X868),"")</f>
        <v/>
      </c>
      <c r="AD868" s="84" t="str">
        <f>IF(T868&lt;&gt;"",(Y868-SUMPRODUCT(T$3:T868,$B$3:$B868)/SUM($B$3:$B868))/STDEVA(Y858:Y868),"")</f>
        <v/>
      </c>
      <c r="AE868" s="84" t="str">
        <f>IF(U868&lt;&gt;"",(Z868-SUMPRODUCT(U$3:U868,$B$3:$B868)/SUM($B$3:$B868))/STDEVA(Z858:Z868),"")</f>
        <v/>
      </c>
      <c r="AF868" s="85" t="str">
        <f>IF(V868&lt;&gt;"",(AA868-SUMPRODUCT(V$3:V868,$B$3:$B868)/SUM($B$3:$B868))/STDEVA(AA858:AA868),"")</f>
        <v/>
      </c>
      <c r="AG868" s="90" t="str">
        <f t="shared" si="354"/>
        <v/>
      </c>
      <c r="AH868" s="90" t="str">
        <f t="shared" si="354"/>
        <v/>
      </c>
      <c r="AI868" s="90" t="str">
        <f t="shared" si="354"/>
        <v/>
      </c>
      <c r="AJ868" s="90" t="str">
        <f t="shared" si="354"/>
        <v/>
      </c>
      <c r="AK868" s="93" t="str">
        <f t="shared" si="355"/>
        <v/>
      </c>
      <c r="BQ868" s="100" t="str">
        <f>IF(A868&lt;&gt;"",(VLOOKUP(A868,MarketData!$D:$BP,MATCH($BQ$1,MarketData!$D$1:$EG$1,0),TRUE)/100/365+1)^(B868)*BQ867,"")</f>
        <v/>
      </c>
      <c r="BR868" s="98" t="str">
        <f t="shared" si="332"/>
        <v/>
      </c>
      <c r="BS868" s="106" t="str">
        <f>IF(A868&lt;&gt;"",VLOOKUP(A868,MarketData!$D:$BP,MATCH($BS$1,MarketData!$D$1:$EG$1,0),TRUE),"")</f>
        <v/>
      </c>
      <c r="BT868" s="98" t="str">
        <f t="shared" si="343"/>
        <v/>
      </c>
    </row>
    <row r="869" spans="2:72" x14ac:dyDescent="0.25">
      <c r="B869" s="60" t="str">
        <f t="shared" si="356"/>
        <v/>
      </c>
      <c r="C869" s="3" t="str">
        <f t="shared" si="333"/>
        <v/>
      </c>
      <c r="D869" s="3" t="str">
        <f t="shared" si="334"/>
        <v/>
      </c>
      <c r="E869" s="3" t="str">
        <f t="shared" si="335"/>
        <v/>
      </c>
      <c r="F869" s="3" t="str">
        <f t="shared" si="336"/>
        <v/>
      </c>
      <c r="G869" s="74" t="str">
        <f t="shared" si="337"/>
        <v/>
      </c>
      <c r="H869" s="78" t="str">
        <f>IFERROR(C869/SUM(M$2:M868),"")</f>
        <v/>
      </c>
      <c r="I869" s="61" t="str">
        <f>IFERROR(D869/SUM(N$2:N869),"")</f>
        <v/>
      </c>
      <c r="J869" s="61" t="str">
        <f>IFERROR(E869/SUM(O$2:O869),"")</f>
        <v/>
      </c>
      <c r="K869" s="61" t="str">
        <f>IFERROR(F869/SUM(P$2:P869),"")</f>
        <v/>
      </c>
      <c r="L869" s="79" t="str">
        <f>IFERROR(G869/SUM(Q$2:Q869),"")</f>
        <v/>
      </c>
      <c r="M869" s="64" t="str">
        <f t="shared" si="338"/>
        <v/>
      </c>
      <c r="N869" s="55" t="str">
        <f t="shared" si="339"/>
        <v/>
      </c>
      <c r="O869" s="55" t="str">
        <f t="shared" si="340"/>
        <v/>
      </c>
      <c r="P869" s="55" t="str">
        <f t="shared" si="341"/>
        <v/>
      </c>
      <c r="Q869" s="65" t="str">
        <f t="shared" si="342"/>
        <v/>
      </c>
      <c r="R869" s="67" t="str">
        <f t="shared" si="344"/>
        <v/>
      </c>
      <c r="S869" s="56" t="str">
        <f t="shared" si="345"/>
        <v/>
      </c>
      <c r="T869" s="56" t="str">
        <f t="shared" si="346"/>
        <v/>
      </c>
      <c r="U869" s="56" t="str">
        <f t="shared" si="347"/>
        <v/>
      </c>
      <c r="V869" s="68" t="str">
        <f t="shared" si="348"/>
        <v/>
      </c>
      <c r="W869" s="80" t="str">
        <f t="shared" si="349"/>
        <v/>
      </c>
      <c r="X869" s="81" t="str">
        <f t="shared" si="350"/>
        <v/>
      </c>
      <c r="Y869" s="81" t="str">
        <f t="shared" si="351"/>
        <v/>
      </c>
      <c r="Z869" s="81" t="str">
        <f t="shared" si="352"/>
        <v/>
      </c>
      <c r="AA869" s="82" t="str">
        <f t="shared" si="353"/>
        <v/>
      </c>
      <c r="AB869" s="83" t="str">
        <f>IF(R869&lt;&gt;"",(W869-SUMPRODUCT(R$3:R869,$B$3:$B869)/SUM($B$3:$B869))/STDEVA(W859:W869),"")</f>
        <v/>
      </c>
      <c r="AC869" s="84" t="str">
        <f>IF(S869&lt;&gt;"",(X869-SUMPRODUCT(S$3:S869,$B$3:$B869)/SUM($B$3:$B869))/STDEVA(X859:X869),"")</f>
        <v/>
      </c>
      <c r="AD869" s="84" t="str">
        <f>IF(T869&lt;&gt;"",(Y869-SUMPRODUCT(T$3:T869,$B$3:$B869)/SUM($B$3:$B869))/STDEVA(Y859:Y869),"")</f>
        <v/>
      </c>
      <c r="AE869" s="84" t="str">
        <f>IF(U869&lt;&gt;"",(Z869-SUMPRODUCT(U$3:U869,$B$3:$B869)/SUM($B$3:$B869))/STDEVA(Z859:Z869),"")</f>
        <v/>
      </c>
      <c r="AF869" s="85" t="str">
        <f>IF(V869&lt;&gt;"",(AA869-SUMPRODUCT(V$3:V869,$B$3:$B869)/SUM($B$3:$B869))/STDEVA(AA859:AA869),"")</f>
        <v/>
      </c>
      <c r="AG869" s="90" t="str">
        <f t="shared" si="354"/>
        <v/>
      </c>
      <c r="AH869" s="90" t="str">
        <f t="shared" si="354"/>
        <v/>
      </c>
      <c r="AI869" s="90" t="str">
        <f t="shared" si="354"/>
        <v/>
      </c>
      <c r="AJ869" s="90" t="str">
        <f t="shared" si="354"/>
        <v/>
      </c>
      <c r="AK869" s="93" t="str">
        <f t="shared" si="355"/>
        <v/>
      </c>
      <c r="BQ869" s="100" t="str">
        <f>IF(A869&lt;&gt;"",(VLOOKUP(A869,MarketData!$D:$BP,MATCH($BQ$1,MarketData!$D$1:$EG$1,0),TRUE)/100/365+1)^(B869)*BQ868,"")</f>
        <v/>
      </c>
      <c r="BR869" s="98" t="str">
        <f t="shared" si="332"/>
        <v/>
      </c>
      <c r="BS869" s="106" t="str">
        <f>IF(A869&lt;&gt;"",VLOOKUP(A869,MarketData!$D:$BP,MATCH($BS$1,MarketData!$D$1:$EG$1,0),TRUE),"")</f>
        <v/>
      </c>
      <c r="BT869" s="98" t="str">
        <f t="shared" si="343"/>
        <v/>
      </c>
    </row>
    <row r="870" spans="2:72" x14ac:dyDescent="0.25">
      <c r="B870" s="60" t="str">
        <f t="shared" si="356"/>
        <v/>
      </c>
      <c r="C870" s="3" t="str">
        <f t="shared" si="333"/>
        <v/>
      </c>
      <c r="D870" s="3" t="str">
        <f t="shared" si="334"/>
        <v/>
      </c>
      <c r="E870" s="3" t="str">
        <f t="shared" si="335"/>
        <v/>
      </c>
      <c r="F870" s="3" t="str">
        <f t="shared" si="336"/>
        <v/>
      </c>
      <c r="G870" s="74" t="str">
        <f t="shared" si="337"/>
        <v/>
      </c>
      <c r="H870" s="78" t="str">
        <f>IFERROR(C870/SUM(M$2:M869),"")</f>
        <v/>
      </c>
      <c r="I870" s="61" t="str">
        <f>IFERROR(D870/SUM(N$2:N870),"")</f>
        <v/>
      </c>
      <c r="J870" s="61" t="str">
        <f>IFERROR(E870/SUM(O$2:O870),"")</f>
        <v/>
      </c>
      <c r="K870" s="61" t="str">
        <f>IFERROR(F870/SUM(P$2:P870),"")</f>
        <v/>
      </c>
      <c r="L870" s="79" t="str">
        <f>IFERROR(G870/SUM(Q$2:Q870),"")</f>
        <v/>
      </c>
      <c r="M870" s="64" t="str">
        <f t="shared" si="338"/>
        <v/>
      </c>
      <c r="N870" s="55" t="str">
        <f t="shared" si="339"/>
        <v/>
      </c>
      <c r="O870" s="55" t="str">
        <f t="shared" si="340"/>
        <v/>
      </c>
      <c r="P870" s="55" t="str">
        <f t="shared" si="341"/>
        <v/>
      </c>
      <c r="Q870" s="65" t="str">
        <f t="shared" si="342"/>
        <v/>
      </c>
      <c r="R870" s="67" t="str">
        <f t="shared" si="344"/>
        <v/>
      </c>
      <c r="S870" s="56" t="str">
        <f t="shared" si="345"/>
        <v/>
      </c>
      <c r="T870" s="56" t="str">
        <f t="shared" si="346"/>
        <v/>
      </c>
      <c r="U870" s="56" t="str">
        <f t="shared" si="347"/>
        <v/>
      </c>
      <c r="V870" s="68" t="str">
        <f t="shared" si="348"/>
        <v/>
      </c>
      <c r="W870" s="80" t="str">
        <f t="shared" si="349"/>
        <v/>
      </c>
      <c r="X870" s="81" t="str">
        <f t="shared" si="350"/>
        <v/>
      </c>
      <c r="Y870" s="81" t="str">
        <f t="shared" si="351"/>
        <v/>
      </c>
      <c r="Z870" s="81" t="str">
        <f t="shared" si="352"/>
        <v/>
      </c>
      <c r="AA870" s="82" t="str">
        <f t="shared" si="353"/>
        <v/>
      </c>
      <c r="AB870" s="83" t="str">
        <f>IF(R870&lt;&gt;"",(W870-SUMPRODUCT(R$3:R870,$B$3:$B870)/SUM($B$3:$B870))/STDEVA(W860:W870),"")</f>
        <v/>
      </c>
      <c r="AC870" s="84" t="str">
        <f>IF(S870&lt;&gt;"",(X870-SUMPRODUCT(S$3:S870,$B$3:$B870)/SUM($B$3:$B870))/STDEVA(X860:X870),"")</f>
        <v/>
      </c>
      <c r="AD870" s="84" t="str">
        <f>IF(T870&lt;&gt;"",(Y870-SUMPRODUCT(T$3:T870,$B$3:$B870)/SUM($B$3:$B870))/STDEVA(Y860:Y870),"")</f>
        <v/>
      </c>
      <c r="AE870" s="84" t="str">
        <f>IF(U870&lt;&gt;"",(Z870-SUMPRODUCT(U$3:U870,$B$3:$B870)/SUM($B$3:$B870))/STDEVA(Z860:Z870),"")</f>
        <v/>
      </c>
      <c r="AF870" s="85" t="str">
        <f>IF(V870&lt;&gt;"",(AA870-SUMPRODUCT(V$3:V870,$B$3:$B870)/SUM($B$3:$B870))/STDEVA(AA860:AA870),"")</f>
        <v/>
      </c>
      <c r="AG870" s="90" t="str">
        <f t="shared" si="354"/>
        <v/>
      </c>
      <c r="AH870" s="90" t="str">
        <f t="shared" si="354"/>
        <v/>
      </c>
      <c r="AI870" s="90" t="str">
        <f t="shared" si="354"/>
        <v/>
      </c>
      <c r="AJ870" s="90" t="str">
        <f t="shared" si="354"/>
        <v/>
      </c>
      <c r="AK870" s="93" t="str">
        <f t="shared" si="355"/>
        <v/>
      </c>
      <c r="BQ870" s="100" t="str">
        <f>IF(A870&lt;&gt;"",(VLOOKUP(A870,MarketData!$D:$BP,MATCH($BQ$1,MarketData!$D$1:$EG$1,0),TRUE)/100/365+1)^(B870)*BQ869,"")</f>
        <v/>
      </c>
      <c r="BR870" s="98" t="str">
        <f t="shared" si="332"/>
        <v/>
      </c>
      <c r="BS870" s="106" t="str">
        <f>IF(A870&lt;&gt;"",VLOOKUP(A870,MarketData!$D:$BP,MATCH($BS$1,MarketData!$D$1:$EG$1,0),TRUE),"")</f>
        <v/>
      </c>
      <c r="BT870" s="98" t="str">
        <f t="shared" si="343"/>
        <v/>
      </c>
    </row>
    <row r="871" spans="2:72" x14ac:dyDescent="0.25">
      <c r="B871" s="60" t="str">
        <f t="shared" si="356"/>
        <v/>
      </c>
      <c r="C871" s="3" t="str">
        <f t="shared" si="333"/>
        <v/>
      </c>
      <c r="D871" s="3" t="str">
        <f t="shared" si="334"/>
        <v/>
      </c>
      <c r="E871" s="3" t="str">
        <f t="shared" si="335"/>
        <v/>
      </c>
      <c r="F871" s="3" t="str">
        <f t="shared" si="336"/>
        <v/>
      </c>
      <c r="G871" s="74" t="str">
        <f t="shared" si="337"/>
        <v/>
      </c>
      <c r="H871" s="78" t="str">
        <f>IFERROR(C871/SUM(M$2:M870),"")</f>
        <v/>
      </c>
      <c r="I871" s="61" t="str">
        <f>IFERROR(D871/SUM(N$2:N871),"")</f>
        <v/>
      </c>
      <c r="J871" s="61" t="str">
        <f>IFERROR(E871/SUM(O$2:O871),"")</f>
        <v/>
      </c>
      <c r="K871" s="61" t="str">
        <f>IFERROR(F871/SUM(P$2:P871),"")</f>
        <v/>
      </c>
      <c r="L871" s="79" t="str">
        <f>IFERROR(G871/SUM(Q$2:Q871),"")</f>
        <v/>
      </c>
      <c r="M871" s="64" t="str">
        <f t="shared" si="338"/>
        <v/>
      </c>
      <c r="N871" s="55" t="str">
        <f t="shared" si="339"/>
        <v/>
      </c>
      <c r="O871" s="55" t="str">
        <f t="shared" si="340"/>
        <v/>
      </c>
      <c r="P871" s="55" t="str">
        <f t="shared" si="341"/>
        <v/>
      </c>
      <c r="Q871" s="65" t="str">
        <f t="shared" si="342"/>
        <v/>
      </c>
      <c r="R871" s="67" t="str">
        <f t="shared" si="344"/>
        <v/>
      </c>
      <c r="S871" s="56" t="str">
        <f t="shared" si="345"/>
        <v/>
      </c>
      <c r="T871" s="56" t="str">
        <f t="shared" si="346"/>
        <v/>
      </c>
      <c r="U871" s="56" t="str">
        <f t="shared" si="347"/>
        <v/>
      </c>
      <c r="V871" s="68" t="str">
        <f t="shared" si="348"/>
        <v/>
      </c>
      <c r="W871" s="80" t="str">
        <f t="shared" si="349"/>
        <v/>
      </c>
      <c r="X871" s="81" t="str">
        <f t="shared" si="350"/>
        <v/>
      </c>
      <c r="Y871" s="81" t="str">
        <f t="shared" si="351"/>
        <v/>
      </c>
      <c r="Z871" s="81" t="str">
        <f t="shared" si="352"/>
        <v/>
      </c>
      <c r="AA871" s="82" t="str">
        <f t="shared" si="353"/>
        <v/>
      </c>
      <c r="AB871" s="83" t="str">
        <f>IF(R871&lt;&gt;"",(W871-SUMPRODUCT(R$3:R871,$B$3:$B871)/SUM($B$3:$B871))/STDEVA(W861:W871),"")</f>
        <v/>
      </c>
      <c r="AC871" s="84" t="str">
        <f>IF(S871&lt;&gt;"",(X871-SUMPRODUCT(S$3:S871,$B$3:$B871)/SUM($B$3:$B871))/STDEVA(X861:X871),"")</f>
        <v/>
      </c>
      <c r="AD871" s="84" t="str">
        <f>IF(T871&lt;&gt;"",(Y871-SUMPRODUCT(T$3:T871,$B$3:$B871)/SUM($B$3:$B871))/STDEVA(Y861:Y871),"")</f>
        <v/>
      </c>
      <c r="AE871" s="84" t="str">
        <f>IF(U871&lt;&gt;"",(Z871-SUMPRODUCT(U$3:U871,$B$3:$B871)/SUM($B$3:$B871))/STDEVA(Z861:Z871),"")</f>
        <v/>
      </c>
      <c r="AF871" s="85" t="str">
        <f>IF(V871&lt;&gt;"",(AA871-SUMPRODUCT(V$3:V871,$B$3:$B871)/SUM($B$3:$B871))/STDEVA(AA861:AA871),"")</f>
        <v/>
      </c>
      <c r="AG871" s="90" t="str">
        <f t="shared" si="354"/>
        <v/>
      </c>
      <c r="AH871" s="90" t="str">
        <f t="shared" si="354"/>
        <v/>
      </c>
      <c r="AI871" s="90" t="str">
        <f t="shared" si="354"/>
        <v/>
      </c>
      <c r="AJ871" s="90" t="str">
        <f t="shared" si="354"/>
        <v/>
      </c>
      <c r="AK871" s="93" t="str">
        <f t="shared" si="355"/>
        <v/>
      </c>
      <c r="BQ871" s="100" t="str">
        <f>IF(A871&lt;&gt;"",(VLOOKUP(A871,MarketData!$D:$BP,MATCH($BQ$1,MarketData!$D$1:$EG$1,0),TRUE)/100/365+1)^(B871)*BQ870,"")</f>
        <v/>
      </c>
      <c r="BR871" s="98" t="str">
        <f t="shared" si="332"/>
        <v/>
      </c>
      <c r="BS871" s="106" t="str">
        <f>IF(A871&lt;&gt;"",VLOOKUP(A871,MarketData!$D:$BP,MATCH($BS$1,MarketData!$D$1:$EG$1,0),TRUE),"")</f>
        <v/>
      </c>
      <c r="BT871" s="98" t="str">
        <f t="shared" si="343"/>
        <v/>
      </c>
    </row>
    <row r="872" spans="2:72" x14ac:dyDescent="0.25">
      <c r="B872" s="60" t="str">
        <f t="shared" si="356"/>
        <v/>
      </c>
      <c r="C872" s="3" t="str">
        <f t="shared" si="333"/>
        <v/>
      </c>
      <c r="D872" s="3" t="str">
        <f t="shared" si="334"/>
        <v/>
      </c>
      <c r="E872" s="3" t="str">
        <f t="shared" si="335"/>
        <v/>
      </c>
      <c r="F872" s="3" t="str">
        <f t="shared" si="336"/>
        <v/>
      </c>
      <c r="G872" s="74" t="str">
        <f t="shared" si="337"/>
        <v/>
      </c>
      <c r="H872" s="78" t="str">
        <f>IFERROR(C872/SUM(M$2:M871),"")</f>
        <v/>
      </c>
      <c r="I872" s="61" t="str">
        <f>IFERROR(D872/SUM(N$2:N872),"")</f>
        <v/>
      </c>
      <c r="J872" s="61" t="str">
        <f>IFERROR(E872/SUM(O$2:O872),"")</f>
        <v/>
      </c>
      <c r="K872" s="61" t="str">
        <f>IFERROR(F872/SUM(P$2:P872),"")</f>
        <v/>
      </c>
      <c r="L872" s="79" t="str">
        <f>IFERROR(G872/SUM(Q$2:Q872),"")</f>
        <v/>
      </c>
      <c r="M872" s="64" t="str">
        <f t="shared" si="338"/>
        <v/>
      </c>
      <c r="N872" s="55" t="str">
        <f t="shared" si="339"/>
        <v/>
      </c>
      <c r="O872" s="55" t="str">
        <f t="shared" si="340"/>
        <v/>
      </c>
      <c r="P872" s="55" t="str">
        <f t="shared" si="341"/>
        <v/>
      </c>
      <c r="Q872" s="65" t="str">
        <f t="shared" si="342"/>
        <v/>
      </c>
      <c r="R872" s="67" t="str">
        <f t="shared" si="344"/>
        <v/>
      </c>
      <c r="S872" s="56" t="str">
        <f t="shared" si="345"/>
        <v/>
      </c>
      <c r="T872" s="56" t="str">
        <f t="shared" si="346"/>
        <v/>
      </c>
      <c r="U872" s="56" t="str">
        <f t="shared" si="347"/>
        <v/>
      </c>
      <c r="V872" s="68" t="str">
        <f t="shared" si="348"/>
        <v/>
      </c>
      <c r="W872" s="80" t="str">
        <f t="shared" si="349"/>
        <v/>
      </c>
      <c r="X872" s="81" t="str">
        <f t="shared" si="350"/>
        <v/>
      </c>
      <c r="Y872" s="81" t="str">
        <f t="shared" si="351"/>
        <v/>
      </c>
      <c r="Z872" s="81" t="str">
        <f t="shared" si="352"/>
        <v/>
      </c>
      <c r="AA872" s="82" t="str">
        <f t="shared" si="353"/>
        <v/>
      </c>
      <c r="AB872" s="83" t="str">
        <f>IF(R872&lt;&gt;"",(W872-SUMPRODUCT(R$3:R872,$B$3:$B872)/SUM($B$3:$B872))/STDEVA(W862:W872),"")</f>
        <v/>
      </c>
      <c r="AC872" s="84" t="str">
        <f>IF(S872&lt;&gt;"",(X872-SUMPRODUCT(S$3:S872,$B$3:$B872)/SUM($B$3:$B872))/STDEVA(X862:X872),"")</f>
        <v/>
      </c>
      <c r="AD872" s="84" t="str">
        <f>IF(T872&lt;&gt;"",(Y872-SUMPRODUCT(T$3:T872,$B$3:$B872)/SUM($B$3:$B872))/STDEVA(Y862:Y872),"")</f>
        <v/>
      </c>
      <c r="AE872" s="84" t="str">
        <f>IF(U872&lt;&gt;"",(Z872-SUMPRODUCT(U$3:U872,$B$3:$B872)/SUM($B$3:$B872))/STDEVA(Z862:Z872),"")</f>
        <v/>
      </c>
      <c r="AF872" s="85" t="str">
        <f>IF(V872&lt;&gt;"",(AA872-SUMPRODUCT(V$3:V872,$B$3:$B872)/SUM($B$3:$B872))/STDEVA(AA862:AA872),"")</f>
        <v/>
      </c>
      <c r="AG872" s="90" t="str">
        <f t="shared" si="354"/>
        <v/>
      </c>
      <c r="AH872" s="90" t="str">
        <f t="shared" si="354"/>
        <v/>
      </c>
      <c r="AI872" s="90" t="str">
        <f t="shared" si="354"/>
        <v/>
      </c>
      <c r="AJ872" s="90" t="str">
        <f t="shared" si="354"/>
        <v/>
      </c>
      <c r="AK872" s="93" t="str">
        <f t="shared" si="355"/>
        <v/>
      </c>
      <c r="BQ872" s="100" t="str">
        <f>IF(A872&lt;&gt;"",(VLOOKUP(A872,MarketData!$D:$BP,MATCH($BQ$1,MarketData!$D$1:$EG$1,0),TRUE)/100/365+1)^(B872)*BQ871,"")</f>
        <v/>
      </c>
      <c r="BR872" s="98" t="str">
        <f t="shared" si="332"/>
        <v/>
      </c>
      <c r="BS872" s="106" t="str">
        <f>IF(A872&lt;&gt;"",VLOOKUP(A872,MarketData!$D:$BP,MATCH($BS$1,MarketData!$D$1:$EG$1,0),TRUE),"")</f>
        <v/>
      </c>
      <c r="BT872" s="98" t="str">
        <f t="shared" si="343"/>
        <v/>
      </c>
    </row>
    <row r="873" spans="2:72" x14ac:dyDescent="0.25">
      <c r="B873" s="60" t="str">
        <f t="shared" si="356"/>
        <v/>
      </c>
      <c r="C873" s="3" t="str">
        <f t="shared" si="333"/>
        <v/>
      </c>
      <c r="D873" s="3" t="str">
        <f t="shared" si="334"/>
        <v/>
      </c>
      <c r="E873" s="3" t="str">
        <f t="shared" si="335"/>
        <v/>
      </c>
      <c r="F873" s="3" t="str">
        <f t="shared" si="336"/>
        <v/>
      </c>
      <c r="G873" s="74" t="str">
        <f t="shared" si="337"/>
        <v/>
      </c>
      <c r="H873" s="78" t="str">
        <f>IFERROR(C873/SUM(M$2:M872),"")</f>
        <v/>
      </c>
      <c r="I873" s="61" t="str">
        <f>IFERROR(D873/SUM(N$2:N873),"")</f>
        <v/>
      </c>
      <c r="J873" s="61" t="str">
        <f>IFERROR(E873/SUM(O$2:O873),"")</f>
        <v/>
      </c>
      <c r="K873" s="61" t="str">
        <f>IFERROR(F873/SUM(P$2:P873),"")</f>
        <v/>
      </c>
      <c r="L873" s="79" t="str">
        <f>IFERROR(G873/SUM(Q$2:Q873),"")</f>
        <v/>
      </c>
      <c r="M873" s="64" t="str">
        <f t="shared" si="338"/>
        <v/>
      </c>
      <c r="N873" s="55" t="str">
        <f t="shared" si="339"/>
        <v/>
      </c>
      <c r="O873" s="55" t="str">
        <f t="shared" si="340"/>
        <v/>
      </c>
      <c r="P873" s="55" t="str">
        <f t="shared" si="341"/>
        <v/>
      </c>
      <c r="Q873" s="65" t="str">
        <f t="shared" si="342"/>
        <v/>
      </c>
      <c r="R873" s="67" t="str">
        <f t="shared" si="344"/>
        <v/>
      </c>
      <c r="S873" s="56" t="str">
        <f t="shared" si="345"/>
        <v/>
      </c>
      <c r="T873" s="56" t="str">
        <f t="shared" si="346"/>
        <v/>
      </c>
      <c r="U873" s="56" t="str">
        <f t="shared" si="347"/>
        <v/>
      </c>
      <c r="V873" s="68" t="str">
        <f t="shared" si="348"/>
        <v/>
      </c>
      <c r="W873" s="80" t="str">
        <f t="shared" si="349"/>
        <v/>
      </c>
      <c r="X873" s="81" t="str">
        <f t="shared" si="350"/>
        <v/>
      </c>
      <c r="Y873" s="81" t="str">
        <f t="shared" si="351"/>
        <v/>
      </c>
      <c r="Z873" s="81" t="str">
        <f t="shared" si="352"/>
        <v/>
      </c>
      <c r="AA873" s="82" t="str">
        <f t="shared" si="353"/>
        <v/>
      </c>
      <c r="AB873" s="83" t="str">
        <f>IF(R873&lt;&gt;"",(W873-SUMPRODUCT(R$3:R873,$B$3:$B873)/SUM($B$3:$B873))/STDEVA(W863:W873),"")</f>
        <v/>
      </c>
      <c r="AC873" s="84" t="str">
        <f>IF(S873&lt;&gt;"",(X873-SUMPRODUCT(S$3:S873,$B$3:$B873)/SUM($B$3:$B873))/STDEVA(X863:X873),"")</f>
        <v/>
      </c>
      <c r="AD873" s="84" t="str">
        <f>IF(T873&lt;&gt;"",(Y873-SUMPRODUCT(T$3:T873,$B$3:$B873)/SUM($B$3:$B873))/STDEVA(Y863:Y873),"")</f>
        <v/>
      </c>
      <c r="AE873" s="84" t="str">
        <f>IF(U873&lt;&gt;"",(Z873-SUMPRODUCT(U$3:U873,$B$3:$B873)/SUM($B$3:$B873))/STDEVA(Z863:Z873),"")</f>
        <v/>
      </c>
      <c r="AF873" s="85" t="str">
        <f>IF(V873&lt;&gt;"",(AA873-SUMPRODUCT(V$3:V873,$B$3:$B873)/SUM($B$3:$B873))/STDEVA(AA863:AA873),"")</f>
        <v/>
      </c>
      <c r="AG873" s="90" t="str">
        <f t="shared" si="354"/>
        <v/>
      </c>
      <c r="AH873" s="90" t="str">
        <f t="shared" si="354"/>
        <v/>
      </c>
      <c r="AI873" s="90" t="str">
        <f t="shared" si="354"/>
        <v/>
      </c>
      <c r="AJ873" s="90" t="str">
        <f t="shared" si="354"/>
        <v/>
      </c>
      <c r="AK873" s="93" t="str">
        <f t="shared" si="355"/>
        <v/>
      </c>
      <c r="BQ873" s="100" t="str">
        <f>IF(A873&lt;&gt;"",(VLOOKUP(A873,MarketData!$D:$BP,MATCH($BQ$1,MarketData!$D$1:$EG$1,0),TRUE)/100/365+1)^(B873)*BQ872,"")</f>
        <v/>
      </c>
      <c r="BR873" s="98" t="str">
        <f t="shared" si="332"/>
        <v/>
      </c>
      <c r="BS873" s="106" t="str">
        <f>IF(A873&lt;&gt;"",VLOOKUP(A873,MarketData!$D:$BP,MATCH($BS$1,MarketData!$D$1:$EG$1,0),TRUE),"")</f>
        <v/>
      </c>
      <c r="BT873" s="98" t="str">
        <f t="shared" si="343"/>
        <v/>
      </c>
    </row>
    <row r="874" spans="2:72" x14ac:dyDescent="0.25">
      <c r="B874" s="60" t="str">
        <f t="shared" si="356"/>
        <v/>
      </c>
      <c r="C874" s="3" t="str">
        <f t="shared" si="333"/>
        <v/>
      </c>
      <c r="D874" s="3" t="str">
        <f t="shared" si="334"/>
        <v/>
      </c>
      <c r="E874" s="3" t="str">
        <f t="shared" si="335"/>
        <v/>
      </c>
      <c r="F874" s="3" t="str">
        <f t="shared" si="336"/>
        <v/>
      </c>
      <c r="G874" s="74" t="str">
        <f t="shared" si="337"/>
        <v/>
      </c>
      <c r="H874" s="78" t="str">
        <f>IFERROR(C874/SUM(M$2:M873),"")</f>
        <v/>
      </c>
      <c r="I874" s="61" t="str">
        <f>IFERROR(D874/SUM(N$2:N874),"")</f>
        <v/>
      </c>
      <c r="J874" s="61" t="str">
        <f>IFERROR(E874/SUM(O$2:O874),"")</f>
        <v/>
      </c>
      <c r="K874" s="61" t="str">
        <f>IFERROR(F874/SUM(P$2:P874),"")</f>
        <v/>
      </c>
      <c r="L874" s="79" t="str">
        <f>IFERROR(G874/SUM(Q$2:Q874),"")</f>
        <v/>
      </c>
      <c r="M874" s="64" t="str">
        <f t="shared" si="338"/>
        <v/>
      </c>
      <c r="N874" s="55" t="str">
        <f t="shared" si="339"/>
        <v/>
      </c>
      <c r="O874" s="55" t="str">
        <f t="shared" si="340"/>
        <v/>
      </c>
      <c r="P874" s="55" t="str">
        <f t="shared" si="341"/>
        <v/>
      </c>
      <c r="Q874" s="65" t="str">
        <f t="shared" si="342"/>
        <v/>
      </c>
      <c r="R874" s="67" t="str">
        <f t="shared" si="344"/>
        <v/>
      </c>
      <c r="S874" s="56" t="str">
        <f t="shared" si="345"/>
        <v/>
      </c>
      <c r="T874" s="56" t="str">
        <f t="shared" si="346"/>
        <v/>
      </c>
      <c r="U874" s="56" t="str">
        <f t="shared" si="347"/>
        <v/>
      </c>
      <c r="V874" s="68" t="str">
        <f t="shared" si="348"/>
        <v/>
      </c>
      <c r="W874" s="80" t="str">
        <f t="shared" si="349"/>
        <v/>
      </c>
      <c r="X874" s="81" t="str">
        <f t="shared" si="350"/>
        <v/>
      </c>
      <c r="Y874" s="81" t="str">
        <f t="shared" si="351"/>
        <v/>
      </c>
      <c r="Z874" s="81" t="str">
        <f t="shared" si="352"/>
        <v/>
      </c>
      <c r="AA874" s="82" t="str">
        <f t="shared" si="353"/>
        <v/>
      </c>
      <c r="AB874" s="83" t="str">
        <f>IF(R874&lt;&gt;"",(W874-SUMPRODUCT(R$3:R874,$B$3:$B874)/SUM($B$3:$B874))/STDEVA(W864:W874),"")</f>
        <v/>
      </c>
      <c r="AC874" s="84" t="str">
        <f>IF(S874&lt;&gt;"",(X874-SUMPRODUCT(S$3:S874,$B$3:$B874)/SUM($B$3:$B874))/STDEVA(X864:X874),"")</f>
        <v/>
      </c>
      <c r="AD874" s="84" t="str">
        <f>IF(T874&lt;&gt;"",(Y874-SUMPRODUCT(T$3:T874,$B$3:$B874)/SUM($B$3:$B874))/STDEVA(Y864:Y874),"")</f>
        <v/>
      </c>
      <c r="AE874" s="84" t="str">
        <f>IF(U874&lt;&gt;"",(Z874-SUMPRODUCT(U$3:U874,$B$3:$B874)/SUM($B$3:$B874))/STDEVA(Z864:Z874),"")</f>
        <v/>
      </c>
      <c r="AF874" s="85" t="str">
        <f>IF(V874&lt;&gt;"",(AA874-SUMPRODUCT(V$3:V874,$B$3:$B874)/SUM($B$3:$B874))/STDEVA(AA864:AA874),"")</f>
        <v/>
      </c>
      <c r="AG874" s="90" t="str">
        <f t="shared" si="354"/>
        <v/>
      </c>
      <c r="AH874" s="90" t="str">
        <f t="shared" si="354"/>
        <v/>
      </c>
      <c r="AI874" s="90" t="str">
        <f t="shared" si="354"/>
        <v/>
      </c>
      <c r="AJ874" s="90" t="str">
        <f t="shared" si="354"/>
        <v/>
      </c>
      <c r="AK874" s="93" t="str">
        <f t="shared" si="355"/>
        <v/>
      </c>
      <c r="BQ874" s="100" t="str">
        <f>IF(A874&lt;&gt;"",(VLOOKUP(A874,MarketData!$D:$BP,MATCH($BQ$1,MarketData!$D$1:$EG$1,0),TRUE)/100/365+1)^(B874)*BQ873,"")</f>
        <v/>
      </c>
      <c r="BR874" s="98" t="str">
        <f t="shared" si="332"/>
        <v/>
      </c>
      <c r="BS874" s="106" t="str">
        <f>IF(A874&lt;&gt;"",VLOOKUP(A874,MarketData!$D:$BP,MATCH($BS$1,MarketData!$D$1:$EG$1,0),TRUE),"")</f>
        <v/>
      </c>
      <c r="BT874" s="98" t="str">
        <f t="shared" si="343"/>
        <v/>
      </c>
    </row>
    <row r="875" spans="2:72" x14ac:dyDescent="0.25">
      <c r="B875" s="60" t="str">
        <f t="shared" si="356"/>
        <v/>
      </c>
      <c r="C875" s="3" t="str">
        <f t="shared" si="333"/>
        <v/>
      </c>
      <c r="D875" s="3" t="str">
        <f t="shared" si="334"/>
        <v/>
      </c>
      <c r="E875" s="3" t="str">
        <f t="shared" si="335"/>
        <v/>
      </c>
      <c r="F875" s="3" t="str">
        <f t="shared" si="336"/>
        <v/>
      </c>
      <c r="G875" s="74" t="str">
        <f t="shared" si="337"/>
        <v/>
      </c>
      <c r="H875" s="78" t="str">
        <f>IFERROR(C875/SUM(M$2:M874),"")</f>
        <v/>
      </c>
      <c r="I875" s="61" t="str">
        <f>IFERROR(D875/SUM(N$2:N875),"")</f>
        <v/>
      </c>
      <c r="J875" s="61" t="str">
        <f>IFERROR(E875/SUM(O$2:O875),"")</f>
        <v/>
      </c>
      <c r="K875" s="61" t="str">
        <f>IFERROR(F875/SUM(P$2:P875),"")</f>
        <v/>
      </c>
      <c r="L875" s="79" t="str">
        <f>IFERROR(G875/SUM(Q$2:Q875),"")</f>
        <v/>
      </c>
      <c r="M875" s="64" t="str">
        <f t="shared" si="338"/>
        <v/>
      </c>
      <c r="N875" s="55" t="str">
        <f t="shared" si="339"/>
        <v/>
      </c>
      <c r="O875" s="55" t="str">
        <f t="shared" si="340"/>
        <v/>
      </c>
      <c r="P875" s="55" t="str">
        <f t="shared" si="341"/>
        <v/>
      </c>
      <c r="Q875" s="65" t="str">
        <f t="shared" si="342"/>
        <v/>
      </c>
      <c r="R875" s="67" t="str">
        <f t="shared" si="344"/>
        <v/>
      </c>
      <c r="S875" s="56" t="str">
        <f t="shared" si="345"/>
        <v/>
      </c>
      <c r="T875" s="56" t="str">
        <f t="shared" si="346"/>
        <v/>
      </c>
      <c r="U875" s="56" t="str">
        <f t="shared" si="347"/>
        <v/>
      </c>
      <c r="V875" s="68" t="str">
        <f t="shared" si="348"/>
        <v/>
      </c>
      <c r="W875" s="80" t="str">
        <f t="shared" si="349"/>
        <v/>
      </c>
      <c r="X875" s="81" t="str">
        <f t="shared" si="350"/>
        <v/>
      </c>
      <c r="Y875" s="81" t="str">
        <f t="shared" si="351"/>
        <v/>
      </c>
      <c r="Z875" s="81" t="str">
        <f t="shared" si="352"/>
        <v/>
      </c>
      <c r="AA875" s="82" t="str">
        <f t="shared" si="353"/>
        <v/>
      </c>
      <c r="AB875" s="83" t="str">
        <f>IF(R875&lt;&gt;"",(W875-SUMPRODUCT(R$3:R875,$B$3:$B875)/SUM($B$3:$B875))/STDEVA(W865:W875),"")</f>
        <v/>
      </c>
      <c r="AC875" s="84" t="str">
        <f>IF(S875&lt;&gt;"",(X875-SUMPRODUCT(S$3:S875,$B$3:$B875)/SUM($B$3:$B875))/STDEVA(X865:X875),"")</f>
        <v/>
      </c>
      <c r="AD875" s="84" t="str">
        <f>IF(T875&lt;&gt;"",(Y875-SUMPRODUCT(T$3:T875,$B$3:$B875)/SUM($B$3:$B875))/STDEVA(Y865:Y875),"")</f>
        <v/>
      </c>
      <c r="AE875" s="84" t="str">
        <f>IF(U875&lt;&gt;"",(Z875-SUMPRODUCT(U$3:U875,$B$3:$B875)/SUM($B$3:$B875))/STDEVA(Z865:Z875),"")</f>
        <v/>
      </c>
      <c r="AF875" s="85" t="str">
        <f>IF(V875&lt;&gt;"",(AA875-SUMPRODUCT(V$3:V875,$B$3:$B875)/SUM($B$3:$B875))/STDEVA(AA865:AA875),"")</f>
        <v/>
      </c>
      <c r="AG875" s="90" t="str">
        <f t="shared" si="354"/>
        <v/>
      </c>
      <c r="AH875" s="90" t="str">
        <f t="shared" si="354"/>
        <v/>
      </c>
      <c r="AI875" s="90" t="str">
        <f t="shared" si="354"/>
        <v/>
      </c>
      <c r="AJ875" s="90" t="str">
        <f t="shared" si="354"/>
        <v/>
      </c>
      <c r="AK875" s="93" t="str">
        <f t="shared" si="355"/>
        <v/>
      </c>
      <c r="BQ875" s="100" t="str">
        <f>IF(A875&lt;&gt;"",(VLOOKUP(A875,MarketData!$D:$BP,MATCH($BQ$1,MarketData!$D$1:$EG$1,0),TRUE)/100/365+1)^(B875)*BQ874,"")</f>
        <v/>
      </c>
      <c r="BR875" s="98" t="str">
        <f t="shared" si="332"/>
        <v/>
      </c>
      <c r="BS875" s="106" t="str">
        <f>IF(A875&lt;&gt;"",VLOOKUP(A875,MarketData!$D:$BP,MATCH($BS$1,MarketData!$D$1:$EG$1,0),TRUE),"")</f>
        <v/>
      </c>
      <c r="BT875" s="98" t="str">
        <f t="shared" si="343"/>
        <v/>
      </c>
    </row>
    <row r="876" spans="2:72" x14ac:dyDescent="0.25">
      <c r="B876" s="60" t="str">
        <f t="shared" si="356"/>
        <v/>
      </c>
      <c r="C876" s="3" t="str">
        <f t="shared" si="333"/>
        <v/>
      </c>
      <c r="D876" s="3" t="str">
        <f t="shared" si="334"/>
        <v/>
      </c>
      <c r="E876" s="3" t="str">
        <f t="shared" si="335"/>
        <v/>
      </c>
      <c r="F876" s="3" t="str">
        <f t="shared" si="336"/>
        <v/>
      </c>
      <c r="G876" s="74" t="str">
        <f t="shared" si="337"/>
        <v/>
      </c>
      <c r="H876" s="78" t="str">
        <f>IFERROR(C876/SUM(M$2:M875),"")</f>
        <v/>
      </c>
      <c r="I876" s="61" t="str">
        <f>IFERROR(D876/SUM(N$2:N876),"")</f>
        <v/>
      </c>
      <c r="J876" s="61" t="str">
        <f>IFERROR(E876/SUM(O$2:O876),"")</f>
        <v/>
      </c>
      <c r="K876" s="61" t="str">
        <f>IFERROR(F876/SUM(P$2:P876),"")</f>
        <v/>
      </c>
      <c r="L876" s="79" t="str">
        <f>IFERROR(G876/SUM(Q$2:Q876),"")</f>
        <v/>
      </c>
      <c r="M876" s="64" t="str">
        <f t="shared" si="338"/>
        <v/>
      </c>
      <c r="N876" s="55" t="str">
        <f t="shared" si="339"/>
        <v/>
      </c>
      <c r="O876" s="55" t="str">
        <f t="shared" si="340"/>
        <v/>
      </c>
      <c r="P876" s="55" t="str">
        <f t="shared" si="341"/>
        <v/>
      </c>
      <c r="Q876" s="65" t="str">
        <f t="shared" si="342"/>
        <v/>
      </c>
      <c r="R876" s="67" t="str">
        <f t="shared" si="344"/>
        <v/>
      </c>
      <c r="S876" s="56" t="str">
        <f t="shared" si="345"/>
        <v/>
      </c>
      <c r="T876" s="56" t="str">
        <f t="shared" si="346"/>
        <v/>
      </c>
      <c r="U876" s="56" t="str">
        <f t="shared" si="347"/>
        <v/>
      </c>
      <c r="V876" s="68" t="str">
        <f t="shared" si="348"/>
        <v/>
      </c>
      <c r="W876" s="80" t="str">
        <f t="shared" si="349"/>
        <v/>
      </c>
      <c r="X876" s="81" t="str">
        <f t="shared" si="350"/>
        <v/>
      </c>
      <c r="Y876" s="81" t="str">
        <f t="shared" si="351"/>
        <v/>
      </c>
      <c r="Z876" s="81" t="str">
        <f t="shared" si="352"/>
        <v/>
      </c>
      <c r="AA876" s="82" t="str">
        <f t="shared" si="353"/>
        <v/>
      </c>
      <c r="AB876" s="83" t="str">
        <f>IF(R876&lt;&gt;"",(W876-SUMPRODUCT(R$3:R876,$B$3:$B876)/SUM($B$3:$B876))/STDEVA(W866:W876),"")</f>
        <v/>
      </c>
      <c r="AC876" s="84" t="str">
        <f>IF(S876&lt;&gt;"",(X876-SUMPRODUCT(S$3:S876,$B$3:$B876)/SUM($B$3:$B876))/STDEVA(X866:X876),"")</f>
        <v/>
      </c>
      <c r="AD876" s="84" t="str">
        <f>IF(T876&lt;&gt;"",(Y876-SUMPRODUCT(T$3:T876,$B$3:$B876)/SUM($B$3:$B876))/STDEVA(Y866:Y876),"")</f>
        <v/>
      </c>
      <c r="AE876" s="84" t="str">
        <f>IF(U876&lt;&gt;"",(Z876-SUMPRODUCT(U$3:U876,$B$3:$B876)/SUM($B$3:$B876))/STDEVA(Z866:Z876),"")</f>
        <v/>
      </c>
      <c r="AF876" s="85" t="str">
        <f>IF(V876&lt;&gt;"",(AA876-SUMPRODUCT(V$3:V876,$B$3:$B876)/SUM($B$3:$B876))/STDEVA(AA866:AA876),"")</f>
        <v/>
      </c>
      <c r="AG876" s="90" t="str">
        <f t="shared" si="354"/>
        <v/>
      </c>
      <c r="AH876" s="90" t="str">
        <f t="shared" si="354"/>
        <v/>
      </c>
      <c r="AI876" s="90" t="str">
        <f t="shared" si="354"/>
        <v/>
      </c>
      <c r="AJ876" s="90" t="str">
        <f t="shared" si="354"/>
        <v/>
      </c>
      <c r="AK876" s="93" t="str">
        <f t="shared" si="355"/>
        <v/>
      </c>
      <c r="BQ876" s="100" t="str">
        <f>IF(A876&lt;&gt;"",(VLOOKUP(A876,MarketData!$D:$BP,MATCH($BQ$1,MarketData!$D$1:$EG$1,0),TRUE)/100/365+1)^(B876)*BQ875,"")</f>
        <v/>
      </c>
      <c r="BR876" s="98" t="str">
        <f t="shared" si="332"/>
        <v/>
      </c>
      <c r="BS876" s="106" t="str">
        <f>IF(A876&lt;&gt;"",VLOOKUP(A876,MarketData!$D:$BP,MATCH($BS$1,MarketData!$D$1:$EG$1,0),TRUE),"")</f>
        <v/>
      </c>
      <c r="BT876" s="98" t="str">
        <f t="shared" si="343"/>
        <v/>
      </c>
    </row>
    <row r="877" spans="2:72" x14ac:dyDescent="0.25">
      <c r="B877" s="60" t="str">
        <f t="shared" si="356"/>
        <v/>
      </c>
      <c r="C877" s="3" t="str">
        <f t="shared" si="333"/>
        <v/>
      </c>
      <c r="D877" s="3" t="str">
        <f t="shared" si="334"/>
        <v/>
      </c>
      <c r="E877" s="3" t="str">
        <f t="shared" si="335"/>
        <v/>
      </c>
      <c r="F877" s="3" t="str">
        <f t="shared" si="336"/>
        <v/>
      </c>
      <c r="G877" s="74" t="str">
        <f t="shared" si="337"/>
        <v/>
      </c>
      <c r="H877" s="78" t="str">
        <f>IFERROR(C877/SUM(M$2:M876),"")</f>
        <v/>
      </c>
      <c r="I877" s="61" t="str">
        <f>IFERROR(D877/SUM(N$2:N877),"")</f>
        <v/>
      </c>
      <c r="J877" s="61" t="str">
        <f>IFERROR(E877/SUM(O$2:O877),"")</f>
        <v/>
      </c>
      <c r="K877" s="61" t="str">
        <f>IFERROR(F877/SUM(P$2:P877),"")</f>
        <v/>
      </c>
      <c r="L877" s="79" t="str">
        <f>IFERROR(G877/SUM(Q$2:Q877),"")</f>
        <v/>
      </c>
      <c r="M877" s="64" t="str">
        <f t="shared" si="338"/>
        <v/>
      </c>
      <c r="N877" s="55" t="str">
        <f t="shared" si="339"/>
        <v/>
      </c>
      <c r="O877" s="55" t="str">
        <f t="shared" si="340"/>
        <v/>
      </c>
      <c r="P877" s="55" t="str">
        <f t="shared" si="341"/>
        <v/>
      </c>
      <c r="Q877" s="65" t="str">
        <f t="shared" si="342"/>
        <v/>
      </c>
      <c r="R877" s="67" t="str">
        <f t="shared" si="344"/>
        <v/>
      </c>
      <c r="S877" s="56" t="str">
        <f t="shared" si="345"/>
        <v/>
      </c>
      <c r="T877" s="56" t="str">
        <f t="shared" si="346"/>
        <v/>
      </c>
      <c r="U877" s="56" t="str">
        <f t="shared" si="347"/>
        <v/>
      </c>
      <c r="V877" s="68" t="str">
        <f t="shared" si="348"/>
        <v/>
      </c>
      <c r="W877" s="80" t="str">
        <f t="shared" si="349"/>
        <v/>
      </c>
      <c r="X877" s="81" t="str">
        <f t="shared" si="350"/>
        <v/>
      </c>
      <c r="Y877" s="81" t="str">
        <f t="shared" si="351"/>
        <v/>
      </c>
      <c r="Z877" s="81" t="str">
        <f t="shared" si="352"/>
        <v/>
      </c>
      <c r="AA877" s="82" t="str">
        <f t="shared" si="353"/>
        <v/>
      </c>
      <c r="AB877" s="83" t="str">
        <f>IF(R877&lt;&gt;"",(W877-SUMPRODUCT(R$3:R877,$B$3:$B877)/SUM($B$3:$B877))/STDEVA(W867:W877),"")</f>
        <v/>
      </c>
      <c r="AC877" s="84" t="str">
        <f>IF(S877&lt;&gt;"",(X877-SUMPRODUCT(S$3:S877,$B$3:$B877)/SUM($B$3:$B877))/STDEVA(X867:X877),"")</f>
        <v/>
      </c>
      <c r="AD877" s="84" t="str">
        <f>IF(T877&lt;&gt;"",(Y877-SUMPRODUCT(T$3:T877,$B$3:$B877)/SUM($B$3:$B877))/STDEVA(Y867:Y877),"")</f>
        <v/>
      </c>
      <c r="AE877" s="84" t="str">
        <f>IF(U877&lt;&gt;"",(Z877-SUMPRODUCT(U$3:U877,$B$3:$B877)/SUM($B$3:$B877))/STDEVA(Z867:Z877),"")</f>
        <v/>
      </c>
      <c r="AF877" s="85" t="str">
        <f>IF(V877&lt;&gt;"",(AA877-SUMPRODUCT(V$3:V877,$B$3:$B877)/SUM($B$3:$B877))/STDEVA(AA867:AA877),"")</f>
        <v/>
      </c>
      <c r="AG877" s="90" t="str">
        <f t="shared" si="354"/>
        <v/>
      </c>
      <c r="AH877" s="90" t="str">
        <f t="shared" si="354"/>
        <v/>
      </c>
      <c r="AI877" s="90" t="str">
        <f t="shared" si="354"/>
        <v/>
      </c>
      <c r="AJ877" s="90" t="str">
        <f t="shared" si="354"/>
        <v/>
      </c>
      <c r="AK877" s="93" t="str">
        <f t="shared" si="355"/>
        <v/>
      </c>
      <c r="BQ877" s="100" t="str">
        <f>IF(A877&lt;&gt;"",(VLOOKUP(A877,MarketData!$D:$BP,MATCH($BQ$1,MarketData!$D$1:$EG$1,0),TRUE)/100/365+1)^(B877)*BQ876,"")</f>
        <v/>
      </c>
      <c r="BR877" s="98" t="str">
        <f t="shared" si="332"/>
        <v/>
      </c>
      <c r="BS877" s="106" t="str">
        <f>IF(A877&lt;&gt;"",VLOOKUP(A877,MarketData!$D:$BP,MATCH($BS$1,MarketData!$D$1:$EG$1,0),TRUE),"")</f>
        <v/>
      </c>
      <c r="BT877" s="98" t="str">
        <f t="shared" si="343"/>
        <v/>
      </c>
    </row>
    <row r="878" spans="2:72" x14ac:dyDescent="0.25">
      <c r="B878" s="60" t="str">
        <f t="shared" si="356"/>
        <v/>
      </c>
      <c r="C878" s="3" t="str">
        <f t="shared" si="333"/>
        <v/>
      </c>
      <c r="D878" s="3" t="str">
        <f t="shared" si="334"/>
        <v/>
      </c>
      <c r="E878" s="3" t="str">
        <f t="shared" si="335"/>
        <v/>
      </c>
      <c r="F878" s="3" t="str">
        <f t="shared" si="336"/>
        <v/>
      </c>
      <c r="G878" s="74" t="str">
        <f t="shared" si="337"/>
        <v/>
      </c>
      <c r="H878" s="78" t="str">
        <f>IFERROR(C878/SUM(M$2:M877),"")</f>
        <v/>
      </c>
      <c r="I878" s="61" t="str">
        <f>IFERROR(D878/SUM(N$2:N878),"")</f>
        <v/>
      </c>
      <c r="J878" s="61" t="str">
        <f>IFERROR(E878/SUM(O$2:O878),"")</f>
        <v/>
      </c>
      <c r="K878" s="61" t="str">
        <f>IFERROR(F878/SUM(P$2:P878),"")</f>
        <v/>
      </c>
      <c r="L878" s="79" t="str">
        <f>IFERROR(G878/SUM(Q$2:Q878),"")</f>
        <v/>
      </c>
      <c r="M878" s="64" t="str">
        <f t="shared" si="338"/>
        <v/>
      </c>
      <c r="N878" s="55" t="str">
        <f t="shared" si="339"/>
        <v/>
      </c>
      <c r="O878" s="55" t="str">
        <f t="shared" si="340"/>
        <v/>
      </c>
      <c r="P878" s="55" t="str">
        <f t="shared" si="341"/>
        <v/>
      </c>
      <c r="Q878" s="65" t="str">
        <f t="shared" si="342"/>
        <v/>
      </c>
      <c r="R878" s="67" t="str">
        <f t="shared" si="344"/>
        <v/>
      </c>
      <c r="S878" s="56" t="str">
        <f t="shared" si="345"/>
        <v/>
      </c>
      <c r="T878" s="56" t="str">
        <f t="shared" si="346"/>
        <v/>
      </c>
      <c r="U878" s="56" t="str">
        <f t="shared" si="347"/>
        <v/>
      </c>
      <c r="V878" s="68" t="str">
        <f t="shared" si="348"/>
        <v/>
      </c>
      <c r="W878" s="80" t="str">
        <f t="shared" si="349"/>
        <v/>
      </c>
      <c r="X878" s="81" t="str">
        <f t="shared" si="350"/>
        <v/>
      </c>
      <c r="Y878" s="81" t="str">
        <f t="shared" si="351"/>
        <v/>
      </c>
      <c r="Z878" s="81" t="str">
        <f t="shared" si="352"/>
        <v/>
      </c>
      <c r="AA878" s="82" t="str">
        <f t="shared" si="353"/>
        <v/>
      </c>
      <c r="AB878" s="83" t="str">
        <f>IF(R878&lt;&gt;"",(W878-SUMPRODUCT(R$3:R878,$B$3:$B878)/SUM($B$3:$B878))/STDEVA(W868:W878),"")</f>
        <v/>
      </c>
      <c r="AC878" s="84" t="str">
        <f>IF(S878&lt;&gt;"",(X878-SUMPRODUCT(S$3:S878,$B$3:$B878)/SUM($B$3:$B878))/STDEVA(X868:X878),"")</f>
        <v/>
      </c>
      <c r="AD878" s="84" t="str">
        <f>IF(T878&lt;&gt;"",(Y878-SUMPRODUCT(T$3:T878,$B$3:$B878)/SUM($B$3:$B878))/STDEVA(Y868:Y878),"")</f>
        <v/>
      </c>
      <c r="AE878" s="84" t="str">
        <f>IF(U878&lt;&gt;"",(Z878-SUMPRODUCT(U$3:U878,$B$3:$B878)/SUM($B$3:$B878))/STDEVA(Z868:Z878),"")</f>
        <v/>
      </c>
      <c r="AF878" s="85" t="str">
        <f>IF(V878&lt;&gt;"",(AA878-SUMPRODUCT(V$3:V878,$B$3:$B878)/SUM($B$3:$B878))/STDEVA(AA868:AA878),"")</f>
        <v/>
      </c>
      <c r="AG878" s="90" t="str">
        <f t="shared" si="354"/>
        <v/>
      </c>
      <c r="AH878" s="90" t="str">
        <f t="shared" si="354"/>
        <v/>
      </c>
      <c r="AI878" s="90" t="str">
        <f t="shared" si="354"/>
        <v/>
      </c>
      <c r="AJ878" s="90" t="str">
        <f t="shared" si="354"/>
        <v/>
      </c>
      <c r="AK878" s="93" t="str">
        <f t="shared" si="355"/>
        <v/>
      </c>
      <c r="BQ878" s="100" t="str">
        <f>IF(A878&lt;&gt;"",(VLOOKUP(A878,MarketData!$D:$BP,MATCH($BQ$1,MarketData!$D$1:$EG$1,0),TRUE)/100/365+1)^(B878)*BQ877,"")</f>
        <v/>
      </c>
      <c r="BR878" s="98" t="str">
        <f t="shared" si="332"/>
        <v/>
      </c>
      <c r="BS878" s="106" t="str">
        <f>IF(A878&lt;&gt;"",VLOOKUP(A878,MarketData!$D:$BP,MATCH($BS$1,MarketData!$D$1:$EG$1,0),TRUE),"")</f>
        <v/>
      </c>
      <c r="BT878" s="98" t="str">
        <f t="shared" si="343"/>
        <v/>
      </c>
    </row>
    <row r="879" spans="2:72" x14ac:dyDescent="0.25">
      <c r="B879" s="60" t="str">
        <f t="shared" si="356"/>
        <v/>
      </c>
      <c r="C879" s="3" t="str">
        <f t="shared" si="333"/>
        <v/>
      </c>
      <c r="D879" s="3" t="str">
        <f t="shared" si="334"/>
        <v/>
      </c>
      <c r="E879" s="3" t="str">
        <f t="shared" si="335"/>
        <v/>
      </c>
      <c r="F879" s="3" t="str">
        <f t="shared" si="336"/>
        <v/>
      </c>
      <c r="G879" s="74" t="str">
        <f t="shared" si="337"/>
        <v/>
      </c>
      <c r="H879" s="78" t="str">
        <f>IFERROR(C879/SUM(M$2:M878),"")</f>
        <v/>
      </c>
      <c r="I879" s="61" t="str">
        <f>IFERROR(D879/SUM(N$2:N879),"")</f>
        <v/>
      </c>
      <c r="J879" s="61" t="str">
        <f>IFERROR(E879/SUM(O$2:O879),"")</f>
        <v/>
      </c>
      <c r="K879" s="61" t="str">
        <f>IFERROR(F879/SUM(P$2:P879),"")</f>
        <v/>
      </c>
      <c r="L879" s="79" t="str">
        <f>IFERROR(G879/SUM(Q$2:Q879),"")</f>
        <v/>
      </c>
      <c r="M879" s="64" t="str">
        <f t="shared" si="338"/>
        <v/>
      </c>
      <c r="N879" s="55" t="str">
        <f t="shared" si="339"/>
        <v/>
      </c>
      <c r="O879" s="55" t="str">
        <f t="shared" si="340"/>
        <v/>
      </c>
      <c r="P879" s="55" t="str">
        <f t="shared" si="341"/>
        <v/>
      </c>
      <c r="Q879" s="65" t="str">
        <f t="shared" si="342"/>
        <v/>
      </c>
      <c r="R879" s="67" t="str">
        <f t="shared" si="344"/>
        <v/>
      </c>
      <c r="S879" s="56" t="str">
        <f t="shared" si="345"/>
        <v/>
      </c>
      <c r="T879" s="56" t="str">
        <f t="shared" si="346"/>
        <v/>
      </c>
      <c r="U879" s="56" t="str">
        <f t="shared" si="347"/>
        <v/>
      </c>
      <c r="V879" s="68" t="str">
        <f t="shared" si="348"/>
        <v/>
      </c>
      <c r="W879" s="80" t="str">
        <f t="shared" si="349"/>
        <v/>
      </c>
      <c r="X879" s="81" t="str">
        <f t="shared" si="350"/>
        <v/>
      </c>
      <c r="Y879" s="81" t="str">
        <f t="shared" si="351"/>
        <v/>
      </c>
      <c r="Z879" s="81" t="str">
        <f t="shared" si="352"/>
        <v/>
      </c>
      <c r="AA879" s="82" t="str">
        <f t="shared" si="353"/>
        <v/>
      </c>
      <c r="AB879" s="83" t="str">
        <f>IF(R879&lt;&gt;"",(W879-SUMPRODUCT(R$3:R879,$B$3:$B879)/SUM($B$3:$B879))/STDEVA(W869:W879),"")</f>
        <v/>
      </c>
      <c r="AC879" s="84" t="str">
        <f>IF(S879&lt;&gt;"",(X879-SUMPRODUCT(S$3:S879,$B$3:$B879)/SUM($B$3:$B879))/STDEVA(X869:X879),"")</f>
        <v/>
      </c>
      <c r="AD879" s="84" t="str">
        <f>IF(T879&lt;&gt;"",(Y879-SUMPRODUCT(T$3:T879,$B$3:$B879)/SUM($B$3:$B879))/STDEVA(Y869:Y879),"")</f>
        <v/>
      </c>
      <c r="AE879" s="84" t="str">
        <f>IF(U879&lt;&gt;"",(Z879-SUMPRODUCT(U$3:U879,$B$3:$B879)/SUM($B$3:$B879))/STDEVA(Z869:Z879),"")</f>
        <v/>
      </c>
      <c r="AF879" s="85" t="str">
        <f>IF(V879&lt;&gt;"",(AA879-SUMPRODUCT(V$3:V879,$B$3:$B879)/SUM($B$3:$B879))/STDEVA(AA869:AA879),"")</f>
        <v/>
      </c>
      <c r="AG879" s="90" t="str">
        <f t="shared" si="354"/>
        <v/>
      </c>
      <c r="AH879" s="90" t="str">
        <f t="shared" si="354"/>
        <v/>
      </c>
      <c r="AI879" s="90" t="str">
        <f t="shared" si="354"/>
        <v/>
      </c>
      <c r="AJ879" s="90" t="str">
        <f t="shared" si="354"/>
        <v/>
      </c>
      <c r="AK879" s="93" t="str">
        <f t="shared" si="355"/>
        <v/>
      </c>
      <c r="BQ879" s="100" t="str">
        <f>IF(A879&lt;&gt;"",(VLOOKUP(A879,MarketData!$D:$BP,MATCH($BQ$1,MarketData!$D$1:$EG$1,0),TRUE)/100/365+1)^(B879)*BQ878,"")</f>
        <v/>
      </c>
      <c r="BR879" s="98" t="str">
        <f t="shared" si="332"/>
        <v/>
      </c>
      <c r="BS879" s="106" t="str">
        <f>IF(A879&lt;&gt;"",VLOOKUP(A879,MarketData!$D:$BP,MATCH($BS$1,MarketData!$D$1:$EG$1,0),TRUE),"")</f>
        <v/>
      </c>
      <c r="BT879" s="98" t="str">
        <f t="shared" si="343"/>
        <v/>
      </c>
    </row>
    <row r="880" spans="2:72" x14ac:dyDescent="0.25">
      <c r="B880" s="60" t="str">
        <f t="shared" si="356"/>
        <v/>
      </c>
      <c r="C880" s="3" t="str">
        <f t="shared" si="333"/>
        <v/>
      </c>
      <c r="D880" s="3" t="str">
        <f t="shared" si="334"/>
        <v/>
      </c>
      <c r="E880" s="3" t="str">
        <f t="shared" si="335"/>
        <v/>
      </c>
      <c r="F880" s="3" t="str">
        <f t="shared" si="336"/>
        <v/>
      </c>
      <c r="G880" s="74" t="str">
        <f t="shared" si="337"/>
        <v/>
      </c>
      <c r="H880" s="78" t="str">
        <f>IFERROR(C880/SUM(M$2:M879),"")</f>
        <v/>
      </c>
      <c r="I880" s="61" t="str">
        <f>IFERROR(D880/SUM(N$2:N880),"")</f>
        <v/>
      </c>
      <c r="J880" s="61" t="str">
        <f>IFERROR(E880/SUM(O$2:O880),"")</f>
        <v/>
      </c>
      <c r="K880" s="61" t="str">
        <f>IFERROR(F880/SUM(P$2:P880),"")</f>
        <v/>
      </c>
      <c r="L880" s="79" t="str">
        <f>IFERROR(G880/SUM(Q$2:Q880),"")</f>
        <v/>
      </c>
      <c r="M880" s="64" t="str">
        <f t="shared" si="338"/>
        <v/>
      </c>
      <c r="N880" s="55" t="str">
        <f t="shared" si="339"/>
        <v/>
      </c>
      <c r="O880" s="55" t="str">
        <f t="shared" si="340"/>
        <v/>
      </c>
      <c r="P880" s="55" t="str">
        <f t="shared" si="341"/>
        <v/>
      </c>
      <c r="Q880" s="65" t="str">
        <f t="shared" si="342"/>
        <v/>
      </c>
      <c r="R880" s="67" t="str">
        <f t="shared" si="344"/>
        <v/>
      </c>
      <c r="S880" s="56" t="str">
        <f t="shared" si="345"/>
        <v/>
      </c>
      <c r="T880" s="56" t="str">
        <f t="shared" si="346"/>
        <v/>
      </c>
      <c r="U880" s="56" t="str">
        <f t="shared" si="347"/>
        <v/>
      </c>
      <c r="V880" s="68" t="str">
        <f t="shared" si="348"/>
        <v/>
      </c>
      <c r="W880" s="80" t="str">
        <f t="shared" si="349"/>
        <v/>
      </c>
      <c r="X880" s="81" t="str">
        <f t="shared" si="350"/>
        <v/>
      </c>
      <c r="Y880" s="81" t="str">
        <f t="shared" si="351"/>
        <v/>
      </c>
      <c r="Z880" s="81" t="str">
        <f t="shared" si="352"/>
        <v/>
      </c>
      <c r="AA880" s="82" t="str">
        <f t="shared" si="353"/>
        <v/>
      </c>
      <c r="AB880" s="83" t="str">
        <f>IF(R880&lt;&gt;"",(W880-SUMPRODUCT(R$3:R880,$B$3:$B880)/SUM($B$3:$B880))/STDEVA(W870:W880),"")</f>
        <v/>
      </c>
      <c r="AC880" s="84" t="str">
        <f>IF(S880&lt;&gt;"",(X880-SUMPRODUCT(S$3:S880,$B$3:$B880)/SUM($B$3:$B880))/STDEVA(X870:X880),"")</f>
        <v/>
      </c>
      <c r="AD880" s="84" t="str">
        <f>IF(T880&lt;&gt;"",(Y880-SUMPRODUCT(T$3:T880,$B$3:$B880)/SUM($B$3:$B880))/STDEVA(Y870:Y880),"")</f>
        <v/>
      </c>
      <c r="AE880" s="84" t="str">
        <f>IF(U880&lt;&gt;"",(Z880-SUMPRODUCT(U$3:U880,$B$3:$B880)/SUM($B$3:$B880))/STDEVA(Z870:Z880),"")</f>
        <v/>
      </c>
      <c r="AF880" s="85" t="str">
        <f>IF(V880&lt;&gt;"",(AA880-SUMPRODUCT(V$3:V880,$B$3:$B880)/SUM($B$3:$B880))/STDEVA(AA870:AA880),"")</f>
        <v/>
      </c>
      <c r="AG880" s="90" t="str">
        <f t="shared" si="354"/>
        <v/>
      </c>
      <c r="AH880" s="90" t="str">
        <f t="shared" si="354"/>
        <v/>
      </c>
      <c r="AI880" s="90" t="str">
        <f t="shared" si="354"/>
        <v/>
      </c>
      <c r="AJ880" s="90" t="str">
        <f t="shared" si="354"/>
        <v/>
      </c>
      <c r="AK880" s="93" t="str">
        <f t="shared" si="355"/>
        <v/>
      </c>
      <c r="BQ880" s="100" t="str">
        <f>IF(A880&lt;&gt;"",(VLOOKUP(A880,MarketData!$D:$BP,MATCH($BQ$1,MarketData!$D$1:$EG$1,0),TRUE)/100/365+1)^(B880)*BQ879,"")</f>
        <v/>
      </c>
      <c r="BR880" s="98" t="str">
        <f t="shared" si="332"/>
        <v/>
      </c>
      <c r="BS880" s="106" t="str">
        <f>IF(A880&lt;&gt;"",VLOOKUP(A880,MarketData!$D:$BP,MATCH($BS$1,MarketData!$D$1:$EG$1,0),TRUE),"")</f>
        <v/>
      </c>
      <c r="BT880" s="98" t="str">
        <f t="shared" si="343"/>
        <v/>
      </c>
    </row>
    <row r="881" spans="2:72" x14ac:dyDescent="0.25">
      <c r="B881" s="60" t="str">
        <f t="shared" si="356"/>
        <v/>
      </c>
      <c r="C881" s="3" t="str">
        <f t="shared" si="333"/>
        <v/>
      </c>
      <c r="D881" s="3" t="str">
        <f t="shared" si="334"/>
        <v/>
      </c>
      <c r="E881" s="3" t="str">
        <f t="shared" si="335"/>
        <v/>
      </c>
      <c r="F881" s="3" t="str">
        <f t="shared" si="336"/>
        <v/>
      </c>
      <c r="G881" s="74" t="str">
        <f t="shared" si="337"/>
        <v/>
      </c>
      <c r="H881" s="78" t="str">
        <f>IFERROR(C881/SUM(M$2:M880),"")</f>
        <v/>
      </c>
      <c r="I881" s="61" t="str">
        <f>IFERROR(D881/SUM(N$2:N881),"")</f>
        <v/>
      </c>
      <c r="J881" s="61" t="str">
        <f>IFERROR(E881/SUM(O$2:O881),"")</f>
        <v/>
      </c>
      <c r="K881" s="61" t="str">
        <f>IFERROR(F881/SUM(P$2:P881),"")</f>
        <v/>
      </c>
      <c r="L881" s="79" t="str">
        <f>IFERROR(G881/SUM(Q$2:Q881),"")</f>
        <v/>
      </c>
      <c r="M881" s="64" t="str">
        <f t="shared" si="338"/>
        <v/>
      </c>
      <c r="N881" s="55" t="str">
        <f t="shared" si="339"/>
        <v/>
      </c>
      <c r="O881" s="55" t="str">
        <f t="shared" si="340"/>
        <v/>
      </c>
      <c r="P881" s="55" t="str">
        <f t="shared" si="341"/>
        <v/>
      </c>
      <c r="Q881" s="65" t="str">
        <f t="shared" si="342"/>
        <v/>
      </c>
      <c r="R881" s="67" t="str">
        <f t="shared" si="344"/>
        <v/>
      </c>
      <c r="S881" s="56" t="str">
        <f t="shared" si="345"/>
        <v/>
      </c>
      <c r="T881" s="56" t="str">
        <f t="shared" si="346"/>
        <v/>
      </c>
      <c r="U881" s="56" t="str">
        <f t="shared" si="347"/>
        <v/>
      </c>
      <c r="V881" s="68" t="str">
        <f t="shared" si="348"/>
        <v/>
      </c>
      <c r="W881" s="80" t="str">
        <f t="shared" si="349"/>
        <v/>
      </c>
      <c r="X881" s="81" t="str">
        <f t="shared" si="350"/>
        <v/>
      </c>
      <c r="Y881" s="81" t="str">
        <f t="shared" si="351"/>
        <v/>
      </c>
      <c r="Z881" s="81" t="str">
        <f t="shared" si="352"/>
        <v/>
      </c>
      <c r="AA881" s="82" t="str">
        <f t="shared" si="353"/>
        <v/>
      </c>
      <c r="AB881" s="83" t="str">
        <f>IF(R881&lt;&gt;"",(W881-SUMPRODUCT(R$3:R881,$B$3:$B881)/SUM($B$3:$B881))/STDEVA(W871:W881),"")</f>
        <v/>
      </c>
      <c r="AC881" s="84" t="str">
        <f>IF(S881&lt;&gt;"",(X881-SUMPRODUCT(S$3:S881,$B$3:$B881)/SUM($B$3:$B881))/STDEVA(X871:X881),"")</f>
        <v/>
      </c>
      <c r="AD881" s="84" t="str">
        <f>IF(T881&lt;&gt;"",(Y881-SUMPRODUCT(T$3:T881,$B$3:$B881)/SUM($B$3:$B881))/STDEVA(Y871:Y881),"")</f>
        <v/>
      </c>
      <c r="AE881" s="84" t="str">
        <f>IF(U881&lt;&gt;"",(Z881-SUMPRODUCT(U$3:U881,$B$3:$B881)/SUM($B$3:$B881))/STDEVA(Z871:Z881),"")</f>
        <v/>
      </c>
      <c r="AF881" s="85" t="str">
        <f>IF(V881&lt;&gt;"",(AA881-SUMPRODUCT(V$3:V881,$B$3:$B881)/SUM($B$3:$B881))/STDEVA(AA871:AA881),"")</f>
        <v/>
      </c>
      <c r="AG881" s="90" t="str">
        <f t="shared" si="354"/>
        <v/>
      </c>
      <c r="AH881" s="90" t="str">
        <f t="shared" si="354"/>
        <v/>
      </c>
      <c r="AI881" s="90" t="str">
        <f t="shared" si="354"/>
        <v/>
      </c>
      <c r="AJ881" s="90" t="str">
        <f t="shared" si="354"/>
        <v/>
      </c>
      <c r="AK881" s="93" t="str">
        <f t="shared" si="355"/>
        <v/>
      </c>
      <c r="BQ881" s="100" t="str">
        <f>IF(A881&lt;&gt;"",(VLOOKUP(A881,MarketData!$D:$BP,MATCH($BQ$1,MarketData!$D$1:$EG$1,0),TRUE)/100/365+1)^(B881)*BQ880,"")</f>
        <v/>
      </c>
      <c r="BR881" s="98" t="str">
        <f t="shared" si="332"/>
        <v/>
      </c>
      <c r="BS881" s="106" t="str">
        <f>IF(A881&lt;&gt;"",VLOOKUP(A881,MarketData!$D:$BP,MATCH($BS$1,MarketData!$D$1:$EG$1,0),TRUE),"")</f>
        <v/>
      </c>
      <c r="BT881" s="98" t="str">
        <f t="shared" si="343"/>
        <v/>
      </c>
    </row>
    <row r="882" spans="2:72" x14ac:dyDescent="0.25">
      <c r="B882" s="60" t="str">
        <f t="shared" si="356"/>
        <v/>
      </c>
      <c r="C882" s="3" t="str">
        <f t="shared" si="333"/>
        <v/>
      </c>
      <c r="D882" s="3" t="str">
        <f t="shared" si="334"/>
        <v/>
      </c>
      <c r="E882" s="3" t="str">
        <f t="shared" si="335"/>
        <v/>
      </c>
      <c r="F882" s="3" t="str">
        <f t="shared" si="336"/>
        <v/>
      </c>
      <c r="G882" s="74" t="str">
        <f t="shared" si="337"/>
        <v/>
      </c>
      <c r="H882" s="78" t="str">
        <f>IFERROR(C882/SUM(M$2:M881),"")</f>
        <v/>
      </c>
      <c r="I882" s="61" t="str">
        <f>IFERROR(D882/SUM(N$2:N882),"")</f>
        <v/>
      </c>
      <c r="J882" s="61" t="str">
        <f>IFERROR(E882/SUM(O$2:O882),"")</f>
        <v/>
      </c>
      <c r="K882" s="61" t="str">
        <f>IFERROR(F882/SUM(P$2:P882),"")</f>
        <v/>
      </c>
      <c r="L882" s="79" t="str">
        <f>IFERROR(G882/SUM(Q$2:Q882),"")</f>
        <v/>
      </c>
      <c r="M882" s="64" t="str">
        <f t="shared" si="338"/>
        <v/>
      </c>
      <c r="N882" s="55" t="str">
        <f t="shared" si="339"/>
        <v/>
      </c>
      <c r="O882" s="55" t="str">
        <f t="shared" si="340"/>
        <v/>
      </c>
      <c r="P882" s="55" t="str">
        <f t="shared" si="341"/>
        <v/>
      </c>
      <c r="Q882" s="65" t="str">
        <f t="shared" si="342"/>
        <v/>
      </c>
      <c r="R882" s="67" t="str">
        <f t="shared" si="344"/>
        <v/>
      </c>
      <c r="S882" s="56" t="str">
        <f t="shared" si="345"/>
        <v/>
      </c>
      <c r="T882" s="56" t="str">
        <f t="shared" si="346"/>
        <v/>
      </c>
      <c r="U882" s="56" t="str">
        <f t="shared" si="347"/>
        <v/>
      </c>
      <c r="V882" s="68" t="str">
        <f t="shared" si="348"/>
        <v/>
      </c>
      <c r="W882" s="80" t="str">
        <f t="shared" si="349"/>
        <v/>
      </c>
      <c r="X882" s="81" t="str">
        <f t="shared" si="350"/>
        <v/>
      </c>
      <c r="Y882" s="81" t="str">
        <f t="shared" si="351"/>
        <v/>
      </c>
      <c r="Z882" s="81" t="str">
        <f t="shared" si="352"/>
        <v/>
      </c>
      <c r="AA882" s="82" t="str">
        <f t="shared" si="353"/>
        <v/>
      </c>
      <c r="AB882" s="83" t="str">
        <f>IF(R882&lt;&gt;"",(W882-SUMPRODUCT(R$3:R882,$B$3:$B882)/SUM($B$3:$B882))/STDEVA(W872:W882),"")</f>
        <v/>
      </c>
      <c r="AC882" s="84" t="str">
        <f>IF(S882&lt;&gt;"",(X882-SUMPRODUCT(S$3:S882,$B$3:$B882)/SUM($B$3:$B882))/STDEVA(X872:X882),"")</f>
        <v/>
      </c>
      <c r="AD882" s="84" t="str">
        <f>IF(T882&lt;&gt;"",(Y882-SUMPRODUCT(T$3:T882,$B$3:$B882)/SUM($B$3:$B882))/STDEVA(Y872:Y882),"")</f>
        <v/>
      </c>
      <c r="AE882" s="84" t="str">
        <f>IF(U882&lt;&gt;"",(Z882-SUMPRODUCT(U$3:U882,$B$3:$B882)/SUM($B$3:$B882))/STDEVA(Z872:Z882),"")</f>
        <v/>
      </c>
      <c r="AF882" s="85" t="str">
        <f>IF(V882&lt;&gt;"",(AA882-SUMPRODUCT(V$3:V882,$B$3:$B882)/SUM($B$3:$B882))/STDEVA(AA872:AA882),"")</f>
        <v/>
      </c>
      <c r="AG882" s="90" t="str">
        <f t="shared" si="354"/>
        <v/>
      </c>
      <c r="AH882" s="90" t="str">
        <f t="shared" si="354"/>
        <v/>
      </c>
      <c r="AI882" s="90" t="str">
        <f t="shared" si="354"/>
        <v/>
      </c>
      <c r="AJ882" s="90" t="str">
        <f t="shared" si="354"/>
        <v/>
      </c>
      <c r="AK882" s="93" t="str">
        <f t="shared" si="355"/>
        <v/>
      </c>
      <c r="BQ882" s="100" t="str">
        <f>IF(A882&lt;&gt;"",(VLOOKUP(A882,MarketData!$D:$BP,MATCH($BQ$1,MarketData!$D$1:$EG$1,0),TRUE)/100/365+1)^(B882)*BQ881,"")</f>
        <v/>
      </c>
      <c r="BR882" s="98" t="str">
        <f t="shared" si="332"/>
        <v/>
      </c>
      <c r="BS882" s="106" t="str">
        <f>IF(A882&lt;&gt;"",VLOOKUP(A882,MarketData!$D:$BP,MATCH($BS$1,MarketData!$D$1:$EG$1,0),TRUE),"")</f>
        <v/>
      </c>
      <c r="BT882" s="98" t="str">
        <f t="shared" si="343"/>
        <v/>
      </c>
    </row>
    <row r="883" spans="2:72" x14ac:dyDescent="0.25">
      <c r="B883" s="60" t="str">
        <f t="shared" si="356"/>
        <v/>
      </c>
      <c r="C883" s="3" t="str">
        <f t="shared" si="333"/>
        <v/>
      </c>
      <c r="D883" s="3" t="str">
        <f t="shared" si="334"/>
        <v/>
      </c>
      <c r="E883" s="3" t="str">
        <f t="shared" si="335"/>
        <v/>
      </c>
      <c r="F883" s="3" t="str">
        <f t="shared" si="336"/>
        <v/>
      </c>
      <c r="G883" s="74" t="str">
        <f t="shared" si="337"/>
        <v/>
      </c>
      <c r="H883" s="78" t="str">
        <f>IFERROR(C883/SUM(M$2:M882),"")</f>
        <v/>
      </c>
      <c r="I883" s="61" t="str">
        <f>IFERROR(D883/SUM(N$2:N883),"")</f>
        <v/>
      </c>
      <c r="J883" s="61" t="str">
        <f>IFERROR(E883/SUM(O$2:O883),"")</f>
        <v/>
      </c>
      <c r="K883" s="61" t="str">
        <f>IFERROR(F883/SUM(P$2:P883),"")</f>
        <v/>
      </c>
      <c r="L883" s="79" t="str">
        <f>IFERROR(G883/SUM(Q$2:Q883),"")</f>
        <v/>
      </c>
      <c r="M883" s="64" t="str">
        <f t="shared" si="338"/>
        <v/>
      </c>
      <c r="N883" s="55" t="str">
        <f t="shared" si="339"/>
        <v/>
      </c>
      <c r="O883" s="55" t="str">
        <f t="shared" si="340"/>
        <v/>
      </c>
      <c r="P883" s="55" t="str">
        <f t="shared" si="341"/>
        <v/>
      </c>
      <c r="Q883" s="65" t="str">
        <f t="shared" si="342"/>
        <v/>
      </c>
      <c r="R883" s="67" t="str">
        <f t="shared" si="344"/>
        <v/>
      </c>
      <c r="S883" s="56" t="str">
        <f t="shared" si="345"/>
        <v/>
      </c>
      <c r="T883" s="56" t="str">
        <f t="shared" si="346"/>
        <v/>
      </c>
      <c r="U883" s="56" t="str">
        <f t="shared" si="347"/>
        <v/>
      </c>
      <c r="V883" s="68" t="str">
        <f t="shared" si="348"/>
        <v/>
      </c>
      <c r="W883" s="80" t="str">
        <f t="shared" si="349"/>
        <v/>
      </c>
      <c r="X883" s="81" t="str">
        <f t="shared" si="350"/>
        <v/>
      </c>
      <c r="Y883" s="81" t="str">
        <f t="shared" si="351"/>
        <v/>
      </c>
      <c r="Z883" s="81" t="str">
        <f t="shared" si="352"/>
        <v/>
      </c>
      <c r="AA883" s="82" t="str">
        <f t="shared" si="353"/>
        <v/>
      </c>
      <c r="AB883" s="83" t="str">
        <f>IF(R883&lt;&gt;"",(W883-SUMPRODUCT(R$3:R883,$B$3:$B883)/SUM($B$3:$B883))/STDEVA(W873:W883),"")</f>
        <v/>
      </c>
      <c r="AC883" s="84" t="str">
        <f>IF(S883&lt;&gt;"",(X883-SUMPRODUCT(S$3:S883,$B$3:$B883)/SUM($B$3:$B883))/STDEVA(X873:X883),"")</f>
        <v/>
      </c>
      <c r="AD883" s="84" t="str">
        <f>IF(T883&lt;&gt;"",(Y883-SUMPRODUCT(T$3:T883,$B$3:$B883)/SUM($B$3:$B883))/STDEVA(Y873:Y883),"")</f>
        <v/>
      </c>
      <c r="AE883" s="84" t="str">
        <f>IF(U883&lt;&gt;"",(Z883-SUMPRODUCT(U$3:U883,$B$3:$B883)/SUM($B$3:$B883))/STDEVA(Z873:Z883),"")</f>
        <v/>
      </c>
      <c r="AF883" s="85" t="str">
        <f>IF(V883&lt;&gt;"",(AA883-SUMPRODUCT(V$3:V883,$B$3:$B883)/SUM($B$3:$B883))/STDEVA(AA873:AA883),"")</f>
        <v/>
      </c>
      <c r="AG883" s="90" t="str">
        <f t="shared" si="354"/>
        <v/>
      </c>
      <c r="AH883" s="90" t="str">
        <f t="shared" si="354"/>
        <v/>
      </c>
      <c r="AI883" s="90" t="str">
        <f t="shared" si="354"/>
        <v/>
      </c>
      <c r="AJ883" s="90" t="str">
        <f t="shared" si="354"/>
        <v/>
      </c>
      <c r="AK883" s="93" t="str">
        <f t="shared" si="355"/>
        <v/>
      </c>
      <c r="BQ883" s="100" t="str">
        <f>IF(A883&lt;&gt;"",(VLOOKUP(A883,MarketData!$D:$BP,MATCH($BQ$1,MarketData!$D$1:$EG$1,0),TRUE)/100/365+1)^(B883)*BQ882,"")</f>
        <v/>
      </c>
      <c r="BR883" s="98" t="str">
        <f t="shared" si="332"/>
        <v/>
      </c>
      <c r="BS883" s="106" t="str">
        <f>IF(A883&lt;&gt;"",VLOOKUP(A883,MarketData!$D:$BP,MATCH($BS$1,MarketData!$D$1:$EG$1,0),TRUE),"")</f>
        <v/>
      </c>
      <c r="BT883" s="98" t="str">
        <f t="shared" si="343"/>
        <v/>
      </c>
    </row>
    <row r="884" spans="2:72" x14ac:dyDescent="0.25">
      <c r="B884" s="60" t="str">
        <f t="shared" si="356"/>
        <v/>
      </c>
      <c r="C884" s="3" t="str">
        <f t="shared" si="333"/>
        <v/>
      </c>
      <c r="D884" s="3" t="str">
        <f t="shared" si="334"/>
        <v/>
      </c>
      <c r="E884" s="3" t="str">
        <f t="shared" si="335"/>
        <v/>
      </c>
      <c r="F884" s="3" t="str">
        <f t="shared" si="336"/>
        <v/>
      </c>
      <c r="G884" s="74" t="str">
        <f t="shared" si="337"/>
        <v/>
      </c>
      <c r="H884" s="78" t="str">
        <f>IFERROR(C884/SUM(M$2:M883),"")</f>
        <v/>
      </c>
      <c r="I884" s="61" t="str">
        <f>IFERROR(D884/SUM(N$2:N884),"")</f>
        <v/>
      </c>
      <c r="J884" s="61" t="str">
        <f>IFERROR(E884/SUM(O$2:O884),"")</f>
        <v/>
      </c>
      <c r="K884" s="61" t="str">
        <f>IFERROR(F884/SUM(P$2:P884),"")</f>
        <v/>
      </c>
      <c r="L884" s="79" t="str">
        <f>IFERROR(G884/SUM(Q$2:Q884),"")</f>
        <v/>
      </c>
      <c r="M884" s="64" t="str">
        <f t="shared" si="338"/>
        <v/>
      </c>
      <c r="N884" s="55" t="str">
        <f t="shared" si="339"/>
        <v/>
      </c>
      <c r="O884" s="55" t="str">
        <f t="shared" si="340"/>
        <v/>
      </c>
      <c r="P884" s="55" t="str">
        <f t="shared" si="341"/>
        <v/>
      </c>
      <c r="Q884" s="65" t="str">
        <f t="shared" si="342"/>
        <v/>
      </c>
      <c r="R884" s="67" t="str">
        <f t="shared" si="344"/>
        <v/>
      </c>
      <c r="S884" s="56" t="str">
        <f t="shared" si="345"/>
        <v/>
      </c>
      <c r="T884" s="56" t="str">
        <f t="shared" si="346"/>
        <v/>
      </c>
      <c r="U884" s="56" t="str">
        <f t="shared" si="347"/>
        <v/>
      </c>
      <c r="V884" s="68" t="str">
        <f t="shared" si="348"/>
        <v/>
      </c>
      <c r="W884" s="80" t="str">
        <f t="shared" si="349"/>
        <v/>
      </c>
      <c r="X884" s="81" t="str">
        <f t="shared" si="350"/>
        <v/>
      </c>
      <c r="Y884" s="81" t="str">
        <f t="shared" si="351"/>
        <v/>
      </c>
      <c r="Z884" s="81" t="str">
        <f t="shared" si="352"/>
        <v/>
      </c>
      <c r="AA884" s="82" t="str">
        <f t="shared" si="353"/>
        <v/>
      </c>
      <c r="AB884" s="83" t="str">
        <f>IF(R884&lt;&gt;"",(W884-SUMPRODUCT(R$3:R884,$B$3:$B884)/SUM($B$3:$B884))/STDEVA(W874:W884),"")</f>
        <v/>
      </c>
      <c r="AC884" s="84" t="str">
        <f>IF(S884&lt;&gt;"",(X884-SUMPRODUCT(S$3:S884,$B$3:$B884)/SUM($B$3:$B884))/STDEVA(X874:X884),"")</f>
        <v/>
      </c>
      <c r="AD884" s="84" t="str">
        <f>IF(T884&lt;&gt;"",(Y884-SUMPRODUCT(T$3:T884,$B$3:$B884)/SUM($B$3:$B884))/STDEVA(Y874:Y884),"")</f>
        <v/>
      </c>
      <c r="AE884" s="84" t="str">
        <f>IF(U884&lt;&gt;"",(Z884-SUMPRODUCT(U$3:U884,$B$3:$B884)/SUM($B$3:$B884))/STDEVA(Z874:Z884),"")</f>
        <v/>
      </c>
      <c r="AF884" s="85" t="str">
        <f>IF(V884&lt;&gt;"",(AA884-SUMPRODUCT(V$3:V884,$B$3:$B884)/SUM($B$3:$B884))/STDEVA(AA874:AA884),"")</f>
        <v/>
      </c>
      <c r="AG884" s="90" t="str">
        <f t="shared" si="354"/>
        <v/>
      </c>
      <c r="AH884" s="90" t="str">
        <f t="shared" si="354"/>
        <v/>
      </c>
      <c r="AI884" s="90" t="str">
        <f t="shared" si="354"/>
        <v/>
      </c>
      <c r="AJ884" s="90" t="str">
        <f t="shared" si="354"/>
        <v/>
      </c>
      <c r="AK884" s="93" t="str">
        <f t="shared" si="355"/>
        <v/>
      </c>
      <c r="BQ884" s="100" t="str">
        <f>IF(A884&lt;&gt;"",(VLOOKUP(A884,MarketData!$D:$BP,MATCH($BQ$1,MarketData!$D$1:$EG$1,0),TRUE)/100/365+1)^(B884)*BQ883,"")</f>
        <v/>
      </c>
      <c r="BR884" s="98" t="str">
        <f t="shared" si="332"/>
        <v/>
      </c>
      <c r="BS884" s="106" t="str">
        <f>IF(A884&lt;&gt;"",VLOOKUP(A884,MarketData!$D:$BP,MATCH($BS$1,MarketData!$D$1:$EG$1,0),TRUE),"")</f>
        <v/>
      </c>
      <c r="BT884" s="98" t="str">
        <f t="shared" si="343"/>
        <v/>
      </c>
    </row>
    <row r="885" spans="2:72" x14ac:dyDescent="0.25">
      <c r="B885" s="60" t="str">
        <f t="shared" si="356"/>
        <v/>
      </c>
      <c r="C885" s="3" t="str">
        <f t="shared" si="333"/>
        <v/>
      </c>
      <c r="D885" s="3" t="str">
        <f t="shared" si="334"/>
        <v/>
      </c>
      <c r="E885" s="3" t="str">
        <f t="shared" si="335"/>
        <v/>
      </c>
      <c r="F885" s="3" t="str">
        <f t="shared" si="336"/>
        <v/>
      </c>
      <c r="G885" s="74" t="str">
        <f t="shared" si="337"/>
        <v/>
      </c>
      <c r="H885" s="78" t="str">
        <f>IFERROR(C885/SUM(M$2:M884),"")</f>
        <v/>
      </c>
      <c r="I885" s="61" t="str">
        <f>IFERROR(D885/SUM(N$2:N885),"")</f>
        <v/>
      </c>
      <c r="J885" s="61" t="str">
        <f>IFERROR(E885/SUM(O$2:O885),"")</f>
        <v/>
      </c>
      <c r="K885" s="61" t="str">
        <f>IFERROR(F885/SUM(P$2:P885),"")</f>
        <v/>
      </c>
      <c r="L885" s="79" t="str">
        <f>IFERROR(G885/SUM(Q$2:Q885),"")</f>
        <v/>
      </c>
      <c r="M885" s="64" t="str">
        <f t="shared" si="338"/>
        <v/>
      </c>
      <c r="N885" s="55" t="str">
        <f t="shared" si="339"/>
        <v/>
      </c>
      <c r="O885" s="55" t="str">
        <f t="shared" si="340"/>
        <v/>
      </c>
      <c r="P885" s="55" t="str">
        <f t="shared" si="341"/>
        <v/>
      </c>
      <c r="Q885" s="65" t="str">
        <f t="shared" si="342"/>
        <v/>
      </c>
      <c r="R885" s="67" t="str">
        <f t="shared" si="344"/>
        <v/>
      </c>
      <c r="S885" s="56" t="str">
        <f t="shared" si="345"/>
        <v/>
      </c>
      <c r="T885" s="56" t="str">
        <f t="shared" si="346"/>
        <v/>
      </c>
      <c r="U885" s="56" t="str">
        <f t="shared" si="347"/>
        <v/>
      </c>
      <c r="V885" s="68" t="str">
        <f t="shared" si="348"/>
        <v/>
      </c>
      <c r="W885" s="80" t="str">
        <f t="shared" si="349"/>
        <v/>
      </c>
      <c r="X885" s="81" t="str">
        <f t="shared" si="350"/>
        <v/>
      </c>
      <c r="Y885" s="81" t="str">
        <f t="shared" si="351"/>
        <v/>
      </c>
      <c r="Z885" s="81" t="str">
        <f t="shared" si="352"/>
        <v/>
      </c>
      <c r="AA885" s="82" t="str">
        <f t="shared" si="353"/>
        <v/>
      </c>
      <c r="AB885" s="83" t="str">
        <f>IF(R885&lt;&gt;"",(W885-SUMPRODUCT(R$3:R885,$B$3:$B885)/SUM($B$3:$B885))/STDEVA(W875:W885),"")</f>
        <v/>
      </c>
      <c r="AC885" s="84" t="str">
        <f>IF(S885&lt;&gt;"",(X885-SUMPRODUCT(S$3:S885,$B$3:$B885)/SUM($B$3:$B885))/STDEVA(X875:X885),"")</f>
        <v/>
      </c>
      <c r="AD885" s="84" t="str">
        <f>IF(T885&lt;&gt;"",(Y885-SUMPRODUCT(T$3:T885,$B$3:$B885)/SUM($B$3:$B885))/STDEVA(Y875:Y885),"")</f>
        <v/>
      </c>
      <c r="AE885" s="84" t="str">
        <f>IF(U885&lt;&gt;"",(Z885-SUMPRODUCT(U$3:U885,$B$3:$B885)/SUM($B$3:$B885))/STDEVA(Z875:Z885),"")</f>
        <v/>
      </c>
      <c r="AF885" s="85" t="str">
        <f>IF(V885&lt;&gt;"",(AA885-SUMPRODUCT(V$3:V885,$B$3:$B885)/SUM($B$3:$B885))/STDEVA(AA875:AA885),"")</f>
        <v/>
      </c>
      <c r="AG885" s="90" t="str">
        <f t="shared" si="354"/>
        <v/>
      </c>
      <c r="AH885" s="90" t="str">
        <f t="shared" si="354"/>
        <v/>
      </c>
      <c r="AI885" s="90" t="str">
        <f t="shared" si="354"/>
        <v/>
      </c>
      <c r="AJ885" s="90" t="str">
        <f t="shared" si="354"/>
        <v/>
      </c>
      <c r="AK885" s="93" t="str">
        <f t="shared" si="355"/>
        <v/>
      </c>
      <c r="BQ885" s="100" t="str">
        <f>IF(A885&lt;&gt;"",(VLOOKUP(A885,MarketData!$D:$BP,MATCH($BQ$1,MarketData!$D$1:$EG$1,0),TRUE)/100/365+1)^(B885)*BQ884,"")</f>
        <v/>
      </c>
      <c r="BR885" s="98" t="str">
        <f t="shared" si="332"/>
        <v/>
      </c>
      <c r="BS885" s="106" t="str">
        <f>IF(A885&lt;&gt;"",VLOOKUP(A885,MarketData!$D:$BP,MATCH($BS$1,MarketData!$D$1:$EG$1,0),TRUE),"")</f>
        <v/>
      </c>
      <c r="BT885" s="98" t="str">
        <f t="shared" si="343"/>
        <v/>
      </c>
    </row>
    <row r="886" spans="2:72" x14ac:dyDescent="0.25">
      <c r="B886" s="60" t="str">
        <f t="shared" si="356"/>
        <v/>
      </c>
      <c r="C886" s="3" t="str">
        <f t="shared" si="333"/>
        <v/>
      </c>
      <c r="D886" s="3" t="str">
        <f t="shared" si="334"/>
        <v/>
      </c>
      <c r="E886" s="3" t="str">
        <f t="shared" si="335"/>
        <v/>
      </c>
      <c r="F886" s="3" t="str">
        <f t="shared" si="336"/>
        <v/>
      </c>
      <c r="G886" s="74" t="str">
        <f t="shared" si="337"/>
        <v/>
      </c>
      <c r="H886" s="78" t="str">
        <f>IFERROR(C886/SUM(M$2:M885),"")</f>
        <v/>
      </c>
      <c r="I886" s="61" t="str">
        <f>IFERROR(D886/SUM(N$2:N886),"")</f>
        <v/>
      </c>
      <c r="J886" s="61" t="str">
        <f>IFERROR(E886/SUM(O$2:O886),"")</f>
        <v/>
      </c>
      <c r="K886" s="61" t="str">
        <f>IFERROR(F886/SUM(P$2:P886),"")</f>
        <v/>
      </c>
      <c r="L886" s="79" t="str">
        <f>IFERROR(G886/SUM(Q$2:Q886),"")</f>
        <v/>
      </c>
      <c r="M886" s="64" t="str">
        <f t="shared" si="338"/>
        <v/>
      </c>
      <c r="N886" s="55" t="str">
        <f t="shared" si="339"/>
        <v/>
      </c>
      <c r="O886" s="55" t="str">
        <f t="shared" si="340"/>
        <v/>
      </c>
      <c r="P886" s="55" t="str">
        <f t="shared" si="341"/>
        <v/>
      </c>
      <c r="Q886" s="65" t="str">
        <f t="shared" si="342"/>
        <v/>
      </c>
      <c r="R886" s="67" t="str">
        <f t="shared" si="344"/>
        <v/>
      </c>
      <c r="S886" s="56" t="str">
        <f t="shared" si="345"/>
        <v/>
      </c>
      <c r="T886" s="56" t="str">
        <f t="shared" si="346"/>
        <v/>
      </c>
      <c r="U886" s="56" t="str">
        <f t="shared" si="347"/>
        <v/>
      </c>
      <c r="V886" s="68" t="str">
        <f t="shared" si="348"/>
        <v/>
      </c>
      <c r="W886" s="80" t="str">
        <f t="shared" si="349"/>
        <v/>
      </c>
      <c r="X886" s="81" t="str">
        <f t="shared" si="350"/>
        <v/>
      </c>
      <c r="Y886" s="81" t="str">
        <f t="shared" si="351"/>
        <v/>
      </c>
      <c r="Z886" s="81" t="str">
        <f t="shared" si="352"/>
        <v/>
      </c>
      <c r="AA886" s="82" t="str">
        <f t="shared" si="353"/>
        <v/>
      </c>
      <c r="AB886" s="83" t="str">
        <f>IF(R886&lt;&gt;"",(W886-SUMPRODUCT(R$3:R886,$B$3:$B886)/SUM($B$3:$B886))/STDEVA(W876:W886),"")</f>
        <v/>
      </c>
      <c r="AC886" s="84" t="str">
        <f>IF(S886&lt;&gt;"",(X886-SUMPRODUCT(S$3:S886,$B$3:$B886)/SUM($B$3:$B886))/STDEVA(X876:X886),"")</f>
        <v/>
      </c>
      <c r="AD886" s="84" t="str">
        <f>IF(T886&lt;&gt;"",(Y886-SUMPRODUCT(T$3:T886,$B$3:$B886)/SUM($B$3:$B886))/STDEVA(Y876:Y886),"")</f>
        <v/>
      </c>
      <c r="AE886" s="84" t="str">
        <f>IF(U886&lt;&gt;"",(Z886-SUMPRODUCT(U$3:U886,$B$3:$B886)/SUM($B$3:$B886))/STDEVA(Z876:Z886),"")</f>
        <v/>
      </c>
      <c r="AF886" s="85" t="str">
        <f>IF(V886&lt;&gt;"",(AA886-SUMPRODUCT(V$3:V886,$B$3:$B886)/SUM($B$3:$B886))/STDEVA(AA876:AA886),"")</f>
        <v/>
      </c>
      <c r="AG886" s="90" t="str">
        <f t="shared" si="354"/>
        <v/>
      </c>
      <c r="AH886" s="90" t="str">
        <f t="shared" si="354"/>
        <v/>
      </c>
      <c r="AI886" s="90" t="str">
        <f t="shared" si="354"/>
        <v/>
      </c>
      <c r="AJ886" s="90" t="str">
        <f t="shared" si="354"/>
        <v/>
      </c>
      <c r="AK886" s="93" t="str">
        <f t="shared" si="355"/>
        <v/>
      </c>
      <c r="BQ886" s="100" t="str">
        <f>IF(A886&lt;&gt;"",(VLOOKUP(A886,MarketData!$D:$BP,MATCH($BQ$1,MarketData!$D$1:$EG$1,0),TRUE)/100/365+1)^(B886)*BQ885,"")</f>
        <v/>
      </c>
      <c r="BR886" s="98" t="str">
        <f t="shared" si="332"/>
        <v/>
      </c>
      <c r="BS886" s="106" t="str">
        <f>IF(A886&lt;&gt;"",VLOOKUP(A886,MarketData!$D:$BP,MATCH($BS$1,MarketData!$D$1:$EG$1,0),TRUE),"")</f>
        <v/>
      </c>
      <c r="BT886" s="98" t="str">
        <f t="shared" si="343"/>
        <v/>
      </c>
    </row>
    <row r="887" spans="2:72" x14ac:dyDescent="0.25">
      <c r="B887" s="60" t="str">
        <f t="shared" si="356"/>
        <v/>
      </c>
      <c r="C887" s="3" t="str">
        <f t="shared" si="333"/>
        <v/>
      </c>
      <c r="D887" s="3" t="str">
        <f t="shared" si="334"/>
        <v/>
      </c>
      <c r="E887" s="3" t="str">
        <f t="shared" si="335"/>
        <v/>
      </c>
      <c r="F887" s="3" t="str">
        <f t="shared" si="336"/>
        <v/>
      </c>
      <c r="G887" s="74" t="str">
        <f t="shared" si="337"/>
        <v/>
      </c>
      <c r="H887" s="78" t="str">
        <f>IFERROR(C887/SUM(M$2:M886),"")</f>
        <v/>
      </c>
      <c r="I887" s="61" t="str">
        <f>IFERROR(D887/SUM(N$2:N887),"")</f>
        <v/>
      </c>
      <c r="J887" s="61" t="str">
        <f>IFERROR(E887/SUM(O$2:O887),"")</f>
        <v/>
      </c>
      <c r="K887" s="61" t="str">
        <f>IFERROR(F887/SUM(P$2:P887),"")</f>
        <v/>
      </c>
      <c r="L887" s="79" t="str">
        <f>IFERROR(G887/SUM(Q$2:Q887),"")</f>
        <v/>
      </c>
      <c r="M887" s="64" t="str">
        <f t="shared" si="338"/>
        <v/>
      </c>
      <c r="N887" s="55" t="str">
        <f t="shared" si="339"/>
        <v/>
      </c>
      <c r="O887" s="55" t="str">
        <f t="shared" si="340"/>
        <v/>
      </c>
      <c r="P887" s="55" t="str">
        <f t="shared" si="341"/>
        <v/>
      </c>
      <c r="Q887" s="65" t="str">
        <f t="shared" si="342"/>
        <v/>
      </c>
      <c r="R887" s="67" t="str">
        <f t="shared" si="344"/>
        <v/>
      </c>
      <c r="S887" s="56" t="str">
        <f t="shared" si="345"/>
        <v/>
      </c>
      <c r="T887" s="56" t="str">
        <f t="shared" si="346"/>
        <v/>
      </c>
      <c r="U887" s="56" t="str">
        <f t="shared" si="347"/>
        <v/>
      </c>
      <c r="V887" s="68" t="str">
        <f t="shared" si="348"/>
        <v/>
      </c>
      <c r="W887" s="80" t="str">
        <f t="shared" si="349"/>
        <v/>
      </c>
      <c r="X887" s="81" t="str">
        <f t="shared" si="350"/>
        <v/>
      </c>
      <c r="Y887" s="81" t="str">
        <f t="shared" si="351"/>
        <v/>
      </c>
      <c r="Z887" s="81" t="str">
        <f t="shared" si="352"/>
        <v/>
      </c>
      <c r="AA887" s="82" t="str">
        <f t="shared" si="353"/>
        <v/>
      </c>
      <c r="AB887" s="83" t="str">
        <f>IF(R887&lt;&gt;"",(W887-SUMPRODUCT(R$3:R887,$B$3:$B887)/SUM($B$3:$B887))/STDEVA(W877:W887),"")</f>
        <v/>
      </c>
      <c r="AC887" s="84" t="str">
        <f>IF(S887&lt;&gt;"",(X887-SUMPRODUCT(S$3:S887,$B$3:$B887)/SUM($B$3:$B887))/STDEVA(X877:X887),"")</f>
        <v/>
      </c>
      <c r="AD887" s="84" t="str">
        <f>IF(T887&lt;&gt;"",(Y887-SUMPRODUCT(T$3:T887,$B$3:$B887)/SUM($B$3:$B887))/STDEVA(Y877:Y887),"")</f>
        <v/>
      </c>
      <c r="AE887" s="84" t="str">
        <f>IF(U887&lt;&gt;"",(Z887-SUMPRODUCT(U$3:U887,$B$3:$B887)/SUM($B$3:$B887))/STDEVA(Z877:Z887),"")</f>
        <v/>
      </c>
      <c r="AF887" s="85" t="str">
        <f>IF(V887&lt;&gt;"",(AA887-SUMPRODUCT(V$3:V887,$B$3:$B887)/SUM($B$3:$B887))/STDEVA(AA877:AA887),"")</f>
        <v/>
      </c>
      <c r="AG887" s="90" t="str">
        <f t="shared" si="354"/>
        <v/>
      </c>
      <c r="AH887" s="90" t="str">
        <f t="shared" si="354"/>
        <v/>
      </c>
      <c r="AI887" s="90" t="str">
        <f t="shared" si="354"/>
        <v/>
      </c>
      <c r="AJ887" s="90" t="str">
        <f t="shared" si="354"/>
        <v/>
      </c>
      <c r="AK887" s="93" t="str">
        <f t="shared" si="355"/>
        <v/>
      </c>
      <c r="BQ887" s="100" t="str">
        <f>IF(A887&lt;&gt;"",(VLOOKUP(A887,MarketData!$D:$BP,MATCH($BQ$1,MarketData!$D$1:$EG$1,0),TRUE)/100/365+1)^(B887)*BQ886,"")</f>
        <v/>
      </c>
      <c r="BR887" s="98" t="str">
        <f t="shared" si="332"/>
        <v/>
      </c>
      <c r="BS887" s="106" t="str">
        <f>IF(A887&lt;&gt;"",VLOOKUP(A887,MarketData!$D:$BP,MATCH($BS$1,MarketData!$D$1:$EG$1,0),TRUE),"")</f>
        <v/>
      </c>
      <c r="BT887" s="98" t="str">
        <f t="shared" si="343"/>
        <v/>
      </c>
    </row>
    <row r="888" spans="2:72" x14ac:dyDescent="0.25">
      <c r="B888" s="60" t="str">
        <f t="shared" si="356"/>
        <v/>
      </c>
      <c r="C888" s="3" t="str">
        <f t="shared" si="333"/>
        <v/>
      </c>
      <c r="D888" s="3" t="str">
        <f t="shared" si="334"/>
        <v/>
      </c>
      <c r="E888" s="3" t="str">
        <f t="shared" si="335"/>
        <v/>
      </c>
      <c r="F888" s="3" t="str">
        <f t="shared" si="336"/>
        <v/>
      </c>
      <c r="G888" s="74" t="str">
        <f t="shared" si="337"/>
        <v/>
      </c>
      <c r="H888" s="78" t="str">
        <f>IFERROR(C888/SUM(M$2:M887),"")</f>
        <v/>
      </c>
      <c r="I888" s="61" t="str">
        <f>IFERROR(D888/SUM(N$2:N888),"")</f>
        <v/>
      </c>
      <c r="J888" s="61" t="str">
        <f>IFERROR(E888/SUM(O$2:O888),"")</f>
        <v/>
      </c>
      <c r="K888" s="61" t="str">
        <f>IFERROR(F888/SUM(P$2:P888),"")</f>
        <v/>
      </c>
      <c r="L888" s="79" t="str">
        <f>IFERROR(G888/SUM(Q$2:Q888),"")</f>
        <v/>
      </c>
      <c r="M888" s="64" t="str">
        <f t="shared" si="338"/>
        <v/>
      </c>
      <c r="N888" s="55" t="str">
        <f t="shared" si="339"/>
        <v/>
      </c>
      <c r="O888" s="55" t="str">
        <f t="shared" si="340"/>
        <v/>
      </c>
      <c r="P888" s="55" t="str">
        <f t="shared" si="341"/>
        <v/>
      </c>
      <c r="Q888" s="65" t="str">
        <f t="shared" si="342"/>
        <v/>
      </c>
      <c r="R888" s="67" t="str">
        <f t="shared" si="344"/>
        <v/>
      </c>
      <c r="S888" s="56" t="str">
        <f t="shared" si="345"/>
        <v/>
      </c>
      <c r="T888" s="56" t="str">
        <f t="shared" si="346"/>
        <v/>
      </c>
      <c r="U888" s="56" t="str">
        <f t="shared" si="347"/>
        <v/>
      </c>
      <c r="V888" s="68" t="str">
        <f t="shared" si="348"/>
        <v/>
      </c>
      <c r="W888" s="80" t="str">
        <f t="shared" si="349"/>
        <v/>
      </c>
      <c r="X888" s="81" t="str">
        <f t="shared" si="350"/>
        <v/>
      </c>
      <c r="Y888" s="81" t="str">
        <f t="shared" si="351"/>
        <v/>
      </c>
      <c r="Z888" s="81" t="str">
        <f t="shared" si="352"/>
        <v/>
      </c>
      <c r="AA888" s="82" t="str">
        <f t="shared" si="353"/>
        <v/>
      </c>
      <c r="AB888" s="83" t="str">
        <f>IF(R888&lt;&gt;"",(W888-SUMPRODUCT(R$3:R888,$B$3:$B888)/SUM($B$3:$B888))/STDEVA(W878:W888),"")</f>
        <v/>
      </c>
      <c r="AC888" s="84" t="str">
        <f>IF(S888&lt;&gt;"",(X888-SUMPRODUCT(S$3:S888,$B$3:$B888)/SUM($B$3:$B888))/STDEVA(X878:X888),"")</f>
        <v/>
      </c>
      <c r="AD888" s="84" t="str">
        <f>IF(T888&lt;&gt;"",(Y888-SUMPRODUCT(T$3:T888,$B$3:$B888)/SUM($B$3:$B888))/STDEVA(Y878:Y888),"")</f>
        <v/>
      </c>
      <c r="AE888" s="84" t="str">
        <f>IF(U888&lt;&gt;"",(Z888-SUMPRODUCT(U$3:U888,$B$3:$B888)/SUM($B$3:$B888))/STDEVA(Z878:Z888),"")</f>
        <v/>
      </c>
      <c r="AF888" s="85" t="str">
        <f>IF(V888&lt;&gt;"",(AA888-SUMPRODUCT(V$3:V888,$B$3:$B888)/SUM($B$3:$B888))/STDEVA(AA878:AA888),"")</f>
        <v/>
      </c>
      <c r="AG888" s="90" t="str">
        <f t="shared" si="354"/>
        <v/>
      </c>
      <c r="AH888" s="90" t="str">
        <f t="shared" si="354"/>
        <v/>
      </c>
      <c r="AI888" s="90" t="str">
        <f t="shared" si="354"/>
        <v/>
      </c>
      <c r="AJ888" s="90" t="str">
        <f t="shared" si="354"/>
        <v/>
      </c>
      <c r="AK888" s="93" t="str">
        <f t="shared" si="355"/>
        <v/>
      </c>
      <c r="BQ888" s="100" t="str">
        <f>IF(A888&lt;&gt;"",(VLOOKUP(A888,MarketData!$D:$BP,MATCH($BQ$1,MarketData!$D$1:$EG$1,0),TRUE)/100/365+1)^(B888)*BQ887,"")</f>
        <v/>
      </c>
      <c r="BR888" s="98" t="str">
        <f t="shared" si="332"/>
        <v/>
      </c>
      <c r="BS888" s="106" t="str">
        <f>IF(A888&lt;&gt;"",VLOOKUP(A888,MarketData!$D:$BP,MATCH($BS$1,MarketData!$D$1:$EG$1,0),TRUE),"")</f>
        <v/>
      </c>
      <c r="BT888" s="98" t="str">
        <f t="shared" si="343"/>
        <v/>
      </c>
    </row>
    <row r="889" spans="2:72" x14ac:dyDescent="0.25">
      <c r="B889" s="60" t="str">
        <f t="shared" si="356"/>
        <v/>
      </c>
      <c r="C889" s="3" t="str">
        <f t="shared" si="333"/>
        <v/>
      </c>
      <c r="D889" s="3" t="str">
        <f t="shared" si="334"/>
        <v/>
      </c>
      <c r="E889" s="3" t="str">
        <f t="shared" si="335"/>
        <v/>
      </c>
      <c r="F889" s="3" t="str">
        <f t="shared" si="336"/>
        <v/>
      </c>
      <c r="G889" s="74" t="str">
        <f t="shared" si="337"/>
        <v/>
      </c>
      <c r="H889" s="78" t="str">
        <f>IFERROR(C889/SUM(M$2:M888),"")</f>
        <v/>
      </c>
      <c r="I889" s="61" t="str">
        <f>IFERROR(D889/SUM(N$2:N889),"")</f>
        <v/>
      </c>
      <c r="J889" s="61" t="str">
        <f>IFERROR(E889/SUM(O$2:O889),"")</f>
        <v/>
      </c>
      <c r="K889" s="61" t="str">
        <f>IFERROR(F889/SUM(P$2:P889),"")</f>
        <v/>
      </c>
      <c r="L889" s="79" t="str">
        <f>IFERROR(G889/SUM(Q$2:Q889),"")</f>
        <v/>
      </c>
      <c r="M889" s="64" t="str">
        <f t="shared" si="338"/>
        <v/>
      </c>
      <c r="N889" s="55" t="str">
        <f t="shared" si="339"/>
        <v/>
      </c>
      <c r="O889" s="55" t="str">
        <f t="shared" si="340"/>
        <v/>
      </c>
      <c r="P889" s="55" t="str">
        <f t="shared" si="341"/>
        <v/>
      </c>
      <c r="Q889" s="65" t="str">
        <f t="shared" si="342"/>
        <v/>
      </c>
      <c r="R889" s="67" t="str">
        <f t="shared" si="344"/>
        <v/>
      </c>
      <c r="S889" s="56" t="str">
        <f t="shared" si="345"/>
        <v/>
      </c>
      <c r="T889" s="56" t="str">
        <f t="shared" si="346"/>
        <v/>
      </c>
      <c r="U889" s="56" t="str">
        <f t="shared" si="347"/>
        <v/>
      </c>
      <c r="V889" s="68" t="str">
        <f t="shared" si="348"/>
        <v/>
      </c>
      <c r="W889" s="80" t="str">
        <f t="shared" si="349"/>
        <v/>
      </c>
      <c r="X889" s="81" t="str">
        <f t="shared" si="350"/>
        <v/>
      </c>
      <c r="Y889" s="81" t="str">
        <f t="shared" si="351"/>
        <v/>
      </c>
      <c r="Z889" s="81" t="str">
        <f t="shared" si="352"/>
        <v/>
      </c>
      <c r="AA889" s="82" t="str">
        <f t="shared" si="353"/>
        <v/>
      </c>
      <c r="AB889" s="83" t="str">
        <f>IF(R889&lt;&gt;"",(W889-SUMPRODUCT(R$3:R889,$B$3:$B889)/SUM($B$3:$B889))/STDEVA(W879:W889),"")</f>
        <v/>
      </c>
      <c r="AC889" s="84" t="str">
        <f>IF(S889&lt;&gt;"",(X889-SUMPRODUCT(S$3:S889,$B$3:$B889)/SUM($B$3:$B889))/STDEVA(X879:X889),"")</f>
        <v/>
      </c>
      <c r="AD889" s="84" t="str">
        <f>IF(T889&lt;&gt;"",(Y889-SUMPRODUCT(T$3:T889,$B$3:$B889)/SUM($B$3:$B889))/STDEVA(Y879:Y889),"")</f>
        <v/>
      </c>
      <c r="AE889" s="84" t="str">
        <f>IF(U889&lt;&gt;"",(Z889-SUMPRODUCT(U$3:U889,$B$3:$B889)/SUM($B$3:$B889))/STDEVA(Z879:Z889),"")</f>
        <v/>
      </c>
      <c r="AF889" s="85" t="str">
        <f>IF(V889&lt;&gt;"",(AA889-SUMPRODUCT(V$3:V889,$B$3:$B889)/SUM($B$3:$B889))/STDEVA(AA879:AA889),"")</f>
        <v/>
      </c>
      <c r="AG889" s="90" t="str">
        <f t="shared" si="354"/>
        <v/>
      </c>
      <c r="AH889" s="90" t="str">
        <f t="shared" si="354"/>
        <v/>
      </c>
      <c r="AI889" s="90" t="str">
        <f t="shared" si="354"/>
        <v/>
      </c>
      <c r="AJ889" s="90" t="str">
        <f t="shared" si="354"/>
        <v/>
      </c>
      <c r="AK889" s="93" t="str">
        <f t="shared" si="355"/>
        <v/>
      </c>
      <c r="BQ889" s="100" t="str">
        <f>IF(A889&lt;&gt;"",(VLOOKUP(A889,MarketData!$D:$BP,MATCH($BQ$1,MarketData!$D$1:$EG$1,0),TRUE)/100/365+1)^(B889)*BQ888,"")</f>
        <v/>
      </c>
      <c r="BR889" s="98" t="str">
        <f t="shared" si="332"/>
        <v/>
      </c>
      <c r="BS889" s="106" t="str">
        <f>IF(A889&lt;&gt;"",VLOOKUP(A889,MarketData!$D:$BP,MATCH($BS$1,MarketData!$D$1:$EG$1,0),TRUE),"")</f>
        <v/>
      </c>
      <c r="BT889" s="98" t="str">
        <f t="shared" si="343"/>
        <v/>
      </c>
    </row>
    <row r="890" spans="2:72" x14ac:dyDescent="0.25">
      <c r="B890" s="60" t="str">
        <f t="shared" si="356"/>
        <v/>
      </c>
      <c r="C890" s="3" t="str">
        <f t="shared" si="333"/>
        <v/>
      </c>
      <c r="D890" s="3" t="str">
        <f t="shared" si="334"/>
        <v/>
      </c>
      <c r="E890" s="3" t="str">
        <f t="shared" si="335"/>
        <v/>
      </c>
      <c r="F890" s="3" t="str">
        <f t="shared" si="336"/>
        <v/>
      </c>
      <c r="G890" s="74" t="str">
        <f t="shared" si="337"/>
        <v/>
      </c>
      <c r="H890" s="78" t="str">
        <f>IFERROR(C890/SUM(M$2:M889),"")</f>
        <v/>
      </c>
      <c r="I890" s="61" t="str">
        <f>IFERROR(D890/SUM(N$2:N890),"")</f>
        <v/>
      </c>
      <c r="J890" s="61" t="str">
        <f>IFERROR(E890/SUM(O$2:O890),"")</f>
        <v/>
      </c>
      <c r="K890" s="61" t="str">
        <f>IFERROR(F890/SUM(P$2:P890),"")</f>
        <v/>
      </c>
      <c r="L890" s="79" t="str">
        <f>IFERROR(G890/SUM(Q$2:Q890),"")</f>
        <v/>
      </c>
      <c r="M890" s="64" t="str">
        <f t="shared" si="338"/>
        <v/>
      </c>
      <c r="N890" s="55" t="str">
        <f t="shared" si="339"/>
        <v/>
      </c>
      <c r="O890" s="55" t="str">
        <f t="shared" si="340"/>
        <v/>
      </c>
      <c r="P890" s="55" t="str">
        <f t="shared" si="341"/>
        <v/>
      </c>
      <c r="Q890" s="65" t="str">
        <f t="shared" si="342"/>
        <v/>
      </c>
      <c r="R890" s="67" t="str">
        <f t="shared" si="344"/>
        <v/>
      </c>
      <c r="S890" s="56" t="str">
        <f t="shared" si="345"/>
        <v/>
      </c>
      <c r="T890" s="56" t="str">
        <f t="shared" si="346"/>
        <v/>
      </c>
      <c r="U890" s="56" t="str">
        <f t="shared" si="347"/>
        <v/>
      </c>
      <c r="V890" s="68" t="str">
        <f t="shared" si="348"/>
        <v/>
      </c>
      <c r="W890" s="80" t="str">
        <f t="shared" si="349"/>
        <v/>
      </c>
      <c r="X890" s="81" t="str">
        <f t="shared" si="350"/>
        <v/>
      </c>
      <c r="Y890" s="81" t="str">
        <f t="shared" si="351"/>
        <v/>
      </c>
      <c r="Z890" s="81" t="str">
        <f t="shared" si="352"/>
        <v/>
      </c>
      <c r="AA890" s="82" t="str">
        <f t="shared" si="353"/>
        <v/>
      </c>
      <c r="AB890" s="83" t="str">
        <f>IF(R890&lt;&gt;"",(W890-SUMPRODUCT(R$3:R890,$B$3:$B890)/SUM($B$3:$B890))/STDEVA(W880:W890),"")</f>
        <v/>
      </c>
      <c r="AC890" s="84" t="str">
        <f>IF(S890&lt;&gt;"",(X890-SUMPRODUCT(S$3:S890,$B$3:$B890)/SUM($B$3:$B890))/STDEVA(X880:X890),"")</f>
        <v/>
      </c>
      <c r="AD890" s="84" t="str">
        <f>IF(T890&lt;&gt;"",(Y890-SUMPRODUCT(T$3:T890,$B$3:$B890)/SUM($B$3:$B890))/STDEVA(Y880:Y890),"")</f>
        <v/>
      </c>
      <c r="AE890" s="84" t="str">
        <f>IF(U890&lt;&gt;"",(Z890-SUMPRODUCT(U$3:U890,$B$3:$B890)/SUM($B$3:$B890))/STDEVA(Z880:Z890),"")</f>
        <v/>
      </c>
      <c r="AF890" s="85" t="str">
        <f>IF(V890&lt;&gt;"",(AA890-SUMPRODUCT(V$3:V890,$B$3:$B890)/SUM($B$3:$B890))/STDEVA(AA880:AA890),"")</f>
        <v/>
      </c>
      <c r="AG890" s="90" t="str">
        <f t="shared" si="354"/>
        <v/>
      </c>
      <c r="AH890" s="90" t="str">
        <f t="shared" si="354"/>
        <v/>
      </c>
      <c r="AI890" s="90" t="str">
        <f t="shared" si="354"/>
        <v/>
      </c>
      <c r="AJ890" s="90" t="str">
        <f t="shared" si="354"/>
        <v/>
      </c>
      <c r="AK890" s="93" t="str">
        <f t="shared" si="355"/>
        <v/>
      </c>
      <c r="BQ890" s="100" t="str">
        <f>IF(A890&lt;&gt;"",(VLOOKUP(A890,MarketData!$D:$BP,MATCH($BQ$1,MarketData!$D$1:$EG$1,0),TRUE)/100/365+1)^(B890)*BQ889,"")</f>
        <v/>
      </c>
      <c r="BR890" s="98" t="str">
        <f t="shared" si="332"/>
        <v/>
      </c>
      <c r="BS890" s="106" t="str">
        <f>IF(A890&lt;&gt;"",VLOOKUP(A890,MarketData!$D:$BP,MATCH($BS$1,MarketData!$D$1:$EG$1,0),TRUE),"")</f>
        <v/>
      </c>
      <c r="BT890" s="98" t="str">
        <f t="shared" si="343"/>
        <v/>
      </c>
    </row>
    <row r="891" spans="2:72" x14ac:dyDescent="0.25">
      <c r="B891" s="60" t="str">
        <f t="shared" si="356"/>
        <v/>
      </c>
      <c r="C891" s="3" t="str">
        <f t="shared" si="333"/>
        <v/>
      </c>
      <c r="D891" s="3" t="str">
        <f t="shared" si="334"/>
        <v/>
      </c>
      <c r="E891" s="3" t="str">
        <f t="shared" si="335"/>
        <v/>
      </c>
      <c r="F891" s="3" t="str">
        <f t="shared" si="336"/>
        <v/>
      </c>
      <c r="G891" s="74" t="str">
        <f t="shared" si="337"/>
        <v/>
      </c>
      <c r="H891" s="78" t="str">
        <f>IFERROR(C891/SUM(M$2:M890),"")</f>
        <v/>
      </c>
      <c r="I891" s="61" t="str">
        <f>IFERROR(D891/SUM(N$2:N891),"")</f>
        <v/>
      </c>
      <c r="J891" s="61" t="str">
        <f>IFERROR(E891/SUM(O$2:O891),"")</f>
        <v/>
      </c>
      <c r="K891" s="61" t="str">
        <f>IFERROR(F891/SUM(P$2:P891),"")</f>
        <v/>
      </c>
      <c r="L891" s="79" t="str">
        <f>IFERROR(G891/SUM(Q$2:Q891),"")</f>
        <v/>
      </c>
      <c r="M891" s="64" t="str">
        <f t="shared" si="338"/>
        <v/>
      </c>
      <c r="N891" s="55" t="str">
        <f t="shared" si="339"/>
        <v/>
      </c>
      <c r="O891" s="55" t="str">
        <f t="shared" si="340"/>
        <v/>
      </c>
      <c r="P891" s="55" t="str">
        <f t="shared" si="341"/>
        <v/>
      </c>
      <c r="Q891" s="65" t="str">
        <f t="shared" si="342"/>
        <v/>
      </c>
      <c r="R891" s="67" t="str">
        <f t="shared" si="344"/>
        <v/>
      </c>
      <c r="S891" s="56" t="str">
        <f t="shared" si="345"/>
        <v/>
      </c>
      <c r="T891" s="56" t="str">
        <f t="shared" si="346"/>
        <v/>
      </c>
      <c r="U891" s="56" t="str">
        <f t="shared" si="347"/>
        <v/>
      </c>
      <c r="V891" s="68" t="str">
        <f t="shared" si="348"/>
        <v/>
      </c>
      <c r="W891" s="80" t="str">
        <f t="shared" si="349"/>
        <v/>
      </c>
      <c r="X891" s="81" t="str">
        <f t="shared" si="350"/>
        <v/>
      </c>
      <c r="Y891" s="81" t="str">
        <f t="shared" si="351"/>
        <v/>
      </c>
      <c r="Z891" s="81" t="str">
        <f t="shared" si="352"/>
        <v/>
      </c>
      <c r="AA891" s="82" t="str">
        <f t="shared" si="353"/>
        <v/>
      </c>
      <c r="AB891" s="83" t="str">
        <f>IF(R891&lt;&gt;"",(W891-SUMPRODUCT(R$3:R891,$B$3:$B891)/SUM($B$3:$B891))/STDEVA(W881:W891),"")</f>
        <v/>
      </c>
      <c r="AC891" s="84" t="str">
        <f>IF(S891&lt;&gt;"",(X891-SUMPRODUCT(S$3:S891,$B$3:$B891)/SUM($B$3:$B891))/STDEVA(X881:X891),"")</f>
        <v/>
      </c>
      <c r="AD891" s="84" t="str">
        <f>IF(T891&lt;&gt;"",(Y891-SUMPRODUCT(T$3:T891,$B$3:$B891)/SUM($B$3:$B891))/STDEVA(Y881:Y891),"")</f>
        <v/>
      </c>
      <c r="AE891" s="84" t="str">
        <f>IF(U891&lt;&gt;"",(Z891-SUMPRODUCT(U$3:U891,$B$3:$B891)/SUM($B$3:$B891))/STDEVA(Z881:Z891),"")</f>
        <v/>
      </c>
      <c r="AF891" s="85" t="str">
        <f>IF(V891&lt;&gt;"",(AA891-SUMPRODUCT(V$3:V891,$B$3:$B891)/SUM($B$3:$B891))/STDEVA(AA881:AA891),"")</f>
        <v/>
      </c>
      <c r="AG891" s="90" t="str">
        <f t="shared" si="354"/>
        <v/>
      </c>
      <c r="AH891" s="90" t="str">
        <f t="shared" si="354"/>
        <v/>
      </c>
      <c r="AI891" s="90" t="str">
        <f t="shared" si="354"/>
        <v/>
      </c>
      <c r="AJ891" s="90" t="str">
        <f t="shared" si="354"/>
        <v/>
      </c>
      <c r="AK891" s="93" t="str">
        <f t="shared" si="355"/>
        <v/>
      </c>
      <c r="BQ891" s="100" t="str">
        <f>IF(A891&lt;&gt;"",(VLOOKUP(A891,MarketData!$D:$BP,MATCH($BQ$1,MarketData!$D$1:$EG$1,0),TRUE)/100/365+1)^(B891)*BQ890,"")</f>
        <v/>
      </c>
      <c r="BR891" s="98" t="str">
        <f t="shared" si="332"/>
        <v/>
      </c>
      <c r="BS891" s="106" t="str">
        <f>IF(A891&lt;&gt;"",VLOOKUP(A891,MarketData!$D:$BP,MATCH($BS$1,MarketData!$D$1:$EG$1,0),TRUE),"")</f>
        <v/>
      </c>
      <c r="BT891" s="98" t="str">
        <f t="shared" si="343"/>
        <v/>
      </c>
    </row>
    <row r="892" spans="2:72" x14ac:dyDescent="0.25">
      <c r="B892" s="60" t="str">
        <f t="shared" si="356"/>
        <v/>
      </c>
      <c r="C892" s="3" t="str">
        <f t="shared" si="333"/>
        <v/>
      </c>
      <c r="D892" s="3" t="str">
        <f t="shared" si="334"/>
        <v/>
      </c>
      <c r="E892" s="3" t="str">
        <f t="shared" si="335"/>
        <v/>
      </c>
      <c r="F892" s="3" t="str">
        <f t="shared" si="336"/>
        <v/>
      </c>
      <c r="G892" s="74" t="str">
        <f t="shared" si="337"/>
        <v/>
      </c>
      <c r="H892" s="78" t="str">
        <f>IFERROR(C892/SUM(M$2:M891),"")</f>
        <v/>
      </c>
      <c r="I892" s="61" t="str">
        <f>IFERROR(D892/SUM(N$2:N892),"")</f>
        <v/>
      </c>
      <c r="J892" s="61" t="str">
        <f>IFERROR(E892/SUM(O$2:O892),"")</f>
        <v/>
      </c>
      <c r="K892" s="61" t="str">
        <f>IFERROR(F892/SUM(P$2:P892),"")</f>
        <v/>
      </c>
      <c r="L892" s="79" t="str">
        <f>IFERROR(G892/SUM(Q$2:Q892),"")</f>
        <v/>
      </c>
      <c r="M892" s="64" t="str">
        <f t="shared" si="338"/>
        <v/>
      </c>
      <c r="N892" s="55" t="str">
        <f t="shared" si="339"/>
        <v/>
      </c>
      <c r="O892" s="55" t="str">
        <f t="shared" si="340"/>
        <v/>
      </c>
      <c r="P892" s="55" t="str">
        <f t="shared" si="341"/>
        <v/>
      </c>
      <c r="Q892" s="65" t="str">
        <f t="shared" si="342"/>
        <v/>
      </c>
      <c r="R892" s="67" t="str">
        <f t="shared" si="344"/>
        <v/>
      </c>
      <c r="S892" s="56" t="str">
        <f t="shared" si="345"/>
        <v/>
      </c>
      <c r="T892" s="56" t="str">
        <f t="shared" si="346"/>
        <v/>
      </c>
      <c r="U892" s="56" t="str">
        <f t="shared" si="347"/>
        <v/>
      </c>
      <c r="V892" s="68" t="str">
        <f t="shared" si="348"/>
        <v/>
      </c>
      <c r="W892" s="80" t="str">
        <f t="shared" si="349"/>
        <v/>
      </c>
      <c r="X892" s="81" t="str">
        <f t="shared" si="350"/>
        <v/>
      </c>
      <c r="Y892" s="81" t="str">
        <f t="shared" si="351"/>
        <v/>
      </c>
      <c r="Z892" s="81" t="str">
        <f t="shared" si="352"/>
        <v/>
      </c>
      <c r="AA892" s="82" t="str">
        <f t="shared" si="353"/>
        <v/>
      </c>
      <c r="AB892" s="83" t="str">
        <f>IF(R892&lt;&gt;"",(W892-SUMPRODUCT(R$3:R892,$B$3:$B892)/SUM($B$3:$B892))/STDEVA(W882:W892),"")</f>
        <v/>
      </c>
      <c r="AC892" s="84" t="str">
        <f>IF(S892&lt;&gt;"",(X892-SUMPRODUCT(S$3:S892,$B$3:$B892)/SUM($B$3:$B892))/STDEVA(X882:X892),"")</f>
        <v/>
      </c>
      <c r="AD892" s="84" t="str">
        <f>IF(T892&lt;&gt;"",(Y892-SUMPRODUCT(T$3:T892,$B$3:$B892)/SUM($B$3:$B892))/STDEVA(Y882:Y892),"")</f>
        <v/>
      </c>
      <c r="AE892" s="84" t="str">
        <f>IF(U892&lt;&gt;"",(Z892-SUMPRODUCT(U$3:U892,$B$3:$B892)/SUM($B$3:$B892))/STDEVA(Z882:Z892),"")</f>
        <v/>
      </c>
      <c r="AF892" s="85" t="str">
        <f>IF(V892&lt;&gt;"",(AA892-SUMPRODUCT(V$3:V892,$B$3:$B892)/SUM($B$3:$B892))/STDEVA(AA882:AA892),"")</f>
        <v/>
      </c>
      <c r="AG892" s="90" t="str">
        <f t="shared" si="354"/>
        <v/>
      </c>
      <c r="AH892" s="90" t="str">
        <f t="shared" si="354"/>
        <v/>
      </c>
      <c r="AI892" s="90" t="str">
        <f t="shared" si="354"/>
        <v/>
      </c>
      <c r="AJ892" s="90" t="str">
        <f t="shared" si="354"/>
        <v/>
      </c>
      <c r="AK892" s="93" t="str">
        <f t="shared" si="355"/>
        <v/>
      </c>
      <c r="BQ892" s="100" t="str">
        <f>IF(A892&lt;&gt;"",(VLOOKUP(A892,MarketData!$D:$BP,MATCH($BQ$1,MarketData!$D$1:$EG$1,0),TRUE)/100/365+1)^(B892)*BQ891,"")</f>
        <v/>
      </c>
      <c r="BR892" s="98" t="str">
        <f t="shared" si="332"/>
        <v/>
      </c>
      <c r="BS892" s="106" t="str">
        <f>IF(A892&lt;&gt;"",VLOOKUP(A892,MarketData!$D:$BP,MATCH($BS$1,MarketData!$D$1:$EG$1,0),TRUE),"")</f>
        <v/>
      </c>
      <c r="BT892" s="98" t="str">
        <f t="shared" si="343"/>
        <v/>
      </c>
    </row>
    <row r="893" spans="2:72" x14ac:dyDescent="0.25">
      <c r="B893" s="60" t="str">
        <f t="shared" si="356"/>
        <v/>
      </c>
      <c r="C893" s="3" t="str">
        <f t="shared" si="333"/>
        <v/>
      </c>
      <c r="D893" s="3" t="str">
        <f t="shared" si="334"/>
        <v/>
      </c>
      <c r="E893" s="3" t="str">
        <f t="shared" si="335"/>
        <v/>
      </c>
      <c r="F893" s="3" t="str">
        <f t="shared" si="336"/>
        <v/>
      </c>
      <c r="G893" s="74" t="str">
        <f t="shared" si="337"/>
        <v/>
      </c>
      <c r="H893" s="78" t="str">
        <f>IFERROR(C893/SUM(M$2:M892),"")</f>
        <v/>
      </c>
      <c r="I893" s="61" t="str">
        <f>IFERROR(D893/SUM(N$2:N893),"")</f>
        <v/>
      </c>
      <c r="J893" s="61" t="str">
        <f>IFERROR(E893/SUM(O$2:O893),"")</f>
        <v/>
      </c>
      <c r="K893" s="61" t="str">
        <f>IFERROR(F893/SUM(P$2:P893),"")</f>
        <v/>
      </c>
      <c r="L893" s="79" t="str">
        <f>IFERROR(G893/SUM(Q$2:Q893),"")</f>
        <v/>
      </c>
      <c r="M893" s="64" t="str">
        <f t="shared" si="338"/>
        <v/>
      </c>
      <c r="N893" s="55" t="str">
        <f t="shared" si="339"/>
        <v/>
      </c>
      <c r="O893" s="55" t="str">
        <f t="shared" si="340"/>
        <v/>
      </c>
      <c r="P893" s="55" t="str">
        <f t="shared" si="341"/>
        <v/>
      </c>
      <c r="Q893" s="65" t="str">
        <f t="shared" si="342"/>
        <v/>
      </c>
      <c r="R893" s="67" t="str">
        <f t="shared" si="344"/>
        <v/>
      </c>
      <c r="S893" s="56" t="str">
        <f t="shared" si="345"/>
        <v/>
      </c>
      <c r="T893" s="56" t="str">
        <f t="shared" si="346"/>
        <v/>
      </c>
      <c r="U893" s="56" t="str">
        <f t="shared" si="347"/>
        <v/>
      </c>
      <c r="V893" s="68" t="str">
        <f t="shared" si="348"/>
        <v/>
      </c>
      <c r="W893" s="80" t="str">
        <f t="shared" si="349"/>
        <v/>
      </c>
      <c r="X893" s="81" t="str">
        <f t="shared" si="350"/>
        <v/>
      </c>
      <c r="Y893" s="81" t="str">
        <f t="shared" si="351"/>
        <v/>
      </c>
      <c r="Z893" s="81" t="str">
        <f t="shared" si="352"/>
        <v/>
      </c>
      <c r="AA893" s="82" t="str">
        <f t="shared" si="353"/>
        <v/>
      </c>
      <c r="AB893" s="83" t="str">
        <f>IF(R893&lt;&gt;"",(W893-SUMPRODUCT(R$3:R893,$B$3:$B893)/SUM($B$3:$B893))/STDEVA(W883:W893),"")</f>
        <v/>
      </c>
      <c r="AC893" s="84" t="str">
        <f>IF(S893&lt;&gt;"",(X893-SUMPRODUCT(S$3:S893,$B$3:$B893)/SUM($B$3:$B893))/STDEVA(X883:X893),"")</f>
        <v/>
      </c>
      <c r="AD893" s="84" t="str">
        <f>IF(T893&lt;&gt;"",(Y893-SUMPRODUCT(T$3:T893,$B$3:$B893)/SUM($B$3:$B893))/STDEVA(Y883:Y893),"")</f>
        <v/>
      </c>
      <c r="AE893" s="84" t="str">
        <f>IF(U893&lt;&gt;"",(Z893-SUMPRODUCT(U$3:U893,$B$3:$B893)/SUM($B$3:$B893))/STDEVA(Z883:Z893),"")</f>
        <v/>
      </c>
      <c r="AF893" s="85" t="str">
        <f>IF(V893&lt;&gt;"",(AA893-SUMPRODUCT(V$3:V893,$B$3:$B893)/SUM($B$3:$B893))/STDEVA(AA883:AA893),"")</f>
        <v/>
      </c>
      <c r="AG893" s="90" t="str">
        <f t="shared" si="354"/>
        <v/>
      </c>
      <c r="AH893" s="90" t="str">
        <f t="shared" si="354"/>
        <v/>
      </c>
      <c r="AI893" s="90" t="str">
        <f t="shared" si="354"/>
        <v/>
      </c>
      <c r="AJ893" s="90" t="str">
        <f t="shared" si="354"/>
        <v/>
      </c>
      <c r="AK893" s="93" t="str">
        <f t="shared" si="355"/>
        <v/>
      </c>
      <c r="BQ893" s="100" t="str">
        <f>IF(A893&lt;&gt;"",(VLOOKUP(A893,MarketData!$D:$BP,MATCH($BQ$1,MarketData!$D$1:$EG$1,0),TRUE)/100/365+1)^(B893)*BQ892,"")</f>
        <v/>
      </c>
      <c r="BR893" s="98" t="str">
        <f t="shared" si="332"/>
        <v/>
      </c>
      <c r="BS893" s="106" t="str">
        <f>IF(A893&lt;&gt;"",VLOOKUP(A893,MarketData!$D:$BP,MATCH($BS$1,MarketData!$D$1:$EG$1,0),TRUE),"")</f>
        <v/>
      </c>
      <c r="BT893" s="98" t="str">
        <f t="shared" si="343"/>
        <v/>
      </c>
    </row>
    <row r="894" spans="2:72" x14ac:dyDescent="0.25">
      <c r="B894" s="60" t="str">
        <f t="shared" si="356"/>
        <v/>
      </c>
      <c r="C894" s="3" t="str">
        <f t="shared" si="333"/>
        <v/>
      </c>
      <c r="D894" s="3" t="str">
        <f t="shared" si="334"/>
        <v/>
      </c>
      <c r="E894" s="3" t="str">
        <f t="shared" si="335"/>
        <v/>
      </c>
      <c r="F894" s="3" t="str">
        <f t="shared" si="336"/>
        <v/>
      </c>
      <c r="G894" s="74" t="str">
        <f t="shared" si="337"/>
        <v/>
      </c>
      <c r="H894" s="78" t="str">
        <f>IFERROR(C894/SUM(M$2:M893),"")</f>
        <v/>
      </c>
      <c r="I894" s="61" t="str">
        <f>IFERROR(D894/SUM(N$2:N894),"")</f>
        <v/>
      </c>
      <c r="J894" s="61" t="str">
        <f>IFERROR(E894/SUM(O$2:O894),"")</f>
        <v/>
      </c>
      <c r="K894" s="61" t="str">
        <f>IFERROR(F894/SUM(P$2:P894),"")</f>
        <v/>
      </c>
      <c r="L894" s="79" t="str">
        <f>IFERROR(G894/SUM(Q$2:Q894),"")</f>
        <v/>
      </c>
      <c r="M894" s="64" t="str">
        <f t="shared" si="338"/>
        <v/>
      </c>
      <c r="N894" s="55" t="str">
        <f t="shared" si="339"/>
        <v/>
      </c>
      <c r="O894" s="55" t="str">
        <f t="shared" si="340"/>
        <v/>
      </c>
      <c r="P894" s="55" t="str">
        <f t="shared" si="341"/>
        <v/>
      </c>
      <c r="Q894" s="65" t="str">
        <f t="shared" si="342"/>
        <v/>
      </c>
      <c r="R894" s="67" t="str">
        <f t="shared" si="344"/>
        <v/>
      </c>
      <c r="S894" s="56" t="str">
        <f t="shared" si="345"/>
        <v/>
      </c>
      <c r="T894" s="56" t="str">
        <f t="shared" si="346"/>
        <v/>
      </c>
      <c r="U894" s="56" t="str">
        <f t="shared" si="347"/>
        <v/>
      </c>
      <c r="V894" s="68" t="str">
        <f t="shared" si="348"/>
        <v/>
      </c>
      <c r="W894" s="80" t="str">
        <f t="shared" si="349"/>
        <v/>
      </c>
      <c r="X894" s="81" t="str">
        <f t="shared" si="350"/>
        <v/>
      </c>
      <c r="Y894" s="81" t="str">
        <f t="shared" si="351"/>
        <v/>
      </c>
      <c r="Z894" s="81" t="str">
        <f t="shared" si="352"/>
        <v/>
      </c>
      <c r="AA894" s="82" t="str">
        <f t="shared" si="353"/>
        <v/>
      </c>
      <c r="AB894" s="83" t="str">
        <f>IF(R894&lt;&gt;"",(W894-SUMPRODUCT(R$3:R894,$B$3:$B894)/SUM($B$3:$B894))/STDEVA(W884:W894),"")</f>
        <v/>
      </c>
      <c r="AC894" s="84" t="str">
        <f>IF(S894&lt;&gt;"",(X894-SUMPRODUCT(S$3:S894,$B$3:$B894)/SUM($B$3:$B894))/STDEVA(X884:X894),"")</f>
        <v/>
      </c>
      <c r="AD894" s="84" t="str">
        <f>IF(T894&lt;&gt;"",(Y894-SUMPRODUCT(T$3:T894,$B$3:$B894)/SUM($B$3:$B894))/STDEVA(Y884:Y894),"")</f>
        <v/>
      </c>
      <c r="AE894" s="84" t="str">
        <f>IF(U894&lt;&gt;"",(Z894-SUMPRODUCT(U$3:U894,$B$3:$B894)/SUM($B$3:$B894))/STDEVA(Z884:Z894),"")</f>
        <v/>
      </c>
      <c r="AF894" s="85" t="str">
        <f>IF(V894&lt;&gt;"",(AA894-SUMPRODUCT(V$3:V894,$B$3:$B894)/SUM($B$3:$B894))/STDEVA(AA884:AA894),"")</f>
        <v/>
      </c>
      <c r="AG894" s="90" t="str">
        <f t="shared" si="354"/>
        <v/>
      </c>
      <c r="AH894" s="90" t="str">
        <f t="shared" si="354"/>
        <v/>
      </c>
      <c r="AI894" s="90" t="str">
        <f t="shared" si="354"/>
        <v/>
      </c>
      <c r="AJ894" s="90" t="str">
        <f t="shared" si="354"/>
        <v/>
      </c>
      <c r="AK894" s="93" t="str">
        <f t="shared" si="355"/>
        <v/>
      </c>
      <c r="BQ894" s="100" t="str">
        <f>IF(A894&lt;&gt;"",(VLOOKUP(A894,MarketData!$D:$BP,MATCH($BQ$1,MarketData!$D$1:$EG$1,0),TRUE)/100/365+1)^(B894)*BQ893,"")</f>
        <v/>
      </c>
      <c r="BR894" s="98" t="str">
        <f t="shared" si="332"/>
        <v/>
      </c>
      <c r="BS894" s="106" t="str">
        <f>IF(A894&lt;&gt;"",VLOOKUP(A894,MarketData!$D:$BP,MATCH($BS$1,MarketData!$D$1:$EG$1,0),TRUE),"")</f>
        <v/>
      </c>
      <c r="BT894" s="98" t="str">
        <f t="shared" si="343"/>
        <v/>
      </c>
    </row>
    <row r="895" spans="2:72" x14ac:dyDescent="0.25">
      <c r="B895" s="60" t="str">
        <f t="shared" si="356"/>
        <v/>
      </c>
      <c r="C895" s="3" t="str">
        <f t="shared" si="333"/>
        <v/>
      </c>
      <c r="D895" s="3" t="str">
        <f t="shared" si="334"/>
        <v/>
      </c>
      <c r="E895" s="3" t="str">
        <f t="shared" si="335"/>
        <v/>
      </c>
      <c r="F895" s="3" t="str">
        <f t="shared" si="336"/>
        <v/>
      </c>
      <c r="G895" s="74" t="str">
        <f t="shared" si="337"/>
        <v/>
      </c>
      <c r="H895" s="78" t="str">
        <f>IFERROR(C895/SUM(M$2:M894),"")</f>
        <v/>
      </c>
      <c r="I895" s="61" t="str">
        <f>IFERROR(D895/SUM(N$2:N895),"")</f>
        <v/>
      </c>
      <c r="J895" s="61" t="str">
        <f>IFERROR(E895/SUM(O$2:O895),"")</f>
        <v/>
      </c>
      <c r="K895" s="61" t="str">
        <f>IFERROR(F895/SUM(P$2:P895),"")</f>
        <v/>
      </c>
      <c r="L895" s="79" t="str">
        <f>IFERROR(G895/SUM(Q$2:Q895),"")</f>
        <v/>
      </c>
      <c r="M895" s="64" t="str">
        <f t="shared" si="338"/>
        <v/>
      </c>
      <c r="N895" s="55" t="str">
        <f t="shared" si="339"/>
        <v/>
      </c>
      <c r="O895" s="55" t="str">
        <f t="shared" si="340"/>
        <v/>
      </c>
      <c r="P895" s="55" t="str">
        <f t="shared" si="341"/>
        <v/>
      </c>
      <c r="Q895" s="65" t="str">
        <f t="shared" si="342"/>
        <v/>
      </c>
      <c r="R895" s="67" t="str">
        <f t="shared" si="344"/>
        <v/>
      </c>
      <c r="S895" s="56" t="str">
        <f t="shared" si="345"/>
        <v/>
      </c>
      <c r="T895" s="56" t="str">
        <f t="shared" si="346"/>
        <v/>
      </c>
      <c r="U895" s="56" t="str">
        <f t="shared" si="347"/>
        <v/>
      </c>
      <c r="V895" s="68" t="str">
        <f t="shared" si="348"/>
        <v/>
      </c>
      <c r="W895" s="80" t="str">
        <f t="shared" si="349"/>
        <v/>
      </c>
      <c r="X895" s="81" t="str">
        <f t="shared" si="350"/>
        <v/>
      </c>
      <c r="Y895" s="81" t="str">
        <f t="shared" si="351"/>
        <v/>
      </c>
      <c r="Z895" s="81" t="str">
        <f t="shared" si="352"/>
        <v/>
      </c>
      <c r="AA895" s="82" t="str">
        <f t="shared" si="353"/>
        <v/>
      </c>
      <c r="AB895" s="83" t="str">
        <f>IF(R895&lt;&gt;"",(W895-SUMPRODUCT(R$3:R895,$B$3:$B895)/SUM($B$3:$B895))/STDEVA(W885:W895),"")</f>
        <v/>
      </c>
      <c r="AC895" s="84" t="str">
        <f>IF(S895&lt;&gt;"",(X895-SUMPRODUCT(S$3:S895,$B$3:$B895)/SUM($B$3:$B895))/STDEVA(X885:X895),"")</f>
        <v/>
      </c>
      <c r="AD895" s="84" t="str">
        <f>IF(T895&lt;&gt;"",(Y895-SUMPRODUCT(T$3:T895,$B$3:$B895)/SUM($B$3:$B895))/STDEVA(Y885:Y895),"")</f>
        <v/>
      </c>
      <c r="AE895" s="84" t="str">
        <f>IF(U895&lt;&gt;"",(Z895-SUMPRODUCT(U$3:U895,$B$3:$B895)/SUM($B$3:$B895))/STDEVA(Z885:Z895),"")</f>
        <v/>
      </c>
      <c r="AF895" s="85" t="str">
        <f>IF(V895&lt;&gt;"",(AA895-SUMPRODUCT(V$3:V895,$B$3:$B895)/SUM($B$3:$B895))/STDEVA(AA885:AA895),"")</f>
        <v/>
      </c>
      <c r="AG895" s="90" t="str">
        <f t="shared" si="354"/>
        <v/>
      </c>
      <c r="AH895" s="90" t="str">
        <f t="shared" si="354"/>
        <v/>
      </c>
      <c r="AI895" s="90" t="str">
        <f t="shared" si="354"/>
        <v/>
      </c>
      <c r="AJ895" s="90" t="str">
        <f t="shared" si="354"/>
        <v/>
      </c>
      <c r="AK895" s="93" t="str">
        <f t="shared" si="355"/>
        <v/>
      </c>
      <c r="BQ895" s="100" t="str">
        <f>IF(A895&lt;&gt;"",(VLOOKUP(A895,MarketData!$D:$BP,MATCH($BQ$1,MarketData!$D$1:$EG$1,0),TRUE)/100/365+1)^(B895)*BQ894,"")</f>
        <v/>
      </c>
      <c r="BR895" s="98" t="str">
        <f t="shared" si="332"/>
        <v/>
      </c>
      <c r="BS895" s="106" t="str">
        <f>IF(A895&lt;&gt;"",VLOOKUP(A895,MarketData!$D:$BP,MATCH($BS$1,MarketData!$D$1:$EG$1,0),TRUE),"")</f>
        <v/>
      </c>
      <c r="BT895" s="98" t="str">
        <f t="shared" si="343"/>
        <v/>
      </c>
    </row>
    <row r="896" spans="2:72" x14ac:dyDescent="0.25">
      <c r="B896" s="60" t="str">
        <f t="shared" si="356"/>
        <v/>
      </c>
      <c r="C896" s="3" t="str">
        <f t="shared" si="333"/>
        <v/>
      </c>
      <c r="D896" s="3" t="str">
        <f t="shared" si="334"/>
        <v/>
      </c>
      <c r="E896" s="3" t="str">
        <f t="shared" si="335"/>
        <v/>
      </c>
      <c r="F896" s="3" t="str">
        <f t="shared" si="336"/>
        <v/>
      </c>
      <c r="G896" s="74" t="str">
        <f t="shared" si="337"/>
        <v/>
      </c>
      <c r="H896" s="78" t="str">
        <f>IFERROR(C896/SUM(M$2:M895),"")</f>
        <v/>
      </c>
      <c r="I896" s="61" t="str">
        <f>IFERROR(D896/SUM(N$2:N896),"")</f>
        <v/>
      </c>
      <c r="J896" s="61" t="str">
        <f>IFERROR(E896/SUM(O$2:O896),"")</f>
        <v/>
      </c>
      <c r="K896" s="61" t="str">
        <f>IFERROR(F896/SUM(P$2:P896),"")</f>
        <v/>
      </c>
      <c r="L896" s="79" t="str">
        <f>IFERROR(G896/SUM(Q$2:Q896),"")</f>
        <v/>
      </c>
      <c r="M896" s="64" t="str">
        <f t="shared" si="338"/>
        <v/>
      </c>
      <c r="N896" s="55" t="str">
        <f t="shared" si="339"/>
        <v/>
      </c>
      <c r="O896" s="55" t="str">
        <f t="shared" si="340"/>
        <v/>
      </c>
      <c r="P896" s="55" t="str">
        <f t="shared" si="341"/>
        <v/>
      </c>
      <c r="Q896" s="65" t="str">
        <f t="shared" si="342"/>
        <v/>
      </c>
      <c r="R896" s="67" t="str">
        <f t="shared" si="344"/>
        <v/>
      </c>
      <c r="S896" s="56" t="str">
        <f t="shared" si="345"/>
        <v/>
      </c>
      <c r="T896" s="56" t="str">
        <f t="shared" si="346"/>
        <v/>
      </c>
      <c r="U896" s="56" t="str">
        <f t="shared" si="347"/>
        <v/>
      </c>
      <c r="V896" s="68" t="str">
        <f t="shared" si="348"/>
        <v/>
      </c>
      <c r="W896" s="80" t="str">
        <f t="shared" si="349"/>
        <v/>
      </c>
      <c r="X896" s="81" t="str">
        <f t="shared" si="350"/>
        <v/>
      </c>
      <c r="Y896" s="81" t="str">
        <f t="shared" si="351"/>
        <v/>
      </c>
      <c r="Z896" s="81" t="str">
        <f t="shared" si="352"/>
        <v/>
      </c>
      <c r="AA896" s="82" t="str">
        <f t="shared" si="353"/>
        <v/>
      </c>
      <c r="AB896" s="83" t="str">
        <f>IF(R896&lt;&gt;"",(W896-SUMPRODUCT(R$3:R896,$B$3:$B896)/SUM($B$3:$B896))/STDEVA(W886:W896),"")</f>
        <v/>
      </c>
      <c r="AC896" s="84" t="str">
        <f>IF(S896&lt;&gt;"",(X896-SUMPRODUCT(S$3:S896,$B$3:$B896)/SUM($B$3:$B896))/STDEVA(X886:X896),"")</f>
        <v/>
      </c>
      <c r="AD896" s="84" t="str">
        <f>IF(T896&lt;&gt;"",(Y896-SUMPRODUCT(T$3:T896,$B$3:$B896)/SUM($B$3:$B896))/STDEVA(Y886:Y896),"")</f>
        <v/>
      </c>
      <c r="AE896" s="84" t="str">
        <f>IF(U896&lt;&gt;"",(Z896-SUMPRODUCT(U$3:U896,$B$3:$B896)/SUM($B$3:$B896))/STDEVA(Z886:Z896),"")</f>
        <v/>
      </c>
      <c r="AF896" s="85" t="str">
        <f>IF(V896&lt;&gt;"",(AA896-SUMPRODUCT(V$3:V896,$B$3:$B896)/SUM($B$3:$B896))/STDEVA(AA886:AA896),"")</f>
        <v/>
      </c>
      <c r="AG896" s="90" t="str">
        <f t="shared" si="354"/>
        <v/>
      </c>
      <c r="AH896" s="90" t="str">
        <f t="shared" si="354"/>
        <v/>
      </c>
      <c r="AI896" s="90" t="str">
        <f t="shared" si="354"/>
        <v/>
      </c>
      <c r="AJ896" s="90" t="str">
        <f t="shared" si="354"/>
        <v/>
      </c>
      <c r="AK896" s="93" t="str">
        <f t="shared" si="355"/>
        <v/>
      </c>
      <c r="BQ896" s="100" t="str">
        <f>IF(A896&lt;&gt;"",(VLOOKUP(A896,MarketData!$D:$BP,MATCH($BQ$1,MarketData!$D$1:$EG$1,0),TRUE)/100/365+1)^(B896)*BQ895,"")</f>
        <v/>
      </c>
      <c r="BR896" s="98" t="str">
        <f t="shared" si="332"/>
        <v/>
      </c>
      <c r="BS896" s="106" t="str">
        <f>IF(A896&lt;&gt;"",VLOOKUP(A896,MarketData!$D:$BP,MATCH($BS$1,MarketData!$D$1:$EG$1,0),TRUE),"")</f>
        <v/>
      </c>
      <c r="BT896" s="98" t="str">
        <f t="shared" si="343"/>
        <v/>
      </c>
    </row>
    <row r="897" spans="2:72" x14ac:dyDescent="0.25">
      <c r="B897" s="60" t="str">
        <f t="shared" si="356"/>
        <v/>
      </c>
      <c r="C897" s="3" t="str">
        <f t="shared" si="333"/>
        <v/>
      </c>
      <c r="D897" s="3" t="str">
        <f t="shared" si="334"/>
        <v/>
      </c>
      <c r="E897" s="3" t="str">
        <f t="shared" si="335"/>
        <v/>
      </c>
      <c r="F897" s="3" t="str">
        <f t="shared" si="336"/>
        <v/>
      </c>
      <c r="G897" s="74" t="str">
        <f t="shared" si="337"/>
        <v/>
      </c>
      <c r="H897" s="78" t="str">
        <f>IFERROR(C897/SUM(M$2:M896),"")</f>
        <v/>
      </c>
      <c r="I897" s="61" t="str">
        <f>IFERROR(D897/SUM(N$2:N897),"")</f>
        <v/>
      </c>
      <c r="J897" s="61" t="str">
        <f>IFERROR(E897/SUM(O$2:O897),"")</f>
        <v/>
      </c>
      <c r="K897" s="61" t="str">
        <f>IFERROR(F897/SUM(P$2:P897),"")</f>
        <v/>
      </c>
      <c r="L897" s="79" t="str">
        <f>IFERROR(G897/SUM(Q$2:Q897),"")</f>
        <v/>
      </c>
      <c r="M897" s="64" t="str">
        <f t="shared" si="338"/>
        <v/>
      </c>
      <c r="N897" s="55" t="str">
        <f t="shared" si="339"/>
        <v/>
      </c>
      <c r="O897" s="55" t="str">
        <f t="shared" si="340"/>
        <v/>
      </c>
      <c r="P897" s="55" t="str">
        <f t="shared" si="341"/>
        <v/>
      </c>
      <c r="Q897" s="65" t="str">
        <f t="shared" si="342"/>
        <v/>
      </c>
      <c r="R897" s="67" t="str">
        <f t="shared" si="344"/>
        <v/>
      </c>
      <c r="S897" s="56" t="str">
        <f t="shared" si="345"/>
        <v/>
      </c>
      <c r="T897" s="56" t="str">
        <f t="shared" si="346"/>
        <v/>
      </c>
      <c r="U897" s="56" t="str">
        <f t="shared" si="347"/>
        <v/>
      </c>
      <c r="V897" s="68" t="str">
        <f t="shared" si="348"/>
        <v/>
      </c>
      <c r="W897" s="80" t="str">
        <f t="shared" si="349"/>
        <v/>
      </c>
      <c r="X897" s="81" t="str">
        <f t="shared" si="350"/>
        <v/>
      </c>
      <c r="Y897" s="81" t="str">
        <f t="shared" si="351"/>
        <v/>
      </c>
      <c r="Z897" s="81" t="str">
        <f t="shared" si="352"/>
        <v/>
      </c>
      <c r="AA897" s="82" t="str">
        <f t="shared" si="353"/>
        <v/>
      </c>
      <c r="AB897" s="83" t="str">
        <f>IF(R897&lt;&gt;"",(W897-SUMPRODUCT(R$3:R897,$B$3:$B897)/SUM($B$3:$B897))/STDEVA(W887:W897),"")</f>
        <v/>
      </c>
      <c r="AC897" s="84" t="str">
        <f>IF(S897&lt;&gt;"",(X897-SUMPRODUCT(S$3:S897,$B$3:$B897)/SUM($B$3:$B897))/STDEVA(X887:X897),"")</f>
        <v/>
      </c>
      <c r="AD897" s="84" t="str">
        <f>IF(T897&lt;&gt;"",(Y897-SUMPRODUCT(T$3:T897,$B$3:$B897)/SUM($B$3:$B897))/STDEVA(Y887:Y897),"")</f>
        <v/>
      </c>
      <c r="AE897" s="84" t="str">
        <f>IF(U897&lt;&gt;"",(Z897-SUMPRODUCT(U$3:U897,$B$3:$B897)/SUM($B$3:$B897))/STDEVA(Z887:Z897),"")</f>
        <v/>
      </c>
      <c r="AF897" s="85" t="str">
        <f>IF(V897&lt;&gt;"",(AA897-SUMPRODUCT(V$3:V897,$B$3:$B897)/SUM($B$3:$B897))/STDEVA(AA887:AA897),"")</f>
        <v/>
      </c>
      <c r="AG897" s="90" t="str">
        <f t="shared" si="354"/>
        <v/>
      </c>
      <c r="AH897" s="90" t="str">
        <f t="shared" si="354"/>
        <v/>
      </c>
      <c r="AI897" s="90" t="str">
        <f t="shared" si="354"/>
        <v/>
      </c>
      <c r="AJ897" s="90" t="str">
        <f t="shared" si="354"/>
        <v/>
      </c>
      <c r="AK897" s="93" t="str">
        <f t="shared" si="355"/>
        <v/>
      </c>
      <c r="BQ897" s="100" t="str">
        <f>IF(A897&lt;&gt;"",(VLOOKUP(A897,MarketData!$D:$BP,MATCH($BQ$1,MarketData!$D$1:$EG$1,0),TRUE)/100/365+1)^(B897)*BQ896,"")</f>
        <v/>
      </c>
      <c r="BR897" s="98" t="str">
        <f t="shared" si="332"/>
        <v/>
      </c>
      <c r="BS897" s="106" t="str">
        <f>IF(A897&lt;&gt;"",VLOOKUP(A897,MarketData!$D:$BP,MATCH($BS$1,MarketData!$D$1:$EG$1,0),TRUE),"")</f>
        <v/>
      </c>
      <c r="BT897" s="98" t="str">
        <f t="shared" si="343"/>
        <v/>
      </c>
    </row>
    <row r="898" spans="2:72" x14ac:dyDescent="0.25">
      <c r="B898" s="60" t="str">
        <f t="shared" si="356"/>
        <v/>
      </c>
      <c r="C898" s="3" t="str">
        <f t="shared" si="333"/>
        <v/>
      </c>
      <c r="D898" s="3" t="str">
        <f t="shared" si="334"/>
        <v/>
      </c>
      <c r="E898" s="3" t="str">
        <f t="shared" si="335"/>
        <v/>
      </c>
      <c r="F898" s="3" t="str">
        <f t="shared" si="336"/>
        <v/>
      </c>
      <c r="G898" s="74" t="str">
        <f t="shared" si="337"/>
        <v/>
      </c>
      <c r="H898" s="78" t="str">
        <f>IFERROR(C898/SUM(M$2:M897),"")</f>
        <v/>
      </c>
      <c r="I898" s="61" t="str">
        <f>IFERROR(D898/SUM(N$2:N898),"")</f>
        <v/>
      </c>
      <c r="J898" s="61" t="str">
        <f>IFERROR(E898/SUM(O$2:O898),"")</f>
        <v/>
      </c>
      <c r="K898" s="61" t="str">
        <f>IFERROR(F898/SUM(P$2:P898),"")</f>
        <v/>
      </c>
      <c r="L898" s="79" t="str">
        <f>IFERROR(G898/SUM(Q$2:Q898),"")</f>
        <v/>
      </c>
      <c r="M898" s="64" t="str">
        <f t="shared" si="338"/>
        <v/>
      </c>
      <c r="N898" s="55" t="str">
        <f t="shared" si="339"/>
        <v/>
      </c>
      <c r="O898" s="55" t="str">
        <f t="shared" si="340"/>
        <v/>
      </c>
      <c r="P898" s="55" t="str">
        <f t="shared" si="341"/>
        <v/>
      </c>
      <c r="Q898" s="65" t="str">
        <f t="shared" si="342"/>
        <v/>
      </c>
      <c r="R898" s="67" t="str">
        <f t="shared" si="344"/>
        <v/>
      </c>
      <c r="S898" s="56" t="str">
        <f t="shared" si="345"/>
        <v/>
      </c>
      <c r="T898" s="56" t="str">
        <f t="shared" si="346"/>
        <v/>
      </c>
      <c r="U898" s="56" t="str">
        <f t="shared" si="347"/>
        <v/>
      </c>
      <c r="V898" s="68" t="str">
        <f t="shared" si="348"/>
        <v/>
      </c>
      <c r="W898" s="80" t="str">
        <f t="shared" si="349"/>
        <v/>
      </c>
      <c r="X898" s="81" t="str">
        <f t="shared" si="350"/>
        <v/>
      </c>
      <c r="Y898" s="81" t="str">
        <f t="shared" si="351"/>
        <v/>
      </c>
      <c r="Z898" s="81" t="str">
        <f t="shared" si="352"/>
        <v/>
      </c>
      <c r="AA898" s="82" t="str">
        <f t="shared" si="353"/>
        <v/>
      </c>
      <c r="AB898" s="83" t="str">
        <f>IF(R898&lt;&gt;"",(W898-SUMPRODUCT(R$3:R898,$B$3:$B898)/SUM($B$3:$B898))/STDEVA(W888:W898),"")</f>
        <v/>
      </c>
      <c r="AC898" s="84" t="str">
        <f>IF(S898&lt;&gt;"",(X898-SUMPRODUCT(S$3:S898,$B$3:$B898)/SUM($B$3:$B898))/STDEVA(X888:X898),"")</f>
        <v/>
      </c>
      <c r="AD898" s="84" t="str">
        <f>IF(T898&lt;&gt;"",(Y898-SUMPRODUCT(T$3:T898,$B$3:$B898)/SUM($B$3:$B898))/STDEVA(Y888:Y898),"")</f>
        <v/>
      </c>
      <c r="AE898" s="84" t="str">
        <f>IF(U898&lt;&gt;"",(Z898-SUMPRODUCT(U$3:U898,$B$3:$B898)/SUM($B$3:$B898))/STDEVA(Z888:Z898),"")</f>
        <v/>
      </c>
      <c r="AF898" s="85" t="str">
        <f>IF(V898&lt;&gt;"",(AA898-SUMPRODUCT(V$3:V898,$B$3:$B898)/SUM($B$3:$B898))/STDEVA(AA888:AA898),"")</f>
        <v/>
      </c>
      <c r="AG898" s="90" t="str">
        <f t="shared" si="354"/>
        <v/>
      </c>
      <c r="AH898" s="90" t="str">
        <f t="shared" si="354"/>
        <v/>
      </c>
      <c r="AI898" s="90" t="str">
        <f t="shared" si="354"/>
        <v/>
      </c>
      <c r="AJ898" s="90" t="str">
        <f t="shared" si="354"/>
        <v/>
      </c>
      <c r="AK898" s="93" t="str">
        <f t="shared" si="355"/>
        <v/>
      </c>
      <c r="BQ898" s="100" t="str">
        <f>IF(A898&lt;&gt;"",(VLOOKUP(A898,MarketData!$D:$BP,MATCH($BQ$1,MarketData!$D$1:$EG$1,0),TRUE)/100/365+1)^(B898)*BQ897,"")</f>
        <v/>
      </c>
      <c r="BR898" s="98" t="str">
        <f t="shared" ref="BR898:BR961" si="357">IF(A898&lt;&gt;"",(BQ898-$BQ$2)/$BQ$2,"")</f>
        <v/>
      </c>
      <c r="BS898" s="106" t="str">
        <f>IF(A898&lt;&gt;"",VLOOKUP(A898,MarketData!$D:$BP,MATCH($BS$1,MarketData!$D$1:$EG$1,0),TRUE),"")</f>
        <v/>
      </c>
      <c r="BT898" s="98" t="str">
        <f t="shared" si="343"/>
        <v/>
      </c>
    </row>
    <row r="899" spans="2:72" x14ac:dyDescent="0.25">
      <c r="B899" s="60" t="str">
        <f t="shared" si="356"/>
        <v/>
      </c>
      <c r="C899" s="3" t="str">
        <f t="shared" ref="C899:C962" si="358">IF($A899&lt;&gt;0,SUMIFS(VM,Fecha,$A899,Linea,C$1)+SUMIFS(FX,Fecha,$A899,Linea,C$1)+C898,"")</f>
        <v/>
      </c>
      <c r="D899" s="3" t="str">
        <f t="shared" ref="D899:D962" si="359">IF($A899&lt;&gt;0,SUMIFS(VM,Fecha,$A899,Linea,D$1)+SUMIFS(FX,Fecha,$A899,Linea,D$1)+D898,"")</f>
        <v/>
      </c>
      <c r="E899" s="3" t="str">
        <f t="shared" ref="E899:E962" si="360">IF($A899&lt;&gt;0,SUMIFS(VM,Fecha,$A899,Linea,E$1)+SUMIFS(FX,Fecha,$A899,Linea,E$1)+E898,"")</f>
        <v/>
      </c>
      <c r="F899" s="3" t="str">
        <f t="shared" ref="F899:F962" si="361">IF($A899&lt;&gt;0,SUMIFS(VM,Fecha,$A899,Linea,F$1)+SUMIFS(FX,Fecha,$A899,Linea,F$1)+F898,"")</f>
        <v/>
      </c>
      <c r="G899" s="74" t="str">
        <f t="shared" ref="G899:G962" si="362">IF($A899&lt;&gt;0,SUMIFS(VM,Fecha,$A899,Linea,G$1)+SUMIFS(FX,Fecha,$A899,Linea,G$1)+G898,"")</f>
        <v/>
      </c>
      <c r="H899" s="78" t="str">
        <f>IFERROR(C899/SUM(M$2:M898),"")</f>
        <v/>
      </c>
      <c r="I899" s="61" t="str">
        <f>IFERROR(D899/SUM(N$2:N899),"")</f>
        <v/>
      </c>
      <c r="J899" s="61" t="str">
        <f>IFERROR(E899/SUM(O$2:O899),"")</f>
        <v/>
      </c>
      <c r="K899" s="61" t="str">
        <f>IFERROR(F899/SUM(P$2:P899),"")</f>
        <v/>
      </c>
      <c r="L899" s="79" t="str">
        <f>IFERROR(G899/SUM(Q$2:Q899),"")</f>
        <v/>
      </c>
      <c r="M899" s="64" t="str">
        <f t="shared" ref="M899:M962" si="363">IF($A899&lt;&gt;"",SUMIFS(Transferencias,Fecha,$A899,Linea,C$1),"")</f>
        <v/>
      </c>
      <c r="N899" s="55" t="str">
        <f t="shared" ref="N899:N962" si="364">IF($A899&lt;&gt;"",SUMIFS(Transferencias,Fecha,$A899,Linea,D$1),"")</f>
        <v/>
      </c>
      <c r="O899" s="55" t="str">
        <f t="shared" ref="O899:O962" si="365">IF($A899&lt;&gt;"",SUMIFS(Transferencias,Fecha,$A899,Linea,E$1),"")</f>
        <v/>
      </c>
      <c r="P899" s="55" t="str">
        <f t="shared" ref="P899:P962" si="366">IF($A899&lt;&gt;"",SUMIFS(Transferencias,Fecha,$A899,Linea,F$1),"")</f>
        <v/>
      </c>
      <c r="Q899" s="65" t="str">
        <f t="shared" ref="Q899:Q962" si="367">IF($A899&lt;&gt;"",SUMIFS(Transferencias,Fecha,$A899,Linea,G$1),"")</f>
        <v/>
      </c>
      <c r="R899" s="67" t="str">
        <f t="shared" si="344"/>
        <v/>
      </c>
      <c r="S899" s="56" t="str">
        <f t="shared" si="345"/>
        <v/>
      </c>
      <c r="T899" s="56" t="str">
        <f t="shared" si="346"/>
        <v/>
      </c>
      <c r="U899" s="56" t="str">
        <f t="shared" si="347"/>
        <v/>
      </c>
      <c r="V899" s="68" t="str">
        <f t="shared" si="348"/>
        <v/>
      </c>
      <c r="W899" s="80" t="str">
        <f t="shared" si="349"/>
        <v/>
      </c>
      <c r="X899" s="81" t="str">
        <f t="shared" si="350"/>
        <v/>
      </c>
      <c r="Y899" s="81" t="str">
        <f t="shared" si="351"/>
        <v/>
      </c>
      <c r="Z899" s="81" t="str">
        <f t="shared" si="352"/>
        <v/>
      </c>
      <c r="AA899" s="82" t="str">
        <f t="shared" si="353"/>
        <v/>
      </c>
      <c r="AB899" s="83" t="str">
        <f>IF(R899&lt;&gt;"",(W899-SUMPRODUCT(R$3:R899,$B$3:$B899)/SUM($B$3:$B899))/STDEVA(W889:W899),"")</f>
        <v/>
      </c>
      <c r="AC899" s="84" t="str">
        <f>IF(S899&lt;&gt;"",(X899-SUMPRODUCT(S$3:S899,$B$3:$B899)/SUM($B$3:$B899))/STDEVA(X889:X899),"")</f>
        <v/>
      </c>
      <c r="AD899" s="84" t="str">
        <f>IF(T899&lt;&gt;"",(Y899-SUMPRODUCT(T$3:T899,$B$3:$B899)/SUM($B$3:$B899))/STDEVA(Y889:Y899),"")</f>
        <v/>
      </c>
      <c r="AE899" s="84" t="str">
        <f>IF(U899&lt;&gt;"",(Z899-SUMPRODUCT(U$3:U899,$B$3:$B899)/SUM($B$3:$B899))/STDEVA(Z889:Z899),"")</f>
        <v/>
      </c>
      <c r="AF899" s="85" t="str">
        <f>IF(V899&lt;&gt;"",(AA899-SUMPRODUCT(V$3:V899,$B$3:$B899)/SUM($B$3:$B899))/STDEVA(AA889:AA899),"")</f>
        <v/>
      </c>
      <c r="AG899" s="90" t="str">
        <f t="shared" si="354"/>
        <v/>
      </c>
      <c r="AH899" s="90" t="str">
        <f t="shared" si="354"/>
        <v/>
      </c>
      <c r="AI899" s="90" t="str">
        <f t="shared" si="354"/>
        <v/>
      </c>
      <c r="AJ899" s="90" t="str">
        <f t="shared" si="354"/>
        <v/>
      </c>
      <c r="AK899" s="93" t="str">
        <f t="shared" si="355"/>
        <v/>
      </c>
      <c r="BQ899" s="100" t="str">
        <f>IF(A899&lt;&gt;"",(VLOOKUP(A899,MarketData!$D:$BP,MATCH($BQ$1,MarketData!$D$1:$EG$1,0),TRUE)/100/365+1)^(B899)*BQ898,"")</f>
        <v/>
      </c>
      <c r="BR899" s="98" t="str">
        <f t="shared" si="357"/>
        <v/>
      </c>
      <c r="BS899" s="106" t="str">
        <f>IF(A899&lt;&gt;"",VLOOKUP(A899,MarketData!$D:$BP,MATCH($BS$1,MarketData!$D$1:$EG$1,0),TRUE),"")</f>
        <v/>
      </c>
      <c r="BT899" s="98" t="str">
        <f t="shared" ref="BT899:BT962" si="368">IF(A899&lt;&gt;"",(BS899-$BS$2)/$BS$2,"")</f>
        <v/>
      </c>
    </row>
    <row r="900" spans="2:72" x14ac:dyDescent="0.25">
      <c r="B900" s="60" t="str">
        <f t="shared" si="356"/>
        <v/>
      </c>
      <c r="C900" s="3" t="str">
        <f t="shared" si="358"/>
        <v/>
      </c>
      <c r="D900" s="3" t="str">
        <f t="shared" si="359"/>
        <v/>
      </c>
      <c r="E900" s="3" t="str">
        <f t="shared" si="360"/>
        <v/>
      </c>
      <c r="F900" s="3" t="str">
        <f t="shared" si="361"/>
        <v/>
      </c>
      <c r="G900" s="74" t="str">
        <f t="shared" si="362"/>
        <v/>
      </c>
      <c r="H900" s="78" t="str">
        <f>IFERROR(C900/SUM(M$2:M899),"")</f>
        <v/>
      </c>
      <c r="I900" s="61" t="str">
        <f>IFERROR(D900/SUM(N$2:N900),"")</f>
        <v/>
      </c>
      <c r="J900" s="61" t="str">
        <f>IFERROR(E900/SUM(O$2:O900),"")</f>
        <v/>
      </c>
      <c r="K900" s="61" t="str">
        <f>IFERROR(F900/SUM(P$2:P900),"")</f>
        <v/>
      </c>
      <c r="L900" s="79" t="str">
        <f>IFERROR(G900/SUM(Q$2:Q900),"")</f>
        <v/>
      </c>
      <c r="M900" s="64" t="str">
        <f t="shared" si="363"/>
        <v/>
      </c>
      <c r="N900" s="55" t="str">
        <f t="shared" si="364"/>
        <v/>
      </c>
      <c r="O900" s="55" t="str">
        <f t="shared" si="365"/>
        <v/>
      </c>
      <c r="P900" s="55" t="str">
        <f t="shared" si="366"/>
        <v/>
      </c>
      <c r="Q900" s="65" t="str">
        <f t="shared" si="367"/>
        <v/>
      </c>
      <c r="R900" s="67" t="str">
        <f t="shared" ref="R900:R963" si="369">IF(C900&lt;&gt;"",LN((C900-C899)/(SUMIFS(Total,Fecha,$A899,Linea,C$1)+M899)+1)*365/($A900-$A899),"")</f>
        <v/>
      </c>
      <c r="S900" s="56" t="str">
        <f t="shared" ref="S900:S963" si="370">IF(D900&lt;&gt;"",LN((D900-D899)/(SUMIFS(Total,Fecha,$A899,Linea,D$1)+N899)+1)*365/($A900-$A899),"")</f>
        <v/>
      </c>
      <c r="T900" s="56" t="str">
        <f t="shared" ref="T900:T963" si="371">IF(E900&lt;&gt;"",LN((E900-E899)/(SUMIFS(Total,Fecha,$A899,Linea,E$1)+O899)+1)*365/($A900-$A899),"")</f>
        <v/>
      </c>
      <c r="U900" s="56" t="str">
        <f t="shared" ref="U900:U963" si="372">IF(F900&lt;&gt;"",LN((F900-F899)/(SUMIFS(Total,Fecha,$A899,Linea,F$1)+P899)+1)*365/($A900-$A899),"")</f>
        <v/>
      </c>
      <c r="V900" s="68" t="str">
        <f t="shared" ref="V900:V963" si="373">IF(G900&lt;&gt;"",LN((G900-G899)/(SUMIFS(Total,Fecha,$A899,Linea,G$1)+Q899)+1)*365/($A900-$A899),"")</f>
        <v/>
      </c>
      <c r="W900" s="80" t="str">
        <f t="shared" si="349"/>
        <v/>
      </c>
      <c r="X900" s="81" t="str">
        <f t="shared" si="350"/>
        <v/>
      </c>
      <c r="Y900" s="81" t="str">
        <f t="shared" si="351"/>
        <v/>
      </c>
      <c r="Z900" s="81" t="str">
        <f t="shared" si="352"/>
        <v/>
      </c>
      <c r="AA900" s="82" t="str">
        <f t="shared" si="353"/>
        <v/>
      </c>
      <c r="AB900" s="83" t="str">
        <f>IF(R900&lt;&gt;"",(W900-SUMPRODUCT(R$3:R900,$B$3:$B900)/SUM($B$3:$B900))/STDEVA(W890:W900),"")</f>
        <v/>
      </c>
      <c r="AC900" s="84" t="str">
        <f>IF(S900&lt;&gt;"",(X900-SUMPRODUCT(S$3:S900,$B$3:$B900)/SUM($B$3:$B900))/STDEVA(X890:X900),"")</f>
        <v/>
      </c>
      <c r="AD900" s="84" t="str">
        <f>IF(T900&lt;&gt;"",(Y900-SUMPRODUCT(T$3:T900,$B$3:$B900)/SUM($B$3:$B900))/STDEVA(Y890:Y900),"")</f>
        <v/>
      </c>
      <c r="AE900" s="84" t="str">
        <f>IF(U900&lt;&gt;"",(Z900-SUMPRODUCT(U$3:U900,$B$3:$B900)/SUM($B$3:$B900))/STDEVA(Z890:Z900),"")</f>
        <v/>
      </c>
      <c r="AF900" s="85" t="str">
        <f>IF(V900&lt;&gt;"",(AA900-SUMPRODUCT(V$3:V900,$B$3:$B900)/SUM($B$3:$B900))/STDEVA(AA890:AA900),"")</f>
        <v/>
      </c>
      <c r="AG900" s="90" t="str">
        <f t="shared" si="354"/>
        <v/>
      </c>
      <c r="AH900" s="90" t="str">
        <f t="shared" si="354"/>
        <v/>
      </c>
      <c r="AI900" s="90" t="str">
        <f t="shared" si="354"/>
        <v/>
      </c>
      <c r="AJ900" s="90" t="str">
        <f t="shared" si="354"/>
        <v/>
      </c>
      <c r="AK900" s="93" t="str">
        <f t="shared" si="355"/>
        <v/>
      </c>
      <c r="BQ900" s="100" t="str">
        <f>IF(A900&lt;&gt;"",(VLOOKUP(A900,MarketData!$D:$BP,MATCH($BQ$1,MarketData!$D$1:$EG$1,0),TRUE)/100/365+1)^(B900)*BQ899,"")</f>
        <v/>
      </c>
      <c r="BR900" s="98" t="str">
        <f t="shared" si="357"/>
        <v/>
      </c>
      <c r="BS900" s="106" t="str">
        <f>IF(A900&lt;&gt;"",VLOOKUP(A900,MarketData!$D:$BP,MATCH($BS$1,MarketData!$D$1:$EG$1,0),TRUE),"")</f>
        <v/>
      </c>
      <c r="BT900" s="98" t="str">
        <f t="shared" si="368"/>
        <v/>
      </c>
    </row>
    <row r="901" spans="2:72" x14ac:dyDescent="0.25">
      <c r="B901" s="60" t="str">
        <f t="shared" si="356"/>
        <v/>
      </c>
      <c r="C901" s="3" t="str">
        <f t="shared" si="358"/>
        <v/>
      </c>
      <c r="D901" s="3" t="str">
        <f t="shared" si="359"/>
        <v/>
      </c>
      <c r="E901" s="3" t="str">
        <f t="shared" si="360"/>
        <v/>
      </c>
      <c r="F901" s="3" t="str">
        <f t="shared" si="361"/>
        <v/>
      </c>
      <c r="G901" s="74" t="str">
        <f t="shared" si="362"/>
        <v/>
      </c>
      <c r="H901" s="78" t="str">
        <f>IFERROR(C901/SUM(M$2:M900),"")</f>
        <v/>
      </c>
      <c r="I901" s="61" t="str">
        <f>IFERROR(D901/SUM(N$2:N901),"")</f>
        <v/>
      </c>
      <c r="J901" s="61" t="str">
        <f>IFERROR(E901/SUM(O$2:O901),"")</f>
        <v/>
      </c>
      <c r="K901" s="61" t="str">
        <f>IFERROR(F901/SUM(P$2:P901),"")</f>
        <v/>
      </c>
      <c r="L901" s="79" t="str">
        <f>IFERROR(G901/SUM(Q$2:Q901),"")</f>
        <v/>
      </c>
      <c r="M901" s="64" t="str">
        <f t="shared" si="363"/>
        <v/>
      </c>
      <c r="N901" s="55" t="str">
        <f t="shared" si="364"/>
        <v/>
      </c>
      <c r="O901" s="55" t="str">
        <f t="shared" si="365"/>
        <v/>
      </c>
      <c r="P901" s="55" t="str">
        <f t="shared" si="366"/>
        <v/>
      </c>
      <c r="Q901" s="65" t="str">
        <f t="shared" si="367"/>
        <v/>
      </c>
      <c r="R901" s="67" t="str">
        <f t="shared" si="369"/>
        <v/>
      </c>
      <c r="S901" s="56" t="str">
        <f t="shared" si="370"/>
        <v/>
      </c>
      <c r="T901" s="56" t="str">
        <f t="shared" si="371"/>
        <v/>
      </c>
      <c r="U901" s="56" t="str">
        <f t="shared" si="372"/>
        <v/>
      </c>
      <c r="V901" s="68" t="str">
        <f t="shared" si="373"/>
        <v/>
      </c>
      <c r="W901" s="80" t="str">
        <f t="shared" si="349"/>
        <v/>
      </c>
      <c r="X901" s="81" t="str">
        <f t="shared" si="350"/>
        <v/>
      </c>
      <c r="Y901" s="81" t="str">
        <f t="shared" si="351"/>
        <v/>
      </c>
      <c r="Z901" s="81" t="str">
        <f t="shared" si="352"/>
        <v/>
      </c>
      <c r="AA901" s="82" t="str">
        <f t="shared" si="353"/>
        <v/>
      </c>
      <c r="AB901" s="83" t="str">
        <f>IF(R901&lt;&gt;"",(W901-SUMPRODUCT(R$3:R901,$B$3:$B901)/SUM($B$3:$B901))/STDEVA(W891:W901),"")</f>
        <v/>
      </c>
      <c r="AC901" s="84" t="str">
        <f>IF(S901&lt;&gt;"",(X901-SUMPRODUCT(S$3:S901,$B$3:$B901)/SUM($B$3:$B901))/STDEVA(X891:X901),"")</f>
        <v/>
      </c>
      <c r="AD901" s="84" t="str">
        <f>IF(T901&lt;&gt;"",(Y901-SUMPRODUCT(T$3:T901,$B$3:$B901)/SUM($B$3:$B901))/STDEVA(Y891:Y901),"")</f>
        <v/>
      </c>
      <c r="AE901" s="84" t="str">
        <f>IF(U901&lt;&gt;"",(Z901-SUMPRODUCT(U$3:U901,$B$3:$B901)/SUM($B$3:$B901))/STDEVA(Z891:Z901),"")</f>
        <v/>
      </c>
      <c r="AF901" s="85" t="str">
        <f>IF(V901&lt;&gt;"",(AA901-SUMPRODUCT(V$3:V901,$B$3:$B901)/SUM($B$3:$B901))/STDEVA(AA891:AA901),"")</f>
        <v/>
      </c>
      <c r="AG901" s="90" t="str">
        <f t="shared" si="354"/>
        <v/>
      </c>
      <c r="AH901" s="90" t="str">
        <f t="shared" si="354"/>
        <v/>
      </c>
      <c r="AI901" s="90" t="str">
        <f t="shared" si="354"/>
        <v/>
      </c>
      <c r="AJ901" s="90" t="str">
        <f t="shared" si="354"/>
        <v/>
      </c>
      <c r="AK901" s="93" t="str">
        <f t="shared" si="355"/>
        <v/>
      </c>
      <c r="BQ901" s="100" t="str">
        <f>IF(A901&lt;&gt;"",(VLOOKUP(A901,MarketData!$D:$BP,MATCH($BQ$1,MarketData!$D$1:$EG$1,0),TRUE)/100/365+1)^(B901)*BQ900,"")</f>
        <v/>
      </c>
      <c r="BR901" s="98" t="str">
        <f t="shared" si="357"/>
        <v/>
      </c>
      <c r="BS901" s="106" t="str">
        <f>IF(A901&lt;&gt;"",VLOOKUP(A901,MarketData!$D:$BP,MATCH($BS$1,MarketData!$D$1:$EG$1,0),TRUE),"")</f>
        <v/>
      </c>
      <c r="BT901" s="98" t="str">
        <f t="shared" si="368"/>
        <v/>
      </c>
    </row>
    <row r="902" spans="2:72" x14ac:dyDescent="0.25">
      <c r="B902" s="60" t="str">
        <f t="shared" si="356"/>
        <v/>
      </c>
      <c r="C902" s="3" t="str">
        <f t="shared" si="358"/>
        <v/>
      </c>
      <c r="D902" s="3" t="str">
        <f t="shared" si="359"/>
        <v/>
      </c>
      <c r="E902" s="3" t="str">
        <f t="shared" si="360"/>
        <v/>
      </c>
      <c r="F902" s="3" t="str">
        <f t="shared" si="361"/>
        <v/>
      </c>
      <c r="G902" s="74" t="str">
        <f t="shared" si="362"/>
        <v/>
      </c>
      <c r="H902" s="78" t="str">
        <f>IFERROR(C902/SUM(M$2:M901),"")</f>
        <v/>
      </c>
      <c r="I902" s="61" t="str">
        <f>IFERROR(D902/SUM(N$2:N902),"")</f>
        <v/>
      </c>
      <c r="J902" s="61" t="str">
        <f>IFERROR(E902/SUM(O$2:O902),"")</f>
        <v/>
      </c>
      <c r="K902" s="61" t="str">
        <f>IFERROR(F902/SUM(P$2:P902),"")</f>
        <v/>
      </c>
      <c r="L902" s="79" t="str">
        <f>IFERROR(G902/SUM(Q$2:Q902),"")</f>
        <v/>
      </c>
      <c r="M902" s="64" t="str">
        <f t="shared" si="363"/>
        <v/>
      </c>
      <c r="N902" s="55" t="str">
        <f t="shared" si="364"/>
        <v/>
      </c>
      <c r="O902" s="55" t="str">
        <f t="shared" si="365"/>
        <v/>
      </c>
      <c r="P902" s="55" t="str">
        <f t="shared" si="366"/>
        <v/>
      </c>
      <c r="Q902" s="65" t="str">
        <f t="shared" si="367"/>
        <v/>
      </c>
      <c r="R902" s="67" t="str">
        <f t="shared" si="369"/>
        <v/>
      </c>
      <c r="S902" s="56" t="str">
        <f t="shared" si="370"/>
        <v/>
      </c>
      <c r="T902" s="56" t="str">
        <f t="shared" si="371"/>
        <v/>
      </c>
      <c r="U902" s="56" t="str">
        <f t="shared" si="372"/>
        <v/>
      </c>
      <c r="V902" s="68" t="str">
        <f t="shared" si="373"/>
        <v/>
      </c>
      <c r="W902" s="80" t="str">
        <f t="shared" si="349"/>
        <v/>
      </c>
      <c r="X902" s="81" t="str">
        <f t="shared" si="350"/>
        <v/>
      </c>
      <c r="Y902" s="81" t="str">
        <f t="shared" si="351"/>
        <v/>
      </c>
      <c r="Z902" s="81" t="str">
        <f t="shared" si="352"/>
        <v/>
      </c>
      <c r="AA902" s="82" t="str">
        <f t="shared" si="353"/>
        <v/>
      </c>
      <c r="AB902" s="83" t="str">
        <f>IF(R902&lt;&gt;"",(W902-SUMPRODUCT(R$3:R902,$B$3:$B902)/SUM($B$3:$B902))/STDEVA(W892:W902),"")</f>
        <v/>
      </c>
      <c r="AC902" s="84" t="str">
        <f>IF(S902&lt;&gt;"",(X902-SUMPRODUCT(S$3:S902,$B$3:$B902)/SUM($B$3:$B902))/STDEVA(X892:X902),"")</f>
        <v/>
      </c>
      <c r="AD902" s="84" t="str">
        <f>IF(T902&lt;&gt;"",(Y902-SUMPRODUCT(T$3:T902,$B$3:$B902)/SUM($B$3:$B902))/STDEVA(Y892:Y902),"")</f>
        <v/>
      </c>
      <c r="AE902" s="84" t="str">
        <f>IF(U902&lt;&gt;"",(Z902-SUMPRODUCT(U$3:U902,$B$3:$B902)/SUM($B$3:$B902))/STDEVA(Z892:Z902),"")</f>
        <v/>
      </c>
      <c r="AF902" s="85" t="str">
        <f>IF(V902&lt;&gt;"",(AA902-SUMPRODUCT(V$3:V902,$B$3:$B902)/SUM($B$3:$B902))/STDEVA(AA892:AA902),"")</f>
        <v/>
      </c>
      <c r="AG902" s="90" t="str">
        <f t="shared" si="354"/>
        <v/>
      </c>
      <c r="AH902" s="90" t="str">
        <f t="shared" si="354"/>
        <v/>
      </c>
      <c r="AI902" s="90" t="str">
        <f t="shared" si="354"/>
        <v/>
      </c>
      <c r="AJ902" s="90" t="str">
        <f t="shared" si="354"/>
        <v/>
      </c>
      <c r="AK902" s="93" t="str">
        <f t="shared" si="355"/>
        <v/>
      </c>
      <c r="BQ902" s="100" t="str">
        <f>IF(A902&lt;&gt;"",(VLOOKUP(A902,MarketData!$D:$BP,MATCH($BQ$1,MarketData!$D$1:$EG$1,0),TRUE)/100/365+1)^(B902)*BQ901,"")</f>
        <v/>
      </c>
      <c r="BR902" s="98" t="str">
        <f t="shared" si="357"/>
        <v/>
      </c>
      <c r="BS902" s="106" t="str">
        <f>IF(A902&lt;&gt;"",VLOOKUP(A902,MarketData!$D:$BP,MATCH($BS$1,MarketData!$D$1:$EG$1,0),TRUE),"")</f>
        <v/>
      </c>
      <c r="BT902" s="98" t="str">
        <f t="shared" si="368"/>
        <v/>
      </c>
    </row>
    <row r="903" spans="2:72" x14ac:dyDescent="0.25">
      <c r="B903" s="60" t="str">
        <f t="shared" si="356"/>
        <v/>
      </c>
      <c r="C903" s="3" t="str">
        <f t="shared" si="358"/>
        <v/>
      </c>
      <c r="D903" s="3" t="str">
        <f t="shared" si="359"/>
        <v/>
      </c>
      <c r="E903" s="3" t="str">
        <f t="shared" si="360"/>
        <v/>
      </c>
      <c r="F903" s="3" t="str">
        <f t="shared" si="361"/>
        <v/>
      </c>
      <c r="G903" s="74" t="str">
        <f t="shared" si="362"/>
        <v/>
      </c>
      <c r="H903" s="78" t="str">
        <f>IFERROR(C903/SUM(M$2:M902),"")</f>
        <v/>
      </c>
      <c r="I903" s="61" t="str">
        <f>IFERROR(D903/SUM(N$2:N903),"")</f>
        <v/>
      </c>
      <c r="J903" s="61" t="str">
        <f>IFERROR(E903/SUM(O$2:O903),"")</f>
        <v/>
      </c>
      <c r="K903" s="61" t="str">
        <f>IFERROR(F903/SUM(P$2:P903),"")</f>
        <v/>
      </c>
      <c r="L903" s="79" t="str">
        <f>IFERROR(G903/SUM(Q$2:Q903),"")</f>
        <v/>
      </c>
      <c r="M903" s="64" t="str">
        <f t="shared" si="363"/>
        <v/>
      </c>
      <c r="N903" s="55" t="str">
        <f t="shared" si="364"/>
        <v/>
      </c>
      <c r="O903" s="55" t="str">
        <f t="shared" si="365"/>
        <v/>
      </c>
      <c r="P903" s="55" t="str">
        <f t="shared" si="366"/>
        <v/>
      </c>
      <c r="Q903" s="65" t="str">
        <f t="shared" si="367"/>
        <v/>
      </c>
      <c r="R903" s="67" t="str">
        <f t="shared" si="369"/>
        <v/>
      </c>
      <c r="S903" s="56" t="str">
        <f t="shared" si="370"/>
        <v/>
      </c>
      <c r="T903" s="56" t="str">
        <f t="shared" si="371"/>
        <v/>
      </c>
      <c r="U903" s="56" t="str">
        <f t="shared" si="372"/>
        <v/>
      </c>
      <c r="V903" s="68" t="str">
        <f t="shared" si="373"/>
        <v/>
      </c>
      <c r="W903" s="80" t="str">
        <f t="shared" si="349"/>
        <v/>
      </c>
      <c r="X903" s="81" t="str">
        <f t="shared" si="350"/>
        <v/>
      </c>
      <c r="Y903" s="81" t="str">
        <f t="shared" si="351"/>
        <v/>
      </c>
      <c r="Z903" s="81" t="str">
        <f t="shared" si="352"/>
        <v/>
      </c>
      <c r="AA903" s="82" t="str">
        <f t="shared" si="353"/>
        <v/>
      </c>
      <c r="AB903" s="83" t="str">
        <f>IF(R903&lt;&gt;"",(W903-SUMPRODUCT(R$3:R903,$B$3:$B903)/SUM($B$3:$B903))/STDEVA(W893:W903),"")</f>
        <v/>
      </c>
      <c r="AC903" s="84" t="str">
        <f>IF(S903&lt;&gt;"",(X903-SUMPRODUCT(S$3:S903,$B$3:$B903)/SUM($B$3:$B903))/STDEVA(X893:X903),"")</f>
        <v/>
      </c>
      <c r="AD903" s="84" t="str">
        <f>IF(T903&lt;&gt;"",(Y903-SUMPRODUCT(T$3:T903,$B$3:$B903)/SUM($B$3:$B903))/STDEVA(Y893:Y903),"")</f>
        <v/>
      </c>
      <c r="AE903" s="84" t="str">
        <f>IF(U903&lt;&gt;"",(Z903-SUMPRODUCT(U$3:U903,$B$3:$B903)/SUM($B$3:$B903))/STDEVA(Z893:Z903),"")</f>
        <v/>
      </c>
      <c r="AF903" s="85" t="str">
        <f>IF(V903&lt;&gt;"",(AA903-SUMPRODUCT(V$3:V903,$B$3:$B903)/SUM($B$3:$B903))/STDEVA(AA893:AA903),"")</f>
        <v/>
      </c>
      <c r="AG903" s="90" t="str">
        <f t="shared" si="354"/>
        <v/>
      </c>
      <c r="AH903" s="90" t="str">
        <f t="shared" si="354"/>
        <v/>
      </c>
      <c r="AI903" s="90" t="str">
        <f t="shared" si="354"/>
        <v/>
      </c>
      <c r="AJ903" s="90" t="str">
        <f t="shared" si="354"/>
        <v/>
      </c>
      <c r="AK903" s="93" t="str">
        <f t="shared" si="355"/>
        <v/>
      </c>
      <c r="BQ903" s="100" t="str">
        <f>IF(A903&lt;&gt;"",(VLOOKUP(A903,MarketData!$D:$BP,MATCH($BQ$1,MarketData!$D$1:$EG$1,0),TRUE)/100/365+1)^(B903)*BQ902,"")</f>
        <v/>
      </c>
      <c r="BR903" s="98" t="str">
        <f t="shared" si="357"/>
        <v/>
      </c>
      <c r="BS903" s="106" t="str">
        <f>IF(A903&lt;&gt;"",VLOOKUP(A903,MarketData!$D:$BP,MATCH($BS$1,MarketData!$D$1:$EG$1,0),TRUE),"")</f>
        <v/>
      </c>
      <c r="BT903" s="98" t="str">
        <f t="shared" si="368"/>
        <v/>
      </c>
    </row>
    <row r="904" spans="2:72" x14ac:dyDescent="0.25">
      <c r="B904" s="60" t="str">
        <f t="shared" si="356"/>
        <v/>
      </c>
      <c r="C904" s="3" t="str">
        <f t="shared" si="358"/>
        <v/>
      </c>
      <c r="D904" s="3" t="str">
        <f t="shared" si="359"/>
        <v/>
      </c>
      <c r="E904" s="3" t="str">
        <f t="shared" si="360"/>
        <v/>
      </c>
      <c r="F904" s="3" t="str">
        <f t="shared" si="361"/>
        <v/>
      </c>
      <c r="G904" s="74" t="str">
        <f t="shared" si="362"/>
        <v/>
      </c>
      <c r="H904" s="78" t="str">
        <f>IFERROR(C904/SUM(M$2:M903),"")</f>
        <v/>
      </c>
      <c r="I904" s="61" t="str">
        <f>IFERROR(D904/SUM(N$2:N904),"")</f>
        <v/>
      </c>
      <c r="J904" s="61" t="str">
        <f>IFERROR(E904/SUM(O$2:O904),"")</f>
        <v/>
      </c>
      <c r="K904" s="61" t="str">
        <f>IFERROR(F904/SUM(P$2:P904),"")</f>
        <v/>
      </c>
      <c r="L904" s="79" t="str">
        <f>IFERROR(G904/SUM(Q$2:Q904),"")</f>
        <v/>
      </c>
      <c r="M904" s="64" t="str">
        <f t="shared" si="363"/>
        <v/>
      </c>
      <c r="N904" s="55" t="str">
        <f t="shared" si="364"/>
        <v/>
      </c>
      <c r="O904" s="55" t="str">
        <f t="shared" si="365"/>
        <v/>
      </c>
      <c r="P904" s="55" t="str">
        <f t="shared" si="366"/>
        <v/>
      </c>
      <c r="Q904" s="65" t="str">
        <f t="shared" si="367"/>
        <v/>
      </c>
      <c r="R904" s="67" t="str">
        <f t="shared" si="369"/>
        <v/>
      </c>
      <c r="S904" s="56" t="str">
        <f t="shared" si="370"/>
        <v/>
      </c>
      <c r="T904" s="56" t="str">
        <f t="shared" si="371"/>
        <v/>
      </c>
      <c r="U904" s="56" t="str">
        <f t="shared" si="372"/>
        <v/>
      </c>
      <c r="V904" s="68" t="str">
        <f t="shared" si="373"/>
        <v/>
      </c>
      <c r="W904" s="80" t="str">
        <f t="shared" si="349"/>
        <v/>
      </c>
      <c r="X904" s="81" t="str">
        <f t="shared" si="350"/>
        <v/>
      </c>
      <c r="Y904" s="81" t="str">
        <f t="shared" si="351"/>
        <v/>
      </c>
      <c r="Z904" s="81" t="str">
        <f t="shared" si="352"/>
        <v/>
      </c>
      <c r="AA904" s="82" t="str">
        <f t="shared" si="353"/>
        <v/>
      </c>
      <c r="AB904" s="83" t="str">
        <f>IF(R904&lt;&gt;"",(W904-SUMPRODUCT(R$3:R904,$B$3:$B904)/SUM($B$3:$B904))/STDEVA(W894:W904),"")</f>
        <v/>
      </c>
      <c r="AC904" s="84" t="str">
        <f>IF(S904&lt;&gt;"",(X904-SUMPRODUCT(S$3:S904,$B$3:$B904)/SUM($B$3:$B904))/STDEVA(X894:X904),"")</f>
        <v/>
      </c>
      <c r="AD904" s="84" t="str">
        <f>IF(T904&lt;&gt;"",(Y904-SUMPRODUCT(T$3:T904,$B$3:$B904)/SUM($B$3:$B904))/STDEVA(Y894:Y904),"")</f>
        <v/>
      </c>
      <c r="AE904" s="84" t="str">
        <f>IF(U904&lt;&gt;"",(Z904-SUMPRODUCT(U$3:U904,$B$3:$B904)/SUM($B$3:$B904))/STDEVA(Z894:Z904),"")</f>
        <v/>
      </c>
      <c r="AF904" s="85" t="str">
        <f>IF(V904&lt;&gt;"",(AA904-SUMPRODUCT(V$3:V904,$B$3:$B904)/SUM($B$3:$B904))/STDEVA(AA894:AA904),"")</f>
        <v/>
      </c>
      <c r="AG904" s="90" t="str">
        <f t="shared" si="354"/>
        <v/>
      </c>
      <c r="AH904" s="90" t="str">
        <f t="shared" si="354"/>
        <v/>
      </c>
      <c r="AI904" s="90" t="str">
        <f t="shared" si="354"/>
        <v/>
      </c>
      <c r="AJ904" s="90" t="str">
        <f t="shared" si="354"/>
        <v/>
      </c>
      <c r="AK904" s="93" t="str">
        <f t="shared" si="355"/>
        <v/>
      </c>
      <c r="BQ904" s="100" t="str">
        <f>IF(A904&lt;&gt;"",(VLOOKUP(A904,MarketData!$D:$BP,MATCH($BQ$1,MarketData!$D$1:$EG$1,0),TRUE)/100/365+1)^(B904)*BQ903,"")</f>
        <v/>
      </c>
      <c r="BR904" s="98" t="str">
        <f t="shared" si="357"/>
        <v/>
      </c>
      <c r="BS904" s="106" t="str">
        <f>IF(A904&lt;&gt;"",VLOOKUP(A904,MarketData!$D:$BP,MATCH($BS$1,MarketData!$D$1:$EG$1,0),TRUE),"")</f>
        <v/>
      </c>
      <c r="BT904" s="98" t="str">
        <f t="shared" si="368"/>
        <v/>
      </c>
    </row>
    <row r="905" spans="2:72" x14ac:dyDescent="0.25">
      <c r="B905" s="60" t="str">
        <f t="shared" si="356"/>
        <v/>
      </c>
      <c r="C905" s="3" t="str">
        <f t="shared" si="358"/>
        <v/>
      </c>
      <c r="D905" s="3" t="str">
        <f t="shared" si="359"/>
        <v/>
      </c>
      <c r="E905" s="3" t="str">
        <f t="shared" si="360"/>
        <v/>
      </c>
      <c r="F905" s="3" t="str">
        <f t="shared" si="361"/>
        <v/>
      </c>
      <c r="G905" s="74" t="str">
        <f t="shared" si="362"/>
        <v/>
      </c>
      <c r="H905" s="78" t="str">
        <f>IFERROR(C905/SUM(M$2:M904),"")</f>
        <v/>
      </c>
      <c r="I905" s="61" t="str">
        <f>IFERROR(D905/SUM(N$2:N905),"")</f>
        <v/>
      </c>
      <c r="J905" s="61" t="str">
        <f>IFERROR(E905/SUM(O$2:O905),"")</f>
        <v/>
      </c>
      <c r="K905" s="61" t="str">
        <f>IFERROR(F905/SUM(P$2:P905),"")</f>
        <v/>
      </c>
      <c r="L905" s="79" t="str">
        <f>IFERROR(G905/SUM(Q$2:Q905),"")</f>
        <v/>
      </c>
      <c r="M905" s="64" t="str">
        <f t="shared" si="363"/>
        <v/>
      </c>
      <c r="N905" s="55" t="str">
        <f t="shared" si="364"/>
        <v/>
      </c>
      <c r="O905" s="55" t="str">
        <f t="shared" si="365"/>
        <v/>
      </c>
      <c r="P905" s="55" t="str">
        <f t="shared" si="366"/>
        <v/>
      </c>
      <c r="Q905" s="65" t="str">
        <f t="shared" si="367"/>
        <v/>
      </c>
      <c r="R905" s="67" t="str">
        <f t="shared" si="369"/>
        <v/>
      </c>
      <c r="S905" s="56" t="str">
        <f t="shared" si="370"/>
        <v/>
      </c>
      <c r="T905" s="56" t="str">
        <f t="shared" si="371"/>
        <v/>
      </c>
      <c r="U905" s="56" t="str">
        <f t="shared" si="372"/>
        <v/>
      </c>
      <c r="V905" s="68" t="str">
        <f t="shared" si="373"/>
        <v/>
      </c>
      <c r="W905" s="80" t="str">
        <f t="shared" si="349"/>
        <v/>
      </c>
      <c r="X905" s="81" t="str">
        <f t="shared" si="350"/>
        <v/>
      </c>
      <c r="Y905" s="81" t="str">
        <f t="shared" si="351"/>
        <v/>
      </c>
      <c r="Z905" s="81" t="str">
        <f t="shared" si="352"/>
        <v/>
      </c>
      <c r="AA905" s="82" t="str">
        <f t="shared" si="353"/>
        <v/>
      </c>
      <c r="AB905" s="83" t="str">
        <f>IF(R905&lt;&gt;"",(W905-SUMPRODUCT(R$3:R905,$B$3:$B905)/SUM($B$3:$B905))/STDEVA(W895:W905),"")</f>
        <v/>
      </c>
      <c r="AC905" s="84" t="str">
        <f>IF(S905&lt;&gt;"",(X905-SUMPRODUCT(S$3:S905,$B$3:$B905)/SUM($B$3:$B905))/STDEVA(X895:X905),"")</f>
        <v/>
      </c>
      <c r="AD905" s="84" t="str">
        <f>IF(T905&lt;&gt;"",(Y905-SUMPRODUCT(T$3:T905,$B$3:$B905)/SUM($B$3:$B905))/STDEVA(Y895:Y905),"")</f>
        <v/>
      </c>
      <c r="AE905" s="84" t="str">
        <f>IF(U905&lt;&gt;"",(Z905-SUMPRODUCT(U$3:U905,$B$3:$B905)/SUM($B$3:$B905))/STDEVA(Z895:Z905),"")</f>
        <v/>
      </c>
      <c r="AF905" s="85" t="str">
        <f>IF(V905&lt;&gt;"",(AA905-SUMPRODUCT(V$3:V905,$B$3:$B905)/SUM($B$3:$B905))/STDEVA(AA895:AA905),"")</f>
        <v/>
      </c>
      <c r="AG905" s="90" t="str">
        <f t="shared" si="354"/>
        <v/>
      </c>
      <c r="AH905" s="90" t="str">
        <f t="shared" si="354"/>
        <v/>
      </c>
      <c r="AI905" s="90" t="str">
        <f t="shared" si="354"/>
        <v/>
      </c>
      <c r="AJ905" s="90" t="str">
        <f t="shared" si="354"/>
        <v/>
      </c>
      <c r="AK905" s="93" t="str">
        <f t="shared" si="355"/>
        <v/>
      </c>
      <c r="BQ905" s="100" t="str">
        <f>IF(A905&lt;&gt;"",(VLOOKUP(A905,MarketData!$D:$BP,MATCH($BQ$1,MarketData!$D$1:$EG$1,0),TRUE)/100/365+1)^(B905)*BQ904,"")</f>
        <v/>
      </c>
      <c r="BR905" s="98" t="str">
        <f t="shared" si="357"/>
        <v/>
      </c>
      <c r="BS905" s="106" t="str">
        <f>IF(A905&lt;&gt;"",VLOOKUP(A905,MarketData!$D:$BP,MATCH($BS$1,MarketData!$D$1:$EG$1,0),TRUE),"")</f>
        <v/>
      </c>
      <c r="BT905" s="98" t="str">
        <f t="shared" si="368"/>
        <v/>
      </c>
    </row>
    <row r="906" spans="2:72" x14ac:dyDescent="0.25">
      <c r="B906" s="60" t="str">
        <f t="shared" si="356"/>
        <v/>
      </c>
      <c r="C906" s="3" t="str">
        <f t="shared" si="358"/>
        <v/>
      </c>
      <c r="D906" s="3" t="str">
        <f t="shared" si="359"/>
        <v/>
      </c>
      <c r="E906" s="3" t="str">
        <f t="shared" si="360"/>
        <v/>
      </c>
      <c r="F906" s="3" t="str">
        <f t="shared" si="361"/>
        <v/>
      </c>
      <c r="G906" s="74" t="str">
        <f t="shared" si="362"/>
        <v/>
      </c>
      <c r="H906" s="78" t="str">
        <f>IFERROR(C906/SUM(M$2:M905),"")</f>
        <v/>
      </c>
      <c r="I906" s="61" t="str">
        <f>IFERROR(D906/SUM(N$2:N906),"")</f>
        <v/>
      </c>
      <c r="J906" s="61" t="str">
        <f>IFERROR(E906/SUM(O$2:O906),"")</f>
        <v/>
      </c>
      <c r="K906" s="61" t="str">
        <f>IFERROR(F906/SUM(P$2:P906),"")</f>
        <v/>
      </c>
      <c r="L906" s="79" t="str">
        <f>IFERROR(G906/SUM(Q$2:Q906),"")</f>
        <v/>
      </c>
      <c r="M906" s="64" t="str">
        <f t="shared" si="363"/>
        <v/>
      </c>
      <c r="N906" s="55" t="str">
        <f t="shared" si="364"/>
        <v/>
      </c>
      <c r="O906" s="55" t="str">
        <f t="shared" si="365"/>
        <v/>
      </c>
      <c r="P906" s="55" t="str">
        <f t="shared" si="366"/>
        <v/>
      </c>
      <c r="Q906" s="65" t="str">
        <f t="shared" si="367"/>
        <v/>
      </c>
      <c r="R906" s="67" t="str">
        <f t="shared" si="369"/>
        <v/>
      </c>
      <c r="S906" s="56" t="str">
        <f t="shared" si="370"/>
        <v/>
      </c>
      <c r="T906" s="56" t="str">
        <f t="shared" si="371"/>
        <v/>
      </c>
      <c r="U906" s="56" t="str">
        <f t="shared" si="372"/>
        <v/>
      </c>
      <c r="V906" s="68" t="str">
        <f t="shared" si="373"/>
        <v/>
      </c>
      <c r="W906" s="80" t="str">
        <f t="shared" si="349"/>
        <v/>
      </c>
      <c r="X906" s="81" t="str">
        <f t="shared" si="350"/>
        <v/>
      </c>
      <c r="Y906" s="81" t="str">
        <f t="shared" si="351"/>
        <v/>
      </c>
      <c r="Z906" s="81" t="str">
        <f t="shared" si="352"/>
        <v/>
      </c>
      <c r="AA906" s="82" t="str">
        <f t="shared" si="353"/>
        <v/>
      </c>
      <c r="AB906" s="83" t="str">
        <f>IF(R906&lt;&gt;"",(W906-SUMPRODUCT(R$3:R906,$B$3:$B906)/SUM($B$3:$B906))/STDEVA(W896:W906),"")</f>
        <v/>
      </c>
      <c r="AC906" s="84" t="str">
        <f>IF(S906&lt;&gt;"",(X906-SUMPRODUCT(S$3:S906,$B$3:$B906)/SUM($B$3:$B906))/STDEVA(X896:X906),"")</f>
        <v/>
      </c>
      <c r="AD906" s="84" t="str">
        <f>IF(T906&lt;&gt;"",(Y906-SUMPRODUCT(T$3:T906,$B$3:$B906)/SUM($B$3:$B906))/STDEVA(Y896:Y906),"")</f>
        <v/>
      </c>
      <c r="AE906" s="84" t="str">
        <f>IF(U906&lt;&gt;"",(Z906-SUMPRODUCT(U$3:U906,$B$3:$B906)/SUM($B$3:$B906))/STDEVA(Z896:Z906),"")</f>
        <v/>
      </c>
      <c r="AF906" s="85" t="str">
        <f>IF(V906&lt;&gt;"",(AA906-SUMPRODUCT(V$3:V906,$B$3:$B906)/SUM($B$3:$B906))/STDEVA(AA896:AA906),"")</f>
        <v/>
      </c>
      <c r="AG906" s="90" t="str">
        <f t="shared" si="354"/>
        <v/>
      </c>
      <c r="AH906" s="90" t="str">
        <f t="shared" si="354"/>
        <v/>
      </c>
      <c r="AI906" s="90" t="str">
        <f t="shared" si="354"/>
        <v/>
      </c>
      <c r="AJ906" s="90" t="str">
        <f t="shared" si="354"/>
        <v/>
      </c>
      <c r="AK906" s="93" t="str">
        <f t="shared" si="355"/>
        <v/>
      </c>
      <c r="BQ906" s="100" t="str">
        <f>IF(A906&lt;&gt;"",(VLOOKUP(A906,MarketData!$D:$BP,MATCH($BQ$1,MarketData!$D$1:$EG$1,0),TRUE)/100/365+1)^(B906)*BQ905,"")</f>
        <v/>
      </c>
      <c r="BR906" s="98" t="str">
        <f t="shared" si="357"/>
        <v/>
      </c>
      <c r="BS906" s="106" t="str">
        <f>IF(A906&lt;&gt;"",VLOOKUP(A906,MarketData!$D:$BP,MATCH($BS$1,MarketData!$D$1:$EG$1,0),TRUE),"")</f>
        <v/>
      </c>
      <c r="BT906" s="98" t="str">
        <f t="shared" si="368"/>
        <v/>
      </c>
    </row>
    <row r="907" spans="2:72" x14ac:dyDescent="0.25">
      <c r="B907" s="60" t="str">
        <f t="shared" si="356"/>
        <v/>
      </c>
      <c r="C907" s="3" t="str">
        <f t="shared" si="358"/>
        <v/>
      </c>
      <c r="D907" s="3" t="str">
        <f t="shared" si="359"/>
        <v/>
      </c>
      <c r="E907" s="3" t="str">
        <f t="shared" si="360"/>
        <v/>
      </c>
      <c r="F907" s="3" t="str">
        <f t="shared" si="361"/>
        <v/>
      </c>
      <c r="G907" s="74" t="str">
        <f t="shared" si="362"/>
        <v/>
      </c>
      <c r="H907" s="78" t="str">
        <f>IFERROR(C907/SUM(M$2:M906),"")</f>
        <v/>
      </c>
      <c r="I907" s="61" t="str">
        <f>IFERROR(D907/SUM(N$2:N907),"")</f>
        <v/>
      </c>
      <c r="J907" s="61" t="str">
        <f>IFERROR(E907/SUM(O$2:O907),"")</f>
        <v/>
      </c>
      <c r="K907" s="61" t="str">
        <f>IFERROR(F907/SUM(P$2:P907),"")</f>
        <v/>
      </c>
      <c r="L907" s="79" t="str">
        <f>IFERROR(G907/SUM(Q$2:Q907),"")</f>
        <v/>
      </c>
      <c r="M907" s="64" t="str">
        <f t="shared" si="363"/>
        <v/>
      </c>
      <c r="N907" s="55" t="str">
        <f t="shared" si="364"/>
        <v/>
      </c>
      <c r="O907" s="55" t="str">
        <f t="shared" si="365"/>
        <v/>
      </c>
      <c r="P907" s="55" t="str">
        <f t="shared" si="366"/>
        <v/>
      </c>
      <c r="Q907" s="65" t="str">
        <f t="shared" si="367"/>
        <v/>
      </c>
      <c r="R907" s="67" t="str">
        <f t="shared" si="369"/>
        <v/>
      </c>
      <c r="S907" s="56" t="str">
        <f t="shared" si="370"/>
        <v/>
      </c>
      <c r="T907" s="56" t="str">
        <f t="shared" si="371"/>
        <v/>
      </c>
      <c r="U907" s="56" t="str">
        <f t="shared" si="372"/>
        <v/>
      </c>
      <c r="V907" s="68" t="str">
        <f t="shared" si="373"/>
        <v/>
      </c>
      <c r="W907" s="80" t="str">
        <f t="shared" si="349"/>
        <v/>
      </c>
      <c r="X907" s="81" t="str">
        <f t="shared" si="350"/>
        <v/>
      </c>
      <c r="Y907" s="81" t="str">
        <f t="shared" si="351"/>
        <v/>
      </c>
      <c r="Z907" s="81" t="str">
        <f t="shared" si="352"/>
        <v/>
      </c>
      <c r="AA907" s="82" t="str">
        <f t="shared" si="353"/>
        <v/>
      </c>
      <c r="AB907" s="83" t="str">
        <f>IF(R907&lt;&gt;"",(W907-SUMPRODUCT(R$3:R907,$B$3:$B907)/SUM($B$3:$B907))/STDEVA(W897:W907),"")</f>
        <v/>
      </c>
      <c r="AC907" s="84" t="str">
        <f>IF(S907&lt;&gt;"",(X907-SUMPRODUCT(S$3:S907,$B$3:$B907)/SUM($B$3:$B907))/STDEVA(X897:X907),"")</f>
        <v/>
      </c>
      <c r="AD907" s="84" t="str">
        <f>IF(T907&lt;&gt;"",(Y907-SUMPRODUCT(T$3:T907,$B$3:$B907)/SUM($B$3:$B907))/STDEVA(Y897:Y907),"")</f>
        <v/>
      </c>
      <c r="AE907" s="84" t="str">
        <f>IF(U907&lt;&gt;"",(Z907-SUMPRODUCT(U$3:U907,$B$3:$B907)/SUM($B$3:$B907))/STDEVA(Z897:Z907),"")</f>
        <v/>
      </c>
      <c r="AF907" s="85" t="str">
        <f>IF(V907&lt;&gt;"",(AA907-SUMPRODUCT(V$3:V907,$B$3:$B907)/SUM($B$3:$B907))/STDEVA(AA897:AA907),"")</f>
        <v/>
      </c>
      <c r="AG907" s="90" t="str">
        <f t="shared" si="354"/>
        <v/>
      </c>
      <c r="AH907" s="90" t="str">
        <f t="shared" si="354"/>
        <v/>
      </c>
      <c r="AI907" s="90" t="str">
        <f t="shared" si="354"/>
        <v/>
      </c>
      <c r="AJ907" s="90" t="str">
        <f t="shared" si="354"/>
        <v/>
      </c>
      <c r="AK907" s="93" t="str">
        <f t="shared" si="355"/>
        <v/>
      </c>
      <c r="BQ907" s="100" t="str">
        <f>IF(A907&lt;&gt;"",(VLOOKUP(A907,MarketData!$D:$BP,MATCH($BQ$1,MarketData!$D$1:$EG$1,0),TRUE)/100/365+1)^(B907)*BQ906,"")</f>
        <v/>
      </c>
      <c r="BR907" s="98" t="str">
        <f t="shared" si="357"/>
        <v/>
      </c>
      <c r="BS907" s="106" t="str">
        <f>IF(A907&lt;&gt;"",VLOOKUP(A907,MarketData!$D:$BP,MATCH($BS$1,MarketData!$D$1:$EG$1,0),TRUE),"")</f>
        <v/>
      </c>
      <c r="BT907" s="98" t="str">
        <f t="shared" si="368"/>
        <v/>
      </c>
    </row>
    <row r="908" spans="2:72" x14ac:dyDescent="0.25">
      <c r="B908" s="60" t="str">
        <f t="shared" si="356"/>
        <v/>
      </c>
      <c r="C908" s="3" t="str">
        <f t="shared" si="358"/>
        <v/>
      </c>
      <c r="D908" s="3" t="str">
        <f t="shared" si="359"/>
        <v/>
      </c>
      <c r="E908" s="3" t="str">
        <f t="shared" si="360"/>
        <v/>
      </c>
      <c r="F908" s="3" t="str">
        <f t="shared" si="361"/>
        <v/>
      </c>
      <c r="G908" s="74" t="str">
        <f t="shared" si="362"/>
        <v/>
      </c>
      <c r="H908" s="78" t="str">
        <f>IFERROR(C908/SUM(M$2:M907),"")</f>
        <v/>
      </c>
      <c r="I908" s="61" t="str">
        <f>IFERROR(D908/SUM(N$2:N908),"")</f>
        <v/>
      </c>
      <c r="J908" s="61" t="str">
        <f>IFERROR(E908/SUM(O$2:O908),"")</f>
        <v/>
      </c>
      <c r="K908" s="61" t="str">
        <f>IFERROR(F908/SUM(P$2:P908),"")</f>
        <v/>
      </c>
      <c r="L908" s="79" t="str">
        <f>IFERROR(G908/SUM(Q$2:Q908),"")</f>
        <v/>
      </c>
      <c r="M908" s="64" t="str">
        <f t="shared" si="363"/>
        <v/>
      </c>
      <c r="N908" s="55" t="str">
        <f t="shared" si="364"/>
        <v/>
      </c>
      <c r="O908" s="55" t="str">
        <f t="shared" si="365"/>
        <v/>
      </c>
      <c r="P908" s="55" t="str">
        <f t="shared" si="366"/>
        <v/>
      </c>
      <c r="Q908" s="65" t="str">
        <f t="shared" si="367"/>
        <v/>
      </c>
      <c r="R908" s="67" t="str">
        <f t="shared" si="369"/>
        <v/>
      </c>
      <c r="S908" s="56" t="str">
        <f t="shared" si="370"/>
        <v/>
      </c>
      <c r="T908" s="56" t="str">
        <f t="shared" si="371"/>
        <v/>
      </c>
      <c r="U908" s="56" t="str">
        <f t="shared" si="372"/>
        <v/>
      </c>
      <c r="V908" s="68" t="str">
        <f t="shared" si="373"/>
        <v/>
      </c>
      <c r="W908" s="80" t="str">
        <f t="shared" ref="W908:W971" si="374">IF(R908&lt;&gt;"",SUMPRODUCT(R899:R908,$B899:$B908)/SUM($B899:$B908),"")</f>
        <v/>
      </c>
      <c r="X908" s="81" t="str">
        <f t="shared" ref="X908:X971" si="375">IF(S908&lt;&gt;"",SUMPRODUCT(S899:S908,$B899:$B908)/SUM($B899:$B908),"")</f>
        <v/>
      </c>
      <c r="Y908" s="81" t="str">
        <f t="shared" ref="Y908:Y971" si="376">IF(T908&lt;&gt;"",SUMPRODUCT(T899:T908,$B899:$B908)/SUM($B899:$B908),"")</f>
        <v/>
      </c>
      <c r="Z908" s="81" t="str">
        <f t="shared" ref="Z908:Z971" si="377">IF(U908&lt;&gt;"",SUMPRODUCT(U899:U908,$B899:$B908)/SUM($B899:$B908),"")</f>
        <v/>
      </c>
      <c r="AA908" s="82" t="str">
        <f t="shared" ref="AA908:AA971" si="378">IF(V908&lt;&gt;"",SUMPRODUCT(V899:V908,$B899:$B908)/SUM($B899:$B908),"")</f>
        <v/>
      </c>
      <c r="AB908" s="83" t="str">
        <f>IF(R908&lt;&gt;"",(W908-SUMPRODUCT(R$3:R908,$B$3:$B908)/SUM($B$3:$B908))/STDEVA(W898:W908),"")</f>
        <v/>
      </c>
      <c r="AC908" s="84" t="str">
        <f>IF(S908&lt;&gt;"",(X908-SUMPRODUCT(S$3:S908,$B$3:$B908)/SUM($B$3:$B908))/STDEVA(X898:X908),"")</f>
        <v/>
      </c>
      <c r="AD908" s="84" t="str">
        <f>IF(T908&lt;&gt;"",(Y908-SUMPRODUCT(T$3:T908,$B$3:$B908)/SUM($B$3:$B908))/STDEVA(Y898:Y908),"")</f>
        <v/>
      </c>
      <c r="AE908" s="84" t="str">
        <f>IF(U908&lt;&gt;"",(Z908-SUMPRODUCT(U$3:U908,$B$3:$B908)/SUM($B$3:$B908))/STDEVA(Z898:Z908),"")</f>
        <v/>
      </c>
      <c r="AF908" s="85" t="str">
        <f>IF(V908&lt;&gt;"",(AA908-SUMPRODUCT(V$3:V908,$B$3:$B908)/SUM($B$3:$B908))/STDEVA(AA898:AA908),"")</f>
        <v/>
      </c>
      <c r="AG908" s="90" t="str">
        <f t="shared" si="354"/>
        <v/>
      </c>
      <c r="AH908" s="90" t="str">
        <f t="shared" si="354"/>
        <v/>
      </c>
      <c r="AI908" s="90" t="str">
        <f t="shared" si="354"/>
        <v/>
      </c>
      <c r="AJ908" s="90" t="str">
        <f t="shared" si="354"/>
        <v/>
      </c>
      <c r="AK908" s="93" t="str">
        <f t="shared" si="355"/>
        <v/>
      </c>
      <c r="BQ908" s="100" t="str">
        <f>IF(A908&lt;&gt;"",(VLOOKUP(A908,MarketData!$D:$BP,MATCH($BQ$1,MarketData!$D$1:$EG$1,0),TRUE)/100/365+1)^(B908)*BQ907,"")</f>
        <v/>
      </c>
      <c r="BR908" s="98" t="str">
        <f t="shared" si="357"/>
        <v/>
      </c>
      <c r="BS908" s="106" t="str">
        <f>IF(A908&lt;&gt;"",VLOOKUP(A908,MarketData!$D:$BP,MATCH($BS$1,MarketData!$D$1:$EG$1,0),TRUE),"")</f>
        <v/>
      </c>
      <c r="BT908" s="98" t="str">
        <f t="shared" si="368"/>
        <v/>
      </c>
    </row>
    <row r="909" spans="2:72" x14ac:dyDescent="0.25">
      <c r="B909" s="60" t="str">
        <f t="shared" si="356"/>
        <v/>
      </c>
      <c r="C909" s="3" t="str">
        <f t="shared" si="358"/>
        <v/>
      </c>
      <c r="D909" s="3" t="str">
        <f t="shared" si="359"/>
        <v/>
      </c>
      <c r="E909" s="3" t="str">
        <f t="shared" si="360"/>
        <v/>
      </c>
      <c r="F909" s="3" t="str">
        <f t="shared" si="361"/>
        <v/>
      </c>
      <c r="G909" s="74" t="str">
        <f t="shared" si="362"/>
        <v/>
      </c>
      <c r="H909" s="78" t="str">
        <f>IFERROR(C909/SUM(M$2:M908),"")</f>
        <v/>
      </c>
      <c r="I909" s="61" t="str">
        <f>IFERROR(D909/SUM(N$2:N909),"")</f>
        <v/>
      </c>
      <c r="J909" s="61" t="str">
        <f>IFERROR(E909/SUM(O$2:O909),"")</f>
        <v/>
      </c>
      <c r="K909" s="61" t="str">
        <f>IFERROR(F909/SUM(P$2:P909),"")</f>
        <v/>
      </c>
      <c r="L909" s="79" t="str">
        <f>IFERROR(G909/SUM(Q$2:Q909),"")</f>
        <v/>
      </c>
      <c r="M909" s="64" t="str">
        <f t="shared" si="363"/>
        <v/>
      </c>
      <c r="N909" s="55" t="str">
        <f t="shared" si="364"/>
        <v/>
      </c>
      <c r="O909" s="55" t="str">
        <f t="shared" si="365"/>
        <v/>
      </c>
      <c r="P909" s="55" t="str">
        <f t="shared" si="366"/>
        <v/>
      </c>
      <c r="Q909" s="65" t="str">
        <f t="shared" si="367"/>
        <v/>
      </c>
      <c r="R909" s="67" t="str">
        <f t="shared" si="369"/>
        <v/>
      </c>
      <c r="S909" s="56" t="str">
        <f t="shared" si="370"/>
        <v/>
      </c>
      <c r="T909" s="56" t="str">
        <f t="shared" si="371"/>
        <v/>
      </c>
      <c r="U909" s="56" t="str">
        <f t="shared" si="372"/>
        <v/>
      </c>
      <c r="V909" s="68" t="str">
        <f t="shared" si="373"/>
        <v/>
      </c>
      <c r="W909" s="80" t="str">
        <f t="shared" si="374"/>
        <v/>
      </c>
      <c r="X909" s="81" t="str">
        <f t="shared" si="375"/>
        <v/>
      </c>
      <c r="Y909" s="81" t="str">
        <f t="shared" si="376"/>
        <v/>
      </c>
      <c r="Z909" s="81" t="str">
        <f t="shared" si="377"/>
        <v/>
      </c>
      <c r="AA909" s="82" t="str">
        <f t="shared" si="378"/>
        <v/>
      </c>
      <c r="AB909" s="83" t="str">
        <f>IF(R909&lt;&gt;"",(W909-SUMPRODUCT(R$3:R909,$B$3:$B909)/SUM($B$3:$B909))/STDEVA(W899:W909),"")</f>
        <v/>
      </c>
      <c r="AC909" s="84" t="str">
        <f>IF(S909&lt;&gt;"",(X909-SUMPRODUCT(S$3:S909,$B$3:$B909)/SUM($B$3:$B909))/STDEVA(X899:X909),"")</f>
        <v/>
      </c>
      <c r="AD909" s="84" t="str">
        <f>IF(T909&lt;&gt;"",(Y909-SUMPRODUCT(T$3:T909,$B$3:$B909)/SUM($B$3:$B909))/STDEVA(Y899:Y909),"")</f>
        <v/>
      </c>
      <c r="AE909" s="84" t="str">
        <f>IF(U909&lt;&gt;"",(Z909-SUMPRODUCT(U$3:U909,$B$3:$B909)/SUM($B$3:$B909))/STDEVA(Z899:Z909),"")</f>
        <v/>
      </c>
      <c r="AF909" s="85" t="str">
        <f>IF(V909&lt;&gt;"",(AA909-SUMPRODUCT(V$3:V909,$B$3:$B909)/SUM($B$3:$B909))/STDEVA(AA899:AA909),"")</f>
        <v/>
      </c>
      <c r="AG909" s="90" t="str">
        <f t="shared" si="354"/>
        <v/>
      </c>
      <c r="AH909" s="90" t="str">
        <f t="shared" si="354"/>
        <v/>
      </c>
      <c r="AI909" s="90" t="str">
        <f t="shared" si="354"/>
        <v/>
      </c>
      <c r="AJ909" s="90" t="str">
        <f t="shared" ref="AJ909:AK972" si="379">IF(AE909&lt;&gt;"",SUMPRODUCT(AE904:AE909,$B904:$B909)/SUM($B904:$B909),"")</f>
        <v/>
      </c>
      <c r="AK909" s="93" t="str">
        <f t="shared" si="355"/>
        <v/>
      </c>
      <c r="BQ909" s="100" t="str">
        <f>IF(A909&lt;&gt;"",(VLOOKUP(A909,MarketData!$D:$BP,MATCH($BQ$1,MarketData!$D$1:$EG$1,0),TRUE)/100/365+1)^(B909)*BQ908,"")</f>
        <v/>
      </c>
      <c r="BR909" s="98" t="str">
        <f t="shared" si="357"/>
        <v/>
      </c>
      <c r="BS909" s="106" t="str">
        <f>IF(A909&lt;&gt;"",VLOOKUP(A909,MarketData!$D:$BP,MATCH($BS$1,MarketData!$D$1:$EG$1,0),TRUE),"")</f>
        <v/>
      </c>
      <c r="BT909" s="98" t="str">
        <f t="shared" si="368"/>
        <v/>
      </c>
    </row>
    <row r="910" spans="2:72" x14ac:dyDescent="0.25">
      <c r="B910" s="60" t="str">
        <f t="shared" si="356"/>
        <v/>
      </c>
      <c r="C910" s="3" t="str">
        <f t="shared" si="358"/>
        <v/>
      </c>
      <c r="D910" s="3" t="str">
        <f t="shared" si="359"/>
        <v/>
      </c>
      <c r="E910" s="3" t="str">
        <f t="shared" si="360"/>
        <v/>
      </c>
      <c r="F910" s="3" t="str">
        <f t="shared" si="361"/>
        <v/>
      </c>
      <c r="G910" s="74" t="str">
        <f t="shared" si="362"/>
        <v/>
      </c>
      <c r="H910" s="78" t="str">
        <f>IFERROR(C910/SUM(M$2:M909),"")</f>
        <v/>
      </c>
      <c r="I910" s="61" t="str">
        <f>IFERROR(D910/SUM(N$2:N910),"")</f>
        <v/>
      </c>
      <c r="J910" s="61" t="str">
        <f>IFERROR(E910/SUM(O$2:O910),"")</f>
        <v/>
      </c>
      <c r="K910" s="61" t="str">
        <f>IFERROR(F910/SUM(P$2:P910),"")</f>
        <v/>
      </c>
      <c r="L910" s="79" t="str">
        <f>IFERROR(G910/SUM(Q$2:Q910),"")</f>
        <v/>
      </c>
      <c r="M910" s="64" t="str">
        <f t="shared" si="363"/>
        <v/>
      </c>
      <c r="N910" s="55" t="str">
        <f t="shared" si="364"/>
        <v/>
      </c>
      <c r="O910" s="55" t="str">
        <f t="shared" si="365"/>
        <v/>
      </c>
      <c r="P910" s="55" t="str">
        <f t="shared" si="366"/>
        <v/>
      </c>
      <c r="Q910" s="65" t="str">
        <f t="shared" si="367"/>
        <v/>
      </c>
      <c r="R910" s="67" t="str">
        <f t="shared" si="369"/>
        <v/>
      </c>
      <c r="S910" s="56" t="str">
        <f t="shared" si="370"/>
        <v/>
      </c>
      <c r="T910" s="56" t="str">
        <f t="shared" si="371"/>
        <v/>
      </c>
      <c r="U910" s="56" t="str">
        <f t="shared" si="372"/>
        <v/>
      </c>
      <c r="V910" s="68" t="str">
        <f t="shared" si="373"/>
        <v/>
      </c>
      <c r="W910" s="80" t="str">
        <f t="shared" si="374"/>
        <v/>
      </c>
      <c r="X910" s="81" t="str">
        <f t="shared" si="375"/>
        <v/>
      </c>
      <c r="Y910" s="81" t="str">
        <f t="shared" si="376"/>
        <v/>
      </c>
      <c r="Z910" s="81" t="str">
        <f t="shared" si="377"/>
        <v/>
      </c>
      <c r="AA910" s="82" t="str">
        <f t="shared" si="378"/>
        <v/>
      </c>
      <c r="AB910" s="83" t="str">
        <f>IF(R910&lt;&gt;"",(W910-SUMPRODUCT(R$3:R910,$B$3:$B910)/SUM($B$3:$B910))/STDEVA(W900:W910),"")</f>
        <v/>
      </c>
      <c r="AC910" s="84" t="str">
        <f>IF(S910&lt;&gt;"",(X910-SUMPRODUCT(S$3:S910,$B$3:$B910)/SUM($B$3:$B910))/STDEVA(X900:X910),"")</f>
        <v/>
      </c>
      <c r="AD910" s="84" t="str">
        <f>IF(T910&lt;&gt;"",(Y910-SUMPRODUCT(T$3:T910,$B$3:$B910)/SUM($B$3:$B910))/STDEVA(Y900:Y910),"")</f>
        <v/>
      </c>
      <c r="AE910" s="84" t="str">
        <f>IF(U910&lt;&gt;"",(Z910-SUMPRODUCT(U$3:U910,$B$3:$B910)/SUM($B$3:$B910))/STDEVA(Z900:Z910),"")</f>
        <v/>
      </c>
      <c r="AF910" s="85" t="str">
        <f>IF(V910&lt;&gt;"",(AA910-SUMPRODUCT(V$3:V910,$B$3:$B910)/SUM($B$3:$B910))/STDEVA(AA900:AA910),"")</f>
        <v/>
      </c>
      <c r="AG910" s="90" t="str">
        <f t="shared" ref="AG910:AK973" si="380">IF(AB910&lt;&gt;"",SUMPRODUCT(AB905:AB910,$B905:$B910)/SUM($B905:$B910),"")</f>
        <v/>
      </c>
      <c r="AH910" s="90" t="str">
        <f t="shared" si="380"/>
        <v/>
      </c>
      <c r="AI910" s="90" t="str">
        <f t="shared" si="380"/>
        <v/>
      </c>
      <c r="AJ910" s="90" t="str">
        <f t="shared" si="379"/>
        <v/>
      </c>
      <c r="AK910" s="93" t="str">
        <f t="shared" si="379"/>
        <v/>
      </c>
      <c r="BQ910" s="100" t="str">
        <f>IF(A910&lt;&gt;"",(VLOOKUP(A910,MarketData!$D:$BP,MATCH($BQ$1,MarketData!$D$1:$EG$1,0),TRUE)/100/365+1)^(B910)*BQ909,"")</f>
        <v/>
      </c>
      <c r="BR910" s="98" t="str">
        <f t="shared" si="357"/>
        <v/>
      </c>
      <c r="BS910" s="106" t="str">
        <f>IF(A910&lt;&gt;"",VLOOKUP(A910,MarketData!$D:$BP,MATCH($BS$1,MarketData!$D$1:$EG$1,0),TRUE),"")</f>
        <v/>
      </c>
      <c r="BT910" s="98" t="str">
        <f t="shared" si="368"/>
        <v/>
      </c>
    </row>
    <row r="911" spans="2:72" x14ac:dyDescent="0.25">
      <c r="B911" s="60" t="str">
        <f t="shared" si="356"/>
        <v/>
      </c>
      <c r="C911" s="3" t="str">
        <f t="shared" si="358"/>
        <v/>
      </c>
      <c r="D911" s="3" t="str">
        <f t="shared" si="359"/>
        <v/>
      </c>
      <c r="E911" s="3" t="str">
        <f t="shared" si="360"/>
        <v/>
      </c>
      <c r="F911" s="3" t="str">
        <f t="shared" si="361"/>
        <v/>
      </c>
      <c r="G911" s="74" t="str">
        <f t="shared" si="362"/>
        <v/>
      </c>
      <c r="H911" s="78" t="str">
        <f>IFERROR(C911/SUM(M$2:M910),"")</f>
        <v/>
      </c>
      <c r="I911" s="61" t="str">
        <f>IFERROR(D911/SUM(N$2:N911),"")</f>
        <v/>
      </c>
      <c r="J911" s="61" t="str">
        <f>IFERROR(E911/SUM(O$2:O911),"")</f>
        <v/>
      </c>
      <c r="K911" s="61" t="str">
        <f>IFERROR(F911/SUM(P$2:P911),"")</f>
        <v/>
      </c>
      <c r="L911" s="79" t="str">
        <f>IFERROR(G911/SUM(Q$2:Q911),"")</f>
        <v/>
      </c>
      <c r="M911" s="64" t="str">
        <f t="shared" si="363"/>
        <v/>
      </c>
      <c r="N911" s="55" t="str">
        <f t="shared" si="364"/>
        <v/>
      </c>
      <c r="O911" s="55" t="str">
        <f t="shared" si="365"/>
        <v/>
      </c>
      <c r="P911" s="55" t="str">
        <f t="shared" si="366"/>
        <v/>
      </c>
      <c r="Q911" s="65" t="str">
        <f t="shared" si="367"/>
        <v/>
      </c>
      <c r="R911" s="67" t="str">
        <f t="shared" si="369"/>
        <v/>
      </c>
      <c r="S911" s="56" t="str">
        <f t="shared" si="370"/>
        <v/>
      </c>
      <c r="T911" s="56" t="str">
        <f t="shared" si="371"/>
        <v/>
      </c>
      <c r="U911" s="56" t="str">
        <f t="shared" si="372"/>
        <v/>
      </c>
      <c r="V911" s="68" t="str">
        <f t="shared" si="373"/>
        <v/>
      </c>
      <c r="W911" s="80" t="str">
        <f t="shared" si="374"/>
        <v/>
      </c>
      <c r="X911" s="81" t="str">
        <f t="shared" si="375"/>
        <v/>
      </c>
      <c r="Y911" s="81" t="str">
        <f t="shared" si="376"/>
        <v/>
      </c>
      <c r="Z911" s="81" t="str">
        <f t="shared" si="377"/>
        <v/>
      </c>
      <c r="AA911" s="82" t="str">
        <f t="shared" si="378"/>
        <v/>
      </c>
      <c r="AB911" s="83" t="str">
        <f>IF(R911&lt;&gt;"",(W911-SUMPRODUCT(R$3:R911,$B$3:$B911)/SUM($B$3:$B911))/STDEVA(W901:W911),"")</f>
        <v/>
      </c>
      <c r="AC911" s="84" t="str">
        <f>IF(S911&lt;&gt;"",(X911-SUMPRODUCT(S$3:S911,$B$3:$B911)/SUM($B$3:$B911))/STDEVA(X901:X911),"")</f>
        <v/>
      </c>
      <c r="AD911" s="84" t="str">
        <f>IF(T911&lt;&gt;"",(Y911-SUMPRODUCT(T$3:T911,$B$3:$B911)/SUM($B$3:$B911))/STDEVA(Y901:Y911),"")</f>
        <v/>
      </c>
      <c r="AE911" s="84" t="str">
        <f>IF(U911&lt;&gt;"",(Z911-SUMPRODUCT(U$3:U911,$B$3:$B911)/SUM($B$3:$B911))/STDEVA(Z901:Z911),"")</f>
        <v/>
      </c>
      <c r="AF911" s="85" t="str">
        <f>IF(V911&lt;&gt;"",(AA911-SUMPRODUCT(V$3:V911,$B$3:$B911)/SUM($B$3:$B911))/STDEVA(AA901:AA911),"")</f>
        <v/>
      </c>
      <c r="AG911" s="90" t="str">
        <f t="shared" si="380"/>
        <v/>
      </c>
      <c r="AH911" s="90" t="str">
        <f t="shared" si="380"/>
        <v/>
      </c>
      <c r="AI911" s="90" t="str">
        <f t="shared" si="380"/>
        <v/>
      </c>
      <c r="AJ911" s="90" t="str">
        <f t="shared" si="379"/>
        <v/>
      </c>
      <c r="AK911" s="93" t="str">
        <f t="shared" si="379"/>
        <v/>
      </c>
      <c r="BQ911" s="100" t="str">
        <f>IF(A911&lt;&gt;"",(VLOOKUP(A911,MarketData!$D:$BP,MATCH($BQ$1,MarketData!$D$1:$EG$1,0),TRUE)/100/365+1)^(B911)*BQ910,"")</f>
        <v/>
      </c>
      <c r="BR911" s="98" t="str">
        <f t="shared" si="357"/>
        <v/>
      </c>
      <c r="BS911" s="106" t="str">
        <f>IF(A911&lt;&gt;"",VLOOKUP(A911,MarketData!$D:$BP,MATCH($BS$1,MarketData!$D$1:$EG$1,0),TRUE),"")</f>
        <v/>
      </c>
      <c r="BT911" s="98" t="str">
        <f t="shared" si="368"/>
        <v/>
      </c>
    </row>
    <row r="912" spans="2:72" x14ac:dyDescent="0.25">
      <c r="B912" s="60" t="str">
        <f t="shared" si="356"/>
        <v/>
      </c>
      <c r="C912" s="3" t="str">
        <f t="shared" si="358"/>
        <v/>
      </c>
      <c r="D912" s="3" t="str">
        <f t="shared" si="359"/>
        <v/>
      </c>
      <c r="E912" s="3" t="str">
        <f t="shared" si="360"/>
        <v/>
      </c>
      <c r="F912" s="3" t="str">
        <f t="shared" si="361"/>
        <v/>
      </c>
      <c r="G912" s="74" t="str">
        <f t="shared" si="362"/>
        <v/>
      </c>
      <c r="H912" s="78" t="str">
        <f>IFERROR(C912/SUM(M$2:M911),"")</f>
        <v/>
      </c>
      <c r="I912" s="61" t="str">
        <f>IFERROR(D912/SUM(N$2:N912),"")</f>
        <v/>
      </c>
      <c r="J912" s="61" t="str">
        <f>IFERROR(E912/SUM(O$2:O912),"")</f>
        <v/>
      </c>
      <c r="K912" s="61" t="str">
        <f>IFERROR(F912/SUM(P$2:P912),"")</f>
        <v/>
      </c>
      <c r="L912" s="79" t="str">
        <f>IFERROR(G912/SUM(Q$2:Q912),"")</f>
        <v/>
      </c>
      <c r="M912" s="64" t="str">
        <f t="shared" si="363"/>
        <v/>
      </c>
      <c r="N912" s="55" t="str">
        <f t="shared" si="364"/>
        <v/>
      </c>
      <c r="O912" s="55" t="str">
        <f t="shared" si="365"/>
        <v/>
      </c>
      <c r="P912" s="55" t="str">
        <f t="shared" si="366"/>
        <v/>
      </c>
      <c r="Q912" s="65" t="str">
        <f t="shared" si="367"/>
        <v/>
      </c>
      <c r="R912" s="67" t="str">
        <f t="shared" si="369"/>
        <v/>
      </c>
      <c r="S912" s="56" t="str">
        <f t="shared" si="370"/>
        <v/>
      </c>
      <c r="T912" s="56" t="str">
        <f t="shared" si="371"/>
        <v/>
      </c>
      <c r="U912" s="56" t="str">
        <f t="shared" si="372"/>
        <v/>
      </c>
      <c r="V912" s="68" t="str">
        <f t="shared" si="373"/>
        <v/>
      </c>
      <c r="W912" s="80" t="str">
        <f t="shared" si="374"/>
        <v/>
      </c>
      <c r="X912" s="81" t="str">
        <f t="shared" si="375"/>
        <v/>
      </c>
      <c r="Y912" s="81" t="str">
        <f t="shared" si="376"/>
        <v/>
      </c>
      <c r="Z912" s="81" t="str">
        <f t="shared" si="377"/>
        <v/>
      </c>
      <c r="AA912" s="82" t="str">
        <f t="shared" si="378"/>
        <v/>
      </c>
      <c r="AB912" s="83" t="str">
        <f>IF(R912&lt;&gt;"",(W912-SUMPRODUCT(R$3:R912,$B$3:$B912)/SUM($B$3:$B912))/STDEVA(W902:W912),"")</f>
        <v/>
      </c>
      <c r="AC912" s="84" t="str">
        <f>IF(S912&lt;&gt;"",(X912-SUMPRODUCT(S$3:S912,$B$3:$B912)/SUM($B$3:$B912))/STDEVA(X902:X912),"")</f>
        <v/>
      </c>
      <c r="AD912" s="84" t="str">
        <f>IF(T912&lt;&gt;"",(Y912-SUMPRODUCT(T$3:T912,$B$3:$B912)/SUM($B$3:$B912))/STDEVA(Y902:Y912),"")</f>
        <v/>
      </c>
      <c r="AE912" s="84" t="str">
        <f>IF(U912&lt;&gt;"",(Z912-SUMPRODUCT(U$3:U912,$B$3:$B912)/SUM($B$3:$B912))/STDEVA(Z902:Z912),"")</f>
        <v/>
      </c>
      <c r="AF912" s="85" t="str">
        <f>IF(V912&lt;&gt;"",(AA912-SUMPRODUCT(V$3:V912,$B$3:$B912)/SUM($B$3:$B912))/STDEVA(AA902:AA912),"")</f>
        <v/>
      </c>
      <c r="AG912" s="90" t="str">
        <f t="shared" si="380"/>
        <v/>
      </c>
      <c r="AH912" s="90" t="str">
        <f t="shared" si="380"/>
        <v/>
      </c>
      <c r="AI912" s="90" t="str">
        <f t="shared" si="380"/>
        <v/>
      </c>
      <c r="AJ912" s="90" t="str">
        <f t="shared" si="379"/>
        <v/>
      </c>
      <c r="AK912" s="93" t="str">
        <f t="shared" si="379"/>
        <v/>
      </c>
      <c r="BQ912" s="100" t="str">
        <f>IF(A912&lt;&gt;"",(VLOOKUP(A912,MarketData!$D:$BP,MATCH($BQ$1,MarketData!$D$1:$EG$1,0),TRUE)/100/365+1)^(B912)*BQ911,"")</f>
        <v/>
      </c>
      <c r="BR912" s="98" t="str">
        <f t="shared" si="357"/>
        <v/>
      </c>
      <c r="BS912" s="106" t="str">
        <f>IF(A912&lt;&gt;"",VLOOKUP(A912,MarketData!$D:$BP,MATCH($BS$1,MarketData!$D$1:$EG$1,0),TRUE),"")</f>
        <v/>
      </c>
      <c r="BT912" s="98" t="str">
        <f t="shared" si="368"/>
        <v/>
      </c>
    </row>
    <row r="913" spans="2:72" x14ac:dyDescent="0.25">
      <c r="B913" s="60" t="str">
        <f t="shared" si="356"/>
        <v/>
      </c>
      <c r="C913" s="3" t="str">
        <f t="shared" si="358"/>
        <v/>
      </c>
      <c r="D913" s="3" t="str">
        <f t="shared" si="359"/>
        <v/>
      </c>
      <c r="E913" s="3" t="str">
        <f t="shared" si="360"/>
        <v/>
      </c>
      <c r="F913" s="3" t="str">
        <f t="shared" si="361"/>
        <v/>
      </c>
      <c r="G913" s="74" t="str">
        <f t="shared" si="362"/>
        <v/>
      </c>
      <c r="H913" s="78" t="str">
        <f>IFERROR(C913/SUM(M$2:M912),"")</f>
        <v/>
      </c>
      <c r="I913" s="61" t="str">
        <f>IFERROR(D913/SUM(N$2:N913),"")</f>
        <v/>
      </c>
      <c r="J913" s="61" t="str">
        <f>IFERROR(E913/SUM(O$2:O913),"")</f>
        <v/>
      </c>
      <c r="K913" s="61" t="str">
        <f>IFERROR(F913/SUM(P$2:P913),"")</f>
        <v/>
      </c>
      <c r="L913" s="79" t="str">
        <f>IFERROR(G913/SUM(Q$2:Q913),"")</f>
        <v/>
      </c>
      <c r="M913" s="64" t="str">
        <f t="shared" si="363"/>
        <v/>
      </c>
      <c r="N913" s="55" t="str">
        <f t="shared" si="364"/>
        <v/>
      </c>
      <c r="O913" s="55" t="str">
        <f t="shared" si="365"/>
        <v/>
      </c>
      <c r="P913" s="55" t="str">
        <f t="shared" si="366"/>
        <v/>
      </c>
      <c r="Q913" s="65" t="str">
        <f t="shared" si="367"/>
        <v/>
      </c>
      <c r="R913" s="67" t="str">
        <f t="shared" si="369"/>
        <v/>
      </c>
      <c r="S913" s="56" t="str">
        <f t="shared" si="370"/>
        <v/>
      </c>
      <c r="T913" s="56" t="str">
        <f t="shared" si="371"/>
        <v/>
      </c>
      <c r="U913" s="56" t="str">
        <f t="shared" si="372"/>
        <v/>
      </c>
      <c r="V913" s="68" t="str">
        <f t="shared" si="373"/>
        <v/>
      </c>
      <c r="W913" s="80" t="str">
        <f t="shared" si="374"/>
        <v/>
      </c>
      <c r="X913" s="81" t="str">
        <f t="shared" si="375"/>
        <v/>
      </c>
      <c r="Y913" s="81" t="str">
        <f t="shared" si="376"/>
        <v/>
      </c>
      <c r="Z913" s="81" t="str">
        <f t="shared" si="377"/>
        <v/>
      </c>
      <c r="AA913" s="82" t="str">
        <f t="shared" si="378"/>
        <v/>
      </c>
      <c r="AB913" s="83" t="str">
        <f>IF(R913&lt;&gt;"",(W913-SUMPRODUCT(R$3:R913,$B$3:$B913)/SUM($B$3:$B913))/STDEVA(W903:W913),"")</f>
        <v/>
      </c>
      <c r="AC913" s="84" t="str">
        <f>IF(S913&lt;&gt;"",(X913-SUMPRODUCT(S$3:S913,$B$3:$B913)/SUM($B$3:$B913))/STDEVA(X903:X913),"")</f>
        <v/>
      </c>
      <c r="AD913" s="84" t="str">
        <f>IF(T913&lt;&gt;"",(Y913-SUMPRODUCT(T$3:T913,$B$3:$B913)/SUM($B$3:$B913))/STDEVA(Y903:Y913),"")</f>
        <v/>
      </c>
      <c r="AE913" s="84" t="str">
        <f>IF(U913&lt;&gt;"",(Z913-SUMPRODUCT(U$3:U913,$B$3:$B913)/SUM($B$3:$B913))/STDEVA(Z903:Z913),"")</f>
        <v/>
      </c>
      <c r="AF913" s="85" t="str">
        <f>IF(V913&lt;&gt;"",(AA913-SUMPRODUCT(V$3:V913,$B$3:$B913)/SUM($B$3:$B913))/STDEVA(AA903:AA913),"")</f>
        <v/>
      </c>
      <c r="AG913" s="90" t="str">
        <f t="shared" si="380"/>
        <v/>
      </c>
      <c r="AH913" s="90" t="str">
        <f t="shared" si="380"/>
        <v/>
      </c>
      <c r="AI913" s="90" t="str">
        <f t="shared" si="380"/>
        <v/>
      </c>
      <c r="AJ913" s="90" t="str">
        <f t="shared" si="379"/>
        <v/>
      </c>
      <c r="AK913" s="93" t="str">
        <f t="shared" si="379"/>
        <v/>
      </c>
      <c r="BQ913" s="100" t="str">
        <f>IF(A913&lt;&gt;"",(VLOOKUP(A913,MarketData!$D:$BP,MATCH($BQ$1,MarketData!$D$1:$EG$1,0),TRUE)/100/365+1)^(B913)*BQ912,"")</f>
        <v/>
      </c>
      <c r="BR913" s="98" t="str">
        <f t="shared" si="357"/>
        <v/>
      </c>
      <c r="BS913" s="106" t="str">
        <f>IF(A913&lt;&gt;"",VLOOKUP(A913,MarketData!$D:$BP,MATCH($BS$1,MarketData!$D$1:$EG$1,0),TRUE),"")</f>
        <v/>
      </c>
      <c r="BT913" s="98" t="str">
        <f t="shared" si="368"/>
        <v/>
      </c>
    </row>
    <row r="914" spans="2:72" x14ac:dyDescent="0.25">
      <c r="B914" s="60" t="str">
        <f t="shared" si="356"/>
        <v/>
      </c>
      <c r="C914" s="3" t="str">
        <f t="shared" si="358"/>
        <v/>
      </c>
      <c r="D914" s="3" t="str">
        <f t="shared" si="359"/>
        <v/>
      </c>
      <c r="E914" s="3" t="str">
        <f t="shared" si="360"/>
        <v/>
      </c>
      <c r="F914" s="3" t="str">
        <f t="shared" si="361"/>
        <v/>
      </c>
      <c r="G914" s="74" t="str">
        <f t="shared" si="362"/>
        <v/>
      </c>
      <c r="H914" s="78" t="str">
        <f>IFERROR(C914/SUM(M$2:M913),"")</f>
        <v/>
      </c>
      <c r="I914" s="61" t="str">
        <f>IFERROR(D914/SUM(N$2:N914),"")</f>
        <v/>
      </c>
      <c r="J914" s="61" t="str">
        <f>IFERROR(E914/SUM(O$2:O914),"")</f>
        <v/>
      </c>
      <c r="K914" s="61" t="str">
        <f>IFERROR(F914/SUM(P$2:P914),"")</f>
        <v/>
      </c>
      <c r="L914" s="79" t="str">
        <f>IFERROR(G914/SUM(Q$2:Q914),"")</f>
        <v/>
      </c>
      <c r="M914" s="64" t="str">
        <f t="shared" si="363"/>
        <v/>
      </c>
      <c r="N914" s="55" t="str">
        <f t="shared" si="364"/>
        <v/>
      </c>
      <c r="O914" s="55" t="str">
        <f t="shared" si="365"/>
        <v/>
      </c>
      <c r="P914" s="55" t="str">
        <f t="shared" si="366"/>
        <v/>
      </c>
      <c r="Q914" s="65" t="str">
        <f t="shared" si="367"/>
        <v/>
      </c>
      <c r="R914" s="67" t="str">
        <f t="shared" si="369"/>
        <v/>
      </c>
      <c r="S914" s="56" t="str">
        <f t="shared" si="370"/>
        <v/>
      </c>
      <c r="T914" s="56" t="str">
        <f t="shared" si="371"/>
        <v/>
      </c>
      <c r="U914" s="56" t="str">
        <f t="shared" si="372"/>
        <v/>
      </c>
      <c r="V914" s="68" t="str">
        <f t="shared" si="373"/>
        <v/>
      </c>
      <c r="W914" s="80" t="str">
        <f t="shared" si="374"/>
        <v/>
      </c>
      <c r="X914" s="81" t="str">
        <f t="shared" si="375"/>
        <v/>
      </c>
      <c r="Y914" s="81" t="str">
        <f t="shared" si="376"/>
        <v/>
      </c>
      <c r="Z914" s="81" t="str">
        <f t="shared" si="377"/>
        <v/>
      </c>
      <c r="AA914" s="82" t="str">
        <f t="shared" si="378"/>
        <v/>
      </c>
      <c r="AB914" s="83" t="str">
        <f>IF(R914&lt;&gt;"",(W914-SUMPRODUCT(R$3:R914,$B$3:$B914)/SUM($B$3:$B914))/STDEVA(W904:W914),"")</f>
        <v/>
      </c>
      <c r="AC914" s="84" t="str">
        <f>IF(S914&lt;&gt;"",(X914-SUMPRODUCT(S$3:S914,$B$3:$B914)/SUM($B$3:$B914))/STDEVA(X904:X914),"")</f>
        <v/>
      </c>
      <c r="AD914" s="84" t="str">
        <f>IF(T914&lt;&gt;"",(Y914-SUMPRODUCT(T$3:T914,$B$3:$B914)/SUM($B$3:$B914))/STDEVA(Y904:Y914),"")</f>
        <v/>
      </c>
      <c r="AE914" s="84" t="str">
        <f>IF(U914&lt;&gt;"",(Z914-SUMPRODUCT(U$3:U914,$B$3:$B914)/SUM($B$3:$B914))/STDEVA(Z904:Z914),"")</f>
        <v/>
      </c>
      <c r="AF914" s="85" t="str">
        <f>IF(V914&lt;&gt;"",(AA914-SUMPRODUCT(V$3:V914,$B$3:$B914)/SUM($B$3:$B914))/STDEVA(AA904:AA914),"")</f>
        <v/>
      </c>
      <c r="AG914" s="90" t="str">
        <f t="shared" si="380"/>
        <v/>
      </c>
      <c r="AH914" s="90" t="str">
        <f t="shared" si="380"/>
        <v/>
      </c>
      <c r="AI914" s="90" t="str">
        <f t="shared" si="380"/>
        <v/>
      </c>
      <c r="AJ914" s="90" t="str">
        <f t="shared" si="379"/>
        <v/>
      </c>
      <c r="AK914" s="93" t="str">
        <f t="shared" si="379"/>
        <v/>
      </c>
      <c r="BQ914" s="100" t="str">
        <f>IF(A914&lt;&gt;"",(VLOOKUP(A914,MarketData!$D:$BP,MATCH($BQ$1,MarketData!$D$1:$EG$1,0),TRUE)/100/365+1)^(B914)*BQ913,"")</f>
        <v/>
      </c>
      <c r="BR914" s="98" t="str">
        <f t="shared" si="357"/>
        <v/>
      </c>
      <c r="BS914" s="106" t="str">
        <f>IF(A914&lt;&gt;"",VLOOKUP(A914,MarketData!$D:$BP,MATCH($BS$1,MarketData!$D$1:$EG$1,0),TRUE),"")</f>
        <v/>
      </c>
      <c r="BT914" s="98" t="str">
        <f t="shared" si="368"/>
        <v/>
      </c>
    </row>
    <row r="915" spans="2:72" x14ac:dyDescent="0.25">
      <c r="B915" s="60" t="str">
        <f t="shared" si="356"/>
        <v/>
      </c>
      <c r="C915" s="3" t="str">
        <f t="shared" si="358"/>
        <v/>
      </c>
      <c r="D915" s="3" t="str">
        <f t="shared" si="359"/>
        <v/>
      </c>
      <c r="E915" s="3" t="str">
        <f t="shared" si="360"/>
        <v/>
      </c>
      <c r="F915" s="3" t="str">
        <f t="shared" si="361"/>
        <v/>
      </c>
      <c r="G915" s="74" t="str">
        <f t="shared" si="362"/>
        <v/>
      </c>
      <c r="H915" s="78" t="str">
        <f>IFERROR(C915/SUM(M$2:M914),"")</f>
        <v/>
      </c>
      <c r="I915" s="61" t="str">
        <f>IFERROR(D915/SUM(N$2:N915),"")</f>
        <v/>
      </c>
      <c r="J915" s="61" t="str">
        <f>IFERROR(E915/SUM(O$2:O915),"")</f>
        <v/>
      </c>
      <c r="K915" s="61" t="str">
        <f>IFERROR(F915/SUM(P$2:P915),"")</f>
        <v/>
      </c>
      <c r="L915" s="79" t="str">
        <f>IFERROR(G915/SUM(Q$2:Q915),"")</f>
        <v/>
      </c>
      <c r="M915" s="64" t="str">
        <f t="shared" si="363"/>
        <v/>
      </c>
      <c r="N915" s="55" t="str">
        <f t="shared" si="364"/>
        <v/>
      </c>
      <c r="O915" s="55" t="str">
        <f t="shared" si="365"/>
        <v/>
      </c>
      <c r="P915" s="55" t="str">
        <f t="shared" si="366"/>
        <v/>
      </c>
      <c r="Q915" s="65" t="str">
        <f t="shared" si="367"/>
        <v/>
      </c>
      <c r="R915" s="67" t="str">
        <f t="shared" si="369"/>
        <v/>
      </c>
      <c r="S915" s="56" t="str">
        <f t="shared" si="370"/>
        <v/>
      </c>
      <c r="T915" s="56" t="str">
        <f t="shared" si="371"/>
        <v/>
      </c>
      <c r="U915" s="56" t="str">
        <f t="shared" si="372"/>
        <v/>
      </c>
      <c r="V915" s="68" t="str">
        <f t="shared" si="373"/>
        <v/>
      </c>
      <c r="W915" s="80" t="str">
        <f t="shared" si="374"/>
        <v/>
      </c>
      <c r="X915" s="81" t="str">
        <f t="shared" si="375"/>
        <v/>
      </c>
      <c r="Y915" s="81" t="str">
        <f t="shared" si="376"/>
        <v/>
      </c>
      <c r="Z915" s="81" t="str">
        <f t="shared" si="377"/>
        <v/>
      </c>
      <c r="AA915" s="82" t="str">
        <f t="shared" si="378"/>
        <v/>
      </c>
      <c r="AB915" s="83" t="str">
        <f>IF(R915&lt;&gt;"",(W915-SUMPRODUCT(R$3:R915,$B$3:$B915)/SUM($B$3:$B915))/STDEVA(W905:W915),"")</f>
        <v/>
      </c>
      <c r="AC915" s="84" t="str">
        <f>IF(S915&lt;&gt;"",(X915-SUMPRODUCT(S$3:S915,$B$3:$B915)/SUM($B$3:$B915))/STDEVA(X905:X915),"")</f>
        <v/>
      </c>
      <c r="AD915" s="84" t="str">
        <f>IF(T915&lt;&gt;"",(Y915-SUMPRODUCT(T$3:T915,$B$3:$B915)/SUM($B$3:$B915))/STDEVA(Y905:Y915),"")</f>
        <v/>
      </c>
      <c r="AE915" s="84" t="str">
        <f>IF(U915&lt;&gt;"",(Z915-SUMPRODUCT(U$3:U915,$B$3:$B915)/SUM($B$3:$B915))/STDEVA(Z905:Z915),"")</f>
        <v/>
      </c>
      <c r="AF915" s="85" t="str">
        <f>IF(V915&lt;&gt;"",(AA915-SUMPRODUCT(V$3:V915,$B$3:$B915)/SUM($B$3:$B915))/STDEVA(AA905:AA915),"")</f>
        <v/>
      </c>
      <c r="AG915" s="90" t="str">
        <f t="shared" si="380"/>
        <v/>
      </c>
      <c r="AH915" s="90" t="str">
        <f t="shared" si="380"/>
        <v/>
      </c>
      <c r="AI915" s="90" t="str">
        <f t="shared" si="380"/>
        <v/>
      </c>
      <c r="AJ915" s="90" t="str">
        <f t="shared" si="379"/>
        <v/>
      </c>
      <c r="AK915" s="93" t="str">
        <f t="shared" si="379"/>
        <v/>
      </c>
      <c r="BQ915" s="100" t="str">
        <f>IF(A915&lt;&gt;"",(VLOOKUP(A915,MarketData!$D:$BP,MATCH($BQ$1,MarketData!$D$1:$EG$1,0),TRUE)/100/365+1)^(B915)*BQ914,"")</f>
        <v/>
      </c>
      <c r="BR915" s="98" t="str">
        <f t="shared" si="357"/>
        <v/>
      </c>
      <c r="BS915" s="106" t="str">
        <f>IF(A915&lt;&gt;"",VLOOKUP(A915,MarketData!$D:$BP,MATCH($BS$1,MarketData!$D$1:$EG$1,0),TRUE),"")</f>
        <v/>
      </c>
      <c r="BT915" s="98" t="str">
        <f t="shared" si="368"/>
        <v/>
      </c>
    </row>
    <row r="916" spans="2:72" x14ac:dyDescent="0.25">
      <c r="B916" s="60" t="str">
        <f t="shared" si="356"/>
        <v/>
      </c>
      <c r="C916" s="3" t="str">
        <f t="shared" si="358"/>
        <v/>
      </c>
      <c r="D916" s="3" t="str">
        <f t="shared" si="359"/>
        <v/>
      </c>
      <c r="E916" s="3" t="str">
        <f t="shared" si="360"/>
        <v/>
      </c>
      <c r="F916" s="3" t="str">
        <f t="shared" si="361"/>
        <v/>
      </c>
      <c r="G916" s="74" t="str">
        <f t="shared" si="362"/>
        <v/>
      </c>
      <c r="H916" s="78" t="str">
        <f>IFERROR(C916/SUM(M$2:M915),"")</f>
        <v/>
      </c>
      <c r="I916" s="61" t="str">
        <f>IFERROR(D916/SUM(N$2:N916),"")</f>
        <v/>
      </c>
      <c r="J916" s="61" t="str">
        <f>IFERROR(E916/SUM(O$2:O916),"")</f>
        <v/>
      </c>
      <c r="K916" s="61" t="str">
        <f>IFERROR(F916/SUM(P$2:P916),"")</f>
        <v/>
      </c>
      <c r="L916" s="79" t="str">
        <f>IFERROR(G916/SUM(Q$2:Q916),"")</f>
        <v/>
      </c>
      <c r="M916" s="64" t="str">
        <f t="shared" si="363"/>
        <v/>
      </c>
      <c r="N916" s="55" t="str">
        <f t="shared" si="364"/>
        <v/>
      </c>
      <c r="O916" s="55" t="str">
        <f t="shared" si="365"/>
        <v/>
      </c>
      <c r="P916" s="55" t="str">
        <f t="shared" si="366"/>
        <v/>
      </c>
      <c r="Q916" s="65" t="str">
        <f t="shared" si="367"/>
        <v/>
      </c>
      <c r="R916" s="67" t="str">
        <f t="shared" si="369"/>
        <v/>
      </c>
      <c r="S916" s="56" t="str">
        <f t="shared" si="370"/>
        <v/>
      </c>
      <c r="T916" s="56" t="str">
        <f t="shared" si="371"/>
        <v/>
      </c>
      <c r="U916" s="56" t="str">
        <f t="shared" si="372"/>
        <v/>
      </c>
      <c r="V916" s="68" t="str">
        <f t="shared" si="373"/>
        <v/>
      </c>
      <c r="W916" s="80" t="str">
        <f t="shared" si="374"/>
        <v/>
      </c>
      <c r="X916" s="81" t="str">
        <f t="shared" si="375"/>
        <v/>
      </c>
      <c r="Y916" s="81" t="str">
        <f t="shared" si="376"/>
        <v/>
      </c>
      <c r="Z916" s="81" t="str">
        <f t="shared" si="377"/>
        <v/>
      </c>
      <c r="AA916" s="82" t="str">
        <f t="shared" si="378"/>
        <v/>
      </c>
      <c r="AB916" s="83" t="str">
        <f>IF(R916&lt;&gt;"",(W916-SUMPRODUCT(R$3:R916,$B$3:$B916)/SUM($B$3:$B916))/STDEVA(W906:W916),"")</f>
        <v/>
      </c>
      <c r="AC916" s="84" t="str">
        <f>IF(S916&lt;&gt;"",(X916-SUMPRODUCT(S$3:S916,$B$3:$B916)/SUM($B$3:$B916))/STDEVA(X906:X916),"")</f>
        <v/>
      </c>
      <c r="AD916" s="84" t="str">
        <f>IF(T916&lt;&gt;"",(Y916-SUMPRODUCT(T$3:T916,$B$3:$B916)/SUM($B$3:$B916))/STDEVA(Y906:Y916),"")</f>
        <v/>
      </c>
      <c r="AE916" s="84" t="str">
        <f>IF(U916&lt;&gt;"",(Z916-SUMPRODUCT(U$3:U916,$B$3:$B916)/SUM($B$3:$B916))/STDEVA(Z906:Z916),"")</f>
        <v/>
      </c>
      <c r="AF916" s="85" t="str">
        <f>IF(V916&lt;&gt;"",(AA916-SUMPRODUCT(V$3:V916,$B$3:$B916)/SUM($B$3:$B916))/STDEVA(AA906:AA916),"")</f>
        <v/>
      </c>
      <c r="AG916" s="90" t="str">
        <f t="shared" si="380"/>
        <v/>
      </c>
      <c r="AH916" s="90" t="str">
        <f t="shared" si="380"/>
        <v/>
      </c>
      <c r="AI916" s="90" t="str">
        <f t="shared" si="380"/>
        <v/>
      </c>
      <c r="AJ916" s="90" t="str">
        <f t="shared" si="379"/>
        <v/>
      </c>
      <c r="AK916" s="93" t="str">
        <f t="shared" si="379"/>
        <v/>
      </c>
      <c r="BQ916" s="100" t="str">
        <f>IF(A916&lt;&gt;"",(VLOOKUP(A916,MarketData!$D:$BP,MATCH($BQ$1,MarketData!$D$1:$EG$1,0),TRUE)/100/365+1)^(B916)*BQ915,"")</f>
        <v/>
      </c>
      <c r="BR916" s="98" t="str">
        <f t="shared" si="357"/>
        <v/>
      </c>
      <c r="BS916" s="106" t="str">
        <f>IF(A916&lt;&gt;"",VLOOKUP(A916,MarketData!$D:$BP,MATCH($BS$1,MarketData!$D$1:$EG$1,0),TRUE),"")</f>
        <v/>
      </c>
      <c r="BT916" s="98" t="str">
        <f t="shared" si="368"/>
        <v/>
      </c>
    </row>
    <row r="917" spans="2:72" x14ac:dyDescent="0.25">
      <c r="B917" s="60" t="str">
        <f t="shared" si="356"/>
        <v/>
      </c>
      <c r="C917" s="3" t="str">
        <f t="shared" si="358"/>
        <v/>
      </c>
      <c r="D917" s="3" t="str">
        <f t="shared" si="359"/>
        <v/>
      </c>
      <c r="E917" s="3" t="str">
        <f t="shared" si="360"/>
        <v/>
      </c>
      <c r="F917" s="3" t="str">
        <f t="shared" si="361"/>
        <v/>
      </c>
      <c r="G917" s="74" t="str">
        <f t="shared" si="362"/>
        <v/>
      </c>
      <c r="H917" s="78" t="str">
        <f>IFERROR(C917/SUM(M$2:M916),"")</f>
        <v/>
      </c>
      <c r="I917" s="61" t="str">
        <f>IFERROR(D917/SUM(N$2:N917),"")</f>
        <v/>
      </c>
      <c r="J917" s="61" t="str">
        <f>IFERROR(E917/SUM(O$2:O917),"")</f>
        <v/>
      </c>
      <c r="K917" s="61" t="str">
        <f>IFERROR(F917/SUM(P$2:P917),"")</f>
        <v/>
      </c>
      <c r="L917" s="79" t="str">
        <f>IFERROR(G917/SUM(Q$2:Q917),"")</f>
        <v/>
      </c>
      <c r="M917" s="64" t="str">
        <f t="shared" si="363"/>
        <v/>
      </c>
      <c r="N917" s="55" t="str">
        <f t="shared" si="364"/>
        <v/>
      </c>
      <c r="O917" s="55" t="str">
        <f t="shared" si="365"/>
        <v/>
      </c>
      <c r="P917" s="55" t="str">
        <f t="shared" si="366"/>
        <v/>
      </c>
      <c r="Q917" s="65" t="str">
        <f t="shared" si="367"/>
        <v/>
      </c>
      <c r="R917" s="67" t="str">
        <f t="shared" si="369"/>
        <v/>
      </c>
      <c r="S917" s="56" t="str">
        <f t="shared" si="370"/>
        <v/>
      </c>
      <c r="T917" s="56" t="str">
        <f t="shared" si="371"/>
        <v/>
      </c>
      <c r="U917" s="56" t="str">
        <f t="shared" si="372"/>
        <v/>
      </c>
      <c r="V917" s="68" t="str">
        <f t="shared" si="373"/>
        <v/>
      </c>
      <c r="W917" s="80" t="str">
        <f t="shared" si="374"/>
        <v/>
      </c>
      <c r="X917" s="81" t="str">
        <f t="shared" si="375"/>
        <v/>
      </c>
      <c r="Y917" s="81" t="str">
        <f t="shared" si="376"/>
        <v/>
      </c>
      <c r="Z917" s="81" t="str">
        <f t="shared" si="377"/>
        <v/>
      </c>
      <c r="AA917" s="82" t="str">
        <f t="shared" si="378"/>
        <v/>
      </c>
      <c r="AB917" s="83" t="str">
        <f>IF(R917&lt;&gt;"",(W917-SUMPRODUCT(R$3:R917,$B$3:$B917)/SUM($B$3:$B917))/STDEVA(W907:W917),"")</f>
        <v/>
      </c>
      <c r="AC917" s="84" t="str">
        <f>IF(S917&lt;&gt;"",(X917-SUMPRODUCT(S$3:S917,$B$3:$B917)/SUM($B$3:$B917))/STDEVA(X907:X917),"")</f>
        <v/>
      </c>
      <c r="AD917" s="84" t="str">
        <f>IF(T917&lt;&gt;"",(Y917-SUMPRODUCT(T$3:T917,$B$3:$B917)/SUM($B$3:$B917))/STDEVA(Y907:Y917),"")</f>
        <v/>
      </c>
      <c r="AE917" s="84" t="str">
        <f>IF(U917&lt;&gt;"",(Z917-SUMPRODUCT(U$3:U917,$B$3:$B917)/SUM($B$3:$B917))/STDEVA(Z907:Z917),"")</f>
        <v/>
      </c>
      <c r="AF917" s="85" t="str">
        <f>IF(V917&lt;&gt;"",(AA917-SUMPRODUCT(V$3:V917,$B$3:$B917)/SUM($B$3:$B917))/STDEVA(AA907:AA917),"")</f>
        <v/>
      </c>
      <c r="AG917" s="90" t="str">
        <f t="shared" si="380"/>
        <v/>
      </c>
      <c r="AH917" s="90" t="str">
        <f t="shared" si="380"/>
        <v/>
      </c>
      <c r="AI917" s="90" t="str">
        <f t="shared" si="380"/>
        <v/>
      </c>
      <c r="AJ917" s="90" t="str">
        <f t="shared" si="379"/>
        <v/>
      </c>
      <c r="AK917" s="93" t="str">
        <f t="shared" si="379"/>
        <v/>
      </c>
      <c r="BQ917" s="100" t="str">
        <f>IF(A917&lt;&gt;"",(VLOOKUP(A917,MarketData!$D:$BP,MATCH($BQ$1,MarketData!$D$1:$EG$1,0),TRUE)/100/365+1)^(B917)*BQ916,"")</f>
        <v/>
      </c>
      <c r="BR917" s="98" t="str">
        <f t="shared" si="357"/>
        <v/>
      </c>
      <c r="BS917" s="106" t="str">
        <f>IF(A917&lt;&gt;"",VLOOKUP(A917,MarketData!$D:$BP,MATCH($BS$1,MarketData!$D$1:$EG$1,0),TRUE),"")</f>
        <v/>
      </c>
      <c r="BT917" s="98" t="str">
        <f t="shared" si="368"/>
        <v/>
      </c>
    </row>
    <row r="918" spans="2:72" x14ac:dyDescent="0.25">
      <c r="B918" s="60" t="str">
        <f t="shared" si="356"/>
        <v/>
      </c>
      <c r="C918" s="3" t="str">
        <f t="shared" si="358"/>
        <v/>
      </c>
      <c r="D918" s="3" t="str">
        <f t="shared" si="359"/>
        <v/>
      </c>
      <c r="E918" s="3" t="str">
        <f t="shared" si="360"/>
        <v/>
      </c>
      <c r="F918" s="3" t="str">
        <f t="shared" si="361"/>
        <v/>
      </c>
      <c r="G918" s="74" t="str">
        <f t="shared" si="362"/>
        <v/>
      </c>
      <c r="H918" s="78" t="str">
        <f>IFERROR(C918/SUM(M$2:M917),"")</f>
        <v/>
      </c>
      <c r="I918" s="61" t="str">
        <f>IFERROR(D918/SUM(N$2:N918),"")</f>
        <v/>
      </c>
      <c r="J918" s="61" t="str">
        <f>IFERROR(E918/SUM(O$2:O918),"")</f>
        <v/>
      </c>
      <c r="K918" s="61" t="str">
        <f>IFERROR(F918/SUM(P$2:P918),"")</f>
        <v/>
      </c>
      <c r="L918" s="79" t="str">
        <f>IFERROR(G918/SUM(Q$2:Q918),"")</f>
        <v/>
      </c>
      <c r="M918" s="64" t="str">
        <f t="shared" si="363"/>
        <v/>
      </c>
      <c r="N918" s="55" t="str">
        <f t="shared" si="364"/>
        <v/>
      </c>
      <c r="O918" s="55" t="str">
        <f t="shared" si="365"/>
        <v/>
      </c>
      <c r="P918" s="55" t="str">
        <f t="shared" si="366"/>
        <v/>
      </c>
      <c r="Q918" s="65" t="str">
        <f t="shared" si="367"/>
        <v/>
      </c>
      <c r="R918" s="67" t="str">
        <f t="shared" si="369"/>
        <v/>
      </c>
      <c r="S918" s="56" t="str">
        <f t="shared" si="370"/>
        <v/>
      </c>
      <c r="T918" s="56" t="str">
        <f t="shared" si="371"/>
        <v/>
      </c>
      <c r="U918" s="56" t="str">
        <f t="shared" si="372"/>
        <v/>
      </c>
      <c r="V918" s="68" t="str">
        <f t="shared" si="373"/>
        <v/>
      </c>
      <c r="W918" s="80" t="str">
        <f t="shared" si="374"/>
        <v/>
      </c>
      <c r="X918" s="81" t="str">
        <f t="shared" si="375"/>
        <v/>
      </c>
      <c r="Y918" s="81" t="str">
        <f t="shared" si="376"/>
        <v/>
      </c>
      <c r="Z918" s="81" t="str">
        <f t="shared" si="377"/>
        <v/>
      </c>
      <c r="AA918" s="82" t="str">
        <f t="shared" si="378"/>
        <v/>
      </c>
      <c r="AB918" s="83" t="str">
        <f>IF(R918&lt;&gt;"",(W918-SUMPRODUCT(R$3:R918,$B$3:$B918)/SUM($B$3:$B918))/STDEVA(W908:W918),"")</f>
        <v/>
      </c>
      <c r="AC918" s="84" t="str">
        <f>IF(S918&lt;&gt;"",(X918-SUMPRODUCT(S$3:S918,$B$3:$B918)/SUM($B$3:$B918))/STDEVA(X908:X918),"")</f>
        <v/>
      </c>
      <c r="AD918" s="84" t="str">
        <f>IF(T918&lt;&gt;"",(Y918-SUMPRODUCT(T$3:T918,$B$3:$B918)/SUM($B$3:$B918))/STDEVA(Y908:Y918),"")</f>
        <v/>
      </c>
      <c r="AE918" s="84" t="str">
        <f>IF(U918&lt;&gt;"",(Z918-SUMPRODUCT(U$3:U918,$B$3:$B918)/SUM($B$3:$B918))/STDEVA(Z908:Z918),"")</f>
        <v/>
      </c>
      <c r="AF918" s="85" t="str">
        <f>IF(V918&lt;&gt;"",(AA918-SUMPRODUCT(V$3:V918,$B$3:$B918)/SUM($B$3:$B918))/STDEVA(AA908:AA918),"")</f>
        <v/>
      </c>
      <c r="AG918" s="90" t="str">
        <f t="shared" si="380"/>
        <v/>
      </c>
      <c r="AH918" s="90" t="str">
        <f t="shared" si="380"/>
        <v/>
      </c>
      <c r="AI918" s="90" t="str">
        <f t="shared" si="380"/>
        <v/>
      </c>
      <c r="AJ918" s="90" t="str">
        <f t="shared" si="379"/>
        <v/>
      </c>
      <c r="AK918" s="93" t="str">
        <f t="shared" si="379"/>
        <v/>
      </c>
      <c r="BQ918" s="100" t="str">
        <f>IF(A918&lt;&gt;"",(VLOOKUP(A918,MarketData!$D:$BP,MATCH($BQ$1,MarketData!$D$1:$EG$1,0),TRUE)/100/365+1)^(B918)*BQ917,"")</f>
        <v/>
      </c>
      <c r="BR918" s="98" t="str">
        <f t="shared" si="357"/>
        <v/>
      </c>
      <c r="BS918" s="106" t="str">
        <f>IF(A918&lt;&gt;"",VLOOKUP(A918,MarketData!$D:$BP,MATCH($BS$1,MarketData!$D$1:$EG$1,0),TRUE),"")</f>
        <v/>
      </c>
      <c r="BT918" s="98" t="str">
        <f t="shared" si="368"/>
        <v/>
      </c>
    </row>
    <row r="919" spans="2:72" x14ac:dyDescent="0.25">
      <c r="B919" s="60" t="str">
        <f t="shared" si="356"/>
        <v/>
      </c>
      <c r="C919" s="3" t="str">
        <f t="shared" si="358"/>
        <v/>
      </c>
      <c r="D919" s="3" t="str">
        <f t="shared" si="359"/>
        <v/>
      </c>
      <c r="E919" s="3" t="str">
        <f t="shared" si="360"/>
        <v/>
      </c>
      <c r="F919" s="3" t="str">
        <f t="shared" si="361"/>
        <v/>
      </c>
      <c r="G919" s="74" t="str">
        <f t="shared" si="362"/>
        <v/>
      </c>
      <c r="H919" s="78" t="str">
        <f>IFERROR(C919/SUM(M$2:M918),"")</f>
        <v/>
      </c>
      <c r="I919" s="61" t="str">
        <f>IFERROR(D919/SUM(N$2:N919),"")</f>
        <v/>
      </c>
      <c r="J919" s="61" t="str">
        <f>IFERROR(E919/SUM(O$2:O919),"")</f>
        <v/>
      </c>
      <c r="K919" s="61" t="str">
        <f>IFERROR(F919/SUM(P$2:P919),"")</f>
        <v/>
      </c>
      <c r="L919" s="79" t="str">
        <f>IFERROR(G919/SUM(Q$2:Q919),"")</f>
        <v/>
      </c>
      <c r="M919" s="64" t="str">
        <f t="shared" si="363"/>
        <v/>
      </c>
      <c r="N919" s="55" t="str">
        <f t="shared" si="364"/>
        <v/>
      </c>
      <c r="O919" s="55" t="str">
        <f t="shared" si="365"/>
        <v/>
      </c>
      <c r="P919" s="55" t="str">
        <f t="shared" si="366"/>
        <v/>
      </c>
      <c r="Q919" s="65" t="str">
        <f t="shared" si="367"/>
        <v/>
      </c>
      <c r="R919" s="67" t="str">
        <f t="shared" si="369"/>
        <v/>
      </c>
      <c r="S919" s="56" t="str">
        <f t="shared" si="370"/>
        <v/>
      </c>
      <c r="T919" s="56" t="str">
        <f t="shared" si="371"/>
        <v/>
      </c>
      <c r="U919" s="56" t="str">
        <f t="shared" si="372"/>
        <v/>
      </c>
      <c r="V919" s="68" t="str">
        <f t="shared" si="373"/>
        <v/>
      </c>
      <c r="W919" s="80" t="str">
        <f t="shared" si="374"/>
        <v/>
      </c>
      <c r="X919" s="81" t="str">
        <f t="shared" si="375"/>
        <v/>
      </c>
      <c r="Y919" s="81" t="str">
        <f t="shared" si="376"/>
        <v/>
      </c>
      <c r="Z919" s="81" t="str">
        <f t="shared" si="377"/>
        <v/>
      </c>
      <c r="AA919" s="82" t="str">
        <f t="shared" si="378"/>
        <v/>
      </c>
      <c r="AB919" s="83" t="str">
        <f>IF(R919&lt;&gt;"",(W919-SUMPRODUCT(R$3:R919,$B$3:$B919)/SUM($B$3:$B919))/STDEVA(W909:W919),"")</f>
        <v/>
      </c>
      <c r="AC919" s="84" t="str">
        <f>IF(S919&lt;&gt;"",(X919-SUMPRODUCT(S$3:S919,$B$3:$B919)/SUM($B$3:$B919))/STDEVA(X909:X919),"")</f>
        <v/>
      </c>
      <c r="AD919" s="84" t="str">
        <f>IF(T919&lt;&gt;"",(Y919-SUMPRODUCT(T$3:T919,$B$3:$B919)/SUM($B$3:$B919))/STDEVA(Y909:Y919),"")</f>
        <v/>
      </c>
      <c r="AE919" s="84" t="str">
        <f>IF(U919&lt;&gt;"",(Z919-SUMPRODUCT(U$3:U919,$B$3:$B919)/SUM($B$3:$B919))/STDEVA(Z909:Z919),"")</f>
        <v/>
      </c>
      <c r="AF919" s="85" t="str">
        <f>IF(V919&lt;&gt;"",(AA919-SUMPRODUCT(V$3:V919,$B$3:$B919)/SUM($B$3:$B919))/STDEVA(AA909:AA919),"")</f>
        <v/>
      </c>
      <c r="AG919" s="90" t="str">
        <f t="shared" si="380"/>
        <v/>
      </c>
      <c r="AH919" s="90" t="str">
        <f t="shared" si="380"/>
        <v/>
      </c>
      <c r="AI919" s="90" t="str">
        <f t="shared" si="380"/>
        <v/>
      </c>
      <c r="AJ919" s="90" t="str">
        <f t="shared" si="379"/>
        <v/>
      </c>
      <c r="AK919" s="93" t="str">
        <f t="shared" si="379"/>
        <v/>
      </c>
      <c r="BQ919" s="100" t="str">
        <f>IF(A919&lt;&gt;"",(VLOOKUP(A919,MarketData!$D:$BP,MATCH($BQ$1,MarketData!$D$1:$EG$1,0),TRUE)/100/365+1)^(B919)*BQ918,"")</f>
        <v/>
      </c>
      <c r="BR919" s="98" t="str">
        <f t="shared" si="357"/>
        <v/>
      </c>
      <c r="BS919" s="106" t="str">
        <f>IF(A919&lt;&gt;"",VLOOKUP(A919,MarketData!$D:$BP,MATCH($BS$1,MarketData!$D$1:$EG$1,0),TRUE),"")</f>
        <v/>
      </c>
      <c r="BT919" s="98" t="str">
        <f t="shared" si="368"/>
        <v/>
      </c>
    </row>
    <row r="920" spans="2:72" x14ac:dyDescent="0.25">
      <c r="B920" s="60" t="str">
        <f t="shared" si="356"/>
        <v/>
      </c>
      <c r="C920" s="3" t="str">
        <f t="shared" si="358"/>
        <v/>
      </c>
      <c r="D920" s="3" t="str">
        <f t="shared" si="359"/>
        <v/>
      </c>
      <c r="E920" s="3" t="str">
        <f t="shared" si="360"/>
        <v/>
      </c>
      <c r="F920" s="3" t="str">
        <f t="shared" si="361"/>
        <v/>
      </c>
      <c r="G920" s="74" t="str">
        <f t="shared" si="362"/>
        <v/>
      </c>
      <c r="H920" s="78" t="str">
        <f>IFERROR(C920/SUM(M$2:M919),"")</f>
        <v/>
      </c>
      <c r="I920" s="61" t="str">
        <f>IFERROR(D920/SUM(N$2:N920),"")</f>
        <v/>
      </c>
      <c r="J920" s="61" t="str">
        <f>IFERROR(E920/SUM(O$2:O920),"")</f>
        <v/>
      </c>
      <c r="K920" s="61" t="str">
        <f>IFERROR(F920/SUM(P$2:P920),"")</f>
        <v/>
      </c>
      <c r="L920" s="79" t="str">
        <f>IFERROR(G920/SUM(Q$2:Q920),"")</f>
        <v/>
      </c>
      <c r="M920" s="64" t="str">
        <f t="shared" si="363"/>
        <v/>
      </c>
      <c r="N920" s="55" t="str">
        <f t="shared" si="364"/>
        <v/>
      </c>
      <c r="O920" s="55" t="str">
        <f t="shared" si="365"/>
        <v/>
      </c>
      <c r="P920" s="55" t="str">
        <f t="shared" si="366"/>
        <v/>
      </c>
      <c r="Q920" s="65" t="str">
        <f t="shared" si="367"/>
        <v/>
      </c>
      <c r="R920" s="67" t="str">
        <f t="shared" si="369"/>
        <v/>
      </c>
      <c r="S920" s="56" t="str">
        <f t="shared" si="370"/>
        <v/>
      </c>
      <c r="T920" s="56" t="str">
        <f t="shared" si="371"/>
        <v/>
      </c>
      <c r="U920" s="56" t="str">
        <f t="shared" si="372"/>
        <v/>
      </c>
      <c r="V920" s="68" t="str">
        <f t="shared" si="373"/>
        <v/>
      </c>
      <c r="W920" s="80" t="str">
        <f t="shared" si="374"/>
        <v/>
      </c>
      <c r="X920" s="81" t="str">
        <f t="shared" si="375"/>
        <v/>
      </c>
      <c r="Y920" s="81" t="str">
        <f t="shared" si="376"/>
        <v/>
      </c>
      <c r="Z920" s="81" t="str">
        <f t="shared" si="377"/>
        <v/>
      </c>
      <c r="AA920" s="82" t="str">
        <f t="shared" si="378"/>
        <v/>
      </c>
      <c r="AB920" s="83" t="str">
        <f>IF(R920&lt;&gt;"",(W920-SUMPRODUCT(R$3:R920,$B$3:$B920)/SUM($B$3:$B920))/STDEVA(W910:W920),"")</f>
        <v/>
      </c>
      <c r="AC920" s="84" t="str">
        <f>IF(S920&lt;&gt;"",(X920-SUMPRODUCT(S$3:S920,$B$3:$B920)/SUM($B$3:$B920))/STDEVA(X910:X920),"")</f>
        <v/>
      </c>
      <c r="AD920" s="84" t="str">
        <f>IF(T920&lt;&gt;"",(Y920-SUMPRODUCT(T$3:T920,$B$3:$B920)/SUM($B$3:$B920))/STDEVA(Y910:Y920),"")</f>
        <v/>
      </c>
      <c r="AE920" s="84" t="str">
        <f>IF(U920&lt;&gt;"",(Z920-SUMPRODUCT(U$3:U920,$B$3:$B920)/SUM($B$3:$B920))/STDEVA(Z910:Z920),"")</f>
        <v/>
      </c>
      <c r="AF920" s="85" t="str">
        <f>IF(V920&lt;&gt;"",(AA920-SUMPRODUCT(V$3:V920,$B$3:$B920)/SUM($B$3:$B920))/STDEVA(AA910:AA920),"")</f>
        <v/>
      </c>
      <c r="AG920" s="90" t="str">
        <f t="shared" si="380"/>
        <v/>
      </c>
      <c r="AH920" s="90" t="str">
        <f t="shared" si="380"/>
        <v/>
      </c>
      <c r="AI920" s="90" t="str">
        <f t="shared" si="380"/>
        <v/>
      </c>
      <c r="AJ920" s="90" t="str">
        <f t="shared" si="379"/>
        <v/>
      </c>
      <c r="AK920" s="93" t="str">
        <f t="shared" si="379"/>
        <v/>
      </c>
      <c r="BQ920" s="100" t="str">
        <f>IF(A920&lt;&gt;"",(VLOOKUP(A920,MarketData!$D:$BP,MATCH($BQ$1,MarketData!$D$1:$EG$1,0),TRUE)/100/365+1)^(B920)*BQ919,"")</f>
        <v/>
      </c>
      <c r="BR920" s="98" t="str">
        <f t="shared" si="357"/>
        <v/>
      </c>
      <c r="BS920" s="106" t="str">
        <f>IF(A920&lt;&gt;"",VLOOKUP(A920,MarketData!$D:$BP,MATCH($BS$1,MarketData!$D$1:$EG$1,0),TRUE),"")</f>
        <v/>
      </c>
      <c r="BT920" s="98" t="str">
        <f t="shared" si="368"/>
        <v/>
      </c>
    </row>
    <row r="921" spans="2:72" x14ac:dyDescent="0.25">
      <c r="B921" s="60" t="str">
        <f t="shared" si="356"/>
        <v/>
      </c>
      <c r="C921" s="3" t="str">
        <f t="shared" si="358"/>
        <v/>
      </c>
      <c r="D921" s="3" t="str">
        <f t="shared" si="359"/>
        <v/>
      </c>
      <c r="E921" s="3" t="str">
        <f t="shared" si="360"/>
        <v/>
      </c>
      <c r="F921" s="3" t="str">
        <f t="shared" si="361"/>
        <v/>
      </c>
      <c r="G921" s="74" t="str">
        <f t="shared" si="362"/>
        <v/>
      </c>
      <c r="H921" s="78" t="str">
        <f>IFERROR(C921/SUM(M$2:M920),"")</f>
        <v/>
      </c>
      <c r="I921" s="61" t="str">
        <f>IFERROR(D921/SUM(N$2:N921),"")</f>
        <v/>
      </c>
      <c r="J921" s="61" t="str">
        <f>IFERROR(E921/SUM(O$2:O921),"")</f>
        <v/>
      </c>
      <c r="K921" s="61" t="str">
        <f>IFERROR(F921/SUM(P$2:P921),"")</f>
        <v/>
      </c>
      <c r="L921" s="79" t="str">
        <f>IFERROR(G921/SUM(Q$2:Q921),"")</f>
        <v/>
      </c>
      <c r="M921" s="64" t="str">
        <f t="shared" si="363"/>
        <v/>
      </c>
      <c r="N921" s="55" t="str">
        <f t="shared" si="364"/>
        <v/>
      </c>
      <c r="O921" s="55" t="str">
        <f t="shared" si="365"/>
        <v/>
      </c>
      <c r="P921" s="55" t="str">
        <f t="shared" si="366"/>
        <v/>
      </c>
      <c r="Q921" s="65" t="str">
        <f t="shared" si="367"/>
        <v/>
      </c>
      <c r="R921" s="67" t="str">
        <f t="shared" si="369"/>
        <v/>
      </c>
      <c r="S921" s="56" t="str">
        <f t="shared" si="370"/>
        <v/>
      </c>
      <c r="T921" s="56" t="str">
        <f t="shared" si="371"/>
        <v/>
      </c>
      <c r="U921" s="56" t="str">
        <f t="shared" si="372"/>
        <v/>
      </c>
      <c r="V921" s="68" t="str">
        <f t="shared" si="373"/>
        <v/>
      </c>
      <c r="W921" s="80" t="str">
        <f t="shared" si="374"/>
        <v/>
      </c>
      <c r="X921" s="81" t="str">
        <f t="shared" si="375"/>
        <v/>
      </c>
      <c r="Y921" s="81" t="str">
        <f t="shared" si="376"/>
        <v/>
      </c>
      <c r="Z921" s="81" t="str">
        <f t="shared" si="377"/>
        <v/>
      </c>
      <c r="AA921" s="82" t="str">
        <f t="shared" si="378"/>
        <v/>
      </c>
      <c r="AB921" s="83" t="str">
        <f>IF(R921&lt;&gt;"",(W921-SUMPRODUCT(R$3:R921,$B$3:$B921)/SUM($B$3:$B921))/STDEVA(W911:W921),"")</f>
        <v/>
      </c>
      <c r="AC921" s="84" t="str">
        <f>IF(S921&lt;&gt;"",(X921-SUMPRODUCT(S$3:S921,$B$3:$B921)/SUM($B$3:$B921))/STDEVA(X911:X921),"")</f>
        <v/>
      </c>
      <c r="AD921" s="84" t="str">
        <f>IF(T921&lt;&gt;"",(Y921-SUMPRODUCT(T$3:T921,$B$3:$B921)/SUM($B$3:$B921))/STDEVA(Y911:Y921),"")</f>
        <v/>
      </c>
      <c r="AE921" s="84" t="str">
        <f>IF(U921&lt;&gt;"",(Z921-SUMPRODUCT(U$3:U921,$B$3:$B921)/SUM($B$3:$B921))/STDEVA(Z911:Z921),"")</f>
        <v/>
      </c>
      <c r="AF921" s="85" t="str">
        <f>IF(V921&lt;&gt;"",(AA921-SUMPRODUCT(V$3:V921,$B$3:$B921)/SUM($B$3:$B921))/STDEVA(AA911:AA921),"")</f>
        <v/>
      </c>
      <c r="AG921" s="90" t="str">
        <f t="shared" si="380"/>
        <v/>
      </c>
      <c r="AH921" s="90" t="str">
        <f t="shared" si="380"/>
        <v/>
      </c>
      <c r="AI921" s="90" t="str">
        <f t="shared" si="380"/>
        <v/>
      </c>
      <c r="AJ921" s="90" t="str">
        <f t="shared" si="379"/>
        <v/>
      </c>
      <c r="AK921" s="93" t="str">
        <f t="shared" si="379"/>
        <v/>
      </c>
      <c r="BQ921" s="100" t="str">
        <f>IF(A921&lt;&gt;"",(VLOOKUP(A921,MarketData!$D:$BP,MATCH($BQ$1,MarketData!$D$1:$EG$1,0),TRUE)/100/365+1)^(B921)*BQ920,"")</f>
        <v/>
      </c>
      <c r="BR921" s="98" t="str">
        <f t="shared" si="357"/>
        <v/>
      </c>
      <c r="BS921" s="106" t="str">
        <f>IF(A921&lt;&gt;"",VLOOKUP(A921,MarketData!$D:$BP,MATCH($BS$1,MarketData!$D$1:$EG$1,0),TRUE),"")</f>
        <v/>
      </c>
      <c r="BT921" s="98" t="str">
        <f t="shared" si="368"/>
        <v/>
      </c>
    </row>
    <row r="922" spans="2:72" x14ac:dyDescent="0.25">
      <c r="B922" s="60" t="str">
        <f t="shared" si="356"/>
        <v/>
      </c>
      <c r="C922" s="3" t="str">
        <f t="shared" si="358"/>
        <v/>
      </c>
      <c r="D922" s="3" t="str">
        <f t="shared" si="359"/>
        <v/>
      </c>
      <c r="E922" s="3" t="str">
        <f t="shared" si="360"/>
        <v/>
      </c>
      <c r="F922" s="3" t="str">
        <f t="shared" si="361"/>
        <v/>
      </c>
      <c r="G922" s="74" t="str">
        <f t="shared" si="362"/>
        <v/>
      </c>
      <c r="H922" s="78" t="str">
        <f>IFERROR(C922/SUM(M$2:M921),"")</f>
        <v/>
      </c>
      <c r="I922" s="61" t="str">
        <f>IFERROR(D922/SUM(N$2:N922),"")</f>
        <v/>
      </c>
      <c r="J922" s="61" t="str">
        <f>IFERROR(E922/SUM(O$2:O922),"")</f>
        <v/>
      </c>
      <c r="K922" s="61" t="str">
        <f>IFERROR(F922/SUM(P$2:P922),"")</f>
        <v/>
      </c>
      <c r="L922" s="79" t="str">
        <f>IFERROR(G922/SUM(Q$2:Q922),"")</f>
        <v/>
      </c>
      <c r="M922" s="64" t="str">
        <f t="shared" si="363"/>
        <v/>
      </c>
      <c r="N922" s="55" t="str">
        <f t="shared" si="364"/>
        <v/>
      </c>
      <c r="O922" s="55" t="str">
        <f t="shared" si="365"/>
        <v/>
      </c>
      <c r="P922" s="55" t="str">
        <f t="shared" si="366"/>
        <v/>
      </c>
      <c r="Q922" s="65" t="str">
        <f t="shared" si="367"/>
        <v/>
      </c>
      <c r="R922" s="67" t="str">
        <f t="shared" si="369"/>
        <v/>
      </c>
      <c r="S922" s="56" t="str">
        <f t="shared" si="370"/>
        <v/>
      </c>
      <c r="T922" s="56" t="str">
        <f t="shared" si="371"/>
        <v/>
      </c>
      <c r="U922" s="56" t="str">
        <f t="shared" si="372"/>
        <v/>
      </c>
      <c r="V922" s="68" t="str">
        <f t="shared" si="373"/>
        <v/>
      </c>
      <c r="W922" s="80" t="str">
        <f t="shared" si="374"/>
        <v/>
      </c>
      <c r="X922" s="81" t="str">
        <f t="shared" si="375"/>
        <v/>
      </c>
      <c r="Y922" s="81" t="str">
        <f t="shared" si="376"/>
        <v/>
      </c>
      <c r="Z922" s="81" t="str">
        <f t="shared" si="377"/>
        <v/>
      </c>
      <c r="AA922" s="82" t="str">
        <f t="shared" si="378"/>
        <v/>
      </c>
      <c r="AB922" s="83" t="str">
        <f>IF(R922&lt;&gt;"",(W922-SUMPRODUCT(R$3:R922,$B$3:$B922)/SUM($B$3:$B922))/STDEVA(W912:W922),"")</f>
        <v/>
      </c>
      <c r="AC922" s="84" t="str">
        <f>IF(S922&lt;&gt;"",(X922-SUMPRODUCT(S$3:S922,$B$3:$B922)/SUM($B$3:$B922))/STDEVA(X912:X922),"")</f>
        <v/>
      </c>
      <c r="AD922" s="84" t="str">
        <f>IF(T922&lt;&gt;"",(Y922-SUMPRODUCT(T$3:T922,$B$3:$B922)/SUM($B$3:$B922))/STDEVA(Y912:Y922),"")</f>
        <v/>
      </c>
      <c r="AE922" s="84" t="str">
        <f>IF(U922&lt;&gt;"",(Z922-SUMPRODUCT(U$3:U922,$B$3:$B922)/SUM($B$3:$B922))/STDEVA(Z912:Z922),"")</f>
        <v/>
      </c>
      <c r="AF922" s="85" t="str">
        <f>IF(V922&lt;&gt;"",(AA922-SUMPRODUCT(V$3:V922,$B$3:$B922)/SUM($B$3:$B922))/STDEVA(AA912:AA922),"")</f>
        <v/>
      </c>
      <c r="AG922" s="90" t="str">
        <f t="shared" si="380"/>
        <v/>
      </c>
      <c r="AH922" s="90" t="str">
        <f t="shared" si="380"/>
        <v/>
      </c>
      <c r="AI922" s="90" t="str">
        <f t="shared" si="380"/>
        <v/>
      </c>
      <c r="AJ922" s="90" t="str">
        <f t="shared" si="379"/>
        <v/>
      </c>
      <c r="AK922" s="93" t="str">
        <f t="shared" si="379"/>
        <v/>
      </c>
      <c r="BQ922" s="100" t="str">
        <f>IF(A922&lt;&gt;"",(VLOOKUP(A922,MarketData!$D:$BP,MATCH($BQ$1,MarketData!$D$1:$EG$1,0),TRUE)/100/365+1)^(B922)*BQ921,"")</f>
        <v/>
      </c>
      <c r="BR922" s="98" t="str">
        <f t="shared" si="357"/>
        <v/>
      </c>
      <c r="BS922" s="106" t="str">
        <f>IF(A922&lt;&gt;"",VLOOKUP(A922,MarketData!$D:$BP,MATCH($BS$1,MarketData!$D$1:$EG$1,0),TRUE),"")</f>
        <v/>
      </c>
      <c r="BT922" s="98" t="str">
        <f t="shared" si="368"/>
        <v/>
      </c>
    </row>
    <row r="923" spans="2:72" x14ac:dyDescent="0.25">
      <c r="B923" s="60" t="str">
        <f t="shared" ref="B923:B986" si="381">IF(A923&lt;&gt;0,A923-A922,"")</f>
        <v/>
      </c>
      <c r="C923" s="3" t="str">
        <f t="shared" si="358"/>
        <v/>
      </c>
      <c r="D923" s="3" t="str">
        <f t="shared" si="359"/>
        <v/>
      </c>
      <c r="E923" s="3" t="str">
        <f t="shared" si="360"/>
        <v/>
      </c>
      <c r="F923" s="3" t="str">
        <f t="shared" si="361"/>
        <v/>
      </c>
      <c r="G923" s="74" t="str">
        <f t="shared" si="362"/>
        <v/>
      </c>
      <c r="H923" s="78" t="str">
        <f>IFERROR(C923/SUM(M$2:M922),"")</f>
        <v/>
      </c>
      <c r="I923" s="61" t="str">
        <f>IFERROR(D923/SUM(N$2:N923),"")</f>
        <v/>
      </c>
      <c r="J923" s="61" t="str">
        <f>IFERROR(E923/SUM(O$2:O923),"")</f>
        <v/>
      </c>
      <c r="K923" s="61" t="str">
        <f>IFERROR(F923/SUM(P$2:P923),"")</f>
        <v/>
      </c>
      <c r="L923" s="79" t="str">
        <f>IFERROR(G923/SUM(Q$2:Q923),"")</f>
        <v/>
      </c>
      <c r="M923" s="64" t="str">
        <f t="shared" si="363"/>
        <v/>
      </c>
      <c r="N923" s="55" t="str">
        <f t="shared" si="364"/>
        <v/>
      </c>
      <c r="O923" s="55" t="str">
        <f t="shared" si="365"/>
        <v/>
      </c>
      <c r="P923" s="55" t="str">
        <f t="shared" si="366"/>
        <v/>
      </c>
      <c r="Q923" s="65" t="str">
        <f t="shared" si="367"/>
        <v/>
      </c>
      <c r="R923" s="67" t="str">
        <f t="shared" si="369"/>
        <v/>
      </c>
      <c r="S923" s="56" t="str">
        <f t="shared" si="370"/>
        <v/>
      </c>
      <c r="T923" s="56" t="str">
        <f t="shared" si="371"/>
        <v/>
      </c>
      <c r="U923" s="56" t="str">
        <f t="shared" si="372"/>
        <v/>
      </c>
      <c r="V923" s="68" t="str">
        <f t="shared" si="373"/>
        <v/>
      </c>
      <c r="W923" s="80" t="str">
        <f t="shared" si="374"/>
        <v/>
      </c>
      <c r="X923" s="81" t="str">
        <f t="shared" si="375"/>
        <v/>
      </c>
      <c r="Y923" s="81" t="str">
        <f t="shared" si="376"/>
        <v/>
      </c>
      <c r="Z923" s="81" t="str">
        <f t="shared" si="377"/>
        <v/>
      </c>
      <c r="AA923" s="82" t="str">
        <f t="shared" si="378"/>
        <v/>
      </c>
      <c r="AB923" s="83" t="str">
        <f>IF(R923&lt;&gt;"",(W923-SUMPRODUCT(R$3:R923,$B$3:$B923)/SUM($B$3:$B923))/STDEVA(W913:W923),"")</f>
        <v/>
      </c>
      <c r="AC923" s="84" t="str">
        <f>IF(S923&lt;&gt;"",(X923-SUMPRODUCT(S$3:S923,$B$3:$B923)/SUM($B$3:$B923))/STDEVA(X913:X923),"")</f>
        <v/>
      </c>
      <c r="AD923" s="84" t="str">
        <f>IF(T923&lt;&gt;"",(Y923-SUMPRODUCT(T$3:T923,$B$3:$B923)/SUM($B$3:$B923))/STDEVA(Y913:Y923),"")</f>
        <v/>
      </c>
      <c r="AE923" s="84" t="str">
        <f>IF(U923&lt;&gt;"",(Z923-SUMPRODUCT(U$3:U923,$B$3:$B923)/SUM($B$3:$B923))/STDEVA(Z913:Z923),"")</f>
        <v/>
      </c>
      <c r="AF923" s="85" t="str">
        <f>IF(V923&lt;&gt;"",(AA923-SUMPRODUCT(V$3:V923,$B$3:$B923)/SUM($B$3:$B923))/STDEVA(AA913:AA923),"")</f>
        <v/>
      </c>
      <c r="AG923" s="90" t="str">
        <f t="shared" si="380"/>
        <v/>
      </c>
      <c r="AH923" s="90" t="str">
        <f t="shared" si="380"/>
        <v/>
      </c>
      <c r="AI923" s="90" t="str">
        <f t="shared" si="380"/>
        <v/>
      </c>
      <c r="AJ923" s="90" t="str">
        <f t="shared" si="379"/>
        <v/>
      </c>
      <c r="AK923" s="93" t="str">
        <f t="shared" si="379"/>
        <v/>
      </c>
      <c r="BQ923" s="100" t="str">
        <f>IF(A923&lt;&gt;"",(VLOOKUP(A923,MarketData!$D:$BP,MATCH($BQ$1,MarketData!$D$1:$EG$1,0),TRUE)/100/365+1)^(B923)*BQ922,"")</f>
        <v/>
      </c>
      <c r="BR923" s="98" t="str">
        <f t="shared" si="357"/>
        <v/>
      </c>
      <c r="BS923" s="106" t="str">
        <f>IF(A923&lt;&gt;"",VLOOKUP(A923,MarketData!$D:$BP,MATCH($BS$1,MarketData!$D$1:$EG$1,0),TRUE),"")</f>
        <v/>
      </c>
      <c r="BT923" s="98" t="str">
        <f t="shared" si="368"/>
        <v/>
      </c>
    </row>
    <row r="924" spans="2:72" x14ac:dyDescent="0.25">
      <c r="B924" s="60" t="str">
        <f t="shared" si="381"/>
        <v/>
      </c>
      <c r="C924" s="3" t="str">
        <f t="shared" si="358"/>
        <v/>
      </c>
      <c r="D924" s="3" t="str">
        <f t="shared" si="359"/>
        <v/>
      </c>
      <c r="E924" s="3" t="str">
        <f t="shared" si="360"/>
        <v/>
      </c>
      <c r="F924" s="3" t="str">
        <f t="shared" si="361"/>
        <v/>
      </c>
      <c r="G924" s="74" t="str">
        <f t="shared" si="362"/>
        <v/>
      </c>
      <c r="H924" s="78" t="str">
        <f>IFERROR(C924/SUM(M$2:M923),"")</f>
        <v/>
      </c>
      <c r="I924" s="61" t="str">
        <f>IFERROR(D924/SUM(N$2:N924),"")</f>
        <v/>
      </c>
      <c r="J924" s="61" t="str">
        <f>IFERROR(E924/SUM(O$2:O924),"")</f>
        <v/>
      </c>
      <c r="K924" s="61" t="str">
        <f>IFERROR(F924/SUM(P$2:P924),"")</f>
        <v/>
      </c>
      <c r="L924" s="79" t="str">
        <f>IFERROR(G924/SUM(Q$2:Q924),"")</f>
        <v/>
      </c>
      <c r="M924" s="64" t="str">
        <f t="shared" si="363"/>
        <v/>
      </c>
      <c r="N924" s="55" t="str">
        <f t="shared" si="364"/>
        <v/>
      </c>
      <c r="O924" s="55" t="str">
        <f t="shared" si="365"/>
        <v/>
      </c>
      <c r="P924" s="55" t="str">
        <f t="shared" si="366"/>
        <v/>
      </c>
      <c r="Q924" s="65" t="str">
        <f t="shared" si="367"/>
        <v/>
      </c>
      <c r="R924" s="67" t="str">
        <f t="shared" si="369"/>
        <v/>
      </c>
      <c r="S924" s="56" t="str">
        <f t="shared" si="370"/>
        <v/>
      </c>
      <c r="T924" s="56" t="str">
        <f t="shared" si="371"/>
        <v/>
      </c>
      <c r="U924" s="56" t="str">
        <f t="shared" si="372"/>
        <v/>
      </c>
      <c r="V924" s="68" t="str">
        <f t="shared" si="373"/>
        <v/>
      </c>
      <c r="W924" s="80" t="str">
        <f t="shared" si="374"/>
        <v/>
      </c>
      <c r="X924" s="81" t="str">
        <f t="shared" si="375"/>
        <v/>
      </c>
      <c r="Y924" s="81" t="str">
        <f t="shared" si="376"/>
        <v/>
      </c>
      <c r="Z924" s="81" t="str">
        <f t="shared" si="377"/>
        <v/>
      </c>
      <c r="AA924" s="82" t="str">
        <f t="shared" si="378"/>
        <v/>
      </c>
      <c r="AB924" s="83" t="str">
        <f>IF(R924&lt;&gt;"",(W924-SUMPRODUCT(R$3:R924,$B$3:$B924)/SUM($B$3:$B924))/STDEVA(W914:W924),"")</f>
        <v/>
      </c>
      <c r="AC924" s="84" t="str">
        <f>IF(S924&lt;&gt;"",(X924-SUMPRODUCT(S$3:S924,$B$3:$B924)/SUM($B$3:$B924))/STDEVA(X914:X924),"")</f>
        <v/>
      </c>
      <c r="AD924" s="84" t="str">
        <f>IF(T924&lt;&gt;"",(Y924-SUMPRODUCT(T$3:T924,$B$3:$B924)/SUM($B$3:$B924))/STDEVA(Y914:Y924),"")</f>
        <v/>
      </c>
      <c r="AE924" s="84" t="str">
        <f>IF(U924&lt;&gt;"",(Z924-SUMPRODUCT(U$3:U924,$B$3:$B924)/SUM($B$3:$B924))/STDEVA(Z914:Z924),"")</f>
        <v/>
      </c>
      <c r="AF924" s="85" t="str">
        <f>IF(V924&lt;&gt;"",(AA924-SUMPRODUCT(V$3:V924,$B$3:$B924)/SUM($B$3:$B924))/STDEVA(AA914:AA924),"")</f>
        <v/>
      </c>
      <c r="AG924" s="90" t="str">
        <f t="shared" si="380"/>
        <v/>
      </c>
      <c r="AH924" s="90" t="str">
        <f t="shared" si="380"/>
        <v/>
      </c>
      <c r="AI924" s="90" t="str">
        <f t="shared" si="380"/>
        <v/>
      </c>
      <c r="AJ924" s="90" t="str">
        <f t="shared" si="379"/>
        <v/>
      </c>
      <c r="AK924" s="93" t="str">
        <f t="shared" si="379"/>
        <v/>
      </c>
      <c r="BQ924" s="100" t="str">
        <f>IF(A924&lt;&gt;"",(VLOOKUP(A924,MarketData!$D:$BP,MATCH($BQ$1,MarketData!$D$1:$EG$1,0),TRUE)/100/365+1)^(B924)*BQ923,"")</f>
        <v/>
      </c>
      <c r="BR924" s="98" t="str">
        <f t="shared" si="357"/>
        <v/>
      </c>
      <c r="BS924" s="106" t="str">
        <f>IF(A924&lt;&gt;"",VLOOKUP(A924,MarketData!$D:$BP,MATCH($BS$1,MarketData!$D$1:$EG$1,0),TRUE),"")</f>
        <v/>
      </c>
      <c r="BT924" s="98" t="str">
        <f t="shared" si="368"/>
        <v/>
      </c>
    </row>
    <row r="925" spans="2:72" x14ac:dyDescent="0.25">
      <c r="B925" s="60" t="str">
        <f t="shared" si="381"/>
        <v/>
      </c>
      <c r="C925" s="3" t="str">
        <f t="shared" si="358"/>
        <v/>
      </c>
      <c r="D925" s="3" t="str">
        <f t="shared" si="359"/>
        <v/>
      </c>
      <c r="E925" s="3" t="str">
        <f t="shared" si="360"/>
        <v/>
      </c>
      <c r="F925" s="3" t="str">
        <f t="shared" si="361"/>
        <v/>
      </c>
      <c r="G925" s="74" t="str">
        <f t="shared" si="362"/>
        <v/>
      </c>
      <c r="H925" s="78" t="str">
        <f>IFERROR(C925/SUM(M$2:M924),"")</f>
        <v/>
      </c>
      <c r="I925" s="61" t="str">
        <f>IFERROR(D925/SUM(N$2:N925),"")</f>
        <v/>
      </c>
      <c r="J925" s="61" t="str">
        <f>IFERROR(E925/SUM(O$2:O925),"")</f>
        <v/>
      </c>
      <c r="K925" s="61" t="str">
        <f>IFERROR(F925/SUM(P$2:P925),"")</f>
        <v/>
      </c>
      <c r="L925" s="79" t="str">
        <f>IFERROR(G925/SUM(Q$2:Q925),"")</f>
        <v/>
      </c>
      <c r="M925" s="64" t="str">
        <f t="shared" si="363"/>
        <v/>
      </c>
      <c r="N925" s="55" t="str">
        <f t="shared" si="364"/>
        <v/>
      </c>
      <c r="O925" s="55" t="str">
        <f t="shared" si="365"/>
        <v/>
      </c>
      <c r="P925" s="55" t="str">
        <f t="shared" si="366"/>
        <v/>
      </c>
      <c r="Q925" s="65" t="str">
        <f t="shared" si="367"/>
        <v/>
      </c>
      <c r="R925" s="67" t="str">
        <f t="shared" si="369"/>
        <v/>
      </c>
      <c r="S925" s="56" t="str">
        <f t="shared" si="370"/>
        <v/>
      </c>
      <c r="T925" s="56" t="str">
        <f t="shared" si="371"/>
        <v/>
      </c>
      <c r="U925" s="56" t="str">
        <f t="shared" si="372"/>
        <v/>
      </c>
      <c r="V925" s="68" t="str">
        <f t="shared" si="373"/>
        <v/>
      </c>
      <c r="W925" s="80" t="str">
        <f t="shared" si="374"/>
        <v/>
      </c>
      <c r="X925" s="81" t="str">
        <f t="shared" si="375"/>
        <v/>
      </c>
      <c r="Y925" s="81" t="str">
        <f t="shared" si="376"/>
        <v/>
      </c>
      <c r="Z925" s="81" t="str">
        <f t="shared" si="377"/>
        <v/>
      </c>
      <c r="AA925" s="82" t="str">
        <f t="shared" si="378"/>
        <v/>
      </c>
      <c r="AB925" s="83" t="str">
        <f>IF(R925&lt;&gt;"",(W925-SUMPRODUCT(R$3:R925,$B$3:$B925)/SUM($B$3:$B925))/STDEVA(W915:W925),"")</f>
        <v/>
      </c>
      <c r="AC925" s="84" t="str">
        <f>IF(S925&lt;&gt;"",(X925-SUMPRODUCT(S$3:S925,$B$3:$B925)/SUM($B$3:$B925))/STDEVA(X915:X925),"")</f>
        <v/>
      </c>
      <c r="AD925" s="84" t="str">
        <f>IF(T925&lt;&gt;"",(Y925-SUMPRODUCT(T$3:T925,$B$3:$B925)/SUM($B$3:$B925))/STDEVA(Y915:Y925),"")</f>
        <v/>
      </c>
      <c r="AE925" s="84" t="str">
        <f>IF(U925&lt;&gt;"",(Z925-SUMPRODUCT(U$3:U925,$B$3:$B925)/SUM($B$3:$B925))/STDEVA(Z915:Z925),"")</f>
        <v/>
      </c>
      <c r="AF925" s="85" t="str">
        <f>IF(V925&lt;&gt;"",(AA925-SUMPRODUCT(V$3:V925,$B$3:$B925)/SUM($B$3:$B925))/STDEVA(AA915:AA925),"")</f>
        <v/>
      </c>
      <c r="AG925" s="90" t="str">
        <f t="shared" si="380"/>
        <v/>
      </c>
      <c r="AH925" s="90" t="str">
        <f t="shared" si="380"/>
        <v/>
      </c>
      <c r="AI925" s="90" t="str">
        <f t="shared" si="380"/>
        <v/>
      </c>
      <c r="AJ925" s="90" t="str">
        <f t="shared" si="379"/>
        <v/>
      </c>
      <c r="AK925" s="93" t="str">
        <f t="shared" si="379"/>
        <v/>
      </c>
      <c r="BQ925" s="100" t="str">
        <f>IF(A925&lt;&gt;"",(VLOOKUP(A925,MarketData!$D:$BP,MATCH($BQ$1,MarketData!$D$1:$EG$1,0),TRUE)/100/365+1)^(B925)*BQ924,"")</f>
        <v/>
      </c>
      <c r="BR925" s="98" t="str">
        <f t="shared" si="357"/>
        <v/>
      </c>
      <c r="BS925" s="106" t="str">
        <f>IF(A925&lt;&gt;"",VLOOKUP(A925,MarketData!$D:$BP,MATCH($BS$1,MarketData!$D$1:$EG$1,0),TRUE),"")</f>
        <v/>
      </c>
      <c r="BT925" s="98" t="str">
        <f t="shared" si="368"/>
        <v/>
      </c>
    </row>
    <row r="926" spans="2:72" x14ac:dyDescent="0.25">
      <c r="B926" s="60" t="str">
        <f t="shared" si="381"/>
        <v/>
      </c>
      <c r="C926" s="3" t="str">
        <f t="shared" si="358"/>
        <v/>
      </c>
      <c r="D926" s="3" t="str">
        <f t="shared" si="359"/>
        <v/>
      </c>
      <c r="E926" s="3" t="str">
        <f t="shared" si="360"/>
        <v/>
      </c>
      <c r="F926" s="3" t="str">
        <f t="shared" si="361"/>
        <v/>
      </c>
      <c r="G926" s="74" t="str">
        <f t="shared" si="362"/>
        <v/>
      </c>
      <c r="H926" s="78" t="str">
        <f>IFERROR(C926/SUM(M$2:M925),"")</f>
        <v/>
      </c>
      <c r="I926" s="61" t="str">
        <f>IFERROR(D926/SUM(N$2:N926),"")</f>
        <v/>
      </c>
      <c r="J926" s="61" t="str">
        <f>IFERROR(E926/SUM(O$2:O926),"")</f>
        <v/>
      </c>
      <c r="K926" s="61" t="str">
        <f>IFERROR(F926/SUM(P$2:P926),"")</f>
        <v/>
      </c>
      <c r="L926" s="79" t="str">
        <f>IFERROR(G926/SUM(Q$2:Q926),"")</f>
        <v/>
      </c>
      <c r="M926" s="64" t="str">
        <f t="shared" si="363"/>
        <v/>
      </c>
      <c r="N926" s="55" t="str">
        <f t="shared" si="364"/>
        <v/>
      </c>
      <c r="O926" s="55" t="str">
        <f t="shared" si="365"/>
        <v/>
      </c>
      <c r="P926" s="55" t="str">
        <f t="shared" si="366"/>
        <v/>
      </c>
      <c r="Q926" s="65" t="str">
        <f t="shared" si="367"/>
        <v/>
      </c>
      <c r="R926" s="67" t="str">
        <f t="shared" si="369"/>
        <v/>
      </c>
      <c r="S926" s="56" t="str">
        <f t="shared" si="370"/>
        <v/>
      </c>
      <c r="T926" s="56" t="str">
        <f t="shared" si="371"/>
        <v/>
      </c>
      <c r="U926" s="56" t="str">
        <f t="shared" si="372"/>
        <v/>
      </c>
      <c r="V926" s="68" t="str">
        <f t="shared" si="373"/>
        <v/>
      </c>
      <c r="W926" s="80" t="str">
        <f t="shared" si="374"/>
        <v/>
      </c>
      <c r="X926" s="81" t="str">
        <f t="shared" si="375"/>
        <v/>
      </c>
      <c r="Y926" s="81" t="str">
        <f t="shared" si="376"/>
        <v/>
      </c>
      <c r="Z926" s="81" t="str">
        <f t="shared" si="377"/>
        <v/>
      </c>
      <c r="AA926" s="82" t="str">
        <f t="shared" si="378"/>
        <v/>
      </c>
      <c r="AB926" s="83" t="str">
        <f>IF(R926&lt;&gt;"",(W926-SUMPRODUCT(R$3:R926,$B$3:$B926)/SUM($B$3:$B926))/STDEVA(W916:W926),"")</f>
        <v/>
      </c>
      <c r="AC926" s="84" t="str">
        <f>IF(S926&lt;&gt;"",(X926-SUMPRODUCT(S$3:S926,$B$3:$B926)/SUM($B$3:$B926))/STDEVA(X916:X926),"")</f>
        <v/>
      </c>
      <c r="AD926" s="84" t="str">
        <f>IF(T926&lt;&gt;"",(Y926-SUMPRODUCT(T$3:T926,$B$3:$B926)/SUM($B$3:$B926))/STDEVA(Y916:Y926),"")</f>
        <v/>
      </c>
      <c r="AE926" s="84" t="str">
        <f>IF(U926&lt;&gt;"",(Z926-SUMPRODUCT(U$3:U926,$B$3:$B926)/SUM($B$3:$B926))/STDEVA(Z916:Z926),"")</f>
        <v/>
      </c>
      <c r="AF926" s="85" t="str">
        <f>IF(V926&lt;&gt;"",(AA926-SUMPRODUCT(V$3:V926,$B$3:$B926)/SUM($B$3:$B926))/STDEVA(AA916:AA926),"")</f>
        <v/>
      </c>
      <c r="AG926" s="90" t="str">
        <f t="shared" si="380"/>
        <v/>
      </c>
      <c r="AH926" s="90" t="str">
        <f t="shared" si="380"/>
        <v/>
      </c>
      <c r="AI926" s="90" t="str">
        <f t="shared" si="380"/>
        <v/>
      </c>
      <c r="AJ926" s="90" t="str">
        <f t="shared" si="379"/>
        <v/>
      </c>
      <c r="AK926" s="93" t="str">
        <f t="shared" si="379"/>
        <v/>
      </c>
      <c r="BQ926" s="100" t="str">
        <f>IF(A926&lt;&gt;"",(VLOOKUP(A926,MarketData!$D:$BP,MATCH($BQ$1,MarketData!$D$1:$EG$1,0),TRUE)/100/365+1)^(B926)*BQ925,"")</f>
        <v/>
      </c>
      <c r="BR926" s="98" t="str">
        <f t="shared" si="357"/>
        <v/>
      </c>
      <c r="BS926" s="106" t="str">
        <f>IF(A926&lt;&gt;"",VLOOKUP(A926,MarketData!$D:$BP,MATCH($BS$1,MarketData!$D$1:$EG$1,0),TRUE),"")</f>
        <v/>
      </c>
      <c r="BT926" s="98" t="str">
        <f t="shared" si="368"/>
        <v/>
      </c>
    </row>
    <row r="927" spans="2:72" x14ac:dyDescent="0.25">
      <c r="B927" s="60" t="str">
        <f t="shared" si="381"/>
        <v/>
      </c>
      <c r="C927" s="3" t="str">
        <f t="shared" si="358"/>
        <v/>
      </c>
      <c r="D927" s="3" t="str">
        <f t="shared" si="359"/>
        <v/>
      </c>
      <c r="E927" s="3" t="str">
        <f t="shared" si="360"/>
        <v/>
      </c>
      <c r="F927" s="3" t="str">
        <f t="shared" si="361"/>
        <v/>
      </c>
      <c r="G927" s="74" t="str">
        <f t="shared" si="362"/>
        <v/>
      </c>
      <c r="H927" s="78" t="str">
        <f>IFERROR(C927/SUM(M$2:M926),"")</f>
        <v/>
      </c>
      <c r="I927" s="61" t="str">
        <f>IFERROR(D927/SUM(N$2:N927),"")</f>
        <v/>
      </c>
      <c r="J927" s="61" t="str">
        <f>IFERROR(E927/SUM(O$2:O927),"")</f>
        <v/>
      </c>
      <c r="K927" s="61" t="str">
        <f>IFERROR(F927/SUM(P$2:P927),"")</f>
        <v/>
      </c>
      <c r="L927" s="79" t="str">
        <f>IFERROR(G927/SUM(Q$2:Q927),"")</f>
        <v/>
      </c>
      <c r="M927" s="64" t="str">
        <f t="shared" si="363"/>
        <v/>
      </c>
      <c r="N927" s="55" t="str">
        <f t="shared" si="364"/>
        <v/>
      </c>
      <c r="O927" s="55" t="str">
        <f t="shared" si="365"/>
        <v/>
      </c>
      <c r="P927" s="55" t="str">
        <f t="shared" si="366"/>
        <v/>
      </c>
      <c r="Q927" s="65" t="str">
        <f t="shared" si="367"/>
        <v/>
      </c>
      <c r="R927" s="67" t="str">
        <f t="shared" si="369"/>
        <v/>
      </c>
      <c r="S927" s="56" t="str">
        <f t="shared" si="370"/>
        <v/>
      </c>
      <c r="T927" s="56" t="str">
        <f t="shared" si="371"/>
        <v/>
      </c>
      <c r="U927" s="56" t="str">
        <f t="shared" si="372"/>
        <v/>
      </c>
      <c r="V927" s="68" t="str">
        <f t="shared" si="373"/>
        <v/>
      </c>
      <c r="W927" s="80" t="str">
        <f t="shared" si="374"/>
        <v/>
      </c>
      <c r="X927" s="81" t="str">
        <f t="shared" si="375"/>
        <v/>
      </c>
      <c r="Y927" s="81" t="str">
        <f t="shared" si="376"/>
        <v/>
      </c>
      <c r="Z927" s="81" t="str">
        <f t="shared" si="377"/>
        <v/>
      </c>
      <c r="AA927" s="82" t="str">
        <f t="shared" si="378"/>
        <v/>
      </c>
      <c r="AB927" s="83" t="str">
        <f>IF(R927&lt;&gt;"",(W927-SUMPRODUCT(R$3:R927,$B$3:$B927)/SUM($B$3:$B927))/STDEVA(W917:W927),"")</f>
        <v/>
      </c>
      <c r="AC927" s="84" t="str">
        <f>IF(S927&lt;&gt;"",(X927-SUMPRODUCT(S$3:S927,$B$3:$B927)/SUM($B$3:$B927))/STDEVA(X917:X927),"")</f>
        <v/>
      </c>
      <c r="AD927" s="84" t="str">
        <f>IF(T927&lt;&gt;"",(Y927-SUMPRODUCT(T$3:T927,$B$3:$B927)/SUM($B$3:$B927))/STDEVA(Y917:Y927),"")</f>
        <v/>
      </c>
      <c r="AE927" s="84" t="str">
        <f>IF(U927&lt;&gt;"",(Z927-SUMPRODUCT(U$3:U927,$B$3:$B927)/SUM($B$3:$B927))/STDEVA(Z917:Z927),"")</f>
        <v/>
      </c>
      <c r="AF927" s="85" t="str">
        <f>IF(V927&lt;&gt;"",(AA927-SUMPRODUCT(V$3:V927,$B$3:$B927)/SUM($B$3:$B927))/STDEVA(AA917:AA927),"")</f>
        <v/>
      </c>
      <c r="AG927" s="90" t="str">
        <f t="shared" si="380"/>
        <v/>
      </c>
      <c r="AH927" s="90" t="str">
        <f t="shared" si="380"/>
        <v/>
      </c>
      <c r="AI927" s="90" t="str">
        <f t="shared" si="380"/>
        <v/>
      </c>
      <c r="AJ927" s="90" t="str">
        <f t="shared" si="379"/>
        <v/>
      </c>
      <c r="AK927" s="93" t="str">
        <f t="shared" si="379"/>
        <v/>
      </c>
      <c r="BQ927" s="100" t="str">
        <f>IF(A927&lt;&gt;"",(VLOOKUP(A927,MarketData!$D:$BP,MATCH($BQ$1,MarketData!$D$1:$EG$1,0),TRUE)/100/365+1)^(B927)*BQ926,"")</f>
        <v/>
      </c>
      <c r="BR927" s="98" t="str">
        <f t="shared" si="357"/>
        <v/>
      </c>
      <c r="BS927" s="106" t="str">
        <f>IF(A927&lt;&gt;"",VLOOKUP(A927,MarketData!$D:$BP,MATCH($BS$1,MarketData!$D$1:$EG$1,0),TRUE),"")</f>
        <v/>
      </c>
      <c r="BT927" s="98" t="str">
        <f t="shared" si="368"/>
        <v/>
      </c>
    </row>
    <row r="928" spans="2:72" x14ac:dyDescent="0.25">
      <c r="B928" s="60" t="str">
        <f t="shared" si="381"/>
        <v/>
      </c>
      <c r="C928" s="3" t="str">
        <f t="shared" si="358"/>
        <v/>
      </c>
      <c r="D928" s="3" t="str">
        <f t="shared" si="359"/>
        <v/>
      </c>
      <c r="E928" s="3" t="str">
        <f t="shared" si="360"/>
        <v/>
      </c>
      <c r="F928" s="3" t="str">
        <f t="shared" si="361"/>
        <v/>
      </c>
      <c r="G928" s="74" t="str">
        <f t="shared" si="362"/>
        <v/>
      </c>
      <c r="H928" s="78" t="str">
        <f>IFERROR(C928/SUM(M$2:M927),"")</f>
        <v/>
      </c>
      <c r="I928" s="61" t="str">
        <f>IFERROR(D928/SUM(N$2:N928),"")</f>
        <v/>
      </c>
      <c r="J928" s="61" t="str">
        <f>IFERROR(E928/SUM(O$2:O928),"")</f>
        <v/>
      </c>
      <c r="K928" s="61" t="str">
        <f>IFERROR(F928/SUM(P$2:P928),"")</f>
        <v/>
      </c>
      <c r="L928" s="79" t="str">
        <f>IFERROR(G928/SUM(Q$2:Q928),"")</f>
        <v/>
      </c>
      <c r="M928" s="64" t="str">
        <f t="shared" si="363"/>
        <v/>
      </c>
      <c r="N928" s="55" t="str">
        <f t="shared" si="364"/>
        <v/>
      </c>
      <c r="O928" s="55" t="str">
        <f t="shared" si="365"/>
        <v/>
      </c>
      <c r="P928" s="55" t="str">
        <f t="shared" si="366"/>
        <v/>
      </c>
      <c r="Q928" s="65" t="str">
        <f t="shared" si="367"/>
        <v/>
      </c>
      <c r="R928" s="67" t="str">
        <f t="shared" si="369"/>
        <v/>
      </c>
      <c r="S928" s="56" t="str">
        <f t="shared" si="370"/>
        <v/>
      </c>
      <c r="T928" s="56" t="str">
        <f t="shared" si="371"/>
        <v/>
      </c>
      <c r="U928" s="56" t="str">
        <f t="shared" si="372"/>
        <v/>
      </c>
      <c r="V928" s="68" t="str">
        <f t="shared" si="373"/>
        <v/>
      </c>
      <c r="W928" s="80" t="str">
        <f t="shared" si="374"/>
        <v/>
      </c>
      <c r="X928" s="81" t="str">
        <f t="shared" si="375"/>
        <v/>
      </c>
      <c r="Y928" s="81" t="str">
        <f t="shared" si="376"/>
        <v/>
      </c>
      <c r="Z928" s="81" t="str">
        <f t="shared" si="377"/>
        <v/>
      </c>
      <c r="AA928" s="82" t="str">
        <f t="shared" si="378"/>
        <v/>
      </c>
      <c r="AB928" s="83" t="str">
        <f>IF(R928&lt;&gt;"",(W928-SUMPRODUCT(R$3:R928,$B$3:$B928)/SUM($B$3:$B928))/STDEVA(W918:W928),"")</f>
        <v/>
      </c>
      <c r="AC928" s="84" t="str">
        <f>IF(S928&lt;&gt;"",(X928-SUMPRODUCT(S$3:S928,$B$3:$B928)/SUM($B$3:$B928))/STDEVA(X918:X928),"")</f>
        <v/>
      </c>
      <c r="AD928" s="84" t="str">
        <f>IF(T928&lt;&gt;"",(Y928-SUMPRODUCT(T$3:T928,$B$3:$B928)/SUM($B$3:$B928))/STDEVA(Y918:Y928),"")</f>
        <v/>
      </c>
      <c r="AE928" s="84" t="str">
        <f>IF(U928&lt;&gt;"",(Z928-SUMPRODUCT(U$3:U928,$B$3:$B928)/SUM($B$3:$B928))/STDEVA(Z918:Z928),"")</f>
        <v/>
      </c>
      <c r="AF928" s="85" t="str">
        <f>IF(V928&lt;&gt;"",(AA928-SUMPRODUCT(V$3:V928,$B$3:$B928)/SUM($B$3:$B928))/STDEVA(AA918:AA928),"")</f>
        <v/>
      </c>
      <c r="AG928" s="90" t="str">
        <f t="shared" si="380"/>
        <v/>
      </c>
      <c r="AH928" s="90" t="str">
        <f t="shared" si="380"/>
        <v/>
      </c>
      <c r="AI928" s="90" t="str">
        <f t="shared" si="380"/>
        <v/>
      </c>
      <c r="AJ928" s="90" t="str">
        <f t="shared" si="379"/>
        <v/>
      </c>
      <c r="AK928" s="93" t="str">
        <f t="shared" si="379"/>
        <v/>
      </c>
      <c r="BQ928" s="100" t="str">
        <f>IF(A928&lt;&gt;"",(VLOOKUP(A928,MarketData!$D:$BP,MATCH($BQ$1,MarketData!$D$1:$EG$1,0),TRUE)/100/365+1)^(B928)*BQ927,"")</f>
        <v/>
      </c>
      <c r="BR928" s="98" t="str">
        <f t="shared" si="357"/>
        <v/>
      </c>
      <c r="BS928" s="106" t="str">
        <f>IF(A928&lt;&gt;"",VLOOKUP(A928,MarketData!$D:$BP,MATCH($BS$1,MarketData!$D$1:$EG$1,0),TRUE),"")</f>
        <v/>
      </c>
      <c r="BT928" s="98" t="str">
        <f t="shared" si="368"/>
        <v/>
      </c>
    </row>
    <row r="929" spans="2:72" x14ac:dyDescent="0.25">
      <c r="B929" s="60" t="str">
        <f t="shared" si="381"/>
        <v/>
      </c>
      <c r="C929" s="3" t="str">
        <f t="shared" si="358"/>
        <v/>
      </c>
      <c r="D929" s="3" t="str">
        <f t="shared" si="359"/>
        <v/>
      </c>
      <c r="E929" s="3" t="str">
        <f t="shared" si="360"/>
        <v/>
      </c>
      <c r="F929" s="3" t="str">
        <f t="shared" si="361"/>
        <v/>
      </c>
      <c r="G929" s="74" t="str">
        <f t="shared" si="362"/>
        <v/>
      </c>
      <c r="H929" s="78" t="str">
        <f>IFERROR(C929/SUM(M$2:M928),"")</f>
        <v/>
      </c>
      <c r="I929" s="61" t="str">
        <f>IFERROR(D929/SUM(N$2:N929),"")</f>
        <v/>
      </c>
      <c r="J929" s="61" t="str">
        <f>IFERROR(E929/SUM(O$2:O929),"")</f>
        <v/>
      </c>
      <c r="K929" s="61" t="str">
        <f>IFERROR(F929/SUM(P$2:P929),"")</f>
        <v/>
      </c>
      <c r="L929" s="79" t="str">
        <f>IFERROR(G929/SUM(Q$2:Q929),"")</f>
        <v/>
      </c>
      <c r="M929" s="64" t="str">
        <f t="shared" si="363"/>
        <v/>
      </c>
      <c r="N929" s="55" t="str">
        <f t="shared" si="364"/>
        <v/>
      </c>
      <c r="O929" s="55" t="str">
        <f t="shared" si="365"/>
        <v/>
      </c>
      <c r="P929" s="55" t="str">
        <f t="shared" si="366"/>
        <v/>
      </c>
      <c r="Q929" s="65" t="str">
        <f t="shared" si="367"/>
        <v/>
      </c>
      <c r="R929" s="67" t="str">
        <f t="shared" si="369"/>
        <v/>
      </c>
      <c r="S929" s="56" t="str">
        <f t="shared" si="370"/>
        <v/>
      </c>
      <c r="T929" s="56" t="str">
        <f t="shared" si="371"/>
        <v/>
      </c>
      <c r="U929" s="56" t="str">
        <f t="shared" si="372"/>
        <v/>
      </c>
      <c r="V929" s="68" t="str">
        <f t="shared" si="373"/>
        <v/>
      </c>
      <c r="W929" s="80" t="str">
        <f t="shared" si="374"/>
        <v/>
      </c>
      <c r="X929" s="81" t="str">
        <f t="shared" si="375"/>
        <v/>
      </c>
      <c r="Y929" s="81" t="str">
        <f t="shared" si="376"/>
        <v/>
      </c>
      <c r="Z929" s="81" t="str">
        <f t="shared" si="377"/>
        <v/>
      </c>
      <c r="AA929" s="82" t="str">
        <f t="shared" si="378"/>
        <v/>
      </c>
      <c r="AB929" s="83" t="str">
        <f>IF(R929&lt;&gt;"",(W929-SUMPRODUCT(R$3:R929,$B$3:$B929)/SUM($B$3:$B929))/STDEVA(W919:W929),"")</f>
        <v/>
      </c>
      <c r="AC929" s="84" t="str">
        <f>IF(S929&lt;&gt;"",(X929-SUMPRODUCT(S$3:S929,$B$3:$B929)/SUM($B$3:$B929))/STDEVA(X919:X929),"")</f>
        <v/>
      </c>
      <c r="AD929" s="84" t="str">
        <f>IF(T929&lt;&gt;"",(Y929-SUMPRODUCT(T$3:T929,$B$3:$B929)/SUM($B$3:$B929))/STDEVA(Y919:Y929),"")</f>
        <v/>
      </c>
      <c r="AE929" s="84" t="str">
        <f>IF(U929&lt;&gt;"",(Z929-SUMPRODUCT(U$3:U929,$B$3:$B929)/SUM($B$3:$B929))/STDEVA(Z919:Z929),"")</f>
        <v/>
      </c>
      <c r="AF929" s="85" t="str">
        <f>IF(V929&lt;&gt;"",(AA929-SUMPRODUCT(V$3:V929,$B$3:$B929)/SUM($B$3:$B929))/STDEVA(AA919:AA929),"")</f>
        <v/>
      </c>
      <c r="AG929" s="90" t="str">
        <f t="shared" si="380"/>
        <v/>
      </c>
      <c r="AH929" s="90" t="str">
        <f t="shared" si="380"/>
        <v/>
      </c>
      <c r="AI929" s="90" t="str">
        <f t="shared" si="380"/>
        <v/>
      </c>
      <c r="AJ929" s="90" t="str">
        <f t="shared" si="379"/>
        <v/>
      </c>
      <c r="AK929" s="93" t="str">
        <f t="shared" si="379"/>
        <v/>
      </c>
      <c r="BQ929" s="100" t="str">
        <f>IF(A929&lt;&gt;"",(VLOOKUP(A929,MarketData!$D:$BP,MATCH($BQ$1,MarketData!$D$1:$EG$1,0),TRUE)/100/365+1)^(B929)*BQ928,"")</f>
        <v/>
      </c>
      <c r="BR929" s="98" t="str">
        <f t="shared" si="357"/>
        <v/>
      </c>
      <c r="BS929" s="106" t="str">
        <f>IF(A929&lt;&gt;"",VLOOKUP(A929,MarketData!$D:$BP,MATCH($BS$1,MarketData!$D$1:$EG$1,0),TRUE),"")</f>
        <v/>
      </c>
      <c r="BT929" s="98" t="str">
        <f t="shared" si="368"/>
        <v/>
      </c>
    </row>
    <row r="930" spans="2:72" x14ac:dyDescent="0.25">
      <c r="B930" s="60" t="str">
        <f t="shared" si="381"/>
        <v/>
      </c>
      <c r="C930" s="3" t="str">
        <f t="shared" si="358"/>
        <v/>
      </c>
      <c r="D930" s="3" t="str">
        <f t="shared" si="359"/>
        <v/>
      </c>
      <c r="E930" s="3" t="str">
        <f t="shared" si="360"/>
        <v/>
      </c>
      <c r="F930" s="3" t="str">
        <f t="shared" si="361"/>
        <v/>
      </c>
      <c r="G930" s="74" t="str">
        <f t="shared" si="362"/>
        <v/>
      </c>
      <c r="H930" s="78" t="str">
        <f>IFERROR(C930/SUM(M$2:M929),"")</f>
        <v/>
      </c>
      <c r="I930" s="61" t="str">
        <f>IFERROR(D930/SUM(N$2:N930),"")</f>
        <v/>
      </c>
      <c r="J930" s="61" t="str">
        <f>IFERROR(E930/SUM(O$2:O930),"")</f>
        <v/>
      </c>
      <c r="K930" s="61" t="str">
        <f>IFERROR(F930/SUM(P$2:P930),"")</f>
        <v/>
      </c>
      <c r="L930" s="79" t="str">
        <f>IFERROR(G930/SUM(Q$2:Q930),"")</f>
        <v/>
      </c>
      <c r="M930" s="64" t="str">
        <f t="shared" si="363"/>
        <v/>
      </c>
      <c r="N930" s="55" t="str">
        <f t="shared" si="364"/>
        <v/>
      </c>
      <c r="O930" s="55" t="str">
        <f t="shared" si="365"/>
        <v/>
      </c>
      <c r="P930" s="55" t="str">
        <f t="shared" si="366"/>
        <v/>
      </c>
      <c r="Q930" s="65" t="str">
        <f t="shared" si="367"/>
        <v/>
      </c>
      <c r="R930" s="67" t="str">
        <f t="shared" si="369"/>
        <v/>
      </c>
      <c r="S930" s="56" t="str">
        <f t="shared" si="370"/>
        <v/>
      </c>
      <c r="T930" s="56" t="str">
        <f t="shared" si="371"/>
        <v/>
      </c>
      <c r="U930" s="56" t="str">
        <f t="shared" si="372"/>
        <v/>
      </c>
      <c r="V930" s="68" t="str">
        <f t="shared" si="373"/>
        <v/>
      </c>
      <c r="W930" s="80" t="str">
        <f t="shared" si="374"/>
        <v/>
      </c>
      <c r="X930" s="81" t="str">
        <f t="shared" si="375"/>
        <v/>
      </c>
      <c r="Y930" s="81" t="str">
        <f t="shared" si="376"/>
        <v/>
      </c>
      <c r="Z930" s="81" t="str">
        <f t="shared" si="377"/>
        <v/>
      </c>
      <c r="AA930" s="82" t="str">
        <f t="shared" si="378"/>
        <v/>
      </c>
      <c r="AB930" s="83" t="str">
        <f>IF(R930&lt;&gt;"",(W930-SUMPRODUCT(R$3:R930,$B$3:$B930)/SUM($B$3:$B930))/STDEVA(W920:W930),"")</f>
        <v/>
      </c>
      <c r="AC930" s="84" t="str">
        <f>IF(S930&lt;&gt;"",(X930-SUMPRODUCT(S$3:S930,$B$3:$B930)/SUM($B$3:$B930))/STDEVA(X920:X930),"")</f>
        <v/>
      </c>
      <c r="AD930" s="84" t="str">
        <f>IF(T930&lt;&gt;"",(Y930-SUMPRODUCT(T$3:T930,$B$3:$B930)/SUM($B$3:$B930))/STDEVA(Y920:Y930),"")</f>
        <v/>
      </c>
      <c r="AE930" s="84" t="str">
        <f>IF(U930&lt;&gt;"",(Z930-SUMPRODUCT(U$3:U930,$B$3:$B930)/SUM($B$3:$B930))/STDEVA(Z920:Z930),"")</f>
        <v/>
      </c>
      <c r="AF930" s="85" t="str">
        <f>IF(V930&lt;&gt;"",(AA930-SUMPRODUCT(V$3:V930,$B$3:$B930)/SUM($B$3:$B930))/STDEVA(AA920:AA930),"")</f>
        <v/>
      </c>
      <c r="AG930" s="90" t="str">
        <f t="shared" si="380"/>
        <v/>
      </c>
      <c r="AH930" s="90" t="str">
        <f t="shared" si="380"/>
        <v/>
      </c>
      <c r="AI930" s="90" t="str">
        <f t="shared" si="380"/>
        <v/>
      </c>
      <c r="AJ930" s="90" t="str">
        <f t="shared" si="379"/>
        <v/>
      </c>
      <c r="AK930" s="93" t="str">
        <f t="shared" si="379"/>
        <v/>
      </c>
      <c r="BQ930" s="100" t="str">
        <f>IF(A930&lt;&gt;"",(VLOOKUP(A930,MarketData!$D:$BP,MATCH($BQ$1,MarketData!$D$1:$EG$1,0),TRUE)/100/365+1)^(B930)*BQ929,"")</f>
        <v/>
      </c>
      <c r="BR930" s="98" t="str">
        <f t="shared" si="357"/>
        <v/>
      </c>
      <c r="BS930" s="106" t="str">
        <f>IF(A930&lt;&gt;"",VLOOKUP(A930,MarketData!$D:$BP,MATCH($BS$1,MarketData!$D$1:$EG$1,0),TRUE),"")</f>
        <v/>
      </c>
      <c r="BT930" s="98" t="str">
        <f t="shared" si="368"/>
        <v/>
      </c>
    </row>
    <row r="931" spans="2:72" x14ac:dyDescent="0.25">
      <c r="B931" s="60" t="str">
        <f t="shared" si="381"/>
        <v/>
      </c>
      <c r="C931" s="3" t="str">
        <f t="shared" si="358"/>
        <v/>
      </c>
      <c r="D931" s="3" t="str">
        <f t="shared" si="359"/>
        <v/>
      </c>
      <c r="E931" s="3" t="str">
        <f t="shared" si="360"/>
        <v/>
      </c>
      <c r="F931" s="3" t="str">
        <f t="shared" si="361"/>
        <v/>
      </c>
      <c r="G931" s="74" t="str">
        <f t="shared" si="362"/>
        <v/>
      </c>
      <c r="H931" s="78" t="str">
        <f>IFERROR(C931/SUM(M$2:M930),"")</f>
        <v/>
      </c>
      <c r="I931" s="61" t="str">
        <f>IFERROR(D931/SUM(N$2:N931),"")</f>
        <v/>
      </c>
      <c r="J931" s="61" t="str">
        <f>IFERROR(E931/SUM(O$2:O931),"")</f>
        <v/>
      </c>
      <c r="K931" s="61" t="str">
        <f>IFERROR(F931/SUM(P$2:P931),"")</f>
        <v/>
      </c>
      <c r="L931" s="79" t="str">
        <f>IFERROR(G931/SUM(Q$2:Q931),"")</f>
        <v/>
      </c>
      <c r="M931" s="64" t="str">
        <f t="shared" si="363"/>
        <v/>
      </c>
      <c r="N931" s="55" t="str">
        <f t="shared" si="364"/>
        <v/>
      </c>
      <c r="O931" s="55" t="str">
        <f t="shared" si="365"/>
        <v/>
      </c>
      <c r="P931" s="55" t="str">
        <f t="shared" si="366"/>
        <v/>
      </c>
      <c r="Q931" s="65" t="str">
        <f t="shared" si="367"/>
        <v/>
      </c>
      <c r="R931" s="67" t="str">
        <f t="shared" si="369"/>
        <v/>
      </c>
      <c r="S931" s="56" t="str">
        <f t="shared" si="370"/>
        <v/>
      </c>
      <c r="T931" s="56" t="str">
        <f t="shared" si="371"/>
        <v/>
      </c>
      <c r="U931" s="56" t="str">
        <f t="shared" si="372"/>
        <v/>
      </c>
      <c r="V931" s="68" t="str">
        <f t="shared" si="373"/>
        <v/>
      </c>
      <c r="W931" s="80" t="str">
        <f t="shared" si="374"/>
        <v/>
      </c>
      <c r="X931" s="81" t="str">
        <f t="shared" si="375"/>
        <v/>
      </c>
      <c r="Y931" s="81" t="str">
        <f t="shared" si="376"/>
        <v/>
      </c>
      <c r="Z931" s="81" t="str">
        <f t="shared" si="377"/>
        <v/>
      </c>
      <c r="AA931" s="82" t="str">
        <f t="shared" si="378"/>
        <v/>
      </c>
      <c r="AB931" s="83" t="str">
        <f>IF(R931&lt;&gt;"",(W931-SUMPRODUCT(R$3:R931,$B$3:$B931)/SUM($B$3:$B931))/STDEVA(W921:W931),"")</f>
        <v/>
      </c>
      <c r="AC931" s="84" t="str">
        <f>IF(S931&lt;&gt;"",(X931-SUMPRODUCT(S$3:S931,$B$3:$B931)/SUM($B$3:$B931))/STDEVA(X921:X931),"")</f>
        <v/>
      </c>
      <c r="AD931" s="84" t="str">
        <f>IF(T931&lt;&gt;"",(Y931-SUMPRODUCT(T$3:T931,$B$3:$B931)/SUM($B$3:$B931))/STDEVA(Y921:Y931),"")</f>
        <v/>
      </c>
      <c r="AE931" s="84" t="str">
        <f>IF(U931&lt;&gt;"",(Z931-SUMPRODUCT(U$3:U931,$B$3:$B931)/SUM($B$3:$B931))/STDEVA(Z921:Z931),"")</f>
        <v/>
      </c>
      <c r="AF931" s="85" t="str">
        <f>IF(V931&lt;&gt;"",(AA931-SUMPRODUCT(V$3:V931,$B$3:$B931)/SUM($B$3:$B931))/STDEVA(AA921:AA931),"")</f>
        <v/>
      </c>
      <c r="AG931" s="90" t="str">
        <f t="shared" si="380"/>
        <v/>
      </c>
      <c r="AH931" s="90" t="str">
        <f t="shared" si="380"/>
        <v/>
      </c>
      <c r="AI931" s="90" t="str">
        <f t="shared" si="380"/>
        <v/>
      </c>
      <c r="AJ931" s="90" t="str">
        <f t="shared" si="379"/>
        <v/>
      </c>
      <c r="AK931" s="93" t="str">
        <f t="shared" si="379"/>
        <v/>
      </c>
      <c r="BQ931" s="100" t="str">
        <f>IF(A931&lt;&gt;"",(VLOOKUP(A931,MarketData!$D:$BP,MATCH($BQ$1,MarketData!$D$1:$EG$1,0),TRUE)/100/365+1)^(B931)*BQ930,"")</f>
        <v/>
      </c>
      <c r="BR931" s="98" t="str">
        <f t="shared" si="357"/>
        <v/>
      </c>
      <c r="BS931" s="106" t="str">
        <f>IF(A931&lt;&gt;"",VLOOKUP(A931,MarketData!$D:$BP,MATCH($BS$1,MarketData!$D$1:$EG$1,0),TRUE),"")</f>
        <v/>
      </c>
      <c r="BT931" s="98" t="str">
        <f t="shared" si="368"/>
        <v/>
      </c>
    </row>
    <row r="932" spans="2:72" x14ac:dyDescent="0.25">
      <c r="B932" s="60" t="str">
        <f t="shared" si="381"/>
        <v/>
      </c>
      <c r="C932" s="3" t="str">
        <f t="shared" si="358"/>
        <v/>
      </c>
      <c r="D932" s="3" t="str">
        <f t="shared" si="359"/>
        <v/>
      </c>
      <c r="E932" s="3" t="str">
        <f t="shared" si="360"/>
        <v/>
      </c>
      <c r="F932" s="3" t="str">
        <f t="shared" si="361"/>
        <v/>
      </c>
      <c r="G932" s="74" t="str">
        <f t="shared" si="362"/>
        <v/>
      </c>
      <c r="H932" s="78" t="str">
        <f>IFERROR(C932/SUM(M$2:M931),"")</f>
        <v/>
      </c>
      <c r="I932" s="61" t="str">
        <f>IFERROR(D932/SUM(N$2:N932),"")</f>
        <v/>
      </c>
      <c r="J932" s="61" t="str">
        <f>IFERROR(E932/SUM(O$2:O932),"")</f>
        <v/>
      </c>
      <c r="K932" s="61" t="str">
        <f>IFERROR(F932/SUM(P$2:P932),"")</f>
        <v/>
      </c>
      <c r="L932" s="79" t="str">
        <f>IFERROR(G932/SUM(Q$2:Q932),"")</f>
        <v/>
      </c>
      <c r="M932" s="64" t="str">
        <f t="shared" si="363"/>
        <v/>
      </c>
      <c r="N932" s="55" t="str">
        <f t="shared" si="364"/>
        <v/>
      </c>
      <c r="O932" s="55" t="str">
        <f t="shared" si="365"/>
        <v/>
      </c>
      <c r="P932" s="55" t="str">
        <f t="shared" si="366"/>
        <v/>
      </c>
      <c r="Q932" s="65" t="str">
        <f t="shared" si="367"/>
        <v/>
      </c>
      <c r="R932" s="67" t="str">
        <f t="shared" si="369"/>
        <v/>
      </c>
      <c r="S932" s="56" t="str">
        <f t="shared" si="370"/>
        <v/>
      </c>
      <c r="T932" s="56" t="str">
        <f t="shared" si="371"/>
        <v/>
      </c>
      <c r="U932" s="56" t="str">
        <f t="shared" si="372"/>
        <v/>
      </c>
      <c r="V932" s="68" t="str">
        <f t="shared" si="373"/>
        <v/>
      </c>
      <c r="W932" s="80" t="str">
        <f t="shared" si="374"/>
        <v/>
      </c>
      <c r="X932" s="81" t="str">
        <f t="shared" si="375"/>
        <v/>
      </c>
      <c r="Y932" s="81" t="str">
        <f t="shared" si="376"/>
        <v/>
      </c>
      <c r="Z932" s="81" t="str">
        <f t="shared" si="377"/>
        <v/>
      </c>
      <c r="AA932" s="82" t="str">
        <f t="shared" si="378"/>
        <v/>
      </c>
      <c r="AB932" s="83" t="str">
        <f>IF(R932&lt;&gt;"",(W932-SUMPRODUCT(R$3:R932,$B$3:$B932)/SUM($B$3:$B932))/STDEVA(W922:W932),"")</f>
        <v/>
      </c>
      <c r="AC932" s="84" t="str">
        <f>IF(S932&lt;&gt;"",(X932-SUMPRODUCT(S$3:S932,$B$3:$B932)/SUM($B$3:$B932))/STDEVA(X922:X932),"")</f>
        <v/>
      </c>
      <c r="AD932" s="84" t="str">
        <f>IF(T932&lt;&gt;"",(Y932-SUMPRODUCT(T$3:T932,$B$3:$B932)/SUM($B$3:$B932))/STDEVA(Y922:Y932),"")</f>
        <v/>
      </c>
      <c r="AE932" s="84" t="str">
        <f>IF(U932&lt;&gt;"",(Z932-SUMPRODUCT(U$3:U932,$B$3:$B932)/SUM($B$3:$B932))/STDEVA(Z922:Z932),"")</f>
        <v/>
      </c>
      <c r="AF932" s="85" t="str">
        <f>IF(V932&lt;&gt;"",(AA932-SUMPRODUCT(V$3:V932,$B$3:$B932)/SUM($B$3:$B932))/STDEVA(AA922:AA932),"")</f>
        <v/>
      </c>
      <c r="AG932" s="90" t="str">
        <f t="shared" si="380"/>
        <v/>
      </c>
      <c r="AH932" s="90" t="str">
        <f t="shared" si="380"/>
        <v/>
      </c>
      <c r="AI932" s="90" t="str">
        <f t="shared" si="380"/>
        <v/>
      </c>
      <c r="AJ932" s="90" t="str">
        <f t="shared" si="379"/>
        <v/>
      </c>
      <c r="AK932" s="93" t="str">
        <f t="shared" si="379"/>
        <v/>
      </c>
      <c r="BQ932" s="100" t="str">
        <f>IF(A932&lt;&gt;"",(VLOOKUP(A932,MarketData!$D:$BP,MATCH($BQ$1,MarketData!$D$1:$EG$1,0),TRUE)/100/365+1)^(B932)*BQ931,"")</f>
        <v/>
      </c>
      <c r="BR932" s="98" t="str">
        <f t="shared" si="357"/>
        <v/>
      </c>
      <c r="BS932" s="106" t="str">
        <f>IF(A932&lt;&gt;"",VLOOKUP(A932,MarketData!$D:$BP,MATCH($BS$1,MarketData!$D$1:$EG$1,0),TRUE),"")</f>
        <v/>
      </c>
      <c r="BT932" s="98" t="str">
        <f t="shared" si="368"/>
        <v/>
      </c>
    </row>
    <row r="933" spans="2:72" x14ac:dyDescent="0.25">
      <c r="B933" s="60" t="str">
        <f t="shared" si="381"/>
        <v/>
      </c>
      <c r="C933" s="3" t="str">
        <f t="shared" si="358"/>
        <v/>
      </c>
      <c r="D933" s="3" t="str">
        <f t="shared" si="359"/>
        <v/>
      </c>
      <c r="E933" s="3" t="str">
        <f t="shared" si="360"/>
        <v/>
      </c>
      <c r="F933" s="3" t="str">
        <f t="shared" si="361"/>
        <v/>
      </c>
      <c r="G933" s="74" t="str">
        <f t="shared" si="362"/>
        <v/>
      </c>
      <c r="H933" s="78" t="str">
        <f>IFERROR(C933/SUM(M$2:M932),"")</f>
        <v/>
      </c>
      <c r="I933" s="61" t="str">
        <f>IFERROR(D933/SUM(N$2:N933),"")</f>
        <v/>
      </c>
      <c r="J933" s="61" t="str">
        <f>IFERROR(E933/SUM(O$2:O933),"")</f>
        <v/>
      </c>
      <c r="K933" s="61" t="str">
        <f>IFERROR(F933/SUM(P$2:P933),"")</f>
        <v/>
      </c>
      <c r="L933" s="79" t="str">
        <f>IFERROR(G933/SUM(Q$2:Q933),"")</f>
        <v/>
      </c>
      <c r="M933" s="64" t="str">
        <f t="shared" si="363"/>
        <v/>
      </c>
      <c r="N933" s="55" t="str">
        <f t="shared" si="364"/>
        <v/>
      </c>
      <c r="O933" s="55" t="str">
        <f t="shared" si="365"/>
        <v/>
      </c>
      <c r="P933" s="55" t="str">
        <f t="shared" si="366"/>
        <v/>
      </c>
      <c r="Q933" s="65" t="str">
        <f t="shared" si="367"/>
        <v/>
      </c>
      <c r="R933" s="67" t="str">
        <f t="shared" si="369"/>
        <v/>
      </c>
      <c r="S933" s="56" t="str">
        <f t="shared" si="370"/>
        <v/>
      </c>
      <c r="T933" s="56" t="str">
        <f t="shared" si="371"/>
        <v/>
      </c>
      <c r="U933" s="56" t="str">
        <f t="shared" si="372"/>
        <v/>
      </c>
      <c r="V933" s="68" t="str">
        <f t="shared" si="373"/>
        <v/>
      </c>
      <c r="W933" s="80" t="str">
        <f t="shared" si="374"/>
        <v/>
      </c>
      <c r="X933" s="81" t="str">
        <f t="shared" si="375"/>
        <v/>
      </c>
      <c r="Y933" s="81" t="str">
        <f t="shared" si="376"/>
        <v/>
      </c>
      <c r="Z933" s="81" t="str">
        <f t="shared" si="377"/>
        <v/>
      </c>
      <c r="AA933" s="82" t="str">
        <f t="shared" si="378"/>
        <v/>
      </c>
      <c r="AB933" s="83" t="str">
        <f>IF(R933&lt;&gt;"",(W933-SUMPRODUCT(R$3:R933,$B$3:$B933)/SUM($B$3:$B933))/STDEVA(W923:W933),"")</f>
        <v/>
      </c>
      <c r="AC933" s="84" t="str">
        <f>IF(S933&lt;&gt;"",(X933-SUMPRODUCT(S$3:S933,$B$3:$B933)/SUM($B$3:$B933))/STDEVA(X923:X933),"")</f>
        <v/>
      </c>
      <c r="AD933" s="84" t="str">
        <f>IF(T933&lt;&gt;"",(Y933-SUMPRODUCT(T$3:T933,$B$3:$B933)/SUM($B$3:$B933))/STDEVA(Y923:Y933),"")</f>
        <v/>
      </c>
      <c r="AE933" s="84" t="str">
        <f>IF(U933&lt;&gt;"",(Z933-SUMPRODUCT(U$3:U933,$B$3:$B933)/SUM($B$3:$B933))/STDEVA(Z923:Z933),"")</f>
        <v/>
      </c>
      <c r="AF933" s="85" t="str">
        <f>IF(V933&lt;&gt;"",(AA933-SUMPRODUCT(V$3:V933,$B$3:$B933)/SUM($B$3:$B933))/STDEVA(AA923:AA933),"")</f>
        <v/>
      </c>
      <c r="AG933" s="90" t="str">
        <f t="shared" si="380"/>
        <v/>
      </c>
      <c r="AH933" s="90" t="str">
        <f t="shared" si="380"/>
        <v/>
      </c>
      <c r="AI933" s="90" t="str">
        <f t="shared" si="380"/>
        <v/>
      </c>
      <c r="AJ933" s="90" t="str">
        <f t="shared" si="379"/>
        <v/>
      </c>
      <c r="AK933" s="93" t="str">
        <f t="shared" si="379"/>
        <v/>
      </c>
      <c r="BQ933" s="100" t="str">
        <f>IF(A933&lt;&gt;"",(VLOOKUP(A933,MarketData!$D:$BP,MATCH($BQ$1,MarketData!$D$1:$EG$1,0),TRUE)/100/365+1)^(B933)*BQ932,"")</f>
        <v/>
      </c>
      <c r="BR933" s="98" t="str">
        <f t="shared" si="357"/>
        <v/>
      </c>
      <c r="BS933" s="106" t="str">
        <f>IF(A933&lt;&gt;"",VLOOKUP(A933,MarketData!$D:$BP,MATCH($BS$1,MarketData!$D$1:$EG$1,0),TRUE),"")</f>
        <v/>
      </c>
      <c r="BT933" s="98" t="str">
        <f t="shared" si="368"/>
        <v/>
      </c>
    </row>
    <row r="934" spans="2:72" x14ac:dyDescent="0.25">
      <c r="B934" s="60" t="str">
        <f t="shared" si="381"/>
        <v/>
      </c>
      <c r="C934" s="3" t="str">
        <f t="shared" si="358"/>
        <v/>
      </c>
      <c r="D934" s="3" t="str">
        <f t="shared" si="359"/>
        <v/>
      </c>
      <c r="E934" s="3" t="str">
        <f t="shared" si="360"/>
        <v/>
      </c>
      <c r="F934" s="3" t="str">
        <f t="shared" si="361"/>
        <v/>
      </c>
      <c r="G934" s="74" t="str">
        <f t="shared" si="362"/>
        <v/>
      </c>
      <c r="H934" s="78" t="str">
        <f>IFERROR(C934/SUM(M$2:M933),"")</f>
        <v/>
      </c>
      <c r="I934" s="61" t="str">
        <f>IFERROR(D934/SUM(N$2:N934),"")</f>
        <v/>
      </c>
      <c r="J934" s="61" t="str">
        <f>IFERROR(E934/SUM(O$2:O934),"")</f>
        <v/>
      </c>
      <c r="K934" s="61" t="str">
        <f>IFERROR(F934/SUM(P$2:P934),"")</f>
        <v/>
      </c>
      <c r="L934" s="79" t="str">
        <f>IFERROR(G934/SUM(Q$2:Q934),"")</f>
        <v/>
      </c>
      <c r="M934" s="64" t="str">
        <f t="shared" si="363"/>
        <v/>
      </c>
      <c r="N934" s="55" t="str">
        <f t="shared" si="364"/>
        <v/>
      </c>
      <c r="O934" s="55" t="str">
        <f t="shared" si="365"/>
        <v/>
      </c>
      <c r="P934" s="55" t="str">
        <f t="shared" si="366"/>
        <v/>
      </c>
      <c r="Q934" s="65" t="str">
        <f t="shared" si="367"/>
        <v/>
      </c>
      <c r="R934" s="67" t="str">
        <f t="shared" si="369"/>
        <v/>
      </c>
      <c r="S934" s="56" t="str">
        <f t="shared" si="370"/>
        <v/>
      </c>
      <c r="T934" s="56" t="str">
        <f t="shared" si="371"/>
        <v/>
      </c>
      <c r="U934" s="56" t="str">
        <f t="shared" si="372"/>
        <v/>
      </c>
      <c r="V934" s="68" t="str">
        <f t="shared" si="373"/>
        <v/>
      </c>
      <c r="W934" s="80" t="str">
        <f t="shared" si="374"/>
        <v/>
      </c>
      <c r="X934" s="81" t="str">
        <f t="shared" si="375"/>
        <v/>
      </c>
      <c r="Y934" s="81" t="str">
        <f t="shared" si="376"/>
        <v/>
      </c>
      <c r="Z934" s="81" t="str">
        <f t="shared" si="377"/>
        <v/>
      </c>
      <c r="AA934" s="82" t="str">
        <f t="shared" si="378"/>
        <v/>
      </c>
      <c r="AB934" s="83" t="str">
        <f>IF(R934&lt;&gt;"",(W934-SUMPRODUCT(R$3:R934,$B$3:$B934)/SUM($B$3:$B934))/STDEVA(W924:W934),"")</f>
        <v/>
      </c>
      <c r="AC934" s="84" t="str">
        <f>IF(S934&lt;&gt;"",(X934-SUMPRODUCT(S$3:S934,$B$3:$B934)/SUM($B$3:$B934))/STDEVA(X924:X934),"")</f>
        <v/>
      </c>
      <c r="AD934" s="84" t="str">
        <f>IF(T934&lt;&gt;"",(Y934-SUMPRODUCT(T$3:T934,$B$3:$B934)/SUM($B$3:$B934))/STDEVA(Y924:Y934),"")</f>
        <v/>
      </c>
      <c r="AE934" s="84" t="str">
        <f>IF(U934&lt;&gt;"",(Z934-SUMPRODUCT(U$3:U934,$B$3:$B934)/SUM($B$3:$B934))/STDEVA(Z924:Z934),"")</f>
        <v/>
      </c>
      <c r="AF934" s="85" t="str">
        <f>IF(V934&lt;&gt;"",(AA934-SUMPRODUCT(V$3:V934,$B$3:$B934)/SUM($B$3:$B934))/STDEVA(AA924:AA934),"")</f>
        <v/>
      </c>
      <c r="AG934" s="90" t="str">
        <f t="shared" si="380"/>
        <v/>
      </c>
      <c r="AH934" s="90" t="str">
        <f t="shared" si="380"/>
        <v/>
      </c>
      <c r="AI934" s="90" t="str">
        <f t="shared" si="380"/>
        <v/>
      </c>
      <c r="AJ934" s="90" t="str">
        <f t="shared" si="379"/>
        <v/>
      </c>
      <c r="AK934" s="93" t="str">
        <f t="shared" si="379"/>
        <v/>
      </c>
      <c r="BQ934" s="100" t="str">
        <f>IF(A934&lt;&gt;"",(VLOOKUP(A934,MarketData!$D:$BP,MATCH($BQ$1,MarketData!$D$1:$EG$1,0),TRUE)/100/365+1)^(B934)*BQ933,"")</f>
        <v/>
      </c>
      <c r="BR934" s="98" t="str">
        <f t="shared" si="357"/>
        <v/>
      </c>
      <c r="BS934" s="106" t="str">
        <f>IF(A934&lt;&gt;"",VLOOKUP(A934,MarketData!$D:$BP,MATCH($BS$1,MarketData!$D$1:$EG$1,0),TRUE),"")</f>
        <v/>
      </c>
      <c r="BT934" s="98" t="str">
        <f t="shared" si="368"/>
        <v/>
      </c>
    </row>
    <row r="935" spans="2:72" x14ac:dyDescent="0.25">
      <c r="B935" s="60" t="str">
        <f t="shared" si="381"/>
        <v/>
      </c>
      <c r="C935" s="3" t="str">
        <f t="shared" si="358"/>
        <v/>
      </c>
      <c r="D935" s="3" t="str">
        <f t="shared" si="359"/>
        <v/>
      </c>
      <c r="E935" s="3" t="str">
        <f t="shared" si="360"/>
        <v/>
      </c>
      <c r="F935" s="3" t="str">
        <f t="shared" si="361"/>
        <v/>
      </c>
      <c r="G935" s="74" t="str">
        <f t="shared" si="362"/>
        <v/>
      </c>
      <c r="H935" s="78" t="str">
        <f>IFERROR(C935/SUM(M$2:M934),"")</f>
        <v/>
      </c>
      <c r="I935" s="61" t="str">
        <f>IFERROR(D935/SUM(N$2:N935),"")</f>
        <v/>
      </c>
      <c r="J935" s="61" t="str">
        <f>IFERROR(E935/SUM(O$2:O935),"")</f>
        <v/>
      </c>
      <c r="K935" s="61" t="str">
        <f>IFERROR(F935/SUM(P$2:P935),"")</f>
        <v/>
      </c>
      <c r="L935" s="79" t="str">
        <f>IFERROR(G935/SUM(Q$2:Q935),"")</f>
        <v/>
      </c>
      <c r="M935" s="64" t="str">
        <f t="shared" si="363"/>
        <v/>
      </c>
      <c r="N935" s="55" t="str">
        <f t="shared" si="364"/>
        <v/>
      </c>
      <c r="O935" s="55" t="str">
        <f t="shared" si="365"/>
        <v/>
      </c>
      <c r="P935" s="55" t="str">
        <f t="shared" si="366"/>
        <v/>
      </c>
      <c r="Q935" s="65" t="str">
        <f t="shared" si="367"/>
        <v/>
      </c>
      <c r="R935" s="67" t="str">
        <f t="shared" si="369"/>
        <v/>
      </c>
      <c r="S935" s="56" t="str">
        <f t="shared" si="370"/>
        <v/>
      </c>
      <c r="T935" s="56" t="str">
        <f t="shared" si="371"/>
        <v/>
      </c>
      <c r="U935" s="56" t="str">
        <f t="shared" si="372"/>
        <v/>
      </c>
      <c r="V935" s="68" t="str">
        <f t="shared" si="373"/>
        <v/>
      </c>
      <c r="W935" s="80" t="str">
        <f t="shared" si="374"/>
        <v/>
      </c>
      <c r="X935" s="81" t="str">
        <f t="shared" si="375"/>
        <v/>
      </c>
      <c r="Y935" s="81" t="str">
        <f t="shared" si="376"/>
        <v/>
      </c>
      <c r="Z935" s="81" t="str">
        <f t="shared" si="377"/>
        <v/>
      </c>
      <c r="AA935" s="82" t="str">
        <f t="shared" si="378"/>
        <v/>
      </c>
      <c r="AB935" s="83" t="str">
        <f>IF(R935&lt;&gt;"",(W935-SUMPRODUCT(R$3:R935,$B$3:$B935)/SUM($B$3:$B935))/STDEVA(W925:W935),"")</f>
        <v/>
      </c>
      <c r="AC935" s="84" t="str">
        <f>IF(S935&lt;&gt;"",(X935-SUMPRODUCT(S$3:S935,$B$3:$B935)/SUM($B$3:$B935))/STDEVA(X925:X935),"")</f>
        <v/>
      </c>
      <c r="AD935" s="84" t="str">
        <f>IF(T935&lt;&gt;"",(Y935-SUMPRODUCT(T$3:T935,$B$3:$B935)/SUM($B$3:$B935))/STDEVA(Y925:Y935),"")</f>
        <v/>
      </c>
      <c r="AE935" s="84" t="str">
        <f>IF(U935&lt;&gt;"",(Z935-SUMPRODUCT(U$3:U935,$B$3:$B935)/SUM($B$3:$B935))/STDEVA(Z925:Z935),"")</f>
        <v/>
      </c>
      <c r="AF935" s="85" t="str">
        <f>IF(V935&lt;&gt;"",(AA935-SUMPRODUCT(V$3:V935,$B$3:$B935)/SUM($B$3:$B935))/STDEVA(AA925:AA935),"")</f>
        <v/>
      </c>
      <c r="AG935" s="90" t="str">
        <f t="shared" si="380"/>
        <v/>
      </c>
      <c r="AH935" s="90" t="str">
        <f t="shared" si="380"/>
        <v/>
      </c>
      <c r="AI935" s="90" t="str">
        <f t="shared" si="380"/>
        <v/>
      </c>
      <c r="AJ935" s="90" t="str">
        <f t="shared" si="379"/>
        <v/>
      </c>
      <c r="AK935" s="93" t="str">
        <f t="shared" si="379"/>
        <v/>
      </c>
      <c r="BQ935" s="100" t="str">
        <f>IF(A935&lt;&gt;"",(VLOOKUP(A935,MarketData!$D:$BP,MATCH($BQ$1,MarketData!$D$1:$EG$1,0),TRUE)/100/365+1)^(B935)*BQ934,"")</f>
        <v/>
      </c>
      <c r="BR935" s="98" t="str">
        <f t="shared" si="357"/>
        <v/>
      </c>
      <c r="BS935" s="106" t="str">
        <f>IF(A935&lt;&gt;"",VLOOKUP(A935,MarketData!$D:$BP,MATCH($BS$1,MarketData!$D$1:$EG$1,0),TRUE),"")</f>
        <v/>
      </c>
      <c r="BT935" s="98" t="str">
        <f t="shared" si="368"/>
        <v/>
      </c>
    </row>
    <row r="936" spans="2:72" x14ac:dyDescent="0.25">
      <c r="B936" s="60" t="str">
        <f t="shared" si="381"/>
        <v/>
      </c>
      <c r="C936" s="3" t="str">
        <f t="shared" si="358"/>
        <v/>
      </c>
      <c r="D936" s="3" t="str">
        <f t="shared" si="359"/>
        <v/>
      </c>
      <c r="E936" s="3" t="str">
        <f t="shared" si="360"/>
        <v/>
      </c>
      <c r="F936" s="3" t="str">
        <f t="shared" si="361"/>
        <v/>
      </c>
      <c r="G936" s="74" t="str">
        <f t="shared" si="362"/>
        <v/>
      </c>
      <c r="H936" s="78" t="str">
        <f>IFERROR(C936/SUM(M$2:M935),"")</f>
        <v/>
      </c>
      <c r="I936" s="61" t="str">
        <f>IFERROR(D936/SUM(N$2:N936),"")</f>
        <v/>
      </c>
      <c r="J936" s="61" t="str">
        <f>IFERROR(E936/SUM(O$2:O936),"")</f>
        <v/>
      </c>
      <c r="K936" s="61" t="str">
        <f>IFERROR(F936/SUM(P$2:P936),"")</f>
        <v/>
      </c>
      <c r="L936" s="79" t="str">
        <f>IFERROR(G936/SUM(Q$2:Q936),"")</f>
        <v/>
      </c>
      <c r="M936" s="64" t="str">
        <f t="shared" si="363"/>
        <v/>
      </c>
      <c r="N936" s="55" t="str">
        <f t="shared" si="364"/>
        <v/>
      </c>
      <c r="O936" s="55" t="str">
        <f t="shared" si="365"/>
        <v/>
      </c>
      <c r="P936" s="55" t="str">
        <f t="shared" si="366"/>
        <v/>
      </c>
      <c r="Q936" s="65" t="str">
        <f t="shared" si="367"/>
        <v/>
      </c>
      <c r="R936" s="67" t="str">
        <f t="shared" si="369"/>
        <v/>
      </c>
      <c r="S936" s="56" t="str">
        <f t="shared" si="370"/>
        <v/>
      </c>
      <c r="T936" s="56" t="str">
        <f t="shared" si="371"/>
        <v/>
      </c>
      <c r="U936" s="56" t="str">
        <f t="shared" si="372"/>
        <v/>
      </c>
      <c r="V936" s="68" t="str">
        <f t="shared" si="373"/>
        <v/>
      </c>
      <c r="W936" s="80" t="str">
        <f t="shared" si="374"/>
        <v/>
      </c>
      <c r="X936" s="81" t="str">
        <f t="shared" si="375"/>
        <v/>
      </c>
      <c r="Y936" s="81" t="str">
        <f t="shared" si="376"/>
        <v/>
      </c>
      <c r="Z936" s="81" t="str">
        <f t="shared" si="377"/>
        <v/>
      </c>
      <c r="AA936" s="82" t="str">
        <f t="shared" si="378"/>
        <v/>
      </c>
      <c r="AB936" s="83" t="str">
        <f>IF(R936&lt;&gt;"",(W936-SUMPRODUCT(R$3:R936,$B$3:$B936)/SUM($B$3:$B936))/STDEVA(W926:W936),"")</f>
        <v/>
      </c>
      <c r="AC936" s="84" t="str">
        <f>IF(S936&lt;&gt;"",(X936-SUMPRODUCT(S$3:S936,$B$3:$B936)/SUM($B$3:$B936))/STDEVA(X926:X936),"")</f>
        <v/>
      </c>
      <c r="AD936" s="84" t="str">
        <f>IF(T936&lt;&gt;"",(Y936-SUMPRODUCT(T$3:T936,$B$3:$B936)/SUM($B$3:$B936))/STDEVA(Y926:Y936),"")</f>
        <v/>
      </c>
      <c r="AE936" s="84" t="str">
        <f>IF(U936&lt;&gt;"",(Z936-SUMPRODUCT(U$3:U936,$B$3:$B936)/SUM($B$3:$B936))/STDEVA(Z926:Z936),"")</f>
        <v/>
      </c>
      <c r="AF936" s="85" t="str">
        <f>IF(V936&lt;&gt;"",(AA936-SUMPRODUCT(V$3:V936,$B$3:$B936)/SUM($B$3:$B936))/STDEVA(AA926:AA936),"")</f>
        <v/>
      </c>
      <c r="AG936" s="90" t="str">
        <f t="shared" si="380"/>
        <v/>
      </c>
      <c r="AH936" s="90" t="str">
        <f t="shared" si="380"/>
        <v/>
      </c>
      <c r="AI936" s="90" t="str">
        <f t="shared" si="380"/>
        <v/>
      </c>
      <c r="AJ936" s="90" t="str">
        <f t="shared" si="379"/>
        <v/>
      </c>
      <c r="AK936" s="93" t="str">
        <f t="shared" si="379"/>
        <v/>
      </c>
      <c r="BQ936" s="100" t="str">
        <f>IF(A936&lt;&gt;"",(VLOOKUP(A936,MarketData!$D:$BP,MATCH($BQ$1,MarketData!$D$1:$EG$1,0),TRUE)/100/365+1)^(B936)*BQ935,"")</f>
        <v/>
      </c>
      <c r="BR936" s="98" t="str">
        <f t="shared" si="357"/>
        <v/>
      </c>
      <c r="BS936" s="106" t="str">
        <f>IF(A936&lt;&gt;"",VLOOKUP(A936,MarketData!$D:$BP,MATCH($BS$1,MarketData!$D$1:$EG$1,0),TRUE),"")</f>
        <v/>
      </c>
      <c r="BT936" s="98" t="str">
        <f t="shared" si="368"/>
        <v/>
      </c>
    </row>
    <row r="937" spans="2:72" x14ac:dyDescent="0.25">
      <c r="B937" s="60" t="str">
        <f t="shared" si="381"/>
        <v/>
      </c>
      <c r="C937" s="3" t="str">
        <f t="shared" si="358"/>
        <v/>
      </c>
      <c r="D937" s="3" t="str">
        <f t="shared" si="359"/>
        <v/>
      </c>
      <c r="E937" s="3" t="str">
        <f t="shared" si="360"/>
        <v/>
      </c>
      <c r="F937" s="3" t="str">
        <f t="shared" si="361"/>
        <v/>
      </c>
      <c r="G937" s="74" t="str">
        <f t="shared" si="362"/>
        <v/>
      </c>
      <c r="H937" s="78" t="str">
        <f>IFERROR(C937/SUM(M$2:M936),"")</f>
        <v/>
      </c>
      <c r="I937" s="61" t="str">
        <f>IFERROR(D937/SUM(N$2:N937),"")</f>
        <v/>
      </c>
      <c r="J937" s="61" t="str">
        <f>IFERROR(E937/SUM(O$2:O937),"")</f>
        <v/>
      </c>
      <c r="K937" s="61" t="str">
        <f>IFERROR(F937/SUM(P$2:P937),"")</f>
        <v/>
      </c>
      <c r="L937" s="79" t="str">
        <f>IFERROR(G937/SUM(Q$2:Q937),"")</f>
        <v/>
      </c>
      <c r="M937" s="64" t="str">
        <f t="shared" si="363"/>
        <v/>
      </c>
      <c r="N937" s="55" t="str">
        <f t="shared" si="364"/>
        <v/>
      </c>
      <c r="O937" s="55" t="str">
        <f t="shared" si="365"/>
        <v/>
      </c>
      <c r="P937" s="55" t="str">
        <f t="shared" si="366"/>
        <v/>
      </c>
      <c r="Q937" s="65" t="str">
        <f t="shared" si="367"/>
        <v/>
      </c>
      <c r="R937" s="67" t="str">
        <f t="shared" si="369"/>
        <v/>
      </c>
      <c r="S937" s="56" t="str">
        <f t="shared" si="370"/>
        <v/>
      </c>
      <c r="T937" s="56" t="str">
        <f t="shared" si="371"/>
        <v/>
      </c>
      <c r="U937" s="56" t="str">
        <f t="shared" si="372"/>
        <v/>
      </c>
      <c r="V937" s="68" t="str">
        <f t="shared" si="373"/>
        <v/>
      </c>
      <c r="W937" s="80" t="str">
        <f t="shared" si="374"/>
        <v/>
      </c>
      <c r="X937" s="81" t="str">
        <f t="shared" si="375"/>
        <v/>
      </c>
      <c r="Y937" s="81" t="str">
        <f t="shared" si="376"/>
        <v/>
      </c>
      <c r="Z937" s="81" t="str">
        <f t="shared" si="377"/>
        <v/>
      </c>
      <c r="AA937" s="82" t="str">
        <f t="shared" si="378"/>
        <v/>
      </c>
      <c r="AB937" s="83" t="str">
        <f>IF(R937&lt;&gt;"",(W937-SUMPRODUCT(R$3:R937,$B$3:$B937)/SUM($B$3:$B937))/STDEVA(W927:W937),"")</f>
        <v/>
      </c>
      <c r="AC937" s="84" t="str">
        <f>IF(S937&lt;&gt;"",(X937-SUMPRODUCT(S$3:S937,$B$3:$B937)/SUM($B$3:$B937))/STDEVA(X927:X937),"")</f>
        <v/>
      </c>
      <c r="AD937" s="84" t="str">
        <f>IF(T937&lt;&gt;"",(Y937-SUMPRODUCT(T$3:T937,$B$3:$B937)/SUM($B$3:$B937))/STDEVA(Y927:Y937),"")</f>
        <v/>
      </c>
      <c r="AE937" s="84" t="str">
        <f>IF(U937&lt;&gt;"",(Z937-SUMPRODUCT(U$3:U937,$B$3:$B937)/SUM($B$3:$B937))/STDEVA(Z927:Z937),"")</f>
        <v/>
      </c>
      <c r="AF937" s="85" t="str">
        <f>IF(V937&lt;&gt;"",(AA937-SUMPRODUCT(V$3:V937,$B$3:$B937)/SUM($B$3:$B937))/STDEVA(AA927:AA937),"")</f>
        <v/>
      </c>
      <c r="AG937" s="90" t="str">
        <f t="shared" si="380"/>
        <v/>
      </c>
      <c r="AH937" s="90" t="str">
        <f t="shared" si="380"/>
        <v/>
      </c>
      <c r="AI937" s="90" t="str">
        <f t="shared" si="380"/>
        <v/>
      </c>
      <c r="AJ937" s="90" t="str">
        <f t="shared" si="379"/>
        <v/>
      </c>
      <c r="AK937" s="93" t="str">
        <f t="shared" si="379"/>
        <v/>
      </c>
      <c r="BQ937" s="100" t="str">
        <f>IF(A937&lt;&gt;"",(VLOOKUP(A937,MarketData!$D:$BP,MATCH($BQ$1,MarketData!$D$1:$EG$1,0),TRUE)/100/365+1)^(B937)*BQ936,"")</f>
        <v/>
      </c>
      <c r="BR937" s="98" t="str">
        <f t="shared" si="357"/>
        <v/>
      </c>
      <c r="BS937" s="106" t="str">
        <f>IF(A937&lt;&gt;"",VLOOKUP(A937,MarketData!$D:$BP,MATCH($BS$1,MarketData!$D$1:$EG$1,0),TRUE),"")</f>
        <v/>
      </c>
      <c r="BT937" s="98" t="str">
        <f t="shared" si="368"/>
        <v/>
      </c>
    </row>
    <row r="938" spans="2:72" x14ac:dyDescent="0.25">
      <c r="B938" s="60" t="str">
        <f t="shared" si="381"/>
        <v/>
      </c>
      <c r="C938" s="3" t="str">
        <f t="shared" si="358"/>
        <v/>
      </c>
      <c r="D938" s="3" t="str">
        <f t="shared" si="359"/>
        <v/>
      </c>
      <c r="E938" s="3" t="str">
        <f t="shared" si="360"/>
        <v/>
      </c>
      <c r="F938" s="3" t="str">
        <f t="shared" si="361"/>
        <v/>
      </c>
      <c r="G938" s="74" t="str">
        <f t="shared" si="362"/>
        <v/>
      </c>
      <c r="H938" s="78" t="str">
        <f>IFERROR(C938/SUM(M$2:M937),"")</f>
        <v/>
      </c>
      <c r="I938" s="61" t="str">
        <f>IFERROR(D938/SUM(N$2:N938),"")</f>
        <v/>
      </c>
      <c r="J938" s="61" t="str">
        <f>IFERROR(E938/SUM(O$2:O938),"")</f>
        <v/>
      </c>
      <c r="K938" s="61" t="str">
        <f>IFERROR(F938/SUM(P$2:P938),"")</f>
        <v/>
      </c>
      <c r="L938" s="79" t="str">
        <f>IFERROR(G938/SUM(Q$2:Q938),"")</f>
        <v/>
      </c>
      <c r="M938" s="64" t="str">
        <f t="shared" si="363"/>
        <v/>
      </c>
      <c r="N938" s="55" t="str">
        <f t="shared" si="364"/>
        <v/>
      </c>
      <c r="O938" s="55" t="str">
        <f t="shared" si="365"/>
        <v/>
      </c>
      <c r="P938" s="55" t="str">
        <f t="shared" si="366"/>
        <v/>
      </c>
      <c r="Q938" s="65" t="str">
        <f t="shared" si="367"/>
        <v/>
      </c>
      <c r="R938" s="67" t="str">
        <f t="shared" si="369"/>
        <v/>
      </c>
      <c r="S938" s="56" t="str">
        <f t="shared" si="370"/>
        <v/>
      </c>
      <c r="T938" s="56" t="str">
        <f t="shared" si="371"/>
        <v/>
      </c>
      <c r="U938" s="56" t="str">
        <f t="shared" si="372"/>
        <v/>
      </c>
      <c r="V938" s="68" t="str">
        <f t="shared" si="373"/>
        <v/>
      </c>
      <c r="W938" s="80" t="str">
        <f t="shared" si="374"/>
        <v/>
      </c>
      <c r="X938" s="81" t="str">
        <f t="shared" si="375"/>
        <v/>
      </c>
      <c r="Y938" s="81" t="str">
        <f t="shared" si="376"/>
        <v/>
      </c>
      <c r="Z938" s="81" t="str">
        <f t="shared" si="377"/>
        <v/>
      </c>
      <c r="AA938" s="82" t="str">
        <f t="shared" si="378"/>
        <v/>
      </c>
      <c r="AB938" s="83" t="str">
        <f>IF(R938&lt;&gt;"",(W938-SUMPRODUCT(R$3:R938,$B$3:$B938)/SUM($B$3:$B938))/STDEVA(W928:W938),"")</f>
        <v/>
      </c>
      <c r="AC938" s="84" t="str">
        <f>IF(S938&lt;&gt;"",(X938-SUMPRODUCT(S$3:S938,$B$3:$B938)/SUM($B$3:$B938))/STDEVA(X928:X938),"")</f>
        <v/>
      </c>
      <c r="AD938" s="84" t="str">
        <f>IF(T938&lt;&gt;"",(Y938-SUMPRODUCT(T$3:T938,$B$3:$B938)/SUM($B$3:$B938))/STDEVA(Y928:Y938),"")</f>
        <v/>
      </c>
      <c r="AE938" s="84" t="str">
        <f>IF(U938&lt;&gt;"",(Z938-SUMPRODUCT(U$3:U938,$B$3:$B938)/SUM($B$3:$B938))/STDEVA(Z928:Z938),"")</f>
        <v/>
      </c>
      <c r="AF938" s="85" t="str">
        <f>IF(V938&lt;&gt;"",(AA938-SUMPRODUCT(V$3:V938,$B$3:$B938)/SUM($B$3:$B938))/STDEVA(AA928:AA938),"")</f>
        <v/>
      </c>
      <c r="AG938" s="90" t="str">
        <f t="shared" si="380"/>
        <v/>
      </c>
      <c r="AH938" s="90" t="str">
        <f t="shared" si="380"/>
        <v/>
      </c>
      <c r="AI938" s="90" t="str">
        <f t="shared" si="380"/>
        <v/>
      </c>
      <c r="AJ938" s="90" t="str">
        <f t="shared" si="379"/>
        <v/>
      </c>
      <c r="AK938" s="93" t="str">
        <f t="shared" si="379"/>
        <v/>
      </c>
      <c r="BQ938" s="100" t="str">
        <f>IF(A938&lt;&gt;"",(VLOOKUP(A938,MarketData!$D:$BP,MATCH($BQ$1,MarketData!$D$1:$EG$1,0),TRUE)/100/365+1)^(B938)*BQ937,"")</f>
        <v/>
      </c>
      <c r="BR938" s="98" t="str">
        <f t="shared" si="357"/>
        <v/>
      </c>
      <c r="BS938" s="106" t="str">
        <f>IF(A938&lt;&gt;"",VLOOKUP(A938,MarketData!$D:$BP,MATCH($BS$1,MarketData!$D$1:$EG$1,0),TRUE),"")</f>
        <v/>
      </c>
      <c r="BT938" s="98" t="str">
        <f t="shared" si="368"/>
        <v/>
      </c>
    </row>
    <row r="939" spans="2:72" x14ac:dyDescent="0.25">
      <c r="B939" s="60" t="str">
        <f t="shared" si="381"/>
        <v/>
      </c>
      <c r="C939" s="3" t="str">
        <f t="shared" si="358"/>
        <v/>
      </c>
      <c r="D939" s="3" t="str">
        <f t="shared" si="359"/>
        <v/>
      </c>
      <c r="E939" s="3" t="str">
        <f t="shared" si="360"/>
        <v/>
      </c>
      <c r="F939" s="3" t="str">
        <f t="shared" si="361"/>
        <v/>
      </c>
      <c r="G939" s="74" t="str">
        <f t="shared" si="362"/>
        <v/>
      </c>
      <c r="H939" s="78" t="str">
        <f>IFERROR(C939/SUM(M$2:M938),"")</f>
        <v/>
      </c>
      <c r="I939" s="61" t="str">
        <f>IFERROR(D939/SUM(N$2:N939),"")</f>
        <v/>
      </c>
      <c r="J939" s="61" t="str">
        <f>IFERROR(E939/SUM(O$2:O939),"")</f>
        <v/>
      </c>
      <c r="K939" s="61" t="str">
        <f>IFERROR(F939/SUM(P$2:P939),"")</f>
        <v/>
      </c>
      <c r="L939" s="79" t="str">
        <f>IFERROR(G939/SUM(Q$2:Q939),"")</f>
        <v/>
      </c>
      <c r="M939" s="64" t="str">
        <f t="shared" si="363"/>
        <v/>
      </c>
      <c r="N939" s="55" t="str">
        <f t="shared" si="364"/>
        <v/>
      </c>
      <c r="O939" s="55" t="str">
        <f t="shared" si="365"/>
        <v/>
      </c>
      <c r="P939" s="55" t="str">
        <f t="shared" si="366"/>
        <v/>
      </c>
      <c r="Q939" s="65" t="str">
        <f t="shared" si="367"/>
        <v/>
      </c>
      <c r="R939" s="67" t="str">
        <f t="shared" si="369"/>
        <v/>
      </c>
      <c r="S939" s="56" t="str">
        <f t="shared" si="370"/>
        <v/>
      </c>
      <c r="T939" s="56" t="str">
        <f t="shared" si="371"/>
        <v/>
      </c>
      <c r="U939" s="56" t="str">
        <f t="shared" si="372"/>
        <v/>
      </c>
      <c r="V939" s="68" t="str">
        <f t="shared" si="373"/>
        <v/>
      </c>
      <c r="W939" s="80" t="str">
        <f t="shared" si="374"/>
        <v/>
      </c>
      <c r="X939" s="81" t="str">
        <f t="shared" si="375"/>
        <v/>
      </c>
      <c r="Y939" s="81" t="str">
        <f t="shared" si="376"/>
        <v/>
      </c>
      <c r="Z939" s="81" t="str">
        <f t="shared" si="377"/>
        <v/>
      </c>
      <c r="AA939" s="82" t="str">
        <f t="shared" si="378"/>
        <v/>
      </c>
      <c r="AB939" s="83" t="str">
        <f>IF(R939&lt;&gt;"",(W939-SUMPRODUCT(R$3:R939,$B$3:$B939)/SUM($B$3:$B939))/STDEVA(W929:W939),"")</f>
        <v/>
      </c>
      <c r="AC939" s="84" t="str">
        <f>IF(S939&lt;&gt;"",(X939-SUMPRODUCT(S$3:S939,$B$3:$B939)/SUM($B$3:$B939))/STDEVA(X929:X939),"")</f>
        <v/>
      </c>
      <c r="AD939" s="84" t="str">
        <f>IF(T939&lt;&gt;"",(Y939-SUMPRODUCT(T$3:T939,$B$3:$B939)/SUM($B$3:$B939))/STDEVA(Y929:Y939),"")</f>
        <v/>
      </c>
      <c r="AE939" s="84" t="str">
        <f>IF(U939&lt;&gt;"",(Z939-SUMPRODUCT(U$3:U939,$B$3:$B939)/SUM($B$3:$B939))/STDEVA(Z929:Z939),"")</f>
        <v/>
      </c>
      <c r="AF939" s="85" t="str">
        <f>IF(V939&lt;&gt;"",(AA939-SUMPRODUCT(V$3:V939,$B$3:$B939)/SUM($B$3:$B939))/STDEVA(AA929:AA939),"")</f>
        <v/>
      </c>
      <c r="AG939" s="90" t="str">
        <f t="shared" si="380"/>
        <v/>
      </c>
      <c r="AH939" s="90" t="str">
        <f t="shared" si="380"/>
        <v/>
      </c>
      <c r="AI939" s="90" t="str">
        <f t="shared" si="380"/>
        <v/>
      </c>
      <c r="AJ939" s="90" t="str">
        <f t="shared" si="379"/>
        <v/>
      </c>
      <c r="AK939" s="93" t="str">
        <f t="shared" si="379"/>
        <v/>
      </c>
      <c r="BQ939" s="100" t="str">
        <f>IF(A939&lt;&gt;"",(VLOOKUP(A939,MarketData!$D:$BP,MATCH($BQ$1,MarketData!$D$1:$EG$1,0),TRUE)/100/365+1)^(B939)*BQ938,"")</f>
        <v/>
      </c>
      <c r="BR939" s="98" t="str">
        <f t="shared" si="357"/>
        <v/>
      </c>
      <c r="BS939" s="106" t="str">
        <f>IF(A939&lt;&gt;"",VLOOKUP(A939,MarketData!$D:$BP,MATCH($BS$1,MarketData!$D$1:$EG$1,0),TRUE),"")</f>
        <v/>
      </c>
      <c r="BT939" s="98" t="str">
        <f t="shared" si="368"/>
        <v/>
      </c>
    </row>
    <row r="940" spans="2:72" x14ac:dyDescent="0.25">
      <c r="B940" s="60" t="str">
        <f t="shared" si="381"/>
        <v/>
      </c>
      <c r="C940" s="3" t="str">
        <f t="shared" si="358"/>
        <v/>
      </c>
      <c r="D940" s="3" t="str">
        <f t="shared" si="359"/>
        <v/>
      </c>
      <c r="E940" s="3" t="str">
        <f t="shared" si="360"/>
        <v/>
      </c>
      <c r="F940" s="3" t="str">
        <f t="shared" si="361"/>
        <v/>
      </c>
      <c r="G940" s="74" t="str">
        <f t="shared" si="362"/>
        <v/>
      </c>
      <c r="H940" s="78" t="str">
        <f>IFERROR(C940/SUM(M$2:M939),"")</f>
        <v/>
      </c>
      <c r="I940" s="61" t="str">
        <f>IFERROR(D940/SUM(N$2:N940),"")</f>
        <v/>
      </c>
      <c r="J940" s="61" t="str">
        <f>IFERROR(E940/SUM(O$2:O940),"")</f>
        <v/>
      </c>
      <c r="K940" s="61" t="str">
        <f>IFERROR(F940/SUM(P$2:P940),"")</f>
        <v/>
      </c>
      <c r="L940" s="79" t="str">
        <f>IFERROR(G940/SUM(Q$2:Q940),"")</f>
        <v/>
      </c>
      <c r="M940" s="64" t="str">
        <f t="shared" si="363"/>
        <v/>
      </c>
      <c r="N940" s="55" t="str">
        <f t="shared" si="364"/>
        <v/>
      </c>
      <c r="O940" s="55" t="str">
        <f t="shared" si="365"/>
        <v/>
      </c>
      <c r="P940" s="55" t="str">
        <f t="shared" si="366"/>
        <v/>
      </c>
      <c r="Q940" s="65" t="str">
        <f t="shared" si="367"/>
        <v/>
      </c>
      <c r="R940" s="67" t="str">
        <f t="shared" si="369"/>
        <v/>
      </c>
      <c r="S940" s="56" t="str">
        <f t="shared" si="370"/>
        <v/>
      </c>
      <c r="T940" s="56" t="str">
        <f t="shared" si="371"/>
        <v/>
      </c>
      <c r="U940" s="56" t="str">
        <f t="shared" si="372"/>
        <v/>
      </c>
      <c r="V940" s="68" t="str">
        <f t="shared" si="373"/>
        <v/>
      </c>
      <c r="W940" s="80" t="str">
        <f t="shared" si="374"/>
        <v/>
      </c>
      <c r="X940" s="81" t="str">
        <f t="shared" si="375"/>
        <v/>
      </c>
      <c r="Y940" s="81" t="str">
        <f t="shared" si="376"/>
        <v/>
      </c>
      <c r="Z940" s="81" t="str">
        <f t="shared" si="377"/>
        <v/>
      </c>
      <c r="AA940" s="82" t="str">
        <f t="shared" si="378"/>
        <v/>
      </c>
      <c r="AB940" s="83" t="str">
        <f>IF(R940&lt;&gt;"",(W940-SUMPRODUCT(R$3:R940,$B$3:$B940)/SUM($B$3:$B940))/STDEVA(W930:W940),"")</f>
        <v/>
      </c>
      <c r="AC940" s="84" t="str">
        <f>IF(S940&lt;&gt;"",(X940-SUMPRODUCT(S$3:S940,$B$3:$B940)/SUM($B$3:$B940))/STDEVA(X930:X940),"")</f>
        <v/>
      </c>
      <c r="AD940" s="84" t="str">
        <f>IF(T940&lt;&gt;"",(Y940-SUMPRODUCT(T$3:T940,$B$3:$B940)/SUM($B$3:$B940))/STDEVA(Y930:Y940),"")</f>
        <v/>
      </c>
      <c r="AE940" s="84" t="str">
        <f>IF(U940&lt;&gt;"",(Z940-SUMPRODUCT(U$3:U940,$B$3:$B940)/SUM($B$3:$B940))/STDEVA(Z930:Z940),"")</f>
        <v/>
      </c>
      <c r="AF940" s="85" t="str">
        <f>IF(V940&lt;&gt;"",(AA940-SUMPRODUCT(V$3:V940,$B$3:$B940)/SUM($B$3:$B940))/STDEVA(AA930:AA940),"")</f>
        <v/>
      </c>
      <c r="AG940" s="90" t="str">
        <f t="shared" si="380"/>
        <v/>
      </c>
      <c r="AH940" s="90" t="str">
        <f t="shared" si="380"/>
        <v/>
      </c>
      <c r="AI940" s="90" t="str">
        <f t="shared" si="380"/>
        <v/>
      </c>
      <c r="AJ940" s="90" t="str">
        <f t="shared" si="379"/>
        <v/>
      </c>
      <c r="AK940" s="93" t="str">
        <f t="shared" si="379"/>
        <v/>
      </c>
      <c r="BQ940" s="100" t="str">
        <f>IF(A940&lt;&gt;"",(VLOOKUP(A940,MarketData!$D:$BP,MATCH($BQ$1,MarketData!$D$1:$EG$1,0),TRUE)/100/365+1)^(B940)*BQ939,"")</f>
        <v/>
      </c>
      <c r="BR940" s="98" t="str">
        <f t="shared" si="357"/>
        <v/>
      </c>
      <c r="BS940" s="106" t="str">
        <f>IF(A940&lt;&gt;"",VLOOKUP(A940,MarketData!$D:$BP,MATCH($BS$1,MarketData!$D$1:$EG$1,0),TRUE),"")</f>
        <v/>
      </c>
      <c r="BT940" s="98" t="str">
        <f t="shared" si="368"/>
        <v/>
      </c>
    </row>
    <row r="941" spans="2:72" x14ac:dyDescent="0.25">
      <c r="B941" s="60" t="str">
        <f t="shared" si="381"/>
        <v/>
      </c>
      <c r="C941" s="3" t="str">
        <f t="shared" si="358"/>
        <v/>
      </c>
      <c r="D941" s="3" t="str">
        <f t="shared" si="359"/>
        <v/>
      </c>
      <c r="E941" s="3" t="str">
        <f t="shared" si="360"/>
        <v/>
      </c>
      <c r="F941" s="3" t="str">
        <f t="shared" si="361"/>
        <v/>
      </c>
      <c r="G941" s="74" t="str">
        <f t="shared" si="362"/>
        <v/>
      </c>
      <c r="H941" s="78" t="str">
        <f>IFERROR(C941/SUM(M$2:M940),"")</f>
        <v/>
      </c>
      <c r="I941" s="61" t="str">
        <f>IFERROR(D941/SUM(N$2:N941),"")</f>
        <v/>
      </c>
      <c r="J941" s="61" t="str">
        <f>IFERROR(E941/SUM(O$2:O941),"")</f>
        <v/>
      </c>
      <c r="K941" s="61" t="str">
        <f>IFERROR(F941/SUM(P$2:P941),"")</f>
        <v/>
      </c>
      <c r="L941" s="79" t="str">
        <f>IFERROR(G941/SUM(Q$2:Q941),"")</f>
        <v/>
      </c>
      <c r="M941" s="64" t="str">
        <f t="shared" si="363"/>
        <v/>
      </c>
      <c r="N941" s="55" t="str">
        <f t="shared" si="364"/>
        <v/>
      </c>
      <c r="O941" s="55" t="str">
        <f t="shared" si="365"/>
        <v/>
      </c>
      <c r="P941" s="55" t="str">
        <f t="shared" si="366"/>
        <v/>
      </c>
      <c r="Q941" s="65" t="str">
        <f t="shared" si="367"/>
        <v/>
      </c>
      <c r="R941" s="67" t="str">
        <f t="shared" si="369"/>
        <v/>
      </c>
      <c r="S941" s="56" t="str">
        <f t="shared" si="370"/>
        <v/>
      </c>
      <c r="T941" s="56" t="str">
        <f t="shared" si="371"/>
        <v/>
      </c>
      <c r="U941" s="56" t="str">
        <f t="shared" si="372"/>
        <v/>
      </c>
      <c r="V941" s="68" t="str">
        <f t="shared" si="373"/>
        <v/>
      </c>
      <c r="W941" s="80" t="str">
        <f t="shared" si="374"/>
        <v/>
      </c>
      <c r="X941" s="81" t="str">
        <f t="shared" si="375"/>
        <v/>
      </c>
      <c r="Y941" s="81" t="str">
        <f t="shared" si="376"/>
        <v/>
      </c>
      <c r="Z941" s="81" t="str">
        <f t="shared" si="377"/>
        <v/>
      </c>
      <c r="AA941" s="82" t="str">
        <f t="shared" si="378"/>
        <v/>
      </c>
      <c r="AB941" s="83" t="str">
        <f>IF(R941&lt;&gt;"",(W941-SUMPRODUCT(R$3:R941,$B$3:$B941)/SUM($B$3:$B941))/STDEVA(W931:W941),"")</f>
        <v/>
      </c>
      <c r="AC941" s="84" t="str">
        <f>IF(S941&lt;&gt;"",(X941-SUMPRODUCT(S$3:S941,$B$3:$B941)/SUM($B$3:$B941))/STDEVA(X931:X941),"")</f>
        <v/>
      </c>
      <c r="AD941" s="84" t="str">
        <f>IF(T941&lt;&gt;"",(Y941-SUMPRODUCT(T$3:T941,$B$3:$B941)/SUM($B$3:$B941))/STDEVA(Y931:Y941),"")</f>
        <v/>
      </c>
      <c r="AE941" s="84" t="str">
        <f>IF(U941&lt;&gt;"",(Z941-SUMPRODUCT(U$3:U941,$B$3:$B941)/SUM($B$3:$B941))/STDEVA(Z931:Z941),"")</f>
        <v/>
      </c>
      <c r="AF941" s="85" t="str">
        <f>IF(V941&lt;&gt;"",(AA941-SUMPRODUCT(V$3:V941,$B$3:$B941)/SUM($B$3:$B941))/STDEVA(AA931:AA941),"")</f>
        <v/>
      </c>
      <c r="AG941" s="90" t="str">
        <f t="shared" si="380"/>
        <v/>
      </c>
      <c r="AH941" s="90" t="str">
        <f t="shared" si="380"/>
        <v/>
      </c>
      <c r="AI941" s="90" t="str">
        <f t="shared" si="380"/>
        <v/>
      </c>
      <c r="AJ941" s="90" t="str">
        <f t="shared" si="379"/>
        <v/>
      </c>
      <c r="AK941" s="93" t="str">
        <f t="shared" si="379"/>
        <v/>
      </c>
      <c r="BQ941" s="100" t="str">
        <f>IF(A941&lt;&gt;"",(VLOOKUP(A941,MarketData!$D:$BP,MATCH($BQ$1,MarketData!$D$1:$EG$1,0),TRUE)/100/365+1)^(B941)*BQ940,"")</f>
        <v/>
      </c>
      <c r="BR941" s="98" t="str">
        <f t="shared" si="357"/>
        <v/>
      </c>
      <c r="BS941" s="106" t="str">
        <f>IF(A941&lt;&gt;"",VLOOKUP(A941,MarketData!$D:$BP,MATCH($BS$1,MarketData!$D$1:$EG$1,0),TRUE),"")</f>
        <v/>
      </c>
      <c r="BT941" s="98" t="str">
        <f t="shared" si="368"/>
        <v/>
      </c>
    </row>
    <row r="942" spans="2:72" x14ac:dyDescent="0.25">
      <c r="B942" s="60" t="str">
        <f t="shared" si="381"/>
        <v/>
      </c>
      <c r="C942" s="3" t="str">
        <f t="shared" si="358"/>
        <v/>
      </c>
      <c r="D942" s="3" t="str">
        <f t="shared" si="359"/>
        <v/>
      </c>
      <c r="E942" s="3" t="str">
        <f t="shared" si="360"/>
        <v/>
      </c>
      <c r="F942" s="3" t="str">
        <f t="shared" si="361"/>
        <v/>
      </c>
      <c r="G942" s="74" t="str">
        <f t="shared" si="362"/>
        <v/>
      </c>
      <c r="H942" s="78" t="str">
        <f>IFERROR(C942/SUM(M$2:M941),"")</f>
        <v/>
      </c>
      <c r="I942" s="61" t="str">
        <f>IFERROR(D942/SUM(N$2:N942),"")</f>
        <v/>
      </c>
      <c r="J942" s="61" t="str">
        <f>IFERROR(E942/SUM(O$2:O942),"")</f>
        <v/>
      </c>
      <c r="K942" s="61" t="str">
        <f>IFERROR(F942/SUM(P$2:P942),"")</f>
        <v/>
      </c>
      <c r="L942" s="79" t="str">
        <f>IFERROR(G942/SUM(Q$2:Q942),"")</f>
        <v/>
      </c>
      <c r="M942" s="64" t="str">
        <f t="shared" si="363"/>
        <v/>
      </c>
      <c r="N942" s="55" t="str">
        <f t="shared" si="364"/>
        <v/>
      </c>
      <c r="O942" s="55" t="str">
        <f t="shared" si="365"/>
        <v/>
      </c>
      <c r="P942" s="55" t="str">
        <f t="shared" si="366"/>
        <v/>
      </c>
      <c r="Q942" s="65" t="str">
        <f t="shared" si="367"/>
        <v/>
      </c>
      <c r="R942" s="67" t="str">
        <f t="shared" si="369"/>
        <v/>
      </c>
      <c r="S942" s="56" t="str">
        <f t="shared" si="370"/>
        <v/>
      </c>
      <c r="T942" s="56" t="str">
        <f t="shared" si="371"/>
        <v/>
      </c>
      <c r="U942" s="56" t="str">
        <f t="shared" si="372"/>
        <v/>
      </c>
      <c r="V942" s="68" t="str">
        <f t="shared" si="373"/>
        <v/>
      </c>
      <c r="W942" s="80" t="str">
        <f t="shared" si="374"/>
        <v/>
      </c>
      <c r="X942" s="81" t="str">
        <f t="shared" si="375"/>
        <v/>
      </c>
      <c r="Y942" s="81" t="str">
        <f t="shared" si="376"/>
        <v/>
      </c>
      <c r="Z942" s="81" t="str">
        <f t="shared" si="377"/>
        <v/>
      </c>
      <c r="AA942" s="82" t="str">
        <f t="shared" si="378"/>
        <v/>
      </c>
      <c r="AB942" s="83" t="str">
        <f>IF(R942&lt;&gt;"",(W942-SUMPRODUCT(R$3:R942,$B$3:$B942)/SUM($B$3:$B942))/STDEVA(W932:W942),"")</f>
        <v/>
      </c>
      <c r="AC942" s="84" t="str">
        <f>IF(S942&lt;&gt;"",(X942-SUMPRODUCT(S$3:S942,$B$3:$B942)/SUM($B$3:$B942))/STDEVA(X932:X942),"")</f>
        <v/>
      </c>
      <c r="AD942" s="84" t="str">
        <f>IF(T942&lt;&gt;"",(Y942-SUMPRODUCT(T$3:T942,$B$3:$B942)/SUM($B$3:$B942))/STDEVA(Y932:Y942),"")</f>
        <v/>
      </c>
      <c r="AE942" s="84" t="str">
        <f>IF(U942&lt;&gt;"",(Z942-SUMPRODUCT(U$3:U942,$B$3:$B942)/SUM($B$3:$B942))/STDEVA(Z932:Z942),"")</f>
        <v/>
      </c>
      <c r="AF942" s="85" t="str">
        <f>IF(V942&lt;&gt;"",(AA942-SUMPRODUCT(V$3:V942,$B$3:$B942)/SUM($B$3:$B942))/STDEVA(AA932:AA942),"")</f>
        <v/>
      </c>
      <c r="AG942" s="90" t="str">
        <f t="shared" si="380"/>
        <v/>
      </c>
      <c r="AH942" s="90" t="str">
        <f t="shared" si="380"/>
        <v/>
      </c>
      <c r="AI942" s="90" t="str">
        <f t="shared" si="380"/>
        <v/>
      </c>
      <c r="AJ942" s="90" t="str">
        <f t="shared" si="379"/>
        <v/>
      </c>
      <c r="AK942" s="93" t="str">
        <f t="shared" si="379"/>
        <v/>
      </c>
      <c r="BQ942" s="100" t="str">
        <f>IF(A942&lt;&gt;"",(VLOOKUP(A942,MarketData!$D:$BP,MATCH($BQ$1,MarketData!$D$1:$EG$1,0),TRUE)/100/365+1)^(B942)*BQ941,"")</f>
        <v/>
      </c>
      <c r="BR942" s="98" t="str">
        <f t="shared" si="357"/>
        <v/>
      </c>
      <c r="BS942" s="106" t="str">
        <f>IF(A942&lt;&gt;"",VLOOKUP(A942,MarketData!$D:$BP,MATCH($BS$1,MarketData!$D$1:$EG$1,0),TRUE),"")</f>
        <v/>
      </c>
      <c r="BT942" s="98" t="str">
        <f t="shared" si="368"/>
        <v/>
      </c>
    </row>
    <row r="943" spans="2:72" x14ac:dyDescent="0.25">
      <c r="B943" s="60" t="str">
        <f t="shared" si="381"/>
        <v/>
      </c>
      <c r="C943" s="3" t="str">
        <f t="shared" si="358"/>
        <v/>
      </c>
      <c r="D943" s="3" t="str">
        <f t="shared" si="359"/>
        <v/>
      </c>
      <c r="E943" s="3" t="str">
        <f t="shared" si="360"/>
        <v/>
      </c>
      <c r="F943" s="3" t="str">
        <f t="shared" si="361"/>
        <v/>
      </c>
      <c r="G943" s="74" t="str">
        <f t="shared" si="362"/>
        <v/>
      </c>
      <c r="H943" s="78" t="str">
        <f>IFERROR(C943/SUM(M$2:M942),"")</f>
        <v/>
      </c>
      <c r="I943" s="61" t="str">
        <f>IFERROR(D943/SUM(N$2:N943),"")</f>
        <v/>
      </c>
      <c r="J943" s="61" t="str">
        <f>IFERROR(E943/SUM(O$2:O943),"")</f>
        <v/>
      </c>
      <c r="K943" s="61" t="str">
        <f>IFERROR(F943/SUM(P$2:P943),"")</f>
        <v/>
      </c>
      <c r="L943" s="79" t="str">
        <f>IFERROR(G943/SUM(Q$2:Q943),"")</f>
        <v/>
      </c>
      <c r="M943" s="64" t="str">
        <f t="shared" si="363"/>
        <v/>
      </c>
      <c r="N943" s="55" t="str">
        <f t="shared" si="364"/>
        <v/>
      </c>
      <c r="O943" s="55" t="str">
        <f t="shared" si="365"/>
        <v/>
      </c>
      <c r="P943" s="55" t="str">
        <f t="shared" si="366"/>
        <v/>
      </c>
      <c r="Q943" s="65" t="str">
        <f t="shared" si="367"/>
        <v/>
      </c>
      <c r="R943" s="67" t="str">
        <f t="shared" si="369"/>
        <v/>
      </c>
      <c r="S943" s="56" t="str">
        <f t="shared" si="370"/>
        <v/>
      </c>
      <c r="T943" s="56" t="str">
        <f t="shared" si="371"/>
        <v/>
      </c>
      <c r="U943" s="56" t="str">
        <f t="shared" si="372"/>
        <v/>
      </c>
      <c r="V943" s="68" t="str">
        <f t="shared" si="373"/>
        <v/>
      </c>
      <c r="W943" s="80" t="str">
        <f t="shared" si="374"/>
        <v/>
      </c>
      <c r="X943" s="81" t="str">
        <f t="shared" si="375"/>
        <v/>
      </c>
      <c r="Y943" s="81" t="str">
        <f t="shared" si="376"/>
        <v/>
      </c>
      <c r="Z943" s="81" t="str">
        <f t="shared" si="377"/>
        <v/>
      </c>
      <c r="AA943" s="82" t="str">
        <f t="shared" si="378"/>
        <v/>
      </c>
      <c r="AB943" s="83" t="str">
        <f>IF(R943&lt;&gt;"",(W943-SUMPRODUCT(R$3:R943,$B$3:$B943)/SUM($B$3:$B943))/STDEVA(W933:W943),"")</f>
        <v/>
      </c>
      <c r="AC943" s="84" t="str">
        <f>IF(S943&lt;&gt;"",(X943-SUMPRODUCT(S$3:S943,$B$3:$B943)/SUM($B$3:$B943))/STDEVA(X933:X943),"")</f>
        <v/>
      </c>
      <c r="AD943" s="84" t="str">
        <f>IF(T943&lt;&gt;"",(Y943-SUMPRODUCT(T$3:T943,$B$3:$B943)/SUM($B$3:$B943))/STDEVA(Y933:Y943),"")</f>
        <v/>
      </c>
      <c r="AE943" s="84" t="str">
        <f>IF(U943&lt;&gt;"",(Z943-SUMPRODUCT(U$3:U943,$B$3:$B943)/SUM($B$3:$B943))/STDEVA(Z933:Z943),"")</f>
        <v/>
      </c>
      <c r="AF943" s="85" t="str">
        <f>IF(V943&lt;&gt;"",(AA943-SUMPRODUCT(V$3:V943,$B$3:$B943)/SUM($B$3:$B943))/STDEVA(AA933:AA943),"")</f>
        <v/>
      </c>
      <c r="AG943" s="90" t="str">
        <f t="shared" si="380"/>
        <v/>
      </c>
      <c r="AH943" s="90" t="str">
        <f t="shared" si="380"/>
        <v/>
      </c>
      <c r="AI943" s="90" t="str">
        <f t="shared" si="380"/>
        <v/>
      </c>
      <c r="AJ943" s="90" t="str">
        <f t="shared" si="379"/>
        <v/>
      </c>
      <c r="AK943" s="93" t="str">
        <f t="shared" si="379"/>
        <v/>
      </c>
      <c r="BQ943" s="100" t="str">
        <f>IF(A943&lt;&gt;"",(VLOOKUP(A943,MarketData!$D:$BP,MATCH($BQ$1,MarketData!$D$1:$EG$1,0),TRUE)/100/365+1)^(B943)*BQ942,"")</f>
        <v/>
      </c>
      <c r="BR943" s="98" t="str">
        <f t="shared" si="357"/>
        <v/>
      </c>
      <c r="BS943" s="106" t="str">
        <f>IF(A943&lt;&gt;"",VLOOKUP(A943,MarketData!$D:$BP,MATCH($BS$1,MarketData!$D$1:$EG$1,0),TRUE),"")</f>
        <v/>
      </c>
      <c r="BT943" s="98" t="str">
        <f t="shared" si="368"/>
        <v/>
      </c>
    </row>
    <row r="944" spans="2:72" x14ac:dyDescent="0.25">
      <c r="B944" s="60" t="str">
        <f t="shared" si="381"/>
        <v/>
      </c>
      <c r="C944" s="3" t="str">
        <f t="shared" si="358"/>
        <v/>
      </c>
      <c r="D944" s="3" t="str">
        <f t="shared" si="359"/>
        <v/>
      </c>
      <c r="E944" s="3" t="str">
        <f t="shared" si="360"/>
        <v/>
      </c>
      <c r="F944" s="3" t="str">
        <f t="shared" si="361"/>
        <v/>
      </c>
      <c r="G944" s="74" t="str">
        <f t="shared" si="362"/>
        <v/>
      </c>
      <c r="H944" s="78" t="str">
        <f>IFERROR(C944/SUM(M$2:M943),"")</f>
        <v/>
      </c>
      <c r="I944" s="61" t="str">
        <f>IFERROR(D944/SUM(N$2:N944),"")</f>
        <v/>
      </c>
      <c r="J944" s="61" t="str">
        <f>IFERROR(E944/SUM(O$2:O944),"")</f>
        <v/>
      </c>
      <c r="K944" s="61" t="str">
        <f>IFERROR(F944/SUM(P$2:P944),"")</f>
        <v/>
      </c>
      <c r="L944" s="79" t="str">
        <f>IFERROR(G944/SUM(Q$2:Q944),"")</f>
        <v/>
      </c>
      <c r="M944" s="64" t="str">
        <f t="shared" si="363"/>
        <v/>
      </c>
      <c r="N944" s="55" t="str">
        <f t="shared" si="364"/>
        <v/>
      </c>
      <c r="O944" s="55" t="str">
        <f t="shared" si="365"/>
        <v/>
      </c>
      <c r="P944" s="55" t="str">
        <f t="shared" si="366"/>
        <v/>
      </c>
      <c r="Q944" s="65" t="str">
        <f t="shared" si="367"/>
        <v/>
      </c>
      <c r="R944" s="67" t="str">
        <f t="shared" si="369"/>
        <v/>
      </c>
      <c r="S944" s="56" t="str">
        <f t="shared" si="370"/>
        <v/>
      </c>
      <c r="T944" s="56" t="str">
        <f t="shared" si="371"/>
        <v/>
      </c>
      <c r="U944" s="56" t="str">
        <f t="shared" si="372"/>
        <v/>
      </c>
      <c r="V944" s="68" t="str">
        <f t="shared" si="373"/>
        <v/>
      </c>
      <c r="W944" s="80" t="str">
        <f t="shared" si="374"/>
        <v/>
      </c>
      <c r="X944" s="81" t="str">
        <f t="shared" si="375"/>
        <v/>
      </c>
      <c r="Y944" s="81" t="str">
        <f t="shared" si="376"/>
        <v/>
      </c>
      <c r="Z944" s="81" t="str">
        <f t="shared" si="377"/>
        <v/>
      </c>
      <c r="AA944" s="82" t="str">
        <f t="shared" si="378"/>
        <v/>
      </c>
      <c r="AB944" s="83" t="str">
        <f>IF(R944&lt;&gt;"",(W944-SUMPRODUCT(R$3:R944,$B$3:$B944)/SUM($B$3:$B944))/STDEVA(W934:W944),"")</f>
        <v/>
      </c>
      <c r="AC944" s="84" t="str">
        <f>IF(S944&lt;&gt;"",(X944-SUMPRODUCT(S$3:S944,$B$3:$B944)/SUM($B$3:$B944))/STDEVA(X934:X944),"")</f>
        <v/>
      </c>
      <c r="AD944" s="84" t="str">
        <f>IF(T944&lt;&gt;"",(Y944-SUMPRODUCT(T$3:T944,$B$3:$B944)/SUM($B$3:$B944))/STDEVA(Y934:Y944),"")</f>
        <v/>
      </c>
      <c r="AE944" s="84" t="str">
        <f>IF(U944&lt;&gt;"",(Z944-SUMPRODUCT(U$3:U944,$B$3:$B944)/SUM($B$3:$B944))/STDEVA(Z934:Z944),"")</f>
        <v/>
      </c>
      <c r="AF944" s="85" t="str">
        <f>IF(V944&lt;&gt;"",(AA944-SUMPRODUCT(V$3:V944,$B$3:$B944)/SUM($B$3:$B944))/STDEVA(AA934:AA944),"")</f>
        <v/>
      </c>
      <c r="AG944" s="90" t="str">
        <f t="shared" si="380"/>
        <v/>
      </c>
      <c r="AH944" s="90" t="str">
        <f t="shared" si="380"/>
        <v/>
      </c>
      <c r="AI944" s="90" t="str">
        <f t="shared" si="380"/>
        <v/>
      </c>
      <c r="AJ944" s="90" t="str">
        <f t="shared" si="379"/>
        <v/>
      </c>
      <c r="AK944" s="93" t="str">
        <f t="shared" si="379"/>
        <v/>
      </c>
      <c r="BQ944" s="100" t="str">
        <f>IF(A944&lt;&gt;"",(VLOOKUP(A944,MarketData!$D:$BP,MATCH($BQ$1,MarketData!$D$1:$EG$1,0),TRUE)/100/365+1)^(B944)*BQ943,"")</f>
        <v/>
      </c>
      <c r="BR944" s="98" t="str">
        <f t="shared" si="357"/>
        <v/>
      </c>
      <c r="BS944" s="106" t="str">
        <f>IF(A944&lt;&gt;"",VLOOKUP(A944,MarketData!$D:$BP,MATCH($BS$1,MarketData!$D$1:$EG$1,0),TRUE),"")</f>
        <v/>
      </c>
      <c r="BT944" s="98" t="str">
        <f t="shared" si="368"/>
        <v/>
      </c>
    </row>
    <row r="945" spans="2:72" x14ac:dyDescent="0.25">
      <c r="B945" s="60" t="str">
        <f t="shared" si="381"/>
        <v/>
      </c>
      <c r="C945" s="3" t="str">
        <f t="shared" si="358"/>
        <v/>
      </c>
      <c r="D945" s="3" t="str">
        <f t="shared" si="359"/>
        <v/>
      </c>
      <c r="E945" s="3" t="str">
        <f t="shared" si="360"/>
        <v/>
      </c>
      <c r="F945" s="3" t="str">
        <f t="shared" si="361"/>
        <v/>
      </c>
      <c r="G945" s="74" t="str">
        <f t="shared" si="362"/>
        <v/>
      </c>
      <c r="H945" s="78" t="str">
        <f>IFERROR(C945/SUM(M$2:M944),"")</f>
        <v/>
      </c>
      <c r="I945" s="61" t="str">
        <f>IFERROR(D945/SUM(N$2:N945),"")</f>
        <v/>
      </c>
      <c r="J945" s="61" t="str">
        <f>IFERROR(E945/SUM(O$2:O945),"")</f>
        <v/>
      </c>
      <c r="K945" s="61" t="str">
        <f>IFERROR(F945/SUM(P$2:P945),"")</f>
        <v/>
      </c>
      <c r="L945" s="79" t="str">
        <f>IFERROR(G945/SUM(Q$2:Q945),"")</f>
        <v/>
      </c>
      <c r="M945" s="64" t="str">
        <f t="shared" si="363"/>
        <v/>
      </c>
      <c r="N945" s="55" t="str">
        <f t="shared" si="364"/>
        <v/>
      </c>
      <c r="O945" s="55" t="str">
        <f t="shared" si="365"/>
        <v/>
      </c>
      <c r="P945" s="55" t="str">
        <f t="shared" si="366"/>
        <v/>
      </c>
      <c r="Q945" s="65" t="str">
        <f t="shared" si="367"/>
        <v/>
      </c>
      <c r="R945" s="67" t="str">
        <f t="shared" si="369"/>
        <v/>
      </c>
      <c r="S945" s="56" t="str">
        <f t="shared" si="370"/>
        <v/>
      </c>
      <c r="T945" s="56" t="str">
        <f t="shared" si="371"/>
        <v/>
      </c>
      <c r="U945" s="56" t="str">
        <f t="shared" si="372"/>
        <v/>
      </c>
      <c r="V945" s="68" t="str">
        <f t="shared" si="373"/>
        <v/>
      </c>
      <c r="W945" s="80" t="str">
        <f t="shared" si="374"/>
        <v/>
      </c>
      <c r="X945" s="81" t="str">
        <f t="shared" si="375"/>
        <v/>
      </c>
      <c r="Y945" s="81" t="str">
        <f t="shared" si="376"/>
        <v/>
      </c>
      <c r="Z945" s="81" t="str">
        <f t="shared" si="377"/>
        <v/>
      </c>
      <c r="AA945" s="82" t="str">
        <f t="shared" si="378"/>
        <v/>
      </c>
      <c r="AB945" s="83" t="str">
        <f>IF(R945&lt;&gt;"",(W945-SUMPRODUCT(R$3:R945,$B$3:$B945)/SUM($B$3:$B945))/STDEVA(W935:W945),"")</f>
        <v/>
      </c>
      <c r="AC945" s="84" t="str">
        <f>IF(S945&lt;&gt;"",(X945-SUMPRODUCT(S$3:S945,$B$3:$B945)/SUM($B$3:$B945))/STDEVA(X935:X945),"")</f>
        <v/>
      </c>
      <c r="AD945" s="84" t="str">
        <f>IF(T945&lt;&gt;"",(Y945-SUMPRODUCT(T$3:T945,$B$3:$B945)/SUM($B$3:$B945))/STDEVA(Y935:Y945),"")</f>
        <v/>
      </c>
      <c r="AE945" s="84" t="str">
        <f>IF(U945&lt;&gt;"",(Z945-SUMPRODUCT(U$3:U945,$B$3:$B945)/SUM($B$3:$B945))/STDEVA(Z935:Z945),"")</f>
        <v/>
      </c>
      <c r="AF945" s="85" t="str">
        <f>IF(V945&lt;&gt;"",(AA945-SUMPRODUCT(V$3:V945,$B$3:$B945)/SUM($B$3:$B945))/STDEVA(AA935:AA945),"")</f>
        <v/>
      </c>
      <c r="AG945" s="90" t="str">
        <f t="shared" si="380"/>
        <v/>
      </c>
      <c r="AH945" s="90" t="str">
        <f t="shared" si="380"/>
        <v/>
      </c>
      <c r="AI945" s="90" t="str">
        <f t="shared" si="380"/>
        <v/>
      </c>
      <c r="AJ945" s="90" t="str">
        <f t="shared" si="379"/>
        <v/>
      </c>
      <c r="AK945" s="93" t="str">
        <f t="shared" si="379"/>
        <v/>
      </c>
      <c r="BQ945" s="100" t="str">
        <f>IF(A945&lt;&gt;"",(VLOOKUP(A945,MarketData!$D:$BP,MATCH($BQ$1,MarketData!$D$1:$EG$1,0),TRUE)/100/365+1)^(B945)*BQ944,"")</f>
        <v/>
      </c>
      <c r="BR945" s="98" t="str">
        <f t="shared" si="357"/>
        <v/>
      </c>
      <c r="BS945" s="106" t="str">
        <f>IF(A945&lt;&gt;"",VLOOKUP(A945,MarketData!$D:$BP,MATCH($BS$1,MarketData!$D$1:$EG$1,0),TRUE),"")</f>
        <v/>
      </c>
      <c r="BT945" s="98" t="str">
        <f t="shared" si="368"/>
        <v/>
      </c>
    </row>
    <row r="946" spans="2:72" x14ac:dyDescent="0.25">
      <c r="B946" s="60" t="str">
        <f t="shared" si="381"/>
        <v/>
      </c>
      <c r="C946" s="3" t="str">
        <f t="shared" si="358"/>
        <v/>
      </c>
      <c r="D946" s="3" t="str">
        <f t="shared" si="359"/>
        <v/>
      </c>
      <c r="E946" s="3" t="str">
        <f t="shared" si="360"/>
        <v/>
      </c>
      <c r="F946" s="3" t="str">
        <f t="shared" si="361"/>
        <v/>
      </c>
      <c r="G946" s="74" t="str">
        <f t="shared" si="362"/>
        <v/>
      </c>
      <c r="H946" s="78" t="str">
        <f>IFERROR(C946/SUM(M$2:M945),"")</f>
        <v/>
      </c>
      <c r="I946" s="61" t="str">
        <f>IFERROR(D946/SUM(N$2:N946),"")</f>
        <v/>
      </c>
      <c r="J946" s="61" t="str">
        <f>IFERROR(E946/SUM(O$2:O946),"")</f>
        <v/>
      </c>
      <c r="K946" s="61" t="str">
        <f>IFERROR(F946/SUM(P$2:P946),"")</f>
        <v/>
      </c>
      <c r="L946" s="79" t="str">
        <f>IFERROR(G946/SUM(Q$2:Q946),"")</f>
        <v/>
      </c>
      <c r="M946" s="64" t="str">
        <f t="shared" si="363"/>
        <v/>
      </c>
      <c r="N946" s="55" t="str">
        <f t="shared" si="364"/>
        <v/>
      </c>
      <c r="O946" s="55" t="str">
        <f t="shared" si="365"/>
        <v/>
      </c>
      <c r="P946" s="55" t="str">
        <f t="shared" si="366"/>
        <v/>
      </c>
      <c r="Q946" s="65" t="str">
        <f t="shared" si="367"/>
        <v/>
      </c>
      <c r="R946" s="67" t="str">
        <f t="shared" si="369"/>
        <v/>
      </c>
      <c r="S946" s="56" t="str">
        <f t="shared" si="370"/>
        <v/>
      </c>
      <c r="T946" s="56" t="str">
        <f t="shared" si="371"/>
        <v/>
      </c>
      <c r="U946" s="56" t="str">
        <f t="shared" si="372"/>
        <v/>
      </c>
      <c r="V946" s="68" t="str">
        <f t="shared" si="373"/>
        <v/>
      </c>
      <c r="W946" s="80" t="str">
        <f t="shared" si="374"/>
        <v/>
      </c>
      <c r="X946" s="81" t="str">
        <f t="shared" si="375"/>
        <v/>
      </c>
      <c r="Y946" s="81" t="str">
        <f t="shared" si="376"/>
        <v/>
      </c>
      <c r="Z946" s="81" t="str">
        <f t="shared" si="377"/>
        <v/>
      </c>
      <c r="AA946" s="82" t="str">
        <f t="shared" si="378"/>
        <v/>
      </c>
      <c r="AB946" s="83" t="str">
        <f>IF(R946&lt;&gt;"",(W946-SUMPRODUCT(R$3:R946,$B$3:$B946)/SUM($B$3:$B946))/STDEVA(W936:W946),"")</f>
        <v/>
      </c>
      <c r="AC946" s="84" t="str">
        <f>IF(S946&lt;&gt;"",(X946-SUMPRODUCT(S$3:S946,$B$3:$B946)/SUM($B$3:$B946))/STDEVA(X936:X946),"")</f>
        <v/>
      </c>
      <c r="AD946" s="84" t="str">
        <f>IF(T946&lt;&gt;"",(Y946-SUMPRODUCT(T$3:T946,$B$3:$B946)/SUM($B$3:$B946))/STDEVA(Y936:Y946),"")</f>
        <v/>
      </c>
      <c r="AE946" s="84" t="str">
        <f>IF(U946&lt;&gt;"",(Z946-SUMPRODUCT(U$3:U946,$B$3:$B946)/SUM($B$3:$B946))/STDEVA(Z936:Z946),"")</f>
        <v/>
      </c>
      <c r="AF946" s="85" t="str">
        <f>IF(V946&lt;&gt;"",(AA946-SUMPRODUCT(V$3:V946,$B$3:$B946)/SUM($B$3:$B946))/STDEVA(AA936:AA946),"")</f>
        <v/>
      </c>
      <c r="AG946" s="90" t="str">
        <f t="shared" si="380"/>
        <v/>
      </c>
      <c r="AH946" s="90" t="str">
        <f t="shared" si="380"/>
        <v/>
      </c>
      <c r="AI946" s="90" t="str">
        <f t="shared" si="380"/>
        <v/>
      </c>
      <c r="AJ946" s="90" t="str">
        <f t="shared" si="379"/>
        <v/>
      </c>
      <c r="AK946" s="93" t="str">
        <f t="shared" si="379"/>
        <v/>
      </c>
      <c r="BQ946" s="100" t="str">
        <f>IF(A946&lt;&gt;"",(VLOOKUP(A946,MarketData!$D:$BP,MATCH($BQ$1,MarketData!$D$1:$EG$1,0),TRUE)/100/365+1)^(B946)*BQ945,"")</f>
        <v/>
      </c>
      <c r="BR946" s="98" t="str">
        <f t="shared" si="357"/>
        <v/>
      </c>
      <c r="BS946" s="106" t="str">
        <f>IF(A946&lt;&gt;"",VLOOKUP(A946,MarketData!$D:$BP,MATCH($BS$1,MarketData!$D$1:$EG$1,0),TRUE),"")</f>
        <v/>
      </c>
      <c r="BT946" s="98" t="str">
        <f t="shared" si="368"/>
        <v/>
      </c>
    </row>
    <row r="947" spans="2:72" x14ac:dyDescent="0.25">
      <c r="B947" s="60" t="str">
        <f t="shared" si="381"/>
        <v/>
      </c>
      <c r="C947" s="3" t="str">
        <f t="shared" si="358"/>
        <v/>
      </c>
      <c r="D947" s="3" t="str">
        <f t="shared" si="359"/>
        <v/>
      </c>
      <c r="E947" s="3" t="str">
        <f t="shared" si="360"/>
        <v/>
      </c>
      <c r="F947" s="3" t="str">
        <f t="shared" si="361"/>
        <v/>
      </c>
      <c r="G947" s="74" t="str">
        <f t="shared" si="362"/>
        <v/>
      </c>
      <c r="H947" s="78" t="str">
        <f>IFERROR(C947/SUM(M$2:M946),"")</f>
        <v/>
      </c>
      <c r="I947" s="61" t="str">
        <f>IFERROR(D947/SUM(N$2:N947),"")</f>
        <v/>
      </c>
      <c r="J947" s="61" t="str">
        <f>IFERROR(E947/SUM(O$2:O947),"")</f>
        <v/>
      </c>
      <c r="K947" s="61" t="str">
        <f>IFERROR(F947/SUM(P$2:P947),"")</f>
        <v/>
      </c>
      <c r="L947" s="79" t="str">
        <f>IFERROR(G947/SUM(Q$2:Q947),"")</f>
        <v/>
      </c>
      <c r="M947" s="64" t="str">
        <f t="shared" si="363"/>
        <v/>
      </c>
      <c r="N947" s="55" t="str">
        <f t="shared" si="364"/>
        <v/>
      </c>
      <c r="O947" s="55" t="str">
        <f t="shared" si="365"/>
        <v/>
      </c>
      <c r="P947" s="55" t="str">
        <f t="shared" si="366"/>
        <v/>
      </c>
      <c r="Q947" s="65" t="str">
        <f t="shared" si="367"/>
        <v/>
      </c>
      <c r="R947" s="67" t="str">
        <f t="shared" si="369"/>
        <v/>
      </c>
      <c r="S947" s="56" t="str">
        <f t="shared" si="370"/>
        <v/>
      </c>
      <c r="T947" s="56" t="str">
        <f t="shared" si="371"/>
        <v/>
      </c>
      <c r="U947" s="56" t="str">
        <f t="shared" si="372"/>
        <v/>
      </c>
      <c r="V947" s="68" t="str">
        <f t="shared" si="373"/>
        <v/>
      </c>
      <c r="W947" s="80" t="str">
        <f t="shared" si="374"/>
        <v/>
      </c>
      <c r="X947" s="81" t="str">
        <f t="shared" si="375"/>
        <v/>
      </c>
      <c r="Y947" s="81" t="str">
        <f t="shared" si="376"/>
        <v/>
      </c>
      <c r="Z947" s="81" t="str">
        <f t="shared" si="377"/>
        <v/>
      </c>
      <c r="AA947" s="82" t="str">
        <f t="shared" si="378"/>
        <v/>
      </c>
      <c r="AB947" s="83" t="str">
        <f>IF(R947&lt;&gt;"",(W947-SUMPRODUCT(R$3:R947,$B$3:$B947)/SUM($B$3:$B947))/STDEVA(W937:W947),"")</f>
        <v/>
      </c>
      <c r="AC947" s="84" t="str">
        <f>IF(S947&lt;&gt;"",(X947-SUMPRODUCT(S$3:S947,$B$3:$B947)/SUM($B$3:$B947))/STDEVA(X937:X947),"")</f>
        <v/>
      </c>
      <c r="AD947" s="84" t="str">
        <f>IF(T947&lt;&gt;"",(Y947-SUMPRODUCT(T$3:T947,$B$3:$B947)/SUM($B$3:$B947))/STDEVA(Y937:Y947),"")</f>
        <v/>
      </c>
      <c r="AE947" s="84" t="str">
        <f>IF(U947&lt;&gt;"",(Z947-SUMPRODUCT(U$3:U947,$B$3:$B947)/SUM($B$3:$B947))/STDEVA(Z937:Z947),"")</f>
        <v/>
      </c>
      <c r="AF947" s="85" t="str">
        <f>IF(V947&lt;&gt;"",(AA947-SUMPRODUCT(V$3:V947,$B$3:$B947)/SUM($B$3:$B947))/STDEVA(AA937:AA947),"")</f>
        <v/>
      </c>
      <c r="AG947" s="90" t="str">
        <f t="shared" si="380"/>
        <v/>
      </c>
      <c r="AH947" s="90" t="str">
        <f t="shared" si="380"/>
        <v/>
      </c>
      <c r="AI947" s="90" t="str">
        <f t="shared" si="380"/>
        <v/>
      </c>
      <c r="AJ947" s="90" t="str">
        <f t="shared" si="379"/>
        <v/>
      </c>
      <c r="AK947" s="93" t="str">
        <f t="shared" si="379"/>
        <v/>
      </c>
      <c r="BQ947" s="100" t="str">
        <f>IF(A947&lt;&gt;"",(VLOOKUP(A947,MarketData!$D:$BP,MATCH($BQ$1,MarketData!$D$1:$EG$1,0),TRUE)/100/365+1)^(B947)*BQ946,"")</f>
        <v/>
      </c>
      <c r="BR947" s="98" t="str">
        <f t="shared" si="357"/>
        <v/>
      </c>
      <c r="BS947" s="106" t="str">
        <f>IF(A947&lt;&gt;"",VLOOKUP(A947,MarketData!$D:$BP,MATCH($BS$1,MarketData!$D$1:$EG$1,0),TRUE),"")</f>
        <v/>
      </c>
      <c r="BT947" s="98" t="str">
        <f t="shared" si="368"/>
        <v/>
      </c>
    </row>
    <row r="948" spans="2:72" x14ac:dyDescent="0.25">
      <c r="B948" s="60" t="str">
        <f t="shared" si="381"/>
        <v/>
      </c>
      <c r="C948" s="3" t="str">
        <f t="shared" si="358"/>
        <v/>
      </c>
      <c r="D948" s="3" t="str">
        <f t="shared" si="359"/>
        <v/>
      </c>
      <c r="E948" s="3" t="str">
        <f t="shared" si="360"/>
        <v/>
      </c>
      <c r="F948" s="3" t="str">
        <f t="shared" si="361"/>
        <v/>
      </c>
      <c r="G948" s="74" t="str">
        <f t="shared" si="362"/>
        <v/>
      </c>
      <c r="H948" s="78" t="str">
        <f>IFERROR(C948/SUM(M$2:M947),"")</f>
        <v/>
      </c>
      <c r="I948" s="61" t="str">
        <f>IFERROR(D948/SUM(N$2:N948),"")</f>
        <v/>
      </c>
      <c r="J948" s="61" t="str">
        <f>IFERROR(E948/SUM(O$2:O948),"")</f>
        <v/>
      </c>
      <c r="K948" s="61" t="str">
        <f>IFERROR(F948/SUM(P$2:P948),"")</f>
        <v/>
      </c>
      <c r="L948" s="79" t="str">
        <f>IFERROR(G948/SUM(Q$2:Q948),"")</f>
        <v/>
      </c>
      <c r="M948" s="64" t="str">
        <f t="shared" si="363"/>
        <v/>
      </c>
      <c r="N948" s="55" t="str">
        <f t="shared" si="364"/>
        <v/>
      </c>
      <c r="O948" s="55" t="str">
        <f t="shared" si="365"/>
        <v/>
      </c>
      <c r="P948" s="55" t="str">
        <f t="shared" si="366"/>
        <v/>
      </c>
      <c r="Q948" s="65" t="str">
        <f t="shared" si="367"/>
        <v/>
      </c>
      <c r="R948" s="67" t="str">
        <f t="shared" si="369"/>
        <v/>
      </c>
      <c r="S948" s="56" t="str">
        <f t="shared" si="370"/>
        <v/>
      </c>
      <c r="T948" s="56" t="str">
        <f t="shared" si="371"/>
        <v/>
      </c>
      <c r="U948" s="56" t="str">
        <f t="shared" si="372"/>
        <v/>
      </c>
      <c r="V948" s="68" t="str">
        <f t="shared" si="373"/>
        <v/>
      </c>
      <c r="W948" s="80" t="str">
        <f t="shared" si="374"/>
        <v/>
      </c>
      <c r="X948" s="81" t="str">
        <f t="shared" si="375"/>
        <v/>
      </c>
      <c r="Y948" s="81" t="str">
        <f t="shared" si="376"/>
        <v/>
      </c>
      <c r="Z948" s="81" t="str">
        <f t="shared" si="377"/>
        <v/>
      </c>
      <c r="AA948" s="82" t="str">
        <f t="shared" si="378"/>
        <v/>
      </c>
      <c r="AB948" s="83" t="str">
        <f>IF(R948&lt;&gt;"",(W948-SUMPRODUCT(R$3:R948,$B$3:$B948)/SUM($B$3:$B948))/STDEVA(W938:W948),"")</f>
        <v/>
      </c>
      <c r="AC948" s="84" t="str">
        <f>IF(S948&lt;&gt;"",(X948-SUMPRODUCT(S$3:S948,$B$3:$B948)/SUM($B$3:$B948))/STDEVA(X938:X948),"")</f>
        <v/>
      </c>
      <c r="AD948" s="84" t="str">
        <f>IF(T948&lt;&gt;"",(Y948-SUMPRODUCT(T$3:T948,$B$3:$B948)/SUM($B$3:$B948))/STDEVA(Y938:Y948),"")</f>
        <v/>
      </c>
      <c r="AE948" s="84" t="str">
        <f>IF(U948&lt;&gt;"",(Z948-SUMPRODUCT(U$3:U948,$B$3:$B948)/SUM($B$3:$B948))/STDEVA(Z938:Z948),"")</f>
        <v/>
      </c>
      <c r="AF948" s="85" t="str">
        <f>IF(V948&lt;&gt;"",(AA948-SUMPRODUCT(V$3:V948,$B$3:$B948)/SUM($B$3:$B948))/STDEVA(AA938:AA948),"")</f>
        <v/>
      </c>
      <c r="AG948" s="90" t="str">
        <f t="shared" si="380"/>
        <v/>
      </c>
      <c r="AH948" s="90" t="str">
        <f t="shared" si="380"/>
        <v/>
      </c>
      <c r="AI948" s="90" t="str">
        <f t="shared" si="380"/>
        <v/>
      </c>
      <c r="AJ948" s="90" t="str">
        <f t="shared" si="379"/>
        <v/>
      </c>
      <c r="AK948" s="93" t="str">
        <f t="shared" si="379"/>
        <v/>
      </c>
      <c r="BQ948" s="100" t="str">
        <f>IF(A948&lt;&gt;"",(VLOOKUP(A948,MarketData!$D:$BP,MATCH($BQ$1,MarketData!$D$1:$EG$1,0),TRUE)/100/365+1)^(B948)*BQ947,"")</f>
        <v/>
      </c>
      <c r="BR948" s="98" t="str">
        <f t="shared" si="357"/>
        <v/>
      </c>
      <c r="BS948" s="106" t="str">
        <f>IF(A948&lt;&gt;"",VLOOKUP(A948,MarketData!$D:$BP,MATCH($BS$1,MarketData!$D$1:$EG$1,0),TRUE),"")</f>
        <v/>
      </c>
      <c r="BT948" s="98" t="str">
        <f t="shared" si="368"/>
        <v/>
      </c>
    </row>
    <row r="949" spans="2:72" x14ac:dyDescent="0.25">
      <c r="B949" s="60" t="str">
        <f t="shared" si="381"/>
        <v/>
      </c>
      <c r="C949" s="3" t="str">
        <f t="shared" si="358"/>
        <v/>
      </c>
      <c r="D949" s="3" t="str">
        <f t="shared" si="359"/>
        <v/>
      </c>
      <c r="E949" s="3" t="str">
        <f t="shared" si="360"/>
        <v/>
      </c>
      <c r="F949" s="3" t="str">
        <f t="shared" si="361"/>
        <v/>
      </c>
      <c r="G949" s="74" t="str">
        <f t="shared" si="362"/>
        <v/>
      </c>
      <c r="H949" s="78" t="str">
        <f>IFERROR(C949/SUM(M$2:M948),"")</f>
        <v/>
      </c>
      <c r="I949" s="61" t="str">
        <f>IFERROR(D949/SUM(N$2:N949),"")</f>
        <v/>
      </c>
      <c r="J949" s="61" t="str">
        <f>IFERROR(E949/SUM(O$2:O949),"")</f>
        <v/>
      </c>
      <c r="K949" s="61" t="str">
        <f>IFERROR(F949/SUM(P$2:P949),"")</f>
        <v/>
      </c>
      <c r="L949" s="79" t="str">
        <f>IFERROR(G949/SUM(Q$2:Q949),"")</f>
        <v/>
      </c>
      <c r="M949" s="64" t="str">
        <f t="shared" si="363"/>
        <v/>
      </c>
      <c r="N949" s="55" t="str">
        <f t="shared" si="364"/>
        <v/>
      </c>
      <c r="O949" s="55" t="str">
        <f t="shared" si="365"/>
        <v/>
      </c>
      <c r="P949" s="55" t="str">
        <f t="shared" si="366"/>
        <v/>
      </c>
      <c r="Q949" s="65" t="str">
        <f t="shared" si="367"/>
        <v/>
      </c>
      <c r="R949" s="67" t="str">
        <f t="shared" si="369"/>
        <v/>
      </c>
      <c r="S949" s="56" t="str">
        <f t="shared" si="370"/>
        <v/>
      </c>
      <c r="T949" s="56" t="str">
        <f t="shared" si="371"/>
        <v/>
      </c>
      <c r="U949" s="56" t="str">
        <f t="shared" si="372"/>
        <v/>
      </c>
      <c r="V949" s="68" t="str">
        <f t="shared" si="373"/>
        <v/>
      </c>
      <c r="W949" s="80" t="str">
        <f t="shared" si="374"/>
        <v/>
      </c>
      <c r="X949" s="81" t="str">
        <f t="shared" si="375"/>
        <v/>
      </c>
      <c r="Y949" s="81" t="str">
        <f t="shared" si="376"/>
        <v/>
      </c>
      <c r="Z949" s="81" t="str">
        <f t="shared" si="377"/>
        <v/>
      </c>
      <c r="AA949" s="82" t="str">
        <f t="shared" si="378"/>
        <v/>
      </c>
      <c r="AB949" s="83" t="str">
        <f>IF(R949&lt;&gt;"",(W949-SUMPRODUCT(R$3:R949,$B$3:$B949)/SUM($B$3:$B949))/STDEVA(W939:W949),"")</f>
        <v/>
      </c>
      <c r="AC949" s="84" t="str">
        <f>IF(S949&lt;&gt;"",(X949-SUMPRODUCT(S$3:S949,$B$3:$B949)/SUM($B$3:$B949))/STDEVA(X939:X949),"")</f>
        <v/>
      </c>
      <c r="AD949" s="84" t="str">
        <f>IF(T949&lt;&gt;"",(Y949-SUMPRODUCT(T$3:T949,$B$3:$B949)/SUM($B$3:$B949))/STDEVA(Y939:Y949),"")</f>
        <v/>
      </c>
      <c r="AE949" s="84" t="str">
        <f>IF(U949&lt;&gt;"",(Z949-SUMPRODUCT(U$3:U949,$B$3:$B949)/SUM($B$3:$B949))/STDEVA(Z939:Z949),"")</f>
        <v/>
      </c>
      <c r="AF949" s="85" t="str">
        <f>IF(V949&lt;&gt;"",(AA949-SUMPRODUCT(V$3:V949,$B$3:$B949)/SUM($B$3:$B949))/STDEVA(AA939:AA949),"")</f>
        <v/>
      </c>
      <c r="AG949" s="90" t="str">
        <f t="shared" si="380"/>
        <v/>
      </c>
      <c r="AH949" s="90" t="str">
        <f t="shared" si="380"/>
        <v/>
      </c>
      <c r="AI949" s="90" t="str">
        <f t="shared" si="380"/>
        <v/>
      </c>
      <c r="AJ949" s="90" t="str">
        <f t="shared" si="379"/>
        <v/>
      </c>
      <c r="AK949" s="93" t="str">
        <f t="shared" si="379"/>
        <v/>
      </c>
      <c r="BQ949" s="100" t="str">
        <f>IF(A949&lt;&gt;"",(VLOOKUP(A949,MarketData!$D:$BP,MATCH($BQ$1,MarketData!$D$1:$EG$1,0),TRUE)/100/365+1)^(B949)*BQ948,"")</f>
        <v/>
      </c>
      <c r="BR949" s="98" t="str">
        <f t="shared" si="357"/>
        <v/>
      </c>
      <c r="BS949" s="106" t="str">
        <f>IF(A949&lt;&gt;"",VLOOKUP(A949,MarketData!$D:$BP,MATCH($BS$1,MarketData!$D$1:$EG$1,0),TRUE),"")</f>
        <v/>
      </c>
      <c r="BT949" s="98" t="str">
        <f t="shared" si="368"/>
        <v/>
      </c>
    </row>
    <row r="950" spans="2:72" x14ac:dyDescent="0.25">
      <c r="B950" s="60" t="str">
        <f t="shared" si="381"/>
        <v/>
      </c>
      <c r="C950" s="3" t="str">
        <f t="shared" si="358"/>
        <v/>
      </c>
      <c r="D950" s="3" t="str">
        <f t="shared" si="359"/>
        <v/>
      </c>
      <c r="E950" s="3" t="str">
        <f t="shared" si="360"/>
        <v/>
      </c>
      <c r="F950" s="3" t="str">
        <f t="shared" si="361"/>
        <v/>
      </c>
      <c r="G950" s="74" t="str">
        <f t="shared" si="362"/>
        <v/>
      </c>
      <c r="H950" s="78" t="str">
        <f>IFERROR(C950/SUM(M$2:M949),"")</f>
        <v/>
      </c>
      <c r="I950" s="61" t="str">
        <f>IFERROR(D950/SUM(N$2:N950),"")</f>
        <v/>
      </c>
      <c r="J950" s="61" t="str">
        <f>IFERROR(E950/SUM(O$2:O950),"")</f>
        <v/>
      </c>
      <c r="K950" s="61" t="str">
        <f>IFERROR(F950/SUM(P$2:P950),"")</f>
        <v/>
      </c>
      <c r="L950" s="79" t="str">
        <f>IFERROR(G950/SUM(Q$2:Q950),"")</f>
        <v/>
      </c>
      <c r="M950" s="64" t="str">
        <f t="shared" si="363"/>
        <v/>
      </c>
      <c r="N950" s="55" t="str">
        <f t="shared" si="364"/>
        <v/>
      </c>
      <c r="O950" s="55" t="str">
        <f t="shared" si="365"/>
        <v/>
      </c>
      <c r="P950" s="55" t="str">
        <f t="shared" si="366"/>
        <v/>
      </c>
      <c r="Q950" s="65" t="str">
        <f t="shared" si="367"/>
        <v/>
      </c>
      <c r="R950" s="67" t="str">
        <f t="shared" si="369"/>
        <v/>
      </c>
      <c r="S950" s="56" t="str">
        <f t="shared" si="370"/>
        <v/>
      </c>
      <c r="T950" s="56" t="str">
        <f t="shared" si="371"/>
        <v/>
      </c>
      <c r="U950" s="56" t="str">
        <f t="shared" si="372"/>
        <v/>
      </c>
      <c r="V950" s="68" t="str">
        <f t="shared" si="373"/>
        <v/>
      </c>
      <c r="W950" s="80" t="str">
        <f t="shared" si="374"/>
        <v/>
      </c>
      <c r="X950" s="81" t="str">
        <f t="shared" si="375"/>
        <v/>
      </c>
      <c r="Y950" s="81" t="str">
        <f t="shared" si="376"/>
        <v/>
      </c>
      <c r="Z950" s="81" t="str">
        <f t="shared" si="377"/>
        <v/>
      </c>
      <c r="AA950" s="82" t="str">
        <f t="shared" si="378"/>
        <v/>
      </c>
      <c r="AB950" s="83" t="str">
        <f>IF(R950&lt;&gt;"",(W950-SUMPRODUCT(R$3:R950,$B$3:$B950)/SUM($B$3:$B950))/STDEVA(W940:W950),"")</f>
        <v/>
      </c>
      <c r="AC950" s="84" t="str">
        <f>IF(S950&lt;&gt;"",(X950-SUMPRODUCT(S$3:S950,$B$3:$B950)/SUM($B$3:$B950))/STDEVA(X940:X950),"")</f>
        <v/>
      </c>
      <c r="AD950" s="84" t="str">
        <f>IF(T950&lt;&gt;"",(Y950-SUMPRODUCT(T$3:T950,$B$3:$B950)/SUM($B$3:$B950))/STDEVA(Y940:Y950),"")</f>
        <v/>
      </c>
      <c r="AE950" s="84" t="str">
        <f>IF(U950&lt;&gt;"",(Z950-SUMPRODUCT(U$3:U950,$B$3:$B950)/SUM($B$3:$B950))/STDEVA(Z940:Z950),"")</f>
        <v/>
      </c>
      <c r="AF950" s="85" t="str">
        <f>IF(V950&lt;&gt;"",(AA950-SUMPRODUCT(V$3:V950,$B$3:$B950)/SUM($B$3:$B950))/STDEVA(AA940:AA950),"")</f>
        <v/>
      </c>
      <c r="AG950" s="90" t="str">
        <f t="shared" si="380"/>
        <v/>
      </c>
      <c r="AH950" s="90" t="str">
        <f t="shared" si="380"/>
        <v/>
      </c>
      <c r="AI950" s="90" t="str">
        <f t="shared" si="380"/>
        <v/>
      </c>
      <c r="AJ950" s="90" t="str">
        <f t="shared" si="379"/>
        <v/>
      </c>
      <c r="AK950" s="93" t="str">
        <f t="shared" si="379"/>
        <v/>
      </c>
      <c r="BQ950" s="100" t="str">
        <f>IF(A950&lt;&gt;"",(VLOOKUP(A950,MarketData!$D:$BP,MATCH($BQ$1,MarketData!$D$1:$EG$1,0),TRUE)/100/365+1)^(B950)*BQ949,"")</f>
        <v/>
      </c>
      <c r="BR950" s="98" t="str">
        <f t="shared" si="357"/>
        <v/>
      </c>
      <c r="BS950" s="106" t="str">
        <f>IF(A950&lt;&gt;"",VLOOKUP(A950,MarketData!$D:$BP,MATCH($BS$1,MarketData!$D$1:$EG$1,0),TRUE),"")</f>
        <v/>
      </c>
      <c r="BT950" s="98" t="str">
        <f t="shared" si="368"/>
        <v/>
      </c>
    </row>
    <row r="951" spans="2:72" x14ac:dyDescent="0.25">
      <c r="B951" s="60" t="str">
        <f t="shared" si="381"/>
        <v/>
      </c>
      <c r="C951" s="3" t="str">
        <f t="shared" si="358"/>
        <v/>
      </c>
      <c r="D951" s="3" t="str">
        <f t="shared" si="359"/>
        <v/>
      </c>
      <c r="E951" s="3" t="str">
        <f t="shared" si="360"/>
        <v/>
      </c>
      <c r="F951" s="3" t="str">
        <f t="shared" si="361"/>
        <v/>
      </c>
      <c r="G951" s="74" t="str">
        <f t="shared" si="362"/>
        <v/>
      </c>
      <c r="H951" s="78" t="str">
        <f>IFERROR(C951/SUM(M$2:M950),"")</f>
        <v/>
      </c>
      <c r="I951" s="61" t="str">
        <f>IFERROR(D951/SUM(N$2:N951),"")</f>
        <v/>
      </c>
      <c r="J951" s="61" t="str">
        <f>IFERROR(E951/SUM(O$2:O951),"")</f>
        <v/>
      </c>
      <c r="K951" s="61" t="str">
        <f>IFERROR(F951/SUM(P$2:P951),"")</f>
        <v/>
      </c>
      <c r="L951" s="79" t="str">
        <f>IFERROR(G951/SUM(Q$2:Q951),"")</f>
        <v/>
      </c>
      <c r="M951" s="64" t="str">
        <f t="shared" si="363"/>
        <v/>
      </c>
      <c r="N951" s="55" t="str">
        <f t="shared" si="364"/>
        <v/>
      </c>
      <c r="O951" s="55" t="str">
        <f t="shared" si="365"/>
        <v/>
      </c>
      <c r="P951" s="55" t="str">
        <f t="shared" si="366"/>
        <v/>
      </c>
      <c r="Q951" s="65" t="str">
        <f t="shared" si="367"/>
        <v/>
      </c>
      <c r="R951" s="67" t="str">
        <f t="shared" si="369"/>
        <v/>
      </c>
      <c r="S951" s="56" t="str">
        <f t="shared" si="370"/>
        <v/>
      </c>
      <c r="T951" s="56" t="str">
        <f t="shared" si="371"/>
        <v/>
      </c>
      <c r="U951" s="56" t="str">
        <f t="shared" si="372"/>
        <v/>
      </c>
      <c r="V951" s="68" t="str">
        <f t="shared" si="373"/>
        <v/>
      </c>
      <c r="W951" s="80" t="str">
        <f t="shared" si="374"/>
        <v/>
      </c>
      <c r="X951" s="81" t="str">
        <f t="shared" si="375"/>
        <v/>
      </c>
      <c r="Y951" s="81" t="str">
        <f t="shared" si="376"/>
        <v/>
      </c>
      <c r="Z951" s="81" t="str">
        <f t="shared" si="377"/>
        <v/>
      </c>
      <c r="AA951" s="82" t="str">
        <f t="shared" si="378"/>
        <v/>
      </c>
      <c r="AB951" s="83" t="str">
        <f>IF(R951&lt;&gt;"",(W951-SUMPRODUCT(R$3:R951,$B$3:$B951)/SUM($B$3:$B951))/STDEVA(W941:W951),"")</f>
        <v/>
      </c>
      <c r="AC951" s="84" t="str">
        <f>IF(S951&lt;&gt;"",(X951-SUMPRODUCT(S$3:S951,$B$3:$B951)/SUM($B$3:$B951))/STDEVA(X941:X951),"")</f>
        <v/>
      </c>
      <c r="AD951" s="84" t="str">
        <f>IF(T951&lt;&gt;"",(Y951-SUMPRODUCT(T$3:T951,$B$3:$B951)/SUM($B$3:$B951))/STDEVA(Y941:Y951),"")</f>
        <v/>
      </c>
      <c r="AE951" s="84" t="str">
        <f>IF(U951&lt;&gt;"",(Z951-SUMPRODUCT(U$3:U951,$B$3:$B951)/SUM($B$3:$B951))/STDEVA(Z941:Z951),"")</f>
        <v/>
      </c>
      <c r="AF951" s="85" t="str">
        <f>IF(V951&lt;&gt;"",(AA951-SUMPRODUCT(V$3:V951,$B$3:$B951)/SUM($B$3:$B951))/STDEVA(AA941:AA951),"")</f>
        <v/>
      </c>
      <c r="AG951" s="90" t="str">
        <f t="shared" si="380"/>
        <v/>
      </c>
      <c r="AH951" s="90" t="str">
        <f t="shared" si="380"/>
        <v/>
      </c>
      <c r="AI951" s="90" t="str">
        <f t="shared" si="380"/>
        <v/>
      </c>
      <c r="AJ951" s="90" t="str">
        <f t="shared" si="379"/>
        <v/>
      </c>
      <c r="AK951" s="93" t="str">
        <f t="shared" si="379"/>
        <v/>
      </c>
      <c r="BQ951" s="100" t="str">
        <f>IF(A951&lt;&gt;"",(VLOOKUP(A951,MarketData!$D:$BP,MATCH($BQ$1,MarketData!$D$1:$EG$1,0),TRUE)/100/365+1)^(B951)*BQ950,"")</f>
        <v/>
      </c>
      <c r="BR951" s="98" t="str">
        <f t="shared" si="357"/>
        <v/>
      </c>
      <c r="BS951" s="106" t="str">
        <f>IF(A951&lt;&gt;"",VLOOKUP(A951,MarketData!$D:$BP,MATCH($BS$1,MarketData!$D$1:$EG$1,0),TRUE),"")</f>
        <v/>
      </c>
      <c r="BT951" s="98" t="str">
        <f t="shared" si="368"/>
        <v/>
      </c>
    </row>
    <row r="952" spans="2:72" x14ac:dyDescent="0.25">
      <c r="B952" s="60" t="str">
        <f t="shared" si="381"/>
        <v/>
      </c>
      <c r="C952" s="3" t="str">
        <f t="shared" si="358"/>
        <v/>
      </c>
      <c r="D952" s="3" t="str">
        <f t="shared" si="359"/>
        <v/>
      </c>
      <c r="E952" s="3" t="str">
        <f t="shared" si="360"/>
        <v/>
      </c>
      <c r="F952" s="3" t="str">
        <f t="shared" si="361"/>
        <v/>
      </c>
      <c r="G952" s="74" t="str">
        <f t="shared" si="362"/>
        <v/>
      </c>
      <c r="H952" s="78" t="str">
        <f>IFERROR(C952/SUM(M$2:M951),"")</f>
        <v/>
      </c>
      <c r="I952" s="61" t="str">
        <f>IFERROR(D952/SUM(N$2:N952),"")</f>
        <v/>
      </c>
      <c r="J952" s="61" t="str">
        <f>IFERROR(E952/SUM(O$2:O952),"")</f>
        <v/>
      </c>
      <c r="K952" s="61" t="str">
        <f>IFERROR(F952/SUM(P$2:P952),"")</f>
        <v/>
      </c>
      <c r="L952" s="79" t="str">
        <f>IFERROR(G952/SUM(Q$2:Q952),"")</f>
        <v/>
      </c>
      <c r="M952" s="64" t="str">
        <f t="shared" si="363"/>
        <v/>
      </c>
      <c r="N952" s="55" t="str">
        <f t="shared" si="364"/>
        <v/>
      </c>
      <c r="O952" s="55" t="str">
        <f t="shared" si="365"/>
        <v/>
      </c>
      <c r="P952" s="55" t="str">
        <f t="shared" si="366"/>
        <v/>
      </c>
      <c r="Q952" s="65" t="str">
        <f t="shared" si="367"/>
        <v/>
      </c>
      <c r="R952" s="67" t="str">
        <f t="shared" si="369"/>
        <v/>
      </c>
      <c r="S952" s="56" t="str">
        <f t="shared" si="370"/>
        <v/>
      </c>
      <c r="T952" s="56" t="str">
        <f t="shared" si="371"/>
        <v/>
      </c>
      <c r="U952" s="56" t="str">
        <f t="shared" si="372"/>
        <v/>
      </c>
      <c r="V952" s="68" t="str">
        <f t="shared" si="373"/>
        <v/>
      </c>
      <c r="W952" s="80" t="str">
        <f t="shared" si="374"/>
        <v/>
      </c>
      <c r="X952" s="81" t="str">
        <f t="shared" si="375"/>
        <v/>
      </c>
      <c r="Y952" s="81" t="str">
        <f t="shared" si="376"/>
        <v/>
      </c>
      <c r="Z952" s="81" t="str">
        <f t="shared" si="377"/>
        <v/>
      </c>
      <c r="AA952" s="82" t="str">
        <f t="shared" si="378"/>
        <v/>
      </c>
      <c r="AB952" s="83" t="str">
        <f>IF(R952&lt;&gt;"",(W952-SUMPRODUCT(R$3:R952,$B$3:$B952)/SUM($B$3:$B952))/STDEVA(W942:W952),"")</f>
        <v/>
      </c>
      <c r="AC952" s="84" t="str">
        <f>IF(S952&lt;&gt;"",(X952-SUMPRODUCT(S$3:S952,$B$3:$B952)/SUM($B$3:$B952))/STDEVA(X942:X952),"")</f>
        <v/>
      </c>
      <c r="AD952" s="84" t="str">
        <f>IF(T952&lt;&gt;"",(Y952-SUMPRODUCT(T$3:T952,$B$3:$B952)/SUM($B$3:$B952))/STDEVA(Y942:Y952),"")</f>
        <v/>
      </c>
      <c r="AE952" s="84" t="str">
        <f>IF(U952&lt;&gt;"",(Z952-SUMPRODUCT(U$3:U952,$B$3:$B952)/SUM($B$3:$B952))/STDEVA(Z942:Z952),"")</f>
        <v/>
      </c>
      <c r="AF952" s="85" t="str">
        <f>IF(V952&lt;&gt;"",(AA952-SUMPRODUCT(V$3:V952,$B$3:$B952)/SUM($B$3:$B952))/STDEVA(AA942:AA952),"")</f>
        <v/>
      </c>
      <c r="AG952" s="90" t="str">
        <f t="shared" si="380"/>
        <v/>
      </c>
      <c r="AH952" s="90" t="str">
        <f t="shared" si="380"/>
        <v/>
      </c>
      <c r="AI952" s="90" t="str">
        <f t="shared" si="380"/>
        <v/>
      </c>
      <c r="AJ952" s="90" t="str">
        <f t="shared" si="379"/>
        <v/>
      </c>
      <c r="AK952" s="93" t="str">
        <f t="shared" si="379"/>
        <v/>
      </c>
      <c r="BQ952" s="100" t="str">
        <f>IF(A952&lt;&gt;"",(VLOOKUP(A952,MarketData!$D:$BP,MATCH($BQ$1,MarketData!$D$1:$EG$1,0),TRUE)/100/365+1)^(B952)*BQ951,"")</f>
        <v/>
      </c>
      <c r="BR952" s="98" t="str">
        <f t="shared" si="357"/>
        <v/>
      </c>
      <c r="BS952" s="106" t="str">
        <f>IF(A952&lt;&gt;"",VLOOKUP(A952,MarketData!$D:$BP,MATCH($BS$1,MarketData!$D$1:$EG$1,0),TRUE),"")</f>
        <v/>
      </c>
      <c r="BT952" s="98" t="str">
        <f t="shared" si="368"/>
        <v/>
      </c>
    </row>
    <row r="953" spans="2:72" x14ac:dyDescent="0.25">
      <c r="B953" s="60" t="str">
        <f t="shared" si="381"/>
        <v/>
      </c>
      <c r="C953" s="3" t="str">
        <f t="shared" si="358"/>
        <v/>
      </c>
      <c r="D953" s="3" t="str">
        <f t="shared" si="359"/>
        <v/>
      </c>
      <c r="E953" s="3" t="str">
        <f t="shared" si="360"/>
        <v/>
      </c>
      <c r="F953" s="3" t="str">
        <f t="shared" si="361"/>
        <v/>
      </c>
      <c r="G953" s="74" t="str">
        <f t="shared" si="362"/>
        <v/>
      </c>
      <c r="H953" s="78" t="str">
        <f>IFERROR(C953/SUM(M$2:M952),"")</f>
        <v/>
      </c>
      <c r="I953" s="61" t="str">
        <f>IFERROR(D953/SUM(N$2:N953),"")</f>
        <v/>
      </c>
      <c r="J953" s="61" t="str">
        <f>IFERROR(E953/SUM(O$2:O953),"")</f>
        <v/>
      </c>
      <c r="K953" s="61" t="str">
        <f>IFERROR(F953/SUM(P$2:P953),"")</f>
        <v/>
      </c>
      <c r="L953" s="79" t="str">
        <f>IFERROR(G953/SUM(Q$2:Q953),"")</f>
        <v/>
      </c>
      <c r="M953" s="64" t="str">
        <f t="shared" si="363"/>
        <v/>
      </c>
      <c r="N953" s="55" t="str">
        <f t="shared" si="364"/>
        <v/>
      </c>
      <c r="O953" s="55" t="str">
        <f t="shared" si="365"/>
        <v/>
      </c>
      <c r="P953" s="55" t="str">
        <f t="shared" si="366"/>
        <v/>
      </c>
      <c r="Q953" s="65" t="str">
        <f t="shared" si="367"/>
        <v/>
      </c>
      <c r="R953" s="67" t="str">
        <f t="shared" si="369"/>
        <v/>
      </c>
      <c r="S953" s="56" t="str">
        <f t="shared" si="370"/>
        <v/>
      </c>
      <c r="T953" s="56" t="str">
        <f t="shared" si="371"/>
        <v/>
      </c>
      <c r="U953" s="56" t="str">
        <f t="shared" si="372"/>
        <v/>
      </c>
      <c r="V953" s="68" t="str">
        <f t="shared" si="373"/>
        <v/>
      </c>
      <c r="W953" s="80" t="str">
        <f t="shared" si="374"/>
        <v/>
      </c>
      <c r="X953" s="81" t="str">
        <f t="shared" si="375"/>
        <v/>
      </c>
      <c r="Y953" s="81" t="str">
        <f t="shared" si="376"/>
        <v/>
      </c>
      <c r="Z953" s="81" t="str">
        <f t="shared" si="377"/>
        <v/>
      </c>
      <c r="AA953" s="82" t="str">
        <f t="shared" si="378"/>
        <v/>
      </c>
      <c r="AB953" s="83" t="str">
        <f>IF(R953&lt;&gt;"",(W953-SUMPRODUCT(R$3:R953,$B$3:$B953)/SUM($B$3:$B953))/STDEVA(W943:W953),"")</f>
        <v/>
      </c>
      <c r="AC953" s="84" t="str">
        <f>IF(S953&lt;&gt;"",(X953-SUMPRODUCT(S$3:S953,$B$3:$B953)/SUM($B$3:$B953))/STDEVA(X943:X953),"")</f>
        <v/>
      </c>
      <c r="AD953" s="84" t="str">
        <f>IF(T953&lt;&gt;"",(Y953-SUMPRODUCT(T$3:T953,$B$3:$B953)/SUM($B$3:$B953))/STDEVA(Y943:Y953),"")</f>
        <v/>
      </c>
      <c r="AE953" s="84" t="str">
        <f>IF(U953&lt;&gt;"",(Z953-SUMPRODUCT(U$3:U953,$B$3:$B953)/SUM($B$3:$B953))/STDEVA(Z943:Z953),"")</f>
        <v/>
      </c>
      <c r="AF953" s="85" t="str">
        <f>IF(V953&lt;&gt;"",(AA953-SUMPRODUCT(V$3:V953,$B$3:$B953)/SUM($B$3:$B953))/STDEVA(AA943:AA953),"")</f>
        <v/>
      </c>
      <c r="AG953" s="90" t="str">
        <f t="shared" si="380"/>
        <v/>
      </c>
      <c r="AH953" s="90" t="str">
        <f t="shared" si="380"/>
        <v/>
      </c>
      <c r="AI953" s="90" t="str">
        <f t="shared" si="380"/>
        <v/>
      </c>
      <c r="AJ953" s="90" t="str">
        <f t="shared" si="379"/>
        <v/>
      </c>
      <c r="AK953" s="93" t="str">
        <f t="shared" si="379"/>
        <v/>
      </c>
      <c r="BQ953" s="100" t="str">
        <f>IF(A953&lt;&gt;"",(VLOOKUP(A953,MarketData!$D:$BP,MATCH($BQ$1,MarketData!$D$1:$EG$1,0),TRUE)/100/365+1)^(B953)*BQ952,"")</f>
        <v/>
      </c>
      <c r="BR953" s="98" t="str">
        <f t="shared" si="357"/>
        <v/>
      </c>
      <c r="BS953" s="106" t="str">
        <f>IF(A953&lt;&gt;"",VLOOKUP(A953,MarketData!$D:$BP,MATCH($BS$1,MarketData!$D$1:$EG$1,0),TRUE),"")</f>
        <v/>
      </c>
      <c r="BT953" s="98" t="str">
        <f t="shared" si="368"/>
        <v/>
      </c>
    </row>
    <row r="954" spans="2:72" x14ac:dyDescent="0.25">
      <c r="B954" s="60" t="str">
        <f t="shared" si="381"/>
        <v/>
      </c>
      <c r="C954" s="3" t="str">
        <f t="shared" si="358"/>
        <v/>
      </c>
      <c r="D954" s="3" t="str">
        <f t="shared" si="359"/>
        <v/>
      </c>
      <c r="E954" s="3" t="str">
        <f t="shared" si="360"/>
        <v/>
      </c>
      <c r="F954" s="3" t="str">
        <f t="shared" si="361"/>
        <v/>
      </c>
      <c r="G954" s="74" t="str">
        <f t="shared" si="362"/>
        <v/>
      </c>
      <c r="H954" s="78" t="str">
        <f>IFERROR(C954/SUM(M$2:M953),"")</f>
        <v/>
      </c>
      <c r="I954" s="61" t="str">
        <f>IFERROR(D954/SUM(N$2:N954),"")</f>
        <v/>
      </c>
      <c r="J954" s="61" t="str">
        <f>IFERROR(E954/SUM(O$2:O954),"")</f>
        <v/>
      </c>
      <c r="K954" s="61" t="str">
        <f>IFERROR(F954/SUM(P$2:P954),"")</f>
        <v/>
      </c>
      <c r="L954" s="79" t="str">
        <f>IFERROR(G954/SUM(Q$2:Q954),"")</f>
        <v/>
      </c>
      <c r="M954" s="64" t="str">
        <f t="shared" si="363"/>
        <v/>
      </c>
      <c r="N954" s="55" t="str">
        <f t="shared" si="364"/>
        <v/>
      </c>
      <c r="O954" s="55" t="str">
        <f t="shared" si="365"/>
        <v/>
      </c>
      <c r="P954" s="55" t="str">
        <f t="shared" si="366"/>
        <v/>
      </c>
      <c r="Q954" s="65" t="str">
        <f t="shared" si="367"/>
        <v/>
      </c>
      <c r="R954" s="67" t="str">
        <f t="shared" si="369"/>
        <v/>
      </c>
      <c r="S954" s="56" t="str">
        <f t="shared" si="370"/>
        <v/>
      </c>
      <c r="T954" s="56" t="str">
        <f t="shared" si="371"/>
        <v/>
      </c>
      <c r="U954" s="56" t="str">
        <f t="shared" si="372"/>
        <v/>
      </c>
      <c r="V954" s="68" t="str">
        <f t="shared" si="373"/>
        <v/>
      </c>
      <c r="W954" s="80" t="str">
        <f t="shared" si="374"/>
        <v/>
      </c>
      <c r="X954" s="81" t="str">
        <f t="shared" si="375"/>
        <v/>
      </c>
      <c r="Y954" s="81" t="str">
        <f t="shared" si="376"/>
        <v/>
      </c>
      <c r="Z954" s="81" t="str">
        <f t="shared" si="377"/>
        <v/>
      </c>
      <c r="AA954" s="82" t="str">
        <f t="shared" si="378"/>
        <v/>
      </c>
      <c r="AB954" s="83" t="str">
        <f>IF(R954&lt;&gt;"",(W954-SUMPRODUCT(R$3:R954,$B$3:$B954)/SUM($B$3:$B954))/STDEVA(W944:W954),"")</f>
        <v/>
      </c>
      <c r="AC954" s="84" t="str">
        <f>IF(S954&lt;&gt;"",(X954-SUMPRODUCT(S$3:S954,$B$3:$B954)/SUM($B$3:$B954))/STDEVA(X944:X954),"")</f>
        <v/>
      </c>
      <c r="AD954" s="84" t="str">
        <f>IF(T954&lt;&gt;"",(Y954-SUMPRODUCT(T$3:T954,$B$3:$B954)/SUM($B$3:$B954))/STDEVA(Y944:Y954),"")</f>
        <v/>
      </c>
      <c r="AE954" s="84" t="str">
        <f>IF(U954&lt;&gt;"",(Z954-SUMPRODUCT(U$3:U954,$B$3:$B954)/SUM($B$3:$B954))/STDEVA(Z944:Z954),"")</f>
        <v/>
      </c>
      <c r="AF954" s="85" t="str">
        <f>IF(V954&lt;&gt;"",(AA954-SUMPRODUCT(V$3:V954,$B$3:$B954)/SUM($B$3:$B954))/STDEVA(AA944:AA954),"")</f>
        <v/>
      </c>
      <c r="AG954" s="90" t="str">
        <f t="shared" si="380"/>
        <v/>
      </c>
      <c r="AH954" s="90" t="str">
        <f t="shared" si="380"/>
        <v/>
      </c>
      <c r="AI954" s="90" t="str">
        <f t="shared" si="380"/>
        <v/>
      </c>
      <c r="AJ954" s="90" t="str">
        <f t="shared" si="379"/>
        <v/>
      </c>
      <c r="AK954" s="93" t="str">
        <f t="shared" si="379"/>
        <v/>
      </c>
      <c r="BQ954" s="100" t="str">
        <f>IF(A954&lt;&gt;"",(VLOOKUP(A954,MarketData!$D:$BP,MATCH($BQ$1,MarketData!$D$1:$EG$1,0),TRUE)/100/365+1)^(B954)*BQ953,"")</f>
        <v/>
      </c>
      <c r="BR954" s="98" t="str">
        <f t="shared" si="357"/>
        <v/>
      </c>
      <c r="BS954" s="106" t="str">
        <f>IF(A954&lt;&gt;"",VLOOKUP(A954,MarketData!$D:$BP,MATCH($BS$1,MarketData!$D$1:$EG$1,0),TRUE),"")</f>
        <v/>
      </c>
      <c r="BT954" s="98" t="str">
        <f t="shared" si="368"/>
        <v/>
      </c>
    </row>
    <row r="955" spans="2:72" x14ac:dyDescent="0.25">
      <c r="B955" s="60" t="str">
        <f t="shared" si="381"/>
        <v/>
      </c>
      <c r="C955" s="3" t="str">
        <f t="shared" si="358"/>
        <v/>
      </c>
      <c r="D955" s="3" t="str">
        <f t="shared" si="359"/>
        <v/>
      </c>
      <c r="E955" s="3" t="str">
        <f t="shared" si="360"/>
        <v/>
      </c>
      <c r="F955" s="3" t="str">
        <f t="shared" si="361"/>
        <v/>
      </c>
      <c r="G955" s="74" t="str">
        <f t="shared" si="362"/>
        <v/>
      </c>
      <c r="H955" s="78" t="str">
        <f>IFERROR(C955/SUM(M$2:M954),"")</f>
        <v/>
      </c>
      <c r="I955" s="61" t="str">
        <f>IFERROR(D955/SUM(N$2:N955),"")</f>
        <v/>
      </c>
      <c r="J955" s="61" t="str">
        <f>IFERROR(E955/SUM(O$2:O955),"")</f>
        <v/>
      </c>
      <c r="K955" s="61" t="str">
        <f>IFERROR(F955/SUM(P$2:P955),"")</f>
        <v/>
      </c>
      <c r="L955" s="79" t="str">
        <f>IFERROR(G955/SUM(Q$2:Q955),"")</f>
        <v/>
      </c>
      <c r="M955" s="64" t="str">
        <f t="shared" si="363"/>
        <v/>
      </c>
      <c r="N955" s="55" t="str">
        <f t="shared" si="364"/>
        <v/>
      </c>
      <c r="O955" s="55" t="str">
        <f t="shared" si="365"/>
        <v/>
      </c>
      <c r="P955" s="55" t="str">
        <f t="shared" si="366"/>
        <v/>
      </c>
      <c r="Q955" s="65" t="str">
        <f t="shared" si="367"/>
        <v/>
      </c>
      <c r="R955" s="67" t="str">
        <f t="shared" si="369"/>
        <v/>
      </c>
      <c r="S955" s="56" t="str">
        <f t="shared" si="370"/>
        <v/>
      </c>
      <c r="T955" s="56" t="str">
        <f t="shared" si="371"/>
        <v/>
      </c>
      <c r="U955" s="56" t="str">
        <f t="shared" si="372"/>
        <v/>
      </c>
      <c r="V955" s="68" t="str">
        <f t="shared" si="373"/>
        <v/>
      </c>
      <c r="W955" s="80" t="str">
        <f t="shared" si="374"/>
        <v/>
      </c>
      <c r="X955" s="81" t="str">
        <f t="shared" si="375"/>
        <v/>
      </c>
      <c r="Y955" s="81" t="str">
        <f t="shared" si="376"/>
        <v/>
      </c>
      <c r="Z955" s="81" t="str">
        <f t="shared" si="377"/>
        <v/>
      </c>
      <c r="AA955" s="82" t="str">
        <f t="shared" si="378"/>
        <v/>
      </c>
      <c r="AB955" s="83" t="str">
        <f>IF(R955&lt;&gt;"",(W955-SUMPRODUCT(R$3:R955,$B$3:$B955)/SUM($B$3:$B955))/STDEVA(W945:W955),"")</f>
        <v/>
      </c>
      <c r="AC955" s="84" t="str">
        <f>IF(S955&lt;&gt;"",(X955-SUMPRODUCT(S$3:S955,$B$3:$B955)/SUM($B$3:$B955))/STDEVA(X945:X955),"")</f>
        <v/>
      </c>
      <c r="AD955" s="84" t="str">
        <f>IF(T955&lt;&gt;"",(Y955-SUMPRODUCT(T$3:T955,$B$3:$B955)/SUM($B$3:$B955))/STDEVA(Y945:Y955),"")</f>
        <v/>
      </c>
      <c r="AE955" s="84" t="str">
        <f>IF(U955&lt;&gt;"",(Z955-SUMPRODUCT(U$3:U955,$B$3:$B955)/SUM($B$3:$B955))/STDEVA(Z945:Z955),"")</f>
        <v/>
      </c>
      <c r="AF955" s="85" t="str">
        <f>IF(V955&lt;&gt;"",(AA955-SUMPRODUCT(V$3:V955,$B$3:$B955)/SUM($B$3:$B955))/STDEVA(AA945:AA955),"")</f>
        <v/>
      </c>
      <c r="AG955" s="90" t="str">
        <f t="shared" si="380"/>
        <v/>
      </c>
      <c r="AH955" s="90" t="str">
        <f t="shared" si="380"/>
        <v/>
      </c>
      <c r="AI955" s="90" t="str">
        <f t="shared" si="380"/>
        <v/>
      </c>
      <c r="AJ955" s="90" t="str">
        <f t="shared" si="379"/>
        <v/>
      </c>
      <c r="AK955" s="93" t="str">
        <f t="shared" si="379"/>
        <v/>
      </c>
      <c r="BQ955" s="100" t="str">
        <f>IF(A955&lt;&gt;"",(VLOOKUP(A955,MarketData!$D:$BP,MATCH($BQ$1,MarketData!$D$1:$EG$1,0),TRUE)/100/365+1)^(B955)*BQ954,"")</f>
        <v/>
      </c>
      <c r="BR955" s="98" t="str">
        <f t="shared" si="357"/>
        <v/>
      </c>
      <c r="BS955" s="106" t="str">
        <f>IF(A955&lt;&gt;"",VLOOKUP(A955,MarketData!$D:$BP,MATCH($BS$1,MarketData!$D$1:$EG$1,0),TRUE),"")</f>
        <v/>
      </c>
      <c r="BT955" s="98" t="str">
        <f t="shared" si="368"/>
        <v/>
      </c>
    </row>
    <row r="956" spans="2:72" x14ac:dyDescent="0.25">
      <c r="B956" s="60" t="str">
        <f t="shared" si="381"/>
        <v/>
      </c>
      <c r="C956" s="3" t="str">
        <f t="shared" si="358"/>
        <v/>
      </c>
      <c r="D956" s="3" t="str">
        <f t="shared" si="359"/>
        <v/>
      </c>
      <c r="E956" s="3" t="str">
        <f t="shared" si="360"/>
        <v/>
      </c>
      <c r="F956" s="3" t="str">
        <f t="shared" si="361"/>
        <v/>
      </c>
      <c r="G956" s="74" t="str">
        <f t="shared" si="362"/>
        <v/>
      </c>
      <c r="H956" s="78" t="str">
        <f>IFERROR(C956/SUM(M$2:M955),"")</f>
        <v/>
      </c>
      <c r="I956" s="61" t="str">
        <f>IFERROR(D956/SUM(N$2:N956),"")</f>
        <v/>
      </c>
      <c r="J956" s="61" t="str">
        <f>IFERROR(E956/SUM(O$2:O956),"")</f>
        <v/>
      </c>
      <c r="K956" s="61" t="str">
        <f>IFERROR(F956/SUM(P$2:P956),"")</f>
        <v/>
      </c>
      <c r="L956" s="79" t="str">
        <f>IFERROR(G956/SUM(Q$2:Q956),"")</f>
        <v/>
      </c>
      <c r="M956" s="64" t="str">
        <f t="shared" si="363"/>
        <v/>
      </c>
      <c r="N956" s="55" t="str">
        <f t="shared" si="364"/>
        <v/>
      </c>
      <c r="O956" s="55" t="str">
        <f t="shared" si="365"/>
        <v/>
      </c>
      <c r="P956" s="55" t="str">
        <f t="shared" si="366"/>
        <v/>
      </c>
      <c r="Q956" s="65" t="str">
        <f t="shared" si="367"/>
        <v/>
      </c>
      <c r="R956" s="67" t="str">
        <f t="shared" si="369"/>
        <v/>
      </c>
      <c r="S956" s="56" t="str">
        <f t="shared" si="370"/>
        <v/>
      </c>
      <c r="T956" s="56" t="str">
        <f t="shared" si="371"/>
        <v/>
      </c>
      <c r="U956" s="56" t="str">
        <f t="shared" si="372"/>
        <v/>
      </c>
      <c r="V956" s="68" t="str">
        <f t="shared" si="373"/>
        <v/>
      </c>
      <c r="W956" s="80" t="str">
        <f t="shared" si="374"/>
        <v/>
      </c>
      <c r="X956" s="81" t="str">
        <f t="shared" si="375"/>
        <v/>
      </c>
      <c r="Y956" s="81" t="str">
        <f t="shared" si="376"/>
        <v/>
      </c>
      <c r="Z956" s="81" t="str">
        <f t="shared" si="377"/>
        <v/>
      </c>
      <c r="AA956" s="82" t="str">
        <f t="shared" si="378"/>
        <v/>
      </c>
      <c r="AB956" s="83" t="str">
        <f>IF(R956&lt;&gt;"",(W956-SUMPRODUCT(R$3:R956,$B$3:$B956)/SUM($B$3:$B956))/STDEVA(W946:W956),"")</f>
        <v/>
      </c>
      <c r="AC956" s="84" t="str">
        <f>IF(S956&lt;&gt;"",(X956-SUMPRODUCT(S$3:S956,$B$3:$B956)/SUM($B$3:$B956))/STDEVA(X946:X956),"")</f>
        <v/>
      </c>
      <c r="AD956" s="84" t="str">
        <f>IF(T956&lt;&gt;"",(Y956-SUMPRODUCT(T$3:T956,$B$3:$B956)/SUM($B$3:$B956))/STDEVA(Y946:Y956),"")</f>
        <v/>
      </c>
      <c r="AE956" s="84" t="str">
        <f>IF(U956&lt;&gt;"",(Z956-SUMPRODUCT(U$3:U956,$B$3:$B956)/SUM($B$3:$B956))/STDEVA(Z946:Z956),"")</f>
        <v/>
      </c>
      <c r="AF956" s="85" t="str">
        <f>IF(V956&lt;&gt;"",(AA956-SUMPRODUCT(V$3:V956,$B$3:$B956)/SUM($B$3:$B956))/STDEVA(AA946:AA956),"")</f>
        <v/>
      </c>
      <c r="AG956" s="90" t="str">
        <f t="shared" si="380"/>
        <v/>
      </c>
      <c r="AH956" s="90" t="str">
        <f t="shared" si="380"/>
        <v/>
      </c>
      <c r="AI956" s="90" t="str">
        <f t="shared" si="380"/>
        <v/>
      </c>
      <c r="AJ956" s="90" t="str">
        <f t="shared" si="379"/>
        <v/>
      </c>
      <c r="AK956" s="93" t="str">
        <f t="shared" si="379"/>
        <v/>
      </c>
      <c r="BQ956" s="100" t="str">
        <f>IF(A956&lt;&gt;"",(VLOOKUP(A956,MarketData!$D:$BP,MATCH($BQ$1,MarketData!$D$1:$EG$1,0),TRUE)/100/365+1)^(B956)*BQ955,"")</f>
        <v/>
      </c>
      <c r="BR956" s="98" t="str">
        <f t="shared" si="357"/>
        <v/>
      </c>
      <c r="BS956" s="106" t="str">
        <f>IF(A956&lt;&gt;"",VLOOKUP(A956,MarketData!$D:$BP,MATCH($BS$1,MarketData!$D$1:$EG$1,0),TRUE),"")</f>
        <v/>
      </c>
      <c r="BT956" s="98" t="str">
        <f t="shared" si="368"/>
        <v/>
      </c>
    </row>
    <row r="957" spans="2:72" x14ac:dyDescent="0.25">
      <c r="B957" s="60" t="str">
        <f t="shared" si="381"/>
        <v/>
      </c>
      <c r="C957" s="3" t="str">
        <f t="shared" si="358"/>
        <v/>
      </c>
      <c r="D957" s="3" t="str">
        <f t="shared" si="359"/>
        <v/>
      </c>
      <c r="E957" s="3" t="str">
        <f t="shared" si="360"/>
        <v/>
      </c>
      <c r="F957" s="3" t="str">
        <f t="shared" si="361"/>
        <v/>
      </c>
      <c r="G957" s="74" t="str">
        <f t="shared" si="362"/>
        <v/>
      </c>
      <c r="H957" s="78" t="str">
        <f>IFERROR(C957/SUM(M$2:M956),"")</f>
        <v/>
      </c>
      <c r="I957" s="61" t="str">
        <f>IFERROR(D957/SUM(N$2:N957),"")</f>
        <v/>
      </c>
      <c r="J957" s="61" t="str">
        <f>IFERROR(E957/SUM(O$2:O957),"")</f>
        <v/>
      </c>
      <c r="K957" s="61" t="str">
        <f>IFERROR(F957/SUM(P$2:P957),"")</f>
        <v/>
      </c>
      <c r="L957" s="79" t="str">
        <f>IFERROR(G957/SUM(Q$2:Q957),"")</f>
        <v/>
      </c>
      <c r="M957" s="64" t="str">
        <f t="shared" si="363"/>
        <v/>
      </c>
      <c r="N957" s="55" t="str">
        <f t="shared" si="364"/>
        <v/>
      </c>
      <c r="O957" s="55" t="str">
        <f t="shared" si="365"/>
        <v/>
      </c>
      <c r="P957" s="55" t="str">
        <f t="shared" si="366"/>
        <v/>
      </c>
      <c r="Q957" s="65" t="str">
        <f t="shared" si="367"/>
        <v/>
      </c>
      <c r="R957" s="67" t="str">
        <f t="shared" si="369"/>
        <v/>
      </c>
      <c r="S957" s="56" t="str">
        <f t="shared" si="370"/>
        <v/>
      </c>
      <c r="T957" s="56" t="str">
        <f t="shared" si="371"/>
        <v/>
      </c>
      <c r="U957" s="56" t="str">
        <f t="shared" si="372"/>
        <v/>
      </c>
      <c r="V957" s="68" t="str">
        <f t="shared" si="373"/>
        <v/>
      </c>
      <c r="W957" s="80" t="str">
        <f t="shared" si="374"/>
        <v/>
      </c>
      <c r="X957" s="81" t="str">
        <f t="shared" si="375"/>
        <v/>
      </c>
      <c r="Y957" s="81" t="str">
        <f t="shared" si="376"/>
        <v/>
      </c>
      <c r="Z957" s="81" t="str">
        <f t="shared" si="377"/>
        <v/>
      </c>
      <c r="AA957" s="82" t="str">
        <f t="shared" si="378"/>
        <v/>
      </c>
      <c r="AB957" s="83" t="str">
        <f>IF(R957&lt;&gt;"",(W957-SUMPRODUCT(R$3:R957,$B$3:$B957)/SUM($B$3:$B957))/STDEVA(W947:W957),"")</f>
        <v/>
      </c>
      <c r="AC957" s="84" t="str">
        <f>IF(S957&lt;&gt;"",(X957-SUMPRODUCT(S$3:S957,$B$3:$B957)/SUM($B$3:$B957))/STDEVA(X947:X957),"")</f>
        <v/>
      </c>
      <c r="AD957" s="84" t="str">
        <f>IF(T957&lt;&gt;"",(Y957-SUMPRODUCT(T$3:T957,$B$3:$B957)/SUM($B$3:$B957))/STDEVA(Y947:Y957),"")</f>
        <v/>
      </c>
      <c r="AE957" s="84" t="str">
        <f>IF(U957&lt;&gt;"",(Z957-SUMPRODUCT(U$3:U957,$B$3:$B957)/SUM($B$3:$B957))/STDEVA(Z947:Z957),"")</f>
        <v/>
      </c>
      <c r="AF957" s="85" t="str">
        <f>IF(V957&lt;&gt;"",(AA957-SUMPRODUCT(V$3:V957,$B$3:$B957)/SUM($B$3:$B957))/STDEVA(AA947:AA957),"")</f>
        <v/>
      </c>
      <c r="AG957" s="90" t="str">
        <f t="shared" si="380"/>
        <v/>
      </c>
      <c r="AH957" s="90" t="str">
        <f t="shared" si="380"/>
        <v/>
      </c>
      <c r="AI957" s="90" t="str">
        <f t="shared" si="380"/>
        <v/>
      </c>
      <c r="AJ957" s="90" t="str">
        <f t="shared" si="379"/>
        <v/>
      </c>
      <c r="AK957" s="93" t="str">
        <f t="shared" si="379"/>
        <v/>
      </c>
      <c r="BQ957" s="100" t="str">
        <f>IF(A957&lt;&gt;"",(VLOOKUP(A957,MarketData!$D:$BP,MATCH($BQ$1,MarketData!$D$1:$EG$1,0),TRUE)/100/365+1)^(B957)*BQ956,"")</f>
        <v/>
      </c>
      <c r="BR957" s="98" t="str">
        <f t="shared" si="357"/>
        <v/>
      </c>
      <c r="BS957" s="106" t="str">
        <f>IF(A957&lt;&gt;"",VLOOKUP(A957,MarketData!$D:$BP,MATCH($BS$1,MarketData!$D$1:$EG$1,0),TRUE),"")</f>
        <v/>
      </c>
      <c r="BT957" s="98" t="str">
        <f t="shared" si="368"/>
        <v/>
      </c>
    </row>
    <row r="958" spans="2:72" x14ac:dyDescent="0.25">
      <c r="B958" s="60" t="str">
        <f t="shared" si="381"/>
        <v/>
      </c>
      <c r="C958" s="3" t="str">
        <f t="shared" si="358"/>
        <v/>
      </c>
      <c r="D958" s="3" t="str">
        <f t="shared" si="359"/>
        <v/>
      </c>
      <c r="E958" s="3" t="str">
        <f t="shared" si="360"/>
        <v/>
      </c>
      <c r="F958" s="3" t="str">
        <f t="shared" si="361"/>
        <v/>
      </c>
      <c r="G958" s="74" t="str">
        <f t="shared" si="362"/>
        <v/>
      </c>
      <c r="H958" s="78" t="str">
        <f>IFERROR(C958/SUM(M$2:M957),"")</f>
        <v/>
      </c>
      <c r="I958" s="61" t="str">
        <f>IFERROR(D958/SUM(N$2:N958),"")</f>
        <v/>
      </c>
      <c r="J958" s="61" t="str">
        <f>IFERROR(E958/SUM(O$2:O958),"")</f>
        <v/>
      </c>
      <c r="K958" s="61" t="str">
        <f>IFERROR(F958/SUM(P$2:P958),"")</f>
        <v/>
      </c>
      <c r="L958" s="79" t="str">
        <f>IFERROR(G958/SUM(Q$2:Q958),"")</f>
        <v/>
      </c>
      <c r="M958" s="64" t="str">
        <f t="shared" si="363"/>
        <v/>
      </c>
      <c r="N958" s="55" t="str">
        <f t="shared" si="364"/>
        <v/>
      </c>
      <c r="O958" s="55" t="str">
        <f t="shared" si="365"/>
        <v/>
      </c>
      <c r="P958" s="55" t="str">
        <f t="shared" si="366"/>
        <v/>
      </c>
      <c r="Q958" s="65" t="str">
        <f t="shared" si="367"/>
        <v/>
      </c>
      <c r="R958" s="67" t="str">
        <f t="shared" si="369"/>
        <v/>
      </c>
      <c r="S958" s="56" t="str">
        <f t="shared" si="370"/>
        <v/>
      </c>
      <c r="T958" s="56" t="str">
        <f t="shared" si="371"/>
        <v/>
      </c>
      <c r="U958" s="56" t="str">
        <f t="shared" si="372"/>
        <v/>
      </c>
      <c r="V958" s="68" t="str">
        <f t="shared" si="373"/>
        <v/>
      </c>
      <c r="W958" s="80" t="str">
        <f t="shared" si="374"/>
        <v/>
      </c>
      <c r="X958" s="81" t="str">
        <f t="shared" si="375"/>
        <v/>
      </c>
      <c r="Y958" s="81" t="str">
        <f t="shared" si="376"/>
        <v/>
      </c>
      <c r="Z958" s="81" t="str">
        <f t="shared" si="377"/>
        <v/>
      </c>
      <c r="AA958" s="82" t="str">
        <f t="shared" si="378"/>
        <v/>
      </c>
      <c r="AB958" s="83" t="str">
        <f>IF(R958&lt;&gt;"",(W958-SUMPRODUCT(R$3:R958,$B$3:$B958)/SUM($B$3:$B958))/STDEVA(W948:W958),"")</f>
        <v/>
      </c>
      <c r="AC958" s="84" t="str">
        <f>IF(S958&lt;&gt;"",(X958-SUMPRODUCT(S$3:S958,$B$3:$B958)/SUM($B$3:$B958))/STDEVA(X948:X958),"")</f>
        <v/>
      </c>
      <c r="AD958" s="84" t="str">
        <f>IF(T958&lt;&gt;"",(Y958-SUMPRODUCT(T$3:T958,$B$3:$B958)/SUM($B$3:$B958))/STDEVA(Y948:Y958),"")</f>
        <v/>
      </c>
      <c r="AE958" s="84" t="str">
        <f>IF(U958&lt;&gt;"",(Z958-SUMPRODUCT(U$3:U958,$B$3:$B958)/SUM($B$3:$B958))/STDEVA(Z948:Z958),"")</f>
        <v/>
      </c>
      <c r="AF958" s="85" t="str">
        <f>IF(V958&lt;&gt;"",(AA958-SUMPRODUCT(V$3:V958,$B$3:$B958)/SUM($B$3:$B958))/STDEVA(AA948:AA958),"")</f>
        <v/>
      </c>
      <c r="AG958" s="90" t="str">
        <f t="shared" si="380"/>
        <v/>
      </c>
      <c r="AH958" s="90" t="str">
        <f t="shared" si="380"/>
        <v/>
      </c>
      <c r="AI958" s="90" t="str">
        <f t="shared" si="380"/>
        <v/>
      </c>
      <c r="AJ958" s="90" t="str">
        <f t="shared" si="379"/>
        <v/>
      </c>
      <c r="AK958" s="93" t="str">
        <f t="shared" si="379"/>
        <v/>
      </c>
      <c r="BQ958" s="100" t="str">
        <f>IF(A958&lt;&gt;"",(VLOOKUP(A958,MarketData!$D:$BP,MATCH($BQ$1,MarketData!$D$1:$EG$1,0),TRUE)/100/365+1)^(B958)*BQ957,"")</f>
        <v/>
      </c>
      <c r="BR958" s="98" t="str">
        <f t="shared" si="357"/>
        <v/>
      </c>
      <c r="BS958" s="106" t="str">
        <f>IF(A958&lt;&gt;"",VLOOKUP(A958,MarketData!$D:$BP,MATCH($BS$1,MarketData!$D$1:$EG$1,0),TRUE),"")</f>
        <v/>
      </c>
      <c r="BT958" s="98" t="str">
        <f t="shared" si="368"/>
        <v/>
      </c>
    </row>
    <row r="959" spans="2:72" x14ac:dyDescent="0.25">
      <c r="B959" s="60" t="str">
        <f t="shared" si="381"/>
        <v/>
      </c>
      <c r="C959" s="3" t="str">
        <f t="shared" si="358"/>
        <v/>
      </c>
      <c r="D959" s="3" t="str">
        <f t="shared" si="359"/>
        <v/>
      </c>
      <c r="E959" s="3" t="str">
        <f t="shared" si="360"/>
        <v/>
      </c>
      <c r="F959" s="3" t="str">
        <f t="shared" si="361"/>
        <v/>
      </c>
      <c r="G959" s="74" t="str">
        <f t="shared" si="362"/>
        <v/>
      </c>
      <c r="H959" s="78" t="str">
        <f>IFERROR(C959/SUM(M$2:M958),"")</f>
        <v/>
      </c>
      <c r="I959" s="61" t="str">
        <f>IFERROR(D959/SUM(N$2:N959),"")</f>
        <v/>
      </c>
      <c r="J959" s="61" t="str">
        <f>IFERROR(E959/SUM(O$2:O959),"")</f>
        <v/>
      </c>
      <c r="K959" s="61" t="str">
        <f>IFERROR(F959/SUM(P$2:P959),"")</f>
        <v/>
      </c>
      <c r="L959" s="79" t="str">
        <f>IFERROR(G959/SUM(Q$2:Q959),"")</f>
        <v/>
      </c>
      <c r="M959" s="64" t="str">
        <f t="shared" si="363"/>
        <v/>
      </c>
      <c r="N959" s="55" t="str">
        <f t="shared" si="364"/>
        <v/>
      </c>
      <c r="O959" s="55" t="str">
        <f t="shared" si="365"/>
        <v/>
      </c>
      <c r="P959" s="55" t="str">
        <f t="shared" si="366"/>
        <v/>
      </c>
      <c r="Q959" s="65" t="str">
        <f t="shared" si="367"/>
        <v/>
      </c>
      <c r="R959" s="67" t="str">
        <f t="shared" si="369"/>
        <v/>
      </c>
      <c r="S959" s="56" t="str">
        <f t="shared" si="370"/>
        <v/>
      </c>
      <c r="T959" s="56" t="str">
        <f t="shared" si="371"/>
        <v/>
      </c>
      <c r="U959" s="56" t="str">
        <f t="shared" si="372"/>
        <v/>
      </c>
      <c r="V959" s="68" t="str">
        <f t="shared" si="373"/>
        <v/>
      </c>
      <c r="W959" s="80" t="str">
        <f t="shared" si="374"/>
        <v/>
      </c>
      <c r="X959" s="81" t="str">
        <f t="shared" si="375"/>
        <v/>
      </c>
      <c r="Y959" s="81" t="str">
        <f t="shared" si="376"/>
        <v/>
      </c>
      <c r="Z959" s="81" t="str">
        <f t="shared" si="377"/>
        <v/>
      </c>
      <c r="AA959" s="82" t="str">
        <f t="shared" si="378"/>
        <v/>
      </c>
      <c r="AB959" s="83" t="str">
        <f>IF(R959&lt;&gt;"",(W959-SUMPRODUCT(R$3:R959,$B$3:$B959)/SUM($B$3:$B959))/STDEVA(W949:W959),"")</f>
        <v/>
      </c>
      <c r="AC959" s="84" t="str">
        <f>IF(S959&lt;&gt;"",(X959-SUMPRODUCT(S$3:S959,$B$3:$B959)/SUM($B$3:$B959))/STDEVA(X949:X959),"")</f>
        <v/>
      </c>
      <c r="AD959" s="84" t="str">
        <f>IF(T959&lt;&gt;"",(Y959-SUMPRODUCT(T$3:T959,$B$3:$B959)/SUM($B$3:$B959))/STDEVA(Y949:Y959),"")</f>
        <v/>
      </c>
      <c r="AE959" s="84" t="str">
        <f>IF(U959&lt;&gt;"",(Z959-SUMPRODUCT(U$3:U959,$B$3:$B959)/SUM($B$3:$B959))/STDEVA(Z949:Z959),"")</f>
        <v/>
      </c>
      <c r="AF959" s="85" t="str">
        <f>IF(V959&lt;&gt;"",(AA959-SUMPRODUCT(V$3:V959,$B$3:$B959)/SUM($B$3:$B959))/STDEVA(AA949:AA959),"")</f>
        <v/>
      </c>
      <c r="AG959" s="90" t="str">
        <f t="shared" si="380"/>
        <v/>
      </c>
      <c r="AH959" s="90" t="str">
        <f t="shared" si="380"/>
        <v/>
      </c>
      <c r="AI959" s="90" t="str">
        <f t="shared" si="380"/>
        <v/>
      </c>
      <c r="AJ959" s="90" t="str">
        <f t="shared" si="379"/>
        <v/>
      </c>
      <c r="AK959" s="93" t="str">
        <f t="shared" si="379"/>
        <v/>
      </c>
      <c r="BQ959" s="100" t="str">
        <f>IF(A959&lt;&gt;"",(VLOOKUP(A959,MarketData!$D:$BP,MATCH($BQ$1,MarketData!$D$1:$EG$1,0),TRUE)/100/365+1)^(B959)*BQ958,"")</f>
        <v/>
      </c>
      <c r="BR959" s="98" t="str">
        <f t="shared" si="357"/>
        <v/>
      </c>
      <c r="BS959" s="106" t="str">
        <f>IF(A959&lt;&gt;"",VLOOKUP(A959,MarketData!$D:$BP,MATCH($BS$1,MarketData!$D$1:$EG$1,0),TRUE),"")</f>
        <v/>
      </c>
      <c r="BT959" s="98" t="str">
        <f t="shared" si="368"/>
        <v/>
      </c>
    </row>
    <row r="960" spans="2:72" x14ac:dyDescent="0.25">
      <c r="B960" s="60" t="str">
        <f t="shared" si="381"/>
        <v/>
      </c>
      <c r="C960" s="3" t="str">
        <f t="shared" si="358"/>
        <v/>
      </c>
      <c r="D960" s="3" t="str">
        <f t="shared" si="359"/>
        <v/>
      </c>
      <c r="E960" s="3" t="str">
        <f t="shared" si="360"/>
        <v/>
      </c>
      <c r="F960" s="3" t="str">
        <f t="shared" si="361"/>
        <v/>
      </c>
      <c r="G960" s="74" t="str">
        <f t="shared" si="362"/>
        <v/>
      </c>
      <c r="H960" s="78" t="str">
        <f>IFERROR(C960/SUM(M$2:M959),"")</f>
        <v/>
      </c>
      <c r="I960" s="61" t="str">
        <f>IFERROR(D960/SUM(N$2:N960),"")</f>
        <v/>
      </c>
      <c r="J960" s="61" t="str">
        <f>IFERROR(E960/SUM(O$2:O960),"")</f>
        <v/>
      </c>
      <c r="K960" s="61" t="str">
        <f>IFERROR(F960/SUM(P$2:P960),"")</f>
        <v/>
      </c>
      <c r="L960" s="79" t="str">
        <f>IFERROR(G960/SUM(Q$2:Q960),"")</f>
        <v/>
      </c>
      <c r="M960" s="64" t="str">
        <f t="shared" si="363"/>
        <v/>
      </c>
      <c r="N960" s="55" t="str">
        <f t="shared" si="364"/>
        <v/>
      </c>
      <c r="O960" s="55" t="str">
        <f t="shared" si="365"/>
        <v/>
      </c>
      <c r="P960" s="55" t="str">
        <f t="shared" si="366"/>
        <v/>
      </c>
      <c r="Q960" s="65" t="str">
        <f t="shared" si="367"/>
        <v/>
      </c>
      <c r="R960" s="67" t="str">
        <f t="shared" si="369"/>
        <v/>
      </c>
      <c r="S960" s="56" t="str">
        <f t="shared" si="370"/>
        <v/>
      </c>
      <c r="T960" s="56" t="str">
        <f t="shared" si="371"/>
        <v/>
      </c>
      <c r="U960" s="56" t="str">
        <f t="shared" si="372"/>
        <v/>
      </c>
      <c r="V960" s="68" t="str">
        <f t="shared" si="373"/>
        <v/>
      </c>
      <c r="W960" s="80" t="str">
        <f t="shared" si="374"/>
        <v/>
      </c>
      <c r="X960" s="81" t="str">
        <f t="shared" si="375"/>
        <v/>
      </c>
      <c r="Y960" s="81" t="str">
        <f t="shared" si="376"/>
        <v/>
      </c>
      <c r="Z960" s="81" t="str">
        <f t="shared" si="377"/>
        <v/>
      </c>
      <c r="AA960" s="82" t="str">
        <f t="shared" si="378"/>
        <v/>
      </c>
      <c r="AB960" s="83" t="str">
        <f>IF(R960&lt;&gt;"",(W960-SUMPRODUCT(R$3:R960,$B$3:$B960)/SUM($B$3:$B960))/STDEVA(W950:W960),"")</f>
        <v/>
      </c>
      <c r="AC960" s="84" t="str">
        <f>IF(S960&lt;&gt;"",(X960-SUMPRODUCT(S$3:S960,$B$3:$B960)/SUM($B$3:$B960))/STDEVA(X950:X960),"")</f>
        <v/>
      </c>
      <c r="AD960" s="84" t="str">
        <f>IF(T960&lt;&gt;"",(Y960-SUMPRODUCT(T$3:T960,$B$3:$B960)/SUM($B$3:$B960))/STDEVA(Y950:Y960),"")</f>
        <v/>
      </c>
      <c r="AE960" s="84" t="str">
        <f>IF(U960&lt;&gt;"",(Z960-SUMPRODUCT(U$3:U960,$B$3:$B960)/SUM($B$3:$B960))/STDEVA(Z950:Z960),"")</f>
        <v/>
      </c>
      <c r="AF960" s="85" t="str">
        <f>IF(V960&lt;&gt;"",(AA960-SUMPRODUCT(V$3:V960,$B$3:$B960)/SUM($B$3:$B960))/STDEVA(AA950:AA960),"")</f>
        <v/>
      </c>
      <c r="AG960" s="90" t="str">
        <f t="shared" si="380"/>
        <v/>
      </c>
      <c r="AH960" s="90" t="str">
        <f t="shared" si="380"/>
        <v/>
      </c>
      <c r="AI960" s="90" t="str">
        <f t="shared" si="380"/>
        <v/>
      </c>
      <c r="AJ960" s="90" t="str">
        <f t="shared" si="379"/>
        <v/>
      </c>
      <c r="AK960" s="93" t="str">
        <f t="shared" si="379"/>
        <v/>
      </c>
      <c r="BQ960" s="100" t="str">
        <f>IF(A960&lt;&gt;"",(VLOOKUP(A960,MarketData!$D:$BP,MATCH($BQ$1,MarketData!$D$1:$EG$1,0),TRUE)/100/365+1)^(B960)*BQ959,"")</f>
        <v/>
      </c>
      <c r="BR960" s="98" t="str">
        <f t="shared" si="357"/>
        <v/>
      </c>
      <c r="BS960" s="106" t="str">
        <f>IF(A960&lt;&gt;"",VLOOKUP(A960,MarketData!$D:$BP,MATCH($BS$1,MarketData!$D$1:$EG$1,0),TRUE),"")</f>
        <v/>
      </c>
      <c r="BT960" s="98" t="str">
        <f t="shared" si="368"/>
        <v/>
      </c>
    </row>
    <row r="961" spans="2:72" x14ac:dyDescent="0.25">
      <c r="B961" s="60" t="str">
        <f t="shared" si="381"/>
        <v/>
      </c>
      <c r="C961" s="3" t="str">
        <f t="shared" si="358"/>
        <v/>
      </c>
      <c r="D961" s="3" t="str">
        <f t="shared" si="359"/>
        <v/>
      </c>
      <c r="E961" s="3" t="str">
        <f t="shared" si="360"/>
        <v/>
      </c>
      <c r="F961" s="3" t="str">
        <f t="shared" si="361"/>
        <v/>
      </c>
      <c r="G961" s="74" t="str">
        <f t="shared" si="362"/>
        <v/>
      </c>
      <c r="H961" s="78" t="str">
        <f>IFERROR(C961/SUM(M$2:M960),"")</f>
        <v/>
      </c>
      <c r="I961" s="61" t="str">
        <f>IFERROR(D961/SUM(N$2:N961),"")</f>
        <v/>
      </c>
      <c r="J961" s="61" t="str">
        <f>IFERROR(E961/SUM(O$2:O961),"")</f>
        <v/>
      </c>
      <c r="K961" s="61" t="str">
        <f>IFERROR(F961/SUM(P$2:P961),"")</f>
        <v/>
      </c>
      <c r="L961" s="79" t="str">
        <f>IFERROR(G961/SUM(Q$2:Q961),"")</f>
        <v/>
      </c>
      <c r="M961" s="64" t="str">
        <f t="shared" si="363"/>
        <v/>
      </c>
      <c r="N961" s="55" t="str">
        <f t="shared" si="364"/>
        <v/>
      </c>
      <c r="O961" s="55" t="str">
        <f t="shared" si="365"/>
        <v/>
      </c>
      <c r="P961" s="55" t="str">
        <f t="shared" si="366"/>
        <v/>
      </c>
      <c r="Q961" s="65" t="str">
        <f t="shared" si="367"/>
        <v/>
      </c>
      <c r="R961" s="67" t="str">
        <f t="shared" si="369"/>
        <v/>
      </c>
      <c r="S961" s="56" t="str">
        <f t="shared" si="370"/>
        <v/>
      </c>
      <c r="T961" s="56" t="str">
        <f t="shared" si="371"/>
        <v/>
      </c>
      <c r="U961" s="56" t="str">
        <f t="shared" si="372"/>
        <v/>
      </c>
      <c r="V961" s="68" t="str">
        <f t="shared" si="373"/>
        <v/>
      </c>
      <c r="W961" s="80" t="str">
        <f t="shared" si="374"/>
        <v/>
      </c>
      <c r="X961" s="81" t="str">
        <f t="shared" si="375"/>
        <v/>
      </c>
      <c r="Y961" s="81" t="str">
        <f t="shared" si="376"/>
        <v/>
      </c>
      <c r="Z961" s="81" t="str">
        <f t="shared" si="377"/>
        <v/>
      </c>
      <c r="AA961" s="82" t="str">
        <f t="shared" si="378"/>
        <v/>
      </c>
      <c r="AB961" s="83" t="str">
        <f>IF(R961&lt;&gt;"",(W961-SUMPRODUCT(R$3:R961,$B$3:$B961)/SUM($B$3:$B961))/STDEVA(W951:W961),"")</f>
        <v/>
      </c>
      <c r="AC961" s="84" t="str">
        <f>IF(S961&lt;&gt;"",(X961-SUMPRODUCT(S$3:S961,$B$3:$B961)/SUM($B$3:$B961))/STDEVA(X951:X961),"")</f>
        <v/>
      </c>
      <c r="AD961" s="84" t="str">
        <f>IF(T961&lt;&gt;"",(Y961-SUMPRODUCT(T$3:T961,$B$3:$B961)/SUM($B$3:$B961))/STDEVA(Y951:Y961),"")</f>
        <v/>
      </c>
      <c r="AE961" s="84" t="str">
        <f>IF(U961&lt;&gt;"",(Z961-SUMPRODUCT(U$3:U961,$B$3:$B961)/SUM($B$3:$B961))/STDEVA(Z951:Z961),"")</f>
        <v/>
      </c>
      <c r="AF961" s="85" t="str">
        <f>IF(V961&lt;&gt;"",(AA961-SUMPRODUCT(V$3:V961,$B$3:$B961)/SUM($B$3:$B961))/STDEVA(AA951:AA961),"")</f>
        <v/>
      </c>
      <c r="AG961" s="90" t="str">
        <f t="shared" si="380"/>
        <v/>
      </c>
      <c r="AH961" s="90" t="str">
        <f t="shared" si="380"/>
        <v/>
      </c>
      <c r="AI961" s="90" t="str">
        <f t="shared" si="380"/>
        <v/>
      </c>
      <c r="AJ961" s="90" t="str">
        <f t="shared" si="379"/>
        <v/>
      </c>
      <c r="AK961" s="93" t="str">
        <f t="shared" si="379"/>
        <v/>
      </c>
      <c r="BQ961" s="100" t="str">
        <f>IF(A961&lt;&gt;"",(VLOOKUP(A961,MarketData!$D:$BP,MATCH($BQ$1,MarketData!$D$1:$EG$1,0),TRUE)/100/365+1)^(B961)*BQ960,"")</f>
        <v/>
      </c>
      <c r="BR961" s="98" t="str">
        <f t="shared" si="357"/>
        <v/>
      </c>
      <c r="BS961" s="106" t="str">
        <f>IF(A961&lt;&gt;"",VLOOKUP(A961,MarketData!$D:$BP,MATCH($BS$1,MarketData!$D$1:$EG$1,0),TRUE),"")</f>
        <v/>
      </c>
      <c r="BT961" s="98" t="str">
        <f t="shared" si="368"/>
        <v/>
      </c>
    </row>
    <row r="962" spans="2:72" x14ac:dyDescent="0.25">
      <c r="B962" s="60" t="str">
        <f t="shared" si="381"/>
        <v/>
      </c>
      <c r="C962" s="3" t="str">
        <f t="shared" si="358"/>
        <v/>
      </c>
      <c r="D962" s="3" t="str">
        <f t="shared" si="359"/>
        <v/>
      </c>
      <c r="E962" s="3" t="str">
        <f t="shared" si="360"/>
        <v/>
      </c>
      <c r="F962" s="3" t="str">
        <f t="shared" si="361"/>
        <v/>
      </c>
      <c r="G962" s="74" t="str">
        <f t="shared" si="362"/>
        <v/>
      </c>
      <c r="H962" s="78" t="str">
        <f>IFERROR(C962/SUM(M$2:M961),"")</f>
        <v/>
      </c>
      <c r="I962" s="61" t="str">
        <f>IFERROR(D962/SUM(N$2:N962),"")</f>
        <v/>
      </c>
      <c r="J962" s="61" t="str">
        <f>IFERROR(E962/SUM(O$2:O962),"")</f>
        <v/>
      </c>
      <c r="K962" s="61" t="str">
        <f>IFERROR(F962/SUM(P$2:P962),"")</f>
        <v/>
      </c>
      <c r="L962" s="79" t="str">
        <f>IFERROR(G962/SUM(Q$2:Q962),"")</f>
        <v/>
      </c>
      <c r="M962" s="64" t="str">
        <f t="shared" si="363"/>
        <v/>
      </c>
      <c r="N962" s="55" t="str">
        <f t="shared" si="364"/>
        <v/>
      </c>
      <c r="O962" s="55" t="str">
        <f t="shared" si="365"/>
        <v/>
      </c>
      <c r="P962" s="55" t="str">
        <f t="shared" si="366"/>
        <v/>
      </c>
      <c r="Q962" s="65" t="str">
        <f t="shared" si="367"/>
        <v/>
      </c>
      <c r="R962" s="67" t="str">
        <f t="shared" si="369"/>
        <v/>
      </c>
      <c r="S962" s="56" t="str">
        <f t="shared" si="370"/>
        <v/>
      </c>
      <c r="T962" s="56" t="str">
        <f t="shared" si="371"/>
        <v/>
      </c>
      <c r="U962" s="56" t="str">
        <f t="shared" si="372"/>
        <v/>
      </c>
      <c r="V962" s="68" t="str">
        <f t="shared" si="373"/>
        <v/>
      </c>
      <c r="W962" s="80" t="str">
        <f t="shared" si="374"/>
        <v/>
      </c>
      <c r="X962" s="81" t="str">
        <f t="shared" si="375"/>
        <v/>
      </c>
      <c r="Y962" s="81" t="str">
        <f t="shared" si="376"/>
        <v/>
      </c>
      <c r="Z962" s="81" t="str">
        <f t="shared" si="377"/>
        <v/>
      </c>
      <c r="AA962" s="82" t="str">
        <f t="shared" si="378"/>
        <v/>
      </c>
      <c r="AB962" s="83" t="str">
        <f>IF(R962&lt;&gt;"",(W962-SUMPRODUCT(R$3:R962,$B$3:$B962)/SUM($B$3:$B962))/STDEVA(W952:W962),"")</f>
        <v/>
      </c>
      <c r="AC962" s="84" t="str">
        <f>IF(S962&lt;&gt;"",(X962-SUMPRODUCT(S$3:S962,$B$3:$B962)/SUM($B$3:$B962))/STDEVA(X952:X962),"")</f>
        <v/>
      </c>
      <c r="AD962" s="84" t="str">
        <f>IF(T962&lt;&gt;"",(Y962-SUMPRODUCT(T$3:T962,$B$3:$B962)/SUM($B$3:$B962))/STDEVA(Y952:Y962),"")</f>
        <v/>
      </c>
      <c r="AE962" s="84" t="str">
        <f>IF(U962&lt;&gt;"",(Z962-SUMPRODUCT(U$3:U962,$B$3:$B962)/SUM($B$3:$B962))/STDEVA(Z952:Z962),"")</f>
        <v/>
      </c>
      <c r="AF962" s="85" t="str">
        <f>IF(V962&lt;&gt;"",(AA962-SUMPRODUCT(V$3:V962,$B$3:$B962)/SUM($B$3:$B962))/STDEVA(AA952:AA962),"")</f>
        <v/>
      </c>
      <c r="AG962" s="90" t="str">
        <f t="shared" si="380"/>
        <v/>
      </c>
      <c r="AH962" s="90" t="str">
        <f t="shared" si="380"/>
        <v/>
      </c>
      <c r="AI962" s="90" t="str">
        <f t="shared" si="380"/>
        <v/>
      </c>
      <c r="AJ962" s="90" t="str">
        <f t="shared" si="379"/>
        <v/>
      </c>
      <c r="AK962" s="93" t="str">
        <f t="shared" si="379"/>
        <v/>
      </c>
      <c r="BQ962" s="100" t="str">
        <f>IF(A962&lt;&gt;"",(VLOOKUP(A962,MarketData!$D:$BP,MATCH($BQ$1,MarketData!$D$1:$EG$1,0),TRUE)/100/365+1)^(B962)*BQ961,"")</f>
        <v/>
      </c>
      <c r="BR962" s="98" t="str">
        <f t="shared" ref="BR962:BR985" si="382">IF(A962&lt;&gt;"",(BQ962-$BQ$2)/$BQ$2,"")</f>
        <v/>
      </c>
      <c r="BS962" s="106" t="str">
        <f>IF(A962&lt;&gt;"",VLOOKUP(A962,MarketData!$D:$BP,MATCH($BS$1,MarketData!$D$1:$EG$1,0),TRUE),"")</f>
        <v/>
      </c>
      <c r="BT962" s="98" t="str">
        <f t="shared" si="368"/>
        <v/>
      </c>
    </row>
    <row r="963" spans="2:72" x14ac:dyDescent="0.25">
      <c r="B963" s="60" t="str">
        <f t="shared" si="381"/>
        <v/>
      </c>
      <c r="C963" s="3" t="str">
        <f t="shared" ref="C963:C989" si="383">IF($A963&lt;&gt;0,SUMIFS(VM,Fecha,$A963,Linea,C$1)+SUMIFS(FX,Fecha,$A963,Linea,C$1)+C962,"")</f>
        <v/>
      </c>
      <c r="D963" s="3" t="str">
        <f t="shared" ref="D963:D989" si="384">IF($A963&lt;&gt;0,SUMIFS(VM,Fecha,$A963,Linea,D$1)+SUMIFS(FX,Fecha,$A963,Linea,D$1)+D962,"")</f>
        <v/>
      </c>
      <c r="E963" s="3" t="str">
        <f t="shared" ref="E963:E989" si="385">IF($A963&lt;&gt;0,SUMIFS(VM,Fecha,$A963,Linea,E$1)+SUMIFS(FX,Fecha,$A963,Linea,E$1)+E962,"")</f>
        <v/>
      </c>
      <c r="F963" s="3" t="str">
        <f t="shared" ref="F963:F989" si="386">IF($A963&lt;&gt;0,SUMIFS(VM,Fecha,$A963,Linea,F$1)+SUMIFS(FX,Fecha,$A963,Linea,F$1)+F962,"")</f>
        <v/>
      </c>
      <c r="G963" s="74" t="str">
        <f t="shared" ref="G963:G989" si="387">IF($A963&lt;&gt;0,SUMIFS(VM,Fecha,$A963,Linea,G$1)+SUMIFS(FX,Fecha,$A963,Linea,G$1)+G962,"")</f>
        <v/>
      </c>
      <c r="H963" s="78" t="str">
        <f>IFERROR(C963/SUM(M$2:M962),"")</f>
        <v/>
      </c>
      <c r="I963" s="61" t="str">
        <f>IFERROR(D963/SUM(N$2:N963),"")</f>
        <v/>
      </c>
      <c r="J963" s="61" t="str">
        <f>IFERROR(E963/SUM(O$2:O963),"")</f>
        <v/>
      </c>
      <c r="K963" s="61" t="str">
        <f>IFERROR(F963/SUM(P$2:P963),"")</f>
        <v/>
      </c>
      <c r="L963" s="79" t="str">
        <f>IFERROR(G963/SUM(Q$2:Q963),"")</f>
        <v/>
      </c>
      <c r="M963" s="64" t="str">
        <f t="shared" ref="M963:M989" si="388">IF($A963&lt;&gt;"",SUMIFS(Transferencias,Fecha,$A963,Linea,C$1),"")</f>
        <v/>
      </c>
      <c r="N963" s="55" t="str">
        <f t="shared" ref="N963:N989" si="389">IF($A963&lt;&gt;"",SUMIFS(Transferencias,Fecha,$A963,Linea,D$1),"")</f>
        <v/>
      </c>
      <c r="O963" s="55" t="str">
        <f t="shared" ref="O963:O989" si="390">IF($A963&lt;&gt;"",SUMIFS(Transferencias,Fecha,$A963,Linea,E$1),"")</f>
        <v/>
      </c>
      <c r="P963" s="55" t="str">
        <f t="shared" ref="P963:P989" si="391">IF($A963&lt;&gt;"",SUMIFS(Transferencias,Fecha,$A963,Linea,F$1),"")</f>
        <v/>
      </c>
      <c r="Q963" s="65" t="str">
        <f t="shared" ref="Q963:Q989" si="392">IF($A963&lt;&gt;"",SUMIFS(Transferencias,Fecha,$A963,Linea,G$1),"")</f>
        <v/>
      </c>
      <c r="R963" s="67" t="str">
        <f t="shared" si="369"/>
        <v/>
      </c>
      <c r="S963" s="56" t="str">
        <f t="shared" si="370"/>
        <v/>
      </c>
      <c r="T963" s="56" t="str">
        <f t="shared" si="371"/>
        <v/>
      </c>
      <c r="U963" s="56" t="str">
        <f t="shared" si="372"/>
        <v/>
      </c>
      <c r="V963" s="68" t="str">
        <f t="shared" si="373"/>
        <v/>
      </c>
      <c r="W963" s="80" t="str">
        <f t="shared" si="374"/>
        <v/>
      </c>
      <c r="X963" s="81" t="str">
        <f t="shared" si="375"/>
        <v/>
      </c>
      <c r="Y963" s="81" t="str">
        <f t="shared" si="376"/>
        <v/>
      </c>
      <c r="Z963" s="81" t="str">
        <f t="shared" si="377"/>
        <v/>
      </c>
      <c r="AA963" s="82" t="str">
        <f t="shared" si="378"/>
        <v/>
      </c>
      <c r="AB963" s="83" t="str">
        <f>IF(R963&lt;&gt;"",(W963-SUMPRODUCT(R$3:R963,$B$3:$B963)/SUM($B$3:$B963))/STDEVA(W953:W963),"")</f>
        <v/>
      </c>
      <c r="AC963" s="84" t="str">
        <f>IF(S963&lt;&gt;"",(X963-SUMPRODUCT(S$3:S963,$B$3:$B963)/SUM($B$3:$B963))/STDEVA(X953:X963),"")</f>
        <v/>
      </c>
      <c r="AD963" s="84" t="str">
        <f>IF(T963&lt;&gt;"",(Y963-SUMPRODUCT(T$3:T963,$B$3:$B963)/SUM($B$3:$B963))/STDEVA(Y953:Y963),"")</f>
        <v/>
      </c>
      <c r="AE963" s="84" t="str">
        <f>IF(U963&lt;&gt;"",(Z963-SUMPRODUCT(U$3:U963,$B$3:$B963)/SUM($B$3:$B963))/STDEVA(Z953:Z963),"")</f>
        <v/>
      </c>
      <c r="AF963" s="85" t="str">
        <f>IF(V963&lt;&gt;"",(AA963-SUMPRODUCT(V$3:V963,$B$3:$B963)/SUM($B$3:$B963))/STDEVA(AA953:AA963),"")</f>
        <v/>
      </c>
      <c r="AG963" s="90" t="str">
        <f t="shared" si="380"/>
        <v/>
      </c>
      <c r="AH963" s="90" t="str">
        <f t="shared" si="380"/>
        <v/>
      </c>
      <c r="AI963" s="90" t="str">
        <f t="shared" si="380"/>
        <v/>
      </c>
      <c r="AJ963" s="90" t="str">
        <f t="shared" si="379"/>
        <v/>
      </c>
      <c r="AK963" s="93" t="str">
        <f t="shared" si="379"/>
        <v/>
      </c>
      <c r="BQ963" s="100" t="str">
        <f>IF(A963&lt;&gt;"",(VLOOKUP(A963,MarketData!$D:$BP,MATCH($BQ$1,MarketData!$D$1:$EG$1,0),TRUE)/100/365+1)^(B963)*BQ962,"")</f>
        <v/>
      </c>
      <c r="BR963" s="98" t="str">
        <f t="shared" si="382"/>
        <v/>
      </c>
      <c r="BS963" s="106" t="str">
        <f>IF(A963&lt;&gt;"",VLOOKUP(A963,MarketData!$D:$BP,MATCH($BS$1,MarketData!$D$1:$EG$1,0),TRUE),"")</f>
        <v/>
      </c>
      <c r="BT963" s="98" t="str">
        <f t="shared" ref="BT963:BT985" si="393">IF(A963&lt;&gt;"",(BS963-$BS$2)/$BS$2,"")</f>
        <v/>
      </c>
    </row>
    <row r="964" spans="2:72" x14ac:dyDescent="0.25">
      <c r="B964" s="60" t="str">
        <f t="shared" si="381"/>
        <v/>
      </c>
      <c r="C964" s="3" t="str">
        <f t="shared" si="383"/>
        <v/>
      </c>
      <c r="D964" s="3" t="str">
        <f t="shared" si="384"/>
        <v/>
      </c>
      <c r="E964" s="3" t="str">
        <f t="shared" si="385"/>
        <v/>
      </c>
      <c r="F964" s="3" t="str">
        <f t="shared" si="386"/>
        <v/>
      </c>
      <c r="G964" s="74" t="str">
        <f t="shared" si="387"/>
        <v/>
      </c>
      <c r="H964" s="78" t="str">
        <f>IFERROR(C964/SUM(M$2:M963),"")</f>
        <v/>
      </c>
      <c r="I964" s="61" t="str">
        <f>IFERROR(D964/SUM(N$2:N964),"")</f>
        <v/>
      </c>
      <c r="J964" s="61" t="str">
        <f>IFERROR(E964/SUM(O$2:O964),"")</f>
        <v/>
      </c>
      <c r="K964" s="61" t="str">
        <f>IFERROR(F964/SUM(P$2:P964),"")</f>
        <v/>
      </c>
      <c r="L964" s="79" t="str">
        <f>IFERROR(G964/SUM(Q$2:Q964),"")</f>
        <v/>
      </c>
      <c r="M964" s="64" t="str">
        <f t="shared" si="388"/>
        <v/>
      </c>
      <c r="N964" s="55" t="str">
        <f t="shared" si="389"/>
        <v/>
      </c>
      <c r="O964" s="55" t="str">
        <f t="shared" si="390"/>
        <v/>
      </c>
      <c r="P964" s="55" t="str">
        <f t="shared" si="391"/>
        <v/>
      </c>
      <c r="Q964" s="65" t="str">
        <f t="shared" si="392"/>
        <v/>
      </c>
      <c r="R964" s="67" t="str">
        <f t="shared" ref="R964:R989" si="394">IF(C964&lt;&gt;"",LN((C964-C963)/(SUMIFS(Total,Fecha,$A963,Linea,C$1)+M963)+1)*365/($A964-$A963),"")</f>
        <v/>
      </c>
      <c r="S964" s="56" t="str">
        <f t="shared" ref="S964:S989" si="395">IF(D964&lt;&gt;"",LN((D964-D963)/(SUMIFS(Total,Fecha,$A963,Linea,D$1)+N963)+1)*365/($A964-$A963),"")</f>
        <v/>
      </c>
      <c r="T964" s="56" t="str">
        <f t="shared" ref="T964:T989" si="396">IF(E964&lt;&gt;"",LN((E964-E963)/(SUMIFS(Total,Fecha,$A963,Linea,E$1)+O963)+1)*365/($A964-$A963),"")</f>
        <v/>
      </c>
      <c r="U964" s="56" t="str">
        <f t="shared" ref="U964:U989" si="397">IF(F964&lt;&gt;"",LN((F964-F963)/(SUMIFS(Total,Fecha,$A963,Linea,F$1)+P963)+1)*365/($A964-$A963),"")</f>
        <v/>
      </c>
      <c r="V964" s="68" t="str">
        <f t="shared" ref="V964:V989" si="398">IF(G964&lt;&gt;"",LN((G964-G963)/(SUMIFS(Total,Fecha,$A963,Linea,G$1)+Q963)+1)*365/($A964-$A963),"")</f>
        <v/>
      </c>
      <c r="W964" s="80" t="str">
        <f t="shared" si="374"/>
        <v/>
      </c>
      <c r="X964" s="81" t="str">
        <f t="shared" si="375"/>
        <v/>
      </c>
      <c r="Y964" s="81" t="str">
        <f t="shared" si="376"/>
        <v/>
      </c>
      <c r="Z964" s="81" t="str">
        <f t="shared" si="377"/>
        <v/>
      </c>
      <c r="AA964" s="82" t="str">
        <f t="shared" si="378"/>
        <v/>
      </c>
      <c r="AB964" s="83" t="str">
        <f>IF(R964&lt;&gt;"",(W964-SUMPRODUCT(R$3:R964,$B$3:$B964)/SUM($B$3:$B964))/STDEVA(W954:W964),"")</f>
        <v/>
      </c>
      <c r="AC964" s="84" t="str">
        <f>IF(S964&lt;&gt;"",(X964-SUMPRODUCT(S$3:S964,$B$3:$B964)/SUM($B$3:$B964))/STDEVA(X954:X964),"")</f>
        <v/>
      </c>
      <c r="AD964" s="84" t="str">
        <f>IF(T964&lt;&gt;"",(Y964-SUMPRODUCT(T$3:T964,$B$3:$B964)/SUM($B$3:$B964))/STDEVA(Y954:Y964),"")</f>
        <v/>
      </c>
      <c r="AE964" s="84" t="str">
        <f>IF(U964&lt;&gt;"",(Z964-SUMPRODUCT(U$3:U964,$B$3:$B964)/SUM($B$3:$B964))/STDEVA(Z954:Z964),"")</f>
        <v/>
      </c>
      <c r="AF964" s="85" t="str">
        <f>IF(V964&lt;&gt;"",(AA964-SUMPRODUCT(V$3:V964,$B$3:$B964)/SUM($B$3:$B964))/STDEVA(AA954:AA964),"")</f>
        <v/>
      </c>
      <c r="AG964" s="90" t="str">
        <f t="shared" si="380"/>
        <v/>
      </c>
      <c r="AH964" s="90" t="str">
        <f t="shared" si="380"/>
        <v/>
      </c>
      <c r="AI964" s="90" t="str">
        <f t="shared" si="380"/>
        <v/>
      </c>
      <c r="AJ964" s="90" t="str">
        <f t="shared" si="379"/>
        <v/>
      </c>
      <c r="AK964" s="93" t="str">
        <f t="shared" si="379"/>
        <v/>
      </c>
      <c r="BQ964" s="100" t="str">
        <f>IF(A964&lt;&gt;"",(VLOOKUP(A964,MarketData!$D:$BP,MATCH($BQ$1,MarketData!$D$1:$EG$1,0),TRUE)/100/365+1)^(B964)*BQ963,"")</f>
        <v/>
      </c>
      <c r="BR964" s="98" t="str">
        <f t="shared" si="382"/>
        <v/>
      </c>
      <c r="BS964" s="106" t="str">
        <f>IF(A964&lt;&gt;"",VLOOKUP(A964,MarketData!$D:$BP,MATCH($BS$1,MarketData!$D$1:$EG$1,0),TRUE),"")</f>
        <v/>
      </c>
      <c r="BT964" s="98" t="str">
        <f t="shared" si="393"/>
        <v/>
      </c>
    </row>
    <row r="965" spans="2:72" x14ac:dyDescent="0.25">
      <c r="B965" s="60" t="str">
        <f t="shared" si="381"/>
        <v/>
      </c>
      <c r="C965" s="3" t="str">
        <f t="shared" si="383"/>
        <v/>
      </c>
      <c r="D965" s="3" t="str">
        <f t="shared" si="384"/>
        <v/>
      </c>
      <c r="E965" s="3" t="str">
        <f t="shared" si="385"/>
        <v/>
      </c>
      <c r="F965" s="3" t="str">
        <f t="shared" si="386"/>
        <v/>
      </c>
      <c r="G965" s="74" t="str">
        <f t="shared" si="387"/>
        <v/>
      </c>
      <c r="H965" s="78" t="str">
        <f>IFERROR(C965/SUM(M$2:M964),"")</f>
        <v/>
      </c>
      <c r="I965" s="61" t="str">
        <f>IFERROR(D965/SUM(N$2:N965),"")</f>
        <v/>
      </c>
      <c r="J965" s="61" t="str">
        <f>IFERROR(E965/SUM(O$2:O965),"")</f>
        <v/>
      </c>
      <c r="K965" s="61" t="str">
        <f>IFERROR(F965/SUM(P$2:P965),"")</f>
        <v/>
      </c>
      <c r="L965" s="79" t="str">
        <f>IFERROR(G965/SUM(Q$2:Q965),"")</f>
        <v/>
      </c>
      <c r="M965" s="64" t="str">
        <f t="shared" si="388"/>
        <v/>
      </c>
      <c r="N965" s="55" t="str">
        <f t="shared" si="389"/>
        <v/>
      </c>
      <c r="O965" s="55" t="str">
        <f t="shared" si="390"/>
        <v/>
      </c>
      <c r="P965" s="55" t="str">
        <f t="shared" si="391"/>
        <v/>
      </c>
      <c r="Q965" s="65" t="str">
        <f t="shared" si="392"/>
        <v/>
      </c>
      <c r="R965" s="67" t="str">
        <f t="shared" si="394"/>
        <v/>
      </c>
      <c r="S965" s="56" t="str">
        <f t="shared" si="395"/>
        <v/>
      </c>
      <c r="T965" s="56" t="str">
        <f t="shared" si="396"/>
        <v/>
      </c>
      <c r="U965" s="56" t="str">
        <f t="shared" si="397"/>
        <v/>
      </c>
      <c r="V965" s="68" t="str">
        <f t="shared" si="398"/>
        <v/>
      </c>
      <c r="W965" s="80" t="str">
        <f t="shared" si="374"/>
        <v/>
      </c>
      <c r="X965" s="81" t="str">
        <f t="shared" si="375"/>
        <v/>
      </c>
      <c r="Y965" s="81" t="str">
        <f t="shared" si="376"/>
        <v/>
      </c>
      <c r="Z965" s="81" t="str">
        <f t="shared" si="377"/>
        <v/>
      </c>
      <c r="AA965" s="82" t="str">
        <f t="shared" si="378"/>
        <v/>
      </c>
      <c r="AB965" s="83" t="str">
        <f>IF(R965&lt;&gt;"",(W965-SUMPRODUCT(R$3:R965,$B$3:$B965)/SUM($B$3:$B965))/STDEVA(W955:W965),"")</f>
        <v/>
      </c>
      <c r="AC965" s="84" t="str">
        <f>IF(S965&lt;&gt;"",(X965-SUMPRODUCT(S$3:S965,$B$3:$B965)/SUM($B$3:$B965))/STDEVA(X955:X965),"")</f>
        <v/>
      </c>
      <c r="AD965" s="84" t="str">
        <f>IF(T965&lt;&gt;"",(Y965-SUMPRODUCT(T$3:T965,$B$3:$B965)/SUM($B$3:$B965))/STDEVA(Y955:Y965),"")</f>
        <v/>
      </c>
      <c r="AE965" s="84" t="str">
        <f>IF(U965&lt;&gt;"",(Z965-SUMPRODUCT(U$3:U965,$B$3:$B965)/SUM($B$3:$B965))/STDEVA(Z955:Z965),"")</f>
        <v/>
      </c>
      <c r="AF965" s="85" t="str">
        <f>IF(V965&lt;&gt;"",(AA965-SUMPRODUCT(V$3:V965,$B$3:$B965)/SUM($B$3:$B965))/STDEVA(AA955:AA965),"")</f>
        <v/>
      </c>
      <c r="AG965" s="90" t="str">
        <f t="shared" si="380"/>
        <v/>
      </c>
      <c r="AH965" s="90" t="str">
        <f t="shared" si="380"/>
        <v/>
      </c>
      <c r="AI965" s="90" t="str">
        <f t="shared" si="380"/>
        <v/>
      </c>
      <c r="AJ965" s="90" t="str">
        <f t="shared" si="379"/>
        <v/>
      </c>
      <c r="AK965" s="93" t="str">
        <f t="shared" si="379"/>
        <v/>
      </c>
      <c r="BQ965" s="100" t="str">
        <f>IF(A965&lt;&gt;"",(VLOOKUP(A965,MarketData!$D:$BP,MATCH($BQ$1,MarketData!$D$1:$EG$1,0),TRUE)/100/365+1)^(B965)*BQ964,"")</f>
        <v/>
      </c>
      <c r="BR965" s="98" t="str">
        <f t="shared" si="382"/>
        <v/>
      </c>
      <c r="BS965" s="106" t="str">
        <f>IF(A965&lt;&gt;"",VLOOKUP(A965,MarketData!$D:$BP,MATCH($BS$1,MarketData!$D$1:$EG$1,0),TRUE),"")</f>
        <v/>
      </c>
      <c r="BT965" s="98" t="str">
        <f t="shared" si="393"/>
        <v/>
      </c>
    </row>
    <row r="966" spans="2:72" x14ac:dyDescent="0.25">
      <c r="B966" s="60" t="str">
        <f t="shared" si="381"/>
        <v/>
      </c>
      <c r="C966" s="3" t="str">
        <f t="shared" si="383"/>
        <v/>
      </c>
      <c r="D966" s="3" t="str">
        <f t="shared" si="384"/>
        <v/>
      </c>
      <c r="E966" s="3" t="str">
        <f t="shared" si="385"/>
        <v/>
      </c>
      <c r="F966" s="3" t="str">
        <f t="shared" si="386"/>
        <v/>
      </c>
      <c r="G966" s="74" t="str">
        <f t="shared" si="387"/>
        <v/>
      </c>
      <c r="H966" s="78" t="str">
        <f>IFERROR(C966/SUM(M$2:M965),"")</f>
        <v/>
      </c>
      <c r="I966" s="61" t="str">
        <f>IFERROR(D966/SUM(N$2:N966),"")</f>
        <v/>
      </c>
      <c r="J966" s="61" t="str">
        <f>IFERROR(E966/SUM(O$2:O966),"")</f>
        <v/>
      </c>
      <c r="K966" s="61" t="str">
        <f>IFERROR(F966/SUM(P$2:P966),"")</f>
        <v/>
      </c>
      <c r="L966" s="79" t="str">
        <f>IFERROR(G966/SUM(Q$2:Q966),"")</f>
        <v/>
      </c>
      <c r="M966" s="64" t="str">
        <f t="shared" si="388"/>
        <v/>
      </c>
      <c r="N966" s="55" t="str">
        <f t="shared" si="389"/>
        <v/>
      </c>
      <c r="O966" s="55" t="str">
        <f t="shared" si="390"/>
        <v/>
      </c>
      <c r="P966" s="55" t="str">
        <f t="shared" si="391"/>
        <v/>
      </c>
      <c r="Q966" s="65" t="str">
        <f t="shared" si="392"/>
        <v/>
      </c>
      <c r="R966" s="67" t="str">
        <f t="shared" si="394"/>
        <v/>
      </c>
      <c r="S966" s="56" t="str">
        <f t="shared" si="395"/>
        <v/>
      </c>
      <c r="T966" s="56" t="str">
        <f t="shared" si="396"/>
        <v/>
      </c>
      <c r="U966" s="56" t="str">
        <f t="shared" si="397"/>
        <v/>
      </c>
      <c r="V966" s="68" t="str">
        <f t="shared" si="398"/>
        <v/>
      </c>
      <c r="W966" s="80" t="str">
        <f t="shared" si="374"/>
        <v/>
      </c>
      <c r="X966" s="81" t="str">
        <f t="shared" si="375"/>
        <v/>
      </c>
      <c r="Y966" s="81" t="str">
        <f t="shared" si="376"/>
        <v/>
      </c>
      <c r="Z966" s="81" t="str">
        <f t="shared" si="377"/>
        <v/>
      </c>
      <c r="AA966" s="82" t="str">
        <f t="shared" si="378"/>
        <v/>
      </c>
      <c r="AB966" s="83" t="str">
        <f>IF(R966&lt;&gt;"",(W966-SUMPRODUCT(R$3:R966,$B$3:$B966)/SUM($B$3:$B966))/STDEVA(W956:W966),"")</f>
        <v/>
      </c>
      <c r="AC966" s="84" t="str">
        <f>IF(S966&lt;&gt;"",(X966-SUMPRODUCT(S$3:S966,$B$3:$B966)/SUM($B$3:$B966))/STDEVA(X956:X966),"")</f>
        <v/>
      </c>
      <c r="AD966" s="84" t="str">
        <f>IF(T966&lt;&gt;"",(Y966-SUMPRODUCT(T$3:T966,$B$3:$B966)/SUM($B$3:$B966))/STDEVA(Y956:Y966),"")</f>
        <v/>
      </c>
      <c r="AE966" s="84" t="str">
        <f>IF(U966&lt;&gt;"",(Z966-SUMPRODUCT(U$3:U966,$B$3:$B966)/SUM($B$3:$B966))/STDEVA(Z956:Z966),"")</f>
        <v/>
      </c>
      <c r="AF966" s="85" t="str">
        <f>IF(V966&lt;&gt;"",(AA966-SUMPRODUCT(V$3:V966,$B$3:$B966)/SUM($B$3:$B966))/STDEVA(AA956:AA966),"")</f>
        <v/>
      </c>
      <c r="AG966" s="90" t="str">
        <f t="shared" si="380"/>
        <v/>
      </c>
      <c r="AH966" s="90" t="str">
        <f t="shared" si="380"/>
        <v/>
      </c>
      <c r="AI966" s="90" t="str">
        <f t="shared" si="380"/>
        <v/>
      </c>
      <c r="AJ966" s="90" t="str">
        <f t="shared" si="379"/>
        <v/>
      </c>
      <c r="AK966" s="93" t="str">
        <f t="shared" si="379"/>
        <v/>
      </c>
      <c r="BQ966" s="100" t="str">
        <f>IF(A966&lt;&gt;"",(VLOOKUP(A966,MarketData!$D:$BP,MATCH($BQ$1,MarketData!$D$1:$EG$1,0),TRUE)/100/365+1)^(B966)*BQ965,"")</f>
        <v/>
      </c>
      <c r="BR966" s="98" t="str">
        <f t="shared" si="382"/>
        <v/>
      </c>
      <c r="BS966" s="106" t="str">
        <f>IF(A966&lt;&gt;"",VLOOKUP(A966,MarketData!$D:$BP,MATCH($BS$1,MarketData!$D$1:$EG$1,0),TRUE),"")</f>
        <v/>
      </c>
      <c r="BT966" s="98" t="str">
        <f t="shared" si="393"/>
        <v/>
      </c>
    </row>
    <row r="967" spans="2:72" x14ac:dyDescent="0.25">
      <c r="B967" s="60" t="str">
        <f t="shared" si="381"/>
        <v/>
      </c>
      <c r="C967" s="3" t="str">
        <f t="shared" si="383"/>
        <v/>
      </c>
      <c r="D967" s="3" t="str">
        <f t="shared" si="384"/>
        <v/>
      </c>
      <c r="E967" s="3" t="str">
        <f t="shared" si="385"/>
        <v/>
      </c>
      <c r="F967" s="3" t="str">
        <f t="shared" si="386"/>
        <v/>
      </c>
      <c r="G967" s="74" t="str">
        <f t="shared" si="387"/>
        <v/>
      </c>
      <c r="H967" s="78" t="str">
        <f>IFERROR(C967/SUM(M$2:M966),"")</f>
        <v/>
      </c>
      <c r="I967" s="61" t="str">
        <f>IFERROR(D967/SUM(N$2:N967),"")</f>
        <v/>
      </c>
      <c r="J967" s="61" t="str">
        <f>IFERROR(E967/SUM(O$2:O967),"")</f>
        <v/>
      </c>
      <c r="K967" s="61" t="str">
        <f>IFERROR(F967/SUM(P$2:P967),"")</f>
        <v/>
      </c>
      <c r="L967" s="79" t="str">
        <f>IFERROR(G967/SUM(Q$2:Q967),"")</f>
        <v/>
      </c>
      <c r="M967" s="64" t="str">
        <f t="shared" si="388"/>
        <v/>
      </c>
      <c r="N967" s="55" t="str">
        <f t="shared" si="389"/>
        <v/>
      </c>
      <c r="O967" s="55" t="str">
        <f t="shared" si="390"/>
        <v/>
      </c>
      <c r="P967" s="55" t="str">
        <f t="shared" si="391"/>
        <v/>
      </c>
      <c r="Q967" s="65" t="str">
        <f t="shared" si="392"/>
        <v/>
      </c>
      <c r="R967" s="67" t="str">
        <f t="shared" si="394"/>
        <v/>
      </c>
      <c r="S967" s="56" t="str">
        <f t="shared" si="395"/>
        <v/>
      </c>
      <c r="T967" s="56" t="str">
        <f t="shared" si="396"/>
        <v/>
      </c>
      <c r="U967" s="56" t="str">
        <f t="shared" si="397"/>
        <v/>
      </c>
      <c r="V967" s="68" t="str">
        <f t="shared" si="398"/>
        <v/>
      </c>
      <c r="W967" s="80" t="str">
        <f t="shared" si="374"/>
        <v/>
      </c>
      <c r="X967" s="81" t="str">
        <f t="shared" si="375"/>
        <v/>
      </c>
      <c r="Y967" s="81" t="str">
        <f t="shared" si="376"/>
        <v/>
      </c>
      <c r="Z967" s="81" t="str">
        <f t="shared" si="377"/>
        <v/>
      </c>
      <c r="AA967" s="82" t="str">
        <f t="shared" si="378"/>
        <v/>
      </c>
      <c r="AB967" s="83" t="str">
        <f>IF(R967&lt;&gt;"",(W967-SUMPRODUCT(R$3:R967,$B$3:$B967)/SUM($B$3:$B967))/STDEVA(W957:W967),"")</f>
        <v/>
      </c>
      <c r="AC967" s="84" t="str">
        <f>IF(S967&lt;&gt;"",(X967-SUMPRODUCT(S$3:S967,$B$3:$B967)/SUM($B$3:$B967))/STDEVA(X957:X967),"")</f>
        <v/>
      </c>
      <c r="AD967" s="84" t="str">
        <f>IF(T967&lt;&gt;"",(Y967-SUMPRODUCT(T$3:T967,$B$3:$B967)/SUM($B$3:$B967))/STDEVA(Y957:Y967),"")</f>
        <v/>
      </c>
      <c r="AE967" s="84" t="str">
        <f>IF(U967&lt;&gt;"",(Z967-SUMPRODUCT(U$3:U967,$B$3:$B967)/SUM($B$3:$B967))/STDEVA(Z957:Z967),"")</f>
        <v/>
      </c>
      <c r="AF967" s="85" t="str">
        <f>IF(V967&lt;&gt;"",(AA967-SUMPRODUCT(V$3:V967,$B$3:$B967)/SUM($B$3:$B967))/STDEVA(AA957:AA967),"")</f>
        <v/>
      </c>
      <c r="AG967" s="90" t="str">
        <f t="shared" si="380"/>
        <v/>
      </c>
      <c r="AH967" s="90" t="str">
        <f t="shared" si="380"/>
        <v/>
      </c>
      <c r="AI967" s="90" t="str">
        <f t="shared" si="380"/>
        <v/>
      </c>
      <c r="AJ967" s="90" t="str">
        <f t="shared" si="379"/>
        <v/>
      </c>
      <c r="AK967" s="93" t="str">
        <f t="shared" si="379"/>
        <v/>
      </c>
      <c r="BQ967" s="100" t="str">
        <f>IF(A967&lt;&gt;"",(VLOOKUP(A967,MarketData!$D:$BP,MATCH($BQ$1,MarketData!$D$1:$EG$1,0),TRUE)/100/365+1)^(B967)*BQ966,"")</f>
        <v/>
      </c>
      <c r="BR967" s="98" t="str">
        <f t="shared" si="382"/>
        <v/>
      </c>
      <c r="BS967" s="106" t="str">
        <f>IF(A967&lt;&gt;"",VLOOKUP(A967,MarketData!$D:$BP,MATCH($BS$1,MarketData!$D$1:$EG$1,0),TRUE),"")</f>
        <v/>
      </c>
      <c r="BT967" s="98" t="str">
        <f t="shared" si="393"/>
        <v/>
      </c>
    </row>
    <row r="968" spans="2:72" x14ac:dyDescent="0.25">
      <c r="B968" s="60" t="str">
        <f t="shared" si="381"/>
        <v/>
      </c>
      <c r="C968" s="3" t="str">
        <f t="shared" si="383"/>
        <v/>
      </c>
      <c r="D968" s="3" t="str">
        <f t="shared" si="384"/>
        <v/>
      </c>
      <c r="E968" s="3" t="str">
        <f t="shared" si="385"/>
        <v/>
      </c>
      <c r="F968" s="3" t="str">
        <f t="shared" si="386"/>
        <v/>
      </c>
      <c r="G968" s="74" t="str">
        <f t="shared" si="387"/>
        <v/>
      </c>
      <c r="H968" s="78" t="str">
        <f>IFERROR(C968/SUM(M$2:M967),"")</f>
        <v/>
      </c>
      <c r="I968" s="61" t="str">
        <f>IFERROR(D968/SUM(N$2:N968),"")</f>
        <v/>
      </c>
      <c r="J968" s="61" t="str">
        <f>IFERROR(E968/SUM(O$2:O968),"")</f>
        <v/>
      </c>
      <c r="K968" s="61" t="str">
        <f>IFERROR(F968/SUM(P$2:P968),"")</f>
        <v/>
      </c>
      <c r="L968" s="79" t="str">
        <f>IFERROR(G968/SUM(Q$2:Q968),"")</f>
        <v/>
      </c>
      <c r="M968" s="64" t="str">
        <f t="shared" si="388"/>
        <v/>
      </c>
      <c r="N968" s="55" t="str">
        <f t="shared" si="389"/>
        <v/>
      </c>
      <c r="O968" s="55" t="str">
        <f t="shared" si="390"/>
        <v/>
      </c>
      <c r="P968" s="55" t="str">
        <f t="shared" si="391"/>
        <v/>
      </c>
      <c r="Q968" s="65" t="str">
        <f t="shared" si="392"/>
        <v/>
      </c>
      <c r="R968" s="67" t="str">
        <f t="shared" si="394"/>
        <v/>
      </c>
      <c r="S968" s="56" t="str">
        <f t="shared" si="395"/>
        <v/>
      </c>
      <c r="T968" s="56" t="str">
        <f t="shared" si="396"/>
        <v/>
      </c>
      <c r="U968" s="56" t="str">
        <f t="shared" si="397"/>
        <v/>
      </c>
      <c r="V968" s="68" t="str">
        <f t="shared" si="398"/>
        <v/>
      </c>
      <c r="W968" s="80" t="str">
        <f t="shared" si="374"/>
        <v/>
      </c>
      <c r="X968" s="81" t="str">
        <f t="shared" si="375"/>
        <v/>
      </c>
      <c r="Y968" s="81" t="str">
        <f t="shared" si="376"/>
        <v/>
      </c>
      <c r="Z968" s="81" t="str">
        <f t="shared" si="377"/>
        <v/>
      </c>
      <c r="AA968" s="82" t="str">
        <f t="shared" si="378"/>
        <v/>
      </c>
      <c r="AB968" s="83" t="str">
        <f>IF(R968&lt;&gt;"",(W968-SUMPRODUCT(R$3:R968,$B$3:$B968)/SUM($B$3:$B968))/STDEVA(W958:W968),"")</f>
        <v/>
      </c>
      <c r="AC968" s="84" t="str">
        <f>IF(S968&lt;&gt;"",(X968-SUMPRODUCT(S$3:S968,$B$3:$B968)/SUM($B$3:$B968))/STDEVA(X958:X968),"")</f>
        <v/>
      </c>
      <c r="AD968" s="84" t="str">
        <f>IF(T968&lt;&gt;"",(Y968-SUMPRODUCT(T$3:T968,$B$3:$B968)/SUM($B$3:$B968))/STDEVA(Y958:Y968),"")</f>
        <v/>
      </c>
      <c r="AE968" s="84" t="str">
        <f>IF(U968&lt;&gt;"",(Z968-SUMPRODUCT(U$3:U968,$B$3:$B968)/SUM($B$3:$B968))/STDEVA(Z958:Z968),"")</f>
        <v/>
      </c>
      <c r="AF968" s="85" t="str">
        <f>IF(V968&lt;&gt;"",(AA968-SUMPRODUCT(V$3:V968,$B$3:$B968)/SUM($B$3:$B968))/STDEVA(AA958:AA968),"")</f>
        <v/>
      </c>
      <c r="AG968" s="90" t="str">
        <f t="shared" si="380"/>
        <v/>
      </c>
      <c r="AH968" s="90" t="str">
        <f t="shared" si="380"/>
        <v/>
      </c>
      <c r="AI968" s="90" t="str">
        <f t="shared" si="380"/>
        <v/>
      </c>
      <c r="AJ968" s="90" t="str">
        <f t="shared" si="379"/>
        <v/>
      </c>
      <c r="AK968" s="93" t="str">
        <f t="shared" si="379"/>
        <v/>
      </c>
      <c r="BQ968" s="100" t="str">
        <f>IF(A968&lt;&gt;"",(VLOOKUP(A968,MarketData!$D:$BP,MATCH($BQ$1,MarketData!$D$1:$EG$1,0),TRUE)/100/365+1)^(B968)*BQ967,"")</f>
        <v/>
      </c>
      <c r="BR968" s="98" t="str">
        <f t="shared" si="382"/>
        <v/>
      </c>
      <c r="BS968" s="106" t="str">
        <f>IF(A968&lt;&gt;"",VLOOKUP(A968,MarketData!$D:$BP,MATCH($BS$1,MarketData!$D$1:$EG$1,0),TRUE),"")</f>
        <v/>
      </c>
      <c r="BT968" s="98" t="str">
        <f t="shared" si="393"/>
        <v/>
      </c>
    </row>
    <row r="969" spans="2:72" x14ac:dyDescent="0.25">
      <c r="B969" s="60" t="str">
        <f t="shared" si="381"/>
        <v/>
      </c>
      <c r="C969" s="3" t="str">
        <f t="shared" si="383"/>
        <v/>
      </c>
      <c r="D969" s="3" t="str">
        <f t="shared" si="384"/>
        <v/>
      </c>
      <c r="E969" s="3" t="str">
        <f t="shared" si="385"/>
        <v/>
      </c>
      <c r="F969" s="3" t="str">
        <f t="shared" si="386"/>
        <v/>
      </c>
      <c r="G969" s="74" t="str">
        <f t="shared" si="387"/>
        <v/>
      </c>
      <c r="H969" s="78" t="str">
        <f>IFERROR(C969/SUM(M$2:M968),"")</f>
        <v/>
      </c>
      <c r="I969" s="61" t="str">
        <f>IFERROR(D969/SUM(N$2:N969),"")</f>
        <v/>
      </c>
      <c r="J969" s="61" t="str">
        <f>IFERROR(E969/SUM(O$2:O969),"")</f>
        <v/>
      </c>
      <c r="K969" s="61" t="str">
        <f>IFERROR(F969/SUM(P$2:P969),"")</f>
        <v/>
      </c>
      <c r="L969" s="79" t="str">
        <f>IFERROR(G969/SUM(Q$2:Q969),"")</f>
        <v/>
      </c>
      <c r="M969" s="64" t="str">
        <f t="shared" si="388"/>
        <v/>
      </c>
      <c r="N969" s="55" t="str">
        <f t="shared" si="389"/>
        <v/>
      </c>
      <c r="O969" s="55" t="str">
        <f t="shared" si="390"/>
        <v/>
      </c>
      <c r="P969" s="55" t="str">
        <f t="shared" si="391"/>
        <v/>
      </c>
      <c r="Q969" s="65" t="str">
        <f t="shared" si="392"/>
        <v/>
      </c>
      <c r="R969" s="67" t="str">
        <f t="shared" si="394"/>
        <v/>
      </c>
      <c r="S969" s="56" t="str">
        <f t="shared" si="395"/>
        <v/>
      </c>
      <c r="T969" s="56" t="str">
        <f t="shared" si="396"/>
        <v/>
      </c>
      <c r="U969" s="56" t="str">
        <f t="shared" si="397"/>
        <v/>
      </c>
      <c r="V969" s="68" t="str">
        <f t="shared" si="398"/>
        <v/>
      </c>
      <c r="W969" s="80" t="str">
        <f t="shared" si="374"/>
        <v/>
      </c>
      <c r="X969" s="81" t="str">
        <f t="shared" si="375"/>
        <v/>
      </c>
      <c r="Y969" s="81" t="str">
        <f t="shared" si="376"/>
        <v/>
      </c>
      <c r="Z969" s="81" t="str">
        <f t="shared" si="377"/>
        <v/>
      </c>
      <c r="AA969" s="82" t="str">
        <f t="shared" si="378"/>
        <v/>
      </c>
      <c r="AB969" s="83" t="str">
        <f>IF(R969&lt;&gt;"",(W969-SUMPRODUCT(R$3:R969,$B$3:$B969)/SUM($B$3:$B969))/STDEVA(W959:W969),"")</f>
        <v/>
      </c>
      <c r="AC969" s="84" t="str">
        <f>IF(S969&lt;&gt;"",(X969-SUMPRODUCT(S$3:S969,$B$3:$B969)/SUM($B$3:$B969))/STDEVA(X959:X969),"")</f>
        <v/>
      </c>
      <c r="AD969" s="84" t="str">
        <f>IF(T969&lt;&gt;"",(Y969-SUMPRODUCT(T$3:T969,$B$3:$B969)/SUM($B$3:$B969))/STDEVA(Y959:Y969),"")</f>
        <v/>
      </c>
      <c r="AE969" s="84" t="str">
        <f>IF(U969&lt;&gt;"",(Z969-SUMPRODUCT(U$3:U969,$B$3:$B969)/SUM($B$3:$B969))/STDEVA(Z959:Z969),"")</f>
        <v/>
      </c>
      <c r="AF969" s="85" t="str">
        <f>IF(V969&lt;&gt;"",(AA969-SUMPRODUCT(V$3:V969,$B$3:$B969)/SUM($B$3:$B969))/STDEVA(AA959:AA969),"")</f>
        <v/>
      </c>
      <c r="AG969" s="90" t="str">
        <f t="shared" si="380"/>
        <v/>
      </c>
      <c r="AH969" s="90" t="str">
        <f t="shared" si="380"/>
        <v/>
      </c>
      <c r="AI969" s="90" t="str">
        <f t="shared" si="380"/>
        <v/>
      </c>
      <c r="AJ969" s="90" t="str">
        <f t="shared" si="379"/>
        <v/>
      </c>
      <c r="AK969" s="93" t="str">
        <f t="shared" si="379"/>
        <v/>
      </c>
      <c r="BQ969" s="100" t="str">
        <f>IF(A969&lt;&gt;"",(VLOOKUP(A969,MarketData!$D:$BP,MATCH($BQ$1,MarketData!$D$1:$EG$1,0),TRUE)/100/365+1)^(B969)*BQ968,"")</f>
        <v/>
      </c>
      <c r="BR969" s="98" t="str">
        <f t="shared" si="382"/>
        <v/>
      </c>
      <c r="BS969" s="106" t="str">
        <f>IF(A969&lt;&gt;"",VLOOKUP(A969,MarketData!$D:$BP,MATCH($BS$1,MarketData!$D$1:$EG$1,0),TRUE),"")</f>
        <v/>
      </c>
      <c r="BT969" s="98" t="str">
        <f t="shared" si="393"/>
        <v/>
      </c>
    </row>
    <row r="970" spans="2:72" x14ac:dyDescent="0.25">
      <c r="B970" s="60" t="str">
        <f t="shared" si="381"/>
        <v/>
      </c>
      <c r="C970" s="3" t="str">
        <f t="shared" si="383"/>
        <v/>
      </c>
      <c r="D970" s="3" t="str">
        <f t="shared" si="384"/>
        <v/>
      </c>
      <c r="E970" s="3" t="str">
        <f t="shared" si="385"/>
        <v/>
      </c>
      <c r="F970" s="3" t="str">
        <f t="shared" si="386"/>
        <v/>
      </c>
      <c r="G970" s="74" t="str">
        <f t="shared" si="387"/>
        <v/>
      </c>
      <c r="H970" s="78" t="str">
        <f>IFERROR(C970/SUM(M$2:M969),"")</f>
        <v/>
      </c>
      <c r="I970" s="61" t="str">
        <f>IFERROR(D970/SUM(N$2:N970),"")</f>
        <v/>
      </c>
      <c r="J970" s="61" t="str">
        <f>IFERROR(E970/SUM(O$2:O970),"")</f>
        <v/>
      </c>
      <c r="K970" s="61" t="str">
        <f>IFERROR(F970/SUM(P$2:P970),"")</f>
        <v/>
      </c>
      <c r="L970" s="79" t="str">
        <f>IFERROR(G970/SUM(Q$2:Q970),"")</f>
        <v/>
      </c>
      <c r="M970" s="64" t="str">
        <f t="shared" si="388"/>
        <v/>
      </c>
      <c r="N970" s="55" t="str">
        <f t="shared" si="389"/>
        <v/>
      </c>
      <c r="O970" s="55" t="str">
        <f t="shared" si="390"/>
        <v/>
      </c>
      <c r="P970" s="55" t="str">
        <f t="shared" si="391"/>
        <v/>
      </c>
      <c r="Q970" s="65" t="str">
        <f t="shared" si="392"/>
        <v/>
      </c>
      <c r="R970" s="67" t="str">
        <f t="shared" si="394"/>
        <v/>
      </c>
      <c r="S970" s="56" t="str">
        <f t="shared" si="395"/>
        <v/>
      </c>
      <c r="T970" s="56" t="str">
        <f t="shared" si="396"/>
        <v/>
      </c>
      <c r="U970" s="56" t="str">
        <f t="shared" si="397"/>
        <v/>
      </c>
      <c r="V970" s="68" t="str">
        <f t="shared" si="398"/>
        <v/>
      </c>
      <c r="W970" s="80" t="str">
        <f t="shared" si="374"/>
        <v/>
      </c>
      <c r="X970" s="81" t="str">
        <f t="shared" si="375"/>
        <v/>
      </c>
      <c r="Y970" s="81" t="str">
        <f t="shared" si="376"/>
        <v/>
      </c>
      <c r="Z970" s="81" t="str">
        <f t="shared" si="377"/>
        <v/>
      </c>
      <c r="AA970" s="82" t="str">
        <f t="shared" si="378"/>
        <v/>
      </c>
      <c r="AB970" s="83" t="str">
        <f>IF(R970&lt;&gt;"",(W970-SUMPRODUCT(R$3:R970,$B$3:$B970)/SUM($B$3:$B970))/STDEVA(W960:W970),"")</f>
        <v/>
      </c>
      <c r="AC970" s="84" t="str">
        <f>IF(S970&lt;&gt;"",(X970-SUMPRODUCT(S$3:S970,$B$3:$B970)/SUM($B$3:$B970))/STDEVA(X960:X970),"")</f>
        <v/>
      </c>
      <c r="AD970" s="84" t="str">
        <f>IF(T970&lt;&gt;"",(Y970-SUMPRODUCT(T$3:T970,$B$3:$B970)/SUM($B$3:$B970))/STDEVA(Y960:Y970),"")</f>
        <v/>
      </c>
      <c r="AE970" s="84" t="str">
        <f>IF(U970&lt;&gt;"",(Z970-SUMPRODUCT(U$3:U970,$B$3:$B970)/SUM($B$3:$B970))/STDEVA(Z960:Z970),"")</f>
        <v/>
      </c>
      <c r="AF970" s="85" t="str">
        <f>IF(V970&lt;&gt;"",(AA970-SUMPRODUCT(V$3:V970,$B$3:$B970)/SUM($B$3:$B970))/STDEVA(AA960:AA970),"")</f>
        <v/>
      </c>
      <c r="AG970" s="90" t="str">
        <f t="shared" si="380"/>
        <v/>
      </c>
      <c r="AH970" s="90" t="str">
        <f t="shared" si="380"/>
        <v/>
      </c>
      <c r="AI970" s="90" t="str">
        <f t="shared" si="380"/>
        <v/>
      </c>
      <c r="AJ970" s="90" t="str">
        <f t="shared" si="379"/>
        <v/>
      </c>
      <c r="AK970" s="93" t="str">
        <f t="shared" si="379"/>
        <v/>
      </c>
      <c r="BQ970" s="100" t="str">
        <f>IF(A970&lt;&gt;"",(VLOOKUP(A970,MarketData!$D:$BP,MATCH($BQ$1,MarketData!$D$1:$EG$1,0),TRUE)/100/365+1)^(B970)*BQ969,"")</f>
        <v/>
      </c>
      <c r="BR970" s="98" t="str">
        <f t="shared" si="382"/>
        <v/>
      </c>
      <c r="BS970" s="106" t="str">
        <f>IF(A970&lt;&gt;"",VLOOKUP(A970,MarketData!$D:$BP,MATCH($BS$1,MarketData!$D$1:$EG$1,0),TRUE),"")</f>
        <v/>
      </c>
      <c r="BT970" s="98" t="str">
        <f t="shared" si="393"/>
        <v/>
      </c>
    </row>
    <row r="971" spans="2:72" x14ac:dyDescent="0.25">
      <c r="B971" s="60" t="str">
        <f t="shared" si="381"/>
        <v/>
      </c>
      <c r="C971" s="3" t="str">
        <f t="shared" si="383"/>
        <v/>
      </c>
      <c r="D971" s="3" t="str">
        <f t="shared" si="384"/>
        <v/>
      </c>
      <c r="E971" s="3" t="str">
        <f t="shared" si="385"/>
        <v/>
      </c>
      <c r="F971" s="3" t="str">
        <f t="shared" si="386"/>
        <v/>
      </c>
      <c r="G971" s="74" t="str">
        <f t="shared" si="387"/>
        <v/>
      </c>
      <c r="H971" s="78" t="str">
        <f>IFERROR(C971/SUM(M$2:M970),"")</f>
        <v/>
      </c>
      <c r="I971" s="61" t="str">
        <f>IFERROR(D971/SUM(N$2:N971),"")</f>
        <v/>
      </c>
      <c r="J971" s="61" t="str">
        <f>IFERROR(E971/SUM(O$2:O971),"")</f>
        <v/>
      </c>
      <c r="K971" s="61" t="str">
        <f>IFERROR(F971/SUM(P$2:P971),"")</f>
        <v/>
      </c>
      <c r="L971" s="79" t="str">
        <f>IFERROR(G971/SUM(Q$2:Q971),"")</f>
        <v/>
      </c>
      <c r="M971" s="64" t="str">
        <f t="shared" si="388"/>
        <v/>
      </c>
      <c r="N971" s="55" t="str">
        <f t="shared" si="389"/>
        <v/>
      </c>
      <c r="O971" s="55" t="str">
        <f t="shared" si="390"/>
        <v/>
      </c>
      <c r="P971" s="55" t="str">
        <f t="shared" si="391"/>
        <v/>
      </c>
      <c r="Q971" s="65" t="str">
        <f t="shared" si="392"/>
        <v/>
      </c>
      <c r="R971" s="67" t="str">
        <f t="shared" si="394"/>
        <v/>
      </c>
      <c r="S971" s="56" t="str">
        <f t="shared" si="395"/>
        <v/>
      </c>
      <c r="T971" s="56" t="str">
        <f t="shared" si="396"/>
        <v/>
      </c>
      <c r="U971" s="56" t="str">
        <f t="shared" si="397"/>
        <v/>
      </c>
      <c r="V971" s="68" t="str">
        <f t="shared" si="398"/>
        <v/>
      </c>
      <c r="W971" s="80" t="str">
        <f t="shared" si="374"/>
        <v/>
      </c>
      <c r="X971" s="81" t="str">
        <f t="shared" si="375"/>
        <v/>
      </c>
      <c r="Y971" s="81" t="str">
        <f t="shared" si="376"/>
        <v/>
      </c>
      <c r="Z971" s="81" t="str">
        <f t="shared" si="377"/>
        <v/>
      </c>
      <c r="AA971" s="82" t="str">
        <f t="shared" si="378"/>
        <v/>
      </c>
      <c r="AB971" s="83" t="str">
        <f>IF(R971&lt;&gt;"",(W971-SUMPRODUCT(R$3:R971,$B$3:$B971)/SUM($B$3:$B971))/STDEVA(W961:W971),"")</f>
        <v/>
      </c>
      <c r="AC971" s="84" t="str">
        <f>IF(S971&lt;&gt;"",(X971-SUMPRODUCT(S$3:S971,$B$3:$B971)/SUM($B$3:$B971))/STDEVA(X961:X971),"")</f>
        <v/>
      </c>
      <c r="AD971" s="84" t="str">
        <f>IF(T971&lt;&gt;"",(Y971-SUMPRODUCT(T$3:T971,$B$3:$B971)/SUM($B$3:$B971))/STDEVA(Y961:Y971),"")</f>
        <v/>
      </c>
      <c r="AE971" s="84" t="str">
        <f>IF(U971&lt;&gt;"",(Z971-SUMPRODUCT(U$3:U971,$B$3:$B971)/SUM($B$3:$B971))/STDEVA(Z961:Z971),"")</f>
        <v/>
      </c>
      <c r="AF971" s="85" t="str">
        <f>IF(V971&lt;&gt;"",(AA971-SUMPRODUCT(V$3:V971,$B$3:$B971)/SUM($B$3:$B971))/STDEVA(AA961:AA971),"")</f>
        <v/>
      </c>
      <c r="AG971" s="90" t="str">
        <f t="shared" si="380"/>
        <v/>
      </c>
      <c r="AH971" s="90" t="str">
        <f t="shared" si="380"/>
        <v/>
      </c>
      <c r="AI971" s="90" t="str">
        <f t="shared" si="380"/>
        <v/>
      </c>
      <c r="AJ971" s="90" t="str">
        <f t="shared" si="379"/>
        <v/>
      </c>
      <c r="AK971" s="93" t="str">
        <f t="shared" si="379"/>
        <v/>
      </c>
      <c r="BQ971" s="100" t="str">
        <f>IF(A971&lt;&gt;"",(VLOOKUP(A971,MarketData!$D:$BP,MATCH($BQ$1,MarketData!$D$1:$EG$1,0),TRUE)/100/365+1)^(B971)*BQ970,"")</f>
        <v/>
      </c>
      <c r="BR971" s="98" t="str">
        <f t="shared" si="382"/>
        <v/>
      </c>
      <c r="BS971" s="106" t="str">
        <f>IF(A971&lt;&gt;"",VLOOKUP(A971,MarketData!$D:$BP,MATCH($BS$1,MarketData!$D$1:$EG$1,0),TRUE),"")</f>
        <v/>
      </c>
      <c r="BT971" s="98" t="str">
        <f t="shared" si="393"/>
        <v/>
      </c>
    </row>
    <row r="972" spans="2:72" x14ac:dyDescent="0.25">
      <c r="B972" s="60" t="str">
        <f t="shared" si="381"/>
        <v/>
      </c>
      <c r="C972" s="3" t="str">
        <f t="shared" si="383"/>
        <v/>
      </c>
      <c r="D972" s="3" t="str">
        <f t="shared" si="384"/>
        <v/>
      </c>
      <c r="E972" s="3" t="str">
        <f t="shared" si="385"/>
        <v/>
      </c>
      <c r="F972" s="3" t="str">
        <f t="shared" si="386"/>
        <v/>
      </c>
      <c r="G972" s="74" t="str">
        <f t="shared" si="387"/>
        <v/>
      </c>
      <c r="H972" s="78" t="str">
        <f>IFERROR(C972/SUM(M$2:M971),"")</f>
        <v/>
      </c>
      <c r="I972" s="61" t="str">
        <f>IFERROR(D972/SUM(N$2:N972),"")</f>
        <v/>
      </c>
      <c r="J972" s="61" t="str">
        <f>IFERROR(E972/SUM(O$2:O972),"")</f>
        <v/>
      </c>
      <c r="K972" s="61" t="str">
        <f>IFERROR(F972/SUM(P$2:P972),"")</f>
        <v/>
      </c>
      <c r="L972" s="79" t="str">
        <f>IFERROR(G972/SUM(Q$2:Q972),"")</f>
        <v/>
      </c>
      <c r="M972" s="64" t="str">
        <f t="shared" si="388"/>
        <v/>
      </c>
      <c r="N972" s="55" t="str">
        <f t="shared" si="389"/>
        <v/>
      </c>
      <c r="O972" s="55" t="str">
        <f t="shared" si="390"/>
        <v/>
      </c>
      <c r="P972" s="55" t="str">
        <f t="shared" si="391"/>
        <v/>
      </c>
      <c r="Q972" s="65" t="str">
        <f t="shared" si="392"/>
        <v/>
      </c>
      <c r="R972" s="67" t="str">
        <f t="shared" si="394"/>
        <v/>
      </c>
      <c r="S972" s="56" t="str">
        <f t="shared" si="395"/>
        <v/>
      </c>
      <c r="T972" s="56" t="str">
        <f t="shared" si="396"/>
        <v/>
      </c>
      <c r="U972" s="56" t="str">
        <f t="shared" si="397"/>
        <v/>
      </c>
      <c r="V972" s="68" t="str">
        <f t="shared" si="398"/>
        <v/>
      </c>
      <c r="W972" s="80" t="str">
        <f t="shared" ref="W972:W989" si="399">IF(R972&lt;&gt;"",SUMPRODUCT(R963:R972,$B963:$B972)/SUM($B963:$B972),"")</f>
        <v/>
      </c>
      <c r="X972" s="81" t="str">
        <f t="shared" ref="X972:X989" si="400">IF(S972&lt;&gt;"",SUMPRODUCT(S963:S972,$B963:$B972)/SUM($B963:$B972),"")</f>
        <v/>
      </c>
      <c r="Y972" s="81" t="str">
        <f t="shared" ref="Y972:Y989" si="401">IF(T972&lt;&gt;"",SUMPRODUCT(T963:T972,$B963:$B972)/SUM($B963:$B972),"")</f>
        <v/>
      </c>
      <c r="Z972" s="81" t="str">
        <f t="shared" ref="Z972:Z989" si="402">IF(U972&lt;&gt;"",SUMPRODUCT(U963:U972,$B963:$B972)/SUM($B963:$B972),"")</f>
        <v/>
      </c>
      <c r="AA972" s="82" t="str">
        <f t="shared" ref="AA972:AA989" si="403">IF(V972&lt;&gt;"",SUMPRODUCT(V963:V972,$B963:$B972)/SUM($B963:$B972),"")</f>
        <v/>
      </c>
      <c r="AB972" s="83" t="str">
        <f>IF(R972&lt;&gt;"",(W972-SUMPRODUCT(R$3:R972,$B$3:$B972)/SUM($B$3:$B972))/STDEVA(W962:W972),"")</f>
        <v/>
      </c>
      <c r="AC972" s="84" t="str">
        <f>IF(S972&lt;&gt;"",(X972-SUMPRODUCT(S$3:S972,$B$3:$B972)/SUM($B$3:$B972))/STDEVA(X962:X972),"")</f>
        <v/>
      </c>
      <c r="AD972" s="84" t="str">
        <f>IF(T972&lt;&gt;"",(Y972-SUMPRODUCT(T$3:T972,$B$3:$B972)/SUM($B$3:$B972))/STDEVA(Y962:Y972),"")</f>
        <v/>
      </c>
      <c r="AE972" s="84" t="str">
        <f>IF(U972&lt;&gt;"",(Z972-SUMPRODUCT(U$3:U972,$B$3:$B972)/SUM($B$3:$B972))/STDEVA(Z962:Z972),"")</f>
        <v/>
      </c>
      <c r="AF972" s="85" t="str">
        <f>IF(V972&lt;&gt;"",(AA972-SUMPRODUCT(V$3:V972,$B$3:$B972)/SUM($B$3:$B972))/STDEVA(AA962:AA972),"")</f>
        <v/>
      </c>
      <c r="AG972" s="90" t="str">
        <f t="shared" si="380"/>
        <v/>
      </c>
      <c r="AH972" s="90" t="str">
        <f t="shared" si="380"/>
        <v/>
      </c>
      <c r="AI972" s="90" t="str">
        <f t="shared" si="380"/>
        <v/>
      </c>
      <c r="AJ972" s="90" t="str">
        <f t="shared" si="379"/>
        <v/>
      </c>
      <c r="AK972" s="93" t="str">
        <f t="shared" si="379"/>
        <v/>
      </c>
      <c r="BQ972" s="100" t="str">
        <f>IF(A972&lt;&gt;"",(VLOOKUP(A972,MarketData!$D:$BP,MATCH($BQ$1,MarketData!$D$1:$EG$1,0),TRUE)/100/365+1)^(B972)*BQ971,"")</f>
        <v/>
      </c>
      <c r="BR972" s="98" t="str">
        <f t="shared" si="382"/>
        <v/>
      </c>
      <c r="BS972" s="106" t="str">
        <f>IF(A972&lt;&gt;"",VLOOKUP(A972,MarketData!$D:$BP,MATCH($BS$1,MarketData!$D$1:$EG$1,0),TRUE),"")</f>
        <v/>
      </c>
      <c r="BT972" s="98" t="str">
        <f t="shared" si="393"/>
        <v/>
      </c>
    </row>
    <row r="973" spans="2:72" x14ac:dyDescent="0.25">
      <c r="B973" s="60" t="str">
        <f t="shared" si="381"/>
        <v/>
      </c>
      <c r="C973" s="3" t="str">
        <f t="shared" si="383"/>
        <v/>
      </c>
      <c r="D973" s="3" t="str">
        <f t="shared" si="384"/>
        <v/>
      </c>
      <c r="E973" s="3" t="str">
        <f t="shared" si="385"/>
        <v/>
      </c>
      <c r="F973" s="3" t="str">
        <f t="shared" si="386"/>
        <v/>
      </c>
      <c r="G973" s="74" t="str">
        <f t="shared" si="387"/>
        <v/>
      </c>
      <c r="H973" s="78" t="str">
        <f>IFERROR(C973/SUM(M$2:M972),"")</f>
        <v/>
      </c>
      <c r="I973" s="61" t="str">
        <f>IFERROR(D973/SUM(N$2:N973),"")</f>
        <v/>
      </c>
      <c r="J973" s="61" t="str">
        <f>IFERROR(E973/SUM(O$2:O973),"")</f>
        <v/>
      </c>
      <c r="K973" s="61" t="str">
        <f>IFERROR(F973/SUM(P$2:P973),"")</f>
        <v/>
      </c>
      <c r="L973" s="79" t="str">
        <f>IFERROR(G973/SUM(Q$2:Q973),"")</f>
        <v/>
      </c>
      <c r="M973" s="64" t="str">
        <f t="shared" si="388"/>
        <v/>
      </c>
      <c r="N973" s="55" t="str">
        <f t="shared" si="389"/>
        <v/>
      </c>
      <c r="O973" s="55" t="str">
        <f t="shared" si="390"/>
        <v/>
      </c>
      <c r="P973" s="55" t="str">
        <f t="shared" si="391"/>
        <v/>
      </c>
      <c r="Q973" s="65" t="str">
        <f t="shared" si="392"/>
        <v/>
      </c>
      <c r="R973" s="67" t="str">
        <f t="shared" si="394"/>
        <v/>
      </c>
      <c r="S973" s="56" t="str">
        <f t="shared" si="395"/>
        <v/>
      </c>
      <c r="T973" s="56" t="str">
        <f t="shared" si="396"/>
        <v/>
      </c>
      <c r="U973" s="56" t="str">
        <f t="shared" si="397"/>
        <v/>
      </c>
      <c r="V973" s="68" t="str">
        <f t="shared" si="398"/>
        <v/>
      </c>
      <c r="W973" s="80" t="str">
        <f t="shared" si="399"/>
        <v/>
      </c>
      <c r="X973" s="81" t="str">
        <f t="shared" si="400"/>
        <v/>
      </c>
      <c r="Y973" s="81" t="str">
        <f t="shared" si="401"/>
        <v/>
      </c>
      <c r="Z973" s="81" t="str">
        <f t="shared" si="402"/>
        <v/>
      </c>
      <c r="AA973" s="82" t="str">
        <f t="shared" si="403"/>
        <v/>
      </c>
      <c r="AB973" s="83" t="str">
        <f>IF(R973&lt;&gt;"",(W973-SUMPRODUCT(R$3:R973,$B$3:$B973)/SUM($B$3:$B973))/STDEVA(W963:W973),"")</f>
        <v/>
      </c>
      <c r="AC973" s="84" t="str">
        <f>IF(S973&lt;&gt;"",(X973-SUMPRODUCT(S$3:S973,$B$3:$B973)/SUM($B$3:$B973))/STDEVA(X963:X973),"")</f>
        <v/>
      </c>
      <c r="AD973" s="84" t="str">
        <f>IF(T973&lt;&gt;"",(Y973-SUMPRODUCT(T$3:T973,$B$3:$B973)/SUM($B$3:$B973))/STDEVA(Y963:Y973),"")</f>
        <v/>
      </c>
      <c r="AE973" s="84" t="str">
        <f>IF(U973&lt;&gt;"",(Z973-SUMPRODUCT(U$3:U973,$B$3:$B973)/SUM($B$3:$B973))/STDEVA(Z963:Z973),"")</f>
        <v/>
      </c>
      <c r="AF973" s="85" t="str">
        <f>IF(V973&lt;&gt;"",(AA973-SUMPRODUCT(V$3:V973,$B$3:$B973)/SUM($B$3:$B973))/STDEVA(AA963:AA973),"")</f>
        <v/>
      </c>
      <c r="AG973" s="90" t="str">
        <f t="shared" si="380"/>
        <v/>
      </c>
      <c r="AH973" s="90" t="str">
        <f t="shared" si="380"/>
        <v/>
      </c>
      <c r="AI973" s="90" t="str">
        <f t="shared" si="380"/>
        <v/>
      </c>
      <c r="AJ973" s="90" t="str">
        <f t="shared" si="380"/>
        <v/>
      </c>
      <c r="AK973" s="93" t="str">
        <f t="shared" si="380"/>
        <v/>
      </c>
      <c r="BQ973" s="100" t="str">
        <f>IF(A973&lt;&gt;"",(VLOOKUP(A973,MarketData!$D:$BP,MATCH($BQ$1,MarketData!$D$1:$EG$1,0),TRUE)/100/365+1)^(B973)*BQ972,"")</f>
        <v/>
      </c>
      <c r="BR973" s="98" t="str">
        <f t="shared" si="382"/>
        <v/>
      </c>
      <c r="BS973" s="106" t="str">
        <f>IF(A973&lt;&gt;"",VLOOKUP(A973,MarketData!$D:$BP,MATCH($BS$1,MarketData!$D$1:$EG$1,0),TRUE),"")</f>
        <v/>
      </c>
      <c r="BT973" s="98" t="str">
        <f t="shared" si="393"/>
        <v/>
      </c>
    </row>
    <row r="974" spans="2:72" x14ac:dyDescent="0.25">
      <c r="B974" s="60" t="str">
        <f t="shared" si="381"/>
        <v/>
      </c>
      <c r="C974" s="3" t="str">
        <f t="shared" si="383"/>
        <v/>
      </c>
      <c r="D974" s="3" t="str">
        <f t="shared" si="384"/>
        <v/>
      </c>
      <c r="E974" s="3" t="str">
        <f t="shared" si="385"/>
        <v/>
      </c>
      <c r="F974" s="3" t="str">
        <f t="shared" si="386"/>
        <v/>
      </c>
      <c r="G974" s="74" t="str">
        <f t="shared" si="387"/>
        <v/>
      </c>
      <c r="H974" s="78" t="str">
        <f>IFERROR(C974/SUM(M$2:M973),"")</f>
        <v/>
      </c>
      <c r="I974" s="61" t="str">
        <f>IFERROR(D974/SUM(N$2:N974),"")</f>
        <v/>
      </c>
      <c r="J974" s="61" t="str">
        <f>IFERROR(E974/SUM(O$2:O974),"")</f>
        <v/>
      </c>
      <c r="K974" s="61" t="str">
        <f>IFERROR(F974/SUM(P$2:P974),"")</f>
        <v/>
      </c>
      <c r="L974" s="79" t="str">
        <f>IFERROR(G974/SUM(Q$2:Q974),"")</f>
        <v/>
      </c>
      <c r="M974" s="64" t="str">
        <f t="shared" si="388"/>
        <v/>
      </c>
      <c r="N974" s="55" t="str">
        <f t="shared" si="389"/>
        <v/>
      </c>
      <c r="O974" s="55" t="str">
        <f t="shared" si="390"/>
        <v/>
      </c>
      <c r="P974" s="55" t="str">
        <f t="shared" si="391"/>
        <v/>
      </c>
      <c r="Q974" s="65" t="str">
        <f t="shared" si="392"/>
        <v/>
      </c>
      <c r="R974" s="67" t="str">
        <f t="shared" si="394"/>
        <v/>
      </c>
      <c r="S974" s="56" t="str">
        <f t="shared" si="395"/>
        <v/>
      </c>
      <c r="T974" s="56" t="str">
        <f t="shared" si="396"/>
        <v/>
      </c>
      <c r="U974" s="56" t="str">
        <f t="shared" si="397"/>
        <v/>
      </c>
      <c r="V974" s="68" t="str">
        <f t="shared" si="398"/>
        <v/>
      </c>
      <c r="W974" s="80" t="str">
        <f t="shared" si="399"/>
        <v/>
      </c>
      <c r="X974" s="81" t="str">
        <f t="shared" si="400"/>
        <v/>
      </c>
      <c r="Y974" s="81" t="str">
        <f t="shared" si="401"/>
        <v/>
      </c>
      <c r="Z974" s="81" t="str">
        <f t="shared" si="402"/>
        <v/>
      </c>
      <c r="AA974" s="82" t="str">
        <f t="shared" si="403"/>
        <v/>
      </c>
      <c r="AB974" s="83" t="str">
        <f>IF(R974&lt;&gt;"",(W974-SUMPRODUCT(R$3:R974,$B$3:$B974)/SUM($B$3:$B974))/STDEVA(W964:W974),"")</f>
        <v/>
      </c>
      <c r="AC974" s="84" t="str">
        <f>IF(S974&lt;&gt;"",(X974-SUMPRODUCT(S$3:S974,$B$3:$B974)/SUM($B$3:$B974))/STDEVA(X964:X974),"")</f>
        <v/>
      </c>
      <c r="AD974" s="84" t="str">
        <f>IF(T974&lt;&gt;"",(Y974-SUMPRODUCT(T$3:T974,$B$3:$B974)/SUM($B$3:$B974))/STDEVA(Y964:Y974),"")</f>
        <v/>
      </c>
      <c r="AE974" s="84" t="str">
        <f>IF(U974&lt;&gt;"",(Z974-SUMPRODUCT(U$3:U974,$B$3:$B974)/SUM($B$3:$B974))/STDEVA(Z964:Z974),"")</f>
        <v/>
      </c>
      <c r="AF974" s="85" t="str">
        <f>IF(V974&lt;&gt;"",(AA974-SUMPRODUCT(V$3:V974,$B$3:$B974)/SUM($B$3:$B974))/STDEVA(AA964:AA974),"")</f>
        <v/>
      </c>
      <c r="AG974" s="90" t="str">
        <f t="shared" ref="AG974:AK989" si="404">IF(AB974&lt;&gt;"",SUMPRODUCT(AB969:AB974,$B969:$B974)/SUM($B969:$B974),"")</f>
        <v/>
      </c>
      <c r="AH974" s="90" t="str">
        <f t="shared" si="404"/>
        <v/>
      </c>
      <c r="AI974" s="90" t="str">
        <f t="shared" si="404"/>
        <v/>
      </c>
      <c r="AJ974" s="90" t="str">
        <f t="shared" si="404"/>
        <v/>
      </c>
      <c r="AK974" s="93" t="str">
        <f t="shared" si="404"/>
        <v/>
      </c>
      <c r="BQ974" s="100" t="str">
        <f>IF(A974&lt;&gt;"",(VLOOKUP(A974,MarketData!$D:$BP,MATCH($BQ$1,MarketData!$D$1:$EG$1,0),TRUE)/100/365+1)^(B974)*BQ973,"")</f>
        <v/>
      </c>
      <c r="BR974" s="98" t="str">
        <f t="shared" si="382"/>
        <v/>
      </c>
      <c r="BS974" s="106" t="str">
        <f>IF(A974&lt;&gt;"",VLOOKUP(A974,MarketData!$D:$BP,MATCH($BS$1,MarketData!$D$1:$EG$1,0),TRUE),"")</f>
        <v/>
      </c>
      <c r="BT974" s="98" t="str">
        <f t="shared" si="393"/>
        <v/>
      </c>
    </row>
    <row r="975" spans="2:72" x14ac:dyDescent="0.25">
      <c r="B975" s="60" t="str">
        <f t="shared" si="381"/>
        <v/>
      </c>
      <c r="C975" s="3" t="str">
        <f t="shared" si="383"/>
        <v/>
      </c>
      <c r="D975" s="3" t="str">
        <f t="shared" si="384"/>
        <v/>
      </c>
      <c r="E975" s="3" t="str">
        <f t="shared" si="385"/>
        <v/>
      </c>
      <c r="F975" s="3" t="str">
        <f t="shared" si="386"/>
        <v/>
      </c>
      <c r="G975" s="74" t="str">
        <f t="shared" si="387"/>
        <v/>
      </c>
      <c r="H975" s="78" t="str">
        <f>IFERROR(C975/SUM(M$2:M974),"")</f>
        <v/>
      </c>
      <c r="I975" s="61" t="str">
        <f>IFERROR(D975/SUM(N$2:N975),"")</f>
        <v/>
      </c>
      <c r="J975" s="61" t="str">
        <f>IFERROR(E975/SUM(O$2:O975),"")</f>
        <v/>
      </c>
      <c r="K975" s="61" t="str">
        <f>IFERROR(F975/SUM(P$2:P975),"")</f>
        <v/>
      </c>
      <c r="L975" s="79" t="str">
        <f>IFERROR(G975/SUM(Q$2:Q975),"")</f>
        <v/>
      </c>
      <c r="M975" s="64" t="str">
        <f t="shared" si="388"/>
        <v/>
      </c>
      <c r="N975" s="55" t="str">
        <f t="shared" si="389"/>
        <v/>
      </c>
      <c r="O975" s="55" t="str">
        <f t="shared" si="390"/>
        <v/>
      </c>
      <c r="P975" s="55" t="str">
        <f t="shared" si="391"/>
        <v/>
      </c>
      <c r="Q975" s="65" t="str">
        <f t="shared" si="392"/>
        <v/>
      </c>
      <c r="R975" s="67" t="str">
        <f t="shared" si="394"/>
        <v/>
      </c>
      <c r="S975" s="56" t="str">
        <f t="shared" si="395"/>
        <v/>
      </c>
      <c r="T975" s="56" t="str">
        <f t="shared" si="396"/>
        <v/>
      </c>
      <c r="U975" s="56" t="str">
        <f t="shared" si="397"/>
        <v/>
      </c>
      <c r="V975" s="68" t="str">
        <f t="shared" si="398"/>
        <v/>
      </c>
      <c r="W975" s="80" t="str">
        <f t="shared" si="399"/>
        <v/>
      </c>
      <c r="X975" s="81" t="str">
        <f t="shared" si="400"/>
        <v/>
      </c>
      <c r="Y975" s="81" t="str">
        <f t="shared" si="401"/>
        <v/>
      </c>
      <c r="Z975" s="81" t="str">
        <f t="shared" si="402"/>
        <v/>
      </c>
      <c r="AA975" s="82" t="str">
        <f t="shared" si="403"/>
        <v/>
      </c>
      <c r="AB975" s="83" t="str">
        <f>IF(R975&lt;&gt;"",(W975-SUMPRODUCT(R$3:R975,$B$3:$B975)/SUM($B$3:$B975))/STDEVA(W965:W975),"")</f>
        <v/>
      </c>
      <c r="AC975" s="84" t="str">
        <f>IF(S975&lt;&gt;"",(X975-SUMPRODUCT(S$3:S975,$B$3:$B975)/SUM($B$3:$B975))/STDEVA(X965:X975),"")</f>
        <v/>
      </c>
      <c r="AD975" s="84" t="str">
        <f>IF(T975&lt;&gt;"",(Y975-SUMPRODUCT(T$3:T975,$B$3:$B975)/SUM($B$3:$B975))/STDEVA(Y965:Y975),"")</f>
        <v/>
      </c>
      <c r="AE975" s="84" t="str">
        <f>IF(U975&lt;&gt;"",(Z975-SUMPRODUCT(U$3:U975,$B$3:$B975)/SUM($B$3:$B975))/STDEVA(Z965:Z975),"")</f>
        <v/>
      </c>
      <c r="AF975" s="85" t="str">
        <f>IF(V975&lt;&gt;"",(AA975-SUMPRODUCT(V$3:V975,$B$3:$B975)/SUM($B$3:$B975))/STDEVA(AA965:AA975),"")</f>
        <v/>
      </c>
      <c r="AG975" s="90" t="str">
        <f t="shared" si="404"/>
        <v/>
      </c>
      <c r="AH975" s="90" t="str">
        <f t="shared" si="404"/>
        <v/>
      </c>
      <c r="AI975" s="90" t="str">
        <f t="shared" si="404"/>
        <v/>
      </c>
      <c r="AJ975" s="90" t="str">
        <f t="shared" si="404"/>
        <v/>
      </c>
      <c r="AK975" s="93" t="str">
        <f t="shared" si="404"/>
        <v/>
      </c>
      <c r="BQ975" s="100" t="str">
        <f>IF(A975&lt;&gt;"",(VLOOKUP(A975,MarketData!$D:$BP,MATCH($BQ$1,MarketData!$D$1:$EG$1,0),TRUE)/100/365+1)^(B975)*BQ974,"")</f>
        <v/>
      </c>
      <c r="BR975" s="98" t="str">
        <f t="shared" si="382"/>
        <v/>
      </c>
      <c r="BS975" s="106" t="str">
        <f>IF(A975&lt;&gt;"",VLOOKUP(A975,MarketData!$D:$BP,MATCH($BS$1,MarketData!$D$1:$EG$1,0),TRUE),"")</f>
        <v/>
      </c>
      <c r="BT975" s="98" t="str">
        <f t="shared" si="393"/>
        <v/>
      </c>
    </row>
    <row r="976" spans="2:72" x14ac:dyDescent="0.25">
      <c r="B976" s="60" t="str">
        <f t="shared" si="381"/>
        <v/>
      </c>
      <c r="C976" s="3" t="str">
        <f t="shared" si="383"/>
        <v/>
      </c>
      <c r="D976" s="3" t="str">
        <f t="shared" si="384"/>
        <v/>
      </c>
      <c r="E976" s="3" t="str">
        <f t="shared" si="385"/>
        <v/>
      </c>
      <c r="F976" s="3" t="str">
        <f t="shared" si="386"/>
        <v/>
      </c>
      <c r="G976" s="74" t="str">
        <f t="shared" si="387"/>
        <v/>
      </c>
      <c r="H976" s="78" t="str">
        <f>IFERROR(C976/SUM(M$2:M975),"")</f>
        <v/>
      </c>
      <c r="I976" s="61" t="str">
        <f>IFERROR(D976/SUM(N$2:N976),"")</f>
        <v/>
      </c>
      <c r="J976" s="61" t="str">
        <f>IFERROR(E976/SUM(O$2:O976),"")</f>
        <v/>
      </c>
      <c r="K976" s="61" t="str">
        <f>IFERROR(F976/SUM(P$2:P976),"")</f>
        <v/>
      </c>
      <c r="L976" s="79" t="str">
        <f>IFERROR(G976/SUM(Q$2:Q976),"")</f>
        <v/>
      </c>
      <c r="M976" s="64" t="str">
        <f t="shared" si="388"/>
        <v/>
      </c>
      <c r="N976" s="55" t="str">
        <f t="shared" si="389"/>
        <v/>
      </c>
      <c r="O976" s="55" t="str">
        <f t="shared" si="390"/>
        <v/>
      </c>
      <c r="P976" s="55" t="str">
        <f t="shared" si="391"/>
        <v/>
      </c>
      <c r="Q976" s="65" t="str">
        <f t="shared" si="392"/>
        <v/>
      </c>
      <c r="R976" s="67" t="str">
        <f t="shared" si="394"/>
        <v/>
      </c>
      <c r="S976" s="56" t="str">
        <f t="shared" si="395"/>
        <v/>
      </c>
      <c r="T976" s="56" t="str">
        <f t="shared" si="396"/>
        <v/>
      </c>
      <c r="U976" s="56" t="str">
        <f t="shared" si="397"/>
        <v/>
      </c>
      <c r="V976" s="68" t="str">
        <f t="shared" si="398"/>
        <v/>
      </c>
      <c r="W976" s="80" t="str">
        <f t="shared" si="399"/>
        <v/>
      </c>
      <c r="X976" s="81" t="str">
        <f t="shared" si="400"/>
        <v/>
      </c>
      <c r="Y976" s="81" t="str">
        <f t="shared" si="401"/>
        <v/>
      </c>
      <c r="Z976" s="81" t="str">
        <f t="shared" si="402"/>
        <v/>
      </c>
      <c r="AA976" s="82" t="str">
        <f t="shared" si="403"/>
        <v/>
      </c>
      <c r="AB976" s="83" t="str">
        <f>IF(R976&lt;&gt;"",(W976-SUMPRODUCT(R$3:R976,$B$3:$B976)/SUM($B$3:$B976))/STDEVA(W966:W976),"")</f>
        <v/>
      </c>
      <c r="AC976" s="84" t="str">
        <f>IF(S976&lt;&gt;"",(X976-SUMPRODUCT(S$3:S976,$B$3:$B976)/SUM($B$3:$B976))/STDEVA(X966:X976),"")</f>
        <v/>
      </c>
      <c r="AD976" s="84" t="str">
        <f>IF(T976&lt;&gt;"",(Y976-SUMPRODUCT(T$3:T976,$B$3:$B976)/SUM($B$3:$B976))/STDEVA(Y966:Y976),"")</f>
        <v/>
      </c>
      <c r="AE976" s="84" t="str">
        <f>IF(U976&lt;&gt;"",(Z976-SUMPRODUCT(U$3:U976,$B$3:$B976)/SUM($B$3:$B976))/STDEVA(Z966:Z976),"")</f>
        <v/>
      </c>
      <c r="AF976" s="85" t="str">
        <f>IF(V976&lt;&gt;"",(AA976-SUMPRODUCT(V$3:V976,$B$3:$B976)/SUM($B$3:$B976))/STDEVA(AA966:AA976),"")</f>
        <v/>
      </c>
      <c r="AG976" s="90" t="str">
        <f t="shared" si="404"/>
        <v/>
      </c>
      <c r="AH976" s="90" t="str">
        <f t="shared" si="404"/>
        <v/>
      </c>
      <c r="AI976" s="90" t="str">
        <f t="shared" si="404"/>
        <v/>
      </c>
      <c r="AJ976" s="90" t="str">
        <f t="shared" si="404"/>
        <v/>
      </c>
      <c r="AK976" s="93" t="str">
        <f t="shared" si="404"/>
        <v/>
      </c>
      <c r="BQ976" s="100" t="str">
        <f>IF(A976&lt;&gt;"",(VLOOKUP(A976,MarketData!$D:$BP,MATCH($BQ$1,MarketData!$D$1:$EG$1,0),TRUE)/100/365+1)^(B976)*BQ975,"")</f>
        <v/>
      </c>
      <c r="BR976" s="98" t="str">
        <f t="shared" si="382"/>
        <v/>
      </c>
      <c r="BS976" s="106" t="str">
        <f>IF(A976&lt;&gt;"",VLOOKUP(A976,MarketData!$D:$BP,MATCH($BS$1,MarketData!$D$1:$EG$1,0),TRUE),"")</f>
        <v/>
      </c>
      <c r="BT976" s="98" t="str">
        <f t="shared" si="393"/>
        <v/>
      </c>
    </row>
    <row r="977" spans="2:72" x14ac:dyDescent="0.25">
      <c r="B977" s="60" t="str">
        <f t="shared" si="381"/>
        <v/>
      </c>
      <c r="C977" s="3" t="str">
        <f t="shared" si="383"/>
        <v/>
      </c>
      <c r="D977" s="3" t="str">
        <f t="shared" si="384"/>
        <v/>
      </c>
      <c r="E977" s="3" t="str">
        <f t="shared" si="385"/>
        <v/>
      </c>
      <c r="F977" s="3" t="str">
        <f t="shared" si="386"/>
        <v/>
      </c>
      <c r="G977" s="74" t="str">
        <f t="shared" si="387"/>
        <v/>
      </c>
      <c r="H977" s="78" t="str">
        <f>IFERROR(C977/SUM(M$2:M976),"")</f>
        <v/>
      </c>
      <c r="I977" s="61" t="str">
        <f>IFERROR(D977/SUM(N$2:N977),"")</f>
        <v/>
      </c>
      <c r="J977" s="61" t="str">
        <f>IFERROR(E977/SUM(O$2:O977),"")</f>
        <v/>
      </c>
      <c r="K977" s="61" t="str">
        <f>IFERROR(F977/SUM(P$2:P977),"")</f>
        <v/>
      </c>
      <c r="L977" s="79" t="str">
        <f>IFERROR(G977/SUM(Q$2:Q977),"")</f>
        <v/>
      </c>
      <c r="M977" s="64" t="str">
        <f t="shared" si="388"/>
        <v/>
      </c>
      <c r="N977" s="55" t="str">
        <f t="shared" si="389"/>
        <v/>
      </c>
      <c r="O977" s="55" t="str">
        <f t="shared" si="390"/>
        <v/>
      </c>
      <c r="P977" s="55" t="str">
        <f t="shared" si="391"/>
        <v/>
      </c>
      <c r="Q977" s="65" t="str">
        <f t="shared" si="392"/>
        <v/>
      </c>
      <c r="R977" s="67" t="str">
        <f t="shared" si="394"/>
        <v/>
      </c>
      <c r="S977" s="56" t="str">
        <f t="shared" si="395"/>
        <v/>
      </c>
      <c r="T977" s="56" t="str">
        <f t="shared" si="396"/>
        <v/>
      </c>
      <c r="U977" s="56" t="str">
        <f t="shared" si="397"/>
        <v/>
      </c>
      <c r="V977" s="68" t="str">
        <f t="shared" si="398"/>
        <v/>
      </c>
      <c r="W977" s="80" t="str">
        <f t="shared" si="399"/>
        <v/>
      </c>
      <c r="X977" s="81" t="str">
        <f t="shared" si="400"/>
        <v/>
      </c>
      <c r="Y977" s="81" t="str">
        <f t="shared" si="401"/>
        <v/>
      </c>
      <c r="Z977" s="81" t="str">
        <f t="shared" si="402"/>
        <v/>
      </c>
      <c r="AA977" s="82" t="str">
        <f t="shared" si="403"/>
        <v/>
      </c>
      <c r="AB977" s="83" t="str">
        <f>IF(R977&lt;&gt;"",(W977-SUMPRODUCT(R$3:R977,$B$3:$B977)/SUM($B$3:$B977))/STDEVA(W967:W977),"")</f>
        <v/>
      </c>
      <c r="AC977" s="84" t="str">
        <f>IF(S977&lt;&gt;"",(X977-SUMPRODUCT(S$3:S977,$B$3:$B977)/SUM($B$3:$B977))/STDEVA(X967:X977),"")</f>
        <v/>
      </c>
      <c r="AD977" s="84" t="str">
        <f>IF(T977&lt;&gt;"",(Y977-SUMPRODUCT(T$3:T977,$B$3:$B977)/SUM($B$3:$B977))/STDEVA(Y967:Y977),"")</f>
        <v/>
      </c>
      <c r="AE977" s="84" t="str">
        <f>IF(U977&lt;&gt;"",(Z977-SUMPRODUCT(U$3:U977,$B$3:$B977)/SUM($B$3:$B977))/STDEVA(Z967:Z977),"")</f>
        <v/>
      </c>
      <c r="AF977" s="85" t="str">
        <f>IF(V977&lt;&gt;"",(AA977-SUMPRODUCT(V$3:V977,$B$3:$B977)/SUM($B$3:$B977))/STDEVA(AA967:AA977),"")</f>
        <v/>
      </c>
      <c r="AG977" s="90" t="str">
        <f t="shared" si="404"/>
        <v/>
      </c>
      <c r="AH977" s="90" t="str">
        <f t="shared" si="404"/>
        <v/>
      </c>
      <c r="AI977" s="90" t="str">
        <f t="shared" si="404"/>
        <v/>
      </c>
      <c r="AJ977" s="90" t="str">
        <f t="shared" si="404"/>
        <v/>
      </c>
      <c r="AK977" s="93" t="str">
        <f t="shared" si="404"/>
        <v/>
      </c>
      <c r="BQ977" s="100" t="str">
        <f>IF(A977&lt;&gt;"",(VLOOKUP(A977,MarketData!$D:$BP,MATCH($BQ$1,MarketData!$D$1:$EG$1,0),TRUE)/100/365+1)^(B977)*BQ976,"")</f>
        <v/>
      </c>
      <c r="BR977" s="98" t="str">
        <f t="shared" si="382"/>
        <v/>
      </c>
      <c r="BS977" s="106" t="str">
        <f>IF(A977&lt;&gt;"",VLOOKUP(A977,MarketData!$D:$BP,MATCH($BS$1,MarketData!$D$1:$EG$1,0),TRUE),"")</f>
        <v/>
      </c>
      <c r="BT977" s="98" t="str">
        <f t="shared" si="393"/>
        <v/>
      </c>
    </row>
    <row r="978" spans="2:72" x14ac:dyDescent="0.25">
      <c r="B978" s="60" t="str">
        <f t="shared" si="381"/>
        <v/>
      </c>
      <c r="C978" s="3" t="str">
        <f t="shared" si="383"/>
        <v/>
      </c>
      <c r="D978" s="3" t="str">
        <f t="shared" si="384"/>
        <v/>
      </c>
      <c r="E978" s="3" t="str">
        <f t="shared" si="385"/>
        <v/>
      </c>
      <c r="F978" s="3" t="str">
        <f t="shared" si="386"/>
        <v/>
      </c>
      <c r="G978" s="74" t="str">
        <f t="shared" si="387"/>
        <v/>
      </c>
      <c r="H978" s="78" t="str">
        <f>IFERROR(C978/SUM(M$2:M977),"")</f>
        <v/>
      </c>
      <c r="I978" s="61" t="str">
        <f>IFERROR(D978/SUM(N$2:N978),"")</f>
        <v/>
      </c>
      <c r="J978" s="61" t="str">
        <f>IFERROR(E978/SUM(O$2:O978),"")</f>
        <v/>
      </c>
      <c r="K978" s="61" t="str">
        <f>IFERROR(F978/SUM(P$2:P978),"")</f>
        <v/>
      </c>
      <c r="L978" s="79" t="str">
        <f>IFERROR(G978/SUM(Q$2:Q978),"")</f>
        <v/>
      </c>
      <c r="M978" s="64" t="str">
        <f t="shared" si="388"/>
        <v/>
      </c>
      <c r="N978" s="55" t="str">
        <f t="shared" si="389"/>
        <v/>
      </c>
      <c r="O978" s="55" t="str">
        <f t="shared" si="390"/>
        <v/>
      </c>
      <c r="P978" s="55" t="str">
        <f t="shared" si="391"/>
        <v/>
      </c>
      <c r="Q978" s="65" t="str">
        <f t="shared" si="392"/>
        <v/>
      </c>
      <c r="R978" s="67" t="str">
        <f t="shared" si="394"/>
        <v/>
      </c>
      <c r="S978" s="56" t="str">
        <f t="shared" si="395"/>
        <v/>
      </c>
      <c r="T978" s="56" t="str">
        <f t="shared" si="396"/>
        <v/>
      </c>
      <c r="U978" s="56" t="str">
        <f t="shared" si="397"/>
        <v/>
      </c>
      <c r="V978" s="68" t="str">
        <f t="shared" si="398"/>
        <v/>
      </c>
      <c r="W978" s="80" t="str">
        <f t="shared" si="399"/>
        <v/>
      </c>
      <c r="X978" s="81" t="str">
        <f t="shared" si="400"/>
        <v/>
      </c>
      <c r="Y978" s="81" t="str">
        <f t="shared" si="401"/>
        <v/>
      </c>
      <c r="Z978" s="81" t="str">
        <f t="shared" si="402"/>
        <v/>
      </c>
      <c r="AA978" s="82" t="str">
        <f t="shared" si="403"/>
        <v/>
      </c>
      <c r="AB978" s="83" t="str">
        <f>IF(R978&lt;&gt;"",(W978-SUMPRODUCT(R$3:R978,$B$3:$B978)/SUM($B$3:$B978))/STDEVA(W968:W978),"")</f>
        <v/>
      </c>
      <c r="AC978" s="84" t="str">
        <f>IF(S978&lt;&gt;"",(X978-SUMPRODUCT(S$3:S978,$B$3:$B978)/SUM($B$3:$B978))/STDEVA(X968:X978),"")</f>
        <v/>
      </c>
      <c r="AD978" s="84" t="str">
        <f>IF(T978&lt;&gt;"",(Y978-SUMPRODUCT(T$3:T978,$B$3:$B978)/SUM($B$3:$B978))/STDEVA(Y968:Y978),"")</f>
        <v/>
      </c>
      <c r="AE978" s="84" t="str">
        <f>IF(U978&lt;&gt;"",(Z978-SUMPRODUCT(U$3:U978,$B$3:$B978)/SUM($B$3:$B978))/STDEVA(Z968:Z978),"")</f>
        <v/>
      </c>
      <c r="AF978" s="85" t="str">
        <f>IF(V978&lt;&gt;"",(AA978-SUMPRODUCT(V$3:V978,$B$3:$B978)/SUM($B$3:$B978))/STDEVA(AA968:AA978),"")</f>
        <v/>
      </c>
      <c r="AG978" s="90" t="str">
        <f t="shared" si="404"/>
        <v/>
      </c>
      <c r="AH978" s="90" t="str">
        <f t="shared" si="404"/>
        <v/>
      </c>
      <c r="AI978" s="90" t="str">
        <f t="shared" si="404"/>
        <v/>
      </c>
      <c r="AJ978" s="90" t="str">
        <f t="shared" si="404"/>
        <v/>
      </c>
      <c r="AK978" s="93" t="str">
        <f t="shared" si="404"/>
        <v/>
      </c>
      <c r="BQ978" s="100" t="str">
        <f>IF(A978&lt;&gt;"",(VLOOKUP(A978,MarketData!$D:$BP,MATCH($BQ$1,MarketData!$D$1:$EG$1,0),TRUE)/100/365+1)^(B978)*BQ977,"")</f>
        <v/>
      </c>
      <c r="BR978" s="98" t="str">
        <f t="shared" si="382"/>
        <v/>
      </c>
      <c r="BS978" s="106" t="str">
        <f>IF(A978&lt;&gt;"",VLOOKUP(A978,MarketData!$D:$BP,MATCH($BS$1,MarketData!$D$1:$EG$1,0),TRUE),"")</f>
        <v/>
      </c>
      <c r="BT978" s="98" t="str">
        <f t="shared" si="393"/>
        <v/>
      </c>
    </row>
    <row r="979" spans="2:72" x14ac:dyDescent="0.25">
      <c r="B979" s="60" t="str">
        <f t="shared" si="381"/>
        <v/>
      </c>
      <c r="C979" s="3" t="str">
        <f t="shared" si="383"/>
        <v/>
      </c>
      <c r="D979" s="3" t="str">
        <f t="shared" si="384"/>
        <v/>
      </c>
      <c r="E979" s="3" t="str">
        <f t="shared" si="385"/>
        <v/>
      </c>
      <c r="F979" s="3" t="str">
        <f t="shared" si="386"/>
        <v/>
      </c>
      <c r="G979" s="74" t="str">
        <f t="shared" si="387"/>
        <v/>
      </c>
      <c r="H979" s="78" t="str">
        <f>IFERROR(C979/SUM(M$2:M978),"")</f>
        <v/>
      </c>
      <c r="I979" s="61" t="str">
        <f>IFERROR(D979/SUM(N$2:N979),"")</f>
        <v/>
      </c>
      <c r="J979" s="61" t="str">
        <f>IFERROR(E979/SUM(O$2:O979),"")</f>
        <v/>
      </c>
      <c r="K979" s="61" t="str">
        <f>IFERROR(F979/SUM(P$2:P979),"")</f>
        <v/>
      </c>
      <c r="L979" s="79" t="str">
        <f>IFERROR(G979/SUM(Q$2:Q979),"")</f>
        <v/>
      </c>
      <c r="M979" s="64" t="str">
        <f t="shared" si="388"/>
        <v/>
      </c>
      <c r="N979" s="55" t="str">
        <f t="shared" si="389"/>
        <v/>
      </c>
      <c r="O979" s="55" t="str">
        <f t="shared" si="390"/>
        <v/>
      </c>
      <c r="P979" s="55" t="str">
        <f t="shared" si="391"/>
        <v/>
      </c>
      <c r="Q979" s="65" t="str">
        <f t="shared" si="392"/>
        <v/>
      </c>
      <c r="R979" s="67" t="str">
        <f t="shared" si="394"/>
        <v/>
      </c>
      <c r="S979" s="56" t="str">
        <f t="shared" si="395"/>
        <v/>
      </c>
      <c r="T979" s="56" t="str">
        <f t="shared" si="396"/>
        <v/>
      </c>
      <c r="U979" s="56" t="str">
        <f t="shared" si="397"/>
        <v/>
      </c>
      <c r="V979" s="68" t="str">
        <f t="shared" si="398"/>
        <v/>
      </c>
      <c r="W979" s="80" t="str">
        <f t="shared" si="399"/>
        <v/>
      </c>
      <c r="X979" s="81" t="str">
        <f t="shared" si="400"/>
        <v/>
      </c>
      <c r="Y979" s="81" t="str">
        <f t="shared" si="401"/>
        <v/>
      </c>
      <c r="Z979" s="81" t="str">
        <f t="shared" si="402"/>
        <v/>
      </c>
      <c r="AA979" s="82" t="str">
        <f t="shared" si="403"/>
        <v/>
      </c>
      <c r="AB979" s="83" t="str">
        <f>IF(R979&lt;&gt;"",(W979-SUMPRODUCT(R$3:R979,$B$3:$B979)/SUM($B$3:$B979))/STDEVA(W969:W979),"")</f>
        <v/>
      </c>
      <c r="AC979" s="84" t="str">
        <f>IF(S979&lt;&gt;"",(X979-SUMPRODUCT(S$3:S979,$B$3:$B979)/SUM($B$3:$B979))/STDEVA(X969:X979),"")</f>
        <v/>
      </c>
      <c r="AD979" s="84" t="str">
        <f>IF(T979&lt;&gt;"",(Y979-SUMPRODUCT(T$3:T979,$B$3:$B979)/SUM($B$3:$B979))/STDEVA(Y969:Y979),"")</f>
        <v/>
      </c>
      <c r="AE979" s="84" t="str">
        <f>IF(U979&lt;&gt;"",(Z979-SUMPRODUCT(U$3:U979,$B$3:$B979)/SUM($B$3:$B979))/STDEVA(Z969:Z979),"")</f>
        <v/>
      </c>
      <c r="AF979" s="85" t="str">
        <f>IF(V979&lt;&gt;"",(AA979-SUMPRODUCT(V$3:V979,$B$3:$B979)/SUM($B$3:$B979))/STDEVA(AA969:AA979),"")</f>
        <v/>
      </c>
      <c r="AG979" s="90" t="str">
        <f t="shared" si="404"/>
        <v/>
      </c>
      <c r="AH979" s="90" t="str">
        <f t="shared" si="404"/>
        <v/>
      </c>
      <c r="AI979" s="90" t="str">
        <f t="shared" si="404"/>
        <v/>
      </c>
      <c r="AJ979" s="90" t="str">
        <f t="shared" si="404"/>
        <v/>
      </c>
      <c r="AK979" s="93" t="str">
        <f t="shared" si="404"/>
        <v/>
      </c>
      <c r="BQ979" s="100" t="str">
        <f>IF(A979&lt;&gt;"",(VLOOKUP(A979,MarketData!$D:$BP,MATCH($BQ$1,MarketData!$D$1:$EG$1,0),TRUE)/100/365+1)^(B979)*BQ978,"")</f>
        <v/>
      </c>
      <c r="BR979" s="98" t="str">
        <f t="shared" si="382"/>
        <v/>
      </c>
      <c r="BS979" s="106" t="str">
        <f>IF(A979&lt;&gt;"",VLOOKUP(A979,MarketData!$D:$BP,MATCH($BS$1,MarketData!$D$1:$EG$1,0),TRUE),"")</f>
        <v/>
      </c>
      <c r="BT979" s="98" t="str">
        <f t="shared" si="393"/>
        <v/>
      </c>
    </row>
    <row r="980" spans="2:72" x14ac:dyDescent="0.25">
      <c r="B980" s="60" t="str">
        <f t="shared" si="381"/>
        <v/>
      </c>
      <c r="C980" s="3" t="str">
        <f t="shared" si="383"/>
        <v/>
      </c>
      <c r="D980" s="3" t="str">
        <f t="shared" si="384"/>
        <v/>
      </c>
      <c r="E980" s="3" t="str">
        <f t="shared" si="385"/>
        <v/>
      </c>
      <c r="F980" s="3" t="str">
        <f t="shared" si="386"/>
        <v/>
      </c>
      <c r="G980" s="74" t="str">
        <f t="shared" si="387"/>
        <v/>
      </c>
      <c r="H980" s="78" t="str">
        <f>IFERROR(C980/SUM(M$2:M979),"")</f>
        <v/>
      </c>
      <c r="I980" s="61" t="str">
        <f>IFERROR(D980/SUM(N$2:N980),"")</f>
        <v/>
      </c>
      <c r="J980" s="61" t="str">
        <f>IFERROR(E980/SUM(O$2:O980),"")</f>
        <v/>
      </c>
      <c r="K980" s="61" t="str">
        <f>IFERROR(F980/SUM(P$2:P980),"")</f>
        <v/>
      </c>
      <c r="L980" s="79" t="str">
        <f>IFERROR(G980/SUM(Q$2:Q980),"")</f>
        <v/>
      </c>
      <c r="M980" s="64" t="str">
        <f t="shared" si="388"/>
        <v/>
      </c>
      <c r="N980" s="55" t="str">
        <f t="shared" si="389"/>
        <v/>
      </c>
      <c r="O980" s="55" t="str">
        <f t="shared" si="390"/>
        <v/>
      </c>
      <c r="P980" s="55" t="str">
        <f t="shared" si="391"/>
        <v/>
      </c>
      <c r="Q980" s="65" t="str">
        <f t="shared" si="392"/>
        <v/>
      </c>
      <c r="R980" s="67" t="str">
        <f t="shared" si="394"/>
        <v/>
      </c>
      <c r="S980" s="56" t="str">
        <f t="shared" si="395"/>
        <v/>
      </c>
      <c r="T980" s="56" t="str">
        <f t="shared" si="396"/>
        <v/>
      </c>
      <c r="U980" s="56" t="str">
        <f t="shared" si="397"/>
        <v/>
      </c>
      <c r="V980" s="68" t="str">
        <f t="shared" si="398"/>
        <v/>
      </c>
      <c r="W980" s="80" t="str">
        <f t="shared" si="399"/>
        <v/>
      </c>
      <c r="X980" s="81" t="str">
        <f t="shared" si="400"/>
        <v/>
      </c>
      <c r="Y980" s="81" t="str">
        <f t="shared" si="401"/>
        <v/>
      </c>
      <c r="Z980" s="81" t="str">
        <f t="shared" si="402"/>
        <v/>
      </c>
      <c r="AA980" s="82" t="str">
        <f t="shared" si="403"/>
        <v/>
      </c>
      <c r="AB980" s="83" t="str">
        <f>IF(R980&lt;&gt;"",(W980-SUMPRODUCT(R$3:R980,$B$3:$B980)/SUM($B$3:$B980))/STDEVA(W970:W980),"")</f>
        <v/>
      </c>
      <c r="AC980" s="84" t="str">
        <f>IF(S980&lt;&gt;"",(X980-SUMPRODUCT(S$3:S980,$B$3:$B980)/SUM($B$3:$B980))/STDEVA(X970:X980),"")</f>
        <v/>
      </c>
      <c r="AD980" s="84" t="str">
        <f>IF(T980&lt;&gt;"",(Y980-SUMPRODUCT(T$3:T980,$B$3:$B980)/SUM($B$3:$B980))/STDEVA(Y970:Y980),"")</f>
        <v/>
      </c>
      <c r="AE980" s="84" t="str">
        <f>IF(U980&lt;&gt;"",(Z980-SUMPRODUCT(U$3:U980,$B$3:$B980)/SUM($B$3:$B980))/STDEVA(Z970:Z980),"")</f>
        <v/>
      </c>
      <c r="AF980" s="85" t="str">
        <f>IF(V980&lt;&gt;"",(AA980-SUMPRODUCT(V$3:V980,$B$3:$B980)/SUM($B$3:$B980))/STDEVA(AA970:AA980),"")</f>
        <v/>
      </c>
      <c r="AG980" s="90" t="str">
        <f t="shared" si="404"/>
        <v/>
      </c>
      <c r="AH980" s="90" t="str">
        <f t="shared" si="404"/>
        <v/>
      </c>
      <c r="AI980" s="90" t="str">
        <f t="shared" si="404"/>
        <v/>
      </c>
      <c r="AJ980" s="90" t="str">
        <f t="shared" si="404"/>
        <v/>
      </c>
      <c r="AK980" s="93" t="str">
        <f t="shared" si="404"/>
        <v/>
      </c>
      <c r="BQ980" s="100" t="str">
        <f>IF(A980&lt;&gt;"",(VLOOKUP(A980,MarketData!$D:$BP,MATCH($BQ$1,MarketData!$D$1:$EG$1,0),TRUE)/100/365+1)^(B980)*BQ979,"")</f>
        <v/>
      </c>
      <c r="BR980" s="98" t="str">
        <f t="shared" si="382"/>
        <v/>
      </c>
      <c r="BS980" s="106" t="str">
        <f>IF(A980&lt;&gt;"",VLOOKUP(A980,MarketData!$D:$BP,MATCH($BS$1,MarketData!$D$1:$EG$1,0),TRUE),"")</f>
        <v/>
      </c>
      <c r="BT980" s="98" t="str">
        <f t="shared" si="393"/>
        <v/>
      </c>
    </row>
    <row r="981" spans="2:72" x14ac:dyDescent="0.25">
      <c r="B981" s="60" t="str">
        <f t="shared" si="381"/>
        <v/>
      </c>
      <c r="C981" s="3" t="str">
        <f t="shared" si="383"/>
        <v/>
      </c>
      <c r="D981" s="3" t="str">
        <f t="shared" si="384"/>
        <v/>
      </c>
      <c r="E981" s="3" t="str">
        <f t="shared" si="385"/>
        <v/>
      </c>
      <c r="F981" s="3" t="str">
        <f t="shared" si="386"/>
        <v/>
      </c>
      <c r="G981" s="74" t="str">
        <f t="shared" si="387"/>
        <v/>
      </c>
      <c r="H981" s="78" t="str">
        <f>IFERROR(C981/SUM(M$2:M980),"")</f>
        <v/>
      </c>
      <c r="I981" s="61" t="str">
        <f>IFERROR(D981/SUM(N$2:N981),"")</f>
        <v/>
      </c>
      <c r="J981" s="61" t="str">
        <f>IFERROR(E981/SUM(O$2:O981),"")</f>
        <v/>
      </c>
      <c r="K981" s="61" t="str">
        <f>IFERROR(F981/SUM(P$2:P981),"")</f>
        <v/>
      </c>
      <c r="L981" s="79" t="str">
        <f>IFERROR(G981/SUM(Q$2:Q981),"")</f>
        <v/>
      </c>
      <c r="M981" s="64" t="str">
        <f t="shared" si="388"/>
        <v/>
      </c>
      <c r="N981" s="55" t="str">
        <f t="shared" si="389"/>
        <v/>
      </c>
      <c r="O981" s="55" t="str">
        <f t="shared" si="390"/>
        <v/>
      </c>
      <c r="P981" s="55" t="str">
        <f t="shared" si="391"/>
        <v/>
      </c>
      <c r="Q981" s="65" t="str">
        <f t="shared" si="392"/>
        <v/>
      </c>
      <c r="R981" s="67" t="str">
        <f t="shared" si="394"/>
        <v/>
      </c>
      <c r="S981" s="56" t="str">
        <f t="shared" si="395"/>
        <v/>
      </c>
      <c r="T981" s="56" t="str">
        <f t="shared" si="396"/>
        <v/>
      </c>
      <c r="U981" s="56" t="str">
        <f t="shared" si="397"/>
        <v/>
      </c>
      <c r="V981" s="68" t="str">
        <f t="shared" si="398"/>
        <v/>
      </c>
      <c r="W981" s="80" t="str">
        <f t="shared" si="399"/>
        <v/>
      </c>
      <c r="X981" s="81" t="str">
        <f t="shared" si="400"/>
        <v/>
      </c>
      <c r="Y981" s="81" t="str">
        <f t="shared" si="401"/>
        <v/>
      </c>
      <c r="Z981" s="81" t="str">
        <f t="shared" si="402"/>
        <v/>
      </c>
      <c r="AA981" s="82" t="str">
        <f t="shared" si="403"/>
        <v/>
      </c>
      <c r="AB981" s="83" t="str">
        <f>IF(R981&lt;&gt;"",(W981-SUMPRODUCT(R$3:R981,$B$3:$B981)/SUM($B$3:$B981))/STDEVA(W971:W981),"")</f>
        <v/>
      </c>
      <c r="AC981" s="84" t="str">
        <f>IF(S981&lt;&gt;"",(X981-SUMPRODUCT(S$3:S981,$B$3:$B981)/SUM($B$3:$B981))/STDEVA(X971:X981),"")</f>
        <v/>
      </c>
      <c r="AD981" s="84" t="str">
        <f>IF(T981&lt;&gt;"",(Y981-SUMPRODUCT(T$3:T981,$B$3:$B981)/SUM($B$3:$B981))/STDEVA(Y971:Y981),"")</f>
        <v/>
      </c>
      <c r="AE981" s="84" t="str">
        <f>IF(U981&lt;&gt;"",(Z981-SUMPRODUCT(U$3:U981,$B$3:$B981)/SUM($B$3:$B981))/STDEVA(Z971:Z981),"")</f>
        <v/>
      </c>
      <c r="AF981" s="85" t="str">
        <f>IF(V981&lt;&gt;"",(AA981-SUMPRODUCT(V$3:V981,$B$3:$B981)/SUM($B$3:$B981))/STDEVA(AA971:AA981),"")</f>
        <v/>
      </c>
      <c r="AG981" s="90" t="str">
        <f t="shared" si="404"/>
        <v/>
      </c>
      <c r="AH981" s="90" t="str">
        <f t="shared" si="404"/>
        <v/>
      </c>
      <c r="AI981" s="90" t="str">
        <f t="shared" si="404"/>
        <v/>
      </c>
      <c r="AJ981" s="90" t="str">
        <f t="shared" si="404"/>
        <v/>
      </c>
      <c r="AK981" s="93" t="str">
        <f t="shared" si="404"/>
        <v/>
      </c>
      <c r="BQ981" s="100" t="str">
        <f>IF(A981&lt;&gt;"",(VLOOKUP(A981,MarketData!$D:$BP,MATCH($BQ$1,MarketData!$D$1:$EG$1,0),TRUE)/100/365+1)^(B981)*BQ980,"")</f>
        <v/>
      </c>
      <c r="BR981" s="98" t="str">
        <f t="shared" si="382"/>
        <v/>
      </c>
      <c r="BS981" s="106" t="str">
        <f>IF(A981&lt;&gt;"",VLOOKUP(A981,MarketData!$D:$BP,MATCH($BS$1,MarketData!$D$1:$EG$1,0),TRUE),"")</f>
        <v/>
      </c>
      <c r="BT981" s="98" t="str">
        <f t="shared" si="393"/>
        <v/>
      </c>
    </row>
    <row r="982" spans="2:72" x14ac:dyDescent="0.25">
      <c r="B982" s="60" t="str">
        <f t="shared" si="381"/>
        <v/>
      </c>
      <c r="C982" s="3" t="str">
        <f t="shared" si="383"/>
        <v/>
      </c>
      <c r="D982" s="3" t="str">
        <f t="shared" si="384"/>
        <v/>
      </c>
      <c r="E982" s="3" t="str">
        <f t="shared" si="385"/>
        <v/>
      </c>
      <c r="F982" s="3" t="str">
        <f t="shared" si="386"/>
        <v/>
      </c>
      <c r="G982" s="74" t="str">
        <f t="shared" si="387"/>
        <v/>
      </c>
      <c r="H982" s="78" t="str">
        <f>IFERROR(C982/SUM(M$2:M981),"")</f>
        <v/>
      </c>
      <c r="I982" s="61" t="str">
        <f>IFERROR(D982/SUM(N$2:N982),"")</f>
        <v/>
      </c>
      <c r="J982" s="61" t="str">
        <f>IFERROR(E982/SUM(O$2:O982),"")</f>
        <v/>
      </c>
      <c r="K982" s="61" t="str">
        <f>IFERROR(F982/SUM(P$2:P982),"")</f>
        <v/>
      </c>
      <c r="L982" s="79" t="str">
        <f>IFERROR(G982/SUM(Q$2:Q982),"")</f>
        <v/>
      </c>
      <c r="M982" s="64" t="str">
        <f t="shared" si="388"/>
        <v/>
      </c>
      <c r="N982" s="55" t="str">
        <f t="shared" si="389"/>
        <v/>
      </c>
      <c r="O982" s="55" t="str">
        <f t="shared" si="390"/>
        <v/>
      </c>
      <c r="P982" s="55" t="str">
        <f t="shared" si="391"/>
        <v/>
      </c>
      <c r="Q982" s="65" t="str">
        <f t="shared" si="392"/>
        <v/>
      </c>
      <c r="R982" s="67" t="str">
        <f t="shared" si="394"/>
        <v/>
      </c>
      <c r="S982" s="56" t="str">
        <f t="shared" si="395"/>
        <v/>
      </c>
      <c r="T982" s="56" t="str">
        <f t="shared" si="396"/>
        <v/>
      </c>
      <c r="U982" s="56" t="str">
        <f t="shared" si="397"/>
        <v/>
      </c>
      <c r="V982" s="68" t="str">
        <f t="shared" si="398"/>
        <v/>
      </c>
      <c r="W982" s="80" t="str">
        <f t="shared" si="399"/>
        <v/>
      </c>
      <c r="X982" s="81" t="str">
        <f t="shared" si="400"/>
        <v/>
      </c>
      <c r="Y982" s="81" t="str">
        <f t="shared" si="401"/>
        <v/>
      </c>
      <c r="Z982" s="81" t="str">
        <f t="shared" si="402"/>
        <v/>
      </c>
      <c r="AA982" s="82" t="str">
        <f t="shared" si="403"/>
        <v/>
      </c>
      <c r="AB982" s="83" t="str">
        <f>IF(R982&lt;&gt;"",(W982-SUMPRODUCT(R$3:R982,$B$3:$B982)/SUM($B$3:$B982))/STDEVA(W972:W982),"")</f>
        <v/>
      </c>
      <c r="AC982" s="84" t="str">
        <f>IF(S982&lt;&gt;"",(X982-SUMPRODUCT(S$3:S982,$B$3:$B982)/SUM($B$3:$B982))/STDEVA(X972:X982),"")</f>
        <v/>
      </c>
      <c r="AD982" s="84" t="str">
        <f>IF(T982&lt;&gt;"",(Y982-SUMPRODUCT(T$3:T982,$B$3:$B982)/SUM($B$3:$B982))/STDEVA(Y972:Y982),"")</f>
        <v/>
      </c>
      <c r="AE982" s="84" t="str">
        <f>IF(U982&lt;&gt;"",(Z982-SUMPRODUCT(U$3:U982,$B$3:$B982)/SUM($B$3:$B982))/STDEVA(Z972:Z982),"")</f>
        <v/>
      </c>
      <c r="AF982" s="85" t="str">
        <f>IF(V982&lt;&gt;"",(AA982-SUMPRODUCT(V$3:V982,$B$3:$B982)/SUM($B$3:$B982))/STDEVA(AA972:AA982),"")</f>
        <v/>
      </c>
      <c r="AG982" s="90" t="str">
        <f t="shared" si="404"/>
        <v/>
      </c>
      <c r="AH982" s="90" t="str">
        <f t="shared" si="404"/>
        <v/>
      </c>
      <c r="AI982" s="90" t="str">
        <f t="shared" si="404"/>
        <v/>
      </c>
      <c r="AJ982" s="90" t="str">
        <f t="shared" si="404"/>
        <v/>
      </c>
      <c r="AK982" s="93" t="str">
        <f t="shared" si="404"/>
        <v/>
      </c>
      <c r="BQ982" s="100" t="str">
        <f>IF(A982&lt;&gt;"",(VLOOKUP(A982,MarketData!$D:$BP,MATCH($BQ$1,MarketData!$D$1:$EG$1,0),TRUE)/100/365+1)^(B982)*BQ981,"")</f>
        <v/>
      </c>
      <c r="BR982" s="98" t="str">
        <f t="shared" si="382"/>
        <v/>
      </c>
      <c r="BS982" s="106" t="str">
        <f>IF(A982&lt;&gt;"",VLOOKUP(A982,MarketData!$D:$BP,MATCH($BS$1,MarketData!$D$1:$EG$1,0),TRUE),"")</f>
        <v/>
      </c>
      <c r="BT982" s="98" t="str">
        <f t="shared" si="393"/>
        <v/>
      </c>
    </row>
    <row r="983" spans="2:72" x14ac:dyDescent="0.25">
      <c r="B983" s="60" t="str">
        <f t="shared" si="381"/>
        <v/>
      </c>
      <c r="C983" s="3" t="str">
        <f t="shared" si="383"/>
        <v/>
      </c>
      <c r="D983" s="3" t="str">
        <f t="shared" si="384"/>
        <v/>
      </c>
      <c r="E983" s="3" t="str">
        <f t="shared" si="385"/>
        <v/>
      </c>
      <c r="F983" s="3" t="str">
        <f t="shared" si="386"/>
        <v/>
      </c>
      <c r="G983" s="74" t="str">
        <f t="shared" si="387"/>
        <v/>
      </c>
      <c r="H983" s="78" t="str">
        <f>IFERROR(C983/SUM(M$2:M982),"")</f>
        <v/>
      </c>
      <c r="I983" s="61" t="str">
        <f>IFERROR(D983/SUM(N$2:N983),"")</f>
        <v/>
      </c>
      <c r="J983" s="61" t="str">
        <f>IFERROR(E983/SUM(O$2:O983),"")</f>
        <v/>
      </c>
      <c r="K983" s="61" t="str">
        <f>IFERROR(F983/SUM(P$2:P983),"")</f>
        <v/>
      </c>
      <c r="L983" s="79" t="str">
        <f>IFERROR(G983/SUM(Q$2:Q983),"")</f>
        <v/>
      </c>
      <c r="M983" s="64" t="str">
        <f t="shared" si="388"/>
        <v/>
      </c>
      <c r="N983" s="55" t="str">
        <f t="shared" si="389"/>
        <v/>
      </c>
      <c r="O983" s="55" t="str">
        <f t="shared" si="390"/>
        <v/>
      </c>
      <c r="P983" s="55" t="str">
        <f t="shared" si="391"/>
        <v/>
      </c>
      <c r="Q983" s="65" t="str">
        <f t="shared" si="392"/>
        <v/>
      </c>
      <c r="R983" s="67" t="str">
        <f t="shared" si="394"/>
        <v/>
      </c>
      <c r="S983" s="56" t="str">
        <f t="shared" si="395"/>
        <v/>
      </c>
      <c r="T983" s="56" t="str">
        <f t="shared" si="396"/>
        <v/>
      </c>
      <c r="U983" s="56" t="str">
        <f t="shared" si="397"/>
        <v/>
      </c>
      <c r="V983" s="68" t="str">
        <f t="shared" si="398"/>
        <v/>
      </c>
      <c r="W983" s="80" t="str">
        <f t="shared" si="399"/>
        <v/>
      </c>
      <c r="X983" s="81" t="str">
        <f t="shared" si="400"/>
        <v/>
      </c>
      <c r="Y983" s="81" t="str">
        <f t="shared" si="401"/>
        <v/>
      </c>
      <c r="Z983" s="81" t="str">
        <f t="shared" si="402"/>
        <v/>
      </c>
      <c r="AA983" s="82" t="str">
        <f t="shared" si="403"/>
        <v/>
      </c>
      <c r="AB983" s="83" t="str">
        <f>IF(R983&lt;&gt;"",(W983-SUMPRODUCT(R$3:R983,$B$3:$B983)/SUM($B$3:$B983))/STDEVA(W973:W983),"")</f>
        <v/>
      </c>
      <c r="AC983" s="84" t="str">
        <f>IF(S983&lt;&gt;"",(X983-SUMPRODUCT(S$3:S983,$B$3:$B983)/SUM($B$3:$B983))/STDEVA(X973:X983),"")</f>
        <v/>
      </c>
      <c r="AD983" s="84" t="str">
        <f>IF(T983&lt;&gt;"",(Y983-SUMPRODUCT(T$3:T983,$B$3:$B983)/SUM($B$3:$B983))/STDEVA(Y973:Y983),"")</f>
        <v/>
      </c>
      <c r="AE983" s="84" t="str">
        <f>IF(U983&lt;&gt;"",(Z983-SUMPRODUCT(U$3:U983,$B$3:$B983)/SUM($B$3:$B983))/STDEVA(Z973:Z983),"")</f>
        <v/>
      </c>
      <c r="AF983" s="85" t="str">
        <f>IF(V983&lt;&gt;"",(AA983-SUMPRODUCT(V$3:V983,$B$3:$B983)/SUM($B$3:$B983))/STDEVA(AA973:AA983),"")</f>
        <v/>
      </c>
      <c r="AG983" s="90" t="str">
        <f t="shared" si="404"/>
        <v/>
      </c>
      <c r="AH983" s="90" t="str">
        <f t="shared" si="404"/>
        <v/>
      </c>
      <c r="AI983" s="90" t="str">
        <f t="shared" si="404"/>
        <v/>
      </c>
      <c r="AJ983" s="90" t="str">
        <f t="shared" si="404"/>
        <v/>
      </c>
      <c r="AK983" s="93" t="str">
        <f t="shared" si="404"/>
        <v/>
      </c>
      <c r="BQ983" s="100" t="str">
        <f>IF(A983&lt;&gt;"",(VLOOKUP(A983,MarketData!$D:$BP,MATCH($BQ$1,MarketData!$D$1:$EG$1,0),TRUE)/100/365+1)^(B983)*BQ982,"")</f>
        <v/>
      </c>
      <c r="BR983" s="98" t="str">
        <f t="shared" si="382"/>
        <v/>
      </c>
      <c r="BS983" s="106" t="str">
        <f>IF(A983&lt;&gt;"",VLOOKUP(A983,MarketData!$D:$BP,MATCH($BS$1,MarketData!$D$1:$EG$1,0),TRUE),"")</f>
        <v/>
      </c>
      <c r="BT983" s="98" t="str">
        <f t="shared" si="393"/>
        <v/>
      </c>
    </row>
    <row r="984" spans="2:72" x14ac:dyDescent="0.25">
      <c r="B984" s="60" t="str">
        <f t="shared" si="381"/>
        <v/>
      </c>
      <c r="C984" s="3" t="str">
        <f t="shared" si="383"/>
        <v/>
      </c>
      <c r="D984" s="3" t="str">
        <f t="shared" si="384"/>
        <v/>
      </c>
      <c r="E984" s="3" t="str">
        <f t="shared" si="385"/>
        <v/>
      </c>
      <c r="F984" s="3" t="str">
        <f t="shared" si="386"/>
        <v/>
      </c>
      <c r="G984" s="74" t="str">
        <f t="shared" si="387"/>
        <v/>
      </c>
      <c r="H984" s="78" t="str">
        <f>IFERROR(C984/SUM(M$2:M983),"")</f>
        <v/>
      </c>
      <c r="I984" s="61" t="str">
        <f>IFERROR(D984/SUM(N$2:N984),"")</f>
        <v/>
      </c>
      <c r="J984" s="61" t="str">
        <f>IFERROR(E984/SUM(O$2:O984),"")</f>
        <v/>
      </c>
      <c r="K984" s="61" t="str">
        <f>IFERROR(F984/SUM(P$2:P984),"")</f>
        <v/>
      </c>
      <c r="L984" s="79" t="str">
        <f>IFERROR(G984/SUM(Q$2:Q984),"")</f>
        <v/>
      </c>
      <c r="M984" s="64" t="str">
        <f t="shared" si="388"/>
        <v/>
      </c>
      <c r="N984" s="55" t="str">
        <f t="shared" si="389"/>
        <v/>
      </c>
      <c r="O984" s="55" t="str">
        <f t="shared" si="390"/>
        <v/>
      </c>
      <c r="P984" s="55" t="str">
        <f t="shared" si="391"/>
        <v/>
      </c>
      <c r="Q984" s="65" t="str">
        <f t="shared" si="392"/>
        <v/>
      </c>
      <c r="R984" s="67" t="str">
        <f t="shared" si="394"/>
        <v/>
      </c>
      <c r="S984" s="56" t="str">
        <f t="shared" si="395"/>
        <v/>
      </c>
      <c r="T984" s="56" t="str">
        <f t="shared" si="396"/>
        <v/>
      </c>
      <c r="U984" s="56" t="str">
        <f t="shared" si="397"/>
        <v/>
      </c>
      <c r="V984" s="68" t="str">
        <f t="shared" si="398"/>
        <v/>
      </c>
      <c r="W984" s="80" t="str">
        <f t="shared" si="399"/>
        <v/>
      </c>
      <c r="X984" s="81" t="str">
        <f t="shared" si="400"/>
        <v/>
      </c>
      <c r="Y984" s="81" t="str">
        <f t="shared" si="401"/>
        <v/>
      </c>
      <c r="Z984" s="81" t="str">
        <f t="shared" si="402"/>
        <v/>
      </c>
      <c r="AA984" s="82" t="str">
        <f t="shared" si="403"/>
        <v/>
      </c>
      <c r="AB984" s="83" t="str">
        <f>IF(R984&lt;&gt;"",(W984-SUMPRODUCT(R$3:R984,$B$3:$B984)/SUM($B$3:$B984))/STDEVA(W974:W984),"")</f>
        <v/>
      </c>
      <c r="AC984" s="84" t="str">
        <f>IF(S984&lt;&gt;"",(X984-SUMPRODUCT(S$3:S984,$B$3:$B984)/SUM($B$3:$B984))/STDEVA(X974:X984),"")</f>
        <v/>
      </c>
      <c r="AD984" s="84" t="str">
        <f>IF(T984&lt;&gt;"",(Y984-SUMPRODUCT(T$3:T984,$B$3:$B984)/SUM($B$3:$B984))/STDEVA(Y974:Y984),"")</f>
        <v/>
      </c>
      <c r="AE984" s="84" t="str">
        <f>IF(U984&lt;&gt;"",(Z984-SUMPRODUCT(U$3:U984,$B$3:$B984)/SUM($B$3:$B984))/STDEVA(Z974:Z984),"")</f>
        <v/>
      </c>
      <c r="AF984" s="85" t="str">
        <f>IF(V984&lt;&gt;"",(AA984-SUMPRODUCT(V$3:V984,$B$3:$B984)/SUM($B$3:$B984))/STDEVA(AA974:AA984),"")</f>
        <v/>
      </c>
      <c r="AG984" s="90" t="str">
        <f t="shared" si="404"/>
        <v/>
      </c>
      <c r="AH984" s="90" t="str">
        <f t="shared" si="404"/>
        <v/>
      </c>
      <c r="AI984" s="90" t="str">
        <f t="shared" si="404"/>
        <v/>
      </c>
      <c r="AJ984" s="90" t="str">
        <f t="shared" si="404"/>
        <v/>
      </c>
      <c r="AK984" s="93" t="str">
        <f t="shared" si="404"/>
        <v/>
      </c>
      <c r="BQ984" s="100" t="str">
        <f>IF(A984&lt;&gt;"",(VLOOKUP(A984,MarketData!$D:$BP,MATCH($BQ$1,MarketData!$D$1:$EG$1,0),TRUE)/100/365+1)^(B984)*BQ983,"")</f>
        <v/>
      </c>
      <c r="BR984" s="98" t="str">
        <f t="shared" si="382"/>
        <v/>
      </c>
      <c r="BS984" s="106" t="str">
        <f>IF(A984&lt;&gt;"",VLOOKUP(A984,MarketData!$D:$BP,MATCH($BS$1,MarketData!$D$1:$EG$1,0),TRUE),"")</f>
        <v/>
      </c>
      <c r="BT984" s="98" t="str">
        <f t="shared" si="393"/>
        <v/>
      </c>
    </row>
    <row r="985" spans="2:72" x14ac:dyDescent="0.25">
      <c r="B985" s="60" t="str">
        <f t="shared" si="381"/>
        <v/>
      </c>
      <c r="C985" s="3" t="str">
        <f t="shared" si="383"/>
        <v/>
      </c>
      <c r="D985" s="3" t="str">
        <f t="shared" si="384"/>
        <v/>
      </c>
      <c r="E985" s="3" t="str">
        <f t="shared" si="385"/>
        <v/>
      </c>
      <c r="F985" s="3" t="str">
        <f t="shared" si="386"/>
        <v/>
      </c>
      <c r="G985" s="74" t="str">
        <f t="shared" si="387"/>
        <v/>
      </c>
      <c r="H985" s="78" t="str">
        <f>IFERROR(C985/SUM(M$2:M984),"")</f>
        <v/>
      </c>
      <c r="I985" s="61" t="str">
        <f>IFERROR(D985/SUM(N$2:N985),"")</f>
        <v/>
      </c>
      <c r="J985" s="61" t="str">
        <f>IFERROR(E985/SUM(O$2:O985),"")</f>
        <v/>
      </c>
      <c r="K985" s="61" t="str">
        <f>IFERROR(F985/SUM(P$2:P985),"")</f>
        <v/>
      </c>
      <c r="L985" s="79" t="str">
        <f>IFERROR(G985/SUM(Q$2:Q985),"")</f>
        <v/>
      </c>
      <c r="M985" s="64" t="str">
        <f t="shared" si="388"/>
        <v/>
      </c>
      <c r="N985" s="55" t="str">
        <f t="shared" si="389"/>
        <v/>
      </c>
      <c r="O985" s="55" t="str">
        <f t="shared" si="390"/>
        <v/>
      </c>
      <c r="P985" s="55" t="str">
        <f t="shared" si="391"/>
        <v/>
      </c>
      <c r="Q985" s="65" t="str">
        <f t="shared" si="392"/>
        <v/>
      </c>
      <c r="R985" s="67" t="str">
        <f t="shared" si="394"/>
        <v/>
      </c>
      <c r="S985" s="56" t="str">
        <f t="shared" si="395"/>
        <v/>
      </c>
      <c r="T985" s="56" t="str">
        <f t="shared" si="396"/>
        <v/>
      </c>
      <c r="U985" s="56" t="str">
        <f t="shared" si="397"/>
        <v/>
      </c>
      <c r="V985" s="68" t="str">
        <f t="shared" si="398"/>
        <v/>
      </c>
      <c r="W985" s="80" t="str">
        <f t="shared" si="399"/>
        <v/>
      </c>
      <c r="X985" s="81" t="str">
        <f t="shared" si="400"/>
        <v/>
      </c>
      <c r="Y985" s="81" t="str">
        <f t="shared" si="401"/>
        <v/>
      </c>
      <c r="Z985" s="81" t="str">
        <f t="shared" si="402"/>
        <v/>
      </c>
      <c r="AA985" s="82" t="str">
        <f t="shared" si="403"/>
        <v/>
      </c>
      <c r="AB985" s="83" t="str">
        <f>IF(R985&lt;&gt;"",(W985-SUMPRODUCT(R$3:R985,$B$3:$B985)/SUM($B$3:$B985))/STDEVA(W975:W985),"")</f>
        <v/>
      </c>
      <c r="AC985" s="84" t="str">
        <f>IF(S985&lt;&gt;"",(X985-SUMPRODUCT(S$3:S985,$B$3:$B985)/SUM($B$3:$B985))/STDEVA(X975:X985),"")</f>
        <v/>
      </c>
      <c r="AD985" s="84" t="str">
        <f>IF(T985&lt;&gt;"",(Y985-SUMPRODUCT(T$3:T985,$B$3:$B985)/SUM($B$3:$B985))/STDEVA(Y975:Y985),"")</f>
        <v/>
      </c>
      <c r="AE985" s="84" t="str">
        <f>IF(U985&lt;&gt;"",(Z985-SUMPRODUCT(U$3:U985,$B$3:$B985)/SUM($B$3:$B985))/STDEVA(Z975:Z985),"")</f>
        <v/>
      </c>
      <c r="AF985" s="85" t="str">
        <f>IF(V985&lt;&gt;"",(AA985-SUMPRODUCT(V$3:V985,$B$3:$B985)/SUM($B$3:$B985))/STDEVA(AA975:AA985),"")</f>
        <v/>
      </c>
      <c r="AG985" s="90" t="str">
        <f t="shared" si="404"/>
        <v/>
      </c>
      <c r="AH985" s="90" t="str">
        <f t="shared" si="404"/>
        <v/>
      </c>
      <c r="AI985" s="90" t="str">
        <f t="shared" si="404"/>
        <v/>
      </c>
      <c r="AJ985" s="90" t="str">
        <f t="shared" si="404"/>
        <v/>
      </c>
      <c r="AK985" s="93" t="str">
        <f t="shared" si="404"/>
        <v/>
      </c>
      <c r="BQ985" s="100" t="str">
        <f>IF(A985&lt;&gt;"",(VLOOKUP(A985,MarketData!$D:$BP,MATCH($BQ$1,MarketData!$D$1:$EG$1,0),TRUE)/100/365+1)^(B985)*BQ984,"")</f>
        <v/>
      </c>
      <c r="BR985" s="98" t="str">
        <f t="shared" si="382"/>
        <v/>
      </c>
      <c r="BS985" s="106" t="str">
        <f>IF(A985&lt;&gt;"",VLOOKUP(A985,MarketData!$D:$BP,MATCH($BS$1,MarketData!$D$1:$EG$1,0),TRUE),"")</f>
        <v/>
      </c>
      <c r="BT985" s="98" t="str">
        <f t="shared" si="393"/>
        <v/>
      </c>
    </row>
    <row r="986" spans="2:72" x14ac:dyDescent="0.25">
      <c r="B986" s="60" t="str">
        <f t="shared" si="381"/>
        <v/>
      </c>
      <c r="C986" s="3" t="str">
        <f t="shared" si="383"/>
        <v/>
      </c>
      <c r="D986" s="3" t="str">
        <f t="shared" si="384"/>
        <v/>
      </c>
      <c r="E986" s="3" t="str">
        <f t="shared" si="385"/>
        <v/>
      </c>
      <c r="F986" s="3" t="str">
        <f t="shared" si="386"/>
        <v/>
      </c>
      <c r="G986" s="74" t="str">
        <f t="shared" si="387"/>
        <v/>
      </c>
      <c r="H986" s="78" t="str">
        <f>IFERROR(C986/SUM(M$2:M985),"")</f>
        <v/>
      </c>
      <c r="I986" s="61" t="str">
        <f>IFERROR(D986/SUM(N$2:N986),"")</f>
        <v/>
      </c>
      <c r="J986" s="61" t="str">
        <f>IFERROR(E986/SUM(O$2:O986),"")</f>
        <v/>
      </c>
      <c r="K986" s="61" t="str">
        <f>IFERROR(F986/SUM(P$2:P986),"")</f>
        <v/>
      </c>
      <c r="L986" s="79" t="str">
        <f>IFERROR(G986/SUM(Q$2:Q986),"")</f>
        <v/>
      </c>
      <c r="M986" s="64" t="str">
        <f t="shared" si="388"/>
        <v/>
      </c>
      <c r="N986" s="55" t="str">
        <f t="shared" si="389"/>
        <v/>
      </c>
      <c r="O986" s="55" t="str">
        <f t="shared" si="390"/>
        <v/>
      </c>
      <c r="P986" s="55" t="str">
        <f t="shared" si="391"/>
        <v/>
      </c>
      <c r="Q986" s="65" t="str">
        <f t="shared" si="392"/>
        <v/>
      </c>
      <c r="R986" s="67" t="str">
        <f t="shared" si="394"/>
        <v/>
      </c>
      <c r="S986" s="56" t="str">
        <f t="shared" si="395"/>
        <v/>
      </c>
      <c r="T986" s="56" t="str">
        <f t="shared" si="396"/>
        <v/>
      </c>
      <c r="U986" s="56" t="str">
        <f t="shared" si="397"/>
        <v/>
      </c>
      <c r="V986" s="68" t="str">
        <f t="shared" si="398"/>
        <v/>
      </c>
      <c r="W986" s="80" t="str">
        <f t="shared" si="399"/>
        <v/>
      </c>
      <c r="X986" s="81" t="str">
        <f t="shared" si="400"/>
        <v/>
      </c>
      <c r="Y986" s="81" t="str">
        <f t="shared" si="401"/>
        <v/>
      </c>
      <c r="Z986" s="81" t="str">
        <f t="shared" si="402"/>
        <v/>
      </c>
      <c r="AA986" s="82" t="str">
        <f t="shared" si="403"/>
        <v/>
      </c>
      <c r="AB986" s="83" t="str">
        <f>IF(R986&lt;&gt;"",(W986-SUMPRODUCT(R$3:R986,$B$3:$B986)/SUM($B$3:$B986))/STDEVA(W976:W986),"")</f>
        <v/>
      </c>
      <c r="AC986" s="84" t="str">
        <f>IF(S986&lt;&gt;"",(X986-SUMPRODUCT(S$3:S986,$B$3:$B986)/SUM($B$3:$B986))/STDEVA(X976:X986),"")</f>
        <v/>
      </c>
      <c r="AD986" s="84" t="str">
        <f>IF(T986&lt;&gt;"",(Y986-SUMPRODUCT(T$3:T986,$B$3:$B986)/SUM($B$3:$B986))/STDEVA(Y976:Y986),"")</f>
        <v/>
      </c>
      <c r="AE986" s="84" t="str">
        <f>IF(U986&lt;&gt;"",(Z986-SUMPRODUCT(U$3:U986,$B$3:$B986)/SUM($B$3:$B986))/STDEVA(Z976:Z986),"")</f>
        <v/>
      </c>
      <c r="AF986" s="85" t="str">
        <f>IF(V986&lt;&gt;"",(AA986-SUMPRODUCT(V$3:V986,$B$3:$B986)/SUM($B$3:$B986))/STDEVA(AA976:AA986),"")</f>
        <v/>
      </c>
      <c r="AG986" s="90" t="str">
        <f t="shared" si="404"/>
        <v/>
      </c>
      <c r="AH986" s="90" t="str">
        <f t="shared" si="404"/>
        <v/>
      </c>
      <c r="AI986" s="90" t="str">
        <f t="shared" si="404"/>
        <v/>
      </c>
      <c r="AJ986" s="90" t="str">
        <f t="shared" si="404"/>
        <v/>
      </c>
      <c r="AK986" s="93" t="str">
        <f t="shared" si="404"/>
        <v/>
      </c>
      <c r="BQ986" s="101"/>
      <c r="BR986" s="98"/>
      <c r="BS986" s="106"/>
      <c r="BT986" s="98"/>
    </row>
    <row r="987" spans="2:72" x14ac:dyDescent="0.25">
      <c r="B987" s="60" t="str">
        <f t="shared" ref="B987:B989" si="405">IF(A987&lt;&gt;0,A987-A986,"")</f>
        <v/>
      </c>
      <c r="C987" s="3" t="str">
        <f t="shared" si="383"/>
        <v/>
      </c>
      <c r="D987" s="3" t="str">
        <f t="shared" si="384"/>
        <v/>
      </c>
      <c r="E987" s="3" t="str">
        <f t="shared" si="385"/>
        <v/>
      </c>
      <c r="F987" s="3" t="str">
        <f t="shared" si="386"/>
        <v/>
      </c>
      <c r="G987" s="74" t="str">
        <f t="shared" si="387"/>
        <v/>
      </c>
      <c r="H987" s="78" t="str">
        <f>IFERROR(C987/SUM(M$2:M986),"")</f>
        <v/>
      </c>
      <c r="I987" s="61" t="str">
        <f>IFERROR(D987/SUM(N$2:N987),"")</f>
        <v/>
      </c>
      <c r="J987" s="61" t="str">
        <f>IFERROR(E987/SUM(O$2:O987),"")</f>
        <v/>
      </c>
      <c r="K987" s="61" t="str">
        <f>IFERROR(F987/SUM(P$2:P987),"")</f>
        <v/>
      </c>
      <c r="L987" s="79" t="str">
        <f>IFERROR(G987/SUM(Q$2:Q987),"")</f>
        <v/>
      </c>
      <c r="M987" s="64" t="str">
        <f t="shared" si="388"/>
        <v/>
      </c>
      <c r="N987" s="55" t="str">
        <f t="shared" si="389"/>
        <v/>
      </c>
      <c r="O987" s="55" t="str">
        <f t="shared" si="390"/>
        <v/>
      </c>
      <c r="P987" s="55" t="str">
        <f t="shared" si="391"/>
        <v/>
      </c>
      <c r="Q987" s="65" t="str">
        <f t="shared" si="392"/>
        <v/>
      </c>
      <c r="R987" s="67" t="str">
        <f t="shared" si="394"/>
        <v/>
      </c>
      <c r="S987" s="56" t="str">
        <f t="shared" si="395"/>
        <v/>
      </c>
      <c r="T987" s="56" t="str">
        <f t="shared" si="396"/>
        <v/>
      </c>
      <c r="U987" s="56" t="str">
        <f t="shared" si="397"/>
        <v/>
      </c>
      <c r="V987" s="68" t="str">
        <f t="shared" si="398"/>
        <v/>
      </c>
      <c r="W987" s="80" t="str">
        <f t="shared" si="399"/>
        <v/>
      </c>
      <c r="X987" s="81" t="str">
        <f t="shared" si="400"/>
        <v/>
      </c>
      <c r="Y987" s="81" t="str">
        <f t="shared" si="401"/>
        <v/>
      </c>
      <c r="Z987" s="81" t="str">
        <f t="shared" si="402"/>
        <v/>
      </c>
      <c r="AA987" s="82" t="str">
        <f t="shared" si="403"/>
        <v/>
      </c>
      <c r="AB987" s="83" t="str">
        <f>IF(R987&lt;&gt;"",(W987-SUMPRODUCT(R$3:R987,$B$3:$B987)/SUM($B$3:$B987))/STDEVA(W977:W987),"")</f>
        <v/>
      </c>
      <c r="AC987" s="84" t="str">
        <f>IF(S987&lt;&gt;"",(X987-SUMPRODUCT(S$3:S987,$B$3:$B987)/SUM($B$3:$B987))/STDEVA(X977:X987),"")</f>
        <v/>
      </c>
      <c r="AD987" s="84" t="str">
        <f>IF(T987&lt;&gt;"",(Y987-SUMPRODUCT(T$3:T987,$B$3:$B987)/SUM($B$3:$B987))/STDEVA(Y977:Y987),"")</f>
        <v/>
      </c>
      <c r="AE987" s="84" t="str">
        <f>IF(U987&lt;&gt;"",(Z987-SUMPRODUCT(U$3:U987,$B$3:$B987)/SUM($B$3:$B987))/STDEVA(Z977:Z987),"")</f>
        <v/>
      </c>
      <c r="AF987" s="85" t="str">
        <f>IF(V987&lt;&gt;"",(AA987-SUMPRODUCT(V$3:V987,$B$3:$B987)/SUM($B$3:$B987))/STDEVA(AA977:AA987),"")</f>
        <v/>
      </c>
      <c r="AG987" s="90" t="str">
        <f t="shared" si="404"/>
        <v/>
      </c>
      <c r="AH987" s="90" t="str">
        <f t="shared" si="404"/>
        <v/>
      </c>
      <c r="AI987" s="90" t="str">
        <f t="shared" si="404"/>
        <v/>
      </c>
      <c r="AJ987" s="90" t="str">
        <f t="shared" si="404"/>
        <v/>
      </c>
      <c r="AK987" s="93" t="str">
        <f t="shared" si="404"/>
        <v/>
      </c>
      <c r="BQ987" s="101"/>
      <c r="BR987" s="98"/>
      <c r="BS987" s="106"/>
      <c r="BT987" s="98"/>
    </row>
    <row r="988" spans="2:72" x14ac:dyDescent="0.25">
      <c r="B988" s="60" t="str">
        <f t="shared" si="405"/>
        <v/>
      </c>
      <c r="C988" s="3" t="str">
        <f t="shared" si="383"/>
        <v/>
      </c>
      <c r="D988" s="3" t="str">
        <f t="shared" si="384"/>
        <v/>
      </c>
      <c r="E988" s="3" t="str">
        <f t="shared" si="385"/>
        <v/>
      </c>
      <c r="F988" s="3" t="str">
        <f t="shared" si="386"/>
        <v/>
      </c>
      <c r="G988" s="74" t="str">
        <f t="shared" si="387"/>
        <v/>
      </c>
      <c r="H988" s="78" t="str">
        <f>IFERROR(C988/SUM(M$2:M987),"")</f>
        <v/>
      </c>
      <c r="I988" s="61" t="str">
        <f>IFERROR(D988/SUM(N$2:N988),"")</f>
        <v/>
      </c>
      <c r="J988" s="61" t="str">
        <f>IFERROR(E988/SUM(O$2:O988),"")</f>
        <v/>
      </c>
      <c r="K988" s="61" t="str">
        <f>IFERROR(F988/SUM(P$2:P988),"")</f>
        <v/>
      </c>
      <c r="L988" s="79" t="str">
        <f>IFERROR(G988/SUM(Q$2:Q988),"")</f>
        <v/>
      </c>
      <c r="M988" s="64" t="str">
        <f t="shared" si="388"/>
        <v/>
      </c>
      <c r="N988" s="55" t="str">
        <f t="shared" si="389"/>
        <v/>
      </c>
      <c r="O988" s="55" t="str">
        <f t="shared" si="390"/>
        <v/>
      </c>
      <c r="P988" s="55" t="str">
        <f t="shared" si="391"/>
        <v/>
      </c>
      <c r="Q988" s="65" t="str">
        <f t="shared" si="392"/>
        <v/>
      </c>
      <c r="R988" s="67" t="str">
        <f t="shared" si="394"/>
        <v/>
      </c>
      <c r="S988" s="56" t="str">
        <f t="shared" si="395"/>
        <v/>
      </c>
      <c r="T988" s="56" t="str">
        <f t="shared" si="396"/>
        <v/>
      </c>
      <c r="U988" s="56" t="str">
        <f t="shared" si="397"/>
        <v/>
      </c>
      <c r="V988" s="68" t="str">
        <f t="shared" si="398"/>
        <v/>
      </c>
      <c r="W988" s="80" t="str">
        <f t="shared" si="399"/>
        <v/>
      </c>
      <c r="X988" s="81" t="str">
        <f t="shared" si="400"/>
        <v/>
      </c>
      <c r="Y988" s="81" t="str">
        <f t="shared" si="401"/>
        <v/>
      </c>
      <c r="Z988" s="81" t="str">
        <f t="shared" si="402"/>
        <v/>
      </c>
      <c r="AA988" s="82" t="str">
        <f t="shared" si="403"/>
        <v/>
      </c>
      <c r="AB988" s="83" t="str">
        <f>IF(R988&lt;&gt;"",(W988-SUMPRODUCT(R$3:R988,$B$3:$B988)/SUM($B$3:$B988))/STDEVA(W978:W988),"")</f>
        <v/>
      </c>
      <c r="AC988" s="84" t="str">
        <f>IF(S988&lt;&gt;"",(X988-SUMPRODUCT(S$3:S988,$B$3:$B988)/SUM($B$3:$B988))/STDEVA(X978:X988),"")</f>
        <v/>
      </c>
      <c r="AD988" s="84" t="str">
        <f>IF(T988&lt;&gt;"",(Y988-SUMPRODUCT(T$3:T988,$B$3:$B988)/SUM($B$3:$B988))/STDEVA(Y978:Y988),"")</f>
        <v/>
      </c>
      <c r="AE988" s="84" t="str">
        <f>IF(U988&lt;&gt;"",(Z988-SUMPRODUCT(U$3:U988,$B$3:$B988)/SUM($B$3:$B988))/STDEVA(Z978:Z988),"")</f>
        <v/>
      </c>
      <c r="AF988" s="85" t="str">
        <f>IF(V988&lt;&gt;"",(AA988-SUMPRODUCT(V$3:V988,$B$3:$B988)/SUM($B$3:$B988))/STDEVA(AA978:AA988),"")</f>
        <v/>
      </c>
      <c r="AG988" s="90" t="str">
        <f t="shared" si="404"/>
        <v/>
      </c>
      <c r="AH988" s="90" t="str">
        <f t="shared" si="404"/>
        <v/>
      </c>
      <c r="AI988" s="90" t="str">
        <f t="shared" si="404"/>
        <v/>
      </c>
      <c r="AJ988" s="90" t="str">
        <f t="shared" si="404"/>
        <v/>
      </c>
      <c r="AK988" s="93" t="str">
        <f t="shared" si="404"/>
        <v/>
      </c>
      <c r="BQ988" s="101"/>
      <c r="BR988" s="98"/>
      <c r="BS988" s="106"/>
      <c r="BT988" s="98"/>
    </row>
    <row r="989" spans="2:72" x14ac:dyDescent="0.25">
      <c r="B989" s="60" t="str">
        <f t="shared" si="405"/>
        <v/>
      </c>
      <c r="C989" s="3" t="str">
        <f t="shared" si="383"/>
        <v/>
      </c>
      <c r="D989" s="3" t="str">
        <f t="shared" si="384"/>
        <v/>
      </c>
      <c r="E989" s="3" t="str">
        <f t="shared" si="385"/>
        <v/>
      </c>
      <c r="F989" s="3" t="str">
        <f t="shared" si="386"/>
        <v/>
      </c>
      <c r="G989" s="74" t="str">
        <f t="shared" si="387"/>
        <v/>
      </c>
      <c r="H989" s="78" t="str">
        <f>IFERROR(C989/SUM(M$2:M988),"")</f>
        <v/>
      </c>
      <c r="I989" s="61" t="str">
        <f>IFERROR(D989/SUM(N$2:N989),"")</f>
        <v/>
      </c>
      <c r="J989" s="61" t="str">
        <f>IFERROR(E989/SUM(O$2:O989),"")</f>
        <v/>
      </c>
      <c r="K989" s="61" t="str">
        <f>IFERROR(F989/SUM(P$2:P989),"")</f>
        <v/>
      </c>
      <c r="L989" s="79" t="str">
        <f>IFERROR(G989/SUM(Q$2:Q989),"")</f>
        <v/>
      </c>
      <c r="M989" s="64" t="str">
        <f t="shared" si="388"/>
        <v/>
      </c>
      <c r="N989" s="55" t="str">
        <f t="shared" si="389"/>
        <v/>
      </c>
      <c r="O989" s="55" t="str">
        <f t="shared" si="390"/>
        <v/>
      </c>
      <c r="P989" s="55" t="str">
        <f t="shared" si="391"/>
        <v/>
      </c>
      <c r="Q989" s="65" t="str">
        <f t="shared" si="392"/>
        <v/>
      </c>
      <c r="R989" s="67" t="str">
        <f t="shared" si="394"/>
        <v/>
      </c>
      <c r="S989" s="56" t="str">
        <f t="shared" si="395"/>
        <v/>
      </c>
      <c r="T989" s="56" t="str">
        <f t="shared" si="396"/>
        <v/>
      </c>
      <c r="U989" s="56" t="str">
        <f t="shared" si="397"/>
        <v/>
      </c>
      <c r="V989" s="68" t="str">
        <f t="shared" si="398"/>
        <v/>
      </c>
      <c r="W989" s="80" t="str">
        <f t="shared" si="399"/>
        <v/>
      </c>
      <c r="X989" s="81" t="str">
        <f t="shared" si="400"/>
        <v/>
      </c>
      <c r="Y989" s="81" t="str">
        <f t="shared" si="401"/>
        <v/>
      </c>
      <c r="Z989" s="81" t="str">
        <f t="shared" si="402"/>
        <v/>
      </c>
      <c r="AA989" s="82" t="str">
        <f t="shared" si="403"/>
        <v/>
      </c>
      <c r="AB989" s="83" t="str">
        <f>IF(R989&lt;&gt;"",(W989-SUMPRODUCT(R$3:R989,$B$3:$B989)/SUM($B$3:$B989))/STDEVA(W979:W989),"")</f>
        <v/>
      </c>
      <c r="AC989" s="84" t="str">
        <f>IF(S989&lt;&gt;"",(X989-SUMPRODUCT(S$3:S989,$B$3:$B989)/SUM($B$3:$B989))/STDEVA(X979:X989),"")</f>
        <v/>
      </c>
      <c r="AD989" s="84" t="str">
        <f>IF(T989&lt;&gt;"",(Y989-SUMPRODUCT(T$3:T989,$B$3:$B989)/SUM($B$3:$B989))/STDEVA(Y979:Y989),"")</f>
        <v/>
      </c>
      <c r="AE989" s="84" t="str">
        <f>IF(U989&lt;&gt;"",(Z989-SUMPRODUCT(U$3:U989,$B$3:$B989)/SUM($B$3:$B989))/STDEVA(Z979:Z989),"")</f>
        <v/>
      </c>
      <c r="AF989" s="85" t="str">
        <f>IF(V989&lt;&gt;"",(AA989-SUMPRODUCT(V$3:V989,$B$3:$B989)/SUM($B$3:$B989))/STDEVA(AA979:AA989),"")</f>
        <v/>
      </c>
      <c r="AG989" s="90" t="str">
        <f t="shared" si="404"/>
        <v/>
      </c>
      <c r="AH989" s="90" t="str">
        <f t="shared" si="404"/>
        <v/>
      </c>
      <c r="AI989" s="90" t="str">
        <f t="shared" si="404"/>
        <v/>
      </c>
      <c r="AJ989" s="90" t="str">
        <f t="shared" si="404"/>
        <v/>
      </c>
      <c r="AK989" s="93" t="str">
        <f t="shared" si="404"/>
        <v/>
      </c>
      <c r="BQ989" s="101"/>
      <c r="BR989" s="98"/>
      <c r="BS989" s="106"/>
      <c r="BT989" s="98"/>
    </row>
  </sheetData>
  <conditionalFormatting sqref="AB3:AB989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{273564DD-F321-41C4-A3ED-683835BFEA3E}</x14:id>
        </ext>
      </extLst>
    </cfRule>
  </conditionalFormatting>
  <conditionalFormatting sqref="AB1:AB104857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{C81A46B8-8FAB-427F-856D-3B976570C6A9}</x14:id>
        </ext>
      </extLst>
    </cfRule>
  </conditionalFormatting>
  <conditionalFormatting sqref="AC1:AC104857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{F3B8445F-5706-4695-87C5-72EBF1C56BDC}</x14:id>
        </ext>
      </extLst>
    </cfRule>
  </conditionalFormatting>
  <conditionalFormatting sqref="AD1:AD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{08E5E817-8C0B-45DB-9B61-6F22B3F7474D}</x14:id>
        </ext>
      </extLst>
    </cfRule>
  </conditionalFormatting>
  <conditionalFormatting sqref="AE1:AE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{9F9F7592-FAA9-49A4-A029-5BED44E26C9A}</x14:id>
        </ext>
      </extLst>
    </cfRule>
  </conditionalFormatting>
  <conditionalFormatting sqref="AF1:AF104857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{48FBDCB0-3665-4455-8C66-AD133E5941D3}</x14:id>
        </ext>
      </extLst>
    </cfRule>
  </conditionalFormatting>
  <conditionalFormatting sqref="AG1:AK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73564DD-F321-41C4-A3ED-683835BFEA3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AB3:AB989</xm:sqref>
        </x14:conditionalFormatting>
        <x14:conditionalFormatting xmlns:xm="http://schemas.microsoft.com/office/excel/2006/main">
          <x14:cfRule type="dataBar" id="{C81A46B8-8FAB-427F-856D-3B976570C6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AB1:AB1048576</xm:sqref>
        </x14:conditionalFormatting>
        <x14:conditionalFormatting xmlns:xm="http://schemas.microsoft.com/office/excel/2006/main">
          <x14:cfRule type="dataBar" id="{F3B8445F-5706-4695-87C5-72EBF1C56B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dataBar" id="{08E5E817-8C0B-45DB-9B61-6F22B3F747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dataBar" id="{9F9F7592-FAA9-49A4-A029-5BED44E26C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AE1:AE1048576</xm:sqref>
        </x14:conditionalFormatting>
        <x14:conditionalFormatting xmlns:xm="http://schemas.microsoft.com/office/excel/2006/main">
          <x14:cfRule type="dataBar" id="{48FBDCB0-3665-4455-8C66-AD133E5941D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AF1:AF1048576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67C91-F495-4F26-ABE4-C85359638940}">
  <sheetPr codeName="Sheet5">
    <tabColor theme="1" tint="0.499984740745262"/>
  </sheetPr>
  <dimension ref="A1:B1144"/>
  <sheetViews>
    <sheetView showGridLines="0" zoomScale="80" zoomScaleNormal="80" workbookViewId="0">
      <selection activeCell="F34" sqref="F34"/>
    </sheetView>
  </sheetViews>
  <sheetFormatPr defaultRowHeight="15" x14ac:dyDescent="0.25"/>
  <cols>
    <col min="1" max="1" width="11.42578125" style="48" customWidth="1"/>
    <col min="2" max="2" width="18.140625" customWidth="1"/>
  </cols>
  <sheetData>
    <row r="1" spans="1:2" x14ac:dyDescent="0.25">
      <c r="A1" s="38" t="str" cm="1">
        <f t="array" ref="A1:A45">_xlfn.UNIQUE(_xlfn._xlws.FILTER(Fecha,Fecha&lt;&gt;0))</f>
        <v>Fecha</v>
      </c>
      <c r="B1" s="19" t="s">
        <v>78</v>
      </c>
    </row>
    <row r="2" spans="1:2" x14ac:dyDescent="0.25">
      <c r="A2" s="48">
        <v>45300</v>
      </c>
      <c r="B2" s="3">
        <f>SUMIFS(Total,Fecha,A2)</f>
        <v>5637557.1965000005</v>
      </c>
    </row>
    <row r="3" spans="1:2" x14ac:dyDescent="0.25">
      <c r="A3" s="48">
        <v>45301</v>
      </c>
      <c r="B3" s="3">
        <f>SUMIFS(Total,Fecha,NetWorth!A3)</f>
        <v>5701005.8090000004</v>
      </c>
    </row>
    <row r="4" spans="1:2" x14ac:dyDescent="0.25">
      <c r="A4" s="48">
        <v>45302</v>
      </c>
      <c r="B4" s="3">
        <f>SUMIFS(Total,Fecha,NetWorth!A4)</f>
        <v>5689249.3000000007</v>
      </c>
    </row>
    <row r="5" spans="1:2" x14ac:dyDescent="0.25">
      <c r="A5" s="48">
        <v>45303</v>
      </c>
      <c r="B5" s="3">
        <f>SUMIFS(Total,Fecha,NetWorth!A5)</f>
        <v>5680517.282399999</v>
      </c>
    </row>
    <row r="6" spans="1:2" x14ac:dyDescent="0.25">
      <c r="A6" s="48">
        <v>45304</v>
      </c>
      <c r="B6" s="3">
        <f>SUMIFS(Total,Fecha,NetWorth!A6)</f>
        <v>5625729.4873999991</v>
      </c>
    </row>
    <row r="7" spans="1:2" x14ac:dyDescent="0.25">
      <c r="A7" s="48">
        <v>45308</v>
      </c>
      <c r="B7" s="3">
        <f>SUMIFS(Total,Fecha,NetWorth!A7)</f>
        <v>7312487.7278000005</v>
      </c>
    </row>
    <row r="8" spans="1:2" x14ac:dyDescent="0.25">
      <c r="A8" s="48">
        <v>45309</v>
      </c>
      <c r="B8" s="3">
        <f>SUMIFS(Total,Fecha,NetWorth!A8)</f>
        <v>7201349.3915999997</v>
      </c>
    </row>
    <row r="9" spans="1:2" x14ac:dyDescent="0.25">
      <c r="A9" s="48">
        <v>45312</v>
      </c>
      <c r="B9" s="3">
        <f>SUMIFS(Total,Fecha,NetWorth!A9)</f>
        <v>7040859.8155999994</v>
      </c>
    </row>
    <row r="10" spans="1:2" x14ac:dyDescent="0.25">
      <c r="A10" s="48">
        <v>45315</v>
      </c>
      <c r="B10" s="3">
        <f>SUMIFS(Total,Fecha,NetWorth!A10)</f>
        <v>9267327.2809999995</v>
      </c>
    </row>
    <row r="11" spans="1:2" x14ac:dyDescent="0.25">
      <c r="A11" s="48">
        <v>45316</v>
      </c>
      <c r="B11" s="3">
        <f>SUMIFS(Total,Fecha,NetWorth!A11)</f>
        <v>9029314.183600001</v>
      </c>
    </row>
    <row r="12" spans="1:2" x14ac:dyDescent="0.25">
      <c r="A12" s="48">
        <v>45320</v>
      </c>
      <c r="B12" s="3">
        <f>SUMIFS(Total,Fecha,NetWorth!A12)</f>
        <v>8705209.1376000009</v>
      </c>
    </row>
    <row r="13" spans="1:2" x14ac:dyDescent="0.25">
      <c r="A13" s="48">
        <v>45321</v>
      </c>
      <c r="B13" s="3">
        <f>SUMIFS(Total,Fecha,NetWorth!A13)</f>
        <v>8103753.2067999998</v>
      </c>
    </row>
    <row r="14" spans="1:2" x14ac:dyDescent="0.25">
      <c r="A14" s="48">
        <v>45326</v>
      </c>
      <c r="B14" s="3">
        <f>SUMIFS(Total,Fecha,NetWorth!A14)</f>
        <v>7169763.0049999999</v>
      </c>
    </row>
    <row r="15" spans="1:2" x14ac:dyDescent="0.25">
      <c r="A15" s="48">
        <v>45339</v>
      </c>
      <c r="B15" s="3">
        <f>SUMIFS(Total,Fecha,NetWorth!A15)</f>
        <v>14314472.8826</v>
      </c>
    </row>
    <row r="16" spans="1:2" x14ac:dyDescent="0.25">
      <c r="A16" s="48">
        <v>45341</v>
      </c>
      <c r="B16" s="3">
        <f>SUMIFS(Total,Fecha,NetWorth!A16)</f>
        <v>14056919.752800001</v>
      </c>
    </row>
    <row r="17" spans="1:2" x14ac:dyDescent="0.25">
      <c r="A17" s="48">
        <v>45343</v>
      </c>
      <c r="B17" s="3">
        <f>SUMIFS(Total,Fecha,NetWorth!A17)</f>
        <v>14511505.462400001</v>
      </c>
    </row>
    <row r="18" spans="1:2" x14ac:dyDescent="0.25">
      <c r="A18" s="48">
        <v>45344</v>
      </c>
      <c r="B18" s="3">
        <f>SUMIFS(Total,Fecha,NetWorth!A18)</f>
        <v>14516258.153599998</v>
      </c>
    </row>
    <row r="19" spans="1:2" x14ac:dyDescent="0.25">
      <c r="A19" s="48">
        <v>45346</v>
      </c>
      <c r="B19" s="3">
        <f>SUMIFS(Total,Fecha,NetWorth!A19)</f>
        <v>17368186.915899999</v>
      </c>
    </row>
    <row r="20" spans="1:2" x14ac:dyDescent="0.25">
      <c r="A20" s="48">
        <v>45347</v>
      </c>
      <c r="B20" s="3">
        <f>SUMIFS(Total,Fecha,NetWorth!A20)</f>
        <v>17270835.863899998</v>
      </c>
    </row>
    <row r="21" spans="1:2" x14ac:dyDescent="0.25">
      <c r="A21" s="48">
        <v>45348</v>
      </c>
      <c r="B21" s="3">
        <f>SUMIFS(Total,Fecha,NetWorth!A21)</f>
        <v>17118670.164000001</v>
      </c>
    </row>
    <row r="22" spans="1:2" x14ac:dyDescent="0.25">
      <c r="A22" s="48">
        <v>45349</v>
      </c>
      <c r="B22" s="3">
        <f>SUMIFS(Total,Fecha,NetWorth!A22)</f>
        <v>16922832.655999999</v>
      </c>
    </row>
    <row r="23" spans="1:2" x14ac:dyDescent="0.25">
      <c r="A23" s="48">
        <v>45350</v>
      </c>
      <c r="B23" s="3">
        <f>SUMIFS(Total,Fecha,NetWorth!A23)</f>
        <v>17108809.918900002</v>
      </c>
    </row>
    <row r="24" spans="1:2" x14ac:dyDescent="0.25">
      <c r="A24" s="48">
        <v>45351</v>
      </c>
      <c r="B24" s="3">
        <f>SUMIFS(Total,Fecha,NetWorth!A24)</f>
        <v>17002850.840500001</v>
      </c>
    </row>
    <row r="25" spans="1:2" x14ac:dyDescent="0.25">
      <c r="A25" s="48">
        <v>45352</v>
      </c>
      <c r="B25" s="3">
        <f>SUMIFS(Total,Fecha,NetWorth!A25)</f>
        <v>16313755.4956</v>
      </c>
    </row>
    <row r="26" spans="1:2" x14ac:dyDescent="0.25">
      <c r="A26" s="48">
        <v>45357</v>
      </c>
      <c r="B26" s="3">
        <f>SUMIFS(Total,Fecha,NetWorth!A26)</f>
        <v>16285684.613999998</v>
      </c>
    </row>
    <row r="27" spans="1:2" x14ac:dyDescent="0.25">
      <c r="A27" s="48">
        <v>45358</v>
      </c>
      <c r="B27" s="3">
        <f>SUMIFS(Total,Fecha,NetWorth!A27)</f>
        <v>16315734.498</v>
      </c>
    </row>
    <row r="28" spans="1:2" x14ac:dyDescent="0.25">
      <c r="A28" s="48">
        <v>45359</v>
      </c>
      <c r="B28" s="3">
        <f>SUMIFS(Total,Fecha,NetWorth!A28)</f>
        <v>16274120.058</v>
      </c>
    </row>
    <row r="29" spans="1:2" x14ac:dyDescent="0.25">
      <c r="A29" s="48">
        <v>45362</v>
      </c>
      <c r="B29" s="3">
        <f>SUMIFS(Total,Fecha,NetWorth!A29)</f>
        <v>16041317.168900002</v>
      </c>
    </row>
    <row r="30" spans="1:2" x14ac:dyDescent="0.25">
      <c r="A30" s="48">
        <v>45363</v>
      </c>
      <c r="B30" s="3">
        <f>SUMIFS(Total,Fecha,NetWorth!A30)</f>
        <v>16051289.7958</v>
      </c>
    </row>
    <row r="31" spans="1:2" x14ac:dyDescent="0.25">
      <c r="A31" s="48">
        <v>45364</v>
      </c>
      <c r="B31" s="3">
        <f>SUMIFS(Total,Fecha,NetWorth!A31)</f>
        <v>15771074.595999999</v>
      </c>
    </row>
    <row r="32" spans="1:2" x14ac:dyDescent="0.25">
      <c r="A32" s="48">
        <v>45365</v>
      </c>
      <c r="B32" s="3">
        <f>SUMIFS(Total,Fecha,NetWorth!A32)</f>
        <v>15767644.768400002</v>
      </c>
    </row>
    <row r="33" spans="1:2" x14ac:dyDescent="0.25">
      <c r="A33" s="48">
        <v>45369</v>
      </c>
      <c r="B33" s="3">
        <f>SUMIFS(Total,Fecha,NetWorth!A33)</f>
        <v>15501918.3134</v>
      </c>
    </row>
    <row r="34" spans="1:2" x14ac:dyDescent="0.25">
      <c r="A34" s="48">
        <v>45370</v>
      </c>
      <c r="B34" s="3">
        <f>SUMIFS(Total,Fecha,NetWorth!A34)</f>
        <v>15475013.1434</v>
      </c>
    </row>
    <row r="35" spans="1:2" x14ac:dyDescent="0.25">
      <c r="A35" s="48">
        <v>45371</v>
      </c>
      <c r="B35" s="3">
        <f>SUMIFS(Total,Fecha,NetWorth!A35)</f>
        <v>25201280.777899999</v>
      </c>
    </row>
    <row r="36" spans="1:2" x14ac:dyDescent="0.25">
      <c r="A36" s="48">
        <v>45373</v>
      </c>
      <c r="B36" s="3">
        <f>SUMIFS(Total,Fecha,NetWorth!A36)</f>
        <v>27153427.834800001</v>
      </c>
    </row>
    <row r="37" spans="1:2" x14ac:dyDescent="0.25">
      <c r="A37" s="48">
        <v>45374</v>
      </c>
      <c r="B37" s="3">
        <f>SUMIFS(Total,Fecha,NetWorth!A37)</f>
        <v>27177902.061000001</v>
      </c>
    </row>
    <row r="38" spans="1:2" x14ac:dyDescent="0.25">
      <c r="A38" s="48">
        <v>45375</v>
      </c>
      <c r="B38" s="3">
        <f>SUMIFS(Total,Fecha,NetWorth!A38)</f>
        <v>27062343.499199998</v>
      </c>
    </row>
    <row r="39" spans="1:2" x14ac:dyDescent="0.25">
      <c r="A39" s="48">
        <v>45378</v>
      </c>
      <c r="B39" s="3">
        <f>SUMIFS(Total,Fecha,NetWorth!A39)</f>
        <v>26983401.060400002</v>
      </c>
    </row>
    <row r="40" spans="1:2" x14ac:dyDescent="0.25">
      <c r="A40" s="48">
        <v>45379</v>
      </c>
      <c r="B40" s="3">
        <f>SUMIFS(Total,Fecha,NetWorth!A40)</f>
        <v>26984179.621199999</v>
      </c>
    </row>
    <row r="41" spans="1:2" x14ac:dyDescent="0.25">
      <c r="A41" s="48">
        <v>45381</v>
      </c>
      <c r="B41" s="3">
        <f>SUMIFS(Total,Fecha,NetWorth!A41)</f>
        <v>27598097.827799998</v>
      </c>
    </row>
    <row r="42" spans="1:2" x14ac:dyDescent="0.25">
      <c r="A42" s="48">
        <v>45383</v>
      </c>
      <c r="B42" s="3">
        <f>SUMIFS(Total,Fecha,NetWorth!A42)</f>
        <v>26953203.9833</v>
      </c>
    </row>
    <row r="43" spans="1:2" x14ac:dyDescent="0.25">
      <c r="A43" s="48">
        <v>45384</v>
      </c>
      <c r="B43" s="3">
        <f>SUMIFS(Total,Fecha,NetWorth!A43)</f>
        <v>26706849.441200003</v>
      </c>
    </row>
    <row r="44" spans="1:2" x14ac:dyDescent="0.25">
      <c r="A44" s="48">
        <v>45386</v>
      </c>
      <c r="B44" s="3">
        <f>SUMIFS(Total,Fecha,NetWorth!A44)</f>
        <v>26598189.009599999</v>
      </c>
    </row>
    <row r="45" spans="1:2" x14ac:dyDescent="0.25">
      <c r="A45" s="48">
        <v>45388</v>
      </c>
      <c r="B45" s="3">
        <f>SUMIFS(Total,Fecha,NetWorth!A45)</f>
        <v>26597790.631999999</v>
      </c>
    </row>
    <row r="46" spans="1:2" x14ac:dyDescent="0.25">
      <c r="B46" s="3">
        <f>SUMIFS(Total,Fecha,NetWorth!A46)</f>
        <v>0</v>
      </c>
    </row>
    <row r="47" spans="1:2" x14ac:dyDescent="0.25">
      <c r="B47" s="3">
        <f>SUMIFS(Total,Fecha,NetWorth!A47)</f>
        <v>0</v>
      </c>
    </row>
    <row r="48" spans="1:2" x14ac:dyDescent="0.25">
      <c r="B48" s="3">
        <f>SUMIFS(Total,Fecha,NetWorth!A48)</f>
        <v>0</v>
      </c>
    </row>
    <row r="49" spans="2:2" x14ac:dyDescent="0.25">
      <c r="B49" s="3">
        <f>SUMIFS(Total,Fecha,NetWorth!A49)</f>
        <v>0</v>
      </c>
    </row>
    <row r="50" spans="2:2" x14ac:dyDescent="0.25">
      <c r="B50" s="3">
        <f>SUMIFS(Total,Fecha,NetWorth!A50)</f>
        <v>0</v>
      </c>
    </row>
    <row r="51" spans="2:2" x14ac:dyDescent="0.25">
      <c r="B51" s="3">
        <f>SUMIFS(Total,Fecha,NetWorth!A51)</f>
        <v>0</v>
      </c>
    </row>
    <row r="52" spans="2:2" x14ac:dyDescent="0.25">
      <c r="B52" s="3">
        <f>SUMIFS(Total,Fecha,NetWorth!A52)</f>
        <v>0</v>
      </c>
    </row>
    <row r="53" spans="2:2" x14ac:dyDescent="0.25">
      <c r="B53" s="3">
        <f>SUMIFS(Total,Fecha,NetWorth!A53)</f>
        <v>0</v>
      </c>
    </row>
    <row r="54" spans="2:2" x14ac:dyDescent="0.25">
      <c r="B54" s="3">
        <f>SUMIFS(Total,Fecha,NetWorth!A54)</f>
        <v>0</v>
      </c>
    </row>
    <row r="55" spans="2:2" x14ac:dyDescent="0.25">
      <c r="B55" s="3">
        <f>SUMIFS(Total,Fecha,NetWorth!A55)</f>
        <v>0</v>
      </c>
    </row>
    <row r="56" spans="2:2" x14ac:dyDescent="0.25">
      <c r="B56" s="3">
        <f>SUMIFS(Total,Fecha,NetWorth!A56)</f>
        <v>0</v>
      </c>
    </row>
    <row r="57" spans="2:2" x14ac:dyDescent="0.25">
      <c r="B57" s="3">
        <f>SUMIFS(Total,Fecha,NetWorth!A57)</f>
        <v>0</v>
      </c>
    </row>
    <row r="58" spans="2:2" x14ac:dyDescent="0.25">
      <c r="B58" s="3">
        <f>SUMIFS(Total,Fecha,NetWorth!A58)</f>
        <v>0</v>
      </c>
    </row>
    <row r="59" spans="2:2" x14ac:dyDescent="0.25">
      <c r="B59" s="3">
        <f>SUMIFS(Total,Fecha,NetWorth!A59)</f>
        <v>0</v>
      </c>
    </row>
    <row r="60" spans="2:2" x14ac:dyDescent="0.25">
      <c r="B60" s="3">
        <f>SUMIFS(Total,Fecha,NetWorth!A60)</f>
        <v>0</v>
      </c>
    </row>
    <row r="61" spans="2:2" x14ac:dyDescent="0.25">
      <c r="B61" s="3">
        <f>SUMIFS(Total,Fecha,NetWorth!A61)</f>
        <v>0</v>
      </c>
    </row>
    <row r="62" spans="2:2" x14ac:dyDescent="0.25">
      <c r="B62" s="3">
        <f>SUMIFS(Total,Fecha,NetWorth!A62)</f>
        <v>0</v>
      </c>
    </row>
    <row r="63" spans="2:2" x14ac:dyDescent="0.25">
      <c r="B63" s="3">
        <f>SUMIFS(Total,Fecha,NetWorth!A63)</f>
        <v>0</v>
      </c>
    </row>
    <row r="64" spans="2:2" x14ac:dyDescent="0.25">
      <c r="B64" s="3">
        <f>SUMIFS(Total,Fecha,NetWorth!A64)</f>
        <v>0</v>
      </c>
    </row>
    <row r="65" spans="2:2" x14ac:dyDescent="0.25">
      <c r="B65" s="3">
        <f>SUMIFS(Total,Fecha,NetWorth!A65)</f>
        <v>0</v>
      </c>
    </row>
    <row r="66" spans="2:2" x14ac:dyDescent="0.25">
      <c r="B66" s="3">
        <f>SUMIFS(Total,Fecha,NetWorth!A66)</f>
        <v>0</v>
      </c>
    </row>
    <row r="67" spans="2:2" x14ac:dyDescent="0.25">
      <c r="B67" s="3">
        <f>SUMIFS(Total,Fecha,NetWorth!A67)</f>
        <v>0</v>
      </c>
    </row>
    <row r="68" spans="2:2" x14ac:dyDescent="0.25">
      <c r="B68" s="3">
        <f>SUMIFS(Total,Fecha,NetWorth!A68)</f>
        <v>0</v>
      </c>
    </row>
    <row r="69" spans="2:2" x14ac:dyDescent="0.25">
      <c r="B69" s="3">
        <f>SUMIFS(Total,Fecha,NetWorth!A69)</f>
        <v>0</v>
      </c>
    </row>
    <row r="70" spans="2:2" x14ac:dyDescent="0.25">
      <c r="B70" s="3">
        <f>SUMIFS(Total,Fecha,NetWorth!A70)</f>
        <v>0</v>
      </c>
    </row>
    <row r="71" spans="2:2" x14ac:dyDescent="0.25">
      <c r="B71" s="3">
        <f>SUMIFS(Total,Fecha,NetWorth!A71)</f>
        <v>0</v>
      </c>
    </row>
    <row r="72" spans="2:2" x14ac:dyDescent="0.25">
      <c r="B72" s="3">
        <f>SUMIFS(Total,Fecha,NetWorth!A72)</f>
        <v>0</v>
      </c>
    </row>
    <row r="73" spans="2:2" x14ac:dyDescent="0.25">
      <c r="B73" s="3">
        <f>SUMIFS(Total,Fecha,NetWorth!A73)</f>
        <v>0</v>
      </c>
    </row>
    <row r="74" spans="2:2" x14ac:dyDescent="0.25">
      <c r="B74" s="3">
        <f>SUMIFS(Total,Fecha,NetWorth!A74)</f>
        <v>0</v>
      </c>
    </row>
    <row r="75" spans="2:2" x14ac:dyDescent="0.25">
      <c r="B75" s="3">
        <f>SUMIFS(Total,Fecha,NetWorth!A75)</f>
        <v>0</v>
      </c>
    </row>
    <row r="76" spans="2:2" x14ac:dyDescent="0.25">
      <c r="B76" s="3">
        <f>SUMIFS(Total,Fecha,NetWorth!A76)</f>
        <v>0</v>
      </c>
    </row>
    <row r="77" spans="2:2" x14ac:dyDescent="0.25">
      <c r="B77" s="3">
        <f>SUMIFS(Total,Fecha,NetWorth!A77)</f>
        <v>0</v>
      </c>
    </row>
    <row r="78" spans="2:2" x14ac:dyDescent="0.25">
      <c r="B78" s="3">
        <f>SUMIFS(Total,Fecha,NetWorth!A78)</f>
        <v>0</v>
      </c>
    </row>
    <row r="79" spans="2:2" x14ac:dyDescent="0.25">
      <c r="B79" s="3">
        <f>SUMIFS(Total,Fecha,NetWorth!A79)</f>
        <v>0</v>
      </c>
    </row>
    <row r="80" spans="2:2" x14ac:dyDescent="0.25">
      <c r="B80" s="3">
        <f>SUMIFS(Total,Fecha,NetWorth!A80)</f>
        <v>0</v>
      </c>
    </row>
    <row r="81" spans="2:2" x14ac:dyDescent="0.25">
      <c r="B81" s="3">
        <f>SUMIFS(Total,Fecha,NetWorth!A81)</f>
        <v>0</v>
      </c>
    </row>
    <row r="82" spans="2:2" x14ac:dyDescent="0.25">
      <c r="B82" s="3">
        <f>SUMIFS(Total,Fecha,NetWorth!A82)</f>
        <v>0</v>
      </c>
    </row>
    <row r="83" spans="2:2" x14ac:dyDescent="0.25">
      <c r="B83" s="3">
        <f>SUMIFS(Total,Fecha,NetWorth!A83)</f>
        <v>0</v>
      </c>
    </row>
    <row r="84" spans="2:2" x14ac:dyDescent="0.25">
      <c r="B84" s="3">
        <f>SUMIFS(Total,Fecha,NetWorth!A84)</f>
        <v>0</v>
      </c>
    </row>
    <row r="85" spans="2:2" x14ac:dyDescent="0.25">
      <c r="B85" s="3">
        <f>SUMIFS(Total,Fecha,NetWorth!A85)</f>
        <v>0</v>
      </c>
    </row>
    <row r="86" spans="2:2" x14ac:dyDescent="0.25">
      <c r="B86" s="3">
        <f>SUMIFS(Total,Fecha,NetWorth!A86)</f>
        <v>0</v>
      </c>
    </row>
    <row r="87" spans="2:2" x14ac:dyDescent="0.25">
      <c r="B87" s="3">
        <f>SUMIFS(Total,Fecha,NetWorth!A87)</f>
        <v>0</v>
      </c>
    </row>
    <row r="88" spans="2:2" x14ac:dyDescent="0.25">
      <c r="B88" s="3">
        <f>SUMIFS(Total,Fecha,NetWorth!A88)</f>
        <v>0</v>
      </c>
    </row>
    <row r="89" spans="2:2" x14ac:dyDescent="0.25">
      <c r="B89" s="3">
        <f>SUMIFS(Total,Fecha,NetWorth!A89)</f>
        <v>0</v>
      </c>
    </row>
    <row r="90" spans="2:2" x14ac:dyDescent="0.25">
      <c r="B90" s="3">
        <f>SUMIFS(Total,Fecha,NetWorth!A90)</f>
        <v>0</v>
      </c>
    </row>
    <row r="91" spans="2:2" x14ac:dyDescent="0.25">
      <c r="B91" s="3">
        <f>SUMIFS(Total,Fecha,NetWorth!A91)</f>
        <v>0</v>
      </c>
    </row>
    <row r="92" spans="2:2" x14ac:dyDescent="0.25">
      <c r="B92" s="3">
        <f>SUMIFS(Total,Fecha,NetWorth!A92)</f>
        <v>0</v>
      </c>
    </row>
    <row r="93" spans="2:2" x14ac:dyDescent="0.25">
      <c r="B93" s="3">
        <f>SUMIFS(Total,Fecha,NetWorth!A93)</f>
        <v>0</v>
      </c>
    </row>
    <row r="94" spans="2:2" x14ac:dyDescent="0.25">
      <c r="B94" s="3">
        <f>SUMIFS(Total,Fecha,NetWorth!A94)</f>
        <v>0</v>
      </c>
    </row>
    <row r="95" spans="2:2" x14ac:dyDescent="0.25">
      <c r="B95" s="3">
        <f>SUMIFS(Total,Fecha,NetWorth!A95)</f>
        <v>0</v>
      </c>
    </row>
    <row r="96" spans="2:2" x14ac:dyDescent="0.25">
      <c r="B96" s="3">
        <f>SUMIFS(Total,Fecha,NetWorth!A96)</f>
        <v>0</v>
      </c>
    </row>
    <row r="97" spans="2:2" x14ac:dyDescent="0.25">
      <c r="B97" s="3">
        <f>SUMIFS(Total,Fecha,NetWorth!A97)</f>
        <v>0</v>
      </c>
    </row>
    <row r="98" spans="2:2" x14ac:dyDescent="0.25">
      <c r="B98" s="3">
        <f>SUMIFS(Total,Fecha,NetWorth!A98)</f>
        <v>0</v>
      </c>
    </row>
    <row r="99" spans="2:2" x14ac:dyDescent="0.25">
      <c r="B99" s="3">
        <f>SUMIFS(Total,Fecha,NetWorth!A99)</f>
        <v>0</v>
      </c>
    </row>
    <row r="100" spans="2:2" x14ac:dyDescent="0.25">
      <c r="B100" s="3">
        <f>SUMIFS(Total,Fecha,NetWorth!A100)</f>
        <v>0</v>
      </c>
    </row>
    <row r="101" spans="2:2" x14ac:dyDescent="0.25">
      <c r="B101" s="3">
        <f>SUMIFS(Total,Fecha,NetWorth!A101)</f>
        <v>0</v>
      </c>
    </row>
    <row r="102" spans="2:2" x14ac:dyDescent="0.25">
      <c r="B102" s="3">
        <f>SUMIFS(Total,Fecha,NetWorth!A102)</f>
        <v>0</v>
      </c>
    </row>
    <row r="103" spans="2:2" x14ac:dyDescent="0.25">
      <c r="B103" s="3">
        <f>SUMIFS(Total,Fecha,NetWorth!A103)</f>
        <v>0</v>
      </c>
    </row>
    <row r="104" spans="2:2" x14ac:dyDescent="0.25">
      <c r="B104" s="3">
        <f>SUMIFS(Total,Fecha,NetWorth!A104)</f>
        <v>0</v>
      </c>
    </row>
    <row r="105" spans="2:2" x14ac:dyDescent="0.25">
      <c r="B105" s="3">
        <f>SUMIFS(Total,Fecha,NetWorth!A105)</f>
        <v>0</v>
      </c>
    </row>
    <row r="106" spans="2:2" x14ac:dyDescent="0.25">
      <c r="B106" s="3">
        <f>SUMIFS(Total,Fecha,NetWorth!A106)</f>
        <v>0</v>
      </c>
    </row>
    <row r="107" spans="2:2" x14ac:dyDescent="0.25">
      <c r="B107" s="3">
        <f>SUMIFS(Total,Fecha,NetWorth!A107)</f>
        <v>0</v>
      </c>
    </row>
    <row r="108" spans="2:2" x14ac:dyDescent="0.25">
      <c r="B108" s="3">
        <f>SUMIFS(Total,Fecha,NetWorth!A108)</f>
        <v>0</v>
      </c>
    </row>
    <row r="109" spans="2:2" x14ac:dyDescent="0.25">
      <c r="B109" s="3">
        <f>SUMIFS(Total,Fecha,NetWorth!A109)</f>
        <v>0</v>
      </c>
    </row>
    <row r="110" spans="2:2" x14ac:dyDescent="0.25">
      <c r="B110" s="3">
        <f>SUMIFS(Total,Fecha,NetWorth!A110)</f>
        <v>0</v>
      </c>
    </row>
    <row r="111" spans="2:2" x14ac:dyDescent="0.25">
      <c r="B111" s="3">
        <f>SUMIFS(Total,Fecha,NetWorth!A111)</f>
        <v>0</v>
      </c>
    </row>
    <row r="112" spans="2:2" x14ac:dyDescent="0.25">
      <c r="B112" s="3">
        <f>SUMIFS(Total,Fecha,NetWorth!A112)</f>
        <v>0</v>
      </c>
    </row>
    <row r="113" spans="2:2" x14ac:dyDescent="0.25">
      <c r="B113" s="3">
        <f>SUMIFS(Total,Fecha,NetWorth!A113)</f>
        <v>0</v>
      </c>
    </row>
    <row r="114" spans="2:2" x14ac:dyDescent="0.25">
      <c r="B114" s="3">
        <f>SUMIFS(Total,Fecha,NetWorth!A114)</f>
        <v>0</v>
      </c>
    </row>
    <row r="115" spans="2:2" x14ac:dyDescent="0.25">
      <c r="B115" s="3">
        <f>SUMIFS(Total,Fecha,NetWorth!A115)</f>
        <v>0</v>
      </c>
    </row>
    <row r="116" spans="2:2" x14ac:dyDescent="0.25">
      <c r="B116" s="3">
        <f>SUMIFS(Total,Fecha,NetWorth!A116)</f>
        <v>0</v>
      </c>
    </row>
    <row r="117" spans="2:2" x14ac:dyDescent="0.25">
      <c r="B117" s="3">
        <f>SUMIFS(Total,Fecha,NetWorth!A117)</f>
        <v>0</v>
      </c>
    </row>
    <row r="118" spans="2:2" x14ac:dyDescent="0.25">
      <c r="B118" s="3">
        <f>SUMIFS(Total,Fecha,NetWorth!A118)</f>
        <v>0</v>
      </c>
    </row>
    <row r="119" spans="2:2" x14ac:dyDescent="0.25">
      <c r="B119" s="3">
        <f>SUMIFS(Total,Fecha,NetWorth!A119)</f>
        <v>0</v>
      </c>
    </row>
    <row r="120" spans="2:2" x14ac:dyDescent="0.25">
      <c r="B120" s="3">
        <f>SUMIFS(Total,Fecha,NetWorth!A120)</f>
        <v>0</v>
      </c>
    </row>
    <row r="121" spans="2:2" x14ac:dyDescent="0.25">
      <c r="B121" s="3">
        <f>SUMIFS(Total,Fecha,NetWorth!A121)</f>
        <v>0</v>
      </c>
    </row>
    <row r="122" spans="2:2" x14ac:dyDescent="0.25">
      <c r="B122" s="3">
        <f>SUMIFS(Total,Fecha,NetWorth!A122)</f>
        <v>0</v>
      </c>
    </row>
    <row r="123" spans="2:2" x14ac:dyDescent="0.25">
      <c r="B123" s="3">
        <f>SUMIFS(Total,Fecha,NetWorth!A123)</f>
        <v>0</v>
      </c>
    </row>
    <row r="124" spans="2:2" x14ac:dyDescent="0.25">
      <c r="B124" s="3">
        <f>SUMIFS(Total,Fecha,NetWorth!A124)</f>
        <v>0</v>
      </c>
    </row>
    <row r="125" spans="2:2" x14ac:dyDescent="0.25">
      <c r="B125" s="3">
        <f>SUMIFS(Total,Fecha,NetWorth!A125)</f>
        <v>0</v>
      </c>
    </row>
    <row r="126" spans="2:2" x14ac:dyDescent="0.25">
      <c r="B126" s="3">
        <f>SUMIFS(Total,Fecha,NetWorth!A126)</f>
        <v>0</v>
      </c>
    </row>
    <row r="127" spans="2:2" x14ac:dyDescent="0.25">
      <c r="B127" s="3">
        <f>SUMIFS(Total,Fecha,NetWorth!A127)</f>
        <v>0</v>
      </c>
    </row>
    <row r="128" spans="2:2" x14ac:dyDescent="0.25">
      <c r="B128" s="3">
        <f>SUMIFS(Total,Fecha,NetWorth!A128)</f>
        <v>0</v>
      </c>
    </row>
    <row r="129" spans="2:2" x14ac:dyDescent="0.25">
      <c r="B129" s="3">
        <f>SUMIFS(Total,Fecha,NetWorth!A129)</f>
        <v>0</v>
      </c>
    </row>
    <row r="130" spans="2:2" x14ac:dyDescent="0.25">
      <c r="B130" s="3">
        <f>SUMIFS(Total,Fecha,NetWorth!A130)</f>
        <v>0</v>
      </c>
    </row>
    <row r="131" spans="2:2" x14ac:dyDescent="0.25">
      <c r="B131" s="3">
        <f>SUMIFS(Total,Fecha,NetWorth!A131)</f>
        <v>0</v>
      </c>
    </row>
    <row r="132" spans="2:2" x14ac:dyDescent="0.25">
      <c r="B132" s="3">
        <f>SUMIFS(Total,Fecha,NetWorth!A132)</f>
        <v>0</v>
      </c>
    </row>
    <row r="133" spans="2:2" x14ac:dyDescent="0.25">
      <c r="B133" s="3">
        <f>SUMIFS(Total,Fecha,NetWorth!A133)</f>
        <v>0</v>
      </c>
    </row>
    <row r="134" spans="2:2" x14ac:dyDescent="0.25">
      <c r="B134" s="3">
        <f>SUMIFS(Total,Fecha,NetWorth!A134)</f>
        <v>0</v>
      </c>
    </row>
    <row r="135" spans="2:2" x14ac:dyDescent="0.25">
      <c r="B135" s="3">
        <f>SUMIFS(Total,Fecha,NetWorth!A135)</f>
        <v>0</v>
      </c>
    </row>
    <row r="136" spans="2:2" x14ac:dyDescent="0.25">
      <c r="B136" s="3">
        <f>SUMIFS(Total,Fecha,NetWorth!A136)</f>
        <v>0</v>
      </c>
    </row>
    <row r="137" spans="2:2" x14ac:dyDescent="0.25">
      <c r="B137" s="3">
        <f>SUMIFS(Total,Fecha,NetWorth!A137)</f>
        <v>0</v>
      </c>
    </row>
    <row r="138" spans="2:2" x14ac:dyDescent="0.25">
      <c r="B138" s="3">
        <f>SUMIFS(Total,Fecha,NetWorth!A138)</f>
        <v>0</v>
      </c>
    </row>
    <row r="139" spans="2:2" x14ac:dyDescent="0.25">
      <c r="B139" s="3">
        <f>SUMIFS(Total,Fecha,NetWorth!A139)</f>
        <v>0</v>
      </c>
    </row>
    <row r="140" spans="2:2" x14ac:dyDescent="0.25">
      <c r="B140" s="3">
        <f>SUMIFS(Total,Fecha,NetWorth!A140)</f>
        <v>0</v>
      </c>
    </row>
    <row r="141" spans="2:2" x14ac:dyDescent="0.25">
      <c r="B141" s="3">
        <f>SUMIFS(Total,Fecha,NetWorth!A141)</f>
        <v>0</v>
      </c>
    </row>
    <row r="142" spans="2:2" x14ac:dyDescent="0.25">
      <c r="B142" s="3">
        <f>SUMIFS(Total,Fecha,NetWorth!A142)</f>
        <v>0</v>
      </c>
    </row>
    <row r="143" spans="2:2" x14ac:dyDescent="0.25">
      <c r="B143" s="3">
        <f>SUMIFS(Total,Fecha,NetWorth!A143)</f>
        <v>0</v>
      </c>
    </row>
    <row r="144" spans="2:2" x14ac:dyDescent="0.25">
      <c r="B144" s="3">
        <f>SUMIFS(Total,Fecha,NetWorth!A144)</f>
        <v>0</v>
      </c>
    </row>
    <row r="145" spans="2:2" x14ac:dyDescent="0.25">
      <c r="B145" s="3">
        <f>SUMIFS(Total,Fecha,NetWorth!A145)</f>
        <v>0</v>
      </c>
    </row>
    <row r="146" spans="2:2" x14ac:dyDescent="0.25">
      <c r="B146" s="3">
        <f>SUMIFS(Total,Fecha,NetWorth!A146)</f>
        <v>0</v>
      </c>
    </row>
    <row r="147" spans="2:2" x14ac:dyDescent="0.25">
      <c r="B147" s="3">
        <f>SUMIFS(Total,Fecha,NetWorth!A147)</f>
        <v>0</v>
      </c>
    </row>
    <row r="148" spans="2:2" x14ac:dyDescent="0.25">
      <c r="B148" s="3">
        <f>SUMIFS(Total,Fecha,NetWorth!A148)</f>
        <v>0</v>
      </c>
    </row>
    <row r="149" spans="2:2" x14ac:dyDescent="0.25">
      <c r="B149" s="3">
        <f>SUMIFS(Total,Fecha,NetWorth!A149)</f>
        <v>0</v>
      </c>
    </row>
    <row r="150" spans="2:2" x14ac:dyDescent="0.25">
      <c r="B150" s="3">
        <f>SUMIFS(Total,Fecha,NetWorth!A150)</f>
        <v>0</v>
      </c>
    </row>
    <row r="151" spans="2:2" x14ac:dyDescent="0.25">
      <c r="B151" s="3">
        <f>SUMIFS(Total,Fecha,NetWorth!A151)</f>
        <v>0</v>
      </c>
    </row>
    <row r="152" spans="2:2" x14ac:dyDescent="0.25">
      <c r="B152" s="3">
        <f>SUMIFS(Total,Fecha,NetWorth!A152)</f>
        <v>0</v>
      </c>
    </row>
    <row r="153" spans="2:2" x14ac:dyDescent="0.25">
      <c r="B153" s="3">
        <f>SUMIFS(Total,Fecha,NetWorth!A153)</f>
        <v>0</v>
      </c>
    </row>
    <row r="154" spans="2:2" x14ac:dyDescent="0.25">
      <c r="B154" s="3">
        <f>SUMIFS(Total,Fecha,NetWorth!A154)</f>
        <v>0</v>
      </c>
    </row>
    <row r="155" spans="2:2" x14ac:dyDescent="0.25">
      <c r="B155" s="3">
        <f>SUMIFS(Total,Fecha,NetWorth!A155)</f>
        <v>0</v>
      </c>
    </row>
    <row r="156" spans="2:2" x14ac:dyDescent="0.25">
      <c r="B156" s="3">
        <f>SUMIFS(Total,Fecha,NetWorth!A156)</f>
        <v>0</v>
      </c>
    </row>
    <row r="157" spans="2:2" x14ac:dyDescent="0.25">
      <c r="B157" s="3">
        <f>SUMIFS(Total,Fecha,NetWorth!A157)</f>
        <v>0</v>
      </c>
    </row>
    <row r="158" spans="2:2" x14ac:dyDescent="0.25">
      <c r="B158" s="3">
        <f>SUMIFS(Total,Fecha,NetWorth!A158)</f>
        <v>0</v>
      </c>
    </row>
    <row r="159" spans="2:2" x14ac:dyDescent="0.25">
      <c r="B159" s="3">
        <f>SUMIFS(Total,Fecha,NetWorth!A159)</f>
        <v>0</v>
      </c>
    </row>
    <row r="160" spans="2:2" x14ac:dyDescent="0.25">
      <c r="B160" s="3">
        <f>SUMIFS(Total,Fecha,NetWorth!A160)</f>
        <v>0</v>
      </c>
    </row>
    <row r="161" spans="2:2" x14ac:dyDescent="0.25">
      <c r="B161" s="3">
        <f>SUMIFS(Total,Fecha,NetWorth!A161)</f>
        <v>0</v>
      </c>
    </row>
    <row r="162" spans="2:2" x14ac:dyDescent="0.25">
      <c r="B162" s="3">
        <f>SUMIFS(Total,Fecha,NetWorth!A162)</f>
        <v>0</v>
      </c>
    </row>
    <row r="163" spans="2:2" x14ac:dyDescent="0.25">
      <c r="B163" s="3">
        <f>SUMIFS(Total,Fecha,NetWorth!A163)</f>
        <v>0</v>
      </c>
    </row>
    <row r="164" spans="2:2" x14ac:dyDescent="0.25">
      <c r="B164" s="3">
        <f>SUMIFS(Total,Fecha,NetWorth!A164)</f>
        <v>0</v>
      </c>
    </row>
    <row r="165" spans="2:2" x14ac:dyDescent="0.25">
      <c r="B165" s="3">
        <f>SUMIFS(Total,Fecha,NetWorth!A165)</f>
        <v>0</v>
      </c>
    </row>
    <row r="166" spans="2:2" x14ac:dyDescent="0.25">
      <c r="B166" s="3">
        <f>SUMIFS(Total,Fecha,NetWorth!A166)</f>
        <v>0</v>
      </c>
    </row>
    <row r="167" spans="2:2" x14ac:dyDescent="0.25">
      <c r="B167" s="3">
        <f>SUMIFS(Total,Fecha,NetWorth!A167)</f>
        <v>0</v>
      </c>
    </row>
    <row r="168" spans="2:2" x14ac:dyDescent="0.25">
      <c r="B168" s="3">
        <f>SUMIFS(Total,Fecha,NetWorth!A168)</f>
        <v>0</v>
      </c>
    </row>
    <row r="169" spans="2:2" x14ac:dyDescent="0.25">
      <c r="B169" s="3">
        <f>SUMIFS(Total,Fecha,NetWorth!A169)</f>
        <v>0</v>
      </c>
    </row>
    <row r="170" spans="2:2" x14ac:dyDescent="0.25">
      <c r="B170" s="3">
        <f>SUMIFS(Total,Fecha,NetWorth!A170)</f>
        <v>0</v>
      </c>
    </row>
    <row r="171" spans="2:2" x14ac:dyDescent="0.25">
      <c r="B171" s="3">
        <f>SUMIFS(Total,Fecha,NetWorth!A171)</f>
        <v>0</v>
      </c>
    </row>
    <row r="172" spans="2:2" x14ac:dyDescent="0.25">
      <c r="B172" s="3">
        <f>SUMIFS(Total,Fecha,NetWorth!A172)</f>
        <v>0</v>
      </c>
    </row>
    <row r="173" spans="2:2" x14ac:dyDescent="0.25">
      <c r="B173" s="3">
        <f>SUMIFS(Total,Fecha,NetWorth!A173)</f>
        <v>0</v>
      </c>
    </row>
    <row r="174" spans="2:2" x14ac:dyDescent="0.25">
      <c r="B174" s="3">
        <f>SUMIFS(Total,Fecha,NetWorth!A174)</f>
        <v>0</v>
      </c>
    </row>
    <row r="175" spans="2:2" x14ac:dyDescent="0.25">
      <c r="B175" s="3">
        <f>SUMIFS(Total,Fecha,NetWorth!A175)</f>
        <v>0</v>
      </c>
    </row>
    <row r="176" spans="2:2" x14ac:dyDescent="0.25">
      <c r="B176" s="3">
        <f>SUMIFS(Total,Fecha,NetWorth!A176)</f>
        <v>0</v>
      </c>
    </row>
    <row r="177" spans="2:2" x14ac:dyDescent="0.25">
      <c r="B177" s="3">
        <f>SUMIFS(Total,Fecha,NetWorth!A177)</f>
        <v>0</v>
      </c>
    </row>
    <row r="178" spans="2:2" x14ac:dyDescent="0.25">
      <c r="B178" s="3">
        <f>SUMIFS(Total,Fecha,NetWorth!A178)</f>
        <v>0</v>
      </c>
    </row>
    <row r="179" spans="2:2" x14ac:dyDescent="0.25">
      <c r="B179" s="3">
        <f>SUMIFS(Total,Fecha,NetWorth!A179)</f>
        <v>0</v>
      </c>
    </row>
    <row r="180" spans="2:2" x14ac:dyDescent="0.25">
      <c r="B180" s="3">
        <f>SUMIFS(Total,Fecha,NetWorth!A180)</f>
        <v>0</v>
      </c>
    </row>
    <row r="181" spans="2:2" x14ac:dyDescent="0.25">
      <c r="B181" s="3">
        <f>SUMIFS(Total,Fecha,NetWorth!A181)</f>
        <v>0</v>
      </c>
    </row>
    <row r="182" spans="2:2" x14ac:dyDescent="0.25">
      <c r="B182" s="3">
        <f>SUMIFS(Total,Fecha,NetWorth!A182)</f>
        <v>0</v>
      </c>
    </row>
    <row r="183" spans="2:2" x14ac:dyDescent="0.25">
      <c r="B183" s="3">
        <f>SUMIFS(Total,Fecha,NetWorth!A183)</f>
        <v>0</v>
      </c>
    </row>
    <row r="184" spans="2:2" x14ac:dyDescent="0.25">
      <c r="B184" s="3">
        <f>SUMIFS(Total,Fecha,NetWorth!A184)</f>
        <v>0</v>
      </c>
    </row>
    <row r="185" spans="2:2" x14ac:dyDescent="0.25">
      <c r="B185" s="3">
        <f>SUMIFS(Total,Fecha,NetWorth!A185)</f>
        <v>0</v>
      </c>
    </row>
    <row r="186" spans="2:2" x14ac:dyDescent="0.25">
      <c r="B186" s="3">
        <f>SUMIFS(Total,Fecha,NetWorth!A186)</f>
        <v>0</v>
      </c>
    </row>
    <row r="187" spans="2:2" x14ac:dyDescent="0.25">
      <c r="B187" s="3">
        <f>SUMIFS(Total,Fecha,NetWorth!A187)</f>
        <v>0</v>
      </c>
    </row>
    <row r="188" spans="2:2" x14ac:dyDescent="0.25">
      <c r="B188" s="3">
        <f>SUMIFS(Total,Fecha,NetWorth!A188)</f>
        <v>0</v>
      </c>
    </row>
    <row r="189" spans="2:2" x14ac:dyDescent="0.25">
      <c r="B189" s="3">
        <f>SUMIFS(Total,Fecha,NetWorth!A189)</f>
        <v>0</v>
      </c>
    </row>
    <row r="190" spans="2:2" x14ac:dyDescent="0.25">
      <c r="B190" s="3">
        <f>SUMIFS(Total,Fecha,NetWorth!A190)</f>
        <v>0</v>
      </c>
    </row>
    <row r="191" spans="2:2" x14ac:dyDescent="0.25">
      <c r="B191" s="3">
        <f>SUMIFS(Total,Fecha,NetWorth!A191)</f>
        <v>0</v>
      </c>
    </row>
    <row r="192" spans="2:2" x14ac:dyDescent="0.25">
      <c r="B192" s="3">
        <f>SUMIFS(Total,Fecha,NetWorth!A192)</f>
        <v>0</v>
      </c>
    </row>
    <row r="193" spans="2:2" x14ac:dyDescent="0.25">
      <c r="B193" s="3">
        <f>SUMIFS(Total,Fecha,NetWorth!A193)</f>
        <v>0</v>
      </c>
    </row>
    <row r="194" spans="2:2" x14ac:dyDescent="0.25">
      <c r="B194" s="3">
        <f>SUMIFS(Total,Fecha,NetWorth!A194)</f>
        <v>0</v>
      </c>
    </row>
    <row r="195" spans="2:2" x14ac:dyDescent="0.25">
      <c r="B195" s="3">
        <f>SUMIFS(Total,Fecha,NetWorth!A195)</f>
        <v>0</v>
      </c>
    </row>
    <row r="196" spans="2:2" x14ac:dyDescent="0.25">
      <c r="B196" s="3">
        <f>SUMIFS(Total,Fecha,NetWorth!A196)</f>
        <v>0</v>
      </c>
    </row>
    <row r="197" spans="2:2" x14ac:dyDescent="0.25">
      <c r="B197" s="3">
        <f>SUMIFS(Total,Fecha,NetWorth!A197)</f>
        <v>0</v>
      </c>
    </row>
    <row r="198" spans="2:2" x14ac:dyDescent="0.25">
      <c r="B198" s="3">
        <f>SUMIFS(Total,Fecha,NetWorth!A198)</f>
        <v>0</v>
      </c>
    </row>
    <row r="199" spans="2:2" x14ac:dyDescent="0.25">
      <c r="B199" s="3">
        <f>SUMIFS(Total,Fecha,NetWorth!A199)</f>
        <v>0</v>
      </c>
    </row>
    <row r="200" spans="2:2" x14ac:dyDescent="0.25">
      <c r="B200" s="3">
        <f>SUMIFS(Total,Fecha,NetWorth!A200)</f>
        <v>0</v>
      </c>
    </row>
    <row r="201" spans="2:2" x14ac:dyDescent="0.25">
      <c r="B201" s="3">
        <f>SUMIFS(Total,Fecha,NetWorth!A201)</f>
        <v>0</v>
      </c>
    </row>
    <row r="202" spans="2:2" x14ac:dyDescent="0.25">
      <c r="B202" s="3">
        <f>SUMIFS(Total,Fecha,NetWorth!A202)</f>
        <v>0</v>
      </c>
    </row>
    <row r="203" spans="2:2" x14ac:dyDescent="0.25">
      <c r="B203" s="3">
        <f>SUMIFS(Total,Fecha,NetWorth!A203)</f>
        <v>0</v>
      </c>
    </row>
    <row r="204" spans="2:2" x14ac:dyDescent="0.25">
      <c r="B204" s="3">
        <f>SUMIFS(Total,Fecha,NetWorth!A204)</f>
        <v>0</v>
      </c>
    </row>
    <row r="205" spans="2:2" x14ac:dyDescent="0.25">
      <c r="B205" s="3">
        <f>SUMIFS(Total,Fecha,NetWorth!A205)</f>
        <v>0</v>
      </c>
    </row>
    <row r="206" spans="2:2" x14ac:dyDescent="0.25">
      <c r="B206" s="3">
        <f>SUMIFS(Total,Fecha,NetWorth!A206)</f>
        <v>0</v>
      </c>
    </row>
    <row r="207" spans="2:2" x14ac:dyDescent="0.25">
      <c r="B207" s="3">
        <f>SUMIFS(Total,Fecha,NetWorth!A207)</f>
        <v>0</v>
      </c>
    </row>
    <row r="208" spans="2:2" x14ac:dyDescent="0.25">
      <c r="B208" s="3">
        <f>SUMIFS(Total,Fecha,NetWorth!A208)</f>
        <v>0</v>
      </c>
    </row>
    <row r="209" spans="2:2" x14ac:dyDescent="0.25">
      <c r="B209" s="3">
        <f>SUMIFS(Total,Fecha,NetWorth!A209)</f>
        <v>0</v>
      </c>
    </row>
    <row r="210" spans="2:2" x14ac:dyDescent="0.25">
      <c r="B210" s="3">
        <f>SUMIFS(Total,Fecha,NetWorth!A210)</f>
        <v>0</v>
      </c>
    </row>
    <row r="211" spans="2:2" x14ac:dyDescent="0.25">
      <c r="B211" s="3">
        <f>SUMIFS(Total,Fecha,NetWorth!A211)</f>
        <v>0</v>
      </c>
    </row>
    <row r="212" spans="2:2" x14ac:dyDescent="0.25">
      <c r="B212" s="3">
        <f>SUMIFS(Total,Fecha,NetWorth!A212)</f>
        <v>0</v>
      </c>
    </row>
    <row r="213" spans="2:2" x14ac:dyDescent="0.25">
      <c r="B213" s="3">
        <f>SUMIFS(Total,Fecha,NetWorth!A213)</f>
        <v>0</v>
      </c>
    </row>
    <row r="214" spans="2:2" x14ac:dyDescent="0.25">
      <c r="B214" s="3">
        <f>SUMIFS(Total,Fecha,NetWorth!A214)</f>
        <v>0</v>
      </c>
    </row>
    <row r="215" spans="2:2" x14ac:dyDescent="0.25">
      <c r="B215" s="3">
        <f>SUMIFS(Total,Fecha,NetWorth!A215)</f>
        <v>0</v>
      </c>
    </row>
    <row r="216" spans="2:2" x14ac:dyDescent="0.25">
      <c r="B216" s="3">
        <f>SUMIFS(Total,Fecha,NetWorth!A216)</f>
        <v>0</v>
      </c>
    </row>
    <row r="217" spans="2:2" x14ac:dyDescent="0.25">
      <c r="B217" s="3">
        <f>SUMIFS(Total,Fecha,NetWorth!A217)</f>
        <v>0</v>
      </c>
    </row>
    <row r="218" spans="2:2" x14ac:dyDescent="0.25">
      <c r="B218" s="3">
        <f>SUMIFS(Total,Fecha,NetWorth!A218)</f>
        <v>0</v>
      </c>
    </row>
    <row r="219" spans="2:2" x14ac:dyDescent="0.25">
      <c r="B219" s="3">
        <f>SUMIFS(Total,Fecha,NetWorth!A219)</f>
        <v>0</v>
      </c>
    </row>
    <row r="220" spans="2:2" x14ac:dyDescent="0.25">
      <c r="B220" s="3">
        <f>SUMIFS(Total,Fecha,NetWorth!A220)</f>
        <v>0</v>
      </c>
    </row>
    <row r="221" spans="2:2" x14ac:dyDescent="0.25">
      <c r="B221" s="3">
        <f>SUMIFS(Total,Fecha,NetWorth!A221)</f>
        <v>0</v>
      </c>
    </row>
    <row r="222" spans="2:2" x14ac:dyDescent="0.25">
      <c r="B222" s="3">
        <f>SUMIFS(Total,Fecha,NetWorth!A222)</f>
        <v>0</v>
      </c>
    </row>
    <row r="223" spans="2:2" x14ac:dyDescent="0.25">
      <c r="B223" s="3">
        <f>SUMIFS(Total,Fecha,NetWorth!A223)</f>
        <v>0</v>
      </c>
    </row>
    <row r="224" spans="2:2" x14ac:dyDescent="0.25">
      <c r="B224" s="3">
        <f>SUMIFS(Total,Fecha,NetWorth!A224)</f>
        <v>0</v>
      </c>
    </row>
    <row r="225" spans="2:2" x14ac:dyDescent="0.25">
      <c r="B225" s="3">
        <f>SUMIFS(Total,Fecha,NetWorth!A225)</f>
        <v>0</v>
      </c>
    </row>
    <row r="226" spans="2:2" x14ac:dyDescent="0.25">
      <c r="B226" s="3">
        <f>SUMIFS(Total,Fecha,NetWorth!A226)</f>
        <v>0</v>
      </c>
    </row>
    <row r="227" spans="2:2" x14ac:dyDescent="0.25">
      <c r="B227" s="3">
        <f>SUMIFS(Total,Fecha,NetWorth!A227)</f>
        <v>0</v>
      </c>
    </row>
    <row r="228" spans="2:2" x14ac:dyDescent="0.25">
      <c r="B228" s="3">
        <f>SUMIFS(Total,Fecha,NetWorth!A228)</f>
        <v>0</v>
      </c>
    </row>
    <row r="229" spans="2:2" x14ac:dyDescent="0.25">
      <c r="B229" s="3">
        <f>SUMIFS(Total,Fecha,NetWorth!A229)</f>
        <v>0</v>
      </c>
    </row>
    <row r="230" spans="2:2" x14ac:dyDescent="0.25">
      <c r="B230" s="3">
        <f>SUMIFS(Total,Fecha,NetWorth!A230)</f>
        <v>0</v>
      </c>
    </row>
    <row r="231" spans="2:2" x14ac:dyDescent="0.25">
      <c r="B231" s="3">
        <f>SUMIFS(Total,Fecha,NetWorth!A231)</f>
        <v>0</v>
      </c>
    </row>
    <row r="232" spans="2:2" x14ac:dyDescent="0.25">
      <c r="B232" s="3">
        <f>SUMIFS(Total,Fecha,NetWorth!A232)</f>
        <v>0</v>
      </c>
    </row>
    <row r="233" spans="2:2" x14ac:dyDescent="0.25">
      <c r="B233" s="3">
        <f>SUMIFS(Total,Fecha,NetWorth!A233)</f>
        <v>0</v>
      </c>
    </row>
    <row r="234" spans="2:2" x14ac:dyDescent="0.25">
      <c r="B234" s="3">
        <f>SUMIFS(Total,Fecha,NetWorth!A234)</f>
        <v>0</v>
      </c>
    </row>
    <row r="235" spans="2:2" x14ac:dyDescent="0.25">
      <c r="B235" s="3">
        <f>SUMIFS(Total,Fecha,NetWorth!A235)</f>
        <v>0</v>
      </c>
    </row>
    <row r="236" spans="2:2" x14ac:dyDescent="0.25">
      <c r="B236" s="3">
        <f>SUMIFS(Total,Fecha,NetWorth!A236)</f>
        <v>0</v>
      </c>
    </row>
    <row r="237" spans="2:2" x14ac:dyDescent="0.25">
      <c r="B237" s="3">
        <f>SUMIFS(Total,Fecha,NetWorth!A237)</f>
        <v>0</v>
      </c>
    </row>
    <row r="238" spans="2:2" x14ac:dyDescent="0.25">
      <c r="B238" s="3">
        <f>SUMIFS(Total,Fecha,NetWorth!A238)</f>
        <v>0</v>
      </c>
    </row>
    <row r="239" spans="2:2" x14ac:dyDescent="0.25">
      <c r="B239" s="3">
        <f>SUMIFS(Total,Fecha,NetWorth!A239)</f>
        <v>0</v>
      </c>
    </row>
    <row r="240" spans="2:2" x14ac:dyDescent="0.25">
      <c r="B240" s="3">
        <f>SUMIFS(Total,Fecha,NetWorth!A240)</f>
        <v>0</v>
      </c>
    </row>
    <row r="241" spans="2:2" x14ac:dyDescent="0.25">
      <c r="B241" s="3">
        <f>SUMIFS(Total,Fecha,NetWorth!A241)</f>
        <v>0</v>
      </c>
    </row>
    <row r="242" spans="2:2" x14ac:dyDescent="0.25">
      <c r="B242" s="3">
        <f>SUMIFS(Total,Fecha,NetWorth!A242)</f>
        <v>0</v>
      </c>
    </row>
    <row r="243" spans="2:2" x14ac:dyDescent="0.25">
      <c r="B243" s="3">
        <f>SUMIFS(Total,Fecha,NetWorth!A243)</f>
        <v>0</v>
      </c>
    </row>
    <row r="244" spans="2:2" x14ac:dyDescent="0.25">
      <c r="B244" s="3">
        <f>SUMIFS(Total,Fecha,NetWorth!A244)</f>
        <v>0</v>
      </c>
    </row>
    <row r="245" spans="2:2" x14ac:dyDescent="0.25">
      <c r="B245" s="3">
        <f>SUMIFS(Total,Fecha,NetWorth!A245)</f>
        <v>0</v>
      </c>
    </row>
    <row r="246" spans="2:2" x14ac:dyDescent="0.25">
      <c r="B246" s="3">
        <f>SUMIFS(Total,Fecha,NetWorth!A246)</f>
        <v>0</v>
      </c>
    </row>
    <row r="247" spans="2:2" x14ac:dyDescent="0.25">
      <c r="B247" s="3">
        <f>SUMIFS(Total,Fecha,NetWorth!A247)</f>
        <v>0</v>
      </c>
    </row>
    <row r="248" spans="2:2" x14ac:dyDescent="0.25">
      <c r="B248" s="3">
        <f>SUMIFS(Total,Fecha,NetWorth!A248)</f>
        <v>0</v>
      </c>
    </row>
    <row r="249" spans="2:2" x14ac:dyDescent="0.25">
      <c r="B249" s="3">
        <f>SUMIFS(Total,Fecha,NetWorth!A249)</f>
        <v>0</v>
      </c>
    </row>
    <row r="250" spans="2:2" x14ac:dyDescent="0.25">
      <c r="B250" s="3">
        <f>SUMIFS(Total,Fecha,NetWorth!A250)</f>
        <v>0</v>
      </c>
    </row>
    <row r="251" spans="2:2" x14ac:dyDescent="0.25">
      <c r="B251" s="3">
        <f>SUMIFS(Total,Fecha,NetWorth!A251)</f>
        <v>0</v>
      </c>
    </row>
    <row r="252" spans="2:2" x14ac:dyDescent="0.25">
      <c r="B252" s="3">
        <f>SUMIFS(Total,Fecha,NetWorth!A252)</f>
        <v>0</v>
      </c>
    </row>
    <row r="253" spans="2:2" x14ac:dyDescent="0.25">
      <c r="B253" s="3">
        <f>SUMIFS(Total,Fecha,NetWorth!A253)</f>
        <v>0</v>
      </c>
    </row>
    <row r="254" spans="2:2" x14ac:dyDescent="0.25">
      <c r="B254" s="3">
        <f>SUMIFS(Total,Fecha,NetWorth!A254)</f>
        <v>0</v>
      </c>
    </row>
    <row r="255" spans="2:2" x14ac:dyDescent="0.25">
      <c r="B255" s="3">
        <f>SUMIFS(Total,Fecha,NetWorth!A255)</f>
        <v>0</v>
      </c>
    </row>
    <row r="256" spans="2:2" x14ac:dyDescent="0.25">
      <c r="B256" s="3">
        <f>SUMIFS(Total,Fecha,NetWorth!A256)</f>
        <v>0</v>
      </c>
    </row>
    <row r="257" spans="2:2" x14ac:dyDescent="0.25">
      <c r="B257" s="3">
        <f>SUMIFS(Total,Fecha,NetWorth!A257)</f>
        <v>0</v>
      </c>
    </row>
    <row r="258" spans="2:2" x14ac:dyDescent="0.25">
      <c r="B258" s="3">
        <f>SUMIFS(Total,Fecha,NetWorth!A258)</f>
        <v>0</v>
      </c>
    </row>
    <row r="259" spans="2:2" x14ac:dyDescent="0.25">
      <c r="B259" s="3">
        <f>SUMIFS(Total,Fecha,NetWorth!A259)</f>
        <v>0</v>
      </c>
    </row>
    <row r="260" spans="2:2" x14ac:dyDescent="0.25">
      <c r="B260" s="3">
        <f>SUMIFS(Total,Fecha,NetWorth!A260)</f>
        <v>0</v>
      </c>
    </row>
    <row r="261" spans="2:2" x14ac:dyDescent="0.25">
      <c r="B261" s="3">
        <f>SUMIFS(Total,Fecha,NetWorth!A261)</f>
        <v>0</v>
      </c>
    </row>
    <row r="262" spans="2:2" x14ac:dyDescent="0.25">
      <c r="B262" s="3">
        <f>SUMIFS(Total,Fecha,NetWorth!A262)</f>
        <v>0</v>
      </c>
    </row>
    <row r="263" spans="2:2" x14ac:dyDescent="0.25">
      <c r="B263" s="3">
        <f>SUMIFS(Total,Fecha,NetWorth!A263)</f>
        <v>0</v>
      </c>
    </row>
    <row r="264" spans="2:2" x14ac:dyDescent="0.25">
      <c r="B264" s="3">
        <f>SUMIFS(Total,Fecha,NetWorth!A264)</f>
        <v>0</v>
      </c>
    </row>
    <row r="265" spans="2:2" x14ac:dyDescent="0.25">
      <c r="B265" s="3">
        <f>SUMIFS(Total,Fecha,NetWorth!A265)</f>
        <v>0</v>
      </c>
    </row>
    <row r="266" spans="2:2" x14ac:dyDescent="0.25">
      <c r="B266" s="3">
        <f>SUMIFS(Total,Fecha,NetWorth!A266)</f>
        <v>0</v>
      </c>
    </row>
    <row r="267" spans="2:2" x14ac:dyDescent="0.25">
      <c r="B267" s="3">
        <f>SUMIFS(Total,Fecha,NetWorth!A267)</f>
        <v>0</v>
      </c>
    </row>
    <row r="268" spans="2:2" x14ac:dyDescent="0.25">
      <c r="B268" s="3">
        <f>SUMIFS(Total,Fecha,NetWorth!A268)</f>
        <v>0</v>
      </c>
    </row>
    <row r="269" spans="2:2" x14ac:dyDescent="0.25">
      <c r="B269" s="3">
        <f>SUMIFS(Total,Fecha,NetWorth!A269)</f>
        <v>0</v>
      </c>
    </row>
    <row r="270" spans="2:2" x14ac:dyDescent="0.25">
      <c r="B270" s="3">
        <f>SUMIFS(Total,Fecha,NetWorth!A270)</f>
        <v>0</v>
      </c>
    </row>
    <row r="271" spans="2:2" x14ac:dyDescent="0.25">
      <c r="B271" s="3">
        <f>SUMIFS(Total,Fecha,NetWorth!A271)</f>
        <v>0</v>
      </c>
    </row>
    <row r="272" spans="2:2" x14ac:dyDescent="0.25">
      <c r="B272" s="3">
        <f>SUMIFS(Total,Fecha,NetWorth!A272)</f>
        <v>0</v>
      </c>
    </row>
    <row r="273" spans="2:2" x14ac:dyDescent="0.25">
      <c r="B273" s="3">
        <f>SUMIFS(Total,Fecha,NetWorth!A273)</f>
        <v>0</v>
      </c>
    </row>
    <row r="274" spans="2:2" x14ac:dyDescent="0.25">
      <c r="B274" s="3">
        <f>SUMIFS(Total,Fecha,NetWorth!A274)</f>
        <v>0</v>
      </c>
    </row>
    <row r="275" spans="2:2" x14ac:dyDescent="0.25">
      <c r="B275" s="3">
        <f>SUMIFS(Total,Fecha,NetWorth!A275)</f>
        <v>0</v>
      </c>
    </row>
    <row r="276" spans="2:2" x14ac:dyDescent="0.25">
      <c r="B276" s="3">
        <f>SUMIFS(Total,Fecha,NetWorth!A276)</f>
        <v>0</v>
      </c>
    </row>
    <row r="277" spans="2:2" x14ac:dyDescent="0.25">
      <c r="B277" s="3">
        <f>SUMIFS(Total,Fecha,NetWorth!A277)</f>
        <v>0</v>
      </c>
    </row>
    <row r="278" spans="2:2" x14ac:dyDescent="0.25">
      <c r="B278" s="3">
        <f>SUMIFS(Total,Fecha,NetWorth!A278)</f>
        <v>0</v>
      </c>
    </row>
    <row r="279" spans="2:2" x14ac:dyDescent="0.25">
      <c r="B279" s="3">
        <f>SUMIFS(Total,Fecha,NetWorth!A279)</f>
        <v>0</v>
      </c>
    </row>
    <row r="280" spans="2:2" x14ac:dyDescent="0.25">
      <c r="B280" s="3">
        <f>SUMIFS(Total,Fecha,NetWorth!A280)</f>
        <v>0</v>
      </c>
    </row>
    <row r="281" spans="2:2" x14ac:dyDescent="0.25">
      <c r="B281" s="3">
        <f>SUMIFS(Total,Fecha,NetWorth!A281)</f>
        <v>0</v>
      </c>
    </row>
    <row r="282" spans="2:2" x14ac:dyDescent="0.25">
      <c r="B282" s="3">
        <f>SUMIFS(Total,Fecha,NetWorth!A282)</f>
        <v>0</v>
      </c>
    </row>
    <row r="283" spans="2:2" x14ac:dyDescent="0.25">
      <c r="B283" s="3">
        <f>SUMIFS(Total,Fecha,NetWorth!A283)</f>
        <v>0</v>
      </c>
    </row>
    <row r="284" spans="2:2" x14ac:dyDescent="0.25">
      <c r="B284" s="3">
        <f>SUMIFS(Total,Fecha,NetWorth!A284)</f>
        <v>0</v>
      </c>
    </row>
    <row r="285" spans="2:2" x14ac:dyDescent="0.25">
      <c r="B285" s="3">
        <f>SUMIFS(Total,Fecha,NetWorth!A285)</f>
        <v>0</v>
      </c>
    </row>
    <row r="286" spans="2:2" x14ac:dyDescent="0.25">
      <c r="B286" s="3">
        <f>SUMIFS(Total,Fecha,NetWorth!A286)</f>
        <v>0</v>
      </c>
    </row>
    <row r="287" spans="2:2" x14ac:dyDescent="0.25">
      <c r="B287" s="3">
        <f>SUMIFS(Total,Fecha,NetWorth!A287)</f>
        <v>0</v>
      </c>
    </row>
    <row r="288" spans="2:2" x14ac:dyDescent="0.25">
      <c r="B288" s="3">
        <f>SUMIFS(Total,Fecha,NetWorth!A288)</f>
        <v>0</v>
      </c>
    </row>
    <row r="289" spans="2:2" x14ac:dyDescent="0.25">
      <c r="B289" s="3">
        <f>SUMIFS(Total,Fecha,NetWorth!A289)</f>
        <v>0</v>
      </c>
    </row>
    <row r="290" spans="2:2" x14ac:dyDescent="0.25">
      <c r="B290" s="3">
        <f>SUMIFS(Total,Fecha,NetWorth!A290)</f>
        <v>0</v>
      </c>
    </row>
    <row r="291" spans="2:2" x14ac:dyDescent="0.25">
      <c r="B291" s="3">
        <f>SUMIFS(Total,Fecha,NetWorth!A291)</f>
        <v>0</v>
      </c>
    </row>
    <row r="292" spans="2:2" x14ac:dyDescent="0.25">
      <c r="B292" s="3">
        <f>SUMIFS(Total,Fecha,NetWorth!A292)</f>
        <v>0</v>
      </c>
    </row>
    <row r="293" spans="2:2" x14ac:dyDescent="0.25">
      <c r="B293" s="3">
        <f>SUMIFS(Total,Fecha,NetWorth!A293)</f>
        <v>0</v>
      </c>
    </row>
    <row r="294" spans="2:2" x14ac:dyDescent="0.25">
      <c r="B294" s="3">
        <f>SUMIFS(Total,Fecha,NetWorth!A294)</f>
        <v>0</v>
      </c>
    </row>
    <row r="295" spans="2:2" x14ac:dyDescent="0.25">
      <c r="B295" s="3">
        <f>SUMIFS(Total,Fecha,NetWorth!A295)</f>
        <v>0</v>
      </c>
    </row>
    <row r="296" spans="2:2" x14ac:dyDescent="0.25">
      <c r="B296" s="3">
        <f>SUMIFS(Total,Fecha,NetWorth!A296)</f>
        <v>0</v>
      </c>
    </row>
    <row r="297" spans="2:2" x14ac:dyDescent="0.25">
      <c r="B297" s="3">
        <f>SUMIFS(Total,Fecha,NetWorth!A297)</f>
        <v>0</v>
      </c>
    </row>
    <row r="298" spans="2:2" x14ac:dyDescent="0.25">
      <c r="B298" s="3">
        <f>SUMIFS(Total,Fecha,NetWorth!A298)</f>
        <v>0</v>
      </c>
    </row>
    <row r="299" spans="2:2" x14ac:dyDescent="0.25">
      <c r="B299" s="3">
        <f>SUMIFS(Total,Fecha,NetWorth!A299)</f>
        <v>0</v>
      </c>
    </row>
    <row r="300" spans="2:2" x14ac:dyDescent="0.25">
      <c r="B300" s="3">
        <f>SUMIFS(Total,Fecha,NetWorth!A300)</f>
        <v>0</v>
      </c>
    </row>
    <row r="301" spans="2:2" x14ac:dyDescent="0.25">
      <c r="B301" s="3">
        <f>SUMIFS(Total,Fecha,NetWorth!A301)</f>
        <v>0</v>
      </c>
    </row>
    <row r="302" spans="2:2" x14ac:dyDescent="0.25">
      <c r="B302" s="3">
        <f>SUMIFS(Total,Fecha,NetWorth!A302)</f>
        <v>0</v>
      </c>
    </row>
    <row r="303" spans="2:2" x14ac:dyDescent="0.25">
      <c r="B303" s="3">
        <f>SUMIFS(Total,Fecha,NetWorth!A303)</f>
        <v>0</v>
      </c>
    </row>
    <row r="304" spans="2:2" x14ac:dyDescent="0.25">
      <c r="B304" s="3">
        <f>SUMIFS(Total,Fecha,NetWorth!A304)</f>
        <v>0</v>
      </c>
    </row>
    <row r="305" spans="2:2" x14ac:dyDescent="0.25">
      <c r="B305" s="3">
        <f>SUMIFS(Total,Fecha,NetWorth!A305)</f>
        <v>0</v>
      </c>
    </row>
    <row r="306" spans="2:2" x14ac:dyDescent="0.25">
      <c r="B306" s="3">
        <f>SUMIFS(Total,Fecha,NetWorth!A306)</f>
        <v>0</v>
      </c>
    </row>
    <row r="307" spans="2:2" x14ac:dyDescent="0.25">
      <c r="B307" s="3">
        <f>SUMIFS(Total,Fecha,NetWorth!A307)</f>
        <v>0</v>
      </c>
    </row>
    <row r="308" spans="2:2" x14ac:dyDescent="0.25">
      <c r="B308" s="3">
        <f>SUMIFS(Total,Fecha,NetWorth!A308)</f>
        <v>0</v>
      </c>
    </row>
    <row r="309" spans="2:2" x14ac:dyDescent="0.25">
      <c r="B309" s="3">
        <f>SUMIFS(Total,Fecha,NetWorth!A309)</f>
        <v>0</v>
      </c>
    </row>
    <row r="310" spans="2:2" x14ac:dyDescent="0.25">
      <c r="B310" s="3">
        <f>SUMIFS(Total,Fecha,NetWorth!A310)</f>
        <v>0</v>
      </c>
    </row>
    <row r="311" spans="2:2" x14ac:dyDescent="0.25">
      <c r="B311" s="3">
        <f>SUMIFS(Total,Fecha,NetWorth!A311)</f>
        <v>0</v>
      </c>
    </row>
    <row r="312" spans="2:2" x14ac:dyDescent="0.25">
      <c r="B312" s="3">
        <f>SUMIFS(Total,Fecha,NetWorth!A312)</f>
        <v>0</v>
      </c>
    </row>
    <row r="313" spans="2:2" x14ac:dyDescent="0.25">
      <c r="B313" s="3">
        <f>SUMIFS(Total,Fecha,NetWorth!A313)</f>
        <v>0</v>
      </c>
    </row>
    <row r="314" spans="2:2" x14ac:dyDescent="0.25">
      <c r="B314" s="3">
        <f>SUMIFS(Total,Fecha,NetWorth!A314)</f>
        <v>0</v>
      </c>
    </row>
    <row r="315" spans="2:2" x14ac:dyDescent="0.25">
      <c r="B315" s="3">
        <f>SUMIFS(Total,Fecha,NetWorth!A315)</f>
        <v>0</v>
      </c>
    </row>
    <row r="316" spans="2:2" x14ac:dyDescent="0.25">
      <c r="B316" s="3">
        <f>SUMIFS(Total,Fecha,NetWorth!A316)</f>
        <v>0</v>
      </c>
    </row>
    <row r="317" spans="2:2" x14ac:dyDescent="0.25">
      <c r="B317" s="3">
        <f>SUMIFS(Total,Fecha,NetWorth!A317)</f>
        <v>0</v>
      </c>
    </row>
    <row r="318" spans="2:2" x14ac:dyDescent="0.25">
      <c r="B318" s="3">
        <f>SUMIFS(Total,Fecha,NetWorth!A318)</f>
        <v>0</v>
      </c>
    </row>
    <row r="319" spans="2:2" x14ac:dyDescent="0.25">
      <c r="B319" s="3">
        <f>SUMIFS(Total,Fecha,NetWorth!A319)</f>
        <v>0</v>
      </c>
    </row>
    <row r="320" spans="2:2" x14ac:dyDescent="0.25">
      <c r="B320" s="3">
        <f>SUMIFS(Total,Fecha,NetWorth!A320)</f>
        <v>0</v>
      </c>
    </row>
    <row r="321" spans="2:2" x14ac:dyDescent="0.25">
      <c r="B321" s="3">
        <f>SUMIFS(Total,Fecha,NetWorth!A321)</f>
        <v>0</v>
      </c>
    </row>
    <row r="322" spans="2:2" x14ac:dyDescent="0.25">
      <c r="B322" s="3">
        <f>SUMIFS(Total,Fecha,NetWorth!A322)</f>
        <v>0</v>
      </c>
    </row>
    <row r="323" spans="2:2" x14ac:dyDescent="0.25">
      <c r="B323" s="3">
        <f>SUMIFS(Total,Fecha,NetWorth!A323)</f>
        <v>0</v>
      </c>
    </row>
    <row r="324" spans="2:2" x14ac:dyDescent="0.25">
      <c r="B324" s="3">
        <f>SUMIFS(Total,Fecha,NetWorth!A324)</f>
        <v>0</v>
      </c>
    </row>
    <row r="325" spans="2:2" x14ac:dyDescent="0.25">
      <c r="B325" s="3">
        <f>SUMIFS(Total,Fecha,NetWorth!A325)</f>
        <v>0</v>
      </c>
    </row>
    <row r="326" spans="2:2" x14ac:dyDescent="0.25">
      <c r="B326" s="3">
        <f>SUMIFS(Total,Fecha,NetWorth!A326)</f>
        <v>0</v>
      </c>
    </row>
    <row r="327" spans="2:2" x14ac:dyDescent="0.25">
      <c r="B327" s="3">
        <f>SUMIFS(Total,Fecha,NetWorth!A327)</f>
        <v>0</v>
      </c>
    </row>
    <row r="328" spans="2:2" x14ac:dyDescent="0.25">
      <c r="B328" s="3">
        <f>SUMIFS(Total,Fecha,NetWorth!A328)</f>
        <v>0</v>
      </c>
    </row>
    <row r="329" spans="2:2" x14ac:dyDescent="0.25">
      <c r="B329" s="3">
        <f>SUMIFS(Total,Fecha,NetWorth!A329)</f>
        <v>0</v>
      </c>
    </row>
    <row r="330" spans="2:2" x14ac:dyDescent="0.25">
      <c r="B330" s="3">
        <f>SUMIFS(Total,Fecha,NetWorth!A330)</f>
        <v>0</v>
      </c>
    </row>
    <row r="331" spans="2:2" x14ac:dyDescent="0.25">
      <c r="B331" s="3">
        <f>SUMIFS(Total,Fecha,NetWorth!A331)</f>
        <v>0</v>
      </c>
    </row>
    <row r="332" spans="2:2" x14ac:dyDescent="0.25">
      <c r="B332" s="3">
        <f>SUMIFS(Total,Fecha,NetWorth!A332)</f>
        <v>0</v>
      </c>
    </row>
    <row r="333" spans="2:2" x14ac:dyDescent="0.25">
      <c r="B333" s="3">
        <f>SUMIFS(Total,Fecha,NetWorth!A333)</f>
        <v>0</v>
      </c>
    </row>
    <row r="334" spans="2:2" x14ac:dyDescent="0.25">
      <c r="B334" s="3">
        <f>SUMIFS(Total,Fecha,NetWorth!A334)</f>
        <v>0</v>
      </c>
    </row>
    <row r="335" spans="2:2" x14ac:dyDescent="0.25">
      <c r="B335" s="3">
        <f>SUMIFS(Total,Fecha,NetWorth!A335)</f>
        <v>0</v>
      </c>
    </row>
    <row r="336" spans="2:2" x14ac:dyDescent="0.25">
      <c r="B336" s="3">
        <f>SUMIFS(Total,Fecha,NetWorth!A336)</f>
        <v>0</v>
      </c>
    </row>
    <row r="337" spans="2:2" x14ac:dyDescent="0.25">
      <c r="B337" s="3">
        <f>SUMIFS(Total,Fecha,NetWorth!A337)</f>
        <v>0</v>
      </c>
    </row>
    <row r="338" spans="2:2" x14ac:dyDescent="0.25">
      <c r="B338" s="3">
        <f>SUMIFS(Total,Fecha,NetWorth!A338)</f>
        <v>0</v>
      </c>
    </row>
    <row r="339" spans="2:2" x14ac:dyDescent="0.25">
      <c r="B339" s="3">
        <f>SUMIFS(Total,Fecha,NetWorth!A339)</f>
        <v>0</v>
      </c>
    </row>
    <row r="340" spans="2:2" x14ac:dyDescent="0.25">
      <c r="B340" s="3">
        <f>SUMIFS(Total,Fecha,NetWorth!A340)</f>
        <v>0</v>
      </c>
    </row>
    <row r="341" spans="2:2" x14ac:dyDescent="0.25">
      <c r="B341" s="3">
        <f>SUMIFS(Total,Fecha,NetWorth!A341)</f>
        <v>0</v>
      </c>
    </row>
    <row r="342" spans="2:2" x14ac:dyDescent="0.25">
      <c r="B342" s="3">
        <f>SUMIFS(Total,Fecha,NetWorth!A342)</f>
        <v>0</v>
      </c>
    </row>
    <row r="343" spans="2:2" x14ac:dyDescent="0.25">
      <c r="B343" s="3">
        <f>SUMIFS(Total,Fecha,NetWorth!A343)</f>
        <v>0</v>
      </c>
    </row>
    <row r="344" spans="2:2" x14ac:dyDescent="0.25">
      <c r="B344" s="3">
        <f>SUMIFS(Total,Fecha,NetWorth!A344)</f>
        <v>0</v>
      </c>
    </row>
    <row r="345" spans="2:2" x14ac:dyDescent="0.25">
      <c r="B345" s="3">
        <f>SUMIFS(Total,Fecha,NetWorth!A345)</f>
        <v>0</v>
      </c>
    </row>
    <row r="346" spans="2:2" x14ac:dyDescent="0.25">
      <c r="B346" s="3">
        <f>SUMIFS(Total,Fecha,NetWorth!A346)</f>
        <v>0</v>
      </c>
    </row>
    <row r="347" spans="2:2" x14ac:dyDescent="0.25">
      <c r="B347" s="3">
        <f>SUMIFS(Total,Fecha,NetWorth!A347)</f>
        <v>0</v>
      </c>
    </row>
    <row r="348" spans="2:2" x14ac:dyDescent="0.25">
      <c r="B348" s="3">
        <f>SUMIFS(Total,Fecha,NetWorth!A348)</f>
        <v>0</v>
      </c>
    </row>
    <row r="349" spans="2:2" x14ac:dyDescent="0.25">
      <c r="B349" s="3">
        <f>SUMIFS(Total,Fecha,NetWorth!A349)</f>
        <v>0</v>
      </c>
    </row>
    <row r="350" spans="2:2" x14ac:dyDescent="0.25">
      <c r="B350" s="3">
        <f>SUMIFS(Total,Fecha,NetWorth!A350)</f>
        <v>0</v>
      </c>
    </row>
    <row r="351" spans="2:2" x14ac:dyDescent="0.25">
      <c r="B351" s="3">
        <f>SUMIFS(Total,Fecha,NetWorth!A351)</f>
        <v>0</v>
      </c>
    </row>
    <row r="352" spans="2:2" x14ac:dyDescent="0.25">
      <c r="B352" s="3">
        <f>SUMIFS(Total,Fecha,NetWorth!A352)</f>
        <v>0</v>
      </c>
    </row>
    <row r="353" spans="2:2" x14ac:dyDescent="0.25">
      <c r="B353" s="3">
        <f>SUMIFS(Total,Fecha,NetWorth!A353)</f>
        <v>0</v>
      </c>
    </row>
    <row r="354" spans="2:2" x14ac:dyDescent="0.25">
      <c r="B354" s="3">
        <f>SUMIFS(Total,Fecha,NetWorth!A354)</f>
        <v>0</v>
      </c>
    </row>
    <row r="355" spans="2:2" x14ac:dyDescent="0.25">
      <c r="B355" s="3">
        <f>SUMIFS(Total,Fecha,NetWorth!A355)</f>
        <v>0</v>
      </c>
    </row>
    <row r="356" spans="2:2" x14ac:dyDescent="0.25">
      <c r="B356" s="3">
        <f>SUMIFS(Total,Fecha,NetWorth!A356)</f>
        <v>0</v>
      </c>
    </row>
    <row r="357" spans="2:2" x14ac:dyDescent="0.25">
      <c r="B357" s="3">
        <f>SUMIFS(Total,Fecha,NetWorth!A357)</f>
        <v>0</v>
      </c>
    </row>
    <row r="358" spans="2:2" x14ac:dyDescent="0.25">
      <c r="B358" s="3">
        <f>SUMIFS(Total,Fecha,NetWorth!A358)</f>
        <v>0</v>
      </c>
    </row>
    <row r="359" spans="2:2" x14ac:dyDescent="0.25">
      <c r="B359" s="3">
        <f>SUMIFS(Total,Fecha,NetWorth!A359)</f>
        <v>0</v>
      </c>
    </row>
    <row r="360" spans="2:2" x14ac:dyDescent="0.25">
      <c r="B360" s="3">
        <f>SUMIFS(Total,Fecha,NetWorth!A360)</f>
        <v>0</v>
      </c>
    </row>
    <row r="361" spans="2:2" x14ac:dyDescent="0.25">
      <c r="B361" s="3">
        <f>SUMIFS(Total,Fecha,NetWorth!A361)</f>
        <v>0</v>
      </c>
    </row>
    <row r="362" spans="2:2" x14ac:dyDescent="0.25">
      <c r="B362" s="3">
        <f>SUMIFS(Total,Fecha,NetWorth!A362)</f>
        <v>0</v>
      </c>
    </row>
    <row r="363" spans="2:2" x14ac:dyDescent="0.25">
      <c r="B363" s="3">
        <f>SUMIFS(Total,Fecha,NetWorth!A363)</f>
        <v>0</v>
      </c>
    </row>
    <row r="364" spans="2:2" x14ac:dyDescent="0.25">
      <c r="B364" s="3">
        <f>SUMIFS(Total,Fecha,NetWorth!A364)</f>
        <v>0</v>
      </c>
    </row>
    <row r="365" spans="2:2" x14ac:dyDescent="0.25">
      <c r="B365" s="3">
        <f>SUMIFS(Total,Fecha,NetWorth!A365)</f>
        <v>0</v>
      </c>
    </row>
    <row r="366" spans="2:2" x14ac:dyDescent="0.25">
      <c r="B366" s="3">
        <f>SUMIFS(Total,Fecha,NetWorth!A366)</f>
        <v>0</v>
      </c>
    </row>
    <row r="367" spans="2:2" x14ac:dyDescent="0.25">
      <c r="B367" s="3">
        <f>SUMIFS(Total,Fecha,NetWorth!A367)</f>
        <v>0</v>
      </c>
    </row>
    <row r="368" spans="2:2" x14ac:dyDescent="0.25">
      <c r="B368" s="3">
        <f>SUMIFS(Total,Fecha,NetWorth!A368)</f>
        <v>0</v>
      </c>
    </row>
    <row r="369" spans="2:2" x14ac:dyDescent="0.25">
      <c r="B369" s="3">
        <f>SUMIFS(Total,Fecha,NetWorth!A369)</f>
        <v>0</v>
      </c>
    </row>
    <row r="370" spans="2:2" x14ac:dyDescent="0.25">
      <c r="B370" s="3">
        <f>SUMIFS(Total,Fecha,NetWorth!A370)</f>
        <v>0</v>
      </c>
    </row>
    <row r="371" spans="2:2" x14ac:dyDescent="0.25">
      <c r="B371" s="3">
        <f>SUMIFS(Total,Fecha,NetWorth!A371)</f>
        <v>0</v>
      </c>
    </row>
    <row r="372" spans="2:2" x14ac:dyDescent="0.25">
      <c r="B372" s="3">
        <f>SUMIFS(Total,Fecha,NetWorth!A372)</f>
        <v>0</v>
      </c>
    </row>
    <row r="373" spans="2:2" x14ac:dyDescent="0.25">
      <c r="B373" s="3">
        <f>SUMIFS(Total,Fecha,NetWorth!A373)</f>
        <v>0</v>
      </c>
    </row>
    <row r="374" spans="2:2" x14ac:dyDescent="0.25">
      <c r="B374" s="3">
        <f>SUMIFS(Total,Fecha,NetWorth!A374)</f>
        <v>0</v>
      </c>
    </row>
    <row r="375" spans="2:2" x14ac:dyDescent="0.25">
      <c r="B375" s="3">
        <f>SUMIFS(Total,Fecha,NetWorth!A375)</f>
        <v>0</v>
      </c>
    </row>
    <row r="376" spans="2:2" x14ac:dyDescent="0.25">
      <c r="B376" s="3">
        <f>SUMIFS(Total,Fecha,NetWorth!A376)</f>
        <v>0</v>
      </c>
    </row>
    <row r="377" spans="2:2" x14ac:dyDescent="0.25">
      <c r="B377" s="3">
        <f>SUMIFS(Total,Fecha,NetWorth!A377)</f>
        <v>0</v>
      </c>
    </row>
    <row r="378" spans="2:2" x14ac:dyDescent="0.25">
      <c r="B378" s="3">
        <f>SUMIFS(Total,Fecha,NetWorth!A378)</f>
        <v>0</v>
      </c>
    </row>
    <row r="379" spans="2:2" x14ac:dyDescent="0.25">
      <c r="B379" s="3">
        <f>SUMIFS(Total,Fecha,NetWorth!A379)</f>
        <v>0</v>
      </c>
    </row>
    <row r="380" spans="2:2" x14ac:dyDescent="0.25">
      <c r="B380" s="3">
        <f>SUMIFS(Total,Fecha,NetWorth!A380)</f>
        <v>0</v>
      </c>
    </row>
    <row r="381" spans="2:2" x14ac:dyDescent="0.25">
      <c r="B381" s="3">
        <f>SUMIFS(Total,Fecha,NetWorth!A381)</f>
        <v>0</v>
      </c>
    </row>
    <row r="382" spans="2:2" x14ac:dyDescent="0.25">
      <c r="B382" s="3">
        <f>SUMIFS(Total,Fecha,NetWorth!A382)</f>
        <v>0</v>
      </c>
    </row>
    <row r="383" spans="2:2" x14ac:dyDescent="0.25">
      <c r="B383" s="3">
        <f>SUMIFS(Total,Fecha,NetWorth!A383)</f>
        <v>0</v>
      </c>
    </row>
    <row r="384" spans="2:2" x14ac:dyDescent="0.25">
      <c r="B384" s="3">
        <f>SUMIFS(Total,Fecha,NetWorth!A384)</f>
        <v>0</v>
      </c>
    </row>
    <row r="385" spans="2:2" x14ac:dyDescent="0.25">
      <c r="B385" s="3">
        <f>SUMIFS(Total,Fecha,NetWorth!A385)</f>
        <v>0</v>
      </c>
    </row>
    <row r="386" spans="2:2" x14ac:dyDescent="0.25">
      <c r="B386" s="3">
        <f>SUMIFS(Total,Fecha,NetWorth!A386)</f>
        <v>0</v>
      </c>
    </row>
    <row r="387" spans="2:2" x14ac:dyDescent="0.25">
      <c r="B387" s="3">
        <f>SUMIFS(Total,Fecha,NetWorth!A387)</f>
        <v>0</v>
      </c>
    </row>
    <row r="388" spans="2:2" x14ac:dyDescent="0.25">
      <c r="B388" s="3">
        <f>SUMIFS(Total,Fecha,NetWorth!A388)</f>
        <v>0</v>
      </c>
    </row>
    <row r="389" spans="2:2" x14ac:dyDescent="0.25">
      <c r="B389" s="3">
        <f>SUMIFS(Total,Fecha,NetWorth!A389)</f>
        <v>0</v>
      </c>
    </row>
    <row r="390" spans="2:2" x14ac:dyDescent="0.25">
      <c r="B390" s="3">
        <f>SUMIFS(Total,Fecha,NetWorth!A390)</f>
        <v>0</v>
      </c>
    </row>
    <row r="391" spans="2:2" x14ac:dyDescent="0.25">
      <c r="B391" s="3">
        <f>SUMIFS(Total,Fecha,NetWorth!A391)</f>
        <v>0</v>
      </c>
    </row>
    <row r="392" spans="2:2" x14ac:dyDescent="0.25">
      <c r="B392" s="3">
        <f>SUMIFS(Total,Fecha,NetWorth!A392)</f>
        <v>0</v>
      </c>
    </row>
    <row r="393" spans="2:2" x14ac:dyDescent="0.25">
      <c r="B393" s="3">
        <f>SUMIFS(Total,Fecha,NetWorth!A393)</f>
        <v>0</v>
      </c>
    </row>
    <row r="394" spans="2:2" x14ac:dyDescent="0.25">
      <c r="B394" s="3">
        <f>SUMIFS(Total,Fecha,NetWorth!A394)</f>
        <v>0</v>
      </c>
    </row>
    <row r="395" spans="2:2" x14ac:dyDescent="0.25">
      <c r="B395" s="3">
        <f>SUMIFS(Total,Fecha,NetWorth!A395)</f>
        <v>0</v>
      </c>
    </row>
    <row r="396" spans="2:2" x14ac:dyDescent="0.25">
      <c r="B396" s="3">
        <f>SUMIFS(Total,Fecha,NetWorth!A396)</f>
        <v>0</v>
      </c>
    </row>
    <row r="397" spans="2:2" x14ac:dyDescent="0.25">
      <c r="B397" s="3">
        <f>SUMIFS(Total,Fecha,NetWorth!A397)</f>
        <v>0</v>
      </c>
    </row>
    <row r="398" spans="2:2" x14ac:dyDescent="0.25">
      <c r="B398" s="3">
        <f>SUMIFS(Total,Fecha,NetWorth!A398)</f>
        <v>0</v>
      </c>
    </row>
    <row r="399" spans="2:2" x14ac:dyDescent="0.25">
      <c r="B399" s="3">
        <f>SUMIFS(Total,Fecha,NetWorth!A399)</f>
        <v>0</v>
      </c>
    </row>
    <row r="400" spans="2:2" x14ac:dyDescent="0.25">
      <c r="B400" s="3">
        <f>SUMIFS(Total,Fecha,NetWorth!A400)</f>
        <v>0</v>
      </c>
    </row>
    <row r="401" spans="2:2" x14ac:dyDescent="0.25">
      <c r="B401" s="3">
        <f>SUMIFS(Total,Fecha,NetWorth!A401)</f>
        <v>0</v>
      </c>
    </row>
    <row r="402" spans="2:2" x14ac:dyDescent="0.25">
      <c r="B402" s="3">
        <f>SUMIFS(Total,Fecha,NetWorth!A402)</f>
        <v>0</v>
      </c>
    </row>
    <row r="403" spans="2:2" x14ac:dyDescent="0.25">
      <c r="B403" s="3">
        <f>SUMIFS(Total,Fecha,NetWorth!A403)</f>
        <v>0</v>
      </c>
    </row>
    <row r="404" spans="2:2" x14ac:dyDescent="0.25">
      <c r="B404" s="3">
        <f>SUMIFS(Total,Fecha,NetWorth!A404)</f>
        <v>0</v>
      </c>
    </row>
    <row r="405" spans="2:2" x14ac:dyDescent="0.25">
      <c r="B405" s="3">
        <f>SUMIFS(Total,Fecha,NetWorth!A405)</f>
        <v>0</v>
      </c>
    </row>
    <row r="406" spans="2:2" x14ac:dyDescent="0.25">
      <c r="B406" s="3">
        <f>SUMIFS(Total,Fecha,NetWorth!A406)</f>
        <v>0</v>
      </c>
    </row>
    <row r="407" spans="2:2" x14ac:dyDescent="0.25">
      <c r="B407" s="3">
        <f>SUMIFS(Total,Fecha,NetWorth!A407)</f>
        <v>0</v>
      </c>
    </row>
    <row r="408" spans="2:2" x14ac:dyDescent="0.25">
      <c r="B408" s="3">
        <f>SUMIFS(Total,Fecha,NetWorth!A408)</f>
        <v>0</v>
      </c>
    </row>
    <row r="409" spans="2:2" x14ac:dyDescent="0.25">
      <c r="B409" s="3">
        <f>SUMIFS(Total,Fecha,NetWorth!A409)</f>
        <v>0</v>
      </c>
    </row>
    <row r="410" spans="2:2" x14ac:dyDescent="0.25">
      <c r="B410" s="3">
        <f>SUMIFS(Total,Fecha,NetWorth!A410)</f>
        <v>0</v>
      </c>
    </row>
    <row r="411" spans="2:2" x14ac:dyDescent="0.25">
      <c r="B411" s="3">
        <f>SUMIFS(Total,Fecha,NetWorth!A411)</f>
        <v>0</v>
      </c>
    </row>
    <row r="412" spans="2:2" x14ac:dyDescent="0.25">
      <c r="B412" s="3">
        <f>SUMIFS(Total,Fecha,NetWorth!A412)</f>
        <v>0</v>
      </c>
    </row>
    <row r="413" spans="2:2" x14ac:dyDescent="0.25">
      <c r="B413" s="3">
        <f>SUMIFS(Total,Fecha,NetWorth!A413)</f>
        <v>0</v>
      </c>
    </row>
    <row r="414" spans="2:2" x14ac:dyDescent="0.25">
      <c r="B414" s="3">
        <f>SUMIFS(Total,Fecha,NetWorth!A414)</f>
        <v>0</v>
      </c>
    </row>
    <row r="415" spans="2:2" x14ac:dyDescent="0.25">
      <c r="B415" s="3">
        <f>SUMIFS(Total,Fecha,NetWorth!A415)</f>
        <v>0</v>
      </c>
    </row>
    <row r="416" spans="2:2" x14ac:dyDescent="0.25">
      <c r="B416" s="3">
        <f>SUMIFS(Total,Fecha,NetWorth!A416)</f>
        <v>0</v>
      </c>
    </row>
    <row r="417" spans="2:2" x14ac:dyDescent="0.25">
      <c r="B417" s="3">
        <f>SUMIFS(Total,Fecha,NetWorth!A417)</f>
        <v>0</v>
      </c>
    </row>
    <row r="418" spans="2:2" x14ac:dyDescent="0.25">
      <c r="B418" s="3">
        <f>SUMIFS(Total,Fecha,NetWorth!A418)</f>
        <v>0</v>
      </c>
    </row>
    <row r="419" spans="2:2" x14ac:dyDescent="0.25">
      <c r="B419" s="3">
        <f>SUMIFS(Total,Fecha,NetWorth!A419)</f>
        <v>0</v>
      </c>
    </row>
    <row r="420" spans="2:2" x14ac:dyDescent="0.25">
      <c r="B420" s="3">
        <f>SUMIFS(Total,Fecha,NetWorth!A420)</f>
        <v>0</v>
      </c>
    </row>
    <row r="421" spans="2:2" x14ac:dyDescent="0.25">
      <c r="B421" s="3">
        <f>SUMIFS(Total,Fecha,NetWorth!A421)</f>
        <v>0</v>
      </c>
    </row>
    <row r="422" spans="2:2" x14ac:dyDescent="0.25">
      <c r="B422" s="3">
        <f>SUMIFS(Total,Fecha,NetWorth!A422)</f>
        <v>0</v>
      </c>
    </row>
    <row r="423" spans="2:2" x14ac:dyDescent="0.25">
      <c r="B423" s="3">
        <f>SUMIFS(Total,Fecha,NetWorth!A423)</f>
        <v>0</v>
      </c>
    </row>
    <row r="424" spans="2:2" x14ac:dyDescent="0.25">
      <c r="B424" s="3">
        <f>SUMIFS(Total,Fecha,NetWorth!A424)</f>
        <v>0</v>
      </c>
    </row>
    <row r="425" spans="2:2" x14ac:dyDescent="0.25">
      <c r="B425" s="3">
        <f>SUMIFS(Total,Fecha,NetWorth!A425)</f>
        <v>0</v>
      </c>
    </row>
    <row r="426" spans="2:2" x14ac:dyDescent="0.25">
      <c r="B426" s="3">
        <f>SUMIFS(Total,Fecha,NetWorth!A426)</f>
        <v>0</v>
      </c>
    </row>
    <row r="427" spans="2:2" x14ac:dyDescent="0.25">
      <c r="B427" s="3">
        <f>SUMIFS(Total,Fecha,NetWorth!A427)</f>
        <v>0</v>
      </c>
    </row>
    <row r="428" spans="2:2" x14ac:dyDescent="0.25">
      <c r="B428" s="3">
        <f>SUMIFS(Total,Fecha,NetWorth!A428)</f>
        <v>0</v>
      </c>
    </row>
    <row r="429" spans="2:2" x14ac:dyDescent="0.25">
      <c r="B429" s="3">
        <f>SUMIFS(Total,Fecha,NetWorth!A429)</f>
        <v>0</v>
      </c>
    </row>
    <row r="430" spans="2:2" x14ac:dyDescent="0.25">
      <c r="B430" s="3">
        <f>SUMIFS(Total,Fecha,NetWorth!A430)</f>
        <v>0</v>
      </c>
    </row>
    <row r="431" spans="2:2" x14ac:dyDescent="0.25">
      <c r="B431" s="3">
        <f>SUMIFS(Total,Fecha,NetWorth!A431)</f>
        <v>0</v>
      </c>
    </row>
    <row r="432" spans="2:2" x14ac:dyDescent="0.25">
      <c r="B432" s="3">
        <f>SUMIFS(Total,Fecha,NetWorth!A432)</f>
        <v>0</v>
      </c>
    </row>
    <row r="433" spans="2:2" x14ac:dyDescent="0.25">
      <c r="B433" s="3">
        <f>SUMIFS(Total,Fecha,NetWorth!A433)</f>
        <v>0</v>
      </c>
    </row>
    <row r="434" spans="2:2" x14ac:dyDescent="0.25">
      <c r="B434" s="3">
        <f>SUMIFS(Total,Fecha,NetWorth!A434)</f>
        <v>0</v>
      </c>
    </row>
    <row r="435" spans="2:2" x14ac:dyDescent="0.25">
      <c r="B435" s="3">
        <f>SUMIFS(Total,Fecha,NetWorth!A435)</f>
        <v>0</v>
      </c>
    </row>
    <row r="436" spans="2:2" x14ac:dyDescent="0.25">
      <c r="B436" s="3">
        <f>SUMIFS(Total,Fecha,NetWorth!A436)</f>
        <v>0</v>
      </c>
    </row>
    <row r="437" spans="2:2" x14ac:dyDescent="0.25">
      <c r="B437" s="3">
        <f>SUMIFS(Total,Fecha,NetWorth!A437)</f>
        <v>0</v>
      </c>
    </row>
    <row r="438" spans="2:2" x14ac:dyDescent="0.25">
      <c r="B438" s="3">
        <f>SUMIFS(Total,Fecha,NetWorth!A438)</f>
        <v>0</v>
      </c>
    </row>
    <row r="439" spans="2:2" x14ac:dyDescent="0.25">
      <c r="B439" s="3">
        <f>SUMIFS(Total,Fecha,NetWorth!A439)</f>
        <v>0</v>
      </c>
    </row>
    <row r="440" spans="2:2" x14ac:dyDescent="0.25">
      <c r="B440" s="3">
        <f>SUMIFS(Total,Fecha,NetWorth!A440)</f>
        <v>0</v>
      </c>
    </row>
    <row r="441" spans="2:2" x14ac:dyDescent="0.25">
      <c r="B441" s="3">
        <f>SUMIFS(Total,Fecha,NetWorth!A441)</f>
        <v>0</v>
      </c>
    </row>
    <row r="442" spans="2:2" x14ac:dyDescent="0.25">
      <c r="B442" s="3">
        <f>SUMIFS(Total,Fecha,NetWorth!A442)</f>
        <v>0</v>
      </c>
    </row>
    <row r="443" spans="2:2" x14ac:dyDescent="0.25">
      <c r="B443" s="3">
        <f>SUMIFS(Total,Fecha,NetWorth!A443)</f>
        <v>0</v>
      </c>
    </row>
    <row r="444" spans="2:2" x14ac:dyDescent="0.25">
      <c r="B444" s="3">
        <f>SUMIFS(Total,Fecha,NetWorth!A444)</f>
        <v>0</v>
      </c>
    </row>
    <row r="445" spans="2:2" x14ac:dyDescent="0.25">
      <c r="B445" s="3">
        <f>SUMIFS(Total,Fecha,NetWorth!A445)</f>
        <v>0</v>
      </c>
    </row>
    <row r="446" spans="2:2" x14ac:dyDescent="0.25">
      <c r="B446" s="3">
        <f>SUMIFS(Total,Fecha,NetWorth!A446)</f>
        <v>0</v>
      </c>
    </row>
    <row r="447" spans="2:2" x14ac:dyDescent="0.25">
      <c r="B447" s="3">
        <f>SUMIFS(Total,Fecha,NetWorth!A447)</f>
        <v>0</v>
      </c>
    </row>
    <row r="448" spans="2:2" x14ac:dyDescent="0.25">
      <c r="B448" s="3">
        <f>SUMIFS(Total,Fecha,NetWorth!A448)</f>
        <v>0</v>
      </c>
    </row>
    <row r="449" spans="2:2" x14ac:dyDescent="0.25">
      <c r="B449" s="3">
        <f>SUMIFS(Total,Fecha,NetWorth!A449)</f>
        <v>0</v>
      </c>
    </row>
    <row r="450" spans="2:2" x14ac:dyDescent="0.25">
      <c r="B450" s="3">
        <f>SUMIFS(Total,Fecha,NetWorth!A450)</f>
        <v>0</v>
      </c>
    </row>
    <row r="451" spans="2:2" x14ac:dyDescent="0.25">
      <c r="B451" s="3">
        <f>SUMIFS(Total,Fecha,NetWorth!A451)</f>
        <v>0</v>
      </c>
    </row>
    <row r="452" spans="2:2" x14ac:dyDescent="0.25">
      <c r="B452" s="3">
        <f>SUMIFS(Total,Fecha,NetWorth!A452)</f>
        <v>0</v>
      </c>
    </row>
    <row r="453" spans="2:2" x14ac:dyDescent="0.25">
      <c r="B453" s="3">
        <f>SUMIFS(Total,Fecha,NetWorth!A453)</f>
        <v>0</v>
      </c>
    </row>
    <row r="454" spans="2:2" x14ac:dyDescent="0.25">
      <c r="B454" s="3">
        <f>SUMIFS(Total,Fecha,NetWorth!A454)</f>
        <v>0</v>
      </c>
    </row>
    <row r="455" spans="2:2" x14ac:dyDescent="0.25">
      <c r="B455" s="3">
        <f>SUMIFS(Total,Fecha,NetWorth!A455)</f>
        <v>0</v>
      </c>
    </row>
    <row r="456" spans="2:2" x14ac:dyDescent="0.25">
      <c r="B456" s="3">
        <f>SUMIFS(Total,Fecha,NetWorth!A456)</f>
        <v>0</v>
      </c>
    </row>
    <row r="457" spans="2:2" x14ac:dyDescent="0.25">
      <c r="B457" s="3">
        <f>SUMIFS(Total,Fecha,NetWorth!A457)</f>
        <v>0</v>
      </c>
    </row>
    <row r="458" spans="2:2" x14ac:dyDescent="0.25">
      <c r="B458" s="3">
        <f>SUMIFS(Total,Fecha,NetWorth!A458)</f>
        <v>0</v>
      </c>
    </row>
    <row r="459" spans="2:2" x14ac:dyDescent="0.25">
      <c r="B459" s="3">
        <f>SUMIFS(Total,Fecha,NetWorth!A459)</f>
        <v>0</v>
      </c>
    </row>
    <row r="460" spans="2:2" x14ac:dyDescent="0.25">
      <c r="B460" s="3">
        <f>SUMIFS(Total,Fecha,NetWorth!A460)</f>
        <v>0</v>
      </c>
    </row>
    <row r="461" spans="2:2" x14ac:dyDescent="0.25">
      <c r="B461" s="3">
        <f>SUMIFS(Total,Fecha,NetWorth!A461)</f>
        <v>0</v>
      </c>
    </row>
    <row r="462" spans="2:2" x14ac:dyDescent="0.25">
      <c r="B462" s="3">
        <f>SUMIFS(Total,Fecha,NetWorth!A462)</f>
        <v>0</v>
      </c>
    </row>
    <row r="463" spans="2:2" x14ac:dyDescent="0.25">
      <c r="B463" s="3">
        <f>SUMIFS(Total,Fecha,NetWorth!A463)</f>
        <v>0</v>
      </c>
    </row>
    <row r="464" spans="2:2" x14ac:dyDescent="0.25">
      <c r="B464" s="3">
        <f>SUMIFS(Total,Fecha,NetWorth!A464)</f>
        <v>0</v>
      </c>
    </row>
    <row r="465" spans="2:2" x14ac:dyDescent="0.25">
      <c r="B465" s="3">
        <f>SUMIFS(Total,Fecha,NetWorth!A465)</f>
        <v>0</v>
      </c>
    </row>
    <row r="466" spans="2:2" x14ac:dyDescent="0.25">
      <c r="B466" s="3">
        <f>SUMIFS(Total,Fecha,NetWorth!A466)</f>
        <v>0</v>
      </c>
    </row>
    <row r="467" spans="2:2" x14ac:dyDescent="0.25">
      <c r="B467" s="3">
        <f>SUMIFS(Total,Fecha,NetWorth!A467)</f>
        <v>0</v>
      </c>
    </row>
    <row r="468" spans="2:2" x14ac:dyDescent="0.25">
      <c r="B468" s="3">
        <f>SUMIFS(Total,Fecha,NetWorth!A468)</f>
        <v>0</v>
      </c>
    </row>
    <row r="469" spans="2:2" x14ac:dyDescent="0.25">
      <c r="B469" s="3">
        <f>SUMIFS(Total,Fecha,NetWorth!A469)</f>
        <v>0</v>
      </c>
    </row>
    <row r="470" spans="2:2" x14ac:dyDescent="0.25">
      <c r="B470" s="3">
        <f>SUMIFS(Total,Fecha,NetWorth!A470)</f>
        <v>0</v>
      </c>
    </row>
    <row r="471" spans="2:2" x14ac:dyDescent="0.25">
      <c r="B471" s="3">
        <f>SUMIFS(Total,Fecha,NetWorth!A471)</f>
        <v>0</v>
      </c>
    </row>
    <row r="472" spans="2:2" x14ac:dyDescent="0.25">
      <c r="B472" s="3">
        <f>SUMIFS(Total,Fecha,NetWorth!A472)</f>
        <v>0</v>
      </c>
    </row>
    <row r="473" spans="2:2" x14ac:dyDescent="0.25">
      <c r="B473" s="3">
        <f>SUMIFS(Total,Fecha,NetWorth!A473)</f>
        <v>0</v>
      </c>
    </row>
    <row r="474" spans="2:2" x14ac:dyDescent="0.25">
      <c r="B474" s="3">
        <f>SUMIFS(Total,Fecha,NetWorth!A474)</f>
        <v>0</v>
      </c>
    </row>
    <row r="475" spans="2:2" x14ac:dyDescent="0.25">
      <c r="B475" s="3">
        <f>SUMIFS(Total,Fecha,NetWorth!A475)</f>
        <v>0</v>
      </c>
    </row>
    <row r="476" spans="2:2" x14ac:dyDescent="0.25">
      <c r="B476" s="3">
        <f>SUMIFS(Total,Fecha,NetWorth!A476)</f>
        <v>0</v>
      </c>
    </row>
    <row r="477" spans="2:2" x14ac:dyDescent="0.25">
      <c r="B477" s="3">
        <f>SUMIFS(Total,Fecha,NetWorth!A477)</f>
        <v>0</v>
      </c>
    </row>
    <row r="478" spans="2:2" x14ac:dyDescent="0.25">
      <c r="B478" s="3">
        <f>SUMIFS(Total,Fecha,NetWorth!A478)</f>
        <v>0</v>
      </c>
    </row>
    <row r="479" spans="2:2" x14ac:dyDescent="0.25">
      <c r="B479" s="3">
        <f>SUMIFS(Total,Fecha,NetWorth!A479)</f>
        <v>0</v>
      </c>
    </row>
    <row r="480" spans="2:2" x14ac:dyDescent="0.25">
      <c r="B480" s="3">
        <f>SUMIFS(Total,Fecha,NetWorth!A480)</f>
        <v>0</v>
      </c>
    </row>
    <row r="481" spans="2:2" x14ac:dyDescent="0.25">
      <c r="B481" s="3">
        <f>SUMIFS(Total,Fecha,NetWorth!A481)</f>
        <v>0</v>
      </c>
    </row>
    <row r="482" spans="2:2" x14ac:dyDescent="0.25">
      <c r="B482" s="3">
        <f>SUMIFS(Total,Fecha,NetWorth!A482)</f>
        <v>0</v>
      </c>
    </row>
    <row r="483" spans="2:2" x14ac:dyDescent="0.25">
      <c r="B483" s="3">
        <f>SUMIFS(Total,Fecha,NetWorth!A483)</f>
        <v>0</v>
      </c>
    </row>
    <row r="484" spans="2:2" x14ac:dyDescent="0.25">
      <c r="B484" s="3">
        <f>SUMIFS(Total,Fecha,NetWorth!A484)</f>
        <v>0</v>
      </c>
    </row>
    <row r="485" spans="2:2" x14ac:dyDescent="0.25">
      <c r="B485" s="3">
        <f>SUMIFS(Total,Fecha,NetWorth!A485)</f>
        <v>0</v>
      </c>
    </row>
    <row r="486" spans="2:2" x14ac:dyDescent="0.25">
      <c r="B486" s="3">
        <f>SUMIFS(Total,Fecha,NetWorth!A486)</f>
        <v>0</v>
      </c>
    </row>
    <row r="487" spans="2:2" x14ac:dyDescent="0.25">
      <c r="B487" s="3">
        <f>SUMIFS(Total,Fecha,NetWorth!A487)</f>
        <v>0</v>
      </c>
    </row>
    <row r="488" spans="2:2" x14ac:dyDescent="0.25">
      <c r="B488" s="3">
        <f>SUMIFS(Total,Fecha,NetWorth!A488)</f>
        <v>0</v>
      </c>
    </row>
    <row r="489" spans="2:2" x14ac:dyDescent="0.25">
      <c r="B489" s="3">
        <f>SUMIFS(Total,Fecha,NetWorth!A489)</f>
        <v>0</v>
      </c>
    </row>
    <row r="490" spans="2:2" x14ac:dyDescent="0.25">
      <c r="B490" s="3">
        <f>SUMIFS(Total,Fecha,NetWorth!A490)</f>
        <v>0</v>
      </c>
    </row>
    <row r="491" spans="2:2" x14ac:dyDescent="0.25">
      <c r="B491" s="3">
        <f>SUMIFS(Total,Fecha,NetWorth!A491)</f>
        <v>0</v>
      </c>
    </row>
    <row r="492" spans="2:2" x14ac:dyDescent="0.25">
      <c r="B492" s="3">
        <f>SUMIFS(Total,Fecha,NetWorth!A492)</f>
        <v>0</v>
      </c>
    </row>
    <row r="493" spans="2:2" x14ac:dyDescent="0.25">
      <c r="B493" s="3">
        <f>SUMIFS(Total,Fecha,NetWorth!A493)</f>
        <v>0</v>
      </c>
    </row>
    <row r="494" spans="2:2" x14ac:dyDescent="0.25">
      <c r="B494" s="3">
        <f>SUMIFS(Total,Fecha,NetWorth!A494)</f>
        <v>0</v>
      </c>
    </row>
    <row r="495" spans="2:2" x14ac:dyDescent="0.25">
      <c r="B495" s="3">
        <f>SUMIFS(Total,Fecha,NetWorth!A495)</f>
        <v>0</v>
      </c>
    </row>
    <row r="496" spans="2:2" x14ac:dyDescent="0.25">
      <c r="B496" s="3">
        <f>SUMIFS(Total,Fecha,NetWorth!A496)</f>
        <v>0</v>
      </c>
    </row>
    <row r="497" spans="2:2" x14ac:dyDescent="0.25">
      <c r="B497" s="3">
        <f>SUMIFS(Total,Fecha,NetWorth!A497)</f>
        <v>0</v>
      </c>
    </row>
    <row r="498" spans="2:2" x14ac:dyDescent="0.25">
      <c r="B498" s="3">
        <f>SUMIFS(Total,Fecha,NetWorth!A498)</f>
        <v>0</v>
      </c>
    </row>
    <row r="499" spans="2:2" x14ac:dyDescent="0.25">
      <c r="B499" s="3">
        <f>SUMIFS(Total,Fecha,NetWorth!A499)</f>
        <v>0</v>
      </c>
    </row>
    <row r="500" spans="2:2" x14ac:dyDescent="0.25">
      <c r="B500" s="3">
        <f>SUMIFS(Total,Fecha,NetWorth!A500)</f>
        <v>0</v>
      </c>
    </row>
    <row r="501" spans="2:2" x14ac:dyDescent="0.25">
      <c r="B501" s="3">
        <f>SUMIFS(Total,Fecha,NetWorth!A501)</f>
        <v>0</v>
      </c>
    </row>
    <row r="502" spans="2:2" x14ac:dyDescent="0.25">
      <c r="B502" s="3">
        <f>SUMIFS(Total,Fecha,NetWorth!A502)</f>
        <v>0</v>
      </c>
    </row>
    <row r="503" spans="2:2" x14ac:dyDescent="0.25">
      <c r="B503" s="3">
        <f>SUMIFS(Total,Fecha,NetWorth!A503)</f>
        <v>0</v>
      </c>
    </row>
    <row r="504" spans="2:2" x14ac:dyDescent="0.25">
      <c r="B504" s="3">
        <f>SUMIFS(Total,Fecha,NetWorth!A504)</f>
        <v>0</v>
      </c>
    </row>
    <row r="505" spans="2:2" x14ac:dyDescent="0.25">
      <c r="B505" s="3">
        <f>SUMIFS(Total,Fecha,NetWorth!A505)</f>
        <v>0</v>
      </c>
    </row>
    <row r="506" spans="2:2" x14ac:dyDescent="0.25">
      <c r="B506" s="3">
        <f>SUMIFS(Total,Fecha,NetWorth!A506)</f>
        <v>0</v>
      </c>
    </row>
    <row r="507" spans="2:2" x14ac:dyDescent="0.25">
      <c r="B507" s="3">
        <f>SUMIFS(Total,Fecha,NetWorth!A507)</f>
        <v>0</v>
      </c>
    </row>
    <row r="508" spans="2:2" x14ac:dyDescent="0.25">
      <c r="B508" s="3">
        <f>SUMIFS(Total,Fecha,NetWorth!A508)</f>
        <v>0</v>
      </c>
    </row>
    <row r="509" spans="2:2" x14ac:dyDescent="0.25">
      <c r="B509" s="3">
        <f>SUMIFS(Total,Fecha,NetWorth!A509)</f>
        <v>0</v>
      </c>
    </row>
    <row r="510" spans="2:2" x14ac:dyDescent="0.25">
      <c r="B510" s="3">
        <f>SUMIFS(Total,Fecha,NetWorth!A510)</f>
        <v>0</v>
      </c>
    </row>
    <row r="511" spans="2:2" x14ac:dyDescent="0.25">
      <c r="B511" s="3">
        <f>SUMIFS(Total,Fecha,NetWorth!A511)</f>
        <v>0</v>
      </c>
    </row>
    <row r="512" spans="2:2" x14ac:dyDescent="0.25">
      <c r="B512" s="3">
        <f>SUMIFS(Total,Fecha,NetWorth!A512)</f>
        <v>0</v>
      </c>
    </row>
    <row r="513" spans="2:2" x14ac:dyDescent="0.25">
      <c r="B513" s="3">
        <f>SUMIFS(Total,Fecha,NetWorth!A513)</f>
        <v>0</v>
      </c>
    </row>
    <row r="514" spans="2:2" x14ac:dyDescent="0.25">
      <c r="B514" s="3">
        <f>SUMIFS(Total,Fecha,NetWorth!A514)</f>
        <v>0</v>
      </c>
    </row>
    <row r="515" spans="2:2" x14ac:dyDescent="0.25">
      <c r="B515" s="3">
        <f>SUMIFS(Total,Fecha,NetWorth!A515)</f>
        <v>0</v>
      </c>
    </row>
    <row r="516" spans="2:2" x14ac:dyDescent="0.25">
      <c r="B516" s="3">
        <f>SUMIFS(Total,Fecha,NetWorth!A516)</f>
        <v>0</v>
      </c>
    </row>
    <row r="517" spans="2:2" x14ac:dyDescent="0.25">
      <c r="B517" s="3">
        <f>SUMIFS(Total,Fecha,NetWorth!A517)</f>
        <v>0</v>
      </c>
    </row>
    <row r="518" spans="2:2" x14ac:dyDescent="0.25">
      <c r="B518" s="3">
        <f>SUMIFS(Total,Fecha,NetWorth!A518)</f>
        <v>0</v>
      </c>
    </row>
    <row r="519" spans="2:2" x14ac:dyDescent="0.25">
      <c r="B519" s="3">
        <f>SUMIFS(Total,Fecha,NetWorth!A519)</f>
        <v>0</v>
      </c>
    </row>
    <row r="520" spans="2:2" x14ac:dyDescent="0.25">
      <c r="B520" s="3">
        <f>SUMIFS(Total,Fecha,NetWorth!A520)</f>
        <v>0</v>
      </c>
    </row>
    <row r="521" spans="2:2" x14ac:dyDescent="0.25">
      <c r="B521" s="3">
        <f>SUMIFS(Total,Fecha,NetWorth!A521)</f>
        <v>0</v>
      </c>
    </row>
    <row r="522" spans="2:2" x14ac:dyDescent="0.25">
      <c r="B522" s="3">
        <f>SUMIFS(Total,Fecha,NetWorth!A522)</f>
        <v>0</v>
      </c>
    </row>
    <row r="523" spans="2:2" x14ac:dyDescent="0.25">
      <c r="B523" s="3">
        <f>SUMIFS(Total,Fecha,NetWorth!A523)</f>
        <v>0</v>
      </c>
    </row>
    <row r="524" spans="2:2" x14ac:dyDescent="0.25">
      <c r="B524" s="3">
        <f>SUMIFS(Total,Fecha,NetWorth!A524)</f>
        <v>0</v>
      </c>
    </row>
    <row r="525" spans="2:2" x14ac:dyDescent="0.25">
      <c r="B525" s="3">
        <f>SUMIFS(Total,Fecha,NetWorth!A525)</f>
        <v>0</v>
      </c>
    </row>
    <row r="526" spans="2:2" x14ac:dyDescent="0.25">
      <c r="B526" s="3">
        <f>SUMIFS(Total,Fecha,NetWorth!A526)</f>
        <v>0</v>
      </c>
    </row>
    <row r="527" spans="2:2" x14ac:dyDescent="0.25">
      <c r="B527" s="3">
        <f>SUMIFS(Total,Fecha,NetWorth!A527)</f>
        <v>0</v>
      </c>
    </row>
    <row r="528" spans="2:2" x14ac:dyDescent="0.25">
      <c r="B528" s="3">
        <f>SUMIFS(Total,Fecha,NetWorth!A528)</f>
        <v>0</v>
      </c>
    </row>
    <row r="529" spans="2:2" x14ac:dyDescent="0.25">
      <c r="B529" s="3">
        <f>SUMIFS(Total,Fecha,NetWorth!A529)</f>
        <v>0</v>
      </c>
    </row>
    <row r="530" spans="2:2" x14ac:dyDescent="0.25">
      <c r="B530" s="3">
        <f>SUMIFS(Total,Fecha,NetWorth!A530)</f>
        <v>0</v>
      </c>
    </row>
    <row r="531" spans="2:2" x14ac:dyDescent="0.25">
      <c r="B531" s="3">
        <f>SUMIFS(Total,Fecha,NetWorth!A531)</f>
        <v>0</v>
      </c>
    </row>
    <row r="532" spans="2:2" x14ac:dyDescent="0.25">
      <c r="B532" s="3">
        <f>SUMIFS(Total,Fecha,NetWorth!A532)</f>
        <v>0</v>
      </c>
    </row>
    <row r="533" spans="2:2" x14ac:dyDescent="0.25">
      <c r="B533" s="3">
        <f>SUMIFS(Total,Fecha,NetWorth!A533)</f>
        <v>0</v>
      </c>
    </row>
    <row r="534" spans="2:2" x14ac:dyDescent="0.25">
      <c r="B534" s="3">
        <f>SUMIFS(Total,Fecha,NetWorth!A534)</f>
        <v>0</v>
      </c>
    </row>
    <row r="535" spans="2:2" x14ac:dyDescent="0.25">
      <c r="B535" s="3">
        <f>SUMIFS(Total,Fecha,NetWorth!A535)</f>
        <v>0</v>
      </c>
    </row>
    <row r="536" spans="2:2" x14ac:dyDescent="0.25">
      <c r="B536" s="3">
        <f>SUMIFS(Total,Fecha,NetWorth!A536)</f>
        <v>0</v>
      </c>
    </row>
    <row r="537" spans="2:2" x14ac:dyDescent="0.25">
      <c r="B537" s="3">
        <f>SUMIFS(Total,Fecha,NetWorth!A537)</f>
        <v>0</v>
      </c>
    </row>
    <row r="538" spans="2:2" x14ac:dyDescent="0.25">
      <c r="B538" s="3">
        <f>SUMIFS(Total,Fecha,NetWorth!A538)</f>
        <v>0</v>
      </c>
    </row>
    <row r="539" spans="2:2" x14ac:dyDescent="0.25">
      <c r="B539" s="3">
        <f>SUMIFS(Total,Fecha,NetWorth!A539)</f>
        <v>0</v>
      </c>
    </row>
    <row r="540" spans="2:2" x14ac:dyDescent="0.25">
      <c r="B540" s="3">
        <f>SUMIFS(Total,Fecha,NetWorth!A540)</f>
        <v>0</v>
      </c>
    </row>
    <row r="541" spans="2:2" x14ac:dyDescent="0.25">
      <c r="B541" s="3">
        <f>SUMIFS(Total,Fecha,NetWorth!A541)</f>
        <v>0</v>
      </c>
    </row>
    <row r="542" spans="2:2" x14ac:dyDescent="0.25">
      <c r="B542" s="3">
        <f>SUMIFS(Total,Fecha,NetWorth!A542)</f>
        <v>0</v>
      </c>
    </row>
    <row r="543" spans="2:2" x14ac:dyDescent="0.25">
      <c r="B543" s="3">
        <f>SUMIFS(Total,Fecha,NetWorth!A543)</f>
        <v>0</v>
      </c>
    </row>
    <row r="544" spans="2:2" x14ac:dyDescent="0.25">
      <c r="B544" s="3">
        <f>SUMIFS(Total,Fecha,NetWorth!A544)</f>
        <v>0</v>
      </c>
    </row>
    <row r="545" spans="2:2" x14ac:dyDescent="0.25">
      <c r="B545" s="3">
        <f>SUMIFS(Total,Fecha,NetWorth!A545)</f>
        <v>0</v>
      </c>
    </row>
    <row r="546" spans="2:2" x14ac:dyDescent="0.25">
      <c r="B546" s="3">
        <f>SUMIFS(Total,Fecha,NetWorth!A546)</f>
        <v>0</v>
      </c>
    </row>
    <row r="547" spans="2:2" x14ac:dyDescent="0.25">
      <c r="B547" s="3">
        <f>SUMIFS(Total,Fecha,NetWorth!A547)</f>
        <v>0</v>
      </c>
    </row>
    <row r="548" spans="2:2" x14ac:dyDescent="0.25">
      <c r="B548" s="3">
        <f>SUMIFS(Total,Fecha,NetWorth!A548)</f>
        <v>0</v>
      </c>
    </row>
    <row r="549" spans="2:2" x14ac:dyDescent="0.25">
      <c r="B549" s="3">
        <f>SUMIFS(Total,Fecha,NetWorth!A549)</f>
        <v>0</v>
      </c>
    </row>
    <row r="550" spans="2:2" x14ac:dyDescent="0.25">
      <c r="B550" s="3">
        <f>SUMIFS(Total,Fecha,NetWorth!A550)</f>
        <v>0</v>
      </c>
    </row>
    <row r="551" spans="2:2" x14ac:dyDescent="0.25">
      <c r="B551" s="3">
        <f>SUMIFS(Total,Fecha,NetWorth!A551)</f>
        <v>0</v>
      </c>
    </row>
    <row r="552" spans="2:2" x14ac:dyDescent="0.25">
      <c r="B552" s="3">
        <f>SUMIFS(Total,Fecha,NetWorth!A552)</f>
        <v>0</v>
      </c>
    </row>
    <row r="553" spans="2:2" x14ac:dyDescent="0.25">
      <c r="B553" s="3">
        <f>SUMIFS(Total,Fecha,NetWorth!A553)</f>
        <v>0</v>
      </c>
    </row>
    <row r="554" spans="2:2" x14ac:dyDescent="0.25">
      <c r="B554" s="3">
        <f>SUMIFS(Total,Fecha,NetWorth!A554)</f>
        <v>0</v>
      </c>
    </row>
    <row r="555" spans="2:2" x14ac:dyDescent="0.25">
      <c r="B555" s="3">
        <f>SUMIFS(Total,Fecha,NetWorth!A555)</f>
        <v>0</v>
      </c>
    </row>
    <row r="556" spans="2:2" x14ac:dyDescent="0.25">
      <c r="B556" s="3">
        <f>SUMIFS(Total,Fecha,NetWorth!A556)</f>
        <v>0</v>
      </c>
    </row>
    <row r="557" spans="2:2" x14ac:dyDescent="0.25">
      <c r="B557" s="3">
        <f>SUMIFS(Total,Fecha,NetWorth!A557)</f>
        <v>0</v>
      </c>
    </row>
    <row r="558" spans="2:2" x14ac:dyDescent="0.25">
      <c r="B558" s="3">
        <f>SUMIFS(Total,Fecha,NetWorth!A558)</f>
        <v>0</v>
      </c>
    </row>
    <row r="559" spans="2:2" x14ac:dyDescent="0.25">
      <c r="B559" s="3">
        <f>SUMIFS(Total,Fecha,NetWorth!A559)</f>
        <v>0</v>
      </c>
    </row>
    <row r="560" spans="2:2" x14ac:dyDescent="0.25">
      <c r="B560" s="3">
        <f>SUMIFS(Total,Fecha,NetWorth!A560)</f>
        <v>0</v>
      </c>
    </row>
    <row r="561" spans="2:2" x14ac:dyDescent="0.25">
      <c r="B561" s="3">
        <f>SUMIFS(Total,Fecha,NetWorth!A561)</f>
        <v>0</v>
      </c>
    </row>
    <row r="562" spans="2:2" x14ac:dyDescent="0.25">
      <c r="B562" s="3">
        <f>SUMIFS(Total,Fecha,NetWorth!A562)</f>
        <v>0</v>
      </c>
    </row>
    <row r="563" spans="2:2" x14ac:dyDescent="0.25">
      <c r="B563" s="3">
        <f>SUMIFS(Total,Fecha,NetWorth!A563)</f>
        <v>0</v>
      </c>
    </row>
    <row r="564" spans="2:2" x14ac:dyDescent="0.25">
      <c r="B564" s="3">
        <f>SUMIFS(Total,Fecha,NetWorth!A564)</f>
        <v>0</v>
      </c>
    </row>
    <row r="565" spans="2:2" x14ac:dyDescent="0.25">
      <c r="B565" s="3">
        <f>SUMIFS(Total,Fecha,NetWorth!A565)</f>
        <v>0</v>
      </c>
    </row>
    <row r="566" spans="2:2" x14ac:dyDescent="0.25">
      <c r="B566" s="3">
        <f>SUMIFS(Total,Fecha,NetWorth!A566)</f>
        <v>0</v>
      </c>
    </row>
    <row r="567" spans="2:2" x14ac:dyDescent="0.25">
      <c r="B567" s="3">
        <f>SUMIFS(Total,Fecha,NetWorth!A567)</f>
        <v>0</v>
      </c>
    </row>
    <row r="568" spans="2:2" x14ac:dyDescent="0.25">
      <c r="B568" s="3">
        <f>SUMIFS(Total,Fecha,NetWorth!A568)</f>
        <v>0</v>
      </c>
    </row>
    <row r="569" spans="2:2" x14ac:dyDescent="0.25">
      <c r="B569" s="3">
        <f>SUMIFS(Total,Fecha,NetWorth!A569)</f>
        <v>0</v>
      </c>
    </row>
    <row r="570" spans="2:2" x14ac:dyDescent="0.25">
      <c r="B570" s="3">
        <f>SUMIFS(Total,Fecha,NetWorth!A570)</f>
        <v>0</v>
      </c>
    </row>
    <row r="571" spans="2:2" x14ac:dyDescent="0.25">
      <c r="B571" s="3">
        <f>SUMIFS(Total,Fecha,NetWorth!A571)</f>
        <v>0</v>
      </c>
    </row>
    <row r="572" spans="2:2" x14ac:dyDescent="0.25">
      <c r="B572" s="3">
        <f>SUMIFS(Total,Fecha,NetWorth!A572)</f>
        <v>0</v>
      </c>
    </row>
    <row r="573" spans="2:2" x14ac:dyDescent="0.25">
      <c r="B573" s="3">
        <f>SUMIFS(Total,Fecha,NetWorth!A573)</f>
        <v>0</v>
      </c>
    </row>
    <row r="574" spans="2:2" x14ac:dyDescent="0.25">
      <c r="B574" s="3">
        <f>SUMIFS(Total,Fecha,NetWorth!A574)</f>
        <v>0</v>
      </c>
    </row>
    <row r="575" spans="2:2" x14ac:dyDescent="0.25">
      <c r="B575" s="3">
        <f>SUMIFS(Total,Fecha,NetWorth!A575)</f>
        <v>0</v>
      </c>
    </row>
    <row r="576" spans="2:2" x14ac:dyDescent="0.25">
      <c r="B576" s="3">
        <f>SUMIFS(Total,Fecha,NetWorth!A576)</f>
        <v>0</v>
      </c>
    </row>
    <row r="577" spans="2:2" x14ac:dyDescent="0.25">
      <c r="B577" s="3">
        <f>SUMIFS(Total,Fecha,NetWorth!A577)</f>
        <v>0</v>
      </c>
    </row>
    <row r="578" spans="2:2" x14ac:dyDescent="0.25">
      <c r="B578" s="3">
        <f>SUMIFS(Total,Fecha,NetWorth!A578)</f>
        <v>0</v>
      </c>
    </row>
    <row r="579" spans="2:2" x14ac:dyDescent="0.25">
      <c r="B579" s="3">
        <f>SUMIFS(Total,Fecha,NetWorth!A579)</f>
        <v>0</v>
      </c>
    </row>
    <row r="580" spans="2:2" x14ac:dyDescent="0.25">
      <c r="B580" s="3">
        <f>SUMIFS(Total,Fecha,NetWorth!A580)</f>
        <v>0</v>
      </c>
    </row>
    <row r="581" spans="2:2" x14ac:dyDescent="0.25">
      <c r="B581" s="3">
        <f>SUMIFS(Total,Fecha,NetWorth!A581)</f>
        <v>0</v>
      </c>
    </row>
    <row r="582" spans="2:2" x14ac:dyDescent="0.25">
      <c r="B582" s="3">
        <f>SUMIFS(Total,Fecha,NetWorth!A582)</f>
        <v>0</v>
      </c>
    </row>
    <row r="583" spans="2:2" x14ac:dyDescent="0.25">
      <c r="B583" s="3">
        <f>SUMIFS(Total,Fecha,NetWorth!A583)</f>
        <v>0</v>
      </c>
    </row>
    <row r="584" spans="2:2" x14ac:dyDescent="0.25">
      <c r="B584" s="3">
        <f>SUMIFS(Total,Fecha,NetWorth!A584)</f>
        <v>0</v>
      </c>
    </row>
    <row r="585" spans="2:2" x14ac:dyDescent="0.25">
      <c r="B585" s="3">
        <f>SUMIFS(Total,Fecha,NetWorth!A585)</f>
        <v>0</v>
      </c>
    </row>
    <row r="586" spans="2:2" x14ac:dyDescent="0.25">
      <c r="B586" s="3">
        <f>SUMIFS(Total,Fecha,NetWorth!A586)</f>
        <v>0</v>
      </c>
    </row>
    <row r="587" spans="2:2" x14ac:dyDescent="0.25">
      <c r="B587" s="3">
        <f>SUMIFS(Total,Fecha,NetWorth!A587)</f>
        <v>0</v>
      </c>
    </row>
    <row r="588" spans="2:2" x14ac:dyDescent="0.25">
      <c r="B588" s="3">
        <f>SUMIFS(Total,Fecha,NetWorth!A588)</f>
        <v>0</v>
      </c>
    </row>
    <row r="589" spans="2:2" x14ac:dyDescent="0.25">
      <c r="B589" s="3">
        <f>SUMIFS(Total,Fecha,NetWorth!A589)</f>
        <v>0</v>
      </c>
    </row>
    <row r="590" spans="2:2" x14ac:dyDescent="0.25">
      <c r="B590" s="3">
        <f>SUMIFS(Total,Fecha,NetWorth!A590)</f>
        <v>0</v>
      </c>
    </row>
    <row r="591" spans="2:2" x14ac:dyDescent="0.25">
      <c r="B591" s="3">
        <f>SUMIFS(Total,Fecha,NetWorth!A591)</f>
        <v>0</v>
      </c>
    </row>
    <row r="592" spans="2:2" x14ac:dyDescent="0.25">
      <c r="B592" s="3">
        <f>SUMIFS(Total,Fecha,NetWorth!A592)</f>
        <v>0</v>
      </c>
    </row>
    <row r="593" spans="2:2" x14ac:dyDescent="0.25">
      <c r="B593" s="3">
        <f>SUMIFS(Total,Fecha,NetWorth!A593)</f>
        <v>0</v>
      </c>
    </row>
    <row r="594" spans="2:2" x14ac:dyDescent="0.25">
      <c r="B594" s="3">
        <f>SUMIFS(Total,Fecha,NetWorth!A594)</f>
        <v>0</v>
      </c>
    </row>
    <row r="595" spans="2:2" x14ac:dyDescent="0.25">
      <c r="B595" s="3">
        <f>SUMIFS(Total,Fecha,NetWorth!A595)</f>
        <v>0</v>
      </c>
    </row>
    <row r="596" spans="2:2" x14ac:dyDescent="0.25">
      <c r="B596" s="3">
        <f>SUMIFS(Total,Fecha,NetWorth!A596)</f>
        <v>0</v>
      </c>
    </row>
    <row r="597" spans="2:2" x14ac:dyDescent="0.25">
      <c r="B597" s="3">
        <f>SUMIFS(Total,Fecha,NetWorth!A597)</f>
        <v>0</v>
      </c>
    </row>
    <row r="598" spans="2:2" x14ac:dyDescent="0.25">
      <c r="B598" s="3">
        <f>SUMIFS(Total,Fecha,NetWorth!A598)</f>
        <v>0</v>
      </c>
    </row>
    <row r="599" spans="2:2" x14ac:dyDescent="0.25">
      <c r="B599" s="3">
        <f>SUMIFS(Total,Fecha,NetWorth!A599)</f>
        <v>0</v>
      </c>
    </row>
    <row r="600" spans="2:2" x14ac:dyDescent="0.25">
      <c r="B600" s="3">
        <f>SUMIFS(Total,Fecha,NetWorth!A600)</f>
        <v>0</v>
      </c>
    </row>
    <row r="601" spans="2:2" x14ac:dyDescent="0.25">
      <c r="B601" s="3">
        <f>SUMIFS(Total,Fecha,NetWorth!A601)</f>
        <v>0</v>
      </c>
    </row>
    <row r="602" spans="2:2" x14ac:dyDescent="0.25">
      <c r="B602" s="3">
        <f>SUMIFS(Total,Fecha,NetWorth!A602)</f>
        <v>0</v>
      </c>
    </row>
    <row r="603" spans="2:2" x14ac:dyDescent="0.25">
      <c r="B603" s="3">
        <f>SUMIFS(Total,Fecha,NetWorth!A603)</f>
        <v>0</v>
      </c>
    </row>
    <row r="604" spans="2:2" x14ac:dyDescent="0.25">
      <c r="B604" s="3">
        <f>SUMIFS(Total,Fecha,NetWorth!A604)</f>
        <v>0</v>
      </c>
    </row>
    <row r="605" spans="2:2" x14ac:dyDescent="0.25">
      <c r="B605" s="3">
        <f>SUMIFS(Total,Fecha,NetWorth!A605)</f>
        <v>0</v>
      </c>
    </row>
    <row r="606" spans="2:2" x14ac:dyDescent="0.25">
      <c r="B606" s="3">
        <f>SUMIFS(Total,Fecha,NetWorth!A606)</f>
        <v>0</v>
      </c>
    </row>
    <row r="607" spans="2:2" x14ac:dyDescent="0.25">
      <c r="B607" s="3">
        <f>SUMIFS(Total,Fecha,NetWorth!A607)</f>
        <v>0</v>
      </c>
    </row>
    <row r="608" spans="2:2" x14ac:dyDescent="0.25">
      <c r="B608" s="3">
        <f>SUMIFS(Total,Fecha,NetWorth!A608)</f>
        <v>0</v>
      </c>
    </row>
    <row r="609" spans="2:2" x14ac:dyDescent="0.25">
      <c r="B609" s="3">
        <f>SUMIFS(Total,Fecha,NetWorth!A609)</f>
        <v>0</v>
      </c>
    </row>
    <row r="610" spans="2:2" x14ac:dyDescent="0.25">
      <c r="B610" s="3">
        <f>SUMIFS(Total,Fecha,NetWorth!A610)</f>
        <v>0</v>
      </c>
    </row>
    <row r="611" spans="2:2" x14ac:dyDescent="0.25">
      <c r="B611" s="3">
        <f>SUMIFS(Total,Fecha,NetWorth!A611)</f>
        <v>0</v>
      </c>
    </row>
    <row r="612" spans="2:2" x14ac:dyDescent="0.25">
      <c r="B612" s="3">
        <f>SUMIFS(Total,Fecha,NetWorth!A612)</f>
        <v>0</v>
      </c>
    </row>
    <row r="613" spans="2:2" x14ac:dyDescent="0.25">
      <c r="B613" s="3">
        <f>SUMIFS(Total,Fecha,NetWorth!A613)</f>
        <v>0</v>
      </c>
    </row>
    <row r="614" spans="2:2" x14ac:dyDescent="0.25">
      <c r="B614" s="3">
        <f>SUMIFS(Total,Fecha,NetWorth!A614)</f>
        <v>0</v>
      </c>
    </row>
    <row r="615" spans="2:2" x14ac:dyDescent="0.25">
      <c r="B615" s="3">
        <f>SUMIFS(Total,Fecha,NetWorth!A615)</f>
        <v>0</v>
      </c>
    </row>
    <row r="616" spans="2:2" x14ac:dyDescent="0.25">
      <c r="B616" s="3">
        <f>SUMIFS(Total,Fecha,NetWorth!A616)</f>
        <v>0</v>
      </c>
    </row>
    <row r="617" spans="2:2" x14ac:dyDescent="0.25">
      <c r="B617" s="3">
        <f>SUMIFS(Total,Fecha,NetWorth!A617)</f>
        <v>0</v>
      </c>
    </row>
    <row r="618" spans="2:2" x14ac:dyDescent="0.25">
      <c r="B618" s="3">
        <f>SUMIFS(Total,Fecha,NetWorth!A618)</f>
        <v>0</v>
      </c>
    </row>
    <row r="619" spans="2:2" x14ac:dyDescent="0.25">
      <c r="B619" s="3">
        <f>SUMIFS(Total,Fecha,NetWorth!A619)</f>
        <v>0</v>
      </c>
    </row>
    <row r="620" spans="2:2" x14ac:dyDescent="0.25">
      <c r="B620" s="3">
        <f>SUMIFS(Total,Fecha,NetWorth!A620)</f>
        <v>0</v>
      </c>
    </row>
    <row r="621" spans="2:2" x14ac:dyDescent="0.25">
      <c r="B621" s="3">
        <f>SUMIFS(Total,Fecha,NetWorth!A621)</f>
        <v>0</v>
      </c>
    </row>
    <row r="622" spans="2:2" x14ac:dyDescent="0.25">
      <c r="B622" s="3">
        <f>SUMIFS(Total,Fecha,NetWorth!A622)</f>
        <v>0</v>
      </c>
    </row>
    <row r="623" spans="2:2" x14ac:dyDescent="0.25">
      <c r="B623" s="3">
        <f>SUMIFS(Total,Fecha,NetWorth!A623)</f>
        <v>0</v>
      </c>
    </row>
    <row r="624" spans="2:2" x14ac:dyDescent="0.25">
      <c r="B624" s="3">
        <f>SUMIFS(Total,Fecha,NetWorth!A624)</f>
        <v>0</v>
      </c>
    </row>
    <row r="625" spans="2:2" x14ac:dyDescent="0.25">
      <c r="B625" s="3">
        <f>SUMIFS(Total,Fecha,NetWorth!A625)</f>
        <v>0</v>
      </c>
    </row>
    <row r="626" spans="2:2" x14ac:dyDescent="0.25">
      <c r="B626" s="3">
        <f>SUMIFS(Total,Fecha,NetWorth!A626)</f>
        <v>0</v>
      </c>
    </row>
    <row r="627" spans="2:2" x14ac:dyDescent="0.25">
      <c r="B627" s="3">
        <f>SUMIFS(Total,Fecha,NetWorth!A627)</f>
        <v>0</v>
      </c>
    </row>
    <row r="628" spans="2:2" x14ac:dyDescent="0.25">
      <c r="B628" s="3">
        <f>SUMIFS(Total,Fecha,NetWorth!A628)</f>
        <v>0</v>
      </c>
    </row>
    <row r="629" spans="2:2" x14ac:dyDescent="0.25">
      <c r="B629" s="3">
        <f>SUMIFS(Total,Fecha,NetWorth!A629)</f>
        <v>0</v>
      </c>
    </row>
    <row r="630" spans="2:2" x14ac:dyDescent="0.25">
      <c r="B630" s="3">
        <f>SUMIFS(Total,Fecha,NetWorth!A630)</f>
        <v>0</v>
      </c>
    </row>
    <row r="631" spans="2:2" x14ac:dyDescent="0.25">
      <c r="B631" s="3">
        <f>SUMIFS(Total,Fecha,NetWorth!A631)</f>
        <v>0</v>
      </c>
    </row>
    <row r="632" spans="2:2" x14ac:dyDescent="0.25">
      <c r="B632" s="3">
        <f>SUMIFS(Total,Fecha,NetWorth!A632)</f>
        <v>0</v>
      </c>
    </row>
    <row r="633" spans="2:2" x14ac:dyDescent="0.25">
      <c r="B633" s="3">
        <f>SUMIFS(Total,Fecha,NetWorth!A633)</f>
        <v>0</v>
      </c>
    </row>
    <row r="634" spans="2:2" x14ac:dyDescent="0.25">
      <c r="B634" s="3">
        <f>SUMIFS(Total,Fecha,NetWorth!A634)</f>
        <v>0</v>
      </c>
    </row>
    <row r="635" spans="2:2" x14ac:dyDescent="0.25">
      <c r="B635" s="3">
        <f>SUMIFS(Total,Fecha,NetWorth!A635)</f>
        <v>0</v>
      </c>
    </row>
    <row r="636" spans="2:2" x14ac:dyDescent="0.25">
      <c r="B636" s="3">
        <f>SUMIFS(Total,Fecha,NetWorth!A636)</f>
        <v>0</v>
      </c>
    </row>
    <row r="637" spans="2:2" x14ac:dyDescent="0.25">
      <c r="B637" s="3">
        <f>SUMIFS(Total,Fecha,NetWorth!A637)</f>
        <v>0</v>
      </c>
    </row>
    <row r="638" spans="2:2" x14ac:dyDescent="0.25">
      <c r="B638" s="3">
        <f>SUMIFS(Total,Fecha,NetWorth!A638)</f>
        <v>0</v>
      </c>
    </row>
    <row r="639" spans="2:2" x14ac:dyDescent="0.25">
      <c r="B639" s="3">
        <f>SUMIFS(Total,Fecha,NetWorth!A639)</f>
        <v>0</v>
      </c>
    </row>
    <row r="640" spans="2:2" x14ac:dyDescent="0.25">
      <c r="B640" s="3">
        <f>SUMIFS(Total,Fecha,NetWorth!A640)</f>
        <v>0</v>
      </c>
    </row>
    <row r="641" spans="2:2" x14ac:dyDescent="0.25">
      <c r="B641" s="3">
        <f>SUMIFS(Total,Fecha,NetWorth!A641)</f>
        <v>0</v>
      </c>
    </row>
    <row r="642" spans="2:2" x14ac:dyDescent="0.25">
      <c r="B642" s="3">
        <f>SUMIFS(Total,Fecha,NetWorth!A642)</f>
        <v>0</v>
      </c>
    </row>
    <row r="643" spans="2:2" x14ac:dyDescent="0.25">
      <c r="B643" s="3">
        <f>SUMIFS(Total,Fecha,NetWorth!A643)</f>
        <v>0</v>
      </c>
    </row>
    <row r="644" spans="2:2" x14ac:dyDescent="0.25">
      <c r="B644" s="3">
        <f>SUMIFS(Total,Fecha,NetWorth!A644)</f>
        <v>0</v>
      </c>
    </row>
    <row r="645" spans="2:2" x14ac:dyDescent="0.25">
      <c r="B645" s="3">
        <f>SUMIFS(Total,Fecha,NetWorth!A645)</f>
        <v>0</v>
      </c>
    </row>
    <row r="646" spans="2:2" x14ac:dyDescent="0.25">
      <c r="B646" s="3">
        <f>SUMIFS(Total,Fecha,NetWorth!A646)</f>
        <v>0</v>
      </c>
    </row>
    <row r="647" spans="2:2" x14ac:dyDescent="0.25">
      <c r="B647" s="3">
        <f>SUMIFS(Total,Fecha,NetWorth!A647)</f>
        <v>0</v>
      </c>
    </row>
    <row r="648" spans="2:2" x14ac:dyDescent="0.25">
      <c r="B648" s="3">
        <f>SUMIFS(Total,Fecha,NetWorth!A648)</f>
        <v>0</v>
      </c>
    </row>
    <row r="649" spans="2:2" x14ac:dyDescent="0.25">
      <c r="B649" s="3">
        <f>SUMIFS(Total,Fecha,NetWorth!A649)</f>
        <v>0</v>
      </c>
    </row>
    <row r="650" spans="2:2" x14ac:dyDescent="0.25">
      <c r="B650" s="3">
        <f>SUMIFS(Total,Fecha,NetWorth!A650)</f>
        <v>0</v>
      </c>
    </row>
    <row r="651" spans="2:2" x14ac:dyDescent="0.25">
      <c r="B651" s="3">
        <f>SUMIFS(Total,Fecha,NetWorth!A651)</f>
        <v>0</v>
      </c>
    </row>
    <row r="652" spans="2:2" x14ac:dyDescent="0.25">
      <c r="B652" s="3">
        <f>SUMIFS(Total,Fecha,NetWorth!A652)</f>
        <v>0</v>
      </c>
    </row>
    <row r="653" spans="2:2" x14ac:dyDescent="0.25">
      <c r="B653" s="3">
        <f>SUMIFS(Total,Fecha,NetWorth!A653)</f>
        <v>0</v>
      </c>
    </row>
    <row r="654" spans="2:2" x14ac:dyDescent="0.25">
      <c r="B654" s="3">
        <f>SUMIFS(Total,Fecha,NetWorth!A654)</f>
        <v>0</v>
      </c>
    </row>
    <row r="655" spans="2:2" x14ac:dyDescent="0.25">
      <c r="B655" s="3">
        <f>SUMIFS(Total,Fecha,NetWorth!A655)</f>
        <v>0</v>
      </c>
    </row>
    <row r="656" spans="2:2" x14ac:dyDescent="0.25">
      <c r="B656" s="3">
        <f>SUMIFS(Total,Fecha,NetWorth!A656)</f>
        <v>0</v>
      </c>
    </row>
    <row r="657" spans="2:2" x14ac:dyDescent="0.25">
      <c r="B657" s="3">
        <f>SUMIFS(Total,Fecha,NetWorth!A657)</f>
        <v>0</v>
      </c>
    </row>
    <row r="658" spans="2:2" x14ac:dyDescent="0.25">
      <c r="B658" s="3">
        <f>SUMIFS(Total,Fecha,NetWorth!A658)</f>
        <v>0</v>
      </c>
    </row>
    <row r="659" spans="2:2" x14ac:dyDescent="0.25">
      <c r="B659" s="3">
        <f>SUMIFS(Total,Fecha,NetWorth!A659)</f>
        <v>0</v>
      </c>
    </row>
    <row r="660" spans="2:2" x14ac:dyDescent="0.25">
      <c r="B660" s="3">
        <f>SUMIFS(Total,Fecha,NetWorth!A660)</f>
        <v>0</v>
      </c>
    </row>
    <row r="661" spans="2:2" x14ac:dyDescent="0.25">
      <c r="B661" s="3">
        <f>SUMIFS(Total,Fecha,NetWorth!A661)</f>
        <v>0</v>
      </c>
    </row>
    <row r="662" spans="2:2" x14ac:dyDescent="0.25">
      <c r="B662" s="3">
        <f>SUMIFS(Total,Fecha,NetWorth!A662)</f>
        <v>0</v>
      </c>
    </row>
    <row r="663" spans="2:2" x14ac:dyDescent="0.25">
      <c r="B663" s="3">
        <f>SUMIFS(Total,Fecha,NetWorth!A663)</f>
        <v>0</v>
      </c>
    </row>
    <row r="664" spans="2:2" x14ac:dyDescent="0.25">
      <c r="B664" s="3">
        <f>SUMIFS(Total,Fecha,NetWorth!A664)</f>
        <v>0</v>
      </c>
    </row>
    <row r="665" spans="2:2" x14ac:dyDescent="0.25">
      <c r="B665" s="3">
        <f>SUMIFS(Total,Fecha,NetWorth!A665)</f>
        <v>0</v>
      </c>
    </row>
    <row r="666" spans="2:2" x14ac:dyDescent="0.25">
      <c r="B666" s="3">
        <f>SUMIFS(Total,Fecha,NetWorth!A666)</f>
        <v>0</v>
      </c>
    </row>
    <row r="667" spans="2:2" x14ac:dyDescent="0.25">
      <c r="B667" s="3">
        <f>SUMIFS(Total,Fecha,NetWorth!A667)</f>
        <v>0</v>
      </c>
    </row>
    <row r="668" spans="2:2" x14ac:dyDescent="0.25">
      <c r="B668" s="3">
        <f>SUMIFS(Total,Fecha,NetWorth!A668)</f>
        <v>0</v>
      </c>
    </row>
    <row r="669" spans="2:2" x14ac:dyDescent="0.25">
      <c r="B669" s="3">
        <f>SUMIFS(Total,Fecha,NetWorth!A669)</f>
        <v>0</v>
      </c>
    </row>
    <row r="670" spans="2:2" x14ac:dyDescent="0.25">
      <c r="B670" s="3">
        <f>SUMIFS(Total,Fecha,NetWorth!A670)</f>
        <v>0</v>
      </c>
    </row>
    <row r="671" spans="2:2" x14ac:dyDescent="0.25">
      <c r="B671" s="3">
        <f>SUMIFS(Total,Fecha,NetWorth!A671)</f>
        <v>0</v>
      </c>
    </row>
    <row r="672" spans="2:2" x14ac:dyDescent="0.25">
      <c r="B672" s="3">
        <f>SUMIFS(Total,Fecha,NetWorth!A672)</f>
        <v>0</v>
      </c>
    </row>
    <row r="673" spans="2:2" x14ac:dyDescent="0.25">
      <c r="B673" s="3">
        <f>SUMIFS(Total,Fecha,NetWorth!A673)</f>
        <v>0</v>
      </c>
    </row>
    <row r="674" spans="2:2" x14ac:dyDescent="0.25">
      <c r="B674" s="3">
        <f>SUMIFS(Total,Fecha,NetWorth!A674)</f>
        <v>0</v>
      </c>
    </row>
    <row r="675" spans="2:2" x14ac:dyDescent="0.25">
      <c r="B675" s="3">
        <f>SUMIFS(Total,Fecha,NetWorth!A675)</f>
        <v>0</v>
      </c>
    </row>
    <row r="676" spans="2:2" x14ac:dyDescent="0.25">
      <c r="B676" s="3">
        <f>SUMIFS(Total,Fecha,NetWorth!A676)</f>
        <v>0</v>
      </c>
    </row>
    <row r="677" spans="2:2" x14ac:dyDescent="0.25">
      <c r="B677" s="3">
        <f>SUMIFS(Total,Fecha,NetWorth!A677)</f>
        <v>0</v>
      </c>
    </row>
    <row r="678" spans="2:2" x14ac:dyDescent="0.25">
      <c r="B678" s="3">
        <f>SUMIFS(Total,Fecha,NetWorth!A678)</f>
        <v>0</v>
      </c>
    </row>
    <row r="679" spans="2:2" x14ac:dyDescent="0.25">
      <c r="B679" s="3">
        <f>SUMIFS(Total,Fecha,NetWorth!A679)</f>
        <v>0</v>
      </c>
    </row>
    <row r="680" spans="2:2" x14ac:dyDescent="0.25">
      <c r="B680" s="3">
        <f>SUMIFS(Total,Fecha,NetWorth!A680)</f>
        <v>0</v>
      </c>
    </row>
    <row r="681" spans="2:2" x14ac:dyDescent="0.25">
      <c r="B681" s="3">
        <f>SUMIFS(Total,Fecha,NetWorth!A681)</f>
        <v>0</v>
      </c>
    </row>
    <row r="682" spans="2:2" x14ac:dyDescent="0.25">
      <c r="B682" s="3">
        <f>SUMIFS(Total,Fecha,NetWorth!A682)</f>
        <v>0</v>
      </c>
    </row>
    <row r="683" spans="2:2" x14ac:dyDescent="0.25">
      <c r="B683" s="3">
        <f>SUMIFS(Total,Fecha,NetWorth!A683)</f>
        <v>0</v>
      </c>
    </row>
    <row r="684" spans="2:2" x14ac:dyDescent="0.25">
      <c r="B684" s="3">
        <f>SUMIFS(Total,Fecha,NetWorth!A684)</f>
        <v>0</v>
      </c>
    </row>
    <row r="685" spans="2:2" x14ac:dyDescent="0.25">
      <c r="B685" s="3">
        <f>SUMIFS(Total,Fecha,NetWorth!A685)</f>
        <v>0</v>
      </c>
    </row>
    <row r="686" spans="2:2" x14ac:dyDescent="0.25">
      <c r="B686" s="3">
        <f>SUMIFS(Total,Fecha,NetWorth!A686)</f>
        <v>0</v>
      </c>
    </row>
    <row r="687" spans="2:2" x14ac:dyDescent="0.25">
      <c r="B687" s="3">
        <f>SUMIFS(Total,Fecha,NetWorth!A687)</f>
        <v>0</v>
      </c>
    </row>
    <row r="688" spans="2:2" x14ac:dyDescent="0.25">
      <c r="B688" s="3">
        <f>SUMIFS(Total,Fecha,NetWorth!A688)</f>
        <v>0</v>
      </c>
    </row>
    <row r="689" spans="2:2" x14ac:dyDescent="0.25">
      <c r="B689" s="3">
        <f>SUMIFS(Total,Fecha,NetWorth!A689)</f>
        <v>0</v>
      </c>
    </row>
    <row r="690" spans="2:2" x14ac:dyDescent="0.25">
      <c r="B690" s="3">
        <f>SUMIFS(Total,Fecha,NetWorth!A690)</f>
        <v>0</v>
      </c>
    </row>
    <row r="691" spans="2:2" x14ac:dyDescent="0.25">
      <c r="B691" s="3">
        <f>SUMIFS(Total,Fecha,NetWorth!A691)</f>
        <v>0</v>
      </c>
    </row>
    <row r="692" spans="2:2" x14ac:dyDescent="0.25">
      <c r="B692" s="3">
        <f>SUMIFS(Total,Fecha,NetWorth!A692)</f>
        <v>0</v>
      </c>
    </row>
    <row r="693" spans="2:2" x14ac:dyDescent="0.25">
      <c r="B693" s="3">
        <f>SUMIFS(Total,Fecha,NetWorth!A693)</f>
        <v>0</v>
      </c>
    </row>
    <row r="694" spans="2:2" x14ac:dyDescent="0.25">
      <c r="B694" s="3">
        <f>SUMIFS(Total,Fecha,NetWorth!A694)</f>
        <v>0</v>
      </c>
    </row>
    <row r="695" spans="2:2" x14ac:dyDescent="0.25">
      <c r="B695" s="3">
        <f>SUMIFS(Total,Fecha,NetWorth!A695)</f>
        <v>0</v>
      </c>
    </row>
    <row r="696" spans="2:2" x14ac:dyDescent="0.25">
      <c r="B696" s="3">
        <f>SUMIFS(Total,Fecha,NetWorth!A696)</f>
        <v>0</v>
      </c>
    </row>
    <row r="697" spans="2:2" x14ac:dyDescent="0.25">
      <c r="B697" s="3">
        <f>SUMIFS(Total,Fecha,NetWorth!A697)</f>
        <v>0</v>
      </c>
    </row>
    <row r="698" spans="2:2" x14ac:dyDescent="0.25">
      <c r="B698" s="3">
        <f>SUMIFS(Total,Fecha,NetWorth!A698)</f>
        <v>0</v>
      </c>
    </row>
    <row r="699" spans="2:2" x14ac:dyDescent="0.25">
      <c r="B699" s="3">
        <f>SUMIFS(Total,Fecha,NetWorth!A699)</f>
        <v>0</v>
      </c>
    </row>
    <row r="700" spans="2:2" x14ac:dyDescent="0.25">
      <c r="B700" s="3">
        <f>SUMIFS(Total,Fecha,NetWorth!A700)</f>
        <v>0</v>
      </c>
    </row>
    <row r="701" spans="2:2" x14ac:dyDescent="0.25">
      <c r="B701" s="3">
        <f>SUMIFS(Total,Fecha,NetWorth!A701)</f>
        <v>0</v>
      </c>
    </row>
    <row r="702" spans="2:2" x14ac:dyDescent="0.25">
      <c r="B702" s="3">
        <f>SUMIFS(Total,Fecha,NetWorth!A702)</f>
        <v>0</v>
      </c>
    </row>
    <row r="703" spans="2:2" x14ac:dyDescent="0.25">
      <c r="B703" s="3">
        <f>SUMIFS(Total,Fecha,NetWorth!A703)</f>
        <v>0</v>
      </c>
    </row>
    <row r="704" spans="2:2" x14ac:dyDescent="0.25">
      <c r="B704" s="3">
        <f>SUMIFS(Total,Fecha,NetWorth!A704)</f>
        <v>0</v>
      </c>
    </row>
    <row r="705" spans="2:2" x14ac:dyDescent="0.25">
      <c r="B705" s="3">
        <f>SUMIFS(Total,Fecha,NetWorth!A705)</f>
        <v>0</v>
      </c>
    </row>
    <row r="706" spans="2:2" x14ac:dyDescent="0.25">
      <c r="B706" s="3">
        <f>SUMIFS(Total,Fecha,NetWorth!A706)</f>
        <v>0</v>
      </c>
    </row>
    <row r="707" spans="2:2" x14ac:dyDescent="0.25">
      <c r="B707" s="3">
        <f>SUMIFS(Total,Fecha,NetWorth!A707)</f>
        <v>0</v>
      </c>
    </row>
    <row r="708" spans="2:2" x14ac:dyDescent="0.25">
      <c r="B708" s="3">
        <f>SUMIFS(Total,Fecha,NetWorth!A708)</f>
        <v>0</v>
      </c>
    </row>
    <row r="709" spans="2:2" x14ac:dyDescent="0.25">
      <c r="B709" s="3">
        <f>SUMIFS(Total,Fecha,NetWorth!A709)</f>
        <v>0</v>
      </c>
    </row>
    <row r="710" spans="2:2" x14ac:dyDescent="0.25">
      <c r="B710" s="3">
        <f>SUMIFS(Total,Fecha,NetWorth!A710)</f>
        <v>0</v>
      </c>
    </row>
    <row r="711" spans="2:2" x14ac:dyDescent="0.25">
      <c r="B711" s="3">
        <f>SUMIFS(Total,Fecha,NetWorth!A711)</f>
        <v>0</v>
      </c>
    </row>
    <row r="712" spans="2:2" x14ac:dyDescent="0.25">
      <c r="B712" s="3">
        <f>SUMIFS(Total,Fecha,NetWorth!A712)</f>
        <v>0</v>
      </c>
    </row>
    <row r="713" spans="2:2" x14ac:dyDescent="0.25">
      <c r="B713" s="3">
        <f>SUMIFS(Total,Fecha,NetWorth!A713)</f>
        <v>0</v>
      </c>
    </row>
    <row r="714" spans="2:2" x14ac:dyDescent="0.25">
      <c r="B714" s="3">
        <f>SUMIFS(Total,Fecha,NetWorth!A714)</f>
        <v>0</v>
      </c>
    </row>
    <row r="715" spans="2:2" x14ac:dyDescent="0.25">
      <c r="B715" s="3">
        <f>SUMIFS(Total,Fecha,NetWorth!A715)</f>
        <v>0</v>
      </c>
    </row>
    <row r="716" spans="2:2" x14ac:dyDescent="0.25">
      <c r="B716" s="3">
        <f>SUMIFS(Total,Fecha,NetWorth!A716)</f>
        <v>0</v>
      </c>
    </row>
    <row r="717" spans="2:2" x14ac:dyDescent="0.25">
      <c r="B717" s="3">
        <f>SUMIFS(Total,Fecha,NetWorth!A717)</f>
        <v>0</v>
      </c>
    </row>
    <row r="718" spans="2:2" x14ac:dyDescent="0.25">
      <c r="B718" s="3">
        <f>SUMIFS(Total,Fecha,NetWorth!A718)</f>
        <v>0</v>
      </c>
    </row>
    <row r="719" spans="2:2" x14ac:dyDescent="0.25">
      <c r="B719" s="3">
        <f>SUMIFS(Total,Fecha,NetWorth!A719)</f>
        <v>0</v>
      </c>
    </row>
    <row r="720" spans="2:2" x14ac:dyDescent="0.25">
      <c r="B720" s="3">
        <f>SUMIFS(Total,Fecha,NetWorth!A720)</f>
        <v>0</v>
      </c>
    </row>
    <row r="721" spans="2:2" x14ac:dyDescent="0.25">
      <c r="B721" s="3">
        <f>SUMIFS(Total,Fecha,NetWorth!A721)</f>
        <v>0</v>
      </c>
    </row>
    <row r="722" spans="2:2" x14ac:dyDescent="0.25">
      <c r="B722" s="3">
        <f>SUMIFS(Total,Fecha,NetWorth!A722)</f>
        <v>0</v>
      </c>
    </row>
    <row r="723" spans="2:2" x14ac:dyDescent="0.25">
      <c r="B723" s="3">
        <f>SUMIFS(Total,Fecha,NetWorth!A723)</f>
        <v>0</v>
      </c>
    </row>
    <row r="724" spans="2:2" x14ac:dyDescent="0.25">
      <c r="B724" s="3">
        <f>SUMIFS(Total,Fecha,NetWorth!A724)</f>
        <v>0</v>
      </c>
    </row>
    <row r="725" spans="2:2" x14ac:dyDescent="0.25">
      <c r="B725" s="3">
        <f>SUMIFS(Total,Fecha,NetWorth!A725)</f>
        <v>0</v>
      </c>
    </row>
    <row r="726" spans="2:2" x14ac:dyDescent="0.25">
      <c r="B726" s="3">
        <f>SUMIFS(Total,Fecha,NetWorth!A726)</f>
        <v>0</v>
      </c>
    </row>
    <row r="727" spans="2:2" x14ac:dyDescent="0.25">
      <c r="B727" s="3">
        <f>SUMIFS(Total,Fecha,NetWorth!A727)</f>
        <v>0</v>
      </c>
    </row>
    <row r="728" spans="2:2" x14ac:dyDescent="0.25">
      <c r="B728" s="3">
        <f>SUMIFS(Total,Fecha,NetWorth!A728)</f>
        <v>0</v>
      </c>
    </row>
    <row r="729" spans="2:2" x14ac:dyDescent="0.25">
      <c r="B729" s="3">
        <f>SUMIFS(Total,Fecha,NetWorth!A729)</f>
        <v>0</v>
      </c>
    </row>
    <row r="730" spans="2:2" x14ac:dyDescent="0.25">
      <c r="B730" s="3">
        <f>SUMIFS(Total,Fecha,NetWorth!A730)</f>
        <v>0</v>
      </c>
    </row>
    <row r="731" spans="2:2" x14ac:dyDescent="0.25">
      <c r="B731" s="3">
        <f>SUMIFS(Total,Fecha,NetWorth!A731)</f>
        <v>0</v>
      </c>
    </row>
    <row r="732" spans="2:2" x14ac:dyDescent="0.25">
      <c r="B732" s="3">
        <f>SUMIFS(Total,Fecha,NetWorth!A732)</f>
        <v>0</v>
      </c>
    </row>
    <row r="733" spans="2:2" x14ac:dyDescent="0.25">
      <c r="B733" s="3">
        <f>SUMIFS(Total,Fecha,NetWorth!A733)</f>
        <v>0</v>
      </c>
    </row>
    <row r="734" spans="2:2" x14ac:dyDescent="0.25">
      <c r="B734" s="3">
        <f>SUMIFS(Total,Fecha,NetWorth!A734)</f>
        <v>0</v>
      </c>
    </row>
    <row r="735" spans="2:2" x14ac:dyDescent="0.25">
      <c r="B735" s="3">
        <f>SUMIFS(Total,Fecha,NetWorth!A735)</f>
        <v>0</v>
      </c>
    </row>
    <row r="736" spans="2:2" x14ac:dyDescent="0.25">
      <c r="B736" s="3">
        <f>SUMIFS(Total,Fecha,NetWorth!A736)</f>
        <v>0</v>
      </c>
    </row>
    <row r="737" spans="2:2" x14ac:dyDescent="0.25">
      <c r="B737" s="3">
        <f>SUMIFS(Total,Fecha,NetWorth!A737)</f>
        <v>0</v>
      </c>
    </row>
    <row r="738" spans="2:2" x14ac:dyDescent="0.25">
      <c r="B738" s="3">
        <f>SUMIFS(Total,Fecha,NetWorth!A738)</f>
        <v>0</v>
      </c>
    </row>
    <row r="739" spans="2:2" x14ac:dyDescent="0.25">
      <c r="B739" s="3">
        <f>SUMIFS(Total,Fecha,NetWorth!A739)</f>
        <v>0</v>
      </c>
    </row>
    <row r="740" spans="2:2" x14ac:dyDescent="0.25">
      <c r="B740" s="3">
        <f>SUMIFS(Total,Fecha,NetWorth!A740)</f>
        <v>0</v>
      </c>
    </row>
    <row r="741" spans="2:2" x14ac:dyDescent="0.25">
      <c r="B741" s="3">
        <f>SUMIFS(Total,Fecha,NetWorth!A741)</f>
        <v>0</v>
      </c>
    </row>
    <row r="742" spans="2:2" x14ac:dyDescent="0.25">
      <c r="B742" s="3">
        <f>SUMIFS(Total,Fecha,NetWorth!A742)</f>
        <v>0</v>
      </c>
    </row>
    <row r="743" spans="2:2" x14ac:dyDescent="0.25">
      <c r="B743" s="3">
        <f>SUMIFS(Total,Fecha,NetWorth!A743)</f>
        <v>0</v>
      </c>
    </row>
    <row r="744" spans="2:2" x14ac:dyDescent="0.25">
      <c r="B744" s="3">
        <f>SUMIFS(Total,Fecha,NetWorth!A744)</f>
        <v>0</v>
      </c>
    </row>
    <row r="745" spans="2:2" x14ac:dyDescent="0.25">
      <c r="B745" s="3">
        <f>SUMIFS(Total,Fecha,NetWorth!A745)</f>
        <v>0</v>
      </c>
    </row>
    <row r="746" spans="2:2" x14ac:dyDescent="0.25">
      <c r="B746" s="3">
        <f>SUMIFS(Total,Fecha,NetWorth!A746)</f>
        <v>0</v>
      </c>
    </row>
    <row r="747" spans="2:2" x14ac:dyDescent="0.25">
      <c r="B747" s="3">
        <f>SUMIFS(Total,Fecha,NetWorth!A747)</f>
        <v>0</v>
      </c>
    </row>
    <row r="748" spans="2:2" x14ac:dyDescent="0.25">
      <c r="B748" s="3">
        <f>SUMIFS(Total,Fecha,NetWorth!A748)</f>
        <v>0</v>
      </c>
    </row>
    <row r="749" spans="2:2" x14ac:dyDescent="0.25">
      <c r="B749" s="3">
        <f>SUMIFS(Total,Fecha,NetWorth!A749)</f>
        <v>0</v>
      </c>
    </row>
    <row r="750" spans="2:2" x14ac:dyDescent="0.25">
      <c r="B750" s="3">
        <f>SUMIFS(Total,Fecha,NetWorth!A750)</f>
        <v>0</v>
      </c>
    </row>
    <row r="751" spans="2:2" x14ac:dyDescent="0.25">
      <c r="B751" s="3">
        <f>SUMIFS(Total,Fecha,NetWorth!A751)</f>
        <v>0</v>
      </c>
    </row>
    <row r="752" spans="2:2" x14ac:dyDescent="0.25">
      <c r="B752" s="3">
        <f>SUMIFS(Total,Fecha,NetWorth!A752)</f>
        <v>0</v>
      </c>
    </row>
    <row r="753" spans="2:2" x14ac:dyDescent="0.25">
      <c r="B753" s="3">
        <f>SUMIFS(Total,Fecha,NetWorth!A753)</f>
        <v>0</v>
      </c>
    </row>
    <row r="754" spans="2:2" x14ac:dyDescent="0.25">
      <c r="B754" s="3">
        <f>SUMIFS(Total,Fecha,NetWorth!A754)</f>
        <v>0</v>
      </c>
    </row>
    <row r="755" spans="2:2" x14ac:dyDescent="0.25">
      <c r="B755" s="3">
        <f>SUMIFS(Total,Fecha,NetWorth!A755)</f>
        <v>0</v>
      </c>
    </row>
    <row r="756" spans="2:2" x14ac:dyDescent="0.25">
      <c r="B756" s="3">
        <f>SUMIFS(Total,Fecha,NetWorth!A756)</f>
        <v>0</v>
      </c>
    </row>
    <row r="757" spans="2:2" x14ac:dyDescent="0.25">
      <c r="B757" s="3">
        <f>SUMIFS(Total,Fecha,NetWorth!A757)</f>
        <v>0</v>
      </c>
    </row>
    <row r="758" spans="2:2" x14ac:dyDescent="0.25">
      <c r="B758" s="3">
        <f>SUMIFS(Total,Fecha,NetWorth!A758)</f>
        <v>0</v>
      </c>
    </row>
    <row r="759" spans="2:2" x14ac:dyDescent="0.25">
      <c r="B759" s="3">
        <f>SUMIFS(Total,Fecha,NetWorth!A759)</f>
        <v>0</v>
      </c>
    </row>
    <row r="760" spans="2:2" x14ac:dyDescent="0.25">
      <c r="B760" s="3">
        <f>SUMIFS(Total,Fecha,NetWorth!A760)</f>
        <v>0</v>
      </c>
    </row>
    <row r="761" spans="2:2" x14ac:dyDescent="0.25">
      <c r="B761" s="3">
        <f>SUMIFS(Total,Fecha,NetWorth!A761)</f>
        <v>0</v>
      </c>
    </row>
    <row r="762" spans="2:2" x14ac:dyDescent="0.25">
      <c r="B762" s="3">
        <f>SUMIFS(Total,Fecha,NetWorth!A762)</f>
        <v>0</v>
      </c>
    </row>
    <row r="763" spans="2:2" x14ac:dyDescent="0.25">
      <c r="B763" s="3">
        <f>SUMIFS(Total,Fecha,NetWorth!A763)</f>
        <v>0</v>
      </c>
    </row>
    <row r="764" spans="2:2" x14ac:dyDescent="0.25">
      <c r="B764" s="3">
        <f>SUMIFS(Total,Fecha,NetWorth!A764)</f>
        <v>0</v>
      </c>
    </row>
    <row r="765" spans="2:2" x14ac:dyDescent="0.25">
      <c r="B765" s="3">
        <f>SUMIFS(Total,Fecha,NetWorth!A765)</f>
        <v>0</v>
      </c>
    </row>
    <row r="766" spans="2:2" x14ac:dyDescent="0.25">
      <c r="B766" s="3">
        <f>SUMIFS(Total,Fecha,NetWorth!A766)</f>
        <v>0</v>
      </c>
    </row>
    <row r="767" spans="2:2" x14ac:dyDescent="0.25">
      <c r="B767" s="3">
        <f>SUMIFS(Total,Fecha,NetWorth!A767)</f>
        <v>0</v>
      </c>
    </row>
    <row r="768" spans="2:2" x14ac:dyDescent="0.25">
      <c r="B768" s="3">
        <f>SUMIFS(Total,Fecha,NetWorth!A768)</f>
        <v>0</v>
      </c>
    </row>
    <row r="769" spans="2:2" x14ac:dyDescent="0.25">
      <c r="B769" s="3">
        <f>SUMIFS(Total,Fecha,NetWorth!A769)</f>
        <v>0</v>
      </c>
    </row>
    <row r="770" spans="2:2" x14ac:dyDescent="0.25">
      <c r="B770" s="3">
        <f>SUMIFS(Total,Fecha,NetWorth!A770)</f>
        <v>0</v>
      </c>
    </row>
    <row r="771" spans="2:2" x14ac:dyDescent="0.25">
      <c r="B771" s="3">
        <f>SUMIFS(Total,Fecha,NetWorth!A771)</f>
        <v>0</v>
      </c>
    </row>
    <row r="772" spans="2:2" x14ac:dyDescent="0.25">
      <c r="B772" s="3">
        <f>SUMIFS(Total,Fecha,NetWorth!A772)</f>
        <v>0</v>
      </c>
    </row>
    <row r="773" spans="2:2" x14ac:dyDescent="0.25">
      <c r="B773" s="3">
        <f>SUMIFS(Total,Fecha,NetWorth!A773)</f>
        <v>0</v>
      </c>
    </row>
    <row r="774" spans="2:2" x14ac:dyDescent="0.25">
      <c r="B774" s="3">
        <f>SUMIFS(Total,Fecha,NetWorth!A774)</f>
        <v>0</v>
      </c>
    </row>
    <row r="775" spans="2:2" x14ac:dyDescent="0.25">
      <c r="B775" s="3">
        <f>SUMIFS(Total,Fecha,NetWorth!A775)</f>
        <v>0</v>
      </c>
    </row>
    <row r="776" spans="2:2" x14ac:dyDescent="0.25">
      <c r="B776" s="3">
        <f>SUMIFS(Total,Fecha,NetWorth!A776)</f>
        <v>0</v>
      </c>
    </row>
    <row r="777" spans="2:2" x14ac:dyDescent="0.25">
      <c r="B777" s="3">
        <f>SUMIFS(Total,Fecha,NetWorth!A777)</f>
        <v>0</v>
      </c>
    </row>
    <row r="778" spans="2:2" x14ac:dyDescent="0.25">
      <c r="B778" s="3">
        <f>SUMIFS(Total,Fecha,NetWorth!A778)</f>
        <v>0</v>
      </c>
    </row>
    <row r="779" spans="2:2" x14ac:dyDescent="0.25">
      <c r="B779" s="3">
        <f>SUMIFS(Total,Fecha,NetWorth!A779)</f>
        <v>0</v>
      </c>
    </row>
    <row r="780" spans="2:2" x14ac:dyDescent="0.25">
      <c r="B780" s="3">
        <f>SUMIFS(Total,Fecha,NetWorth!A780)</f>
        <v>0</v>
      </c>
    </row>
    <row r="781" spans="2:2" x14ac:dyDescent="0.25">
      <c r="B781" s="3">
        <f>SUMIFS(Total,Fecha,NetWorth!A781)</f>
        <v>0</v>
      </c>
    </row>
    <row r="782" spans="2:2" x14ac:dyDescent="0.25">
      <c r="B782" s="3">
        <f>SUMIFS(Total,Fecha,NetWorth!A782)</f>
        <v>0</v>
      </c>
    </row>
    <row r="783" spans="2:2" x14ac:dyDescent="0.25">
      <c r="B783" s="3">
        <f>SUMIFS(Total,Fecha,NetWorth!A783)</f>
        <v>0</v>
      </c>
    </row>
    <row r="784" spans="2:2" x14ac:dyDescent="0.25">
      <c r="B784" s="3">
        <f>SUMIFS(Total,Fecha,NetWorth!A784)</f>
        <v>0</v>
      </c>
    </row>
    <row r="785" spans="2:2" x14ac:dyDescent="0.25">
      <c r="B785" s="3">
        <f>SUMIFS(Total,Fecha,NetWorth!A785)</f>
        <v>0</v>
      </c>
    </row>
    <row r="786" spans="2:2" x14ac:dyDescent="0.25">
      <c r="B786" s="3">
        <f>SUMIFS(Total,Fecha,NetWorth!A786)</f>
        <v>0</v>
      </c>
    </row>
    <row r="787" spans="2:2" x14ac:dyDescent="0.25">
      <c r="B787" s="3">
        <f>SUMIFS(Total,Fecha,NetWorth!A787)</f>
        <v>0</v>
      </c>
    </row>
    <row r="788" spans="2:2" x14ac:dyDescent="0.25">
      <c r="B788" s="3">
        <f>SUMIFS(Total,Fecha,NetWorth!A788)</f>
        <v>0</v>
      </c>
    </row>
    <row r="789" spans="2:2" x14ac:dyDescent="0.25">
      <c r="B789" s="3">
        <f>SUMIFS(Total,Fecha,NetWorth!A789)</f>
        <v>0</v>
      </c>
    </row>
    <row r="790" spans="2:2" x14ac:dyDescent="0.25">
      <c r="B790" s="3">
        <f>SUMIFS(Total,Fecha,NetWorth!A790)</f>
        <v>0</v>
      </c>
    </row>
    <row r="791" spans="2:2" x14ac:dyDescent="0.25">
      <c r="B791" s="3">
        <f>SUMIFS(Total,Fecha,NetWorth!A791)</f>
        <v>0</v>
      </c>
    </row>
    <row r="792" spans="2:2" x14ac:dyDescent="0.25">
      <c r="B792" s="3">
        <f>SUMIFS(Total,Fecha,NetWorth!A792)</f>
        <v>0</v>
      </c>
    </row>
    <row r="793" spans="2:2" x14ac:dyDescent="0.25">
      <c r="B793" s="3">
        <f>SUMIFS(Total,Fecha,NetWorth!A793)</f>
        <v>0</v>
      </c>
    </row>
    <row r="794" spans="2:2" x14ac:dyDescent="0.25">
      <c r="B794" s="3">
        <f>SUMIFS(Total,Fecha,NetWorth!A794)</f>
        <v>0</v>
      </c>
    </row>
    <row r="795" spans="2:2" x14ac:dyDescent="0.25">
      <c r="B795" s="3">
        <f>SUMIFS(Total,Fecha,NetWorth!A795)</f>
        <v>0</v>
      </c>
    </row>
    <row r="796" spans="2:2" x14ac:dyDescent="0.25">
      <c r="B796" s="3">
        <f>SUMIFS(Total,Fecha,NetWorth!A796)</f>
        <v>0</v>
      </c>
    </row>
    <row r="797" spans="2:2" x14ac:dyDescent="0.25">
      <c r="B797" s="3">
        <f>SUMIFS(Total,Fecha,NetWorth!A797)</f>
        <v>0</v>
      </c>
    </row>
    <row r="798" spans="2:2" x14ac:dyDescent="0.25">
      <c r="B798" s="3">
        <f>SUMIFS(Total,Fecha,NetWorth!A798)</f>
        <v>0</v>
      </c>
    </row>
    <row r="799" spans="2:2" x14ac:dyDescent="0.25">
      <c r="B799" s="3">
        <f>SUMIFS(Total,Fecha,NetWorth!A799)</f>
        <v>0</v>
      </c>
    </row>
    <row r="800" spans="2:2" x14ac:dyDescent="0.25">
      <c r="B800" s="3">
        <f>SUMIFS(Total,Fecha,NetWorth!A800)</f>
        <v>0</v>
      </c>
    </row>
    <row r="801" spans="2:2" x14ac:dyDescent="0.25">
      <c r="B801" s="3">
        <f>SUMIFS(Total,Fecha,NetWorth!A801)</f>
        <v>0</v>
      </c>
    </row>
    <row r="802" spans="2:2" x14ac:dyDescent="0.25">
      <c r="B802" s="3">
        <f>SUMIFS(Total,Fecha,NetWorth!A802)</f>
        <v>0</v>
      </c>
    </row>
    <row r="803" spans="2:2" x14ac:dyDescent="0.25">
      <c r="B803" s="3">
        <f>SUMIFS(Total,Fecha,NetWorth!A803)</f>
        <v>0</v>
      </c>
    </row>
    <row r="804" spans="2:2" x14ac:dyDescent="0.25">
      <c r="B804" s="3">
        <f>SUMIFS(Total,Fecha,NetWorth!A804)</f>
        <v>0</v>
      </c>
    </row>
    <row r="805" spans="2:2" x14ac:dyDescent="0.25">
      <c r="B805" s="3">
        <f>SUMIFS(Total,Fecha,NetWorth!A805)</f>
        <v>0</v>
      </c>
    </row>
    <row r="806" spans="2:2" x14ac:dyDescent="0.25">
      <c r="B806" s="3">
        <f>SUMIFS(Total,Fecha,NetWorth!A806)</f>
        <v>0</v>
      </c>
    </row>
    <row r="807" spans="2:2" x14ac:dyDescent="0.25">
      <c r="B807" s="3">
        <f>SUMIFS(Total,Fecha,NetWorth!A807)</f>
        <v>0</v>
      </c>
    </row>
    <row r="808" spans="2:2" x14ac:dyDescent="0.25">
      <c r="B808" s="3">
        <f>SUMIFS(Total,Fecha,NetWorth!A808)</f>
        <v>0</v>
      </c>
    </row>
    <row r="809" spans="2:2" x14ac:dyDescent="0.25">
      <c r="B809" s="3">
        <f>SUMIFS(Total,Fecha,NetWorth!A809)</f>
        <v>0</v>
      </c>
    </row>
    <row r="810" spans="2:2" x14ac:dyDescent="0.25">
      <c r="B810" s="3">
        <f>SUMIFS(Total,Fecha,NetWorth!A810)</f>
        <v>0</v>
      </c>
    </row>
    <row r="811" spans="2:2" x14ac:dyDescent="0.25">
      <c r="B811" s="3">
        <f>SUMIFS(Total,Fecha,NetWorth!A811)</f>
        <v>0</v>
      </c>
    </row>
    <row r="812" spans="2:2" x14ac:dyDescent="0.25">
      <c r="B812" s="3">
        <f>SUMIFS(Total,Fecha,NetWorth!A812)</f>
        <v>0</v>
      </c>
    </row>
    <row r="813" spans="2:2" x14ac:dyDescent="0.25">
      <c r="B813" s="3">
        <f>SUMIFS(Total,Fecha,NetWorth!A813)</f>
        <v>0</v>
      </c>
    </row>
    <row r="814" spans="2:2" x14ac:dyDescent="0.25">
      <c r="B814" s="3">
        <f>SUMIFS(Total,Fecha,NetWorth!A814)</f>
        <v>0</v>
      </c>
    </row>
    <row r="815" spans="2:2" x14ac:dyDescent="0.25">
      <c r="B815" s="3">
        <f>SUMIFS(Total,Fecha,NetWorth!A815)</f>
        <v>0</v>
      </c>
    </row>
    <row r="816" spans="2:2" x14ac:dyDescent="0.25">
      <c r="B816" s="3">
        <f>SUMIFS(Total,Fecha,NetWorth!A816)</f>
        <v>0</v>
      </c>
    </row>
    <row r="817" spans="2:2" x14ac:dyDescent="0.25">
      <c r="B817" s="3">
        <f>SUMIFS(Total,Fecha,NetWorth!A817)</f>
        <v>0</v>
      </c>
    </row>
    <row r="818" spans="2:2" x14ac:dyDescent="0.25">
      <c r="B818" s="3">
        <f>SUMIFS(Total,Fecha,NetWorth!A818)</f>
        <v>0</v>
      </c>
    </row>
    <row r="819" spans="2:2" x14ac:dyDescent="0.25">
      <c r="B819" s="3">
        <f>SUMIFS(Total,Fecha,NetWorth!A819)</f>
        <v>0</v>
      </c>
    </row>
    <row r="820" spans="2:2" x14ac:dyDescent="0.25">
      <c r="B820" s="3">
        <f>SUMIFS(Total,Fecha,NetWorth!A820)</f>
        <v>0</v>
      </c>
    </row>
    <row r="821" spans="2:2" x14ac:dyDescent="0.25">
      <c r="B821" s="3">
        <f>SUMIFS(Total,Fecha,NetWorth!A821)</f>
        <v>0</v>
      </c>
    </row>
    <row r="822" spans="2:2" x14ac:dyDescent="0.25">
      <c r="B822" s="3">
        <f>SUMIFS(Total,Fecha,NetWorth!A822)</f>
        <v>0</v>
      </c>
    </row>
    <row r="823" spans="2:2" x14ac:dyDescent="0.25">
      <c r="B823" s="3">
        <f>SUMIFS(Total,Fecha,NetWorth!A823)</f>
        <v>0</v>
      </c>
    </row>
    <row r="824" spans="2:2" x14ac:dyDescent="0.25">
      <c r="B824" s="3">
        <f>SUMIFS(Total,Fecha,NetWorth!A824)</f>
        <v>0</v>
      </c>
    </row>
    <row r="825" spans="2:2" x14ac:dyDescent="0.25">
      <c r="B825" s="3">
        <f>SUMIFS(Total,Fecha,NetWorth!A825)</f>
        <v>0</v>
      </c>
    </row>
    <row r="826" spans="2:2" x14ac:dyDescent="0.25">
      <c r="B826" s="3">
        <f>SUMIFS(Total,Fecha,NetWorth!A826)</f>
        <v>0</v>
      </c>
    </row>
    <row r="827" spans="2:2" x14ac:dyDescent="0.25">
      <c r="B827" s="3">
        <f>SUMIFS(Total,Fecha,NetWorth!A827)</f>
        <v>0</v>
      </c>
    </row>
    <row r="828" spans="2:2" x14ac:dyDescent="0.25">
      <c r="B828" s="3">
        <f>SUMIFS(Total,Fecha,NetWorth!A828)</f>
        <v>0</v>
      </c>
    </row>
    <row r="829" spans="2:2" x14ac:dyDescent="0.25">
      <c r="B829" s="3">
        <f>SUMIFS(Total,Fecha,NetWorth!A829)</f>
        <v>0</v>
      </c>
    </row>
    <row r="830" spans="2:2" x14ac:dyDescent="0.25">
      <c r="B830" s="3">
        <f>SUMIFS(Total,Fecha,NetWorth!A830)</f>
        <v>0</v>
      </c>
    </row>
    <row r="831" spans="2:2" x14ac:dyDescent="0.25">
      <c r="B831" s="3">
        <f>SUMIFS(Total,Fecha,NetWorth!A831)</f>
        <v>0</v>
      </c>
    </row>
    <row r="832" spans="2:2" x14ac:dyDescent="0.25">
      <c r="B832" s="3">
        <f>SUMIFS(Total,Fecha,NetWorth!A832)</f>
        <v>0</v>
      </c>
    </row>
    <row r="833" spans="2:2" x14ac:dyDescent="0.25">
      <c r="B833" s="3">
        <f>SUMIFS(Total,Fecha,NetWorth!A833)</f>
        <v>0</v>
      </c>
    </row>
    <row r="834" spans="2:2" x14ac:dyDescent="0.25">
      <c r="B834" s="3">
        <f>SUMIFS(Total,Fecha,NetWorth!A834)</f>
        <v>0</v>
      </c>
    </row>
    <row r="835" spans="2:2" x14ac:dyDescent="0.25">
      <c r="B835" s="3">
        <f>SUMIFS(Total,Fecha,NetWorth!A835)</f>
        <v>0</v>
      </c>
    </row>
    <row r="836" spans="2:2" x14ac:dyDescent="0.25">
      <c r="B836" s="3">
        <f>SUMIFS(Total,Fecha,NetWorth!A836)</f>
        <v>0</v>
      </c>
    </row>
    <row r="837" spans="2:2" x14ac:dyDescent="0.25">
      <c r="B837" s="3">
        <f>SUMIFS(Total,Fecha,NetWorth!A837)</f>
        <v>0</v>
      </c>
    </row>
    <row r="838" spans="2:2" x14ac:dyDescent="0.25">
      <c r="B838" s="3">
        <f>SUMIFS(Total,Fecha,NetWorth!A838)</f>
        <v>0</v>
      </c>
    </row>
    <row r="839" spans="2:2" x14ac:dyDescent="0.25">
      <c r="B839" s="3">
        <f>SUMIFS(Total,Fecha,NetWorth!A839)</f>
        <v>0</v>
      </c>
    </row>
    <row r="840" spans="2:2" x14ac:dyDescent="0.25">
      <c r="B840" s="3">
        <f>SUMIFS(Total,Fecha,NetWorth!A840)</f>
        <v>0</v>
      </c>
    </row>
    <row r="841" spans="2:2" x14ac:dyDescent="0.25">
      <c r="B841" s="3">
        <f>SUMIFS(Total,Fecha,NetWorth!A841)</f>
        <v>0</v>
      </c>
    </row>
    <row r="842" spans="2:2" x14ac:dyDescent="0.25">
      <c r="B842" s="3">
        <f>SUMIFS(Total,Fecha,NetWorth!A842)</f>
        <v>0</v>
      </c>
    </row>
    <row r="843" spans="2:2" x14ac:dyDescent="0.25">
      <c r="B843" s="3">
        <f>SUMIFS(Total,Fecha,NetWorth!A843)</f>
        <v>0</v>
      </c>
    </row>
    <row r="844" spans="2:2" x14ac:dyDescent="0.25">
      <c r="B844" s="3">
        <f>SUMIFS(Total,Fecha,NetWorth!A844)</f>
        <v>0</v>
      </c>
    </row>
    <row r="845" spans="2:2" x14ac:dyDescent="0.25">
      <c r="B845" s="3">
        <f>SUMIFS(Total,Fecha,NetWorth!A845)</f>
        <v>0</v>
      </c>
    </row>
    <row r="846" spans="2:2" x14ac:dyDescent="0.25">
      <c r="B846" s="3">
        <f>SUMIFS(Total,Fecha,NetWorth!A846)</f>
        <v>0</v>
      </c>
    </row>
    <row r="847" spans="2:2" x14ac:dyDescent="0.25">
      <c r="B847" s="3">
        <f>SUMIFS(Total,Fecha,NetWorth!A847)</f>
        <v>0</v>
      </c>
    </row>
    <row r="848" spans="2:2" x14ac:dyDescent="0.25">
      <c r="B848" s="3">
        <f>SUMIFS(Total,Fecha,NetWorth!A848)</f>
        <v>0</v>
      </c>
    </row>
    <row r="849" spans="2:2" x14ac:dyDescent="0.25">
      <c r="B849" s="3">
        <f>SUMIFS(Total,Fecha,NetWorth!A849)</f>
        <v>0</v>
      </c>
    </row>
    <row r="850" spans="2:2" x14ac:dyDescent="0.25">
      <c r="B850" s="3">
        <f>SUMIFS(Total,Fecha,NetWorth!A850)</f>
        <v>0</v>
      </c>
    </row>
    <row r="851" spans="2:2" x14ac:dyDescent="0.25">
      <c r="B851" s="3">
        <f>SUMIFS(Total,Fecha,NetWorth!A851)</f>
        <v>0</v>
      </c>
    </row>
    <row r="852" spans="2:2" x14ac:dyDescent="0.25">
      <c r="B852" s="3">
        <f>SUMIFS(Total,Fecha,NetWorth!A852)</f>
        <v>0</v>
      </c>
    </row>
    <row r="853" spans="2:2" x14ac:dyDescent="0.25">
      <c r="B853" s="3">
        <f>SUMIFS(Total,Fecha,NetWorth!A853)</f>
        <v>0</v>
      </c>
    </row>
    <row r="854" spans="2:2" x14ac:dyDescent="0.25">
      <c r="B854" s="3">
        <f>SUMIFS(Total,Fecha,NetWorth!A854)</f>
        <v>0</v>
      </c>
    </row>
    <row r="855" spans="2:2" x14ac:dyDescent="0.25">
      <c r="B855" s="3">
        <f>SUMIFS(Total,Fecha,NetWorth!A855)</f>
        <v>0</v>
      </c>
    </row>
    <row r="856" spans="2:2" x14ac:dyDescent="0.25">
      <c r="B856" s="3">
        <f>SUMIFS(Total,Fecha,NetWorth!A856)</f>
        <v>0</v>
      </c>
    </row>
    <row r="857" spans="2:2" x14ac:dyDescent="0.25">
      <c r="B857" s="3">
        <f>SUMIFS(Total,Fecha,NetWorth!A857)</f>
        <v>0</v>
      </c>
    </row>
    <row r="858" spans="2:2" x14ac:dyDescent="0.25">
      <c r="B858" s="3">
        <f>SUMIFS(Total,Fecha,NetWorth!A858)</f>
        <v>0</v>
      </c>
    </row>
    <row r="859" spans="2:2" x14ac:dyDescent="0.25">
      <c r="B859" s="3">
        <f>SUMIFS(Total,Fecha,NetWorth!A859)</f>
        <v>0</v>
      </c>
    </row>
    <row r="860" spans="2:2" x14ac:dyDescent="0.25">
      <c r="B860" s="3">
        <f>SUMIFS(Total,Fecha,NetWorth!A860)</f>
        <v>0</v>
      </c>
    </row>
    <row r="861" spans="2:2" x14ac:dyDescent="0.25">
      <c r="B861" s="3">
        <f>SUMIFS(Total,Fecha,NetWorth!A861)</f>
        <v>0</v>
      </c>
    </row>
    <row r="862" spans="2:2" x14ac:dyDescent="0.25">
      <c r="B862" s="3">
        <f>SUMIFS(Total,Fecha,NetWorth!A862)</f>
        <v>0</v>
      </c>
    </row>
    <row r="863" spans="2:2" x14ac:dyDescent="0.25">
      <c r="B863" s="3">
        <f>SUMIFS(Total,Fecha,NetWorth!A863)</f>
        <v>0</v>
      </c>
    </row>
    <row r="864" spans="2:2" x14ac:dyDescent="0.25">
      <c r="B864" s="3">
        <f>SUMIFS(Total,Fecha,NetWorth!A864)</f>
        <v>0</v>
      </c>
    </row>
    <row r="865" spans="2:2" x14ac:dyDescent="0.25">
      <c r="B865" s="3">
        <f>SUMIFS(Total,Fecha,NetWorth!A865)</f>
        <v>0</v>
      </c>
    </row>
    <row r="866" spans="2:2" x14ac:dyDescent="0.25">
      <c r="B866" s="3">
        <f>SUMIFS(Total,Fecha,NetWorth!A866)</f>
        <v>0</v>
      </c>
    </row>
    <row r="867" spans="2:2" x14ac:dyDescent="0.25">
      <c r="B867" s="3">
        <f>SUMIFS(Total,Fecha,NetWorth!A867)</f>
        <v>0</v>
      </c>
    </row>
    <row r="868" spans="2:2" x14ac:dyDescent="0.25">
      <c r="B868" s="3">
        <f>SUMIFS(Total,Fecha,NetWorth!A868)</f>
        <v>0</v>
      </c>
    </row>
    <row r="869" spans="2:2" x14ac:dyDescent="0.25">
      <c r="B869" s="3">
        <f>SUMIFS(Total,Fecha,NetWorth!A869)</f>
        <v>0</v>
      </c>
    </row>
    <row r="870" spans="2:2" x14ac:dyDescent="0.25">
      <c r="B870" s="3">
        <f>SUMIFS(Total,Fecha,NetWorth!A870)</f>
        <v>0</v>
      </c>
    </row>
    <row r="871" spans="2:2" x14ac:dyDescent="0.25">
      <c r="B871" s="3">
        <f>SUMIFS(Total,Fecha,NetWorth!A871)</f>
        <v>0</v>
      </c>
    </row>
    <row r="872" spans="2:2" x14ac:dyDescent="0.25">
      <c r="B872" s="3">
        <f>SUMIFS(Total,Fecha,NetWorth!A872)</f>
        <v>0</v>
      </c>
    </row>
    <row r="873" spans="2:2" x14ac:dyDescent="0.25">
      <c r="B873" s="3">
        <f>SUMIFS(Total,Fecha,NetWorth!A873)</f>
        <v>0</v>
      </c>
    </row>
    <row r="874" spans="2:2" x14ac:dyDescent="0.25">
      <c r="B874" s="3">
        <f>SUMIFS(Total,Fecha,NetWorth!A874)</f>
        <v>0</v>
      </c>
    </row>
    <row r="875" spans="2:2" x14ac:dyDescent="0.25">
      <c r="B875" s="3">
        <f>SUMIFS(Total,Fecha,NetWorth!A875)</f>
        <v>0</v>
      </c>
    </row>
    <row r="876" spans="2:2" x14ac:dyDescent="0.25">
      <c r="B876" s="3">
        <f>SUMIFS(Total,Fecha,NetWorth!A876)</f>
        <v>0</v>
      </c>
    </row>
    <row r="877" spans="2:2" x14ac:dyDescent="0.25">
      <c r="B877" s="3">
        <f>SUMIFS(Total,Fecha,NetWorth!A877)</f>
        <v>0</v>
      </c>
    </row>
    <row r="878" spans="2:2" x14ac:dyDescent="0.25">
      <c r="B878" s="3">
        <f>SUMIFS(Total,Fecha,NetWorth!A878)</f>
        <v>0</v>
      </c>
    </row>
    <row r="879" spans="2:2" x14ac:dyDescent="0.25">
      <c r="B879" s="3">
        <f>SUMIFS(Total,Fecha,NetWorth!A879)</f>
        <v>0</v>
      </c>
    </row>
    <row r="880" spans="2:2" x14ac:dyDescent="0.25">
      <c r="B880" s="3">
        <f>SUMIFS(Total,Fecha,NetWorth!A880)</f>
        <v>0</v>
      </c>
    </row>
    <row r="881" spans="2:2" x14ac:dyDescent="0.25">
      <c r="B881" s="3">
        <f>SUMIFS(Total,Fecha,NetWorth!A881)</f>
        <v>0</v>
      </c>
    </row>
    <row r="882" spans="2:2" x14ac:dyDescent="0.25">
      <c r="B882" s="3">
        <f>SUMIFS(Total,Fecha,NetWorth!A882)</f>
        <v>0</v>
      </c>
    </row>
    <row r="883" spans="2:2" x14ac:dyDescent="0.25">
      <c r="B883" s="3">
        <f>SUMIFS(Total,Fecha,NetWorth!A883)</f>
        <v>0</v>
      </c>
    </row>
    <row r="884" spans="2:2" x14ac:dyDescent="0.25">
      <c r="B884" s="3">
        <f>SUMIFS(Total,Fecha,NetWorth!A884)</f>
        <v>0</v>
      </c>
    </row>
    <row r="885" spans="2:2" x14ac:dyDescent="0.25">
      <c r="B885" s="3">
        <f>SUMIFS(Total,Fecha,NetWorth!A885)</f>
        <v>0</v>
      </c>
    </row>
    <row r="886" spans="2:2" x14ac:dyDescent="0.25">
      <c r="B886" s="3">
        <f>SUMIFS(Total,Fecha,NetWorth!A886)</f>
        <v>0</v>
      </c>
    </row>
    <row r="887" spans="2:2" x14ac:dyDescent="0.25">
      <c r="B887" s="3">
        <f>SUMIFS(Total,Fecha,NetWorth!A887)</f>
        <v>0</v>
      </c>
    </row>
    <row r="888" spans="2:2" x14ac:dyDescent="0.25">
      <c r="B888" s="3">
        <f>SUMIFS(Total,Fecha,NetWorth!A888)</f>
        <v>0</v>
      </c>
    </row>
    <row r="889" spans="2:2" x14ac:dyDescent="0.25">
      <c r="B889" s="3">
        <f>SUMIFS(Total,Fecha,NetWorth!A889)</f>
        <v>0</v>
      </c>
    </row>
    <row r="890" spans="2:2" x14ac:dyDescent="0.25">
      <c r="B890" s="3">
        <f>SUMIFS(Total,Fecha,NetWorth!A890)</f>
        <v>0</v>
      </c>
    </row>
    <row r="891" spans="2:2" x14ac:dyDescent="0.25">
      <c r="B891" s="3">
        <f>SUMIFS(Total,Fecha,NetWorth!A891)</f>
        <v>0</v>
      </c>
    </row>
    <row r="892" spans="2:2" x14ac:dyDescent="0.25">
      <c r="B892" s="3">
        <f>SUMIFS(Total,Fecha,NetWorth!A892)</f>
        <v>0</v>
      </c>
    </row>
    <row r="893" spans="2:2" x14ac:dyDescent="0.25">
      <c r="B893" s="3">
        <f>SUMIFS(Total,Fecha,NetWorth!A893)</f>
        <v>0</v>
      </c>
    </row>
    <row r="894" spans="2:2" x14ac:dyDescent="0.25">
      <c r="B894" s="3">
        <f>SUMIFS(Total,Fecha,NetWorth!A894)</f>
        <v>0</v>
      </c>
    </row>
    <row r="895" spans="2:2" x14ac:dyDescent="0.25">
      <c r="B895" s="3">
        <f>SUMIFS(Total,Fecha,NetWorth!A895)</f>
        <v>0</v>
      </c>
    </row>
    <row r="896" spans="2:2" x14ac:dyDescent="0.25">
      <c r="B896" s="3">
        <f>SUMIFS(Total,Fecha,NetWorth!A896)</f>
        <v>0</v>
      </c>
    </row>
    <row r="897" spans="2:2" x14ac:dyDescent="0.25">
      <c r="B897" s="3">
        <f>SUMIFS(Total,Fecha,NetWorth!A897)</f>
        <v>0</v>
      </c>
    </row>
    <row r="898" spans="2:2" x14ac:dyDescent="0.25">
      <c r="B898" s="3">
        <f>SUMIFS(Total,Fecha,NetWorth!A898)</f>
        <v>0</v>
      </c>
    </row>
    <row r="899" spans="2:2" x14ac:dyDescent="0.25">
      <c r="B899" s="3">
        <f>SUMIFS(Total,Fecha,NetWorth!A899)</f>
        <v>0</v>
      </c>
    </row>
    <row r="900" spans="2:2" x14ac:dyDescent="0.25">
      <c r="B900" s="3">
        <f>SUMIFS(Total,Fecha,NetWorth!A900)</f>
        <v>0</v>
      </c>
    </row>
    <row r="901" spans="2:2" x14ac:dyDescent="0.25">
      <c r="B901" s="3">
        <f>SUMIFS(Total,Fecha,NetWorth!A901)</f>
        <v>0</v>
      </c>
    </row>
    <row r="902" spans="2:2" x14ac:dyDescent="0.25">
      <c r="B902" s="3">
        <f>SUMIFS(Total,Fecha,NetWorth!A902)</f>
        <v>0</v>
      </c>
    </row>
    <row r="903" spans="2:2" x14ac:dyDescent="0.25">
      <c r="B903" s="3">
        <f>SUMIFS(Total,Fecha,NetWorth!A903)</f>
        <v>0</v>
      </c>
    </row>
    <row r="904" spans="2:2" x14ac:dyDescent="0.25">
      <c r="B904" s="3">
        <f>SUMIFS(Total,Fecha,NetWorth!A904)</f>
        <v>0</v>
      </c>
    </row>
    <row r="905" spans="2:2" x14ac:dyDescent="0.25">
      <c r="B905" s="3">
        <f>SUMIFS(Total,Fecha,NetWorth!A905)</f>
        <v>0</v>
      </c>
    </row>
    <row r="906" spans="2:2" x14ac:dyDescent="0.25">
      <c r="B906" s="3">
        <f>SUMIFS(Total,Fecha,NetWorth!A906)</f>
        <v>0</v>
      </c>
    </row>
    <row r="907" spans="2:2" x14ac:dyDescent="0.25">
      <c r="B907" s="3">
        <f>SUMIFS(Total,Fecha,NetWorth!A907)</f>
        <v>0</v>
      </c>
    </row>
    <row r="908" spans="2:2" x14ac:dyDescent="0.25">
      <c r="B908" s="3">
        <f>SUMIFS(Total,Fecha,NetWorth!A908)</f>
        <v>0</v>
      </c>
    </row>
    <row r="909" spans="2:2" x14ac:dyDescent="0.25">
      <c r="B909" s="3">
        <f>SUMIFS(Total,Fecha,NetWorth!A909)</f>
        <v>0</v>
      </c>
    </row>
    <row r="910" spans="2:2" x14ac:dyDescent="0.25">
      <c r="B910" s="3">
        <f>SUMIFS(Total,Fecha,NetWorth!A910)</f>
        <v>0</v>
      </c>
    </row>
    <row r="911" spans="2:2" x14ac:dyDescent="0.25">
      <c r="B911" s="3">
        <f>SUMIFS(Total,Fecha,NetWorth!A911)</f>
        <v>0</v>
      </c>
    </row>
    <row r="912" spans="2:2" x14ac:dyDescent="0.25">
      <c r="B912" s="3">
        <f>SUMIFS(Total,Fecha,NetWorth!A912)</f>
        <v>0</v>
      </c>
    </row>
    <row r="913" spans="2:2" x14ac:dyDescent="0.25">
      <c r="B913" s="3">
        <f>SUMIFS(Total,Fecha,NetWorth!A913)</f>
        <v>0</v>
      </c>
    </row>
    <row r="914" spans="2:2" x14ac:dyDescent="0.25">
      <c r="B914" s="3">
        <f>SUMIFS(Total,Fecha,NetWorth!A914)</f>
        <v>0</v>
      </c>
    </row>
    <row r="915" spans="2:2" x14ac:dyDescent="0.25">
      <c r="B915" s="3">
        <f>SUMIFS(Total,Fecha,NetWorth!A915)</f>
        <v>0</v>
      </c>
    </row>
    <row r="916" spans="2:2" x14ac:dyDescent="0.25">
      <c r="B916" s="3">
        <f>SUMIFS(Total,Fecha,NetWorth!A916)</f>
        <v>0</v>
      </c>
    </row>
    <row r="917" spans="2:2" x14ac:dyDescent="0.25">
      <c r="B917" s="3">
        <f>SUMIFS(Total,Fecha,NetWorth!A917)</f>
        <v>0</v>
      </c>
    </row>
    <row r="918" spans="2:2" x14ac:dyDescent="0.25">
      <c r="B918" s="3">
        <f>SUMIFS(Total,Fecha,NetWorth!A918)</f>
        <v>0</v>
      </c>
    </row>
    <row r="919" spans="2:2" x14ac:dyDescent="0.25">
      <c r="B919" s="3">
        <f>SUMIFS(Total,Fecha,NetWorth!A919)</f>
        <v>0</v>
      </c>
    </row>
    <row r="920" spans="2:2" x14ac:dyDescent="0.25">
      <c r="B920" s="3">
        <f>SUMIFS(Total,Fecha,NetWorth!A920)</f>
        <v>0</v>
      </c>
    </row>
    <row r="921" spans="2:2" x14ac:dyDescent="0.25">
      <c r="B921" s="3">
        <f>SUMIFS(Total,Fecha,NetWorth!A921)</f>
        <v>0</v>
      </c>
    </row>
    <row r="922" spans="2:2" x14ac:dyDescent="0.25">
      <c r="B922" s="3">
        <f>SUMIFS(Total,Fecha,NetWorth!A922)</f>
        <v>0</v>
      </c>
    </row>
    <row r="923" spans="2:2" x14ac:dyDescent="0.25">
      <c r="B923" s="3">
        <f>SUMIFS(Total,Fecha,NetWorth!A923)</f>
        <v>0</v>
      </c>
    </row>
    <row r="924" spans="2:2" x14ac:dyDescent="0.25">
      <c r="B924" s="3">
        <f>SUMIFS(Total,Fecha,NetWorth!A924)</f>
        <v>0</v>
      </c>
    </row>
    <row r="925" spans="2:2" x14ac:dyDescent="0.25">
      <c r="B925" s="3">
        <f>SUMIFS(Total,Fecha,NetWorth!A925)</f>
        <v>0</v>
      </c>
    </row>
    <row r="926" spans="2:2" x14ac:dyDescent="0.25">
      <c r="B926" s="3">
        <f>SUMIFS(Total,Fecha,NetWorth!A926)</f>
        <v>0</v>
      </c>
    </row>
    <row r="927" spans="2:2" x14ac:dyDescent="0.25">
      <c r="B927" s="3">
        <f>SUMIFS(Total,Fecha,NetWorth!A927)</f>
        <v>0</v>
      </c>
    </row>
    <row r="928" spans="2:2" x14ac:dyDescent="0.25">
      <c r="B928" s="3">
        <f>SUMIFS(Total,Fecha,NetWorth!A928)</f>
        <v>0</v>
      </c>
    </row>
    <row r="929" spans="2:2" x14ac:dyDescent="0.25">
      <c r="B929" s="3">
        <f>SUMIFS(Total,Fecha,NetWorth!A929)</f>
        <v>0</v>
      </c>
    </row>
    <row r="930" spans="2:2" x14ac:dyDescent="0.25">
      <c r="B930" s="3">
        <f>SUMIFS(Total,Fecha,NetWorth!A930)</f>
        <v>0</v>
      </c>
    </row>
    <row r="931" spans="2:2" x14ac:dyDescent="0.25">
      <c r="B931" s="3">
        <f>SUMIFS(Total,Fecha,NetWorth!A931)</f>
        <v>0</v>
      </c>
    </row>
    <row r="932" spans="2:2" x14ac:dyDescent="0.25">
      <c r="B932" s="3">
        <f>SUMIFS(Total,Fecha,NetWorth!A932)</f>
        <v>0</v>
      </c>
    </row>
    <row r="933" spans="2:2" x14ac:dyDescent="0.25">
      <c r="B933" s="3">
        <f>SUMIFS(Total,Fecha,NetWorth!A933)</f>
        <v>0</v>
      </c>
    </row>
    <row r="934" spans="2:2" x14ac:dyDescent="0.25">
      <c r="B934" s="3">
        <f>SUMIFS(Total,Fecha,NetWorth!A934)</f>
        <v>0</v>
      </c>
    </row>
    <row r="935" spans="2:2" x14ac:dyDescent="0.25">
      <c r="B935" s="3">
        <f>SUMIFS(Total,Fecha,NetWorth!A935)</f>
        <v>0</v>
      </c>
    </row>
    <row r="936" spans="2:2" x14ac:dyDescent="0.25">
      <c r="B936" s="3">
        <f>SUMIFS(Total,Fecha,NetWorth!A936)</f>
        <v>0</v>
      </c>
    </row>
    <row r="937" spans="2:2" x14ac:dyDescent="0.25">
      <c r="B937" s="3">
        <f>SUMIFS(Total,Fecha,NetWorth!A937)</f>
        <v>0</v>
      </c>
    </row>
    <row r="938" spans="2:2" x14ac:dyDescent="0.25">
      <c r="B938" s="3">
        <f>SUMIFS(Total,Fecha,NetWorth!A938)</f>
        <v>0</v>
      </c>
    </row>
    <row r="939" spans="2:2" x14ac:dyDescent="0.25">
      <c r="B939" s="3">
        <f>SUMIFS(Total,Fecha,NetWorth!A939)</f>
        <v>0</v>
      </c>
    </row>
    <row r="940" spans="2:2" x14ac:dyDescent="0.25">
      <c r="B940" s="3">
        <f>SUMIFS(Total,Fecha,NetWorth!A940)</f>
        <v>0</v>
      </c>
    </row>
    <row r="941" spans="2:2" x14ac:dyDescent="0.25">
      <c r="B941" s="3">
        <f>SUMIFS(Total,Fecha,NetWorth!A941)</f>
        <v>0</v>
      </c>
    </row>
    <row r="942" spans="2:2" x14ac:dyDescent="0.25">
      <c r="B942" s="3">
        <f>SUMIFS(Total,Fecha,NetWorth!A942)</f>
        <v>0</v>
      </c>
    </row>
    <row r="943" spans="2:2" x14ac:dyDescent="0.25">
      <c r="B943" s="3">
        <f>SUMIFS(Total,Fecha,NetWorth!A943)</f>
        <v>0</v>
      </c>
    </row>
    <row r="944" spans="2:2" x14ac:dyDescent="0.25">
      <c r="B944" s="3">
        <f>SUMIFS(Total,Fecha,NetWorth!A944)</f>
        <v>0</v>
      </c>
    </row>
    <row r="945" spans="2:2" x14ac:dyDescent="0.25">
      <c r="B945" s="3">
        <f>SUMIFS(Total,Fecha,NetWorth!A945)</f>
        <v>0</v>
      </c>
    </row>
    <row r="946" spans="2:2" x14ac:dyDescent="0.25">
      <c r="B946" s="3">
        <f>SUMIFS(Total,Fecha,NetWorth!A946)</f>
        <v>0</v>
      </c>
    </row>
    <row r="947" spans="2:2" x14ac:dyDescent="0.25">
      <c r="B947" s="3">
        <f>SUMIFS(Total,Fecha,NetWorth!A947)</f>
        <v>0</v>
      </c>
    </row>
    <row r="948" spans="2:2" x14ac:dyDescent="0.25">
      <c r="B948" s="3">
        <f>SUMIFS(Total,Fecha,NetWorth!A948)</f>
        <v>0</v>
      </c>
    </row>
    <row r="949" spans="2:2" x14ac:dyDescent="0.25">
      <c r="B949" s="3">
        <f>SUMIFS(Total,Fecha,NetWorth!A949)</f>
        <v>0</v>
      </c>
    </row>
    <row r="950" spans="2:2" x14ac:dyDescent="0.25">
      <c r="B950" s="3">
        <f>SUMIFS(Total,Fecha,NetWorth!A950)</f>
        <v>0</v>
      </c>
    </row>
    <row r="951" spans="2:2" x14ac:dyDescent="0.25">
      <c r="B951" s="3">
        <f>SUMIFS(Total,Fecha,NetWorth!A951)</f>
        <v>0</v>
      </c>
    </row>
    <row r="952" spans="2:2" x14ac:dyDescent="0.25">
      <c r="B952" s="3">
        <f>SUMIFS(Total,Fecha,NetWorth!A952)</f>
        <v>0</v>
      </c>
    </row>
    <row r="953" spans="2:2" x14ac:dyDescent="0.25">
      <c r="B953" s="3">
        <f>SUMIFS(Total,Fecha,NetWorth!A953)</f>
        <v>0</v>
      </c>
    </row>
    <row r="954" spans="2:2" x14ac:dyDescent="0.25">
      <c r="B954" s="3">
        <f>SUMIFS(Total,Fecha,NetWorth!A954)</f>
        <v>0</v>
      </c>
    </row>
    <row r="955" spans="2:2" x14ac:dyDescent="0.25">
      <c r="B955" s="3">
        <f>SUMIFS(Total,Fecha,NetWorth!A955)</f>
        <v>0</v>
      </c>
    </row>
    <row r="956" spans="2:2" x14ac:dyDescent="0.25">
      <c r="B956" s="3">
        <f>SUMIFS(Total,Fecha,NetWorth!A956)</f>
        <v>0</v>
      </c>
    </row>
    <row r="957" spans="2:2" x14ac:dyDescent="0.25">
      <c r="B957" s="3">
        <f>SUMIFS(Total,Fecha,NetWorth!A957)</f>
        <v>0</v>
      </c>
    </row>
    <row r="958" spans="2:2" x14ac:dyDescent="0.25">
      <c r="B958" s="3">
        <f>SUMIFS(Total,Fecha,NetWorth!A958)</f>
        <v>0</v>
      </c>
    </row>
    <row r="959" spans="2:2" x14ac:dyDescent="0.25">
      <c r="B959" s="3">
        <f>SUMIFS(Total,Fecha,NetWorth!A959)</f>
        <v>0</v>
      </c>
    </row>
    <row r="960" spans="2:2" x14ac:dyDescent="0.25">
      <c r="B960" s="3">
        <f>SUMIFS(Total,Fecha,NetWorth!A960)</f>
        <v>0</v>
      </c>
    </row>
    <row r="961" spans="2:2" x14ac:dyDescent="0.25">
      <c r="B961" s="3">
        <f>SUMIFS(Total,Fecha,NetWorth!A961)</f>
        <v>0</v>
      </c>
    </row>
    <row r="962" spans="2:2" x14ac:dyDescent="0.25">
      <c r="B962" s="3">
        <f>SUMIFS(Total,Fecha,NetWorth!A962)</f>
        <v>0</v>
      </c>
    </row>
    <row r="963" spans="2:2" x14ac:dyDescent="0.25">
      <c r="B963" s="3">
        <f>SUMIFS(Total,Fecha,NetWorth!A963)</f>
        <v>0</v>
      </c>
    </row>
    <row r="964" spans="2:2" x14ac:dyDescent="0.25">
      <c r="B964" s="3">
        <f>SUMIFS(Total,Fecha,NetWorth!A964)</f>
        <v>0</v>
      </c>
    </row>
    <row r="965" spans="2:2" x14ac:dyDescent="0.25">
      <c r="B965" s="3">
        <f>SUMIFS(Total,Fecha,NetWorth!A965)</f>
        <v>0</v>
      </c>
    </row>
    <row r="966" spans="2:2" x14ac:dyDescent="0.25">
      <c r="B966" s="3">
        <f>SUMIFS(Total,Fecha,NetWorth!A966)</f>
        <v>0</v>
      </c>
    </row>
    <row r="967" spans="2:2" x14ac:dyDescent="0.25">
      <c r="B967" s="3">
        <f>SUMIFS(Total,Fecha,NetWorth!A967)</f>
        <v>0</v>
      </c>
    </row>
    <row r="968" spans="2:2" x14ac:dyDescent="0.25">
      <c r="B968" s="3">
        <f>SUMIFS(Total,Fecha,NetWorth!A968)</f>
        <v>0</v>
      </c>
    </row>
    <row r="969" spans="2:2" x14ac:dyDescent="0.25">
      <c r="B969" s="3">
        <f>SUMIFS(Total,Fecha,NetWorth!A969)</f>
        <v>0</v>
      </c>
    </row>
    <row r="970" spans="2:2" x14ac:dyDescent="0.25">
      <c r="B970" s="3">
        <f>SUMIFS(Total,Fecha,NetWorth!A970)</f>
        <v>0</v>
      </c>
    </row>
    <row r="971" spans="2:2" x14ac:dyDescent="0.25">
      <c r="B971" s="3">
        <f>SUMIFS(Total,Fecha,NetWorth!A971)</f>
        <v>0</v>
      </c>
    </row>
    <row r="972" spans="2:2" x14ac:dyDescent="0.25">
      <c r="B972" s="3">
        <f>SUMIFS(Total,Fecha,NetWorth!A972)</f>
        <v>0</v>
      </c>
    </row>
    <row r="973" spans="2:2" x14ac:dyDescent="0.25">
      <c r="B973" s="3">
        <f>SUMIFS(Total,Fecha,NetWorth!A973)</f>
        <v>0</v>
      </c>
    </row>
    <row r="974" spans="2:2" x14ac:dyDescent="0.25">
      <c r="B974" s="3">
        <f>SUMIFS(Total,Fecha,NetWorth!A974)</f>
        <v>0</v>
      </c>
    </row>
    <row r="975" spans="2:2" x14ac:dyDescent="0.25">
      <c r="B975" s="3">
        <f>SUMIFS(Total,Fecha,NetWorth!A975)</f>
        <v>0</v>
      </c>
    </row>
    <row r="976" spans="2:2" x14ac:dyDescent="0.25">
      <c r="B976" s="3">
        <f>SUMIFS(Total,Fecha,NetWorth!A976)</f>
        <v>0</v>
      </c>
    </row>
    <row r="977" spans="2:2" x14ac:dyDescent="0.25">
      <c r="B977" s="3">
        <f>SUMIFS(Total,Fecha,NetWorth!A977)</f>
        <v>0</v>
      </c>
    </row>
    <row r="978" spans="2:2" x14ac:dyDescent="0.25">
      <c r="B978" s="3">
        <f>SUMIFS(Total,Fecha,NetWorth!A978)</f>
        <v>0</v>
      </c>
    </row>
    <row r="979" spans="2:2" x14ac:dyDescent="0.25">
      <c r="B979" s="3">
        <f>SUMIFS(Total,Fecha,NetWorth!A979)</f>
        <v>0</v>
      </c>
    </row>
    <row r="980" spans="2:2" x14ac:dyDescent="0.25">
      <c r="B980" s="3">
        <f>SUMIFS(Total,Fecha,NetWorth!A980)</f>
        <v>0</v>
      </c>
    </row>
    <row r="981" spans="2:2" x14ac:dyDescent="0.25">
      <c r="B981" s="3">
        <f>SUMIFS(Total,Fecha,NetWorth!A981)</f>
        <v>0</v>
      </c>
    </row>
    <row r="982" spans="2:2" x14ac:dyDescent="0.25">
      <c r="B982" s="3">
        <f>SUMIFS(Total,Fecha,NetWorth!A982)</f>
        <v>0</v>
      </c>
    </row>
    <row r="983" spans="2:2" x14ac:dyDescent="0.25">
      <c r="B983" s="3">
        <f>SUMIFS(Total,Fecha,NetWorth!A983)</f>
        <v>0</v>
      </c>
    </row>
    <row r="984" spans="2:2" x14ac:dyDescent="0.25">
      <c r="B984" s="3">
        <f>SUMIFS(Total,Fecha,NetWorth!A984)</f>
        <v>0</v>
      </c>
    </row>
    <row r="985" spans="2:2" x14ac:dyDescent="0.25">
      <c r="B985" s="3">
        <f>SUMIFS(Total,Fecha,NetWorth!A985)</f>
        <v>0</v>
      </c>
    </row>
    <row r="986" spans="2:2" x14ac:dyDescent="0.25">
      <c r="B986" s="3">
        <f>SUMIFS(Total,Fecha,NetWorth!A986)</f>
        <v>0</v>
      </c>
    </row>
    <row r="987" spans="2:2" x14ac:dyDescent="0.25">
      <c r="B987" s="3">
        <f>SUMIFS(Total,Fecha,NetWorth!A987)</f>
        <v>0</v>
      </c>
    </row>
    <row r="988" spans="2:2" x14ac:dyDescent="0.25">
      <c r="B988" s="3">
        <f>SUMIFS(Total,Fecha,NetWorth!A988)</f>
        <v>0</v>
      </c>
    </row>
    <row r="989" spans="2:2" x14ac:dyDescent="0.25">
      <c r="B989" s="3">
        <f>SUMIFS(Total,Fecha,NetWorth!A989)</f>
        <v>0</v>
      </c>
    </row>
    <row r="990" spans="2:2" x14ac:dyDescent="0.25">
      <c r="B990" s="3">
        <f>SUMIFS(Total,Fecha,NetWorth!A990)</f>
        <v>0</v>
      </c>
    </row>
    <row r="991" spans="2:2" x14ac:dyDescent="0.25">
      <c r="B991" s="3">
        <f>SUMIFS(Total,Fecha,NetWorth!A991)</f>
        <v>0</v>
      </c>
    </row>
    <row r="992" spans="2:2" x14ac:dyDescent="0.25">
      <c r="B992" s="3">
        <f>SUMIFS(Total,Fecha,NetWorth!A992)</f>
        <v>0</v>
      </c>
    </row>
    <row r="993" spans="2:2" x14ac:dyDescent="0.25">
      <c r="B993" s="3">
        <f>SUMIFS(Total,Fecha,NetWorth!A993)</f>
        <v>0</v>
      </c>
    </row>
    <row r="994" spans="2:2" x14ac:dyDescent="0.25">
      <c r="B994" s="3">
        <f>SUMIFS(Total,Fecha,NetWorth!A994)</f>
        <v>0</v>
      </c>
    </row>
    <row r="995" spans="2:2" x14ac:dyDescent="0.25">
      <c r="B995" s="3">
        <f>SUMIFS(Total,Fecha,NetWorth!A995)</f>
        <v>0</v>
      </c>
    </row>
    <row r="996" spans="2:2" x14ac:dyDescent="0.25">
      <c r="B996" s="3">
        <f>SUMIFS(Total,Fecha,NetWorth!A996)</f>
        <v>0</v>
      </c>
    </row>
    <row r="997" spans="2:2" x14ac:dyDescent="0.25">
      <c r="B997" s="3">
        <f>SUMIFS(Total,Fecha,NetWorth!A997)</f>
        <v>0</v>
      </c>
    </row>
    <row r="998" spans="2:2" x14ac:dyDescent="0.25">
      <c r="B998" s="3">
        <f>SUMIFS(Total,Fecha,NetWorth!A998)</f>
        <v>0</v>
      </c>
    </row>
    <row r="999" spans="2:2" x14ac:dyDescent="0.25">
      <c r="B999" s="3">
        <f>SUMIFS(Total,Fecha,NetWorth!A999)</f>
        <v>0</v>
      </c>
    </row>
    <row r="1000" spans="2:2" x14ac:dyDescent="0.25">
      <c r="B1000" s="3">
        <f>SUMIFS(Total,Fecha,NetWorth!A1000)</f>
        <v>0</v>
      </c>
    </row>
    <row r="1001" spans="2:2" x14ac:dyDescent="0.25">
      <c r="B1001" s="3">
        <f>SUMIFS(Total,Fecha,NetWorth!A1001)</f>
        <v>0</v>
      </c>
    </row>
    <row r="1002" spans="2:2" x14ac:dyDescent="0.25">
      <c r="B1002" s="3">
        <f>SUMIFS(Total,Fecha,NetWorth!A1002)</f>
        <v>0</v>
      </c>
    </row>
    <row r="1003" spans="2:2" x14ac:dyDescent="0.25">
      <c r="B1003" s="3">
        <f>SUMIFS(Total,Fecha,NetWorth!A1003)</f>
        <v>0</v>
      </c>
    </row>
    <row r="1004" spans="2:2" x14ac:dyDescent="0.25">
      <c r="B1004" s="3">
        <f>SUMIFS(Total,Fecha,NetWorth!A1004)</f>
        <v>0</v>
      </c>
    </row>
    <row r="1005" spans="2:2" x14ac:dyDescent="0.25">
      <c r="B1005" s="3">
        <f>SUMIFS(Total,Fecha,NetWorth!A1005)</f>
        <v>0</v>
      </c>
    </row>
    <row r="1006" spans="2:2" x14ac:dyDescent="0.25">
      <c r="B1006" s="3">
        <f>SUMIFS(Total,Fecha,NetWorth!A1006)</f>
        <v>0</v>
      </c>
    </row>
    <row r="1007" spans="2:2" x14ac:dyDescent="0.25">
      <c r="B1007" s="3">
        <f>SUMIFS(Total,Fecha,NetWorth!A1007)</f>
        <v>0</v>
      </c>
    </row>
    <row r="1008" spans="2:2" x14ac:dyDescent="0.25">
      <c r="B1008" s="3">
        <f>SUMIFS(Total,Fecha,NetWorth!A1008)</f>
        <v>0</v>
      </c>
    </row>
    <row r="1009" spans="2:2" x14ac:dyDescent="0.25">
      <c r="B1009" s="3">
        <f>SUMIFS(Total,Fecha,NetWorth!A1009)</f>
        <v>0</v>
      </c>
    </row>
    <row r="1010" spans="2:2" x14ac:dyDescent="0.25">
      <c r="B1010" s="3">
        <f>SUMIFS(Total,Fecha,NetWorth!A1010)</f>
        <v>0</v>
      </c>
    </row>
    <row r="1011" spans="2:2" x14ac:dyDescent="0.25">
      <c r="B1011" s="3">
        <f>SUMIFS(Total,Fecha,NetWorth!A1011)</f>
        <v>0</v>
      </c>
    </row>
    <row r="1012" spans="2:2" x14ac:dyDescent="0.25">
      <c r="B1012" s="3">
        <f>SUMIFS(Total,Fecha,NetWorth!A1012)</f>
        <v>0</v>
      </c>
    </row>
    <row r="1013" spans="2:2" x14ac:dyDescent="0.25">
      <c r="B1013" s="3">
        <f>SUMIFS(Total,Fecha,NetWorth!A1013)</f>
        <v>0</v>
      </c>
    </row>
    <row r="1014" spans="2:2" x14ac:dyDescent="0.25">
      <c r="B1014" s="3">
        <f>SUMIFS(Total,Fecha,NetWorth!A1014)</f>
        <v>0</v>
      </c>
    </row>
    <row r="1015" spans="2:2" x14ac:dyDescent="0.25">
      <c r="B1015" s="3">
        <f>SUMIFS(Total,Fecha,NetWorth!A1015)</f>
        <v>0</v>
      </c>
    </row>
    <row r="1016" spans="2:2" x14ac:dyDescent="0.25">
      <c r="B1016" s="3">
        <f>SUMIFS(Total,Fecha,NetWorth!A1016)</f>
        <v>0</v>
      </c>
    </row>
    <row r="1017" spans="2:2" x14ac:dyDescent="0.25">
      <c r="B1017" s="3">
        <f>SUMIFS(Total,Fecha,NetWorth!A1017)</f>
        <v>0</v>
      </c>
    </row>
    <row r="1018" spans="2:2" x14ac:dyDescent="0.25">
      <c r="B1018" s="3">
        <f>SUMIFS(Total,Fecha,NetWorth!A1018)</f>
        <v>0</v>
      </c>
    </row>
    <row r="1019" spans="2:2" x14ac:dyDescent="0.25">
      <c r="B1019" s="3">
        <f>SUMIFS(Total,Fecha,NetWorth!A1019)</f>
        <v>0</v>
      </c>
    </row>
    <row r="1020" spans="2:2" x14ac:dyDescent="0.25">
      <c r="B1020" s="3">
        <f>SUMIFS(Total,Fecha,NetWorth!A1020)</f>
        <v>0</v>
      </c>
    </row>
    <row r="1021" spans="2:2" x14ac:dyDescent="0.25">
      <c r="B1021" s="3">
        <f>SUMIFS(Total,Fecha,NetWorth!A1021)</f>
        <v>0</v>
      </c>
    </row>
    <row r="1022" spans="2:2" x14ac:dyDescent="0.25">
      <c r="B1022" s="3">
        <f>SUMIFS(Total,Fecha,NetWorth!A1022)</f>
        <v>0</v>
      </c>
    </row>
    <row r="1023" spans="2:2" x14ac:dyDescent="0.25">
      <c r="B1023" s="3">
        <f>SUMIFS(Total,Fecha,NetWorth!A1023)</f>
        <v>0</v>
      </c>
    </row>
    <row r="1024" spans="2:2" x14ac:dyDescent="0.25">
      <c r="B1024" s="3">
        <f>SUMIFS(Total,Fecha,NetWorth!A1024)</f>
        <v>0</v>
      </c>
    </row>
    <row r="1025" spans="2:2" x14ac:dyDescent="0.25">
      <c r="B1025" s="3">
        <f>SUMIFS(Total,Fecha,NetWorth!A1025)</f>
        <v>0</v>
      </c>
    </row>
    <row r="1026" spans="2:2" x14ac:dyDescent="0.25">
      <c r="B1026" s="3">
        <f>SUMIFS(Total,Fecha,NetWorth!A1026)</f>
        <v>0</v>
      </c>
    </row>
    <row r="1027" spans="2:2" x14ac:dyDescent="0.25">
      <c r="B1027" s="3">
        <f>SUMIFS(Total,Fecha,NetWorth!A1027)</f>
        <v>0</v>
      </c>
    </row>
    <row r="1028" spans="2:2" x14ac:dyDescent="0.25">
      <c r="B1028" s="3">
        <f>SUMIFS(Total,Fecha,NetWorth!A1028)</f>
        <v>0</v>
      </c>
    </row>
    <row r="1029" spans="2:2" x14ac:dyDescent="0.25">
      <c r="B1029" s="3">
        <f>SUMIFS(Total,Fecha,NetWorth!A1029)</f>
        <v>0</v>
      </c>
    </row>
    <row r="1030" spans="2:2" x14ac:dyDescent="0.25">
      <c r="B1030" s="3">
        <f>SUMIFS(Total,Fecha,NetWorth!A1030)</f>
        <v>0</v>
      </c>
    </row>
    <row r="1031" spans="2:2" x14ac:dyDescent="0.25">
      <c r="B1031" s="3">
        <f>SUMIFS(Total,Fecha,NetWorth!A1031)</f>
        <v>0</v>
      </c>
    </row>
    <row r="1032" spans="2:2" x14ac:dyDescent="0.25">
      <c r="B1032" s="3">
        <f>SUMIFS(Total,Fecha,NetWorth!A1032)</f>
        <v>0</v>
      </c>
    </row>
    <row r="1033" spans="2:2" x14ac:dyDescent="0.25">
      <c r="B1033" s="3">
        <f>SUMIFS(Total,Fecha,NetWorth!A1033)</f>
        <v>0</v>
      </c>
    </row>
    <row r="1034" spans="2:2" x14ac:dyDescent="0.25">
      <c r="B1034" s="3">
        <f>SUMIFS(Total,Fecha,NetWorth!A1034)</f>
        <v>0</v>
      </c>
    </row>
    <row r="1035" spans="2:2" x14ac:dyDescent="0.25">
      <c r="B1035" s="3">
        <f>SUMIFS(Total,Fecha,NetWorth!A1035)</f>
        <v>0</v>
      </c>
    </row>
    <row r="1036" spans="2:2" x14ac:dyDescent="0.25">
      <c r="B1036" s="3">
        <f>SUMIFS(Total,Fecha,NetWorth!A1036)</f>
        <v>0</v>
      </c>
    </row>
    <row r="1037" spans="2:2" x14ac:dyDescent="0.25">
      <c r="B1037" s="3">
        <f>SUMIFS(Total,Fecha,NetWorth!A1037)</f>
        <v>0</v>
      </c>
    </row>
    <row r="1038" spans="2:2" x14ac:dyDescent="0.25">
      <c r="B1038" s="3">
        <f>SUMIFS(Total,Fecha,NetWorth!A1038)</f>
        <v>0</v>
      </c>
    </row>
    <row r="1039" spans="2:2" x14ac:dyDescent="0.25">
      <c r="B1039" s="3">
        <f>SUMIFS(Total,Fecha,NetWorth!A1039)</f>
        <v>0</v>
      </c>
    </row>
    <row r="1040" spans="2:2" x14ac:dyDescent="0.25">
      <c r="B1040" s="3">
        <f>SUMIFS(Total,Fecha,NetWorth!A1040)</f>
        <v>0</v>
      </c>
    </row>
    <row r="1041" spans="2:2" x14ac:dyDescent="0.25">
      <c r="B1041" s="3">
        <f>SUMIFS(Total,Fecha,NetWorth!A1041)</f>
        <v>0</v>
      </c>
    </row>
    <row r="1042" spans="2:2" x14ac:dyDescent="0.25">
      <c r="B1042" s="3">
        <f>SUMIFS(Total,Fecha,NetWorth!A1042)</f>
        <v>0</v>
      </c>
    </row>
    <row r="1043" spans="2:2" x14ac:dyDescent="0.25">
      <c r="B1043" s="3">
        <f>SUMIFS(Total,Fecha,NetWorth!A1043)</f>
        <v>0</v>
      </c>
    </row>
    <row r="1044" spans="2:2" x14ac:dyDescent="0.25">
      <c r="B1044" s="3">
        <f>SUMIFS(Total,Fecha,NetWorth!A1044)</f>
        <v>0</v>
      </c>
    </row>
    <row r="1045" spans="2:2" x14ac:dyDescent="0.25">
      <c r="B1045" s="3">
        <f>SUMIFS(Total,Fecha,NetWorth!A1045)</f>
        <v>0</v>
      </c>
    </row>
    <row r="1046" spans="2:2" x14ac:dyDescent="0.25">
      <c r="B1046" s="3">
        <f>SUMIFS(Total,Fecha,NetWorth!A1046)</f>
        <v>0</v>
      </c>
    </row>
    <row r="1047" spans="2:2" x14ac:dyDescent="0.25">
      <c r="B1047" s="3">
        <f>SUMIFS(Total,Fecha,NetWorth!A1047)</f>
        <v>0</v>
      </c>
    </row>
    <row r="1048" spans="2:2" x14ac:dyDescent="0.25">
      <c r="B1048" s="3">
        <f>SUMIFS(Total,Fecha,NetWorth!A1048)</f>
        <v>0</v>
      </c>
    </row>
    <row r="1049" spans="2:2" x14ac:dyDescent="0.25">
      <c r="B1049" s="3">
        <f>SUMIFS(Total,Fecha,NetWorth!A1049)</f>
        <v>0</v>
      </c>
    </row>
    <row r="1050" spans="2:2" x14ac:dyDescent="0.25">
      <c r="B1050" s="3">
        <f>SUMIFS(Total,Fecha,NetWorth!A1050)</f>
        <v>0</v>
      </c>
    </row>
    <row r="1051" spans="2:2" x14ac:dyDescent="0.25">
      <c r="B1051" s="3">
        <f>SUMIFS(Total,Fecha,NetWorth!A1051)</f>
        <v>0</v>
      </c>
    </row>
    <row r="1052" spans="2:2" x14ac:dyDescent="0.25">
      <c r="B1052" s="3">
        <f>SUMIFS(Total,Fecha,NetWorth!A1052)</f>
        <v>0</v>
      </c>
    </row>
    <row r="1053" spans="2:2" x14ac:dyDescent="0.25">
      <c r="B1053" s="3">
        <f>SUMIFS(Total,Fecha,NetWorth!A1053)</f>
        <v>0</v>
      </c>
    </row>
    <row r="1054" spans="2:2" x14ac:dyDescent="0.25">
      <c r="B1054" s="3">
        <f>SUMIFS(Total,Fecha,NetWorth!A1054)</f>
        <v>0</v>
      </c>
    </row>
    <row r="1055" spans="2:2" x14ac:dyDescent="0.25">
      <c r="B1055" s="3">
        <f>SUMIFS(Total,Fecha,NetWorth!A1055)</f>
        <v>0</v>
      </c>
    </row>
    <row r="1056" spans="2:2" x14ac:dyDescent="0.25">
      <c r="B1056" s="3">
        <f>SUMIFS(Total,Fecha,NetWorth!A1056)</f>
        <v>0</v>
      </c>
    </row>
    <row r="1057" spans="2:2" x14ac:dyDescent="0.25">
      <c r="B1057" s="3">
        <f>SUMIFS(Total,Fecha,NetWorth!A1057)</f>
        <v>0</v>
      </c>
    </row>
    <row r="1058" spans="2:2" x14ac:dyDescent="0.25">
      <c r="B1058" s="3">
        <f>SUMIFS(Total,Fecha,NetWorth!A1058)</f>
        <v>0</v>
      </c>
    </row>
    <row r="1059" spans="2:2" x14ac:dyDescent="0.25">
      <c r="B1059" s="3">
        <f>SUMIFS(Total,Fecha,NetWorth!A1059)</f>
        <v>0</v>
      </c>
    </row>
    <row r="1060" spans="2:2" x14ac:dyDescent="0.25">
      <c r="B1060" s="3">
        <f>SUMIFS(Total,Fecha,NetWorth!A1060)</f>
        <v>0</v>
      </c>
    </row>
    <row r="1061" spans="2:2" x14ac:dyDescent="0.25">
      <c r="B1061" s="3">
        <f>SUMIFS(Total,Fecha,NetWorth!A1061)</f>
        <v>0</v>
      </c>
    </row>
    <row r="1062" spans="2:2" x14ac:dyDescent="0.25">
      <c r="B1062" s="3">
        <f>SUMIFS(Total,Fecha,NetWorth!A1062)</f>
        <v>0</v>
      </c>
    </row>
    <row r="1063" spans="2:2" x14ac:dyDescent="0.25">
      <c r="B1063" s="3">
        <f>SUMIFS(Total,Fecha,NetWorth!A1063)</f>
        <v>0</v>
      </c>
    </row>
    <row r="1064" spans="2:2" x14ac:dyDescent="0.25">
      <c r="B1064" s="3">
        <f>SUMIFS(Total,Fecha,NetWorth!A1064)</f>
        <v>0</v>
      </c>
    </row>
    <row r="1065" spans="2:2" x14ac:dyDescent="0.25">
      <c r="B1065" s="3">
        <f>SUMIFS(Total,Fecha,NetWorth!A1065)</f>
        <v>0</v>
      </c>
    </row>
    <row r="1066" spans="2:2" x14ac:dyDescent="0.25">
      <c r="B1066" s="3">
        <f>SUMIFS(Total,Fecha,NetWorth!A1066)</f>
        <v>0</v>
      </c>
    </row>
    <row r="1067" spans="2:2" x14ac:dyDescent="0.25">
      <c r="B1067" s="3">
        <f>SUMIFS(Total,Fecha,NetWorth!A1067)</f>
        <v>0</v>
      </c>
    </row>
    <row r="1068" spans="2:2" x14ac:dyDescent="0.25">
      <c r="B1068" s="3">
        <f>SUMIFS(Total,Fecha,NetWorth!A1068)</f>
        <v>0</v>
      </c>
    </row>
    <row r="1069" spans="2:2" x14ac:dyDescent="0.25">
      <c r="B1069" s="3">
        <f>SUMIFS(Total,Fecha,NetWorth!A1069)</f>
        <v>0</v>
      </c>
    </row>
    <row r="1070" spans="2:2" x14ac:dyDescent="0.25">
      <c r="B1070" s="3">
        <f>SUMIFS(Total,Fecha,NetWorth!A1070)</f>
        <v>0</v>
      </c>
    </row>
    <row r="1071" spans="2:2" x14ac:dyDescent="0.25">
      <c r="B1071" s="3">
        <f>SUMIFS(Total,Fecha,NetWorth!A1071)</f>
        <v>0</v>
      </c>
    </row>
    <row r="1072" spans="2:2" x14ac:dyDescent="0.25">
      <c r="B1072" s="3">
        <f>SUMIFS(Total,Fecha,NetWorth!A1072)</f>
        <v>0</v>
      </c>
    </row>
    <row r="1073" spans="2:2" x14ac:dyDescent="0.25">
      <c r="B1073" s="3">
        <f>SUMIFS(Total,Fecha,NetWorth!A1073)</f>
        <v>0</v>
      </c>
    </row>
    <row r="1074" spans="2:2" x14ac:dyDescent="0.25">
      <c r="B1074" s="3">
        <f>SUMIFS(Total,Fecha,NetWorth!A1074)</f>
        <v>0</v>
      </c>
    </row>
    <row r="1075" spans="2:2" x14ac:dyDescent="0.25">
      <c r="B1075" s="3">
        <f>SUMIFS(Total,Fecha,NetWorth!A1075)</f>
        <v>0</v>
      </c>
    </row>
    <row r="1076" spans="2:2" x14ac:dyDescent="0.25">
      <c r="B1076" s="3">
        <f>SUMIFS(Total,Fecha,NetWorth!A1076)</f>
        <v>0</v>
      </c>
    </row>
    <row r="1077" spans="2:2" x14ac:dyDescent="0.25">
      <c r="B1077" s="3">
        <f>SUMIFS(Total,Fecha,NetWorth!A1077)</f>
        <v>0</v>
      </c>
    </row>
    <row r="1078" spans="2:2" x14ac:dyDescent="0.25">
      <c r="B1078" s="3">
        <f>SUMIFS(Total,Fecha,NetWorth!A1078)</f>
        <v>0</v>
      </c>
    </row>
    <row r="1079" spans="2:2" x14ac:dyDescent="0.25">
      <c r="B1079" s="3">
        <f>SUMIFS(Total,Fecha,NetWorth!A1079)</f>
        <v>0</v>
      </c>
    </row>
    <row r="1080" spans="2:2" x14ac:dyDescent="0.25">
      <c r="B1080" s="3">
        <f>SUMIFS(Total,Fecha,NetWorth!A1080)</f>
        <v>0</v>
      </c>
    </row>
    <row r="1081" spans="2:2" x14ac:dyDescent="0.25">
      <c r="B1081" s="3">
        <f>SUMIFS(Total,Fecha,NetWorth!A1081)</f>
        <v>0</v>
      </c>
    </row>
    <row r="1082" spans="2:2" x14ac:dyDescent="0.25">
      <c r="B1082" s="3">
        <f>SUMIFS(Total,Fecha,NetWorth!A1082)</f>
        <v>0</v>
      </c>
    </row>
    <row r="1083" spans="2:2" x14ac:dyDescent="0.25">
      <c r="B1083" s="3">
        <f>SUMIFS(Total,Fecha,NetWorth!A1083)</f>
        <v>0</v>
      </c>
    </row>
    <row r="1084" spans="2:2" x14ac:dyDescent="0.25">
      <c r="B1084" s="3">
        <f>SUMIFS(Total,Fecha,NetWorth!A1084)</f>
        <v>0</v>
      </c>
    </row>
    <row r="1085" spans="2:2" x14ac:dyDescent="0.25">
      <c r="B1085" s="3">
        <f>SUMIFS(Total,Fecha,NetWorth!A1085)</f>
        <v>0</v>
      </c>
    </row>
    <row r="1086" spans="2:2" x14ac:dyDescent="0.25">
      <c r="B1086" s="3">
        <f>SUMIFS(Total,Fecha,NetWorth!A1086)</f>
        <v>0</v>
      </c>
    </row>
    <row r="1087" spans="2:2" x14ac:dyDescent="0.25">
      <c r="B1087" s="3">
        <f>SUMIFS(Total,Fecha,NetWorth!A1087)</f>
        <v>0</v>
      </c>
    </row>
    <row r="1088" spans="2:2" x14ac:dyDescent="0.25">
      <c r="B1088" s="3">
        <f>SUMIFS(Total,Fecha,NetWorth!A1088)</f>
        <v>0</v>
      </c>
    </row>
    <row r="1089" spans="2:2" x14ac:dyDescent="0.25">
      <c r="B1089" s="3">
        <f>SUMIFS(Total,Fecha,NetWorth!A1089)</f>
        <v>0</v>
      </c>
    </row>
    <row r="1090" spans="2:2" x14ac:dyDescent="0.25">
      <c r="B1090" s="3">
        <f>SUMIFS(Total,Fecha,NetWorth!A1090)</f>
        <v>0</v>
      </c>
    </row>
    <row r="1091" spans="2:2" x14ac:dyDescent="0.25">
      <c r="B1091" s="3">
        <f>SUMIFS(Total,Fecha,NetWorth!A1091)</f>
        <v>0</v>
      </c>
    </row>
    <row r="1092" spans="2:2" x14ac:dyDescent="0.25">
      <c r="B1092" s="3">
        <f>SUMIFS(Total,Fecha,NetWorth!A1092)</f>
        <v>0</v>
      </c>
    </row>
    <row r="1093" spans="2:2" x14ac:dyDescent="0.25">
      <c r="B1093" s="3">
        <f>SUMIFS(Total,Fecha,NetWorth!A1093)</f>
        <v>0</v>
      </c>
    </row>
    <row r="1094" spans="2:2" x14ac:dyDescent="0.25">
      <c r="B1094" s="3">
        <f>SUMIFS(Total,Fecha,NetWorth!A1094)</f>
        <v>0</v>
      </c>
    </row>
    <row r="1095" spans="2:2" x14ac:dyDescent="0.25">
      <c r="B1095" s="3">
        <f>SUMIFS(Total,Fecha,NetWorth!A1095)</f>
        <v>0</v>
      </c>
    </row>
    <row r="1096" spans="2:2" x14ac:dyDescent="0.25">
      <c r="B1096" s="3">
        <f>SUMIFS(Total,Fecha,NetWorth!A1096)</f>
        <v>0</v>
      </c>
    </row>
    <row r="1097" spans="2:2" x14ac:dyDescent="0.25">
      <c r="B1097" s="3">
        <f>SUMIFS(Total,Fecha,NetWorth!A1097)</f>
        <v>0</v>
      </c>
    </row>
    <row r="1098" spans="2:2" x14ac:dyDescent="0.25">
      <c r="B1098" s="3">
        <f>SUMIFS(Total,Fecha,NetWorth!A1098)</f>
        <v>0</v>
      </c>
    </row>
    <row r="1099" spans="2:2" x14ac:dyDescent="0.25">
      <c r="B1099" s="3">
        <f>SUMIFS(Total,Fecha,NetWorth!A1099)</f>
        <v>0</v>
      </c>
    </row>
    <row r="1100" spans="2:2" x14ac:dyDescent="0.25">
      <c r="B1100" s="3">
        <f>SUMIFS(Total,Fecha,NetWorth!A1100)</f>
        <v>0</v>
      </c>
    </row>
    <row r="1101" spans="2:2" x14ac:dyDescent="0.25">
      <c r="B1101" s="3">
        <f>SUMIFS(Total,Fecha,NetWorth!A1101)</f>
        <v>0</v>
      </c>
    </row>
    <row r="1102" spans="2:2" x14ac:dyDescent="0.25">
      <c r="B1102" s="3">
        <f>SUMIFS(Total,Fecha,NetWorth!A1102)</f>
        <v>0</v>
      </c>
    </row>
    <row r="1103" spans="2:2" x14ac:dyDescent="0.25">
      <c r="B1103" s="3">
        <f>SUMIFS(Total,Fecha,NetWorth!A1103)</f>
        <v>0</v>
      </c>
    </row>
    <row r="1104" spans="2:2" x14ac:dyDescent="0.25">
      <c r="B1104" s="3">
        <f>SUMIFS(Total,Fecha,NetWorth!A1104)</f>
        <v>0</v>
      </c>
    </row>
    <row r="1105" spans="2:2" x14ac:dyDescent="0.25">
      <c r="B1105" s="3">
        <f>SUMIFS(Total,Fecha,NetWorth!A1105)</f>
        <v>0</v>
      </c>
    </row>
    <row r="1106" spans="2:2" x14ac:dyDescent="0.25">
      <c r="B1106" s="3">
        <f>SUMIFS(Total,Fecha,NetWorth!A1106)</f>
        <v>0</v>
      </c>
    </row>
    <row r="1107" spans="2:2" x14ac:dyDescent="0.25">
      <c r="B1107" s="3">
        <f>SUMIFS(Total,Fecha,NetWorth!A1107)</f>
        <v>0</v>
      </c>
    </row>
    <row r="1108" spans="2:2" x14ac:dyDescent="0.25">
      <c r="B1108" s="3">
        <f>SUMIFS(Total,Fecha,NetWorth!A1108)</f>
        <v>0</v>
      </c>
    </row>
    <row r="1109" spans="2:2" x14ac:dyDescent="0.25">
      <c r="B1109" s="3">
        <f>SUMIFS(Total,Fecha,NetWorth!A1109)</f>
        <v>0</v>
      </c>
    </row>
    <row r="1110" spans="2:2" x14ac:dyDescent="0.25">
      <c r="B1110" s="3">
        <f>SUMIFS(Total,Fecha,NetWorth!A1110)</f>
        <v>0</v>
      </c>
    </row>
    <row r="1111" spans="2:2" x14ac:dyDescent="0.25">
      <c r="B1111" s="3">
        <f>SUMIFS(Total,Fecha,NetWorth!A1111)</f>
        <v>0</v>
      </c>
    </row>
    <row r="1112" spans="2:2" x14ac:dyDescent="0.25">
      <c r="B1112" s="3">
        <f>SUMIFS(Total,Fecha,NetWorth!A1112)</f>
        <v>0</v>
      </c>
    </row>
    <row r="1113" spans="2:2" x14ac:dyDescent="0.25">
      <c r="B1113" s="3">
        <f>SUMIFS(Total,Fecha,NetWorth!A1113)</f>
        <v>0</v>
      </c>
    </row>
    <row r="1114" spans="2:2" x14ac:dyDescent="0.25">
      <c r="B1114" s="3">
        <f>SUMIFS(Total,Fecha,NetWorth!A1114)</f>
        <v>0</v>
      </c>
    </row>
    <row r="1115" spans="2:2" x14ac:dyDescent="0.25">
      <c r="B1115" s="3">
        <f>SUMIFS(Total,Fecha,NetWorth!A1115)</f>
        <v>0</v>
      </c>
    </row>
    <row r="1116" spans="2:2" x14ac:dyDescent="0.25">
      <c r="B1116" s="3">
        <f>SUMIFS(Total,Fecha,NetWorth!A1116)</f>
        <v>0</v>
      </c>
    </row>
    <row r="1117" spans="2:2" x14ac:dyDescent="0.25">
      <c r="B1117" s="3">
        <f>SUMIFS(Total,Fecha,NetWorth!A1117)</f>
        <v>0</v>
      </c>
    </row>
    <row r="1118" spans="2:2" x14ac:dyDescent="0.25">
      <c r="B1118" s="3">
        <f>SUMIFS(Total,Fecha,NetWorth!A1118)</f>
        <v>0</v>
      </c>
    </row>
    <row r="1119" spans="2:2" x14ac:dyDescent="0.25">
      <c r="B1119" s="3">
        <f>SUMIFS(Total,Fecha,NetWorth!A1119)</f>
        <v>0</v>
      </c>
    </row>
    <row r="1120" spans="2:2" x14ac:dyDescent="0.25">
      <c r="B1120" s="3">
        <f>SUMIFS(Total,Fecha,NetWorth!A1120)</f>
        <v>0</v>
      </c>
    </row>
    <row r="1121" spans="2:2" x14ac:dyDescent="0.25">
      <c r="B1121" s="3">
        <f>SUMIFS(Total,Fecha,NetWorth!A1121)</f>
        <v>0</v>
      </c>
    </row>
    <row r="1122" spans="2:2" x14ac:dyDescent="0.25">
      <c r="B1122" s="3">
        <f>SUMIFS(Total,Fecha,NetWorth!A1122)</f>
        <v>0</v>
      </c>
    </row>
    <row r="1123" spans="2:2" x14ac:dyDescent="0.25">
      <c r="B1123" s="3">
        <f>SUMIFS(Total,Fecha,NetWorth!A1123)</f>
        <v>0</v>
      </c>
    </row>
    <row r="1124" spans="2:2" x14ac:dyDescent="0.25">
      <c r="B1124" s="3">
        <f>SUMIFS(Total,Fecha,NetWorth!A1124)</f>
        <v>0</v>
      </c>
    </row>
    <row r="1125" spans="2:2" x14ac:dyDescent="0.25">
      <c r="B1125" s="3">
        <f>SUMIFS(Total,Fecha,NetWorth!A1125)</f>
        <v>0</v>
      </c>
    </row>
    <row r="1126" spans="2:2" x14ac:dyDescent="0.25">
      <c r="B1126" s="3">
        <f>SUMIFS(Total,Fecha,NetWorth!A1126)</f>
        <v>0</v>
      </c>
    </row>
    <row r="1127" spans="2:2" x14ac:dyDescent="0.25">
      <c r="B1127" s="3">
        <f>SUMIFS(Total,Fecha,NetWorth!A1127)</f>
        <v>0</v>
      </c>
    </row>
    <row r="1128" spans="2:2" x14ac:dyDescent="0.25">
      <c r="B1128" s="3">
        <f>SUMIFS(Total,Fecha,NetWorth!A1128)</f>
        <v>0</v>
      </c>
    </row>
    <row r="1129" spans="2:2" x14ac:dyDescent="0.25">
      <c r="B1129" s="3">
        <f>SUMIFS(Total,Fecha,NetWorth!A1129)</f>
        <v>0</v>
      </c>
    </row>
    <row r="1130" spans="2:2" x14ac:dyDescent="0.25">
      <c r="B1130" s="3">
        <f>SUMIFS(Total,Fecha,NetWorth!A1130)</f>
        <v>0</v>
      </c>
    </row>
    <row r="1131" spans="2:2" x14ac:dyDescent="0.25">
      <c r="B1131" s="3">
        <f>SUMIFS(Total,Fecha,NetWorth!A1131)</f>
        <v>0</v>
      </c>
    </row>
    <row r="1132" spans="2:2" x14ac:dyDescent="0.25">
      <c r="B1132" s="3">
        <f>SUMIFS(Total,Fecha,NetWorth!A1132)</f>
        <v>0</v>
      </c>
    </row>
    <row r="1133" spans="2:2" x14ac:dyDescent="0.25">
      <c r="B1133" s="3">
        <f>SUMIFS(Total,Fecha,NetWorth!A1133)</f>
        <v>0</v>
      </c>
    </row>
    <row r="1134" spans="2:2" x14ac:dyDescent="0.25">
      <c r="B1134" s="3">
        <f>SUMIFS(Total,Fecha,NetWorth!A1134)</f>
        <v>0</v>
      </c>
    </row>
    <row r="1135" spans="2:2" x14ac:dyDescent="0.25">
      <c r="B1135" s="3">
        <f>SUMIFS(Total,Fecha,NetWorth!A1135)</f>
        <v>0</v>
      </c>
    </row>
    <row r="1136" spans="2:2" x14ac:dyDescent="0.25">
      <c r="B1136" s="3">
        <f>SUMIFS(Total,Fecha,NetWorth!A1136)</f>
        <v>0</v>
      </c>
    </row>
    <row r="1137" spans="2:2" x14ac:dyDescent="0.25">
      <c r="B1137" s="3">
        <f>SUMIFS(Total,Fecha,NetWorth!A1137)</f>
        <v>0</v>
      </c>
    </row>
    <row r="1138" spans="2:2" x14ac:dyDescent="0.25">
      <c r="B1138" s="3">
        <f>SUMIFS(Total,Fecha,NetWorth!A1138)</f>
        <v>0</v>
      </c>
    </row>
    <row r="1139" spans="2:2" x14ac:dyDescent="0.25">
      <c r="B1139" s="3">
        <f>SUMIFS(Total,Fecha,NetWorth!A1139)</f>
        <v>0</v>
      </c>
    </row>
    <row r="1140" spans="2:2" x14ac:dyDescent="0.25">
      <c r="B1140" s="3">
        <f>SUMIFS(Total,Fecha,NetWorth!A1140)</f>
        <v>0</v>
      </c>
    </row>
    <row r="1141" spans="2:2" x14ac:dyDescent="0.25">
      <c r="B1141" s="3">
        <f>SUMIFS(Total,Fecha,NetWorth!A1141)</f>
        <v>0</v>
      </c>
    </row>
    <row r="1142" spans="2:2" x14ac:dyDescent="0.25">
      <c r="B1142" s="3">
        <f>SUMIFS(Total,Fecha,NetWorth!A1142)</f>
        <v>0</v>
      </c>
    </row>
    <row r="1143" spans="2:2" x14ac:dyDescent="0.25">
      <c r="B1143" s="3">
        <f>SUMIFS(Total,Fecha,NetWorth!A1143)</f>
        <v>0</v>
      </c>
    </row>
    <row r="1144" spans="2:2" x14ac:dyDescent="0.25">
      <c r="B1144" s="3">
        <f>SUMIFS(Total,Fecha,NetWorth!A1144)</f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35176-2F51-498E-8B2C-6C0474CCD035}">
  <sheetPr codeName="Sheet6">
    <tabColor theme="9" tint="0.39997558519241921"/>
  </sheetPr>
  <dimension ref="B1:Q27"/>
  <sheetViews>
    <sheetView showGridLines="0" tabSelected="1" zoomScale="70" zoomScaleNormal="70" workbookViewId="0">
      <selection activeCell="R17" sqref="R17"/>
    </sheetView>
  </sheetViews>
  <sheetFormatPr defaultRowHeight="15" outlineLevelCol="1" x14ac:dyDescent="0.25"/>
  <cols>
    <col min="2" max="2" width="20" customWidth="1"/>
    <col min="3" max="3" width="19.42578125" customWidth="1"/>
    <col min="4" max="5" width="19.42578125" hidden="1" customWidth="1" outlineLevel="1"/>
    <col min="6" max="6" width="17.140625" hidden="1" customWidth="1" collapsed="1"/>
    <col min="7" max="7" width="16.28515625" bestFit="1" customWidth="1"/>
    <col min="8" max="9" width="14.28515625" customWidth="1"/>
    <col min="10" max="12" width="16.28515625" customWidth="1"/>
    <col min="15" max="16" width="9.140625" hidden="1" customWidth="1" outlineLevel="1"/>
    <col min="17" max="17" width="9.140625" collapsed="1"/>
  </cols>
  <sheetData>
    <row r="1" spans="2:16" x14ac:dyDescent="0.25">
      <c r="B1" s="117" t="s">
        <v>141</v>
      </c>
      <c r="C1" s="9">
        <f ca="1">TODAY()</f>
        <v>45388</v>
      </c>
      <c r="G1" s="15">
        <f ca="1">DATE(YEAR(C1),MONTH(C1),1)</f>
        <v>45383</v>
      </c>
      <c r="J1" s="15">
        <f ca="1">EDATE(G1,-1)</f>
        <v>45352</v>
      </c>
      <c r="K1" s="15">
        <f ca="1">EDATE(J1,-1)</f>
        <v>45323</v>
      </c>
      <c r="L1" s="15">
        <f ca="1">EDATE(K1,-1)</f>
        <v>45292</v>
      </c>
    </row>
    <row r="2" spans="2:16" x14ac:dyDescent="0.25">
      <c r="G2" s="15">
        <f ca="1">EOMONTH(G1,0)</f>
        <v>45412</v>
      </c>
      <c r="J2" s="15">
        <f ca="1">EOMONTH(J1,0)</f>
        <v>45382</v>
      </c>
      <c r="K2" s="15">
        <f ca="1">EOMONTH(K1,0)</f>
        <v>45351</v>
      </c>
      <c r="L2" s="15">
        <f ca="1">EOMONTH(L1,0)</f>
        <v>45322</v>
      </c>
    </row>
    <row r="6" spans="2:16" x14ac:dyDescent="0.25">
      <c r="C6" s="38" t="s">
        <v>76</v>
      </c>
      <c r="D6" s="23" t="s">
        <v>94</v>
      </c>
      <c r="E6" s="19" t="s">
        <v>95</v>
      </c>
      <c r="G6" s="23" t="s">
        <v>142</v>
      </c>
      <c r="H6" s="23" t="s">
        <v>143</v>
      </c>
      <c r="J6" s="23" t="str">
        <f ca="1">VLOOKUP(MONTH(J$1),$O$6:$P$17,2,TRUE)&amp;" - "&amp;YEAR(J1)</f>
        <v>March - 2024</v>
      </c>
      <c r="K6" s="23" t="str">
        <f ca="1">VLOOKUP(MONTH(K$1),$O$6:$P$17,2,TRUE)&amp;" - "&amp;YEAR(K1)</f>
        <v>February - 2024</v>
      </c>
      <c r="L6" s="23" t="str">
        <f ca="1">VLOOKUP(MONTH(L$1),$O$6:$P$17,2,TRUE)&amp;" - "&amp;YEAR(L1)</f>
        <v>January - 2024</v>
      </c>
      <c r="O6" s="16">
        <v>1</v>
      </c>
      <c r="P6" s="16" t="s">
        <v>39</v>
      </c>
    </row>
    <row r="7" spans="2:16" x14ac:dyDescent="0.25">
      <c r="B7" s="18" t="s">
        <v>23</v>
      </c>
      <c r="C7" s="40">
        <f>SUM(C8:C21)</f>
        <v>426000</v>
      </c>
      <c r="D7" s="112"/>
      <c r="E7" s="113"/>
      <c r="G7" s="159">
        <f ca="1">SUM(F9:F21)/SUM(C9:C21)</f>
        <v>0.36447099538258576</v>
      </c>
      <c r="H7" s="159">
        <f ca="1">(G$2-G$1)/($C$1-G$1)*G7</f>
        <v>2.1139317732189973</v>
      </c>
      <c r="J7" s="159">
        <f ca="1">SUMIFS(INDIRECT($B7), Fecha,"&gt;="&amp;J$1,Fecha,"&lt;="&amp;J$2)/$C7</f>
        <v>2.3030774349765264</v>
      </c>
      <c r="K7" s="159">
        <f ca="1">SUMIFS(INDIRECT($B7), Fecha,"&gt;="&amp;K$1,Fecha,"&lt;="&amp;K$2)/$C7</f>
        <v>20.889900548591537</v>
      </c>
      <c r="L7" s="159">
        <f ca="1">SUMIFS(INDIRECT($B7), Fecha,"&gt;="&amp;L$1,Fecha,"&lt;="&amp;L$2)/$C7</f>
        <v>4.252676268309858</v>
      </c>
      <c r="O7" s="16">
        <v>2</v>
      </c>
      <c r="P7" s="16" t="s">
        <v>54</v>
      </c>
    </row>
    <row r="8" spans="2:16" x14ac:dyDescent="0.25">
      <c r="B8" s="17" t="s">
        <v>96</v>
      </c>
      <c r="C8" s="39">
        <f t="shared" ref="C8:C14" si="0">SUM(D8:E8)</f>
        <v>2700000</v>
      </c>
      <c r="D8" s="114">
        <f>1900000+800000</f>
        <v>2700000</v>
      </c>
      <c r="E8" s="39"/>
      <c r="F8" s="12">
        <f ca="1">SUMIFS(INDIRECT($B8), Fecha,"&gt;="&amp;G$1,Fecha,"&lt;="&amp;G$2)</f>
        <v>0</v>
      </c>
      <c r="G8" s="159">
        <f ca="1">F8/C8</f>
        <v>0</v>
      </c>
      <c r="H8" s="159">
        <f t="shared" ref="H8:H21" ca="1" si="1">(G$2-G$1)/($C$1-G$1)*G8</f>
        <v>0</v>
      </c>
      <c r="J8" s="159">
        <f ca="1">SUMIFS(INDIRECT($B8), Fecha,"&gt;="&amp;J$1,Fecha,"&lt;="&amp;J$2)/$C8</f>
        <v>1.0762651851851852</v>
      </c>
      <c r="K8" s="159">
        <f ca="1">SUMIFS(INDIRECT($B8), Fecha,"&gt;="&amp;K$1,Fecha,"&lt;="&amp;K$2)/$C8</f>
        <v>0.6826507155568533</v>
      </c>
      <c r="L8" s="159">
        <f ca="1">SUMIFS(INDIRECT($B8), Fecha,"&gt;="&amp;L$1,Fecha,"&lt;="&amp;L$2)/$C8</f>
        <v>0.68195419753086428</v>
      </c>
      <c r="O8" s="16">
        <v>3</v>
      </c>
      <c r="P8" s="16" t="s">
        <v>72</v>
      </c>
    </row>
    <row r="9" spans="2:16" x14ac:dyDescent="0.25">
      <c r="B9" s="17" t="s">
        <v>85</v>
      </c>
      <c r="C9" s="39">
        <f t="shared" si="0"/>
        <v>-750000</v>
      </c>
      <c r="D9" s="114">
        <f>-530000-140000</f>
        <v>-670000</v>
      </c>
      <c r="E9" s="39">
        <f>-80000</f>
        <v>-80000</v>
      </c>
      <c r="F9" s="12">
        <f ca="1">SUMIFS(INDIRECT($B9), Fecha,"&gt;="&amp;G$1,Fecha,"&lt;="&amp;G$2)</f>
        <v>-556587</v>
      </c>
      <c r="G9" s="159">
        <f ca="1">F9/C9</f>
        <v>0.742116</v>
      </c>
      <c r="H9" s="159">
        <f t="shared" ca="1" si="1"/>
        <v>4.3042727999999997</v>
      </c>
      <c r="J9" s="159">
        <f ca="1">SUMIFS(INDIRECT($B9), Fecha,"&gt;="&amp;J$1,Fecha,"&lt;="&amp;J$2)/$C9</f>
        <v>1.0161093333333333</v>
      </c>
      <c r="K9" s="159">
        <f ca="1">SUMIFS(INDIRECT($B9), Fecha,"&gt;="&amp;K$1,Fecha,"&lt;="&amp;K$2)/$C9</f>
        <v>1.0608880000000001</v>
      </c>
      <c r="L9" s="159">
        <f ca="1">SUMIFS(INDIRECT($B9), Fecha,"&gt;="&amp;L$1,Fecha,"&lt;="&amp;L$2)/$C9</f>
        <v>0.82671314666666651</v>
      </c>
      <c r="O9" s="16">
        <v>4</v>
      </c>
      <c r="P9" s="16" t="s">
        <v>131</v>
      </c>
    </row>
    <row r="10" spans="2:16" x14ac:dyDescent="0.25">
      <c r="B10" s="17" t="s">
        <v>24</v>
      </c>
      <c r="C10" s="39">
        <f t="shared" si="0"/>
        <v>-120000</v>
      </c>
      <c r="D10" s="114"/>
      <c r="E10" s="39">
        <v>-120000</v>
      </c>
      <c r="F10" s="12">
        <f ca="1">SUMIFS(INDIRECT($B10), Fecha,"&gt;="&amp;G$1,Fecha,"&lt;="&amp;G$2)</f>
        <v>-68771</v>
      </c>
      <c r="G10" s="159">
        <f ca="1">F10/C10</f>
        <v>0.57309166666666667</v>
      </c>
      <c r="H10" s="159">
        <f t="shared" ca="1" si="1"/>
        <v>3.3239316666666667</v>
      </c>
      <c r="J10" s="159">
        <f ca="1">SUMIFS(INDIRECT($B10), Fecha,"&gt;="&amp;J$1,Fecha,"&lt;="&amp;J$2)/$C10</f>
        <v>0.16666666666666666</v>
      </c>
      <c r="K10" s="159">
        <f ca="1">SUMIFS(INDIRECT($B10), Fecha,"&gt;="&amp;K$1,Fecha,"&lt;="&amp;K$2)/$C10</f>
        <v>1.482275</v>
      </c>
      <c r="L10" s="159">
        <f ca="1">SUMIFS(INDIRECT($B10), Fecha,"&gt;="&amp;L$1,Fecha,"&lt;="&amp;L$2)/$C10</f>
        <v>1.9096500000000001</v>
      </c>
      <c r="O10" s="16">
        <v>5</v>
      </c>
      <c r="P10" s="16" t="s">
        <v>133</v>
      </c>
    </row>
    <row r="11" spans="2:16" x14ac:dyDescent="0.25">
      <c r="B11" s="17" t="s">
        <v>88</v>
      </c>
      <c r="C11" s="39">
        <f t="shared" si="0"/>
        <v>-300000</v>
      </c>
      <c r="D11" s="114"/>
      <c r="E11" s="39">
        <v>-300000</v>
      </c>
      <c r="F11" s="12">
        <f ca="1">SUMIFS(INDIRECT($B11), Fecha,"&gt;="&amp;G$1,Fecha,"&lt;="&amp;G$2)</f>
        <v>0</v>
      </c>
      <c r="G11" s="159">
        <f ca="1">F11/C11</f>
        <v>0</v>
      </c>
      <c r="H11" s="159">
        <f t="shared" ca="1" si="1"/>
        <v>0</v>
      </c>
      <c r="J11" s="159">
        <f ca="1">SUMIFS(INDIRECT($B11), Fecha,"&gt;="&amp;J$1,Fecha,"&lt;="&amp;J$2)/$C11</f>
        <v>0.63</v>
      </c>
      <c r="K11" s="159">
        <f ca="1">SUMIFS(INDIRECT($B11), Fecha,"&gt;="&amp;K$1,Fecha,"&lt;="&amp;K$2)/$C11</f>
        <v>0.67725999999999997</v>
      </c>
      <c r="L11" s="159">
        <f ca="1">SUMIFS(INDIRECT($B11), Fecha,"&gt;="&amp;L$1,Fecha,"&lt;="&amp;L$2)/$C11</f>
        <v>0.73224666666666671</v>
      </c>
      <c r="O11" s="16">
        <v>6</v>
      </c>
      <c r="P11" s="16" t="s">
        <v>134</v>
      </c>
    </row>
    <row r="12" spans="2:16" x14ac:dyDescent="0.25">
      <c r="B12" s="17" t="s">
        <v>36</v>
      </c>
      <c r="C12" s="39">
        <f t="shared" si="0"/>
        <v>-180000</v>
      </c>
      <c r="D12" s="114"/>
      <c r="E12" s="39">
        <v>-180000</v>
      </c>
      <c r="F12" s="12">
        <f ca="1">SUMIFS(INDIRECT($B12), Fecha,"&gt;="&amp;G$1,Fecha,"&lt;="&amp;G$2)</f>
        <v>-117416</v>
      </c>
      <c r="G12" s="159">
        <f ca="1">F12/C12</f>
        <v>0.65231111111111106</v>
      </c>
      <c r="H12" s="159">
        <f t="shared" ca="1" si="1"/>
        <v>3.7834044444444439</v>
      </c>
      <c r="J12" s="159">
        <f ca="1">SUMIFS(INDIRECT($B12), Fecha,"&gt;="&amp;J$1,Fecha,"&lt;="&amp;J$2)/$C12</f>
        <v>2.6537222222222221</v>
      </c>
      <c r="K12" s="159">
        <f ca="1">SUMIFS(INDIRECT($B12), Fecha,"&gt;="&amp;K$1,Fecha,"&lt;="&amp;K$2)/$C12</f>
        <v>0.53761111111111115</v>
      </c>
      <c r="L12" s="159">
        <f ca="1">SUMIFS(INDIRECT($B12), Fecha,"&gt;="&amp;L$1,Fecha,"&lt;="&amp;L$2)/$C12</f>
        <v>0.98627777777777781</v>
      </c>
      <c r="O12" s="16">
        <v>7</v>
      </c>
      <c r="P12" s="16" t="s">
        <v>135</v>
      </c>
    </row>
    <row r="13" spans="2:16" x14ac:dyDescent="0.25">
      <c r="B13" s="17" t="s">
        <v>17</v>
      </c>
      <c r="C13" s="39">
        <f t="shared" si="0"/>
        <v>-180000</v>
      </c>
      <c r="D13" s="114"/>
      <c r="E13" s="39">
        <v>-180000</v>
      </c>
      <c r="F13" s="12">
        <f ca="1">SUMIFS(INDIRECT($B13), Fecha,"&gt;="&amp;G$1,Fecha,"&lt;="&amp;G$2)</f>
        <v>0</v>
      </c>
      <c r="G13" s="159">
        <f ca="1">F13/C13</f>
        <v>0</v>
      </c>
      <c r="H13" s="159">
        <f t="shared" ca="1" si="1"/>
        <v>0</v>
      </c>
      <c r="J13" s="159">
        <f ca="1">SUMIFS(INDIRECT($B13), Fecha,"&gt;="&amp;J$1,Fecha,"&lt;="&amp;J$2)/$C13</f>
        <v>1.21275</v>
      </c>
      <c r="K13" s="159">
        <f ca="1">SUMIFS(INDIRECT($B13), Fecha,"&gt;="&amp;K$1,Fecha,"&lt;="&amp;K$2)/$C13</f>
        <v>1.6489777777777779</v>
      </c>
      <c r="L13" s="159">
        <f ca="1">SUMIFS(INDIRECT($B13), Fecha,"&gt;="&amp;L$1,Fecha,"&lt;="&amp;L$2)/$C13</f>
        <v>1.0283333333333333</v>
      </c>
      <c r="O13" s="16">
        <v>8</v>
      </c>
      <c r="P13" s="16" t="s">
        <v>136</v>
      </c>
    </row>
    <row r="14" spans="2:16" x14ac:dyDescent="0.25">
      <c r="B14" s="17" t="s">
        <v>30</v>
      </c>
      <c r="C14" s="39">
        <f t="shared" si="0"/>
        <v>-150000</v>
      </c>
      <c r="D14" s="114"/>
      <c r="E14" s="39">
        <v>-150000</v>
      </c>
      <c r="F14" s="12">
        <f ca="1">SUMIFS(INDIRECT($B14), Fecha,"&gt;="&amp;G$1,Fecha,"&lt;="&amp;G$2)</f>
        <v>-18860</v>
      </c>
      <c r="G14" s="159">
        <f ca="1">F14/C14</f>
        <v>0.12573333333333334</v>
      </c>
      <c r="H14" s="159">
        <f t="shared" ca="1" si="1"/>
        <v>0.72925333333333331</v>
      </c>
      <c r="J14" s="159">
        <f ca="1">SUMIFS(INDIRECT($B14), Fecha,"&gt;="&amp;J$1,Fecha,"&lt;="&amp;J$2)/$C14</f>
        <v>0.81713333333333338</v>
      </c>
      <c r="K14" s="159">
        <f ca="1">SUMIFS(INDIRECT($B14), Fecha,"&gt;="&amp;K$1,Fecha,"&lt;="&amp;K$2)/$C14</f>
        <v>1.2655866666666666</v>
      </c>
      <c r="L14" s="159">
        <f ca="1">SUMIFS(INDIRECT($B14), Fecha,"&gt;="&amp;L$1,Fecha,"&lt;="&amp;L$2)/$C14</f>
        <v>0.50602000000000003</v>
      </c>
      <c r="O14" s="16">
        <v>9</v>
      </c>
      <c r="P14" s="16" t="s">
        <v>137</v>
      </c>
    </row>
    <row r="15" spans="2:16" x14ac:dyDescent="0.25">
      <c r="B15" s="17" t="s">
        <v>89</v>
      </c>
      <c r="C15" s="39">
        <f t="shared" ref="C15:C21" si="2">SUM(D15:E15)</f>
        <v>-140000</v>
      </c>
      <c r="D15" s="114">
        <f>-60000</f>
        <v>-60000</v>
      </c>
      <c r="E15" s="39">
        <v>-80000</v>
      </c>
      <c r="F15" s="12">
        <f ca="1">SUMIFS(INDIRECT($B15), Fecha,"&gt;="&amp;G$1,Fecha,"&lt;="&amp;G$2)</f>
        <v>-24310</v>
      </c>
      <c r="G15" s="159">
        <f ca="1">F15/C15</f>
        <v>0.17364285714285715</v>
      </c>
      <c r="H15" s="159">
        <f t="shared" ca="1" si="1"/>
        <v>1.0071285714285714</v>
      </c>
      <c r="J15" s="159">
        <f ca="1">SUMIFS(INDIRECT($B15), Fecha,"&gt;="&amp;J$1,Fecha,"&lt;="&amp;J$2)/$C15</f>
        <v>0</v>
      </c>
      <c r="K15" s="159">
        <f ca="1">SUMIFS(INDIRECT($B15), Fecha,"&gt;="&amp;K$1,Fecha,"&lt;="&amp;K$2)/$C15</f>
        <v>0</v>
      </c>
      <c r="L15" s="159">
        <f ca="1">SUMIFS(INDIRECT($B15), Fecha,"&gt;="&amp;L$1,Fecha,"&lt;="&amp;L$2)/$C15</f>
        <v>0</v>
      </c>
      <c r="O15" s="16">
        <v>10</v>
      </c>
      <c r="P15" s="16" t="s">
        <v>139</v>
      </c>
    </row>
    <row r="16" spans="2:16" x14ac:dyDescent="0.25">
      <c r="B16" s="17" t="s">
        <v>86</v>
      </c>
      <c r="C16" s="39">
        <f t="shared" si="2"/>
        <v>-60000</v>
      </c>
      <c r="D16" s="114">
        <f>-40000-20000</f>
        <v>-60000</v>
      </c>
      <c r="E16" s="39"/>
      <c r="F16" s="12">
        <f ca="1">SUMIFS(INDIRECT($B16), Fecha,"&gt;="&amp;G$1,Fecha,"&lt;="&amp;G$2)</f>
        <v>-18186</v>
      </c>
      <c r="G16" s="159">
        <f ca="1">F16/C16</f>
        <v>0.30309999999999998</v>
      </c>
      <c r="H16" s="159">
        <f t="shared" ca="1" si="1"/>
        <v>1.7579799999999999</v>
      </c>
      <c r="J16" s="159">
        <f ca="1">SUMIFS(INDIRECT($B16), Fecha,"&gt;="&amp;J$1,Fecha,"&lt;="&amp;J$2)/$C16</f>
        <v>0</v>
      </c>
      <c r="K16" s="159">
        <f ca="1">SUMIFS(INDIRECT($B16), Fecha,"&gt;="&amp;K$1,Fecha,"&lt;="&amp;K$2)/$C16</f>
        <v>0</v>
      </c>
      <c r="L16" s="159">
        <f ca="1">SUMIFS(INDIRECT($B16), Fecha,"&gt;="&amp;L$1,Fecha,"&lt;="&amp;L$2)/$C16</f>
        <v>0</v>
      </c>
      <c r="O16" s="16">
        <v>11</v>
      </c>
      <c r="P16" s="16" t="s">
        <v>138</v>
      </c>
    </row>
    <row r="17" spans="2:16" x14ac:dyDescent="0.25">
      <c r="B17" s="17" t="s">
        <v>20</v>
      </c>
      <c r="C17" s="39">
        <f t="shared" si="2"/>
        <v>-50000</v>
      </c>
      <c r="D17" s="114"/>
      <c r="E17" s="39">
        <v>-50000</v>
      </c>
      <c r="F17" s="12">
        <f ca="1">SUMIFS(INDIRECT($B17), Fecha,"&gt;="&amp;G$1,Fecha,"&lt;="&amp;G$2)</f>
        <v>-20108</v>
      </c>
      <c r="G17" s="159">
        <f ca="1">F17/C17</f>
        <v>0.40216000000000002</v>
      </c>
      <c r="H17" s="159">
        <f ca="1">(G$2-G$1)/($C$1-G$1)*G17</f>
        <v>2.3325279999999999</v>
      </c>
      <c r="J17" s="159">
        <f ca="1">SUMIFS(INDIRECT($B17), Fecha,"&gt;="&amp;J$1,Fecha,"&lt;="&amp;J$2)/$C17</f>
        <v>2.65524</v>
      </c>
      <c r="K17" s="159">
        <f ca="1">SUMIFS(INDIRECT($B17), Fecha,"&gt;="&amp;K$1,Fecha,"&lt;="&amp;K$2)/$C17</f>
        <v>3.0728</v>
      </c>
      <c r="L17" s="159">
        <f ca="1">SUMIFS(INDIRECT($B17), Fecha,"&gt;="&amp;L$1,Fecha,"&lt;="&amp;L$2)/$C17</f>
        <v>3.5967799999999999</v>
      </c>
      <c r="O17" s="16">
        <v>12</v>
      </c>
      <c r="P17" s="16" t="s">
        <v>140</v>
      </c>
    </row>
    <row r="18" spans="2:16" x14ac:dyDescent="0.25">
      <c r="B18" s="17" t="s">
        <v>87</v>
      </c>
      <c r="C18" s="39">
        <f t="shared" si="2"/>
        <v>-60000</v>
      </c>
      <c r="D18" s="114"/>
      <c r="E18" s="39">
        <v>-60000</v>
      </c>
      <c r="F18" s="12">
        <f ca="1">SUMIFS(INDIRECT($B18), Fecha,"&gt;="&amp;G$1,Fecha,"&lt;="&amp;G$2)</f>
        <v>-4569.0435000000007</v>
      </c>
      <c r="G18" s="159">
        <f ca="1">F18/C18</f>
        <v>7.6150725000000016E-2</v>
      </c>
      <c r="H18" s="159">
        <f t="shared" ca="1" si="1"/>
        <v>0.4416742050000001</v>
      </c>
      <c r="J18" s="159">
        <f ca="1">SUMIFS(INDIRECT($B18), Fecha,"&gt;="&amp;J$1,Fecha,"&lt;="&amp;J$2)/$C18</f>
        <v>3.2658862533333335</v>
      </c>
      <c r="K18" s="159">
        <f ca="1">SUMIFS(INDIRECT($B18), Fecha,"&gt;="&amp;K$1,Fecha,"&lt;="&amp;K$2)/$C18</f>
        <v>3.396713333333333</v>
      </c>
      <c r="L18" s="159">
        <f ca="1">SUMIFS(INDIRECT($B18), Fecha,"&gt;="&amp;L$1,Fecha,"&lt;="&amp;L$2)/$C18</f>
        <v>2.2478433333333325</v>
      </c>
    </row>
    <row r="19" spans="2:16" x14ac:dyDescent="0.25">
      <c r="B19" s="17" t="s">
        <v>46</v>
      </c>
      <c r="C19" s="39">
        <f t="shared" si="2"/>
        <v>-100000</v>
      </c>
      <c r="D19" s="114"/>
      <c r="E19" s="39">
        <v>-100000</v>
      </c>
      <c r="F19" s="12">
        <f ca="1">SUMIFS(INDIRECT($B19), Fecha,"&gt;="&amp;G$1,Fecha,"&lt;="&amp;G$2)</f>
        <v>0</v>
      </c>
      <c r="G19" s="159">
        <f ca="1">F19/C19</f>
        <v>0</v>
      </c>
      <c r="H19" s="159">
        <f t="shared" ca="1" si="1"/>
        <v>0</v>
      </c>
      <c r="J19" s="159">
        <f ca="1">SUMIFS(INDIRECT($B19), Fecha,"&gt;="&amp;J$1,Fecha,"&lt;="&amp;J$2)/$C19</f>
        <v>0.75729999999999997</v>
      </c>
      <c r="K19" s="159">
        <f ca="1">SUMIFS(INDIRECT($B19), Fecha,"&gt;="&amp;K$1,Fecha,"&lt;="&amp;K$2)/$C19</f>
        <v>4.7227300000000003</v>
      </c>
      <c r="L19" s="159">
        <f ca="1">SUMIFS(INDIRECT($B19), Fecha,"&gt;="&amp;L$1,Fecha,"&lt;="&amp;L$2)/$C19</f>
        <v>5.8765999999999998</v>
      </c>
    </row>
    <row r="20" spans="2:16" x14ac:dyDescent="0.25">
      <c r="B20" s="17" t="s">
        <v>90</v>
      </c>
      <c r="C20" s="39">
        <f t="shared" si="2"/>
        <v>-50000</v>
      </c>
      <c r="D20" s="114"/>
      <c r="E20" s="39">
        <v>-50000</v>
      </c>
      <c r="F20" s="12">
        <f ca="1">SUMIFS(INDIRECT($B20), Fecha,"&gt;="&amp;G$1,Fecha,"&lt;="&amp;G$2)</f>
        <v>0</v>
      </c>
      <c r="G20" s="159">
        <f ca="1">F20/C20</f>
        <v>0</v>
      </c>
      <c r="H20" s="159">
        <f t="shared" ca="1" si="1"/>
        <v>0</v>
      </c>
      <c r="J20" s="159">
        <f ca="1">SUMIFS(INDIRECT($B20), Fecha,"&gt;="&amp;J$1,Fecha,"&lt;="&amp;J$2)/$C20</f>
        <v>0</v>
      </c>
      <c r="K20" s="159">
        <f ca="1">SUMIFS(INDIRECT($B20), Fecha,"&gt;="&amp;K$1,Fecha,"&lt;="&amp;K$2)/$C20</f>
        <v>0</v>
      </c>
      <c r="L20" s="159">
        <f ca="1">SUMIFS(INDIRECT($B20), Fecha,"&gt;="&amp;L$1,Fecha,"&lt;="&amp;L$2)/$C20</f>
        <v>0</v>
      </c>
    </row>
    <row r="21" spans="2:16" x14ac:dyDescent="0.25">
      <c r="B21" s="17" t="s">
        <v>91</v>
      </c>
      <c r="C21" s="39">
        <f t="shared" si="2"/>
        <v>-134000</v>
      </c>
      <c r="D21" s="114">
        <v>-84000</v>
      </c>
      <c r="E21" s="39">
        <v>-50000</v>
      </c>
      <c r="F21" s="12">
        <f ca="1">SUMIFS(INDIRECT($B21), Fecha,"&gt;="&amp;G$1,Fecha,"&lt;="&amp;G$2)</f>
        <v>0</v>
      </c>
      <c r="G21" s="159">
        <f ca="1">F21/C21</f>
        <v>0</v>
      </c>
      <c r="H21" s="159">
        <f t="shared" ca="1" si="1"/>
        <v>0</v>
      </c>
      <c r="J21" s="159">
        <f ca="1">SUMIFS(INDIRECT($B21), Fecha,"&gt;="&amp;J$1,Fecha,"&lt;="&amp;J$2)/$C21</f>
        <v>-0.26186173283582059</v>
      </c>
      <c r="K21" s="159">
        <f ca="1">SUMIFS(INDIRECT($B21), Fecha,"&gt;="&amp;K$1,Fecha,"&lt;="&amp;K$2)/$C21</f>
        <v>0</v>
      </c>
      <c r="L21" s="159">
        <f ca="1">SUMIFS(INDIRECT($B21), Fecha,"&gt;="&amp;L$1,Fecha,"&lt;="&amp;L$2)/$C21</f>
        <v>0</v>
      </c>
    </row>
    <row r="22" spans="2:16" x14ac:dyDescent="0.25">
      <c r="B22" s="17"/>
      <c r="C22" s="39"/>
      <c r="D22" s="114"/>
      <c r="E22" s="39"/>
    </row>
    <row r="23" spans="2:16" x14ac:dyDescent="0.25">
      <c r="B23" s="17"/>
      <c r="C23" s="39"/>
      <c r="D23" s="114"/>
      <c r="E23" s="39"/>
    </row>
    <row r="24" spans="2:16" x14ac:dyDescent="0.25">
      <c r="B24" s="17"/>
      <c r="C24" s="39"/>
      <c r="D24" s="114"/>
      <c r="E24" s="39"/>
    </row>
    <row r="25" spans="2:16" x14ac:dyDescent="0.25">
      <c r="B25" s="17"/>
      <c r="C25" s="39"/>
      <c r="D25" s="114"/>
      <c r="E25" s="39"/>
    </row>
    <row r="26" spans="2:16" x14ac:dyDescent="0.25">
      <c r="B26" s="17"/>
      <c r="C26" s="39"/>
      <c r="D26" s="114"/>
      <c r="E26" s="39"/>
    </row>
    <row r="27" spans="2:16" x14ac:dyDescent="0.25">
      <c r="B27" s="17"/>
      <c r="C27" s="39"/>
      <c r="D27" s="114"/>
      <c r="E27" s="39"/>
    </row>
  </sheetData>
  <conditionalFormatting sqref="G7:G21">
    <cfRule type="iconSet" priority="6">
      <iconSet iconSet="5Quarters">
        <cfvo type="percent" val="0"/>
        <cfvo type="percent" val="25" gte="0"/>
        <cfvo type="percent" val="50" gte="0"/>
        <cfvo type="percent" val="75" gte="0"/>
        <cfvo type="percent" val="100" gte="0"/>
      </iconSet>
    </cfRule>
  </conditionalFormatting>
  <conditionalFormatting sqref="J7:J21">
    <cfRule type="iconSet" priority="4">
      <iconSet iconSet="5Quarters">
        <cfvo type="percent" val="0"/>
        <cfvo type="percent" val="25" gte="0"/>
        <cfvo type="percent" val="50" gte="0"/>
        <cfvo type="percent" val="75" gte="0"/>
        <cfvo type="percent" val="100" gte="0"/>
      </iconSet>
    </cfRule>
  </conditionalFormatting>
  <conditionalFormatting sqref="K7:K21">
    <cfRule type="iconSet" priority="3">
      <iconSet iconSet="5Quarters">
        <cfvo type="percent" val="0"/>
        <cfvo type="percent" val="25" gte="0"/>
        <cfvo type="percent" val="50" gte="0"/>
        <cfvo type="percent" val="75" gte="0"/>
        <cfvo type="percent" val="100" gte="0"/>
      </iconSet>
    </cfRule>
  </conditionalFormatting>
  <conditionalFormatting sqref="L7:L21">
    <cfRule type="iconSet" priority="2">
      <iconSet iconSet="5Quarters">
        <cfvo type="percent" val="0"/>
        <cfvo type="percent" val="25" gte="0"/>
        <cfvo type="percent" val="50" gte="0"/>
        <cfvo type="percent" val="75" gte="0"/>
        <cfvo type="percent" val="100" gte="0"/>
      </iconSet>
    </cfRule>
  </conditionalFormatting>
  <conditionalFormatting sqref="H7:H21">
    <cfRule type="iconSet" priority="1">
      <iconSet iconSet="5Quarters">
        <cfvo type="percent" val="0"/>
        <cfvo type="percent" val="25" gte="0"/>
        <cfvo type="percent" val="50" gte="0"/>
        <cfvo type="percent" val="75" gte="0"/>
        <cfvo type="percent" val="100" gte="0"/>
      </iconSet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44717-62FE-4801-9070-D7C0611C6B17}">
  <sheetPr codeName="Sheet7">
    <tabColor theme="9" tint="-0.249977111117893"/>
  </sheetPr>
  <dimension ref="B1:AA53"/>
  <sheetViews>
    <sheetView showGridLines="0" zoomScale="70" zoomScaleNormal="70" workbookViewId="0">
      <selection activeCell="E11" activeCellId="1" sqref="E8 E11:E29"/>
    </sheetView>
  </sheetViews>
  <sheetFormatPr defaultRowHeight="15" outlineLevelCol="1" x14ac:dyDescent="0.25"/>
  <cols>
    <col min="1" max="1" width="10.5703125" customWidth="1"/>
    <col min="2" max="2" width="23.42578125" customWidth="1"/>
    <col min="3" max="6" width="17" customWidth="1"/>
    <col min="7" max="7" width="20.7109375" customWidth="1"/>
    <col min="8" max="8" width="16.28515625" customWidth="1" outlineLevel="1"/>
    <col min="9" max="9" width="14.28515625" customWidth="1" outlineLevel="1"/>
    <col min="10" max="10" width="17.28515625" customWidth="1" outlineLevel="1"/>
    <col min="11" max="11" width="10.140625" customWidth="1" outlineLevel="1"/>
    <col min="12" max="12" width="12.42578125" customWidth="1" outlineLevel="1"/>
    <col min="13" max="13" width="9.140625" customWidth="1" outlineLevel="1"/>
  </cols>
  <sheetData>
    <row r="1" spans="2:27" x14ac:dyDescent="0.25">
      <c r="B1" s="115" t="s">
        <v>37</v>
      </c>
      <c r="C1" s="15">
        <f ca="1">DATE(YEAR(TODAY()),MONTH(TODAY()),1)</f>
        <v>45383</v>
      </c>
      <c r="D1" s="15">
        <f ca="1">EDATE(C1,-1)</f>
        <v>45352</v>
      </c>
      <c r="E1" s="15">
        <f ca="1">EDATE(D1,-1)</f>
        <v>45323</v>
      </c>
      <c r="F1" s="15">
        <f ca="1">EDATE(E1,-1)</f>
        <v>45292</v>
      </c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</row>
    <row r="2" spans="2:27" x14ac:dyDescent="0.25">
      <c r="B2" s="116" t="s">
        <v>38</v>
      </c>
      <c r="C2" s="15">
        <f ca="1">EOMONTH(C1,0)</f>
        <v>45412</v>
      </c>
      <c r="D2" s="15">
        <f ca="1">EOMONTH(D1,0)</f>
        <v>45382</v>
      </c>
      <c r="E2" s="15">
        <f ca="1">EOMONTH(E1,0)</f>
        <v>45351</v>
      </c>
      <c r="F2" s="15">
        <f ca="1">EOMONTH(F1,0)</f>
        <v>45322</v>
      </c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</row>
    <row r="3" spans="2:27" x14ac:dyDescent="0.25">
      <c r="F3" s="1"/>
    </row>
    <row r="6" spans="2:27" x14ac:dyDescent="0.25">
      <c r="C6" s="23" t="str">
        <f ca="1">VLOOKUP(MONTH(C$1),$K$6:$L$17,2,TRUE)&amp;" - "&amp;YEAR(C1)</f>
        <v>April - 2024</v>
      </c>
      <c r="D6" s="23" t="str">
        <f ca="1">VLOOKUP(MONTH(D$1),$K$6:$L$17,2,TRUE)&amp;" - "&amp;YEAR(D1)</f>
        <v>March - 2024</v>
      </c>
      <c r="E6" s="23" t="str">
        <f ca="1">VLOOKUP(MONTH(E$1),$K$6:$L$17,2,TRUE)&amp;" - "&amp;YEAR(E1)</f>
        <v>February - 2024</v>
      </c>
      <c r="F6" s="23" t="str">
        <f ca="1">VLOOKUP(MONTH(F$1),$K$6:$L$17,2,TRUE)&amp;" - "&amp;YEAR(F1)</f>
        <v>January - 2024</v>
      </c>
      <c r="H6" s="16" t="s">
        <v>0</v>
      </c>
      <c r="I6" s="16" t="s">
        <v>4</v>
      </c>
      <c r="J6" s="16" t="s">
        <v>40</v>
      </c>
      <c r="K6" s="16">
        <v>1</v>
      </c>
      <c r="L6" s="16" t="s">
        <v>39</v>
      </c>
      <c r="M6" s="16"/>
      <c r="N6" s="16"/>
      <c r="O6" s="16"/>
      <c r="P6" s="16"/>
    </row>
    <row r="7" spans="2:27" x14ac:dyDescent="0.25">
      <c r="B7" s="18" t="s">
        <v>23</v>
      </c>
      <c r="C7" s="24">
        <f ca="1">SUMIFS(INDIRECT($J7),Cuenta,$H7,Linea,$I7, Fecha,"&gt;="&amp;C$1,Fecha,"&lt;="&amp;C$2)</f>
        <v>-1000307.1958000002</v>
      </c>
      <c r="D7" s="24">
        <f ca="1">SUMIFS(INDIRECT($J7),Cuenta,$H7,Linea,$I7, Fecha,"&gt;="&amp;D$1,Fecha,"&lt;="&amp;D$2)</f>
        <v>981110.98730000015</v>
      </c>
      <c r="E7" s="24">
        <f ca="1">SUMIFS(INDIRECT($J7),Cuenta,$H7,Linea,$I7, Fecha,"&gt;="&amp;E$1,Fecha,"&lt;="&amp;E$2)</f>
        <v>8899097.6336999945</v>
      </c>
      <c r="F7" s="24">
        <f ca="1">SUMIFS(INDIRECT($J7),Cuenta,$H7,Linea,$I7, Fecha,"&gt;="&amp;F$1,Fecha,"&lt;="&amp;F$2)</f>
        <v>1811640.0902999996</v>
      </c>
      <c r="H7" s="16" t="s">
        <v>41</v>
      </c>
      <c r="I7" s="16" t="s">
        <v>41</v>
      </c>
      <c r="J7" s="16" t="str" cm="1">
        <f t="array" ref="J7:J29">TRANSPOSE(Data!N1:AJ1)</f>
        <v>PnL</v>
      </c>
      <c r="K7" s="16">
        <v>2</v>
      </c>
      <c r="L7" s="16" t="s">
        <v>54</v>
      </c>
      <c r="M7" s="16"/>
      <c r="N7" s="16"/>
      <c r="O7" s="16"/>
      <c r="P7" s="16"/>
    </row>
    <row r="8" spans="2:27" x14ac:dyDescent="0.25">
      <c r="B8" s="17" t="str">
        <f>J8</f>
        <v>Ingreso</v>
      </c>
      <c r="C8" s="36">
        <f ca="1">SUMIFS(INDIRECT($J8),Cuenta,$H8,Linea,$I8, Fecha,"&gt;="&amp;C$1,Fecha,"&lt;="&amp;C$2)</f>
        <v>0</v>
      </c>
      <c r="D8" s="36">
        <f ca="1">SUMIFS(INDIRECT($J8),Cuenta,$H8,Linea,$I8, Fecha,"&gt;="&amp;D$1,Fecha,"&lt;="&amp;D$2)</f>
        <v>2905916</v>
      </c>
      <c r="E8" s="36">
        <f ca="1">SUMIFS(INDIRECT($J8),Cuenta,$H8,Linea,$I8, Fecha,"&gt;="&amp;E$1,Fecha,"&lt;="&amp;E$2)</f>
        <v>1843156.9320035039</v>
      </c>
      <c r="F8" s="36">
        <f ca="1">SUMIFS(INDIRECT($J8),Cuenta,$H8,Linea,$I8, Fecha,"&gt;="&amp;F$1,Fecha,"&lt;="&amp;F$2)</f>
        <v>1841276.3333333335</v>
      </c>
      <c r="H8" s="16" t="s">
        <v>41</v>
      </c>
      <c r="I8" s="16" t="s">
        <v>41</v>
      </c>
      <c r="J8" s="16" t="str">
        <v>Ingreso</v>
      </c>
      <c r="K8" s="16">
        <v>3</v>
      </c>
      <c r="L8" s="16" t="s">
        <v>72</v>
      </c>
      <c r="M8" s="16"/>
      <c r="N8" s="16"/>
      <c r="O8" s="16"/>
      <c r="P8" s="16"/>
    </row>
    <row r="9" spans="2:27" x14ac:dyDescent="0.25">
      <c r="B9" s="17" t="str">
        <f t="shared" ref="B9:B29" si="0">J9</f>
        <v>Bonos</v>
      </c>
      <c r="C9" s="36">
        <f ca="1">SUMIFS(INDIRECT($J9),Cuenta,$H9,Linea,$I9, Fecha,"&gt;="&amp;C$1,Fecha,"&lt;="&amp;C$2)</f>
        <v>0</v>
      </c>
      <c r="D9" s="36">
        <f ca="1">SUMIFS(INDIRECT($J9),Cuenta,$H9,Linea,$I9, Fecha,"&gt;="&amp;D$1,Fecha,"&lt;="&amp;D$2)</f>
        <v>0</v>
      </c>
      <c r="E9" s="36">
        <f ca="1">SUMIFS(INDIRECT($J9),Cuenta,$H9,Linea,$I9, Fecha,"&gt;="&amp;E$1,Fecha,"&lt;="&amp;E$2)</f>
        <v>8957717.0679964963</v>
      </c>
      <c r="F9" s="36">
        <f ca="1">SUMIFS(INDIRECT($J9),Cuenta,$H9,Linea,$I9, Fecha,"&gt;="&amp;F$1,Fecha,"&lt;="&amp;F$2)</f>
        <v>2286666.6666666665</v>
      </c>
      <c r="H9" s="16" t="s">
        <v>41</v>
      </c>
      <c r="I9" s="16" t="s">
        <v>41</v>
      </c>
      <c r="J9" s="16" t="str">
        <v>Bonos</v>
      </c>
      <c r="K9" s="16">
        <v>4</v>
      </c>
      <c r="L9" s="16" t="s">
        <v>131</v>
      </c>
      <c r="M9" s="16"/>
      <c r="N9" s="16"/>
      <c r="O9" s="16"/>
      <c r="P9" s="16"/>
    </row>
    <row r="10" spans="2:27" x14ac:dyDescent="0.25">
      <c r="B10" s="41" t="str">
        <f t="shared" si="0"/>
        <v>Transferencias</v>
      </c>
      <c r="C10" s="36">
        <f ca="1">SUMIFS(INDIRECT($J10),Cuenta,$H10,Linea,$I10, Fecha,"&gt;="&amp;C$1,Fecha,"&lt;="&amp;C$2)</f>
        <v>1721.9199999999837</v>
      </c>
      <c r="D10" s="36">
        <f ca="1">SUMIFS(INDIRECT($J10),Cuenta,$H10,Linea,$I10, Fecha,"&gt;="&amp;D$1,Fecha,"&lt;="&amp;D$2)</f>
        <v>-10220.847899999819</v>
      </c>
      <c r="E10" s="36">
        <f ca="1">SUMIFS(INDIRECT($J10),Cuenta,$H10,Linea,$I10, Fecha,"&gt;="&amp;E$1,Fecha,"&lt;="&amp;E$2)</f>
        <v>-67893.814100000076</v>
      </c>
      <c r="F10" s="36">
        <f ca="1">SUMIFS(INDIRECT($J10),Cuenta,$H10,Linea,$I10, Fecha,"&gt;="&amp;F$1,Fecha,"&lt;="&amp;F$2)</f>
        <v>35301.871199999936</v>
      </c>
      <c r="H10" s="16" t="s">
        <v>41</v>
      </c>
      <c r="I10" s="16" t="s">
        <v>41</v>
      </c>
      <c r="J10" s="16" t="str">
        <v>Transferencias</v>
      </c>
      <c r="K10" s="16">
        <v>5</v>
      </c>
      <c r="L10" s="16" t="s">
        <v>133</v>
      </c>
      <c r="M10" s="16"/>
      <c r="N10" s="16"/>
      <c r="O10" s="16"/>
      <c r="P10" s="16"/>
    </row>
    <row r="11" spans="2:27" x14ac:dyDescent="0.25">
      <c r="B11" s="17" t="str">
        <f t="shared" si="0"/>
        <v>Vivienda</v>
      </c>
      <c r="C11" s="37">
        <f ca="1">SUMIFS(INDIRECT($J11),Cuenta,$H11,Linea,$I11, Fecha,"&gt;="&amp;C$1,Fecha,"&lt;="&amp;C$2)</f>
        <v>-556587</v>
      </c>
      <c r="D11" s="37">
        <f ca="1">SUMIFS(INDIRECT($J11),Cuenta,$H11,Linea,$I11, Fecha,"&gt;="&amp;D$1,Fecha,"&lt;="&amp;D$2)</f>
        <v>-762082</v>
      </c>
      <c r="E11" s="37">
        <f ca="1">SUMIFS(INDIRECT($J11),Cuenta,$H11,Linea,$I11, Fecha,"&gt;="&amp;E$1,Fecha,"&lt;="&amp;E$2)</f>
        <v>-795666</v>
      </c>
      <c r="F11" s="37">
        <f ca="1">SUMIFS(INDIRECT($J11),Cuenta,$H11,Linea,$I11, Fecha,"&gt;="&amp;F$1,Fecha,"&lt;="&amp;F$2)</f>
        <v>-620034.85999999987</v>
      </c>
      <c r="H11" s="16" t="s">
        <v>41</v>
      </c>
      <c r="I11" s="16" t="s">
        <v>41</v>
      </c>
      <c r="J11" s="16" t="str">
        <v>Vivienda</v>
      </c>
      <c r="K11" s="16">
        <v>6</v>
      </c>
      <c r="L11" s="16" t="s">
        <v>134</v>
      </c>
      <c r="M11" s="16"/>
      <c r="N11" s="16"/>
      <c r="O11" s="16"/>
      <c r="P11" s="16"/>
    </row>
    <row r="12" spans="2:27" x14ac:dyDescent="0.25">
      <c r="B12" s="17" t="str">
        <f t="shared" si="0"/>
        <v>Salud</v>
      </c>
      <c r="C12" s="36">
        <f ca="1">SUMIFS(INDIRECT($J12),Cuenta,$H12,Linea,$I12, Fecha,"&gt;="&amp;C$1,Fecha,"&lt;="&amp;C$2)</f>
        <v>-68771</v>
      </c>
      <c r="D12" s="36">
        <f ca="1">SUMIFS(INDIRECT($J12),Cuenta,$H12,Linea,$I12, Fecha,"&gt;="&amp;D$1,Fecha,"&lt;="&amp;D$2)</f>
        <v>-20000</v>
      </c>
      <c r="E12" s="36">
        <f ca="1">SUMIFS(INDIRECT($J12),Cuenta,$H12,Linea,$I12, Fecha,"&gt;="&amp;E$1,Fecha,"&lt;="&amp;E$2)</f>
        <v>-177873</v>
      </c>
      <c r="F12" s="36">
        <f ca="1">SUMIFS(INDIRECT($J12),Cuenta,$H12,Linea,$I12, Fecha,"&gt;="&amp;F$1,Fecha,"&lt;="&amp;F$2)</f>
        <v>-229158</v>
      </c>
      <c r="H12" s="16" t="s">
        <v>41</v>
      </c>
      <c r="I12" s="16" t="s">
        <v>41</v>
      </c>
      <c r="J12" s="16" t="str">
        <v>Salud</v>
      </c>
      <c r="K12" s="16">
        <v>7</v>
      </c>
      <c r="L12" s="16" t="s">
        <v>135</v>
      </c>
      <c r="M12" s="16"/>
      <c r="N12" s="16"/>
      <c r="O12" s="16"/>
      <c r="P12" s="16"/>
    </row>
    <row r="13" spans="2:27" x14ac:dyDescent="0.25">
      <c r="B13" s="17" t="str">
        <f t="shared" si="0"/>
        <v>Alimentacion</v>
      </c>
      <c r="C13" s="36">
        <f ca="1">SUMIFS(INDIRECT($J13),Cuenta,$H13,Linea,$I13, Fecha,"&gt;="&amp;C$1,Fecha,"&lt;="&amp;C$2)</f>
        <v>0</v>
      </c>
      <c r="D13" s="36">
        <f ca="1">SUMIFS(INDIRECT($J13),Cuenta,$H13,Linea,$I13, Fecha,"&gt;="&amp;D$1,Fecha,"&lt;="&amp;D$2)</f>
        <v>-189000</v>
      </c>
      <c r="E13" s="36">
        <f ca="1">SUMIFS(INDIRECT($J13),Cuenta,$H13,Linea,$I13, Fecha,"&gt;="&amp;E$1,Fecha,"&lt;="&amp;E$2)</f>
        <v>-203178</v>
      </c>
      <c r="F13" s="36">
        <f ca="1">SUMIFS(INDIRECT($J13),Cuenta,$H13,Linea,$I13, Fecha,"&gt;="&amp;F$1,Fecha,"&lt;="&amp;F$2)</f>
        <v>-219674</v>
      </c>
      <c r="H13" s="16" t="s">
        <v>41</v>
      </c>
      <c r="I13" s="16" t="s">
        <v>41</v>
      </c>
      <c r="J13" s="16" t="str">
        <v>Alimentacion</v>
      </c>
      <c r="K13" s="16">
        <v>8</v>
      </c>
      <c r="L13" s="16" t="s">
        <v>136</v>
      </c>
      <c r="M13" s="16"/>
      <c r="N13" s="16"/>
      <c r="O13" s="16"/>
      <c r="P13" s="16"/>
    </row>
    <row r="14" spans="2:27" x14ac:dyDescent="0.25">
      <c r="B14" s="17" t="str">
        <f t="shared" si="0"/>
        <v>Pedidos</v>
      </c>
      <c r="C14" s="36">
        <f ca="1">SUMIFS(INDIRECT($J14),Cuenta,$H14,Linea,$I14, Fecha,"&gt;="&amp;C$1,Fecha,"&lt;="&amp;C$2)</f>
        <v>-117416</v>
      </c>
      <c r="D14" s="36">
        <f ca="1">SUMIFS(INDIRECT($J14),Cuenta,$H14,Linea,$I14, Fecha,"&gt;="&amp;D$1,Fecha,"&lt;="&amp;D$2)</f>
        <v>-477670</v>
      </c>
      <c r="E14" s="36">
        <f ca="1">SUMIFS(INDIRECT($J14),Cuenta,$H14,Linea,$I14, Fecha,"&gt;="&amp;E$1,Fecha,"&lt;="&amp;E$2)</f>
        <v>-96770</v>
      </c>
      <c r="F14" s="36">
        <f ca="1">SUMIFS(INDIRECT($J14),Cuenta,$H14,Linea,$I14, Fecha,"&gt;="&amp;F$1,Fecha,"&lt;="&amp;F$2)</f>
        <v>-177530</v>
      </c>
      <c r="G14" s="147"/>
      <c r="H14" s="16" t="s">
        <v>41</v>
      </c>
      <c r="I14" s="16" t="s">
        <v>41</v>
      </c>
      <c r="J14" s="16" t="str">
        <v>Pedidos</v>
      </c>
      <c r="K14" s="16">
        <v>9</v>
      </c>
      <c r="L14" s="16" t="s">
        <v>137</v>
      </c>
      <c r="M14" s="16"/>
      <c r="N14" s="16"/>
      <c r="O14" s="16"/>
      <c r="P14" s="16"/>
    </row>
    <row r="15" spans="2:27" x14ac:dyDescent="0.25">
      <c r="B15" s="17" t="str">
        <f t="shared" si="0"/>
        <v>Salidas</v>
      </c>
      <c r="C15" s="36">
        <f ca="1">SUMIFS(INDIRECT($J15),Cuenta,$H15,Linea,$I15, Fecha,"&gt;="&amp;C$1,Fecha,"&lt;="&amp;C$2)</f>
        <v>0</v>
      </c>
      <c r="D15" s="36">
        <f ca="1">SUMIFS(INDIRECT($J15),Cuenta,$H15,Linea,$I15, Fecha,"&gt;="&amp;D$1,Fecha,"&lt;="&amp;D$2)</f>
        <v>-218295</v>
      </c>
      <c r="E15" s="36">
        <f ca="1">SUMIFS(INDIRECT($J15),Cuenta,$H15,Linea,$I15, Fecha,"&gt;="&amp;E$1,Fecha,"&lt;="&amp;E$2)</f>
        <v>-296816</v>
      </c>
      <c r="F15" s="36">
        <f ca="1">SUMIFS(INDIRECT($J15),Cuenta,$H15,Linea,$I15, Fecha,"&gt;="&amp;F$1,Fecha,"&lt;="&amp;F$2)</f>
        <v>-185100</v>
      </c>
      <c r="G15" s="147"/>
      <c r="H15" s="16" t="s">
        <v>41</v>
      </c>
      <c r="I15" s="16" t="s">
        <v>41</v>
      </c>
      <c r="J15" s="16" t="str">
        <v>Salidas</v>
      </c>
      <c r="K15" s="16">
        <v>10</v>
      </c>
      <c r="L15" s="16" t="s">
        <v>139</v>
      </c>
      <c r="M15" s="16"/>
      <c r="N15" s="16"/>
      <c r="O15" s="16"/>
      <c r="P15" s="16"/>
    </row>
    <row r="16" spans="2:27" x14ac:dyDescent="0.25">
      <c r="B16" s="17" t="str">
        <f t="shared" si="0"/>
        <v>Snacks</v>
      </c>
      <c r="C16" s="36">
        <f ca="1">SUMIFS(INDIRECT($J16),Cuenta,$H16,Linea,$I16, Fecha,"&gt;="&amp;C$1,Fecha,"&lt;="&amp;C$2)</f>
        <v>-18860</v>
      </c>
      <c r="D16" s="36">
        <f ca="1">SUMIFS(INDIRECT($J16),Cuenta,$H16,Linea,$I16, Fecha,"&gt;="&amp;D$1,Fecha,"&lt;="&amp;D$2)</f>
        <v>-122570</v>
      </c>
      <c r="E16" s="36">
        <f ca="1">SUMIFS(INDIRECT($J16),Cuenta,$H16,Linea,$I16, Fecha,"&gt;="&amp;E$1,Fecha,"&lt;="&amp;E$2)</f>
        <v>-189838</v>
      </c>
      <c r="F16" s="36">
        <f ca="1">SUMIFS(INDIRECT($J16),Cuenta,$H16,Linea,$I16, Fecha,"&gt;="&amp;F$1,Fecha,"&lt;="&amp;F$2)</f>
        <v>-75903</v>
      </c>
      <c r="G16" s="147"/>
      <c r="H16" s="16" t="s">
        <v>41</v>
      </c>
      <c r="I16" s="16" t="s">
        <v>41</v>
      </c>
      <c r="J16" s="16" t="str">
        <v>Snacks</v>
      </c>
      <c r="K16" s="16">
        <v>11</v>
      </c>
      <c r="L16" s="16" t="s">
        <v>138</v>
      </c>
      <c r="M16" s="16"/>
      <c r="N16" s="16"/>
      <c r="O16" s="16"/>
      <c r="P16" s="16"/>
    </row>
    <row r="17" spans="2:16" x14ac:dyDescent="0.25">
      <c r="B17" s="17" t="str">
        <f t="shared" si="0"/>
        <v>Transporte</v>
      </c>
      <c r="C17" s="36">
        <f ca="1">SUMIFS(INDIRECT($J17),Cuenta,$H17,Linea,$I17, Fecha,"&gt;="&amp;C$1,Fecha,"&lt;="&amp;C$2)</f>
        <v>-24310</v>
      </c>
      <c r="D17" s="36">
        <f ca="1">SUMIFS(INDIRECT($J17),Cuenta,$H17,Linea,$I17, Fecha,"&gt;="&amp;D$1,Fecha,"&lt;="&amp;D$2)</f>
        <v>0</v>
      </c>
      <c r="E17" s="36">
        <f ca="1">SUMIFS(INDIRECT($J17),Cuenta,$H17,Linea,$I17, Fecha,"&gt;="&amp;E$1,Fecha,"&lt;="&amp;E$2)</f>
        <v>0</v>
      </c>
      <c r="F17" s="36">
        <f ca="1">SUMIFS(INDIRECT($J17),Cuenta,$H17,Linea,$I17, Fecha,"&gt;="&amp;F$1,Fecha,"&lt;="&amp;F$2)</f>
        <v>0</v>
      </c>
      <c r="G17" s="147"/>
      <c r="H17" s="16" t="s">
        <v>41</v>
      </c>
      <c r="I17" s="16" t="s">
        <v>41</v>
      </c>
      <c r="J17" s="16" t="str">
        <v>Transporte</v>
      </c>
      <c r="K17" s="16">
        <v>12</v>
      </c>
      <c r="L17" s="16" t="s">
        <v>140</v>
      </c>
      <c r="M17" s="16"/>
      <c r="N17" s="16"/>
      <c r="O17" s="16"/>
      <c r="P17" s="16"/>
    </row>
    <row r="18" spans="2:16" x14ac:dyDescent="0.25">
      <c r="B18" s="17" t="str">
        <f t="shared" si="0"/>
        <v>Seguros</v>
      </c>
      <c r="C18" s="36">
        <f ca="1">SUMIFS(INDIRECT($J18),Cuenta,$H18,Linea,$I18, Fecha,"&gt;="&amp;C$1,Fecha,"&lt;="&amp;C$2)</f>
        <v>-18186</v>
      </c>
      <c r="D18" s="36">
        <f ca="1">SUMIFS(INDIRECT($J18),Cuenta,$H18,Linea,$I18, Fecha,"&gt;="&amp;D$1,Fecha,"&lt;="&amp;D$2)</f>
        <v>0</v>
      </c>
      <c r="E18" s="36">
        <f ca="1">SUMIFS(INDIRECT($J18),Cuenta,$H18,Linea,$I18, Fecha,"&gt;="&amp;E$1,Fecha,"&lt;="&amp;E$2)</f>
        <v>0</v>
      </c>
      <c r="F18" s="36">
        <f ca="1">SUMIFS(INDIRECT($J18),Cuenta,$H18,Linea,$I18, Fecha,"&gt;="&amp;F$1,Fecha,"&lt;="&amp;F$2)</f>
        <v>0</v>
      </c>
      <c r="H18" s="16" t="s">
        <v>41</v>
      </c>
      <c r="I18" s="16" t="s">
        <v>41</v>
      </c>
      <c r="J18" s="16" t="str">
        <v>Seguros</v>
      </c>
      <c r="K18" s="16"/>
      <c r="L18" s="16"/>
      <c r="M18" s="16"/>
      <c r="N18" s="16"/>
      <c r="O18" s="16"/>
      <c r="P18" s="16"/>
    </row>
    <row r="19" spans="2:16" x14ac:dyDescent="0.25">
      <c r="B19" s="17" t="str">
        <f t="shared" si="0"/>
        <v>Uber</v>
      </c>
      <c r="C19" s="36">
        <f ca="1">SUMIFS(INDIRECT($J19),Cuenta,$H19,Linea,$I19, Fecha,"&gt;="&amp;C$1,Fecha,"&lt;="&amp;C$2)</f>
        <v>-20108</v>
      </c>
      <c r="D19" s="36">
        <f ca="1">SUMIFS(INDIRECT($J19),Cuenta,$H19,Linea,$I19, Fecha,"&gt;="&amp;D$1,Fecha,"&lt;="&amp;D$2)</f>
        <v>-132762</v>
      </c>
      <c r="E19" s="36">
        <f ca="1">SUMIFS(INDIRECT($J19),Cuenta,$H19,Linea,$I19, Fecha,"&gt;="&amp;E$1,Fecha,"&lt;="&amp;E$2)</f>
        <v>-153640</v>
      </c>
      <c r="F19" s="36">
        <f ca="1">SUMIFS(INDIRECT($J19),Cuenta,$H19,Linea,$I19, Fecha,"&gt;="&amp;F$1,Fecha,"&lt;="&amp;F$2)</f>
        <v>-179839</v>
      </c>
      <c r="H19" s="16" t="s">
        <v>41</v>
      </c>
      <c r="I19" s="16" t="s">
        <v>41</v>
      </c>
      <c r="J19" s="16" t="str">
        <v>Uber</v>
      </c>
      <c r="K19" s="16"/>
      <c r="L19" s="16"/>
      <c r="M19" s="16"/>
      <c r="N19" s="16"/>
      <c r="O19" s="16"/>
      <c r="P19" s="16"/>
    </row>
    <row r="20" spans="2:16" x14ac:dyDescent="0.25">
      <c r="B20" s="17" t="str">
        <f t="shared" si="0"/>
        <v>Suscripciones</v>
      </c>
      <c r="C20" s="36">
        <f ca="1">SUMIFS(INDIRECT($J20),Cuenta,$H20,Linea,$I20, Fecha,"&gt;="&amp;C$1,Fecha,"&lt;="&amp;C$2)</f>
        <v>-4569.0435000000007</v>
      </c>
      <c r="D20" s="36">
        <f ca="1">SUMIFS(INDIRECT($J20),Cuenta,$H20,Linea,$I20, Fecha,"&gt;="&amp;D$1,Fecha,"&lt;="&amp;D$2)</f>
        <v>-195953.1752</v>
      </c>
      <c r="E20" s="36">
        <f ca="1">SUMIFS(INDIRECT($J20),Cuenta,$H20,Linea,$I20, Fecha,"&gt;="&amp;E$1,Fecha,"&lt;="&amp;E$2)</f>
        <v>-203802.8</v>
      </c>
      <c r="F20" s="36">
        <f ca="1">SUMIFS(INDIRECT($J20),Cuenta,$H20,Linea,$I20, Fecha,"&gt;="&amp;F$1,Fecha,"&lt;="&amp;F$2)</f>
        <v>-134870.59999999995</v>
      </c>
      <c r="H20" s="16" t="s">
        <v>41</v>
      </c>
      <c r="I20" s="16" t="s">
        <v>41</v>
      </c>
      <c r="J20" s="16" t="str">
        <v>Suscripciones</v>
      </c>
      <c r="K20" s="16"/>
      <c r="L20" s="16"/>
      <c r="M20" s="16"/>
      <c r="N20" s="16"/>
      <c r="O20" s="16"/>
      <c r="P20" s="16"/>
    </row>
    <row r="21" spans="2:16" x14ac:dyDescent="0.25">
      <c r="B21" s="17" t="str">
        <f t="shared" si="0"/>
        <v>Personal</v>
      </c>
      <c r="C21" s="36">
        <f ca="1">SUMIFS(INDIRECT($J21),Cuenta,$H21,Linea,$I21, Fecha,"&gt;="&amp;C$1,Fecha,"&lt;="&amp;C$2)</f>
        <v>0</v>
      </c>
      <c r="D21" s="36">
        <f ca="1">SUMIFS(INDIRECT($J21),Cuenta,$H21,Linea,$I21, Fecha,"&gt;="&amp;D$1,Fecha,"&lt;="&amp;D$2)</f>
        <v>-75730</v>
      </c>
      <c r="E21" s="36">
        <f ca="1">SUMIFS(INDIRECT($J21),Cuenta,$H21,Linea,$I21, Fecha,"&gt;="&amp;E$1,Fecha,"&lt;="&amp;E$2)</f>
        <v>-472273</v>
      </c>
      <c r="F21" s="36">
        <f ca="1">SUMIFS(INDIRECT($J21),Cuenta,$H21,Linea,$I21, Fecha,"&gt;="&amp;F$1,Fecha,"&lt;="&amp;F$2)</f>
        <v>-587660</v>
      </c>
      <c r="H21" s="16" t="s">
        <v>41</v>
      </c>
      <c r="I21" s="16" t="s">
        <v>41</v>
      </c>
      <c r="J21" s="16" t="str">
        <v>Personal</v>
      </c>
      <c r="K21" s="16"/>
      <c r="L21" s="16"/>
      <c r="M21" s="16"/>
      <c r="N21" s="16"/>
      <c r="O21" s="16"/>
      <c r="P21" s="16"/>
    </row>
    <row r="22" spans="2:16" x14ac:dyDescent="0.25">
      <c r="B22" s="17" t="str">
        <f t="shared" si="0"/>
        <v>Hobby</v>
      </c>
      <c r="C22" s="36">
        <f ca="1">SUMIFS(INDIRECT($J22),Cuenta,$H22,Linea,$I22, Fecha,"&gt;="&amp;C$1,Fecha,"&lt;="&amp;C$2)</f>
        <v>0</v>
      </c>
      <c r="D22" s="36">
        <f ca="1">SUMIFS(INDIRECT($J22),Cuenta,$H22,Linea,$I22, Fecha,"&gt;="&amp;D$1,Fecha,"&lt;="&amp;D$2)</f>
        <v>0</v>
      </c>
      <c r="E22" s="36">
        <f ca="1">SUMIFS(INDIRECT($J22),Cuenta,$H22,Linea,$I22, Fecha,"&gt;="&amp;E$1,Fecha,"&lt;="&amp;E$2)</f>
        <v>0</v>
      </c>
      <c r="F22" s="36">
        <f ca="1">SUMIFS(INDIRECT($J22),Cuenta,$H22,Linea,$I22, Fecha,"&gt;="&amp;F$1,Fecha,"&lt;="&amp;F$2)</f>
        <v>0</v>
      </c>
      <c r="H22" s="16" t="s">
        <v>41</v>
      </c>
      <c r="I22" s="16" t="s">
        <v>41</v>
      </c>
      <c r="J22" s="16" t="str">
        <v>Hobby</v>
      </c>
      <c r="K22" s="16"/>
      <c r="L22" s="16"/>
      <c r="M22" s="16"/>
      <c r="N22" s="16"/>
      <c r="O22" s="16"/>
      <c r="P22" s="16"/>
    </row>
    <row r="23" spans="2:16" x14ac:dyDescent="0.25">
      <c r="B23" s="17" t="str">
        <f t="shared" si="0"/>
        <v>Educacion</v>
      </c>
      <c r="C23" s="36">
        <f ca="1">SUMIFS(INDIRECT($J23),Cuenta,$H23,Linea,$I23, Fecha,"&gt;="&amp;C$1,Fecha,"&lt;="&amp;C$2)</f>
        <v>0</v>
      </c>
      <c r="D23" s="36">
        <f ca="1">SUMIFS(INDIRECT($J23),Cuenta,$H23,Linea,$I23, Fecha,"&gt;="&amp;D$1,Fecha,"&lt;="&amp;D$2)</f>
        <v>35089.47219999996</v>
      </c>
      <c r="E23" s="36">
        <f ca="1">SUMIFS(INDIRECT($J23),Cuenta,$H23,Linea,$I23, Fecha,"&gt;="&amp;E$1,Fecha,"&lt;="&amp;E$2)</f>
        <v>0</v>
      </c>
      <c r="F23" s="36">
        <f ca="1">SUMIFS(INDIRECT($J23),Cuenta,$H23,Linea,$I23, Fecha,"&gt;="&amp;F$1,Fecha,"&lt;="&amp;F$2)</f>
        <v>0</v>
      </c>
      <c r="H23" s="16" t="s">
        <v>41</v>
      </c>
      <c r="I23" s="16" t="s">
        <v>41</v>
      </c>
      <c r="J23" s="16" t="str">
        <v>Educacion</v>
      </c>
      <c r="K23" s="16"/>
      <c r="L23" s="16"/>
      <c r="M23" s="16"/>
      <c r="N23" s="16"/>
      <c r="O23" s="16"/>
      <c r="P23" s="16"/>
    </row>
    <row r="24" spans="2:16" x14ac:dyDescent="0.25">
      <c r="B24" s="17" t="str">
        <f t="shared" si="0"/>
        <v>Impuestos</v>
      </c>
      <c r="C24" s="36">
        <f ca="1">SUMIFS(INDIRECT($J24),Cuenta,$H24,Linea,$I24, Fecha,"&gt;="&amp;C$1,Fecha,"&lt;="&amp;C$2)</f>
        <v>0</v>
      </c>
      <c r="D24" s="36">
        <f ca="1">SUMIFS(INDIRECT($J24),Cuenta,$H24,Linea,$I24, Fecha,"&gt;="&amp;D$1,Fecha,"&lt;="&amp;D$2)</f>
        <v>0</v>
      </c>
      <c r="E24" s="36">
        <f ca="1">SUMIFS(INDIRECT($J24),Cuenta,$H24,Linea,$I24, Fecha,"&gt;="&amp;E$1,Fecha,"&lt;="&amp;E$2)</f>
        <v>0</v>
      </c>
      <c r="F24" s="36">
        <f ca="1">SUMIFS(INDIRECT($J24),Cuenta,$H24,Linea,$I24, Fecha,"&gt;="&amp;F$1,Fecha,"&lt;="&amp;F$2)</f>
        <v>0</v>
      </c>
      <c r="H24" s="16" t="s">
        <v>41</v>
      </c>
      <c r="I24" s="16" t="s">
        <v>41</v>
      </c>
      <c r="J24" s="16" t="str">
        <v>Impuestos</v>
      </c>
      <c r="K24" s="16"/>
      <c r="L24" s="16"/>
      <c r="M24" s="16"/>
      <c r="N24" s="16"/>
      <c r="O24" s="16"/>
      <c r="P24" s="16"/>
    </row>
    <row r="25" spans="2:16" x14ac:dyDescent="0.25">
      <c r="B25" s="17" t="str">
        <f t="shared" si="0"/>
        <v>Emergencias</v>
      </c>
      <c r="C25" s="36">
        <f ca="1">SUMIFS(INDIRECT($J25),Cuenta,$H25,Linea,$I25, Fecha,"&gt;="&amp;C$1,Fecha,"&lt;="&amp;C$2)</f>
        <v>0</v>
      </c>
      <c r="D25" s="36">
        <f ca="1">SUMIFS(INDIRECT($J25),Cuenta,$H25,Linea,$I25, Fecha,"&gt;="&amp;D$1,Fecha,"&lt;="&amp;D$2)</f>
        <v>0</v>
      </c>
      <c r="E25" s="36">
        <f ca="1">SUMIFS(INDIRECT($J25),Cuenta,$H25,Linea,$I25, Fecha,"&gt;="&amp;E$1,Fecha,"&lt;="&amp;E$2)</f>
        <v>0</v>
      </c>
      <c r="F25" s="36">
        <f ca="1">SUMIFS(INDIRECT($J25),Cuenta,$H25,Linea,$I25, Fecha,"&gt;="&amp;F$1,Fecha,"&lt;="&amp;F$2)</f>
        <v>0</v>
      </c>
      <c r="H25" s="16" t="s">
        <v>41</v>
      </c>
      <c r="I25" s="16" t="s">
        <v>41</v>
      </c>
      <c r="J25" s="16" t="str">
        <v>Emergencias</v>
      </c>
      <c r="K25" s="16"/>
      <c r="L25" s="16"/>
      <c r="M25" s="16"/>
      <c r="N25" s="16"/>
      <c r="O25" s="16"/>
      <c r="P25" s="16"/>
    </row>
    <row r="26" spans="2:16" x14ac:dyDescent="0.25">
      <c r="B26" s="17" t="str">
        <f t="shared" si="0"/>
        <v>Vacaciones</v>
      </c>
      <c r="C26" s="36">
        <f ca="1">SUMIFS(INDIRECT($J26),Cuenta,$H26,Linea,$I26, Fecha,"&gt;="&amp;C$1,Fecha,"&lt;="&amp;C$2)</f>
        <v>0</v>
      </c>
      <c r="D26" s="36">
        <f ca="1">SUMIFS(INDIRECT($J26),Cuenta,$H26,Linea,$I26, Fecha,"&gt;="&amp;D$1,Fecha,"&lt;="&amp;D$2)</f>
        <v>0</v>
      </c>
      <c r="E26" s="36">
        <f ca="1">SUMIFS(INDIRECT($J26),Cuenta,$H26,Linea,$I26, Fecha,"&gt;="&amp;E$1,Fecha,"&lt;="&amp;E$2)</f>
        <v>0</v>
      </c>
      <c r="F26" s="36">
        <f ca="1">SUMIFS(INDIRECT($J26),Cuenta,$H26,Linea,$I26, Fecha,"&gt;="&amp;F$1,Fecha,"&lt;="&amp;F$2)</f>
        <v>0</v>
      </c>
      <c r="H26" s="16" t="s">
        <v>41</v>
      </c>
      <c r="I26" s="16" t="s">
        <v>41</v>
      </c>
      <c r="J26" s="16" t="str">
        <v>Vacaciones</v>
      </c>
      <c r="K26" s="16"/>
      <c r="L26" s="16"/>
      <c r="M26" s="16"/>
      <c r="N26" s="16"/>
      <c r="O26" s="16"/>
      <c r="P26" s="16"/>
    </row>
    <row r="27" spans="2:16" x14ac:dyDescent="0.25">
      <c r="B27" s="17" t="str">
        <f t="shared" si="0"/>
        <v>FX</v>
      </c>
      <c r="C27" s="36">
        <f ca="1">SUMIFS(INDIRECT($J27),Cuenta,$H27,Linea,$I27, Fecha,"&gt;="&amp;C$1,Fecha,"&lt;="&amp;C$2)</f>
        <v>-64094.681599999945</v>
      </c>
      <c r="D27" s="36">
        <f ca="1">SUMIFS(INDIRECT($J27),Cuenta,$H27,Linea,$I27, Fecha,"&gt;="&amp;D$1,Fecha,"&lt;="&amp;D$2)</f>
        <v>-762.61820000009629</v>
      </c>
      <c r="E27" s="36">
        <f ca="1">SUMIFS(INDIRECT($J27),Cuenta,$H27,Linea,$I27, Fecha,"&gt;="&amp;E$1,Fecha,"&lt;="&amp;E$2)</f>
        <v>52518.017900000021</v>
      </c>
      <c r="F27" s="36">
        <f ca="1">SUMIFS(INDIRECT($J27),Cuenta,$H27,Linea,$I27, Fecha,"&gt;="&amp;F$1,Fecha,"&lt;="&amp;F$2)</f>
        <v>832.42899999999463</v>
      </c>
      <c r="H27" s="16" t="s">
        <v>41</v>
      </c>
      <c r="I27" s="16" t="s">
        <v>41</v>
      </c>
      <c r="J27" s="16" t="str">
        <v>FX</v>
      </c>
      <c r="K27" s="16"/>
      <c r="L27" s="16"/>
      <c r="M27" s="16"/>
      <c r="N27" s="16"/>
      <c r="O27" s="16"/>
      <c r="P27" s="16"/>
    </row>
    <row r="28" spans="2:16" x14ac:dyDescent="0.25">
      <c r="B28" s="17" t="str">
        <f t="shared" si="0"/>
        <v>VM</v>
      </c>
      <c r="C28" s="36">
        <f ca="1">SUMIFS(INDIRECT($J28),Cuenta,$H28,Linea,$I28, Fecha,"&gt;="&amp;C$1,Fecha,"&lt;="&amp;C$2)</f>
        <v>-113116.6320000001</v>
      </c>
      <c r="D28" s="36">
        <f ca="1">SUMIFS(INDIRECT($J28),Cuenta,$H28,Linea,$I28, Fecha,"&gt;="&amp;D$1,Fecha,"&lt;="&amp;D$2)</f>
        <v>246408.62990000012</v>
      </c>
      <c r="E28" s="36">
        <f ca="1">SUMIFS(INDIRECT($J28),Cuenta,$H28,Linea,$I28, Fecha,"&gt;="&amp;E$1,Fecha,"&lt;="&amp;E$2)</f>
        <v>706295.79739999992</v>
      </c>
      <c r="F28" s="36">
        <f ca="1">SUMIFS(INDIRECT($J28),Cuenta,$H28,Linea,$I28, Fecha,"&gt;="&amp;F$1,Fecha,"&lt;="&amp;F$2)</f>
        <v>62704.767100000056</v>
      </c>
      <c r="H28" s="16" t="s">
        <v>41</v>
      </c>
      <c r="I28" s="16" t="s">
        <v>41</v>
      </c>
      <c r="J28" s="16" t="str">
        <v>VM</v>
      </c>
      <c r="K28" s="16"/>
      <c r="L28" s="16"/>
      <c r="M28" s="16"/>
      <c r="N28" s="16"/>
      <c r="O28" s="16"/>
      <c r="P28" s="16"/>
    </row>
    <row r="29" spans="2:16" x14ac:dyDescent="0.25">
      <c r="B29" s="17" t="str">
        <f t="shared" si="0"/>
        <v>Unexplained</v>
      </c>
      <c r="C29" s="36">
        <f ca="1">SUMIFS(INDIRECT($J29),Cuenta,$H29,Linea,$I29, Fecha,"&gt;="&amp;C$1,Fecha,"&lt;="&amp;C$2)</f>
        <v>3989.2412999999847</v>
      </c>
      <c r="D29" s="36">
        <f ca="1">SUMIFS(INDIRECT($J29),Cuenta,$H29,Linea,$I29, Fecha,"&gt;="&amp;D$1,Fecha,"&lt;="&amp;D$2)</f>
        <v>-1257.4734999998218</v>
      </c>
      <c r="E29" s="36">
        <f ca="1">SUMIFS(INDIRECT($J29),Cuenta,$H29,Linea,$I29, Fecha,"&gt;="&amp;E$1,Fecha,"&lt;="&amp;E$2)</f>
        <v>-2839.5674999995654</v>
      </c>
      <c r="F29" s="36">
        <f ca="1">SUMIFS(INDIRECT($J29),Cuenta,$H29,Linea,$I29, Fecha,"&gt;="&amp;F$1,Fecha,"&lt;="&amp;F$2)</f>
        <v>-5372.5170000001572</v>
      </c>
      <c r="H29" s="16" t="s">
        <v>41</v>
      </c>
      <c r="I29" s="16" t="s">
        <v>41</v>
      </c>
      <c r="J29" s="16" t="str">
        <v>Unexplained</v>
      </c>
      <c r="K29" s="16"/>
      <c r="L29" s="16"/>
      <c r="M29" s="16"/>
      <c r="N29" s="16"/>
      <c r="O29" s="16"/>
      <c r="P29" s="16"/>
    </row>
    <row r="30" spans="2:16" x14ac:dyDescent="0.25">
      <c r="B30" s="17"/>
      <c r="C30" s="25"/>
      <c r="D30" s="25"/>
      <c r="H30" s="16" t="s">
        <v>41</v>
      </c>
      <c r="I30" s="16" t="s">
        <v>41</v>
      </c>
      <c r="J30" s="16"/>
      <c r="K30" s="16"/>
      <c r="L30" s="16"/>
      <c r="M30" s="16"/>
      <c r="N30" s="16"/>
      <c r="O30" s="16"/>
      <c r="P30" s="16"/>
    </row>
    <row r="31" spans="2:16" x14ac:dyDescent="0.25">
      <c r="B31" s="17"/>
      <c r="H31" s="16" t="s">
        <v>41</v>
      </c>
      <c r="I31" s="16" t="s">
        <v>41</v>
      </c>
      <c r="J31" s="16"/>
      <c r="K31" s="16"/>
      <c r="L31" s="16"/>
      <c r="M31" s="16"/>
      <c r="N31" s="16"/>
      <c r="O31" s="16"/>
      <c r="P31" s="16"/>
    </row>
    <row r="32" spans="2:16" x14ac:dyDescent="0.25">
      <c r="H32" s="16" t="s">
        <v>41</v>
      </c>
      <c r="I32" s="16" t="s">
        <v>41</v>
      </c>
      <c r="J32" s="16"/>
      <c r="K32" s="16"/>
      <c r="L32" s="16"/>
      <c r="M32" s="16"/>
      <c r="N32" s="16"/>
      <c r="O32" s="16"/>
      <c r="P32" s="16"/>
    </row>
    <row r="33" spans="8:16" x14ac:dyDescent="0.25">
      <c r="H33" s="16" t="s">
        <v>41</v>
      </c>
      <c r="I33" s="16" t="s">
        <v>41</v>
      </c>
      <c r="J33" s="16"/>
      <c r="K33" s="16"/>
      <c r="L33" s="16"/>
      <c r="M33" s="16"/>
      <c r="N33" s="16"/>
      <c r="O33" s="16"/>
      <c r="P33" s="16"/>
    </row>
    <row r="34" spans="8:16" x14ac:dyDescent="0.25">
      <c r="H34" s="16" t="s">
        <v>41</v>
      </c>
      <c r="I34" s="16" t="s">
        <v>41</v>
      </c>
      <c r="J34" s="16"/>
      <c r="K34" s="16"/>
      <c r="L34" s="16"/>
      <c r="M34" s="16"/>
      <c r="N34" s="16"/>
      <c r="O34" s="16"/>
      <c r="P34" s="16"/>
    </row>
    <row r="35" spans="8:16" x14ac:dyDescent="0.25">
      <c r="H35" s="16"/>
      <c r="I35" s="16"/>
      <c r="J35" s="16"/>
      <c r="K35" s="16"/>
      <c r="L35" s="16"/>
      <c r="M35" s="16"/>
      <c r="N35" s="16"/>
      <c r="O35" s="16"/>
      <c r="P35" s="16"/>
    </row>
    <row r="36" spans="8:16" x14ac:dyDescent="0.25">
      <c r="H36" s="16"/>
      <c r="I36" s="16"/>
      <c r="J36" s="16"/>
      <c r="K36" s="16"/>
      <c r="L36" s="16"/>
      <c r="M36" s="16"/>
      <c r="N36" s="16"/>
      <c r="O36" s="16"/>
      <c r="P36" s="16"/>
    </row>
    <row r="37" spans="8:16" x14ac:dyDescent="0.25">
      <c r="H37" s="16"/>
      <c r="I37" s="16"/>
      <c r="J37" s="16"/>
      <c r="K37" s="16"/>
      <c r="L37" s="16"/>
      <c r="M37" s="16"/>
      <c r="N37" s="16"/>
      <c r="O37" s="16"/>
      <c r="P37" s="16"/>
    </row>
    <row r="38" spans="8:16" x14ac:dyDescent="0.25">
      <c r="H38" s="16"/>
      <c r="I38" s="16"/>
      <c r="J38" s="16"/>
      <c r="K38" s="16"/>
      <c r="L38" s="16"/>
      <c r="M38" s="16"/>
      <c r="N38" s="16"/>
      <c r="O38" s="16"/>
      <c r="P38" s="16"/>
    </row>
    <row r="39" spans="8:16" x14ac:dyDescent="0.25">
      <c r="H39" s="16"/>
      <c r="I39" s="16"/>
      <c r="J39" s="16"/>
      <c r="K39" s="16"/>
      <c r="L39" s="16"/>
      <c r="M39" s="16"/>
      <c r="N39" s="16"/>
      <c r="O39" s="16"/>
      <c r="P39" s="16"/>
    </row>
    <row r="40" spans="8:16" x14ac:dyDescent="0.25">
      <c r="H40" s="16"/>
      <c r="I40" s="16"/>
      <c r="J40" s="16"/>
      <c r="K40" s="16"/>
      <c r="L40" s="16"/>
      <c r="M40" s="16"/>
      <c r="N40" s="16"/>
      <c r="O40" s="16"/>
      <c r="P40" s="16"/>
    </row>
    <row r="41" spans="8:16" x14ac:dyDescent="0.25">
      <c r="H41" s="16"/>
      <c r="I41" s="16"/>
      <c r="J41" s="16"/>
      <c r="K41" s="16"/>
      <c r="L41" s="16"/>
      <c r="M41" s="16"/>
      <c r="N41" s="16"/>
      <c r="O41" s="16"/>
      <c r="P41" s="16"/>
    </row>
    <row r="42" spans="8:16" x14ac:dyDescent="0.25">
      <c r="H42" s="16"/>
      <c r="I42" s="16"/>
      <c r="J42" s="16"/>
      <c r="K42" s="16"/>
      <c r="L42" s="16"/>
      <c r="M42" s="16"/>
      <c r="N42" s="16"/>
      <c r="O42" s="16"/>
      <c r="P42" s="16"/>
    </row>
    <row r="43" spans="8:16" x14ac:dyDescent="0.25">
      <c r="H43" s="16"/>
      <c r="I43" s="16"/>
      <c r="J43" s="16"/>
      <c r="K43" s="16"/>
      <c r="L43" s="16"/>
      <c r="M43" s="16"/>
      <c r="N43" s="16"/>
      <c r="O43" s="16"/>
      <c r="P43" s="16"/>
    </row>
    <row r="44" spans="8:16" x14ac:dyDescent="0.25">
      <c r="H44" s="16"/>
      <c r="I44" s="16"/>
      <c r="J44" s="16"/>
      <c r="K44" s="16"/>
      <c r="L44" s="16"/>
      <c r="M44" s="16"/>
      <c r="N44" s="16"/>
      <c r="O44" s="16"/>
      <c r="P44" s="16"/>
    </row>
    <row r="45" spans="8:16" x14ac:dyDescent="0.25">
      <c r="H45" s="16"/>
      <c r="I45" s="16"/>
      <c r="J45" s="16"/>
      <c r="K45" s="16"/>
      <c r="L45" s="16"/>
      <c r="M45" s="16"/>
      <c r="N45" s="16"/>
      <c r="O45" s="16"/>
      <c r="P45" s="16"/>
    </row>
    <row r="46" spans="8:16" x14ac:dyDescent="0.25">
      <c r="H46" s="16"/>
      <c r="I46" s="16"/>
      <c r="J46" s="16"/>
      <c r="K46" s="16"/>
      <c r="L46" s="16"/>
      <c r="M46" s="16"/>
      <c r="N46" s="16"/>
      <c r="O46" s="16"/>
      <c r="P46" s="16"/>
    </row>
    <row r="47" spans="8:16" x14ac:dyDescent="0.25">
      <c r="H47" s="16"/>
      <c r="I47" s="16"/>
      <c r="J47" s="16"/>
      <c r="K47" s="16"/>
      <c r="L47" s="16"/>
      <c r="M47" s="16"/>
      <c r="N47" s="16"/>
      <c r="O47" s="16"/>
      <c r="P47" s="16"/>
    </row>
    <row r="48" spans="8:16" x14ac:dyDescent="0.25">
      <c r="H48" s="16"/>
      <c r="I48" s="16"/>
      <c r="J48" s="16"/>
      <c r="K48" s="16"/>
      <c r="L48" s="16"/>
      <c r="M48" s="16"/>
      <c r="N48" s="16"/>
      <c r="O48" s="16"/>
      <c r="P48" s="16"/>
    </row>
    <row r="49" spans="8:16" x14ac:dyDescent="0.25">
      <c r="H49" s="16"/>
      <c r="I49" s="16"/>
      <c r="J49" s="16"/>
      <c r="K49" s="16"/>
      <c r="L49" s="16"/>
      <c r="M49" s="16"/>
      <c r="N49" s="16"/>
      <c r="O49" s="16"/>
      <c r="P49" s="16"/>
    </row>
    <row r="50" spans="8:16" x14ac:dyDescent="0.25">
      <c r="H50" s="16"/>
      <c r="I50" s="16"/>
      <c r="J50" s="16"/>
      <c r="K50" s="16"/>
      <c r="L50" s="16"/>
      <c r="M50" s="16"/>
      <c r="N50" s="16"/>
      <c r="O50" s="16"/>
      <c r="P50" s="16"/>
    </row>
    <row r="51" spans="8:16" x14ac:dyDescent="0.25">
      <c r="H51" s="16"/>
      <c r="I51" s="16"/>
      <c r="J51" s="16"/>
      <c r="K51" s="16"/>
      <c r="L51" s="16"/>
      <c r="M51" s="16"/>
      <c r="N51" s="16"/>
      <c r="O51" s="16"/>
      <c r="P51" s="16"/>
    </row>
    <row r="52" spans="8:16" x14ac:dyDescent="0.25">
      <c r="K52" s="16"/>
      <c r="L52" s="16"/>
      <c r="M52" s="16"/>
      <c r="N52" s="16"/>
      <c r="O52" s="16"/>
      <c r="P52" s="16"/>
    </row>
    <row r="53" spans="8:16" x14ac:dyDescent="0.25">
      <c r="K53" s="16"/>
      <c r="L53" s="16"/>
      <c r="M53" s="16"/>
      <c r="N53" s="16"/>
      <c r="O53" s="16"/>
      <c r="P53" s="16"/>
    </row>
  </sheetData>
  <conditionalFormatting sqref="C30:D30 C11:F29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{000C330C-B916-4AD1-B9E1-00F6432C5DBA}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00C330C-B916-4AD1-B9E1-00F6432C5DBA}">
            <x14:dataBar minLength="0" maxLength="100" direction="leftToRight">
              <x14:cfvo type="autoMin"/>
              <x14:cfvo type="autoMax"/>
              <x14:negativeFillColor rgb="FFFF5050"/>
              <x14:axisColor theme="0" tint="-0.249977111117893"/>
            </x14:dataBar>
          </x14:cfRule>
          <xm:sqref>C30:D30 C11:F29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9EC6A-09DB-4247-B716-761903DB8699}">
  <sheetPr codeName="Sheet8">
    <tabColor theme="7" tint="0.39997558519241921"/>
  </sheetPr>
  <dimension ref="B1:AC92"/>
  <sheetViews>
    <sheetView showGridLines="0" zoomScale="70" zoomScaleNormal="70" workbookViewId="0">
      <selection activeCell="E4" sqref="E4"/>
    </sheetView>
  </sheetViews>
  <sheetFormatPr defaultRowHeight="15" outlineLevelRow="1" outlineLevelCol="1" x14ac:dyDescent="0.25"/>
  <cols>
    <col min="1" max="1" width="10.5703125" customWidth="1"/>
    <col min="2" max="2" width="22.42578125" customWidth="1"/>
    <col min="3" max="5" width="17.42578125" customWidth="1"/>
    <col min="6" max="6" width="16.85546875" customWidth="1"/>
    <col min="7" max="7" width="20.7109375" customWidth="1"/>
    <col min="8" max="8" width="16.28515625" hidden="1" customWidth="1" outlineLevel="1"/>
    <col min="9" max="9" width="14.28515625" hidden="1" customWidth="1" outlineLevel="1"/>
    <col min="10" max="10" width="17.28515625" hidden="1" customWidth="1" outlineLevel="1"/>
    <col min="11" max="11" width="13.7109375" hidden="1" customWidth="1" outlineLevel="1"/>
    <col min="12" max="12" width="14" hidden="1" customWidth="1" outlineLevel="1"/>
    <col min="13" max="13" width="9.140625" collapsed="1"/>
    <col min="16" max="16" width="9.85546875" customWidth="1"/>
  </cols>
  <sheetData>
    <row r="1" spans="2:29" x14ac:dyDescent="0.25">
      <c r="B1" s="115" t="s">
        <v>37</v>
      </c>
      <c r="C1" s="15">
        <f ca="1">DATE(YEAR(TODAY()),MONTH(TODAY()),1)</f>
        <v>45383</v>
      </c>
      <c r="D1" s="15">
        <f ca="1">EDATE(C1,-1)</f>
        <v>45352</v>
      </c>
      <c r="E1" s="15">
        <f ca="1">EDATE(D1,-1)</f>
        <v>45323</v>
      </c>
      <c r="F1" s="15">
        <f ca="1">EDATE(E1,-1)</f>
        <v>45292</v>
      </c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2:29" x14ac:dyDescent="0.25">
      <c r="B2" s="116" t="s">
        <v>38</v>
      </c>
      <c r="C2" s="15">
        <f ca="1">EOMONTH(C1,0)</f>
        <v>45412</v>
      </c>
      <c r="D2" s="15">
        <f ca="1">EOMONTH(D1,0)</f>
        <v>45382</v>
      </c>
      <c r="E2" s="15">
        <f ca="1">EOMONTH(E1,0)</f>
        <v>45351</v>
      </c>
      <c r="F2" s="15">
        <f ca="1">EOMONTH(F1,0)</f>
        <v>45322</v>
      </c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6" spans="2:29" x14ac:dyDescent="0.25">
      <c r="C6" s="23" t="str">
        <f t="shared" ref="C6:E6" ca="1" si="0">VLOOKUP(MONTH(C$1),$K$6:$L$17,2,TRUE)&amp;" - "&amp;YEAR(C1)</f>
        <v>April - 2024</v>
      </c>
      <c r="D6" s="23" t="str">
        <f t="shared" ca="1" si="0"/>
        <v>March - 2024</v>
      </c>
      <c r="E6" s="23" t="str">
        <f t="shared" ca="1" si="0"/>
        <v>February - 2024</v>
      </c>
      <c r="F6" s="23" t="str">
        <f ca="1">VLOOKUP(MONTH(F$1),$K$6:$L$17,2,TRUE)&amp;" - "&amp;YEAR(F1)</f>
        <v>January - 2024</v>
      </c>
      <c r="H6" s="16" t="s">
        <v>0</v>
      </c>
      <c r="I6" s="16" t="s">
        <v>4</v>
      </c>
      <c r="J6" s="16" t="s">
        <v>40</v>
      </c>
      <c r="K6" s="16">
        <v>1</v>
      </c>
      <c r="L6" s="16" t="s">
        <v>39</v>
      </c>
      <c r="M6" s="16"/>
      <c r="N6" s="16"/>
      <c r="O6" s="16"/>
      <c r="P6" s="16"/>
      <c r="Q6" s="16"/>
      <c r="R6" s="16"/>
    </row>
    <row r="7" spans="2:29" x14ac:dyDescent="0.25">
      <c r="B7" s="18" t="s">
        <v>130</v>
      </c>
      <c r="C7" s="24">
        <f ca="1">SUMIFS(INDIRECT($J7),Cuenta,$H7,Linea,$I7, Fecha,"&gt;="&amp;C$1,Fecha,"&lt;="&amp;C$2)</f>
        <v>-824131.80480000016</v>
      </c>
      <c r="D7" s="24">
        <f ca="1">SUMIFS(INDIRECT($J7),Cuenta,$H7,Linea,$I7, Fecha,"&gt;="&amp;D$1,Fecha,"&lt;="&amp;D$2)</f>
        <v>-2066858.6373000001</v>
      </c>
      <c r="E7" s="24">
        <f ca="1">SUMIFS(INDIRECT($J7),Cuenta,$H7,Linea,$I7, Fecha,"&gt;="&amp;E$1,Fecha,"&lt;="&amp;E$2)</f>
        <v>5130306.537299999</v>
      </c>
      <c r="F7" s="24">
        <f ca="1">SUMIFS(INDIRECT($J7),Cuenta,$H7,Linea,$I7, Fecha,"&gt;="&amp;F$1,Fecha,"&lt;="&amp;F$2)</f>
        <v>1739249.4184999997</v>
      </c>
      <c r="H7" s="16" t="s">
        <v>5</v>
      </c>
      <c r="I7" s="16" t="s">
        <v>41</v>
      </c>
      <c r="J7" s="16" t="str" cm="1">
        <f t="array" ref="J7:J29">TRANSPOSE(Data!N1:AJ1)</f>
        <v>PnL</v>
      </c>
      <c r="K7" s="16">
        <v>2</v>
      </c>
      <c r="L7" s="16" t="s">
        <v>54</v>
      </c>
      <c r="M7" s="16"/>
      <c r="N7" s="16"/>
      <c r="O7" s="16"/>
      <c r="P7" s="16"/>
      <c r="Q7" s="16"/>
      <c r="R7" s="16"/>
    </row>
    <row r="8" spans="2:29" outlineLevel="1" x14ac:dyDescent="0.25">
      <c r="B8" s="17" t="str">
        <f>J8</f>
        <v>Ingreso</v>
      </c>
      <c r="C8" s="36">
        <f ca="1">SUMIFS(INDIRECT($J8),Cuenta,$H8,Linea,$I8, Fecha,"&gt;="&amp;C$1,Fecha,"&lt;="&amp;C$2)</f>
        <v>0</v>
      </c>
      <c r="D8" s="36">
        <f ca="1">SUMIFS(INDIRECT($J8),Cuenta,$H8,Linea,$I8, Fecha,"&gt;="&amp;D$1,Fecha,"&lt;="&amp;D$2)</f>
        <v>2005916</v>
      </c>
      <c r="E8" s="36">
        <f ca="1">SUMIFS(INDIRECT($J8),Cuenta,$H8,Linea,$I8, Fecha,"&gt;="&amp;E$1,Fecha,"&lt;="&amp;E$2)</f>
        <v>1843156.9320035039</v>
      </c>
      <c r="F8" s="36">
        <f ca="1">SUMIFS(INDIRECT($J8),Cuenta,$H8,Linea,$I8, Fecha,"&gt;="&amp;F$1,Fecha,"&lt;="&amp;F$2)</f>
        <v>1841276.3333333335</v>
      </c>
      <c r="H8" s="16" t="s">
        <v>5</v>
      </c>
      <c r="I8" s="16" t="s">
        <v>41</v>
      </c>
      <c r="J8" s="16" t="str">
        <v>Ingreso</v>
      </c>
      <c r="K8" s="16">
        <v>3</v>
      </c>
      <c r="L8" s="16" t="s">
        <v>72</v>
      </c>
      <c r="M8" s="16"/>
      <c r="N8" s="16"/>
      <c r="O8" s="16"/>
      <c r="P8" s="16"/>
      <c r="Q8" s="16"/>
      <c r="R8" s="16"/>
    </row>
    <row r="9" spans="2:29" outlineLevel="1" x14ac:dyDescent="0.25">
      <c r="B9" s="17" t="str">
        <f t="shared" ref="B9:B28" si="1">J9</f>
        <v>Bonos</v>
      </c>
      <c r="C9" s="36">
        <f ca="1">SUMIFS(INDIRECT($J9),Cuenta,$H9,Linea,$I9, Fecha,"&gt;="&amp;C$1,Fecha,"&lt;="&amp;C$2)</f>
        <v>0</v>
      </c>
      <c r="D9" s="36">
        <f ca="1">SUMIFS(INDIRECT($J9),Cuenta,$H9,Linea,$I9, Fecha,"&gt;="&amp;D$1,Fecha,"&lt;="&amp;D$2)</f>
        <v>0</v>
      </c>
      <c r="E9" s="36">
        <f ca="1">SUMIFS(INDIRECT($J9),Cuenta,$H9,Linea,$I9, Fecha,"&gt;="&amp;E$1,Fecha,"&lt;="&amp;E$2)</f>
        <v>8957717.0679964963</v>
      </c>
      <c r="F9" s="36">
        <f ca="1">SUMIFS(INDIRECT($J9),Cuenta,$H9,Linea,$I9, Fecha,"&gt;="&amp;F$1,Fecha,"&lt;="&amp;F$2)</f>
        <v>2286666.6666666665</v>
      </c>
      <c r="H9" s="16" t="s">
        <v>5</v>
      </c>
      <c r="I9" s="16" t="s">
        <v>41</v>
      </c>
      <c r="J9" s="16" t="str">
        <v>Bonos</v>
      </c>
      <c r="K9" s="16">
        <v>4</v>
      </c>
      <c r="L9" s="16" t="s">
        <v>131</v>
      </c>
      <c r="M9" s="16"/>
      <c r="N9" s="16"/>
      <c r="O9" s="16"/>
      <c r="P9" s="16"/>
      <c r="Q9" s="16"/>
      <c r="R9" s="16"/>
    </row>
    <row r="10" spans="2:29" outlineLevel="1" x14ac:dyDescent="0.25">
      <c r="B10" s="17" t="str">
        <f t="shared" si="1"/>
        <v>Transferencias</v>
      </c>
      <c r="C10" s="36">
        <f ca="1">SUMIFS(INDIRECT($J10),Cuenta,$H10,Linea,$I10, Fecha,"&gt;="&amp;C$1,Fecha,"&lt;="&amp;C$2)</f>
        <v>700.9199999999837</v>
      </c>
      <c r="D10" s="36">
        <f ca="1">SUMIFS(INDIRECT($J10),Cuenta,$H10,Linea,$I10, Fecha,"&gt;="&amp;D$1,Fecha,"&lt;="&amp;D$2)</f>
        <v>-2010220.8478999999</v>
      </c>
      <c r="E10" s="36">
        <f ca="1">SUMIFS(INDIRECT($J10),Cuenta,$H10,Linea,$I10, Fecha,"&gt;="&amp;E$1,Fecha,"&lt;="&amp;E$2)</f>
        <v>-3067893.8141000001</v>
      </c>
      <c r="F10" s="36">
        <f ca="1">SUMIFS(INDIRECT($J10),Cuenta,$H10,Linea,$I10, Fecha,"&gt;="&amp;F$1,Fecha,"&lt;="&amp;F$2)</f>
        <v>35301.871199999936</v>
      </c>
      <c r="H10" s="16" t="s">
        <v>5</v>
      </c>
      <c r="I10" s="16" t="s">
        <v>41</v>
      </c>
      <c r="J10" s="16" t="str">
        <v>Transferencias</v>
      </c>
      <c r="K10" s="16">
        <v>5</v>
      </c>
      <c r="L10" s="16" t="s">
        <v>133</v>
      </c>
      <c r="M10" s="16"/>
      <c r="N10" s="16"/>
      <c r="O10" s="16"/>
      <c r="P10" s="16"/>
      <c r="Q10" s="16"/>
      <c r="R10" s="16"/>
    </row>
    <row r="11" spans="2:29" outlineLevel="1" x14ac:dyDescent="0.25">
      <c r="B11" s="145" t="str">
        <f t="shared" si="1"/>
        <v>Vivienda</v>
      </c>
      <c r="C11" s="146">
        <f ca="1">SUMIFS(INDIRECT($J11),Cuenta,$H11,Linea,$I11, Fecha,"&gt;="&amp;C$1,Fecha,"&lt;="&amp;C$2)</f>
        <v>-556587</v>
      </c>
      <c r="D11" s="146">
        <f ca="1">SUMIFS(INDIRECT($J11),Cuenta,$H11,Linea,$I11, Fecha,"&gt;="&amp;D$1,Fecha,"&lt;="&amp;D$2)</f>
        <v>-762082</v>
      </c>
      <c r="E11" s="146">
        <f ca="1">SUMIFS(INDIRECT($J11),Cuenta,$H11,Linea,$I11, Fecha,"&gt;="&amp;E$1,Fecha,"&lt;="&amp;E$2)</f>
        <v>-795666</v>
      </c>
      <c r="F11" s="146">
        <f ca="1">SUMIFS(INDIRECT($J11),Cuenta,$H11,Linea,$I11, Fecha,"&gt;="&amp;F$1,Fecha,"&lt;="&amp;F$2)</f>
        <v>-620034.85999999987</v>
      </c>
      <c r="H11" s="16" t="s">
        <v>5</v>
      </c>
      <c r="I11" s="16" t="s">
        <v>41</v>
      </c>
      <c r="J11" s="16" t="str">
        <v>Vivienda</v>
      </c>
      <c r="K11" s="16">
        <v>6</v>
      </c>
      <c r="L11" s="16" t="s">
        <v>134</v>
      </c>
      <c r="M11" s="16"/>
      <c r="N11" s="16"/>
      <c r="O11" s="16"/>
      <c r="P11" s="16"/>
      <c r="Q11" s="16"/>
      <c r="R11" s="16"/>
    </row>
    <row r="12" spans="2:29" outlineLevel="1" x14ac:dyDescent="0.25">
      <c r="B12" s="17" t="str">
        <f t="shared" si="1"/>
        <v>Salud</v>
      </c>
      <c r="C12" s="36">
        <f ca="1">SUMIFS(INDIRECT($J12),Cuenta,$H12,Linea,$I12, Fecha,"&gt;="&amp;C$1,Fecha,"&lt;="&amp;C$2)</f>
        <v>-68771</v>
      </c>
      <c r="D12" s="36">
        <f ca="1">SUMIFS(INDIRECT($J12),Cuenta,$H12,Linea,$I12, Fecha,"&gt;="&amp;D$1,Fecha,"&lt;="&amp;D$2)</f>
        <v>0</v>
      </c>
      <c r="E12" s="36">
        <f ca="1">SUMIFS(INDIRECT($J12),Cuenta,$H12,Linea,$I12, Fecha,"&gt;="&amp;E$1,Fecha,"&lt;="&amp;E$2)</f>
        <v>-177873</v>
      </c>
      <c r="F12" s="36">
        <f ca="1">SUMIFS(INDIRECT($J12),Cuenta,$H12,Linea,$I12, Fecha,"&gt;="&amp;F$1,Fecha,"&lt;="&amp;F$2)</f>
        <v>-229158</v>
      </c>
      <c r="H12" s="16" t="s">
        <v>5</v>
      </c>
      <c r="I12" s="16" t="s">
        <v>41</v>
      </c>
      <c r="J12" s="16" t="str">
        <v>Salud</v>
      </c>
      <c r="K12" s="16">
        <v>7</v>
      </c>
      <c r="L12" s="16" t="s">
        <v>135</v>
      </c>
      <c r="M12" s="16"/>
      <c r="N12" s="16"/>
      <c r="O12" s="16"/>
      <c r="P12" s="16"/>
      <c r="Q12" s="16"/>
      <c r="R12" s="16"/>
    </row>
    <row r="13" spans="2:29" outlineLevel="1" x14ac:dyDescent="0.25">
      <c r="B13" s="17" t="str">
        <f t="shared" si="1"/>
        <v>Alimentacion</v>
      </c>
      <c r="C13" s="36">
        <f ca="1">SUMIFS(INDIRECT($J13),Cuenta,$H13,Linea,$I13, Fecha,"&gt;="&amp;C$1,Fecha,"&lt;="&amp;C$2)</f>
        <v>0</v>
      </c>
      <c r="D13" s="36">
        <f ca="1">SUMIFS(INDIRECT($J13),Cuenta,$H13,Linea,$I13, Fecha,"&gt;="&amp;D$1,Fecha,"&lt;="&amp;D$2)</f>
        <v>-169000</v>
      </c>
      <c r="E13" s="36">
        <f ca="1">SUMIFS(INDIRECT($J13),Cuenta,$H13,Linea,$I13, Fecha,"&gt;="&amp;E$1,Fecha,"&lt;="&amp;E$2)</f>
        <v>-203178</v>
      </c>
      <c r="F13" s="36">
        <f ca="1">SUMIFS(INDIRECT($J13),Cuenta,$H13,Linea,$I13, Fecha,"&gt;="&amp;F$1,Fecha,"&lt;="&amp;F$2)</f>
        <v>-219674</v>
      </c>
      <c r="H13" s="16" t="s">
        <v>5</v>
      </c>
      <c r="I13" s="16" t="s">
        <v>41</v>
      </c>
      <c r="J13" s="16" t="str">
        <v>Alimentacion</v>
      </c>
      <c r="K13" s="16">
        <v>8</v>
      </c>
      <c r="L13" s="16" t="s">
        <v>136</v>
      </c>
      <c r="M13" s="16"/>
      <c r="N13" s="16"/>
      <c r="O13" s="16"/>
      <c r="P13" s="22"/>
      <c r="Q13" s="16"/>
      <c r="R13" s="16"/>
    </row>
    <row r="14" spans="2:29" outlineLevel="1" x14ac:dyDescent="0.25">
      <c r="B14" s="17" t="str">
        <f t="shared" si="1"/>
        <v>Pedidos</v>
      </c>
      <c r="C14" s="36">
        <f ca="1">SUMIFS(INDIRECT($J14),Cuenta,$H14,Linea,$I14, Fecha,"&gt;="&amp;C$1,Fecha,"&lt;="&amp;C$2)</f>
        <v>-117416</v>
      </c>
      <c r="D14" s="36">
        <f ca="1">SUMIFS(INDIRECT($J14),Cuenta,$H14,Linea,$I14, Fecha,"&gt;="&amp;D$1,Fecha,"&lt;="&amp;D$2)</f>
        <v>-447670</v>
      </c>
      <c r="E14" s="36">
        <f ca="1">SUMIFS(INDIRECT($J14),Cuenta,$H14,Linea,$I14, Fecha,"&gt;="&amp;E$1,Fecha,"&lt;="&amp;E$2)</f>
        <v>-96770</v>
      </c>
      <c r="F14" s="36">
        <f ca="1">SUMIFS(INDIRECT($J14),Cuenta,$H14,Linea,$I14, Fecha,"&gt;="&amp;F$1,Fecha,"&lt;="&amp;F$2)</f>
        <v>-177530</v>
      </c>
      <c r="H14" s="16" t="s">
        <v>5</v>
      </c>
      <c r="I14" s="16" t="s">
        <v>41</v>
      </c>
      <c r="J14" s="16" t="str">
        <v>Pedidos</v>
      </c>
      <c r="K14" s="16">
        <v>9</v>
      </c>
      <c r="L14" s="16" t="s">
        <v>137</v>
      </c>
      <c r="M14" s="16"/>
      <c r="N14" s="16"/>
      <c r="O14" s="16"/>
      <c r="P14" s="22"/>
      <c r="Q14" s="16"/>
      <c r="R14" s="16"/>
    </row>
    <row r="15" spans="2:29" outlineLevel="1" x14ac:dyDescent="0.25">
      <c r="B15" s="17" t="str">
        <f t="shared" si="1"/>
        <v>Salidas</v>
      </c>
      <c r="C15" s="36">
        <f ca="1">SUMIFS(INDIRECT($J15),Cuenta,$H15,Linea,$I15, Fecha,"&gt;="&amp;C$1,Fecha,"&lt;="&amp;C$2)</f>
        <v>0</v>
      </c>
      <c r="D15" s="36">
        <f ca="1">SUMIFS(INDIRECT($J15),Cuenta,$H15,Linea,$I15, Fecha,"&gt;="&amp;D$1,Fecha,"&lt;="&amp;D$2)</f>
        <v>-194295</v>
      </c>
      <c r="E15" s="36">
        <f ca="1">SUMIFS(INDIRECT($J15),Cuenta,$H15,Linea,$I15, Fecha,"&gt;="&amp;E$1,Fecha,"&lt;="&amp;E$2)</f>
        <v>-296816</v>
      </c>
      <c r="F15" s="36">
        <f ca="1">SUMIFS(INDIRECT($J15),Cuenta,$H15,Linea,$I15, Fecha,"&gt;="&amp;F$1,Fecha,"&lt;="&amp;F$2)</f>
        <v>-185100</v>
      </c>
      <c r="H15" s="16" t="s">
        <v>5</v>
      </c>
      <c r="I15" s="16" t="s">
        <v>41</v>
      </c>
      <c r="J15" s="16" t="str">
        <v>Salidas</v>
      </c>
      <c r="K15" s="16">
        <v>10</v>
      </c>
      <c r="L15" s="16" t="s">
        <v>139</v>
      </c>
      <c r="M15" s="16"/>
      <c r="N15" s="16"/>
      <c r="O15" s="16"/>
      <c r="P15" s="22"/>
      <c r="Q15" s="16"/>
      <c r="R15" s="16"/>
    </row>
    <row r="16" spans="2:29" outlineLevel="1" x14ac:dyDescent="0.25">
      <c r="B16" s="17" t="str">
        <f t="shared" si="1"/>
        <v>Snacks</v>
      </c>
      <c r="C16" s="36">
        <f ca="1">SUMIFS(INDIRECT($J16),Cuenta,$H16,Linea,$I16, Fecha,"&gt;="&amp;C$1,Fecha,"&lt;="&amp;C$2)</f>
        <v>-18860</v>
      </c>
      <c r="D16" s="36">
        <f ca="1">SUMIFS(INDIRECT($J16),Cuenta,$H16,Linea,$I16, Fecha,"&gt;="&amp;D$1,Fecha,"&lt;="&amp;D$2)</f>
        <v>-122570</v>
      </c>
      <c r="E16" s="36">
        <f ca="1">SUMIFS(INDIRECT($J16),Cuenta,$H16,Linea,$I16, Fecha,"&gt;="&amp;E$1,Fecha,"&lt;="&amp;E$2)</f>
        <v>-189838</v>
      </c>
      <c r="F16" s="36">
        <f ca="1">SUMIFS(INDIRECT($J16),Cuenta,$H16,Linea,$I16, Fecha,"&gt;="&amp;F$1,Fecha,"&lt;="&amp;F$2)</f>
        <v>-75903</v>
      </c>
      <c r="H16" s="16" t="s">
        <v>5</v>
      </c>
      <c r="I16" s="16" t="s">
        <v>41</v>
      </c>
      <c r="J16" s="16" t="str">
        <v>Snacks</v>
      </c>
      <c r="K16" s="16">
        <v>11</v>
      </c>
      <c r="L16" s="16" t="s">
        <v>138</v>
      </c>
      <c r="M16" s="16"/>
      <c r="N16" s="16"/>
      <c r="O16" s="16"/>
      <c r="P16" s="22"/>
      <c r="Q16" s="16"/>
      <c r="R16" s="16"/>
    </row>
    <row r="17" spans="2:18" outlineLevel="1" x14ac:dyDescent="0.25">
      <c r="B17" s="17" t="str">
        <f t="shared" si="1"/>
        <v>Transporte</v>
      </c>
      <c r="C17" s="36">
        <f ca="1">SUMIFS(INDIRECT($J17),Cuenta,$H17,Linea,$I17, Fecha,"&gt;="&amp;C$1,Fecha,"&lt;="&amp;C$2)</f>
        <v>-24310</v>
      </c>
      <c r="D17" s="36">
        <f ca="1">SUMIFS(INDIRECT($J17),Cuenta,$H17,Linea,$I17, Fecha,"&gt;="&amp;D$1,Fecha,"&lt;="&amp;D$2)</f>
        <v>0</v>
      </c>
      <c r="E17" s="36">
        <f ca="1">SUMIFS(INDIRECT($J17),Cuenta,$H17,Linea,$I17, Fecha,"&gt;="&amp;E$1,Fecha,"&lt;="&amp;E$2)</f>
        <v>0</v>
      </c>
      <c r="F17" s="36">
        <f ca="1">SUMIFS(INDIRECT($J17),Cuenta,$H17,Linea,$I17, Fecha,"&gt;="&amp;F$1,Fecha,"&lt;="&amp;F$2)</f>
        <v>0</v>
      </c>
      <c r="H17" s="16" t="s">
        <v>5</v>
      </c>
      <c r="I17" s="16" t="s">
        <v>41</v>
      </c>
      <c r="J17" s="16" t="str">
        <v>Transporte</v>
      </c>
      <c r="K17" s="16">
        <v>12</v>
      </c>
      <c r="L17" s="16" t="s">
        <v>140</v>
      </c>
      <c r="M17" s="16"/>
      <c r="N17" s="16"/>
      <c r="O17" s="16"/>
      <c r="P17" s="22"/>
      <c r="Q17" s="16"/>
      <c r="R17" s="16"/>
    </row>
    <row r="18" spans="2:18" outlineLevel="1" x14ac:dyDescent="0.25">
      <c r="B18" s="17" t="str">
        <f t="shared" si="1"/>
        <v>Seguros</v>
      </c>
      <c r="C18" s="36">
        <f ca="1">SUMIFS(INDIRECT($J18),Cuenta,$H18,Linea,$I18, Fecha,"&gt;="&amp;C$1,Fecha,"&lt;="&amp;C$2)</f>
        <v>-18186</v>
      </c>
      <c r="D18" s="36">
        <f ca="1">SUMIFS(INDIRECT($J18),Cuenta,$H18,Linea,$I18, Fecha,"&gt;="&amp;D$1,Fecha,"&lt;="&amp;D$2)</f>
        <v>0</v>
      </c>
      <c r="E18" s="36">
        <f ca="1">SUMIFS(INDIRECT($J18),Cuenta,$H18,Linea,$I18, Fecha,"&gt;="&amp;E$1,Fecha,"&lt;="&amp;E$2)</f>
        <v>0</v>
      </c>
      <c r="F18" s="36">
        <f ca="1">SUMIFS(INDIRECT($J18),Cuenta,$H18,Linea,$I18, Fecha,"&gt;="&amp;F$1,Fecha,"&lt;="&amp;F$2)</f>
        <v>0</v>
      </c>
      <c r="H18" s="16" t="s">
        <v>5</v>
      </c>
      <c r="I18" s="16" t="s">
        <v>41</v>
      </c>
      <c r="J18" s="16" t="str">
        <v>Seguros</v>
      </c>
      <c r="M18" s="16"/>
      <c r="N18" s="16"/>
      <c r="O18" s="16"/>
      <c r="P18" s="22"/>
      <c r="Q18" s="16"/>
      <c r="R18" s="16"/>
    </row>
    <row r="19" spans="2:18" outlineLevel="1" x14ac:dyDescent="0.25">
      <c r="B19" s="17" t="str">
        <f t="shared" si="1"/>
        <v>Uber</v>
      </c>
      <c r="C19" s="36">
        <f ca="1">SUMIFS(INDIRECT($J19),Cuenta,$H19,Linea,$I19, Fecha,"&gt;="&amp;C$1,Fecha,"&lt;="&amp;C$2)</f>
        <v>-20108</v>
      </c>
      <c r="D19" s="36">
        <f ca="1">SUMIFS(INDIRECT($J19),Cuenta,$H19,Linea,$I19, Fecha,"&gt;="&amp;D$1,Fecha,"&lt;="&amp;D$2)</f>
        <v>-132762</v>
      </c>
      <c r="E19" s="36">
        <f ca="1">SUMIFS(INDIRECT($J19),Cuenta,$H19,Linea,$I19, Fecha,"&gt;="&amp;E$1,Fecha,"&lt;="&amp;E$2)</f>
        <v>-153640</v>
      </c>
      <c r="F19" s="36">
        <f ca="1">SUMIFS(INDIRECT($J19),Cuenta,$H19,Linea,$I19, Fecha,"&gt;="&amp;F$1,Fecha,"&lt;="&amp;F$2)</f>
        <v>-179839</v>
      </c>
      <c r="H19" s="16" t="s">
        <v>5</v>
      </c>
      <c r="I19" s="16" t="s">
        <v>41</v>
      </c>
      <c r="J19" s="16" t="str">
        <v>Uber</v>
      </c>
      <c r="K19" s="16"/>
      <c r="L19" s="16"/>
      <c r="M19" s="16"/>
      <c r="N19" s="16"/>
      <c r="O19" s="16"/>
      <c r="P19" s="22"/>
      <c r="Q19" s="16"/>
      <c r="R19" s="16"/>
    </row>
    <row r="20" spans="2:18" outlineLevel="1" x14ac:dyDescent="0.25">
      <c r="B20" s="17" t="str">
        <f t="shared" si="1"/>
        <v>Suscripciones</v>
      </c>
      <c r="C20" s="36">
        <f ca="1">SUMIFS(INDIRECT($J20),Cuenta,$H20,Linea,$I20, Fecha,"&gt;="&amp;C$1,Fecha,"&lt;="&amp;C$2)</f>
        <v>-4569.0435000000007</v>
      </c>
      <c r="D20" s="36">
        <f ca="1">SUMIFS(INDIRECT($J20),Cuenta,$H20,Linea,$I20, Fecha,"&gt;="&amp;D$1,Fecha,"&lt;="&amp;D$2)</f>
        <v>-195953.1752</v>
      </c>
      <c r="E20" s="36">
        <f ca="1">SUMIFS(INDIRECT($J20),Cuenta,$H20,Linea,$I20, Fecha,"&gt;="&amp;E$1,Fecha,"&lt;="&amp;E$2)</f>
        <v>-203802.8</v>
      </c>
      <c r="F20" s="36">
        <f ca="1">SUMIFS(INDIRECT($J20),Cuenta,$H20,Linea,$I20, Fecha,"&gt;="&amp;F$1,Fecha,"&lt;="&amp;F$2)</f>
        <v>-134870.59999999995</v>
      </c>
      <c r="H20" s="16" t="s">
        <v>5</v>
      </c>
      <c r="I20" s="16" t="s">
        <v>41</v>
      </c>
      <c r="J20" s="16" t="str">
        <v>Suscripciones</v>
      </c>
      <c r="K20" s="16"/>
      <c r="L20" s="16"/>
      <c r="M20" s="16"/>
      <c r="N20" s="16"/>
      <c r="O20" s="16"/>
      <c r="P20" s="22"/>
      <c r="Q20" s="16"/>
      <c r="R20" s="16"/>
    </row>
    <row r="21" spans="2:18" outlineLevel="1" x14ac:dyDescent="0.25">
      <c r="B21" s="17" t="str">
        <f t="shared" si="1"/>
        <v>Personal</v>
      </c>
      <c r="C21" s="36">
        <f ca="1">SUMIFS(INDIRECT($J21),Cuenta,$H21,Linea,$I21, Fecha,"&gt;="&amp;C$1,Fecha,"&lt;="&amp;C$2)</f>
        <v>0</v>
      </c>
      <c r="D21" s="36">
        <f ca="1">SUMIFS(INDIRECT($J21),Cuenta,$H21,Linea,$I21, Fecha,"&gt;="&amp;D$1,Fecha,"&lt;="&amp;D$2)</f>
        <v>-67730</v>
      </c>
      <c r="E21" s="36">
        <f ca="1">SUMIFS(INDIRECT($J21),Cuenta,$H21,Linea,$I21, Fecha,"&gt;="&amp;E$1,Fecha,"&lt;="&amp;E$2)</f>
        <v>-472273</v>
      </c>
      <c r="F21" s="36">
        <f ca="1">SUMIFS(INDIRECT($J21),Cuenta,$H21,Linea,$I21, Fecha,"&gt;="&amp;F$1,Fecha,"&lt;="&amp;F$2)</f>
        <v>-587660</v>
      </c>
      <c r="H21" s="16" t="s">
        <v>5</v>
      </c>
      <c r="I21" s="16" t="s">
        <v>41</v>
      </c>
      <c r="J21" s="16" t="str">
        <v>Personal</v>
      </c>
      <c r="K21" s="16"/>
      <c r="L21" s="16"/>
      <c r="M21" s="16"/>
      <c r="N21" s="16"/>
      <c r="O21" s="16"/>
      <c r="P21" s="22"/>
      <c r="Q21" s="16"/>
      <c r="R21" s="16"/>
    </row>
    <row r="22" spans="2:18" outlineLevel="1" x14ac:dyDescent="0.25">
      <c r="B22" s="17" t="str">
        <f t="shared" si="1"/>
        <v>Hobby</v>
      </c>
      <c r="C22" s="36">
        <f ca="1">SUMIFS(INDIRECT($J22),Cuenta,$H22,Linea,$I22, Fecha,"&gt;="&amp;C$1,Fecha,"&lt;="&amp;C$2)</f>
        <v>0</v>
      </c>
      <c r="D22" s="36">
        <f ca="1">SUMIFS(INDIRECT($J22),Cuenta,$H22,Linea,$I22, Fecha,"&gt;="&amp;D$1,Fecha,"&lt;="&amp;D$2)</f>
        <v>0</v>
      </c>
      <c r="E22" s="36">
        <f ca="1">SUMIFS(INDIRECT($J22),Cuenta,$H22,Linea,$I22, Fecha,"&gt;="&amp;E$1,Fecha,"&lt;="&amp;E$2)</f>
        <v>0</v>
      </c>
      <c r="F22" s="36">
        <f ca="1">SUMIFS(INDIRECT($J22),Cuenta,$H22,Linea,$I22, Fecha,"&gt;="&amp;F$1,Fecha,"&lt;="&amp;F$2)</f>
        <v>0</v>
      </c>
      <c r="H22" s="16" t="s">
        <v>5</v>
      </c>
      <c r="I22" s="16" t="s">
        <v>41</v>
      </c>
      <c r="J22" s="16" t="str">
        <v>Hobby</v>
      </c>
      <c r="K22" s="16"/>
      <c r="L22" s="16"/>
      <c r="M22" s="16"/>
      <c r="N22" s="16"/>
      <c r="O22" s="16"/>
      <c r="P22" s="22"/>
      <c r="Q22" s="16"/>
      <c r="R22" s="16"/>
    </row>
    <row r="23" spans="2:18" outlineLevel="1" x14ac:dyDescent="0.25">
      <c r="B23" s="17" t="str">
        <f t="shared" si="1"/>
        <v>Educacion</v>
      </c>
      <c r="C23" s="36">
        <f ca="1">SUMIFS(INDIRECT($J23),Cuenta,$H23,Linea,$I23, Fecha,"&gt;="&amp;C$1,Fecha,"&lt;="&amp;C$2)</f>
        <v>0</v>
      </c>
      <c r="D23" s="36">
        <f ca="1">SUMIFS(INDIRECT($J23),Cuenta,$H23,Linea,$I23, Fecha,"&gt;="&amp;D$1,Fecha,"&lt;="&amp;D$2)</f>
        <v>35089.47219999996</v>
      </c>
      <c r="E23" s="36">
        <f ca="1">SUMIFS(INDIRECT($J23),Cuenta,$H23,Linea,$I23, Fecha,"&gt;="&amp;E$1,Fecha,"&lt;="&amp;E$2)</f>
        <v>0</v>
      </c>
      <c r="F23" s="36">
        <f ca="1">SUMIFS(INDIRECT($J23),Cuenta,$H23,Linea,$I23, Fecha,"&gt;="&amp;F$1,Fecha,"&lt;="&amp;F$2)</f>
        <v>0</v>
      </c>
      <c r="H23" s="16" t="s">
        <v>5</v>
      </c>
      <c r="I23" s="16" t="s">
        <v>41</v>
      </c>
      <c r="J23" s="16" t="str">
        <v>Educacion</v>
      </c>
      <c r="K23" s="16"/>
      <c r="L23" s="16"/>
      <c r="M23" s="16"/>
      <c r="N23" s="16"/>
      <c r="O23" s="16"/>
      <c r="P23" s="22"/>
      <c r="Q23" s="16"/>
      <c r="R23" s="16"/>
    </row>
    <row r="24" spans="2:18" outlineLevel="1" x14ac:dyDescent="0.25">
      <c r="B24" s="17" t="str">
        <f t="shared" si="1"/>
        <v>Impuestos</v>
      </c>
      <c r="C24" s="36">
        <f ca="1">SUMIFS(INDIRECT($J24),Cuenta,$H24,Linea,$I24, Fecha,"&gt;="&amp;C$1,Fecha,"&lt;="&amp;C$2)</f>
        <v>0</v>
      </c>
      <c r="D24" s="36">
        <f ca="1">SUMIFS(INDIRECT($J24),Cuenta,$H24,Linea,$I24, Fecha,"&gt;="&amp;D$1,Fecha,"&lt;="&amp;D$2)</f>
        <v>0</v>
      </c>
      <c r="E24" s="36">
        <f ca="1">SUMIFS(INDIRECT($J24),Cuenta,$H24,Linea,$I24, Fecha,"&gt;="&amp;E$1,Fecha,"&lt;="&amp;E$2)</f>
        <v>0</v>
      </c>
      <c r="F24" s="36">
        <f ca="1">SUMIFS(INDIRECT($J24),Cuenta,$H24,Linea,$I24, Fecha,"&gt;="&amp;F$1,Fecha,"&lt;="&amp;F$2)</f>
        <v>0</v>
      </c>
      <c r="H24" s="16" t="s">
        <v>5</v>
      </c>
      <c r="I24" s="16" t="s">
        <v>41</v>
      </c>
      <c r="J24" s="16" t="str">
        <v>Impuestos</v>
      </c>
      <c r="K24" s="16"/>
      <c r="L24" s="16"/>
      <c r="M24" s="16"/>
      <c r="N24" s="16"/>
      <c r="O24" s="16"/>
      <c r="P24" s="22"/>
      <c r="Q24" s="16"/>
      <c r="R24" s="16"/>
    </row>
    <row r="25" spans="2:18" outlineLevel="1" x14ac:dyDescent="0.25">
      <c r="B25" s="17" t="str">
        <f t="shared" si="1"/>
        <v>Emergencias</v>
      </c>
      <c r="C25" s="36">
        <f ca="1">SUMIFS(INDIRECT($J25),Cuenta,$H25,Linea,$I25, Fecha,"&gt;="&amp;C$1,Fecha,"&lt;="&amp;C$2)</f>
        <v>0</v>
      </c>
      <c r="D25" s="36">
        <f ca="1">SUMIFS(INDIRECT($J25),Cuenta,$H25,Linea,$I25, Fecha,"&gt;="&amp;D$1,Fecha,"&lt;="&amp;D$2)</f>
        <v>0</v>
      </c>
      <c r="E25" s="36">
        <f ca="1">SUMIFS(INDIRECT($J25),Cuenta,$H25,Linea,$I25, Fecha,"&gt;="&amp;E$1,Fecha,"&lt;="&amp;E$2)</f>
        <v>0</v>
      </c>
      <c r="F25" s="36">
        <f ca="1">SUMIFS(INDIRECT($J25),Cuenta,$H25,Linea,$I25, Fecha,"&gt;="&amp;F$1,Fecha,"&lt;="&amp;F$2)</f>
        <v>0</v>
      </c>
      <c r="H25" s="16" t="s">
        <v>5</v>
      </c>
      <c r="I25" s="16" t="s">
        <v>41</v>
      </c>
      <c r="J25" s="16" t="str">
        <v>Emergencias</v>
      </c>
      <c r="K25" s="16"/>
      <c r="L25" s="16"/>
      <c r="M25" s="16"/>
      <c r="N25" s="16"/>
      <c r="O25" s="16"/>
      <c r="P25" s="22"/>
      <c r="Q25" s="16"/>
      <c r="R25" s="16"/>
    </row>
    <row r="26" spans="2:18" outlineLevel="1" x14ac:dyDescent="0.25">
      <c r="B26" s="17" t="str">
        <f t="shared" si="1"/>
        <v>Vacaciones</v>
      </c>
      <c r="C26" s="36">
        <f ca="1">SUMIFS(INDIRECT($J26),Cuenta,$H26,Linea,$I26, Fecha,"&gt;="&amp;C$1,Fecha,"&lt;="&amp;C$2)</f>
        <v>0</v>
      </c>
      <c r="D26" s="36">
        <f ca="1">SUMIFS(INDIRECT($J26),Cuenta,$H26,Linea,$I26, Fecha,"&gt;="&amp;D$1,Fecha,"&lt;="&amp;D$2)</f>
        <v>0</v>
      </c>
      <c r="E26" s="36">
        <f ca="1">SUMIFS(INDIRECT($J26),Cuenta,$H26,Linea,$I26, Fecha,"&gt;="&amp;E$1,Fecha,"&lt;="&amp;E$2)</f>
        <v>0</v>
      </c>
      <c r="F26" s="36">
        <f ca="1">SUMIFS(INDIRECT($J26),Cuenta,$H26,Linea,$I26, Fecha,"&gt;="&amp;F$1,Fecha,"&lt;="&amp;F$2)</f>
        <v>0</v>
      </c>
      <c r="H26" s="16" t="s">
        <v>5</v>
      </c>
      <c r="I26" s="16" t="s">
        <v>41</v>
      </c>
      <c r="J26" s="16" t="str">
        <v>Vacaciones</v>
      </c>
      <c r="K26" s="16"/>
      <c r="L26" s="16"/>
      <c r="M26" s="16"/>
      <c r="N26" s="16"/>
      <c r="O26" s="16"/>
      <c r="P26" s="22"/>
      <c r="Q26" s="16"/>
      <c r="R26" s="16"/>
    </row>
    <row r="27" spans="2:18" outlineLevel="1" x14ac:dyDescent="0.25">
      <c r="B27" s="17" t="str">
        <f>J27</f>
        <v>FX</v>
      </c>
      <c r="C27" s="36">
        <f ca="1">SUMIFS(INDIRECT($J27),Cuenta,$H27,Linea,$I27, Fecha,"&gt;="&amp;C$1,Fecha,"&lt;="&amp;C$2)</f>
        <v>-14.922600000001049</v>
      </c>
      <c r="D27" s="36">
        <f ca="1">SUMIFS(INDIRECT($J27),Cuenta,$H27,Linea,$I27, Fecha,"&gt;="&amp;D$1,Fecha,"&lt;="&amp;D$2)</f>
        <v>-4235.6129000000155</v>
      </c>
      <c r="E27" s="36">
        <f ca="1">SUMIFS(INDIRECT($J27),Cuenta,$H27,Linea,$I27, Fecha,"&gt;="&amp;E$1,Fecha,"&lt;="&amp;E$2)</f>
        <v>-9977.2811000000474</v>
      </c>
      <c r="F27" s="36">
        <f ca="1">SUMIFS(INDIRECT($J27),Cuenta,$H27,Linea,$I27, Fecha,"&gt;="&amp;F$1,Fecha,"&lt;="&amp;F$2)</f>
        <v>-8853.4756999999827</v>
      </c>
      <c r="H27" s="16" t="s">
        <v>5</v>
      </c>
      <c r="I27" s="16" t="s">
        <v>41</v>
      </c>
      <c r="J27" s="16" t="str">
        <v>FX</v>
      </c>
      <c r="K27" s="16"/>
      <c r="L27" s="16"/>
      <c r="M27" s="16"/>
      <c r="N27" s="16"/>
      <c r="O27" s="16"/>
      <c r="P27" s="16"/>
      <c r="Q27" s="16"/>
      <c r="R27" s="16"/>
    </row>
    <row r="28" spans="2:18" outlineLevel="1" x14ac:dyDescent="0.25">
      <c r="B28" s="17" t="str">
        <f t="shared" si="1"/>
        <v>VM</v>
      </c>
      <c r="C28" s="36">
        <f ca="1">SUMIFS(INDIRECT($J28),Cuenta,$H28,Linea,$I28, Fecha,"&gt;="&amp;C$1,Fecha,"&lt;="&amp;C$2)</f>
        <v>0</v>
      </c>
      <c r="D28" s="36">
        <f ca="1">SUMIFS(INDIRECT($J28),Cuenta,$H28,Linea,$I28, Fecha,"&gt;="&amp;D$1,Fecha,"&lt;="&amp;D$2)</f>
        <v>0</v>
      </c>
      <c r="E28" s="36">
        <f ca="1">SUMIFS(INDIRECT($J28),Cuenta,$H28,Linea,$I28, Fecha,"&gt;="&amp;E$1,Fecha,"&lt;="&amp;E$2)</f>
        <v>0</v>
      </c>
      <c r="F28" s="36">
        <f ca="1">SUMIFS(INDIRECT($J28),Cuenta,$H28,Linea,$I28, Fecha,"&gt;="&amp;F$1,Fecha,"&lt;="&amp;F$2)</f>
        <v>0</v>
      </c>
      <c r="H28" s="16" t="s">
        <v>5</v>
      </c>
      <c r="I28" s="16" t="s">
        <v>41</v>
      </c>
      <c r="J28" s="16" t="str">
        <v>VM</v>
      </c>
      <c r="K28" s="16"/>
      <c r="L28" s="16"/>
      <c r="M28" s="16"/>
      <c r="N28" s="16"/>
      <c r="O28" s="16"/>
      <c r="P28" s="16"/>
      <c r="Q28" s="16"/>
      <c r="R28" s="16"/>
    </row>
    <row r="29" spans="2:18" outlineLevel="1" x14ac:dyDescent="0.25">
      <c r="B29" s="17" t="str">
        <f t="shared" ref="B29" si="2">J29</f>
        <v>Unexplained</v>
      </c>
      <c r="C29" s="36">
        <f ca="1">SUMIFS(INDIRECT($J29),Cuenta,$H29,Linea,$I29, Fecha,"&gt;="&amp;C$1,Fecha,"&lt;="&amp;C$2)</f>
        <v>3989.2412999999847</v>
      </c>
      <c r="D29" s="36">
        <f ca="1">SUMIFS(INDIRECT($J29),Cuenta,$H29,Linea,$I29, Fecha,"&gt;="&amp;D$1,Fecha,"&lt;="&amp;D$2)</f>
        <v>-1345.4734999998218</v>
      </c>
      <c r="E29" s="36">
        <f ca="1">SUMIFS(INDIRECT($J29),Cuenta,$H29,Linea,$I29, Fecha,"&gt;="&amp;E$1,Fecha,"&lt;="&amp;E$2)</f>
        <v>-2839.5674999995654</v>
      </c>
      <c r="F29" s="36">
        <f ca="1">SUMIFS(INDIRECT($J29),Cuenta,$H29,Linea,$I29, Fecha,"&gt;="&amp;F$1,Fecha,"&lt;="&amp;F$2)</f>
        <v>-5372.5170000001572</v>
      </c>
      <c r="H29" s="16" t="s">
        <v>5</v>
      </c>
      <c r="I29" s="16" t="s">
        <v>41</v>
      </c>
      <c r="J29" s="16" t="str">
        <v>Unexplained</v>
      </c>
      <c r="K29" s="16"/>
      <c r="L29" s="16"/>
      <c r="M29" s="16"/>
      <c r="N29" s="16"/>
      <c r="O29" s="16"/>
      <c r="P29" s="16"/>
      <c r="Q29" s="16"/>
      <c r="R29" s="16"/>
    </row>
    <row r="30" spans="2:18" x14ac:dyDescent="0.25">
      <c r="B30" s="17"/>
      <c r="C30" s="36"/>
      <c r="D30" s="36"/>
      <c r="E30" s="36"/>
      <c r="F30" s="3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</row>
    <row r="31" spans="2:18" x14ac:dyDescent="0.25">
      <c r="B31" s="18" t="s">
        <v>129</v>
      </c>
      <c r="C31" s="35">
        <f ca="1">SUMIFS(INDIRECT($J31),Cuenta,$H31,Linea,$I31, Fecha,"&gt;="&amp;C$1,Fecha,"&lt;="&amp;C$2)</f>
        <v>0</v>
      </c>
      <c r="D31" s="35">
        <f ca="1">SUMIFS(INDIRECT($J31),Cuenta,$H31,Linea,$I31, Fecha,"&gt;="&amp;D$1,Fecha,"&lt;="&amp;D$2)</f>
        <v>798088</v>
      </c>
      <c r="E31" s="35">
        <f ca="1">SUMIFS(INDIRECT($J31),Cuenta,$H31,Linea,$I31, Fecha,"&gt;="&amp;E$1,Fecha,"&lt;="&amp;E$2)</f>
        <v>0</v>
      </c>
      <c r="F31" s="35">
        <f ca="1">SUMIFS(INDIRECT($J31),Cuenta,$H31,Linea,$I31, Fecha,"&gt;="&amp;F$1,Fecha,"&lt;="&amp;F$2)</f>
        <v>0</v>
      </c>
      <c r="H31" s="16" t="s">
        <v>100</v>
      </c>
      <c r="I31" s="16" t="s">
        <v>41</v>
      </c>
      <c r="J31" s="16" t="str" cm="1">
        <f t="array" ref="J31:J53">TRANSPOSE(Data!N1:AJ1)</f>
        <v>PnL</v>
      </c>
      <c r="K31" s="16"/>
      <c r="L31" s="16"/>
      <c r="M31" s="16"/>
      <c r="N31" s="16"/>
      <c r="O31" s="16"/>
      <c r="P31" s="16"/>
      <c r="Q31" s="16"/>
      <c r="R31" s="16"/>
    </row>
    <row r="32" spans="2:18" outlineLevel="1" x14ac:dyDescent="0.25">
      <c r="B32" s="17" t="str">
        <f>J32</f>
        <v>Ingreso</v>
      </c>
      <c r="C32" s="36">
        <f ca="1">SUMIFS(INDIRECT($J32),Cuenta,$H32,Linea,$I32, Fecha,"&gt;="&amp;C$1,Fecha,"&lt;="&amp;C$2)</f>
        <v>0</v>
      </c>
      <c r="D32" s="36">
        <f ca="1">SUMIFS(INDIRECT($J32),Cuenta,$H32,Linea,$I32, Fecha,"&gt;="&amp;D$1,Fecha,"&lt;="&amp;D$2)</f>
        <v>900000</v>
      </c>
      <c r="E32" s="36">
        <f ca="1">SUMIFS(INDIRECT($J32),Cuenta,$H32,Linea,$I32, Fecha,"&gt;="&amp;E$1,Fecha,"&lt;="&amp;E$2)</f>
        <v>0</v>
      </c>
      <c r="F32" s="36">
        <f ca="1">SUMIFS(INDIRECT($J32),Cuenta,$H32,Linea,$I32, Fecha,"&gt;="&amp;F$1,Fecha,"&lt;="&amp;F$2)</f>
        <v>0</v>
      </c>
      <c r="H32" s="16" t="s">
        <v>100</v>
      </c>
      <c r="I32" s="16" t="s">
        <v>41</v>
      </c>
      <c r="J32" s="16" t="str">
        <v>Ingreso</v>
      </c>
      <c r="K32" s="16"/>
      <c r="L32" s="16"/>
      <c r="M32" s="16"/>
      <c r="N32" s="16"/>
      <c r="O32" s="16"/>
      <c r="P32" s="16"/>
      <c r="Q32" s="16"/>
      <c r="R32" s="16"/>
    </row>
    <row r="33" spans="2:18" outlineLevel="1" x14ac:dyDescent="0.25">
      <c r="B33" s="17" t="str">
        <f t="shared" ref="B33:B52" si="3">J33</f>
        <v>Bonos</v>
      </c>
      <c r="C33" s="36">
        <f ca="1">SUMIFS(INDIRECT($J33),Cuenta,$H33,Linea,$I33, Fecha,"&gt;="&amp;C$1,Fecha,"&lt;="&amp;C$2)</f>
        <v>0</v>
      </c>
      <c r="D33" s="36">
        <f ca="1">SUMIFS(INDIRECT($J33),Cuenta,$H33,Linea,$I33, Fecha,"&gt;="&amp;D$1,Fecha,"&lt;="&amp;D$2)</f>
        <v>0</v>
      </c>
      <c r="E33" s="36">
        <f ca="1">SUMIFS(INDIRECT($J33),Cuenta,$H33,Linea,$I33, Fecha,"&gt;="&amp;E$1,Fecha,"&lt;="&amp;E$2)</f>
        <v>0</v>
      </c>
      <c r="F33" s="36">
        <f ca="1">SUMIFS(INDIRECT($J33),Cuenta,$H33,Linea,$I33, Fecha,"&gt;="&amp;F$1,Fecha,"&lt;="&amp;F$2)</f>
        <v>0</v>
      </c>
      <c r="H33" s="16" t="s">
        <v>100</v>
      </c>
      <c r="I33" s="16" t="s">
        <v>41</v>
      </c>
      <c r="J33" s="16" t="str">
        <v>Bonos</v>
      </c>
      <c r="K33" s="16"/>
      <c r="L33" s="16"/>
      <c r="M33" s="16"/>
      <c r="N33" s="16"/>
      <c r="O33" s="16"/>
      <c r="P33" s="16"/>
      <c r="Q33" s="16"/>
      <c r="R33" s="16"/>
    </row>
    <row r="34" spans="2:18" outlineLevel="1" x14ac:dyDescent="0.25">
      <c r="B34" s="17" t="str">
        <f t="shared" si="3"/>
        <v>Transferencias</v>
      </c>
      <c r="C34" s="36">
        <f ca="1">SUMIFS(INDIRECT($J34),Cuenta,$H34,Linea,$I34, Fecha,"&gt;="&amp;C$1,Fecha,"&lt;="&amp;C$2)</f>
        <v>0</v>
      </c>
      <c r="D34" s="36">
        <f ca="1">SUMIFS(INDIRECT($J34),Cuenta,$H34,Linea,$I34, Fecha,"&gt;="&amp;D$1,Fecha,"&lt;="&amp;D$2)</f>
        <v>0</v>
      </c>
      <c r="E34" s="36">
        <f ca="1">SUMIFS(INDIRECT($J34),Cuenta,$H34,Linea,$I34, Fecha,"&gt;="&amp;E$1,Fecha,"&lt;="&amp;E$2)</f>
        <v>0</v>
      </c>
      <c r="F34" s="36">
        <f ca="1">SUMIFS(INDIRECT($J34),Cuenta,$H34,Linea,$I34, Fecha,"&gt;="&amp;F$1,Fecha,"&lt;="&amp;F$2)</f>
        <v>0</v>
      </c>
      <c r="H34" s="16" t="s">
        <v>100</v>
      </c>
      <c r="I34" s="16" t="s">
        <v>41</v>
      </c>
      <c r="J34" s="16" t="str">
        <v>Transferencias</v>
      </c>
      <c r="K34" s="16"/>
      <c r="L34" s="16"/>
      <c r="M34" s="16"/>
      <c r="N34" s="16"/>
      <c r="O34" s="16"/>
      <c r="P34" s="16"/>
      <c r="Q34" s="16"/>
      <c r="R34" s="16"/>
    </row>
    <row r="35" spans="2:18" outlineLevel="1" x14ac:dyDescent="0.25">
      <c r="B35" s="17" t="str">
        <f t="shared" si="3"/>
        <v>Vivienda</v>
      </c>
      <c r="C35" s="146">
        <f ca="1">SUMIFS(INDIRECT($J35),Cuenta,$H35,Linea,$I35, Fecha,"&gt;="&amp;C$1,Fecha,"&lt;="&amp;C$2)</f>
        <v>0</v>
      </c>
      <c r="D35" s="146">
        <f ca="1">SUMIFS(INDIRECT($J35),Cuenta,$H35,Linea,$I35, Fecha,"&gt;="&amp;D$1,Fecha,"&lt;="&amp;D$2)</f>
        <v>0</v>
      </c>
      <c r="E35" s="146">
        <f ca="1">SUMIFS(INDIRECT($J35),Cuenta,$H35,Linea,$I35, Fecha,"&gt;="&amp;E$1,Fecha,"&lt;="&amp;E$2)</f>
        <v>0</v>
      </c>
      <c r="F35" s="146">
        <f ca="1">SUMIFS(INDIRECT($J35),Cuenta,$H35,Linea,$I35, Fecha,"&gt;="&amp;F$1,Fecha,"&lt;="&amp;F$2)</f>
        <v>0</v>
      </c>
      <c r="H35" s="16" t="s">
        <v>100</v>
      </c>
      <c r="I35" s="16" t="s">
        <v>41</v>
      </c>
      <c r="J35" s="16" t="str">
        <v>Vivienda</v>
      </c>
      <c r="K35" s="16"/>
      <c r="L35" s="16"/>
      <c r="M35" s="16"/>
      <c r="N35" s="16"/>
      <c r="O35" s="16"/>
      <c r="P35" s="16"/>
      <c r="Q35" s="16"/>
      <c r="R35" s="16"/>
    </row>
    <row r="36" spans="2:18" outlineLevel="1" x14ac:dyDescent="0.25">
      <c r="B36" s="17" t="str">
        <f t="shared" si="3"/>
        <v>Salud</v>
      </c>
      <c r="C36" s="36">
        <f ca="1">SUMIFS(INDIRECT($J36),Cuenta,$H36,Linea,$I36, Fecha,"&gt;="&amp;C$1,Fecha,"&lt;="&amp;C$2)</f>
        <v>0</v>
      </c>
      <c r="D36" s="36">
        <f ca="1">SUMIFS(INDIRECT($J36),Cuenta,$H36,Linea,$I36, Fecha,"&gt;="&amp;D$1,Fecha,"&lt;="&amp;D$2)</f>
        <v>-20000</v>
      </c>
      <c r="E36" s="36">
        <f ca="1">SUMIFS(INDIRECT($J36),Cuenta,$H36,Linea,$I36, Fecha,"&gt;="&amp;E$1,Fecha,"&lt;="&amp;E$2)</f>
        <v>0</v>
      </c>
      <c r="F36" s="36">
        <f ca="1">SUMIFS(INDIRECT($J36),Cuenta,$H36,Linea,$I36, Fecha,"&gt;="&amp;F$1,Fecha,"&lt;="&amp;F$2)</f>
        <v>0</v>
      </c>
      <c r="H36" s="16" t="s">
        <v>100</v>
      </c>
      <c r="I36" s="16" t="s">
        <v>41</v>
      </c>
      <c r="J36" s="16" t="str">
        <v>Salud</v>
      </c>
      <c r="K36" s="16"/>
      <c r="L36" s="16"/>
      <c r="M36" s="16"/>
      <c r="N36" s="16"/>
      <c r="O36" s="16"/>
      <c r="P36" s="16"/>
      <c r="Q36" s="16"/>
      <c r="R36" s="16"/>
    </row>
    <row r="37" spans="2:18" outlineLevel="1" x14ac:dyDescent="0.25">
      <c r="B37" s="17" t="str">
        <f t="shared" si="3"/>
        <v>Alimentacion</v>
      </c>
      <c r="C37" s="36">
        <f ca="1">SUMIFS(INDIRECT($J37),Cuenta,$H37,Linea,$I37, Fecha,"&gt;="&amp;C$1,Fecha,"&lt;="&amp;C$2)</f>
        <v>0</v>
      </c>
      <c r="D37" s="36">
        <f ca="1">SUMIFS(INDIRECT($J37),Cuenta,$H37,Linea,$I37, Fecha,"&gt;="&amp;D$1,Fecha,"&lt;="&amp;D$2)</f>
        <v>-20000</v>
      </c>
      <c r="E37" s="36">
        <f ca="1">SUMIFS(INDIRECT($J37),Cuenta,$H37,Linea,$I37, Fecha,"&gt;="&amp;E$1,Fecha,"&lt;="&amp;E$2)</f>
        <v>0</v>
      </c>
      <c r="F37" s="36">
        <f ca="1">SUMIFS(INDIRECT($J37),Cuenta,$H37,Linea,$I37, Fecha,"&gt;="&amp;F$1,Fecha,"&lt;="&amp;F$2)</f>
        <v>0</v>
      </c>
      <c r="H37" s="16" t="s">
        <v>100</v>
      </c>
      <c r="I37" s="16" t="s">
        <v>41</v>
      </c>
      <c r="J37" s="16" t="str">
        <v>Alimentacion</v>
      </c>
      <c r="K37" s="16"/>
      <c r="L37" s="16"/>
      <c r="M37" s="16"/>
      <c r="N37" s="16"/>
      <c r="O37" s="16"/>
      <c r="P37" s="16"/>
      <c r="Q37" s="16"/>
      <c r="R37" s="16"/>
    </row>
    <row r="38" spans="2:18" outlineLevel="1" x14ac:dyDescent="0.25">
      <c r="B38" s="17" t="str">
        <f t="shared" si="3"/>
        <v>Pedidos</v>
      </c>
      <c r="C38" s="36">
        <f ca="1">SUMIFS(INDIRECT($J38),Cuenta,$H38,Linea,$I38, Fecha,"&gt;="&amp;C$1,Fecha,"&lt;="&amp;C$2)</f>
        <v>0</v>
      </c>
      <c r="D38" s="36">
        <f ca="1">SUMIFS(INDIRECT($J38),Cuenta,$H38,Linea,$I38, Fecha,"&gt;="&amp;D$1,Fecha,"&lt;="&amp;D$2)</f>
        <v>-30000</v>
      </c>
      <c r="E38" s="36">
        <f ca="1">SUMIFS(INDIRECT($J38),Cuenta,$H38,Linea,$I38, Fecha,"&gt;="&amp;E$1,Fecha,"&lt;="&amp;E$2)</f>
        <v>0</v>
      </c>
      <c r="F38" s="36">
        <f ca="1">SUMIFS(INDIRECT($J38),Cuenta,$H38,Linea,$I38, Fecha,"&gt;="&amp;F$1,Fecha,"&lt;="&amp;F$2)</f>
        <v>0</v>
      </c>
      <c r="H38" s="16" t="s">
        <v>100</v>
      </c>
      <c r="I38" s="16" t="s">
        <v>41</v>
      </c>
      <c r="J38" s="16" t="str">
        <v>Pedidos</v>
      </c>
      <c r="K38" s="16"/>
      <c r="L38" s="16"/>
      <c r="M38" s="16"/>
      <c r="N38" s="16"/>
      <c r="O38" s="16"/>
      <c r="P38" s="16"/>
      <c r="Q38" s="16"/>
      <c r="R38" s="16"/>
    </row>
    <row r="39" spans="2:18" outlineLevel="1" x14ac:dyDescent="0.25">
      <c r="B39" s="17" t="str">
        <f t="shared" si="3"/>
        <v>Salidas</v>
      </c>
      <c r="C39" s="36">
        <f ca="1">SUMIFS(INDIRECT($J39),Cuenta,$H39,Linea,$I39, Fecha,"&gt;="&amp;C$1,Fecha,"&lt;="&amp;C$2)</f>
        <v>0</v>
      </c>
      <c r="D39" s="36">
        <f ca="1">SUMIFS(INDIRECT($J39),Cuenta,$H39,Linea,$I39, Fecha,"&gt;="&amp;D$1,Fecha,"&lt;="&amp;D$2)</f>
        <v>-24000</v>
      </c>
      <c r="E39" s="36">
        <f ca="1">SUMIFS(INDIRECT($J39),Cuenta,$H39,Linea,$I39, Fecha,"&gt;="&amp;E$1,Fecha,"&lt;="&amp;E$2)</f>
        <v>0</v>
      </c>
      <c r="F39" s="36">
        <f ca="1">SUMIFS(INDIRECT($J39),Cuenta,$H39,Linea,$I39, Fecha,"&gt;="&amp;F$1,Fecha,"&lt;="&amp;F$2)</f>
        <v>0</v>
      </c>
      <c r="H39" s="16" t="s">
        <v>100</v>
      </c>
      <c r="I39" s="16" t="s">
        <v>41</v>
      </c>
      <c r="J39" s="16" t="str">
        <v>Salidas</v>
      </c>
      <c r="K39" s="16"/>
      <c r="L39" s="16"/>
      <c r="M39" s="16"/>
      <c r="N39" s="16"/>
      <c r="O39" s="16"/>
      <c r="P39" s="16"/>
      <c r="Q39" s="16"/>
      <c r="R39" s="16"/>
    </row>
    <row r="40" spans="2:18" outlineLevel="1" x14ac:dyDescent="0.25">
      <c r="B40" s="17" t="str">
        <f t="shared" si="3"/>
        <v>Snacks</v>
      </c>
      <c r="C40" s="36">
        <f ca="1">SUMIFS(INDIRECT($J40),Cuenta,$H40,Linea,$I40, Fecha,"&gt;="&amp;C$1,Fecha,"&lt;="&amp;C$2)</f>
        <v>0</v>
      </c>
      <c r="D40" s="36">
        <f ca="1">SUMIFS(INDIRECT($J40),Cuenta,$H40,Linea,$I40, Fecha,"&gt;="&amp;D$1,Fecha,"&lt;="&amp;D$2)</f>
        <v>0</v>
      </c>
      <c r="E40" s="36">
        <f ca="1">SUMIFS(INDIRECT($J40),Cuenta,$H40,Linea,$I40, Fecha,"&gt;="&amp;E$1,Fecha,"&lt;="&amp;E$2)</f>
        <v>0</v>
      </c>
      <c r="F40" s="36">
        <f ca="1">SUMIFS(INDIRECT($J40),Cuenta,$H40,Linea,$I40, Fecha,"&gt;="&amp;F$1,Fecha,"&lt;="&amp;F$2)</f>
        <v>0</v>
      </c>
      <c r="H40" s="16" t="s">
        <v>100</v>
      </c>
      <c r="I40" s="16" t="s">
        <v>41</v>
      </c>
      <c r="J40" s="16" t="str">
        <v>Snacks</v>
      </c>
      <c r="K40" s="16"/>
      <c r="L40" s="16"/>
      <c r="M40" s="16"/>
      <c r="N40" s="16"/>
      <c r="O40" s="16"/>
      <c r="P40" s="16"/>
      <c r="Q40" s="16"/>
      <c r="R40" s="16"/>
    </row>
    <row r="41" spans="2:18" outlineLevel="1" x14ac:dyDescent="0.25">
      <c r="B41" s="17" t="str">
        <f t="shared" si="3"/>
        <v>Transporte</v>
      </c>
      <c r="C41" s="36">
        <f ca="1">SUMIFS(INDIRECT($J41),Cuenta,$H41,Linea,$I41, Fecha,"&gt;="&amp;C$1,Fecha,"&lt;="&amp;C$2)</f>
        <v>0</v>
      </c>
      <c r="D41" s="36">
        <f ca="1">SUMIFS(INDIRECT($J41),Cuenta,$H41,Linea,$I41, Fecha,"&gt;="&amp;D$1,Fecha,"&lt;="&amp;D$2)</f>
        <v>0</v>
      </c>
      <c r="E41" s="36">
        <f ca="1">SUMIFS(INDIRECT($J41),Cuenta,$H41,Linea,$I41, Fecha,"&gt;="&amp;E$1,Fecha,"&lt;="&amp;E$2)</f>
        <v>0</v>
      </c>
      <c r="F41" s="36">
        <f ca="1">SUMIFS(INDIRECT($J41),Cuenta,$H41,Linea,$I41, Fecha,"&gt;="&amp;F$1,Fecha,"&lt;="&amp;F$2)</f>
        <v>0</v>
      </c>
      <c r="H41" s="16" t="s">
        <v>100</v>
      </c>
      <c r="I41" s="16" t="s">
        <v>41</v>
      </c>
      <c r="J41" s="16" t="str">
        <v>Transporte</v>
      </c>
      <c r="K41" s="16"/>
      <c r="L41" s="16"/>
      <c r="M41" s="16"/>
      <c r="N41" s="16"/>
      <c r="O41" s="16"/>
      <c r="P41" s="16"/>
      <c r="Q41" s="16"/>
      <c r="R41" s="16"/>
    </row>
    <row r="42" spans="2:18" outlineLevel="1" x14ac:dyDescent="0.25">
      <c r="B42" s="17" t="str">
        <f t="shared" si="3"/>
        <v>Seguros</v>
      </c>
      <c r="C42" s="36">
        <f ca="1">SUMIFS(INDIRECT($J42),Cuenta,$H42,Linea,$I42, Fecha,"&gt;="&amp;C$1,Fecha,"&lt;="&amp;C$2)</f>
        <v>0</v>
      </c>
      <c r="D42" s="36">
        <f ca="1">SUMIFS(INDIRECT($J42),Cuenta,$H42,Linea,$I42, Fecha,"&gt;="&amp;D$1,Fecha,"&lt;="&amp;D$2)</f>
        <v>0</v>
      </c>
      <c r="E42" s="36">
        <f ca="1">SUMIFS(INDIRECT($J42),Cuenta,$H42,Linea,$I42, Fecha,"&gt;="&amp;E$1,Fecha,"&lt;="&amp;E$2)</f>
        <v>0</v>
      </c>
      <c r="F42" s="36">
        <f ca="1">SUMIFS(INDIRECT($J42),Cuenta,$H42,Linea,$I42, Fecha,"&gt;="&amp;F$1,Fecha,"&lt;="&amp;F$2)</f>
        <v>0</v>
      </c>
      <c r="H42" s="16" t="s">
        <v>100</v>
      </c>
      <c r="I42" s="16" t="s">
        <v>41</v>
      </c>
      <c r="J42" s="16" t="str">
        <v>Seguros</v>
      </c>
      <c r="K42" s="16"/>
      <c r="L42" s="16"/>
      <c r="M42" s="16"/>
      <c r="N42" s="16"/>
      <c r="O42" s="16"/>
      <c r="P42" s="16"/>
      <c r="Q42" s="16"/>
      <c r="R42" s="16"/>
    </row>
    <row r="43" spans="2:18" outlineLevel="1" x14ac:dyDescent="0.25">
      <c r="B43" s="17" t="str">
        <f t="shared" si="3"/>
        <v>Uber</v>
      </c>
      <c r="C43" s="36">
        <f ca="1">SUMIFS(INDIRECT($J43),Cuenta,$H43,Linea,$I43, Fecha,"&gt;="&amp;C$1,Fecha,"&lt;="&amp;C$2)</f>
        <v>0</v>
      </c>
      <c r="D43" s="36">
        <f ca="1">SUMIFS(INDIRECT($J43),Cuenta,$H43,Linea,$I43, Fecha,"&gt;="&amp;D$1,Fecha,"&lt;="&amp;D$2)</f>
        <v>0</v>
      </c>
      <c r="E43" s="36">
        <f ca="1">SUMIFS(INDIRECT($J43),Cuenta,$H43,Linea,$I43, Fecha,"&gt;="&amp;E$1,Fecha,"&lt;="&amp;E$2)</f>
        <v>0</v>
      </c>
      <c r="F43" s="36">
        <f ca="1">SUMIFS(INDIRECT($J43),Cuenta,$H43,Linea,$I43, Fecha,"&gt;="&amp;F$1,Fecha,"&lt;="&amp;F$2)</f>
        <v>0</v>
      </c>
      <c r="H43" s="16" t="s">
        <v>100</v>
      </c>
      <c r="I43" s="16" t="s">
        <v>41</v>
      </c>
      <c r="J43" s="16" t="str">
        <v>Uber</v>
      </c>
      <c r="K43" s="16"/>
      <c r="L43" s="16"/>
      <c r="M43" s="16"/>
      <c r="N43" s="16"/>
      <c r="O43" s="16"/>
      <c r="P43" s="16"/>
      <c r="Q43" s="16"/>
      <c r="R43" s="16"/>
    </row>
    <row r="44" spans="2:18" outlineLevel="1" x14ac:dyDescent="0.25">
      <c r="B44" s="17" t="str">
        <f t="shared" si="3"/>
        <v>Suscripciones</v>
      </c>
      <c r="C44" s="36">
        <f ca="1">SUMIFS(INDIRECT($J44),Cuenta,$H44,Linea,$I44, Fecha,"&gt;="&amp;C$1,Fecha,"&lt;="&amp;C$2)</f>
        <v>0</v>
      </c>
      <c r="D44" s="36">
        <f ca="1">SUMIFS(INDIRECT($J44),Cuenta,$H44,Linea,$I44, Fecha,"&gt;="&amp;D$1,Fecha,"&lt;="&amp;D$2)</f>
        <v>0</v>
      </c>
      <c r="E44" s="36">
        <f ca="1">SUMIFS(INDIRECT($J44),Cuenta,$H44,Linea,$I44, Fecha,"&gt;="&amp;E$1,Fecha,"&lt;="&amp;E$2)</f>
        <v>0</v>
      </c>
      <c r="F44" s="36">
        <f ca="1">SUMIFS(INDIRECT($J44),Cuenta,$H44,Linea,$I44, Fecha,"&gt;="&amp;F$1,Fecha,"&lt;="&amp;F$2)</f>
        <v>0</v>
      </c>
      <c r="H44" s="16" t="s">
        <v>100</v>
      </c>
      <c r="I44" s="16" t="s">
        <v>41</v>
      </c>
      <c r="J44" s="16" t="str">
        <v>Suscripciones</v>
      </c>
      <c r="K44" s="16"/>
      <c r="L44" s="16"/>
      <c r="M44" s="16"/>
      <c r="N44" s="16"/>
      <c r="O44" s="16"/>
      <c r="P44" s="16"/>
      <c r="Q44" s="16"/>
      <c r="R44" s="16"/>
    </row>
    <row r="45" spans="2:18" outlineLevel="1" x14ac:dyDescent="0.25">
      <c r="B45" s="17" t="str">
        <f t="shared" si="3"/>
        <v>Personal</v>
      </c>
      <c r="C45" s="36">
        <f ca="1">SUMIFS(INDIRECT($J45),Cuenta,$H45,Linea,$I45, Fecha,"&gt;="&amp;C$1,Fecha,"&lt;="&amp;C$2)</f>
        <v>0</v>
      </c>
      <c r="D45" s="36">
        <f ca="1">SUMIFS(INDIRECT($J45),Cuenta,$H45,Linea,$I45, Fecha,"&gt;="&amp;D$1,Fecha,"&lt;="&amp;D$2)</f>
        <v>-8000</v>
      </c>
      <c r="E45" s="36">
        <f ca="1">SUMIFS(INDIRECT($J45),Cuenta,$H45,Linea,$I45, Fecha,"&gt;="&amp;E$1,Fecha,"&lt;="&amp;E$2)</f>
        <v>0</v>
      </c>
      <c r="F45" s="36">
        <f ca="1">SUMIFS(INDIRECT($J45),Cuenta,$H45,Linea,$I45, Fecha,"&gt;="&amp;F$1,Fecha,"&lt;="&amp;F$2)</f>
        <v>0</v>
      </c>
      <c r="H45" s="16" t="s">
        <v>100</v>
      </c>
      <c r="I45" s="16" t="s">
        <v>41</v>
      </c>
      <c r="J45" s="16" t="str">
        <v>Personal</v>
      </c>
      <c r="K45" s="16"/>
      <c r="L45" s="16"/>
      <c r="M45" s="16"/>
      <c r="N45" s="16"/>
      <c r="O45" s="16"/>
      <c r="P45" s="16"/>
      <c r="Q45" s="16"/>
      <c r="R45" s="16"/>
    </row>
    <row r="46" spans="2:18" outlineLevel="1" x14ac:dyDescent="0.25">
      <c r="B46" s="17" t="str">
        <f t="shared" si="3"/>
        <v>Hobby</v>
      </c>
      <c r="C46" s="36">
        <f ca="1">SUMIFS(INDIRECT($J46),Cuenta,$H46,Linea,$I46, Fecha,"&gt;="&amp;C$1,Fecha,"&lt;="&amp;C$2)</f>
        <v>0</v>
      </c>
      <c r="D46" s="36">
        <f ca="1">SUMIFS(INDIRECT($J46),Cuenta,$H46,Linea,$I46, Fecha,"&gt;="&amp;D$1,Fecha,"&lt;="&amp;D$2)</f>
        <v>0</v>
      </c>
      <c r="E46" s="36">
        <f ca="1">SUMIFS(INDIRECT($J46),Cuenta,$H46,Linea,$I46, Fecha,"&gt;="&amp;E$1,Fecha,"&lt;="&amp;E$2)</f>
        <v>0</v>
      </c>
      <c r="F46" s="36">
        <f ca="1">SUMIFS(INDIRECT($J46),Cuenta,$H46,Linea,$I46, Fecha,"&gt;="&amp;F$1,Fecha,"&lt;="&amp;F$2)</f>
        <v>0</v>
      </c>
      <c r="H46" s="16" t="s">
        <v>100</v>
      </c>
      <c r="I46" s="16" t="s">
        <v>41</v>
      </c>
      <c r="J46" s="16" t="str">
        <v>Hobby</v>
      </c>
      <c r="K46" s="16"/>
      <c r="L46" s="16"/>
      <c r="M46" s="16"/>
      <c r="N46" s="16"/>
      <c r="O46" s="16"/>
      <c r="P46" s="16"/>
      <c r="Q46" s="16"/>
      <c r="R46" s="16"/>
    </row>
    <row r="47" spans="2:18" outlineLevel="1" x14ac:dyDescent="0.25">
      <c r="B47" s="17" t="str">
        <f t="shared" si="3"/>
        <v>Educacion</v>
      </c>
      <c r="C47" s="36">
        <f ca="1">SUMIFS(INDIRECT($J47),Cuenta,$H47,Linea,$I47, Fecha,"&gt;="&amp;C$1,Fecha,"&lt;="&amp;C$2)</f>
        <v>0</v>
      </c>
      <c r="D47" s="36">
        <f ca="1">SUMIFS(INDIRECT($J47),Cuenta,$H47,Linea,$I47, Fecha,"&gt;="&amp;D$1,Fecha,"&lt;="&amp;D$2)</f>
        <v>0</v>
      </c>
      <c r="E47" s="36">
        <f ca="1">SUMIFS(INDIRECT($J47),Cuenta,$H47,Linea,$I47, Fecha,"&gt;="&amp;E$1,Fecha,"&lt;="&amp;E$2)</f>
        <v>0</v>
      </c>
      <c r="F47" s="36">
        <f ca="1">SUMIFS(INDIRECT($J47),Cuenta,$H47,Linea,$I47, Fecha,"&gt;="&amp;F$1,Fecha,"&lt;="&amp;F$2)</f>
        <v>0</v>
      </c>
      <c r="H47" s="16" t="s">
        <v>100</v>
      </c>
      <c r="I47" s="16" t="s">
        <v>41</v>
      </c>
      <c r="J47" s="16" t="str">
        <v>Educacion</v>
      </c>
      <c r="K47" s="16"/>
      <c r="L47" s="16"/>
      <c r="M47" s="16"/>
      <c r="N47" s="16"/>
      <c r="O47" s="16"/>
      <c r="P47" s="16"/>
      <c r="Q47" s="16"/>
      <c r="R47" s="16"/>
    </row>
    <row r="48" spans="2:18" outlineLevel="1" x14ac:dyDescent="0.25">
      <c r="B48" s="17" t="str">
        <f t="shared" si="3"/>
        <v>Impuestos</v>
      </c>
      <c r="C48" s="36">
        <f ca="1">SUMIFS(INDIRECT($J48),Cuenta,$H48,Linea,$I48, Fecha,"&gt;="&amp;C$1,Fecha,"&lt;="&amp;C$2)</f>
        <v>0</v>
      </c>
      <c r="D48" s="36">
        <f ca="1">SUMIFS(INDIRECT($J48),Cuenta,$H48,Linea,$I48, Fecha,"&gt;="&amp;D$1,Fecha,"&lt;="&amp;D$2)</f>
        <v>0</v>
      </c>
      <c r="E48" s="36">
        <f ca="1">SUMIFS(INDIRECT($J48),Cuenta,$H48,Linea,$I48, Fecha,"&gt;="&amp;E$1,Fecha,"&lt;="&amp;E$2)</f>
        <v>0</v>
      </c>
      <c r="F48" s="36">
        <f ca="1">SUMIFS(INDIRECT($J48),Cuenta,$H48,Linea,$I48, Fecha,"&gt;="&amp;F$1,Fecha,"&lt;="&amp;F$2)</f>
        <v>0</v>
      </c>
      <c r="H48" s="16" t="s">
        <v>100</v>
      </c>
      <c r="I48" s="16" t="s">
        <v>41</v>
      </c>
      <c r="J48" s="16" t="str">
        <v>Impuestos</v>
      </c>
      <c r="K48" s="16"/>
      <c r="L48" s="16"/>
      <c r="M48" s="16"/>
      <c r="N48" s="16"/>
      <c r="O48" s="16"/>
      <c r="P48" s="16"/>
      <c r="Q48" s="16"/>
      <c r="R48" s="16"/>
    </row>
    <row r="49" spans="2:18" outlineLevel="1" x14ac:dyDescent="0.25">
      <c r="B49" s="17" t="str">
        <f t="shared" si="3"/>
        <v>Emergencias</v>
      </c>
      <c r="C49" s="36">
        <f ca="1">SUMIFS(INDIRECT($J49),Cuenta,$H49,Linea,$I49, Fecha,"&gt;="&amp;C$1,Fecha,"&lt;="&amp;C$2)</f>
        <v>0</v>
      </c>
      <c r="D49" s="36">
        <f ca="1">SUMIFS(INDIRECT($J49),Cuenta,$H49,Linea,$I49, Fecha,"&gt;="&amp;D$1,Fecha,"&lt;="&amp;D$2)</f>
        <v>0</v>
      </c>
      <c r="E49" s="36">
        <f ca="1">SUMIFS(INDIRECT($J49),Cuenta,$H49,Linea,$I49, Fecha,"&gt;="&amp;E$1,Fecha,"&lt;="&amp;E$2)</f>
        <v>0</v>
      </c>
      <c r="F49" s="36">
        <f ca="1">SUMIFS(INDIRECT($J49),Cuenta,$H49,Linea,$I49, Fecha,"&gt;="&amp;F$1,Fecha,"&lt;="&amp;F$2)</f>
        <v>0</v>
      </c>
      <c r="H49" s="16" t="s">
        <v>100</v>
      </c>
      <c r="I49" s="16" t="s">
        <v>41</v>
      </c>
      <c r="J49" s="16" t="str">
        <v>Emergencias</v>
      </c>
      <c r="K49" s="16"/>
      <c r="L49" s="16"/>
      <c r="M49" s="16"/>
      <c r="N49" s="16"/>
      <c r="O49" s="16"/>
      <c r="P49" s="16"/>
      <c r="Q49" s="16"/>
      <c r="R49" s="16"/>
    </row>
    <row r="50" spans="2:18" outlineLevel="1" x14ac:dyDescent="0.25">
      <c r="B50" s="17" t="str">
        <f t="shared" si="3"/>
        <v>Vacaciones</v>
      </c>
      <c r="C50" s="36">
        <f ca="1">SUMIFS(INDIRECT($J50),Cuenta,$H50,Linea,$I50, Fecha,"&gt;="&amp;C$1,Fecha,"&lt;="&amp;C$2)</f>
        <v>0</v>
      </c>
      <c r="D50" s="36">
        <f ca="1">SUMIFS(INDIRECT($J50),Cuenta,$H50,Linea,$I50, Fecha,"&gt;="&amp;D$1,Fecha,"&lt;="&amp;D$2)</f>
        <v>0</v>
      </c>
      <c r="E50" s="36">
        <f ca="1">SUMIFS(INDIRECT($J50),Cuenta,$H50,Linea,$I50, Fecha,"&gt;="&amp;E$1,Fecha,"&lt;="&amp;E$2)</f>
        <v>0</v>
      </c>
      <c r="F50" s="36">
        <f ca="1">SUMIFS(INDIRECT($J50),Cuenta,$H50,Linea,$I50, Fecha,"&gt;="&amp;F$1,Fecha,"&lt;="&amp;F$2)</f>
        <v>0</v>
      </c>
      <c r="H50" s="16" t="s">
        <v>100</v>
      </c>
      <c r="I50" s="16" t="s">
        <v>41</v>
      </c>
      <c r="J50" s="16" t="str">
        <v>Vacaciones</v>
      </c>
      <c r="K50" s="16"/>
      <c r="L50" s="16"/>
      <c r="M50" s="16"/>
      <c r="N50" s="16"/>
      <c r="O50" s="16"/>
      <c r="P50" s="16"/>
      <c r="Q50" s="16"/>
      <c r="R50" s="16"/>
    </row>
    <row r="51" spans="2:18" outlineLevel="1" x14ac:dyDescent="0.25">
      <c r="B51" s="17" t="str">
        <f t="shared" si="3"/>
        <v>FX</v>
      </c>
      <c r="C51" s="36">
        <f ca="1">SUMIFS(INDIRECT($J51),Cuenta,$H51,Linea,$I51, Fecha,"&gt;="&amp;C$1,Fecha,"&lt;="&amp;C$2)</f>
        <v>0</v>
      </c>
      <c r="D51" s="36">
        <f ca="1">SUMIFS(INDIRECT($J51),Cuenta,$H51,Linea,$I51, Fecha,"&gt;="&amp;D$1,Fecha,"&lt;="&amp;D$2)</f>
        <v>0</v>
      </c>
      <c r="E51" s="36">
        <f ca="1">SUMIFS(INDIRECT($J51),Cuenta,$H51,Linea,$I51, Fecha,"&gt;="&amp;E$1,Fecha,"&lt;="&amp;E$2)</f>
        <v>0</v>
      </c>
      <c r="F51" s="36">
        <f ca="1">SUMIFS(INDIRECT($J51),Cuenta,$H51,Linea,$I51, Fecha,"&gt;="&amp;F$1,Fecha,"&lt;="&amp;F$2)</f>
        <v>0</v>
      </c>
      <c r="H51" s="16" t="s">
        <v>100</v>
      </c>
      <c r="I51" s="16" t="s">
        <v>41</v>
      </c>
      <c r="J51" s="16" t="str">
        <v>FX</v>
      </c>
      <c r="K51" s="16"/>
      <c r="L51" s="16"/>
      <c r="M51" s="16"/>
      <c r="N51" s="16"/>
      <c r="O51" s="16"/>
      <c r="P51" s="16"/>
      <c r="Q51" s="16"/>
      <c r="R51" s="16"/>
    </row>
    <row r="52" spans="2:18" outlineLevel="1" x14ac:dyDescent="0.25">
      <c r="B52" s="17" t="str">
        <f t="shared" si="3"/>
        <v>VM</v>
      </c>
      <c r="C52" s="36">
        <f ca="1">SUMIFS(INDIRECT($J52),Cuenta,$H52,Linea,$I52, Fecha,"&gt;="&amp;C$1,Fecha,"&lt;="&amp;C$2)</f>
        <v>0</v>
      </c>
      <c r="D52" s="36">
        <f ca="1">SUMIFS(INDIRECT($J52),Cuenta,$H52,Linea,$I52, Fecha,"&gt;="&amp;D$1,Fecha,"&lt;="&amp;D$2)</f>
        <v>0</v>
      </c>
      <c r="E52" s="36">
        <f ca="1">SUMIFS(INDIRECT($J52),Cuenta,$H52,Linea,$I52, Fecha,"&gt;="&amp;E$1,Fecha,"&lt;="&amp;E$2)</f>
        <v>0</v>
      </c>
      <c r="F52" s="36">
        <f ca="1">SUMIFS(INDIRECT($J52),Cuenta,$H52,Linea,$I52, Fecha,"&gt;="&amp;F$1,Fecha,"&lt;="&amp;F$2)</f>
        <v>0</v>
      </c>
      <c r="H52" s="16" t="s">
        <v>100</v>
      </c>
      <c r="I52" s="16" t="s">
        <v>41</v>
      </c>
      <c r="J52" s="16" t="str">
        <v>VM</v>
      </c>
      <c r="K52" s="16"/>
      <c r="L52" s="16"/>
      <c r="M52" s="16"/>
      <c r="N52" s="16"/>
      <c r="O52" s="16"/>
      <c r="P52" s="16"/>
      <c r="Q52" s="16"/>
      <c r="R52" s="16"/>
    </row>
    <row r="53" spans="2:18" outlineLevel="1" x14ac:dyDescent="0.25">
      <c r="B53" s="17" t="str">
        <f t="shared" ref="B53" si="4">J53</f>
        <v>Unexplained</v>
      </c>
      <c r="C53" s="36">
        <f ca="1">SUMIFS(INDIRECT($J53),Cuenta,$H53,Linea,$I53, Fecha,"&gt;="&amp;C$1,Fecha,"&lt;="&amp;C$2)</f>
        <v>0</v>
      </c>
      <c r="D53" s="36">
        <f ca="1">SUMIFS(INDIRECT($J53),Cuenta,$H53,Linea,$I53, Fecha,"&gt;="&amp;D$1,Fecha,"&lt;="&amp;D$2)</f>
        <v>88</v>
      </c>
      <c r="E53" s="36">
        <f ca="1">SUMIFS(INDIRECT($J53),Cuenta,$H53,Linea,$I53, Fecha,"&gt;="&amp;E$1,Fecha,"&lt;="&amp;E$2)</f>
        <v>0</v>
      </c>
      <c r="F53" s="36">
        <f ca="1">SUMIFS(INDIRECT($J53),Cuenta,$H53,Linea,$I53, Fecha,"&gt;="&amp;F$1,Fecha,"&lt;="&amp;F$2)</f>
        <v>0</v>
      </c>
      <c r="H53" s="16" t="s">
        <v>100</v>
      </c>
      <c r="I53" s="16" t="s">
        <v>41</v>
      </c>
      <c r="J53" s="16" t="str">
        <v>Unexplained</v>
      </c>
      <c r="K53" s="16"/>
      <c r="L53" s="16"/>
      <c r="M53" s="16"/>
      <c r="N53" s="16"/>
      <c r="O53" s="16"/>
      <c r="P53" s="16"/>
      <c r="Q53" s="16"/>
      <c r="R53" s="16"/>
    </row>
    <row r="54" spans="2:18" x14ac:dyDescent="0.25">
      <c r="B54" s="17"/>
      <c r="C54" s="32"/>
      <c r="D54" s="32"/>
      <c r="E54" s="32"/>
      <c r="F54" s="31"/>
      <c r="K54" s="16"/>
      <c r="L54" s="16"/>
      <c r="M54" s="16"/>
      <c r="N54" s="16"/>
      <c r="O54" s="16"/>
      <c r="P54" s="16"/>
      <c r="Q54" s="16"/>
      <c r="R54" s="16"/>
    </row>
    <row r="55" spans="2:18" x14ac:dyDescent="0.25">
      <c r="B55" s="18" t="s">
        <v>9</v>
      </c>
      <c r="C55" s="35">
        <f ca="1">SUMIFS(INDIRECT($J55),Cuenta,$H55,Linea,$I55, Fecha,"&gt;="&amp;C$1,Fecha,"&lt;="&amp;C$2)</f>
        <v>-105875.80959999998</v>
      </c>
      <c r="D55" s="35">
        <f ca="1">SUMIFS(INDIRECT($J55),Cuenta,$H55,Linea,$I55, Fecha,"&gt;="&amp;D$1,Fecha,"&lt;="&amp;D$2)</f>
        <v>2138129.9377000001</v>
      </c>
      <c r="E55" s="35">
        <f ca="1">SUMIFS(INDIRECT($J55),Cuenta,$H55,Linea,$I55, Fecha,"&gt;="&amp;E$1,Fecha,"&lt;="&amp;E$2)</f>
        <v>3164853.2541000005</v>
      </c>
      <c r="F55" s="35">
        <f ca="1">SUMIFS(INDIRECT($J55),Cuenta,$H55,Linea,$I55, Fecha,"&gt;="&amp;F$1,Fecha,"&lt;="&amp;F$2)</f>
        <v>40389.179999999993</v>
      </c>
      <c r="H55" s="16" t="s">
        <v>9</v>
      </c>
      <c r="I55" s="16" t="s">
        <v>41</v>
      </c>
      <c r="J55" s="16" t="s">
        <v>23</v>
      </c>
      <c r="K55" s="16"/>
      <c r="L55" s="16"/>
      <c r="M55" s="16"/>
      <c r="N55" s="16"/>
      <c r="O55" s="16"/>
      <c r="P55" s="16"/>
      <c r="Q55" s="16"/>
      <c r="R55" s="16"/>
    </row>
    <row r="56" spans="2:18" outlineLevel="1" x14ac:dyDescent="0.25">
      <c r="B56" s="17" t="s">
        <v>14</v>
      </c>
      <c r="C56" s="36">
        <f ca="1">SUMIFS(INDIRECT($J56),Cuenta,$H56,Linea,$I56, Fecha,"&gt;="&amp;C$1,Fecha,"&lt;="&amp;C$2)</f>
        <v>1021</v>
      </c>
      <c r="D56" s="36">
        <f ca="1">SUMIFS(INDIRECT($J56),Cuenta,$H56,Linea,$I56, Fecha,"&gt;="&amp;D$1,Fecha,"&lt;="&amp;D$2)</f>
        <v>2000000</v>
      </c>
      <c r="E56" s="36">
        <f ca="1">SUMIFS(INDIRECT($J56),Cuenta,$H56,Linea,$I56, Fecha,"&gt;="&amp;E$1,Fecha,"&lt;="&amp;E$2)</f>
        <v>3000000</v>
      </c>
      <c r="F56" s="36">
        <f ca="1">SUMIFS(INDIRECT($J56),Cuenta,$H56,Linea,$I56, Fecha,"&gt;="&amp;F$1,Fecha,"&lt;="&amp;F$2)</f>
        <v>0</v>
      </c>
      <c r="H56" s="16" t="s">
        <v>9</v>
      </c>
      <c r="I56" s="16" t="s">
        <v>41</v>
      </c>
      <c r="J56" s="16" t="s">
        <v>14</v>
      </c>
      <c r="K56" s="16"/>
      <c r="L56" s="16"/>
      <c r="M56" s="16"/>
      <c r="N56" s="16"/>
      <c r="O56" s="16"/>
      <c r="P56" s="16"/>
      <c r="Q56" s="16"/>
      <c r="R56" s="16"/>
    </row>
    <row r="57" spans="2:18" outlineLevel="1" x14ac:dyDescent="0.25">
      <c r="B57" s="17" t="s">
        <v>22</v>
      </c>
      <c r="C57" s="36">
        <f ca="1">SUMIFS(INDIRECT($J57),Cuenta,$H57,Linea,$I57, Fecha,"&gt;="&amp;C$1,Fecha,"&lt;="&amp;C$2)</f>
        <v>-94084.706399999995</v>
      </c>
      <c r="D57" s="36">
        <f ca="1">SUMIFS(INDIRECT($J57),Cuenta,$H57,Linea,$I57, Fecha,"&gt;="&amp;D$1,Fecha,"&lt;="&amp;D$2)</f>
        <v>136961.64970000001</v>
      </c>
      <c r="E57" s="36">
        <f ca="1">SUMIFS(INDIRECT($J57),Cuenta,$H57,Linea,$I57, Fecha,"&gt;="&amp;E$1,Fecha,"&lt;="&amp;E$2)</f>
        <v>148444.7528999999</v>
      </c>
      <c r="F57" s="36">
        <f ca="1">SUMIFS(INDIRECT($J57),Cuenta,$H57,Linea,$I57, Fecha,"&gt;="&amp;F$1,Fecha,"&lt;="&amp;F$2)</f>
        <v>37338.664900000003</v>
      </c>
      <c r="H57" s="16" t="s">
        <v>9</v>
      </c>
      <c r="I57" s="16" t="s">
        <v>41</v>
      </c>
      <c r="J57" s="16" t="s">
        <v>22</v>
      </c>
      <c r="K57" s="16"/>
      <c r="L57" s="16"/>
      <c r="M57" s="16"/>
      <c r="N57" s="16"/>
      <c r="O57" s="16"/>
      <c r="P57" s="16"/>
      <c r="Q57" s="16"/>
      <c r="R57" s="16"/>
    </row>
    <row r="58" spans="2:18" outlineLevel="1" x14ac:dyDescent="0.25">
      <c r="B58" s="17" t="s">
        <v>25</v>
      </c>
      <c r="C58" s="36">
        <f ca="1">SUMIFS(INDIRECT($J58),Cuenta,$H58,Linea,$I58, Fecha,"&gt;="&amp;C$1,Fecha,"&lt;="&amp;C$2)</f>
        <v>-12812.103199999989</v>
      </c>
      <c r="D58" s="36">
        <f ca="1">SUMIFS(INDIRECT($J58),Cuenta,$H58,Linea,$I58, Fecha,"&gt;="&amp;D$1,Fecha,"&lt;="&amp;D$2)</f>
        <v>1168.2879999999818</v>
      </c>
      <c r="E58" s="36">
        <f ca="1">SUMIFS(INDIRECT($J58),Cuenta,$H58,Linea,$I58, Fecha,"&gt;="&amp;E$1,Fecha,"&lt;="&amp;E$2)</f>
        <v>16408.501200000017</v>
      </c>
      <c r="F58" s="36">
        <f ca="1">SUMIFS(INDIRECT($J58),Cuenta,$H58,Linea,$I58, Fecha,"&gt;="&amp;F$1,Fecha,"&lt;="&amp;F$2)</f>
        <v>3050.515099999991</v>
      </c>
      <c r="H58" s="16" t="s">
        <v>9</v>
      </c>
      <c r="I58" s="16" t="s">
        <v>41</v>
      </c>
      <c r="J58" s="16" t="s">
        <v>25</v>
      </c>
      <c r="K58" s="16"/>
      <c r="L58" s="16"/>
      <c r="M58" s="16"/>
      <c r="N58" s="16"/>
      <c r="O58" s="16"/>
      <c r="P58" s="16"/>
      <c r="Q58" s="16"/>
      <c r="R58" s="16"/>
    </row>
    <row r="59" spans="2:18" outlineLevel="1" x14ac:dyDescent="0.25">
      <c r="B59" s="20" t="s">
        <v>12</v>
      </c>
      <c r="C59" s="36">
        <f ca="1">SUMIFS(INDIRECT($J59),Cuenta,$H59,Linea,$I59, Fecha,"&gt;="&amp;C$1,Fecha,"&lt;="&amp;C$2)</f>
        <v>14015</v>
      </c>
      <c r="D59" s="36">
        <f ca="1">SUMIFS(INDIRECT($J59),Cuenta,$H59,Linea,$I59, Fecha,"&gt;="&amp;D$1,Fecha,"&lt;="&amp;D$2)</f>
        <v>2036705</v>
      </c>
      <c r="E59" s="36">
        <f ca="1">SUMIFS(INDIRECT($J59),Cuenta,$H59,Linea,$I59, Fecha,"&gt;="&amp;E$1,Fecha,"&lt;="&amp;E$2)</f>
        <v>1037644</v>
      </c>
      <c r="F59" s="36">
        <f ca="1">SUMIFS(INDIRECT($J59),Cuenta,$H59,Linea,$I59, Fecha,"&gt;="&amp;F$1,Fecha,"&lt;="&amp;F$2)</f>
        <v>17974</v>
      </c>
      <c r="H59" s="16" t="s">
        <v>9</v>
      </c>
      <c r="I59" s="16" t="s">
        <v>12</v>
      </c>
      <c r="J59" s="16" t="s">
        <v>23</v>
      </c>
      <c r="K59" s="16"/>
      <c r="L59" s="16"/>
      <c r="M59" s="16"/>
      <c r="N59" s="16"/>
      <c r="O59" s="16"/>
      <c r="P59" s="16"/>
      <c r="Q59" s="16"/>
      <c r="R59" s="16"/>
    </row>
    <row r="60" spans="2:18" outlineLevel="1" x14ac:dyDescent="0.25">
      <c r="B60" s="20" t="s">
        <v>15</v>
      </c>
      <c r="C60" s="36">
        <f ca="1">SUMIFS(INDIRECT($J60),Cuenta,$H60,Linea,$I60, Fecha,"&gt;="&amp;C$1,Fecha,"&lt;="&amp;C$2)</f>
        <v>-90083</v>
      </c>
      <c r="D60" s="36">
        <f ca="1">SUMIFS(INDIRECT($J60),Cuenta,$H60,Linea,$I60, Fecha,"&gt;="&amp;D$1,Fecha,"&lt;="&amp;D$2)</f>
        <v>75643</v>
      </c>
      <c r="E60" s="36">
        <f ca="1">SUMIFS(INDIRECT($J60),Cuenta,$H60,Linea,$I60, Fecha,"&gt;="&amp;E$1,Fecha,"&lt;="&amp;E$2)</f>
        <v>1617087</v>
      </c>
      <c r="F60" s="36">
        <f ca="1">SUMIFS(INDIRECT($J60),Cuenta,$H60,Linea,$I60, Fecha,"&gt;="&amp;F$1,Fecha,"&lt;="&amp;F$2)</f>
        <v>11915</v>
      </c>
      <c r="H60" s="16" t="s">
        <v>9</v>
      </c>
      <c r="I60" s="16" t="s">
        <v>15</v>
      </c>
      <c r="J60" s="16" t="s">
        <v>23</v>
      </c>
      <c r="K60" s="16"/>
      <c r="L60" s="16"/>
      <c r="M60" s="16"/>
      <c r="N60" s="16"/>
      <c r="O60" s="16"/>
      <c r="P60" s="16"/>
      <c r="Q60" s="16"/>
      <c r="R60" s="16"/>
    </row>
    <row r="61" spans="2:18" outlineLevel="1" x14ac:dyDescent="0.25">
      <c r="B61" s="20" t="s">
        <v>11</v>
      </c>
      <c r="C61" s="36">
        <f ca="1">SUMIFS(INDIRECT($J61),Cuenta,$H61,Linea,$I61, Fecha,"&gt;="&amp;C$1,Fecha,"&lt;="&amp;C$2)</f>
        <v>-15160</v>
      </c>
      <c r="D61" s="36">
        <f ca="1">SUMIFS(INDIRECT($J61),Cuenta,$H61,Linea,$I61, Fecha,"&gt;="&amp;D$1,Fecha,"&lt;="&amp;D$2)</f>
        <v>15787</v>
      </c>
      <c r="E61" s="36">
        <f ca="1">SUMIFS(INDIRECT($J61),Cuenta,$H61,Linea,$I61, Fecha,"&gt;="&amp;E$1,Fecha,"&lt;="&amp;E$2)</f>
        <v>483881</v>
      </c>
      <c r="F61" s="36">
        <f ca="1">SUMIFS(INDIRECT($J61),Cuenta,$H61,Linea,$I61, Fecha,"&gt;="&amp;F$1,Fecha,"&lt;="&amp;F$2)</f>
        <v>5158</v>
      </c>
      <c r="H61" s="16" t="s">
        <v>9</v>
      </c>
      <c r="I61" s="16" t="s">
        <v>11</v>
      </c>
      <c r="J61" s="16" t="s">
        <v>23</v>
      </c>
      <c r="K61" s="16"/>
      <c r="L61" s="16"/>
      <c r="M61" s="16"/>
      <c r="N61" s="16"/>
      <c r="O61" s="16"/>
      <c r="P61" s="16"/>
      <c r="Q61" s="16"/>
      <c r="R61" s="16"/>
    </row>
    <row r="62" spans="2:18" outlineLevel="1" x14ac:dyDescent="0.25">
      <c r="B62" s="20" t="s">
        <v>10</v>
      </c>
      <c r="C62" s="36">
        <f ca="1">SUMIFS(INDIRECT($J62),Cuenta,$H62,Linea,$I62, Fecha,"&gt;="&amp;C$1,Fecha,"&lt;="&amp;C$2)</f>
        <v>-14647.809599999979</v>
      </c>
      <c r="D62" s="36">
        <f ca="1">SUMIFS(INDIRECT($J62),Cuenta,$H62,Linea,$I62, Fecha,"&gt;="&amp;D$1,Fecha,"&lt;="&amp;D$2)</f>
        <v>9994.9377000000095</v>
      </c>
      <c r="E62" s="36">
        <f ca="1">SUMIFS(INDIRECT($J62),Cuenta,$H62,Linea,$I62, Fecha,"&gt;="&amp;E$1,Fecha,"&lt;="&amp;E$2)</f>
        <v>26241.254099999962</v>
      </c>
      <c r="F62" s="36">
        <f ca="1">SUMIFS(INDIRECT($J62),Cuenta,$H62,Linea,$I62, Fecha,"&gt;="&amp;F$1,Fecha,"&lt;="&amp;F$2)</f>
        <v>5342.179999999993</v>
      </c>
      <c r="H62" s="16" t="s">
        <v>9</v>
      </c>
      <c r="I62" s="16" t="s">
        <v>10</v>
      </c>
      <c r="J62" s="16" t="s">
        <v>23</v>
      </c>
      <c r="K62" s="16"/>
      <c r="L62" s="16"/>
      <c r="M62" s="16"/>
      <c r="N62" s="16"/>
      <c r="O62" s="16"/>
      <c r="P62" s="16"/>
      <c r="Q62" s="16"/>
      <c r="R62" s="16"/>
    </row>
    <row r="63" spans="2:18" outlineLevel="1" x14ac:dyDescent="0.25">
      <c r="B63" s="20" t="s">
        <v>18</v>
      </c>
      <c r="C63" s="36">
        <f ca="1">SUMIFS(INDIRECT($J63),Cuenta,$H63,Linea,$I63, Fecha,"&gt;="&amp;C$1,Fecha,"&lt;="&amp;C$2)</f>
        <v>0</v>
      </c>
      <c r="D63" s="36">
        <f ca="1">SUMIFS(INDIRECT($J63),Cuenta,$H63,Linea,$I63, Fecha,"&gt;="&amp;D$1,Fecha,"&lt;="&amp;D$2)</f>
        <v>0</v>
      </c>
      <c r="E63" s="36">
        <f ca="1">SUMIFS(INDIRECT($J63),Cuenta,$H63,Linea,$I63, Fecha,"&gt;="&amp;E$1,Fecha,"&lt;="&amp;E$2)</f>
        <v>0</v>
      </c>
      <c r="F63" s="36">
        <f ca="1">SUMIFS(INDIRECT($J63),Cuenta,$H63,Linea,$I63, Fecha,"&gt;="&amp;F$1,Fecha,"&lt;="&amp;F$2)</f>
        <v>0</v>
      </c>
      <c r="H63" s="16" t="s">
        <v>9</v>
      </c>
      <c r="I63" s="16" t="s">
        <v>41</v>
      </c>
      <c r="J63" s="16" t="s">
        <v>18</v>
      </c>
      <c r="K63" s="16"/>
      <c r="L63" s="16"/>
      <c r="M63" s="16"/>
      <c r="N63" s="16"/>
      <c r="O63" s="16"/>
      <c r="P63" s="16"/>
      <c r="Q63" s="16"/>
      <c r="R63" s="16"/>
    </row>
    <row r="64" spans="2:18" x14ac:dyDescent="0.25">
      <c r="B64" s="20"/>
      <c r="C64" s="32"/>
      <c r="D64" s="32"/>
      <c r="E64" s="32"/>
      <c r="F64" s="32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</row>
    <row r="65" spans="2:18" x14ac:dyDescent="0.25">
      <c r="B65" s="21" t="s">
        <v>16</v>
      </c>
      <c r="C65" s="35">
        <f ca="1">SUMIFS(INDIRECT($J65),Cuenta,$H65,Linea,$I65, Fecha,"&gt;="&amp;C$1,Fecha,"&lt;="&amp;C$2)</f>
        <v>-70299.581400000083</v>
      </c>
      <c r="D65" s="35">
        <f ca="1">SUMIFS(INDIRECT($J65),Cuenta,$H65,Linea,$I65, Fecha,"&gt;="&amp;D$1,Fecha,"&lt;="&amp;D$2)</f>
        <v>111751.68690000003</v>
      </c>
      <c r="E65" s="35">
        <f ca="1">SUMIFS(INDIRECT($J65),Cuenta,$H65,Linea,$I65, Fecha,"&gt;="&amp;E$1,Fecha,"&lt;="&amp;E$2)</f>
        <v>603937.84230000002</v>
      </c>
      <c r="F65" s="35">
        <f ca="1">SUMIFS(INDIRECT($J65),Cuenta,$H65,Linea,$I65, Fecha,"&gt;="&amp;F$1,Fecha,"&lt;="&amp;F$2)</f>
        <v>32001.491800000018</v>
      </c>
      <c r="H65" s="16" t="s">
        <v>41</v>
      </c>
      <c r="I65" s="16" t="s">
        <v>16</v>
      </c>
      <c r="J65" s="16" t="s">
        <v>23</v>
      </c>
      <c r="K65" s="16"/>
      <c r="L65" s="16"/>
      <c r="M65" s="16"/>
      <c r="N65" s="16"/>
      <c r="O65" s="16"/>
      <c r="P65" s="16"/>
      <c r="Q65" s="16"/>
      <c r="R65" s="16"/>
    </row>
    <row r="66" spans="2:18" outlineLevel="1" x14ac:dyDescent="0.25">
      <c r="B66" s="17" t="s">
        <v>14</v>
      </c>
      <c r="C66" s="36">
        <f ca="1">SUMIFS(INDIRECT($J66),Cuenta,$H66,Linea,$I66, Fecha,"&gt;="&amp;C$1,Fecha,"&lt;="&amp;C$2)</f>
        <v>0</v>
      </c>
      <c r="D66" s="36">
        <f ca="1">SUMIFS(INDIRECT($J66),Cuenta,$H66,Linea,$I66, Fecha,"&gt;="&amp;D$1,Fecha,"&lt;="&amp;D$2)</f>
        <v>0</v>
      </c>
      <c r="E66" s="36">
        <f ca="1">SUMIFS(INDIRECT($J66),Cuenta,$H66,Linea,$I66, Fecha,"&gt;="&amp;E$1,Fecha,"&lt;="&amp;E$2)</f>
        <v>0</v>
      </c>
      <c r="F66" s="36">
        <f ca="1">SUMIFS(INDIRECT($J66),Cuenta,$H66,Linea,$I66, Fecha,"&gt;="&amp;F$1,Fecha,"&lt;="&amp;F$2)</f>
        <v>0</v>
      </c>
      <c r="H66" s="16" t="s">
        <v>41</v>
      </c>
      <c r="I66" s="16" t="s">
        <v>16</v>
      </c>
      <c r="J66" s="16" t="s">
        <v>14</v>
      </c>
      <c r="K66" s="16"/>
      <c r="L66" s="16"/>
      <c r="M66" s="16"/>
      <c r="N66" s="16"/>
      <c r="O66" s="16"/>
      <c r="P66" s="16"/>
      <c r="Q66" s="16"/>
      <c r="R66" s="16"/>
    </row>
    <row r="67" spans="2:18" outlineLevel="1" x14ac:dyDescent="0.25">
      <c r="B67" s="17" t="s">
        <v>22</v>
      </c>
      <c r="C67" s="36">
        <f ca="1">SUMIFS(INDIRECT($J67),Cuenta,$H67,Linea,$I67, Fecha,"&gt;="&amp;C$1,Fecha,"&lt;="&amp;C$2)</f>
        <v>-19031.925600000126</v>
      </c>
      <c r="D67" s="36">
        <f ca="1">SUMIFS(INDIRECT($J67),Cuenta,$H67,Linea,$I67, Fecha,"&gt;="&amp;D$1,Fecha,"&lt;="&amp;D$2)</f>
        <v>109446.98020000008</v>
      </c>
      <c r="E67" s="36">
        <f ca="1">SUMIFS(INDIRECT($J67),Cuenta,$H67,Linea,$I67, Fecha,"&gt;="&amp;E$1,Fecha,"&lt;="&amp;E$2)</f>
        <v>557851.04449999996</v>
      </c>
      <c r="F67" s="36">
        <f ca="1">SUMIFS(INDIRECT($J67),Cuenta,$H67,Linea,$I67, Fecha,"&gt;="&amp;F$1,Fecha,"&lt;="&amp;F$2)</f>
        <v>25366.102200000041</v>
      </c>
      <c r="H67" s="16" t="s">
        <v>41</v>
      </c>
      <c r="I67" s="16" t="s">
        <v>16</v>
      </c>
      <c r="J67" s="16" t="s">
        <v>22</v>
      </c>
      <c r="K67" s="16"/>
      <c r="L67" s="16"/>
      <c r="M67" s="16"/>
      <c r="N67" s="16"/>
      <c r="O67" s="16"/>
      <c r="P67" s="16"/>
      <c r="Q67" s="16"/>
      <c r="R67" s="16"/>
    </row>
    <row r="68" spans="2:18" outlineLevel="1" x14ac:dyDescent="0.25">
      <c r="B68" s="17" t="s">
        <v>25</v>
      </c>
      <c r="C68" s="36">
        <f ca="1">SUMIFS(INDIRECT($J68),Cuenta,$H68,Linea,$I68, Fecha,"&gt;="&amp;C$1,Fecha,"&lt;="&amp;C$2)</f>
        <v>-51267.655799999957</v>
      </c>
      <c r="D68" s="36">
        <f ca="1">SUMIFS(INDIRECT($J68),Cuenta,$H68,Linea,$I68, Fecha,"&gt;="&amp;D$1,Fecha,"&lt;="&amp;D$2)</f>
        <v>2304.7066999999365</v>
      </c>
      <c r="E68" s="36">
        <f ca="1">SUMIFS(INDIRECT($J68),Cuenta,$H68,Linea,$I68, Fecha,"&gt;="&amp;E$1,Fecha,"&lt;="&amp;E$2)</f>
        <v>46086.797800000066</v>
      </c>
      <c r="F68" s="36">
        <f ca="1">SUMIFS(INDIRECT($J68),Cuenta,$H68,Linea,$I68, Fecha,"&gt;="&amp;F$1,Fecha,"&lt;="&amp;F$2)</f>
        <v>6635.3895999999804</v>
      </c>
      <c r="H68" s="16" t="s">
        <v>41</v>
      </c>
      <c r="I68" s="16" t="s">
        <v>16</v>
      </c>
      <c r="J68" s="16" t="s">
        <v>25</v>
      </c>
      <c r="K68" s="16"/>
      <c r="L68" s="16"/>
      <c r="M68" s="16"/>
      <c r="N68" s="16"/>
      <c r="O68" s="16"/>
      <c r="P68" s="16"/>
      <c r="Q68" s="16"/>
      <c r="R68" s="16"/>
    </row>
    <row r="69" spans="2:18" outlineLevel="1" x14ac:dyDescent="0.25">
      <c r="B69" s="17" t="s">
        <v>18</v>
      </c>
      <c r="C69" s="36">
        <f ca="1">SUMIFS(INDIRECT($J69),Cuenta,$H69,Linea,$I69, Fecha,"&gt;="&amp;C$1,Fecha,"&lt;="&amp;C$2)</f>
        <v>0</v>
      </c>
      <c r="D69" s="36">
        <f ca="1">SUMIFS(INDIRECT($J69),Cuenta,$H69,Linea,$I69, Fecha,"&gt;="&amp;D$1,Fecha,"&lt;="&amp;D$2)</f>
        <v>0</v>
      </c>
      <c r="E69" s="36">
        <f ca="1">SUMIFS(INDIRECT($J69),Cuenta,$H69,Linea,$I69, Fecha,"&gt;="&amp;E$1,Fecha,"&lt;="&amp;E$2)</f>
        <v>0</v>
      </c>
      <c r="F69" s="36">
        <f ca="1">SUMIFS(INDIRECT($J69),Cuenta,$H69,Linea,$I69, Fecha,"&gt;="&amp;F$1,Fecha,"&lt;="&amp;F$2)</f>
        <v>0</v>
      </c>
      <c r="H69" s="16" t="s">
        <v>41</v>
      </c>
      <c r="I69" s="16" t="s">
        <v>16</v>
      </c>
      <c r="J69" s="16" t="s">
        <v>18</v>
      </c>
      <c r="K69" s="16"/>
      <c r="L69" s="16"/>
      <c r="M69" s="16"/>
      <c r="N69" s="16"/>
      <c r="O69" s="16"/>
      <c r="P69" s="16"/>
      <c r="Q69" s="16"/>
      <c r="R69" s="16"/>
    </row>
    <row r="70" spans="2:18" x14ac:dyDescent="0.25"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</row>
    <row r="71" spans="2:18" x14ac:dyDescent="0.25"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</row>
    <row r="72" spans="2:18" x14ac:dyDescent="0.25"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</row>
    <row r="73" spans="2:18" x14ac:dyDescent="0.25"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</row>
    <row r="74" spans="2:18" x14ac:dyDescent="0.25"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x14ac:dyDescent="0.25"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x14ac:dyDescent="0.25"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x14ac:dyDescent="0.25"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x14ac:dyDescent="0.25"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</row>
    <row r="79" spans="2:18" x14ac:dyDescent="0.25"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</row>
    <row r="80" spans="2:18" x14ac:dyDescent="0.25"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</row>
    <row r="81" spans="8:18" x14ac:dyDescent="0.25"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</row>
    <row r="82" spans="8:18" x14ac:dyDescent="0.25"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</row>
    <row r="83" spans="8:18" x14ac:dyDescent="0.25"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</row>
    <row r="84" spans="8:18" x14ac:dyDescent="0.25"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</row>
    <row r="85" spans="8:18" x14ac:dyDescent="0.25"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</row>
    <row r="86" spans="8:18" x14ac:dyDescent="0.25"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</row>
    <row r="87" spans="8:18" x14ac:dyDescent="0.25"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</row>
    <row r="88" spans="8:18" x14ac:dyDescent="0.25"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</row>
    <row r="89" spans="8:18" x14ac:dyDescent="0.25"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</row>
    <row r="90" spans="8:18" x14ac:dyDescent="0.25">
      <c r="H90" s="16"/>
      <c r="I90" s="16"/>
      <c r="J90" s="16"/>
      <c r="K90" s="16"/>
    </row>
    <row r="91" spans="8:18" x14ac:dyDescent="0.25">
      <c r="K91" s="16"/>
    </row>
    <row r="92" spans="8:18" x14ac:dyDescent="0.25">
      <c r="K92" s="16"/>
    </row>
  </sheetData>
  <sortState xmlns:xlrd2="http://schemas.microsoft.com/office/spreadsheetml/2017/richdata2" ref="O13:P26">
    <sortCondition ref="P13:P26"/>
  </sortState>
  <conditionalFormatting sqref="P13:P26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{9428C5DD-12A2-4FDE-87FB-00F694701866}</x14:id>
        </ext>
      </extLst>
    </cfRule>
  </conditionalFormatting>
  <conditionalFormatting sqref="F11:F30 F35:F53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{BB1F9C2A-1BD8-4F3D-AA90-A133776BB3B0}</x14:id>
        </ext>
      </extLst>
    </cfRule>
  </conditionalFormatting>
  <conditionalFormatting sqref="E11:E30 E35:E53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{6BDA7557-EF65-45F7-A500-0D902940B31E}</x14:id>
        </ext>
      </extLst>
    </cfRule>
  </conditionalFormatting>
  <conditionalFormatting sqref="C11:D30 C35:D53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{E365D8E7-ABDB-4F0E-921C-F3AE5A9DE04E}</x14:id>
        </ext>
      </extLst>
    </cfRule>
  </conditionalFormatting>
  <conditionalFormatting sqref="F54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{DACFC044-3F86-48FF-89B0-12241E0221F9}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28C5DD-12A2-4FDE-87FB-00F6947018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P13:P26</xm:sqref>
        </x14:conditionalFormatting>
        <x14:conditionalFormatting xmlns:xm="http://schemas.microsoft.com/office/excel/2006/main">
          <x14:cfRule type="dataBar" id="{BB1F9C2A-1BD8-4F3D-AA90-A133776BB3B0}">
            <x14:dataBar minLength="0" maxLength="100" border="1" direction="leftToRight" negativeBarBorderColorSameAsPositive="0">
              <x14:cfvo type="autoMin"/>
              <x14:cfvo type="autoMax"/>
              <x14:borderColor rgb="FF638EC6"/>
              <x14:negativeFillColor rgb="FFFF5050"/>
              <x14:negativeBorderColor rgb="FFFF5050"/>
              <x14:axisColor theme="0" tint="-0.249977111117893"/>
            </x14:dataBar>
          </x14:cfRule>
          <xm:sqref>F11:F30 F35:F53</xm:sqref>
        </x14:conditionalFormatting>
        <x14:conditionalFormatting xmlns:xm="http://schemas.microsoft.com/office/excel/2006/main">
          <x14:cfRule type="dataBar" id="{6BDA7557-EF65-45F7-A500-0D902940B31E}">
            <x14:dataBar minLength="0" maxLength="100" border="1" direction="leftToRight" negativeBarBorderColorSameAsPositive="0">
              <x14:cfvo type="autoMin"/>
              <x14:cfvo type="autoMax"/>
              <x14:borderColor rgb="FFFF555A"/>
              <x14:negativeFillColor rgb="FFFF5050"/>
              <x14:negativeBorderColor rgb="FFFF5050"/>
              <x14:axisColor theme="0" tint="-0.249977111117893"/>
            </x14:dataBar>
          </x14:cfRule>
          <xm:sqref>E11:E30 E35:E53</xm:sqref>
        </x14:conditionalFormatting>
        <x14:conditionalFormatting xmlns:xm="http://schemas.microsoft.com/office/excel/2006/main">
          <x14:cfRule type="dataBar" id="{E365D8E7-ABDB-4F0E-921C-F3AE5A9DE04E}">
            <x14:dataBar minLength="0" maxLength="100" border="1" direction="leftToRight" negativeBarBorderColorSameAsPositive="0">
              <x14:cfvo type="autoMin"/>
              <x14:cfvo type="autoMax"/>
              <x14:borderColor rgb="FFFF555A"/>
              <x14:negativeFillColor rgb="FFFF5050"/>
              <x14:negativeBorderColor rgb="FFFF5050"/>
              <x14:axisColor theme="0" tint="-0.249977111117893"/>
            </x14:dataBar>
          </x14:cfRule>
          <xm:sqref>C11:D30 C35:D53</xm:sqref>
        </x14:conditionalFormatting>
        <x14:conditionalFormatting xmlns:xm="http://schemas.microsoft.com/office/excel/2006/main">
          <x14:cfRule type="dataBar" id="{DACFC044-3F86-48FF-89B0-12241E0221F9}">
            <x14:dataBar minLength="0" maxLength="100" direction="leftToRight">
              <x14:cfvo type="autoMin"/>
              <x14:cfvo type="autoMax"/>
              <x14:negativeFillColor rgb="FFFF5050"/>
              <x14:axisColor theme="0" tint="-0.249977111117893"/>
            </x14:dataBar>
          </x14:cfRule>
          <xm:sqref>F54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47FAA-3FB6-4A0C-8323-0D23B108D290}">
  <sheetPr codeName="Sheet9">
    <tabColor theme="5" tint="-0.249977111117893"/>
  </sheetPr>
  <dimension ref="A1:E2059"/>
  <sheetViews>
    <sheetView showGridLines="0" zoomScale="70" zoomScaleNormal="70" workbookViewId="0">
      <selection activeCell="G1" sqref="G1:L1048576"/>
    </sheetView>
  </sheetViews>
  <sheetFormatPr defaultRowHeight="15" x14ac:dyDescent="0.25"/>
  <cols>
    <col min="1" max="1" width="13.85546875" customWidth="1"/>
    <col min="2" max="2" width="26.42578125" style="50" customWidth="1"/>
    <col min="3" max="3" width="22.28515625" style="50" customWidth="1"/>
    <col min="4" max="4" width="20.7109375" style="50" customWidth="1"/>
    <col min="5" max="5" width="24.7109375" customWidth="1"/>
  </cols>
  <sheetData>
    <row r="1" spans="1:5" x14ac:dyDescent="0.25">
      <c r="A1" s="38" t="s">
        <v>3</v>
      </c>
      <c r="B1" s="23" t="s">
        <v>73</v>
      </c>
      <c r="C1" s="23" t="s">
        <v>1</v>
      </c>
      <c r="D1" s="19" t="s">
        <v>2</v>
      </c>
    </row>
    <row r="2" spans="1:5" x14ac:dyDescent="0.25">
      <c r="A2" s="33">
        <v>45352</v>
      </c>
      <c r="B2" s="96" t="s">
        <v>74</v>
      </c>
      <c r="C2" s="49">
        <v>-3000</v>
      </c>
      <c r="D2" s="94"/>
    </row>
    <row r="3" spans="1:5" x14ac:dyDescent="0.25">
      <c r="A3" s="34">
        <v>45352</v>
      </c>
      <c r="B3" s="97" t="s">
        <v>75</v>
      </c>
      <c r="C3" s="49"/>
      <c r="D3" s="95">
        <v>-4.72</v>
      </c>
    </row>
    <row r="4" spans="1:5" x14ac:dyDescent="0.25">
      <c r="A4" s="34">
        <v>45357</v>
      </c>
      <c r="B4" s="97" t="s">
        <v>77</v>
      </c>
      <c r="C4" s="49">
        <v>-18075</v>
      </c>
      <c r="D4" s="95"/>
    </row>
    <row r="5" spans="1:5" x14ac:dyDescent="0.25">
      <c r="A5" s="34">
        <v>45362</v>
      </c>
      <c r="B5" s="97" t="s">
        <v>81</v>
      </c>
      <c r="C5" s="49">
        <v>-15800</v>
      </c>
      <c r="D5" s="95"/>
      <c r="E5" t="s">
        <v>97</v>
      </c>
    </row>
    <row r="6" spans="1:5" x14ac:dyDescent="0.25">
      <c r="A6" s="34">
        <v>45363</v>
      </c>
      <c r="B6" s="97" t="s">
        <v>59</v>
      </c>
      <c r="C6" s="49"/>
      <c r="D6" s="95">
        <v>-10</v>
      </c>
    </row>
    <row r="7" spans="1:5" x14ac:dyDescent="0.25">
      <c r="A7" s="34">
        <v>45377</v>
      </c>
      <c r="B7" s="97" t="s">
        <v>102</v>
      </c>
      <c r="C7" s="49">
        <v>-4990</v>
      </c>
      <c r="D7" s="95"/>
    </row>
    <row r="8" spans="1:5" x14ac:dyDescent="0.25">
      <c r="A8" s="34">
        <v>45377</v>
      </c>
      <c r="B8" s="97" t="s">
        <v>103</v>
      </c>
      <c r="C8" s="49">
        <v>-12531</v>
      </c>
      <c r="D8" s="95"/>
    </row>
    <row r="9" spans="1:5" x14ac:dyDescent="0.25">
      <c r="A9" s="34">
        <v>45381</v>
      </c>
      <c r="B9" s="97" t="s">
        <v>74</v>
      </c>
      <c r="C9" s="49">
        <v>-3000</v>
      </c>
      <c r="D9" s="95"/>
    </row>
    <row r="10" spans="1:5" x14ac:dyDescent="0.25">
      <c r="A10" s="34">
        <v>45381</v>
      </c>
      <c r="B10" s="97" t="s">
        <v>127</v>
      </c>
      <c r="C10" s="49">
        <v>-53990</v>
      </c>
      <c r="D10" s="95"/>
      <c r="E10" t="s">
        <v>128</v>
      </c>
    </row>
    <row r="11" spans="1:5" x14ac:dyDescent="0.25">
      <c r="A11" s="34">
        <v>45383</v>
      </c>
      <c r="B11" s="97" t="s">
        <v>75</v>
      </c>
      <c r="C11" s="49"/>
      <c r="D11" s="95">
        <v>-4.6500000000000004</v>
      </c>
    </row>
    <row r="12" spans="1:5" x14ac:dyDescent="0.25">
      <c r="A12" s="34"/>
      <c r="B12" s="97"/>
      <c r="C12" s="49"/>
      <c r="D12" s="95"/>
    </row>
    <row r="13" spans="1:5" x14ac:dyDescent="0.25">
      <c r="A13" s="34"/>
      <c r="B13" s="97"/>
      <c r="C13" s="49"/>
      <c r="D13" s="95"/>
    </row>
    <row r="14" spans="1:5" x14ac:dyDescent="0.25">
      <c r="A14" s="34"/>
      <c r="B14" s="97"/>
      <c r="C14" s="49"/>
      <c r="D14" s="95"/>
    </row>
    <row r="15" spans="1:5" x14ac:dyDescent="0.25">
      <c r="A15" s="34"/>
      <c r="B15" s="97"/>
      <c r="C15" s="49"/>
      <c r="D15" s="95"/>
    </row>
    <row r="16" spans="1:5" x14ac:dyDescent="0.25">
      <c r="A16" s="34"/>
      <c r="B16" s="97"/>
      <c r="C16" s="49"/>
      <c r="D16" s="95"/>
    </row>
    <row r="17" spans="1:4" x14ac:dyDescent="0.25">
      <c r="A17" s="34"/>
      <c r="B17" s="97"/>
      <c r="C17" s="49"/>
      <c r="D17" s="95"/>
    </row>
    <row r="18" spans="1:4" x14ac:dyDescent="0.25">
      <c r="A18" s="34"/>
      <c r="B18" s="97"/>
      <c r="C18" s="49"/>
      <c r="D18" s="95"/>
    </row>
    <row r="19" spans="1:4" x14ac:dyDescent="0.25">
      <c r="A19" s="34"/>
      <c r="B19" s="97"/>
      <c r="C19" s="49"/>
      <c r="D19" s="95"/>
    </row>
    <row r="20" spans="1:4" x14ac:dyDescent="0.25">
      <c r="A20" s="34"/>
      <c r="B20" s="97"/>
      <c r="C20" s="49"/>
      <c r="D20" s="95"/>
    </row>
    <row r="21" spans="1:4" x14ac:dyDescent="0.25">
      <c r="A21" s="34"/>
      <c r="B21" s="97"/>
      <c r="C21" s="49"/>
      <c r="D21" s="95"/>
    </row>
    <row r="22" spans="1:4" x14ac:dyDescent="0.25">
      <c r="A22" s="34"/>
      <c r="B22" s="97"/>
      <c r="C22" s="49"/>
      <c r="D22" s="95"/>
    </row>
    <row r="23" spans="1:4" x14ac:dyDescent="0.25">
      <c r="A23" s="34"/>
      <c r="B23" s="97"/>
      <c r="C23" s="49"/>
      <c r="D23" s="95"/>
    </row>
    <row r="24" spans="1:4" x14ac:dyDescent="0.25">
      <c r="A24" s="34"/>
      <c r="B24" s="97"/>
      <c r="C24" s="49"/>
      <c r="D24" s="95"/>
    </row>
    <row r="25" spans="1:4" x14ac:dyDescent="0.25">
      <c r="A25" s="34"/>
      <c r="B25" s="97"/>
      <c r="C25" s="49"/>
      <c r="D25" s="95"/>
    </row>
    <row r="26" spans="1:4" x14ac:dyDescent="0.25">
      <c r="A26" s="34"/>
      <c r="B26" s="97"/>
      <c r="C26" s="49"/>
      <c r="D26" s="95"/>
    </row>
    <row r="27" spans="1:4" x14ac:dyDescent="0.25">
      <c r="A27" s="34"/>
      <c r="B27" s="97"/>
      <c r="C27" s="49"/>
      <c r="D27" s="95"/>
    </row>
    <row r="28" spans="1:4" x14ac:dyDescent="0.25">
      <c r="A28" s="34"/>
      <c r="B28" s="97"/>
      <c r="C28" s="49"/>
      <c r="D28" s="95"/>
    </row>
    <row r="29" spans="1:4" x14ac:dyDescent="0.25">
      <c r="A29" s="34"/>
      <c r="B29" s="97"/>
      <c r="C29" s="49"/>
      <c r="D29" s="95"/>
    </row>
    <row r="30" spans="1:4" x14ac:dyDescent="0.25">
      <c r="A30" s="34"/>
      <c r="B30" s="97"/>
      <c r="C30" s="49"/>
      <c r="D30" s="95"/>
    </row>
    <row r="31" spans="1:4" x14ac:dyDescent="0.25">
      <c r="A31" s="34"/>
      <c r="B31" s="97"/>
      <c r="C31" s="49"/>
      <c r="D31" s="95"/>
    </row>
    <row r="32" spans="1:4" x14ac:dyDescent="0.25">
      <c r="A32" s="34"/>
      <c r="B32" s="97"/>
      <c r="C32" s="49"/>
      <c r="D32" s="95"/>
    </row>
    <row r="33" spans="1:4" x14ac:dyDescent="0.25">
      <c r="A33" s="34"/>
      <c r="B33" s="97"/>
      <c r="C33" s="49"/>
      <c r="D33" s="95"/>
    </row>
    <row r="34" spans="1:4" x14ac:dyDescent="0.25">
      <c r="A34" s="34"/>
      <c r="B34" s="97"/>
      <c r="C34" s="49"/>
      <c r="D34" s="95"/>
    </row>
    <row r="35" spans="1:4" x14ac:dyDescent="0.25">
      <c r="B35" s="97"/>
      <c r="C35" s="49"/>
      <c r="D35" s="95"/>
    </row>
    <row r="36" spans="1:4" x14ac:dyDescent="0.25">
      <c r="B36" s="97"/>
      <c r="C36" s="49"/>
      <c r="D36" s="95"/>
    </row>
    <row r="37" spans="1:4" x14ac:dyDescent="0.25">
      <c r="B37" s="97"/>
      <c r="C37" s="49"/>
      <c r="D37" s="95"/>
    </row>
    <row r="38" spans="1:4" x14ac:dyDescent="0.25">
      <c r="B38" s="97"/>
      <c r="C38" s="49"/>
      <c r="D38" s="95"/>
    </row>
    <row r="39" spans="1:4" x14ac:dyDescent="0.25">
      <c r="B39" s="97"/>
      <c r="C39" s="49"/>
      <c r="D39" s="95"/>
    </row>
    <row r="40" spans="1:4" x14ac:dyDescent="0.25">
      <c r="B40" s="97"/>
      <c r="C40" s="49"/>
      <c r="D40" s="95"/>
    </row>
    <row r="41" spans="1:4" x14ac:dyDescent="0.25">
      <c r="B41" s="97"/>
      <c r="C41" s="49"/>
      <c r="D41" s="95"/>
    </row>
    <row r="42" spans="1:4" x14ac:dyDescent="0.25">
      <c r="B42" s="97"/>
      <c r="C42" s="49"/>
      <c r="D42" s="95"/>
    </row>
    <row r="43" spans="1:4" x14ac:dyDescent="0.25">
      <c r="B43" s="97"/>
      <c r="C43" s="49"/>
      <c r="D43" s="95"/>
    </row>
    <row r="44" spans="1:4" x14ac:dyDescent="0.25">
      <c r="B44" s="97"/>
      <c r="C44" s="49"/>
      <c r="D44" s="95"/>
    </row>
    <row r="45" spans="1:4" x14ac:dyDescent="0.25">
      <c r="B45" s="97"/>
      <c r="C45" s="49"/>
      <c r="D45" s="95"/>
    </row>
    <row r="46" spans="1:4" x14ac:dyDescent="0.25">
      <c r="B46" s="97"/>
      <c r="C46" s="49"/>
      <c r="D46" s="95"/>
    </row>
    <row r="47" spans="1:4" x14ac:dyDescent="0.25">
      <c r="B47" s="97"/>
      <c r="C47" s="49"/>
      <c r="D47" s="95"/>
    </row>
    <row r="48" spans="1:4" x14ac:dyDescent="0.25">
      <c r="B48" s="97"/>
      <c r="C48" s="49"/>
      <c r="D48" s="95"/>
    </row>
    <row r="49" spans="2:4" x14ac:dyDescent="0.25">
      <c r="B49" s="97"/>
      <c r="C49" s="49"/>
      <c r="D49" s="95"/>
    </row>
    <row r="50" spans="2:4" x14ac:dyDescent="0.25">
      <c r="B50" s="97"/>
      <c r="C50" s="49"/>
      <c r="D50" s="95"/>
    </row>
    <row r="51" spans="2:4" x14ac:dyDescent="0.25">
      <c r="B51" s="97"/>
      <c r="C51" s="49"/>
      <c r="D51" s="95"/>
    </row>
    <row r="52" spans="2:4" x14ac:dyDescent="0.25">
      <c r="B52" s="97"/>
      <c r="C52" s="49"/>
      <c r="D52" s="95"/>
    </row>
    <row r="53" spans="2:4" x14ac:dyDescent="0.25">
      <c r="B53" s="97"/>
      <c r="C53" s="49"/>
      <c r="D53" s="95"/>
    </row>
    <row r="54" spans="2:4" x14ac:dyDescent="0.25">
      <c r="B54" s="97"/>
      <c r="C54" s="49"/>
      <c r="D54" s="95"/>
    </row>
    <row r="55" spans="2:4" x14ac:dyDescent="0.25">
      <c r="B55" s="97"/>
      <c r="C55" s="49"/>
      <c r="D55" s="95"/>
    </row>
    <row r="56" spans="2:4" x14ac:dyDescent="0.25">
      <c r="B56" s="97"/>
      <c r="C56" s="49"/>
      <c r="D56" s="95"/>
    </row>
    <row r="57" spans="2:4" x14ac:dyDescent="0.25">
      <c r="B57" s="97"/>
      <c r="C57" s="49"/>
      <c r="D57" s="95"/>
    </row>
    <row r="58" spans="2:4" x14ac:dyDescent="0.25">
      <c r="B58" s="97"/>
      <c r="C58" s="49"/>
      <c r="D58" s="95"/>
    </row>
    <row r="59" spans="2:4" x14ac:dyDescent="0.25">
      <c r="B59" s="97"/>
      <c r="C59" s="49"/>
      <c r="D59" s="95"/>
    </row>
    <row r="60" spans="2:4" x14ac:dyDescent="0.25">
      <c r="B60" s="97"/>
      <c r="C60" s="49"/>
      <c r="D60" s="95"/>
    </row>
    <row r="61" spans="2:4" x14ac:dyDescent="0.25">
      <c r="B61" s="97"/>
      <c r="C61" s="49"/>
      <c r="D61" s="95"/>
    </row>
    <row r="62" spans="2:4" x14ac:dyDescent="0.25">
      <c r="B62" s="97"/>
      <c r="C62" s="49"/>
      <c r="D62" s="95"/>
    </row>
    <row r="63" spans="2:4" x14ac:dyDescent="0.25">
      <c r="B63" s="97"/>
      <c r="C63" s="49"/>
      <c r="D63" s="95"/>
    </row>
    <row r="64" spans="2:4" x14ac:dyDescent="0.25">
      <c r="B64" s="97"/>
      <c r="C64" s="49"/>
      <c r="D64" s="95"/>
    </row>
    <row r="65" spans="2:4" x14ac:dyDescent="0.25">
      <c r="B65" s="97"/>
      <c r="C65" s="49"/>
      <c r="D65" s="95"/>
    </row>
    <row r="66" spans="2:4" x14ac:dyDescent="0.25">
      <c r="B66" s="97"/>
      <c r="C66" s="49"/>
      <c r="D66" s="95"/>
    </row>
    <row r="67" spans="2:4" x14ac:dyDescent="0.25">
      <c r="B67" s="97"/>
      <c r="C67" s="49"/>
      <c r="D67" s="95"/>
    </row>
    <row r="68" spans="2:4" x14ac:dyDescent="0.25">
      <c r="B68" s="97"/>
      <c r="C68" s="49"/>
      <c r="D68" s="95"/>
    </row>
    <row r="69" spans="2:4" x14ac:dyDescent="0.25">
      <c r="B69" s="97"/>
      <c r="C69" s="49"/>
      <c r="D69" s="95"/>
    </row>
    <row r="70" spans="2:4" x14ac:dyDescent="0.25">
      <c r="B70" s="97"/>
      <c r="C70" s="49"/>
      <c r="D70" s="95"/>
    </row>
    <row r="71" spans="2:4" x14ac:dyDescent="0.25">
      <c r="B71" s="97"/>
      <c r="C71" s="49"/>
      <c r="D71" s="95"/>
    </row>
    <row r="72" spans="2:4" x14ac:dyDescent="0.25">
      <c r="B72" s="97"/>
      <c r="C72" s="49"/>
      <c r="D72" s="95"/>
    </row>
    <row r="73" spans="2:4" x14ac:dyDescent="0.25">
      <c r="B73" s="97"/>
      <c r="C73" s="49"/>
      <c r="D73" s="95"/>
    </row>
    <row r="74" spans="2:4" x14ac:dyDescent="0.25">
      <c r="B74" s="97"/>
      <c r="C74" s="49"/>
      <c r="D74" s="95"/>
    </row>
    <row r="75" spans="2:4" x14ac:dyDescent="0.25">
      <c r="B75" s="97"/>
      <c r="C75" s="49"/>
      <c r="D75" s="95"/>
    </row>
    <row r="76" spans="2:4" x14ac:dyDescent="0.25">
      <c r="B76" s="97"/>
      <c r="C76" s="49"/>
      <c r="D76" s="95"/>
    </row>
    <row r="77" spans="2:4" x14ac:dyDescent="0.25">
      <c r="B77" s="97"/>
      <c r="C77" s="49"/>
      <c r="D77" s="95"/>
    </row>
    <row r="78" spans="2:4" x14ac:dyDescent="0.25">
      <c r="B78" s="97"/>
      <c r="C78" s="49"/>
      <c r="D78" s="95"/>
    </row>
    <row r="79" spans="2:4" x14ac:dyDescent="0.25">
      <c r="B79" s="97"/>
      <c r="C79" s="49"/>
      <c r="D79" s="95"/>
    </row>
    <row r="80" spans="2:4" x14ac:dyDescent="0.25">
      <c r="B80" s="97"/>
      <c r="C80" s="49"/>
      <c r="D80" s="95"/>
    </row>
    <row r="81" spans="2:4" x14ac:dyDescent="0.25">
      <c r="B81" s="97"/>
      <c r="C81" s="49"/>
      <c r="D81" s="95"/>
    </row>
    <row r="82" spans="2:4" x14ac:dyDescent="0.25">
      <c r="B82" s="97"/>
      <c r="C82" s="49"/>
      <c r="D82" s="95"/>
    </row>
    <row r="83" spans="2:4" x14ac:dyDescent="0.25">
      <c r="B83" s="97"/>
      <c r="C83" s="49"/>
      <c r="D83" s="95"/>
    </row>
    <row r="84" spans="2:4" x14ac:dyDescent="0.25">
      <c r="B84" s="97"/>
      <c r="C84" s="49"/>
      <c r="D84" s="95"/>
    </row>
    <row r="85" spans="2:4" x14ac:dyDescent="0.25">
      <c r="B85" s="97"/>
      <c r="C85" s="49"/>
      <c r="D85" s="95"/>
    </row>
    <row r="86" spans="2:4" x14ac:dyDescent="0.25">
      <c r="B86" s="97"/>
      <c r="C86" s="49"/>
      <c r="D86" s="95"/>
    </row>
    <row r="87" spans="2:4" x14ac:dyDescent="0.25">
      <c r="B87" s="97"/>
      <c r="C87" s="49"/>
      <c r="D87" s="95"/>
    </row>
    <row r="88" spans="2:4" x14ac:dyDescent="0.25">
      <c r="B88" s="97"/>
      <c r="C88" s="49"/>
      <c r="D88" s="95"/>
    </row>
    <row r="89" spans="2:4" x14ac:dyDescent="0.25">
      <c r="B89" s="97"/>
      <c r="C89" s="49"/>
      <c r="D89" s="95"/>
    </row>
    <row r="90" spans="2:4" x14ac:dyDescent="0.25">
      <c r="B90" s="97"/>
      <c r="C90" s="49"/>
      <c r="D90" s="95"/>
    </row>
    <row r="91" spans="2:4" x14ac:dyDescent="0.25">
      <c r="B91" s="97"/>
      <c r="C91" s="49"/>
      <c r="D91" s="95"/>
    </row>
    <row r="92" spans="2:4" x14ac:dyDescent="0.25">
      <c r="B92" s="97"/>
      <c r="C92" s="49"/>
      <c r="D92" s="95"/>
    </row>
    <row r="93" spans="2:4" x14ac:dyDescent="0.25">
      <c r="B93" s="97"/>
      <c r="C93" s="49"/>
      <c r="D93" s="95"/>
    </row>
    <row r="94" spans="2:4" x14ac:dyDescent="0.25">
      <c r="B94" s="97"/>
      <c r="C94" s="49"/>
      <c r="D94" s="95"/>
    </row>
    <row r="95" spans="2:4" x14ac:dyDescent="0.25">
      <c r="B95" s="97"/>
      <c r="C95" s="49"/>
      <c r="D95" s="95"/>
    </row>
    <row r="96" spans="2:4" x14ac:dyDescent="0.25">
      <c r="B96" s="97"/>
      <c r="C96" s="49"/>
      <c r="D96" s="95"/>
    </row>
    <row r="97" spans="2:4" x14ac:dyDescent="0.25">
      <c r="B97" s="97"/>
      <c r="C97" s="49"/>
      <c r="D97" s="95"/>
    </row>
    <row r="98" spans="2:4" x14ac:dyDescent="0.25">
      <c r="B98" s="97"/>
      <c r="C98" s="49"/>
      <c r="D98" s="95"/>
    </row>
    <row r="99" spans="2:4" x14ac:dyDescent="0.25">
      <c r="B99" s="97"/>
      <c r="C99" s="49"/>
      <c r="D99" s="95"/>
    </row>
    <row r="100" spans="2:4" x14ac:dyDescent="0.25">
      <c r="B100" s="97"/>
      <c r="C100" s="49"/>
      <c r="D100" s="95"/>
    </row>
    <row r="101" spans="2:4" x14ac:dyDescent="0.25">
      <c r="B101" s="97"/>
      <c r="C101" s="49"/>
      <c r="D101" s="95"/>
    </row>
    <row r="102" spans="2:4" x14ac:dyDescent="0.25">
      <c r="B102" s="97"/>
      <c r="C102" s="49"/>
      <c r="D102" s="95"/>
    </row>
    <row r="103" spans="2:4" x14ac:dyDescent="0.25">
      <c r="B103" s="97"/>
      <c r="C103" s="49"/>
      <c r="D103" s="95"/>
    </row>
    <row r="104" spans="2:4" x14ac:dyDescent="0.25">
      <c r="B104" s="97"/>
      <c r="C104" s="49"/>
      <c r="D104" s="95"/>
    </row>
    <row r="105" spans="2:4" x14ac:dyDescent="0.25">
      <c r="B105" s="97"/>
      <c r="C105" s="49"/>
      <c r="D105" s="95"/>
    </row>
    <row r="106" spans="2:4" x14ac:dyDescent="0.25">
      <c r="B106" s="97"/>
      <c r="C106" s="49"/>
      <c r="D106" s="95"/>
    </row>
    <row r="107" spans="2:4" x14ac:dyDescent="0.25">
      <c r="B107" s="97"/>
      <c r="C107" s="49"/>
      <c r="D107" s="95"/>
    </row>
    <row r="108" spans="2:4" x14ac:dyDescent="0.25">
      <c r="B108" s="97"/>
      <c r="C108" s="49"/>
      <c r="D108" s="95"/>
    </row>
    <row r="109" spans="2:4" x14ac:dyDescent="0.25">
      <c r="B109" s="97"/>
      <c r="C109" s="49"/>
      <c r="D109" s="95"/>
    </row>
    <row r="110" spans="2:4" x14ac:dyDescent="0.25">
      <c r="B110" s="97"/>
      <c r="C110" s="49"/>
      <c r="D110" s="95"/>
    </row>
    <row r="111" spans="2:4" x14ac:dyDescent="0.25">
      <c r="B111" s="97"/>
      <c r="C111" s="49"/>
      <c r="D111" s="95"/>
    </row>
    <row r="112" spans="2:4" x14ac:dyDescent="0.25">
      <c r="B112" s="97"/>
      <c r="C112" s="49"/>
      <c r="D112" s="95"/>
    </row>
    <row r="113" spans="2:4" x14ac:dyDescent="0.25">
      <c r="B113" s="97"/>
      <c r="C113" s="49"/>
      <c r="D113" s="95"/>
    </row>
    <row r="114" spans="2:4" x14ac:dyDescent="0.25">
      <c r="B114" s="97"/>
      <c r="C114" s="49"/>
      <c r="D114" s="95"/>
    </row>
    <row r="115" spans="2:4" x14ac:dyDescent="0.25">
      <c r="B115" s="97"/>
      <c r="C115" s="49"/>
      <c r="D115" s="95"/>
    </row>
    <row r="116" spans="2:4" x14ac:dyDescent="0.25">
      <c r="B116" s="97"/>
      <c r="C116" s="49"/>
      <c r="D116" s="95"/>
    </row>
    <row r="117" spans="2:4" x14ac:dyDescent="0.25">
      <c r="B117" s="97"/>
      <c r="C117" s="49"/>
      <c r="D117" s="95"/>
    </row>
    <row r="118" spans="2:4" x14ac:dyDescent="0.25">
      <c r="B118" s="97"/>
      <c r="C118" s="49"/>
      <c r="D118" s="95"/>
    </row>
    <row r="119" spans="2:4" x14ac:dyDescent="0.25">
      <c r="B119" s="97"/>
      <c r="C119" s="49"/>
      <c r="D119" s="95"/>
    </row>
    <row r="120" spans="2:4" x14ac:dyDescent="0.25">
      <c r="B120" s="97"/>
      <c r="C120" s="49"/>
      <c r="D120" s="95"/>
    </row>
    <row r="121" spans="2:4" x14ac:dyDescent="0.25">
      <c r="B121" s="97"/>
      <c r="C121" s="49"/>
      <c r="D121" s="95"/>
    </row>
    <row r="122" spans="2:4" x14ac:dyDescent="0.25">
      <c r="B122" s="97"/>
      <c r="C122" s="49"/>
      <c r="D122" s="95"/>
    </row>
    <row r="123" spans="2:4" x14ac:dyDescent="0.25">
      <c r="B123" s="97"/>
      <c r="C123" s="49"/>
      <c r="D123" s="95"/>
    </row>
    <row r="124" spans="2:4" x14ac:dyDescent="0.25">
      <c r="B124" s="97"/>
      <c r="C124" s="49"/>
      <c r="D124" s="95"/>
    </row>
    <row r="125" spans="2:4" x14ac:dyDescent="0.25">
      <c r="B125" s="97"/>
      <c r="C125" s="49"/>
      <c r="D125" s="95"/>
    </row>
    <row r="126" spans="2:4" x14ac:dyDescent="0.25">
      <c r="B126" s="97"/>
      <c r="C126" s="49"/>
      <c r="D126" s="95"/>
    </row>
    <row r="127" spans="2:4" x14ac:dyDescent="0.25">
      <c r="B127" s="97"/>
      <c r="C127" s="49"/>
      <c r="D127" s="95"/>
    </row>
    <row r="128" spans="2:4" x14ac:dyDescent="0.25">
      <c r="B128" s="97"/>
      <c r="C128" s="49"/>
      <c r="D128" s="95"/>
    </row>
    <row r="129" spans="2:4" x14ac:dyDescent="0.25">
      <c r="B129" s="97"/>
      <c r="C129" s="49"/>
      <c r="D129" s="95"/>
    </row>
    <row r="130" spans="2:4" x14ac:dyDescent="0.25">
      <c r="B130" s="97"/>
      <c r="C130" s="49"/>
      <c r="D130" s="95"/>
    </row>
    <row r="131" spans="2:4" x14ac:dyDescent="0.25">
      <c r="B131" s="97"/>
      <c r="C131" s="49"/>
      <c r="D131" s="95"/>
    </row>
    <row r="132" spans="2:4" x14ac:dyDescent="0.25">
      <c r="B132" s="97"/>
      <c r="C132" s="49"/>
      <c r="D132" s="95"/>
    </row>
    <row r="133" spans="2:4" x14ac:dyDescent="0.25">
      <c r="B133" s="97"/>
      <c r="C133" s="49"/>
      <c r="D133" s="95"/>
    </row>
    <row r="134" spans="2:4" x14ac:dyDescent="0.25">
      <c r="B134" s="97"/>
      <c r="C134" s="49"/>
      <c r="D134" s="95"/>
    </row>
    <row r="135" spans="2:4" x14ac:dyDescent="0.25">
      <c r="B135" s="97"/>
      <c r="C135" s="49"/>
      <c r="D135" s="95"/>
    </row>
    <row r="136" spans="2:4" x14ac:dyDescent="0.25">
      <c r="B136" s="97"/>
      <c r="C136" s="49"/>
      <c r="D136" s="95"/>
    </row>
    <row r="137" spans="2:4" x14ac:dyDescent="0.25">
      <c r="B137" s="97"/>
      <c r="C137" s="49"/>
      <c r="D137" s="95"/>
    </row>
    <row r="138" spans="2:4" x14ac:dyDescent="0.25">
      <c r="B138" s="97"/>
      <c r="C138" s="49"/>
      <c r="D138" s="95"/>
    </row>
    <row r="139" spans="2:4" x14ac:dyDescent="0.25">
      <c r="B139" s="97"/>
      <c r="C139" s="49"/>
      <c r="D139" s="95"/>
    </row>
    <row r="140" spans="2:4" x14ac:dyDescent="0.25">
      <c r="B140" s="97"/>
      <c r="C140" s="49"/>
      <c r="D140" s="95"/>
    </row>
    <row r="141" spans="2:4" x14ac:dyDescent="0.25">
      <c r="B141" s="97"/>
      <c r="C141" s="49"/>
      <c r="D141" s="95"/>
    </row>
    <row r="142" spans="2:4" x14ac:dyDescent="0.25">
      <c r="B142" s="97"/>
      <c r="C142" s="49"/>
      <c r="D142" s="95"/>
    </row>
    <row r="143" spans="2:4" x14ac:dyDescent="0.25">
      <c r="B143" s="97"/>
      <c r="C143" s="49"/>
      <c r="D143" s="95"/>
    </row>
    <row r="144" spans="2:4" x14ac:dyDescent="0.25">
      <c r="B144" s="97"/>
      <c r="C144" s="49"/>
      <c r="D144" s="95"/>
    </row>
    <row r="145" spans="2:4" x14ac:dyDescent="0.25">
      <c r="B145" s="97"/>
      <c r="C145" s="49"/>
      <c r="D145" s="95"/>
    </row>
    <row r="146" spans="2:4" x14ac:dyDescent="0.25">
      <c r="B146" s="97"/>
      <c r="C146" s="49"/>
      <c r="D146" s="95"/>
    </row>
    <row r="147" spans="2:4" x14ac:dyDescent="0.25">
      <c r="B147" s="97"/>
      <c r="C147" s="49"/>
      <c r="D147" s="95"/>
    </row>
    <row r="148" spans="2:4" x14ac:dyDescent="0.25">
      <c r="B148" s="97"/>
      <c r="C148" s="49"/>
      <c r="D148" s="95"/>
    </row>
    <row r="149" spans="2:4" x14ac:dyDescent="0.25">
      <c r="B149" s="97"/>
      <c r="C149" s="49"/>
      <c r="D149" s="95"/>
    </row>
    <row r="150" spans="2:4" x14ac:dyDescent="0.25">
      <c r="B150" s="97"/>
      <c r="C150" s="49"/>
      <c r="D150" s="95"/>
    </row>
    <row r="151" spans="2:4" x14ac:dyDescent="0.25">
      <c r="B151" s="97"/>
      <c r="C151" s="49"/>
      <c r="D151" s="95"/>
    </row>
    <row r="152" spans="2:4" x14ac:dyDescent="0.25">
      <c r="B152" s="97"/>
      <c r="C152" s="49"/>
      <c r="D152" s="95"/>
    </row>
    <row r="153" spans="2:4" x14ac:dyDescent="0.25">
      <c r="B153" s="97"/>
      <c r="C153" s="49"/>
      <c r="D153" s="95"/>
    </row>
    <row r="154" spans="2:4" x14ac:dyDescent="0.25">
      <c r="B154" s="97"/>
      <c r="C154" s="49"/>
      <c r="D154" s="95"/>
    </row>
    <row r="155" spans="2:4" x14ac:dyDescent="0.25">
      <c r="B155" s="97"/>
      <c r="C155" s="49"/>
      <c r="D155" s="95"/>
    </row>
    <row r="156" spans="2:4" x14ac:dyDescent="0.25">
      <c r="B156" s="97"/>
      <c r="C156" s="49"/>
      <c r="D156" s="95"/>
    </row>
    <row r="157" spans="2:4" x14ac:dyDescent="0.25">
      <c r="B157" s="97"/>
      <c r="C157" s="49"/>
      <c r="D157" s="95"/>
    </row>
    <row r="158" spans="2:4" x14ac:dyDescent="0.25">
      <c r="B158" s="97"/>
      <c r="C158" s="49"/>
      <c r="D158" s="95"/>
    </row>
    <row r="159" spans="2:4" x14ac:dyDescent="0.25">
      <c r="B159" s="97"/>
      <c r="C159" s="49"/>
      <c r="D159" s="95"/>
    </row>
    <row r="160" spans="2:4" x14ac:dyDescent="0.25">
      <c r="B160" s="97"/>
      <c r="C160" s="49"/>
      <c r="D160" s="95"/>
    </row>
    <row r="161" spans="2:4" x14ac:dyDescent="0.25">
      <c r="B161" s="97"/>
      <c r="C161" s="49"/>
      <c r="D161" s="95"/>
    </row>
    <row r="162" spans="2:4" x14ac:dyDescent="0.25">
      <c r="B162" s="97"/>
      <c r="C162" s="49"/>
      <c r="D162" s="95"/>
    </row>
    <row r="163" spans="2:4" x14ac:dyDescent="0.25">
      <c r="B163" s="97"/>
      <c r="C163" s="49"/>
      <c r="D163" s="95"/>
    </row>
    <row r="164" spans="2:4" x14ac:dyDescent="0.25">
      <c r="B164" s="97"/>
      <c r="C164" s="49"/>
      <c r="D164" s="95"/>
    </row>
    <row r="165" spans="2:4" x14ac:dyDescent="0.25">
      <c r="B165" s="97"/>
      <c r="C165" s="49"/>
      <c r="D165" s="95"/>
    </row>
    <row r="166" spans="2:4" x14ac:dyDescent="0.25">
      <c r="B166" s="97"/>
      <c r="C166" s="49"/>
      <c r="D166" s="95"/>
    </row>
    <row r="167" spans="2:4" x14ac:dyDescent="0.25">
      <c r="B167" s="97"/>
      <c r="C167" s="49"/>
      <c r="D167" s="95"/>
    </row>
    <row r="168" spans="2:4" x14ac:dyDescent="0.25">
      <c r="B168" s="97"/>
      <c r="C168" s="49"/>
      <c r="D168" s="95"/>
    </row>
    <row r="169" spans="2:4" x14ac:dyDescent="0.25">
      <c r="B169" s="97"/>
      <c r="C169" s="49"/>
      <c r="D169" s="95"/>
    </row>
    <row r="170" spans="2:4" x14ac:dyDescent="0.25">
      <c r="B170" s="97"/>
      <c r="C170" s="49"/>
      <c r="D170" s="95"/>
    </row>
    <row r="171" spans="2:4" x14ac:dyDescent="0.25">
      <c r="B171" s="97"/>
      <c r="C171" s="49"/>
      <c r="D171" s="95"/>
    </row>
    <row r="172" spans="2:4" x14ac:dyDescent="0.25">
      <c r="B172" s="97"/>
      <c r="C172" s="49"/>
      <c r="D172" s="95"/>
    </row>
    <row r="173" spans="2:4" x14ac:dyDescent="0.25">
      <c r="B173" s="97"/>
      <c r="C173" s="49"/>
      <c r="D173" s="95"/>
    </row>
    <row r="174" spans="2:4" x14ac:dyDescent="0.25">
      <c r="B174" s="97"/>
      <c r="C174" s="49"/>
      <c r="D174" s="95"/>
    </row>
    <row r="175" spans="2:4" x14ac:dyDescent="0.25">
      <c r="B175" s="97"/>
      <c r="C175" s="49"/>
      <c r="D175" s="95"/>
    </row>
    <row r="176" spans="2:4" x14ac:dyDescent="0.25">
      <c r="B176" s="97"/>
      <c r="C176" s="49"/>
      <c r="D176" s="95"/>
    </row>
    <row r="177" spans="2:4" x14ac:dyDescent="0.25">
      <c r="B177" s="97"/>
      <c r="C177" s="49"/>
      <c r="D177" s="95"/>
    </row>
    <row r="178" spans="2:4" x14ac:dyDescent="0.25">
      <c r="B178" s="97"/>
      <c r="C178" s="49"/>
      <c r="D178" s="95"/>
    </row>
    <row r="179" spans="2:4" x14ac:dyDescent="0.25">
      <c r="B179" s="97"/>
      <c r="C179" s="49"/>
      <c r="D179" s="95"/>
    </row>
    <row r="180" spans="2:4" x14ac:dyDescent="0.25">
      <c r="B180" s="97"/>
      <c r="C180" s="49"/>
      <c r="D180" s="95"/>
    </row>
    <row r="181" spans="2:4" x14ac:dyDescent="0.25">
      <c r="B181" s="97"/>
      <c r="C181" s="49"/>
      <c r="D181" s="95"/>
    </row>
    <row r="182" spans="2:4" x14ac:dyDescent="0.25">
      <c r="B182" s="97"/>
      <c r="C182" s="49"/>
      <c r="D182" s="95"/>
    </row>
    <row r="183" spans="2:4" x14ac:dyDescent="0.25">
      <c r="B183" s="97"/>
      <c r="C183" s="49"/>
      <c r="D183" s="95"/>
    </row>
    <row r="184" spans="2:4" x14ac:dyDescent="0.25">
      <c r="B184" s="97"/>
      <c r="C184" s="49"/>
      <c r="D184" s="95"/>
    </row>
    <row r="185" spans="2:4" x14ac:dyDescent="0.25">
      <c r="B185" s="97"/>
      <c r="C185" s="49"/>
      <c r="D185" s="95"/>
    </row>
    <row r="186" spans="2:4" x14ac:dyDescent="0.25">
      <c r="B186" s="97"/>
      <c r="C186" s="49"/>
      <c r="D186" s="95"/>
    </row>
    <row r="187" spans="2:4" x14ac:dyDescent="0.25">
      <c r="B187" s="97"/>
      <c r="C187" s="49"/>
      <c r="D187" s="95"/>
    </row>
    <row r="188" spans="2:4" x14ac:dyDescent="0.25">
      <c r="B188" s="97"/>
      <c r="C188" s="49"/>
      <c r="D188" s="95"/>
    </row>
    <row r="189" spans="2:4" x14ac:dyDescent="0.25">
      <c r="B189" s="97"/>
      <c r="C189" s="49"/>
      <c r="D189" s="95"/>
    </row>
    <row r="190" spans="2:4" x14ac:dyDescent="0.25">
      <c r="B190" s="97"/>
      <c r="C190" s="49"/>
      <c r="D190" s="95"/>
    </row>
    <row r="191" spans="2:4" x14ac:dyDescent="0.25">
      <c r="B191" s="97"/>
      <c r="C191" s="49"/>
      <c r="D191" s="95"/>
    </row>
    <row r="192" spans="2:4" x14ac:dyDescent="0.25">
      <c r="B192" s="97"/>
      <c r="C192" s="49"/>
      <c r="D192" s="95"/>
    </row>
    <row r="193" spans="2:4" x14ac:dyDescent="0.25">
      <c r="B193" s="97"/>
      <c r="C193" s="49"/>
      <c r="D193" s="95"/>
    </row>
    <row r="194" spans="2:4" x14ac:dyDescent="0.25">
      <c r="B194" s="97"/>
      <c r="C194" s="49"/>
      <c r="D194" s="95"/>
    </row>
    <row r="195" spans="2:4" x14ac:dyDescent="0.25">
      <c r="B195" s="97"/>
      <c r="C195" s="49"/>
      <c r="D195" s="95"/>
    </row>
    <row r="196" spans="2:4" x14ac:dyDescent="0.25">
      <c r="B196" s="97"/>
      <c r="C196" s="49"/>
      <c r="D196" s="95"/>
    </row>
    <row r="197" spans="2:4" x14ac:dyDescent="0.25">
      <c r="B197" s="97"/>
      <c r="C197" s="49"/>
      <c r="D197" s="95"/>
    </row>
    <row r="198" spans="2:4" x14ac:dyDescent="0.25">
      <c r="B198" s="97"/>
      <c r="C198" s="49"/>
      <c r="D198" s="95"/>
    </row>
    <row r="199" spans="2:4" x14ac:dyDescent="0.25">
      <c r="B199" s="97"/>
      <c r="C199" s="49"/>
      <c r="D199" s="95"/>
    </row>
    <row r="200" spans="2:4" x14ac:dyDescent="0.25">
      <c r="B200" s="97"/>
      <c r="C200" s="49"/>
      <c r="D200" s="95"/>
    </row>
    <row r="201" spans="2:4" x14ac:dyDescent="0.25">
      <c r="B201" s="97"/>
      <c r="C201" s="49"/>
      <c r="D201" s="95"/>
    </row>
    <row r="202" spans="2:4" x14ac:dyDescent="0.25">
      <c r="B202" s="97"/>
      <c r="C202" s="49"/>
      <c r="D202" s="95"/>
    </row>
    <row r="203" spans="2:4" x14ac:dyDescent="0.25">
      <c r="B203" s="97"/>
      <c r="C203" s="49"/>
      <c r="D203" s="95"/>
    </row>
    <row r="204" spans="2:4" x14ac:dyDescent="0.25">
      <c r="B204" s="97"/>
      <c r="C204" s="49"/>
      <c r="D204" s="95"/>
    </row>
    <row r="205" spans="2:4" x14ac:dyDescent="0.25">
      <c r="B205" s="97"/>
      <c r="C205" s="49"/>
      <c r="D205" s="95"/>
    </row>
    <row r="206" spans="2:4" x14ac:dyDescent="0.25">
      <c r="B206" s="97"/>
      <c r="C206" s="49"/>
      <c r="D206" s="95"/>
    </row>
    <row r="207" spans="2:4" x14ac:dyDescent="0.25">
      <c r="B207" s="97"/>
      <c r="C207" s="49"/>
      <c r="D207" s="95"/>
    </row>
    <row r="208" spans="2:4" x14ac:dyDescent="0.25">
      <c r="B208" s="97"/>
      <c r="C208" s="49"/>
      <c r="D208" s="95"/>
    </row>
    <row r="209" spans="2:4" x14ac:dyDescent="0.25">
      <c r="B209" s="97"/>
      <c r="C209" s="49"/>
      <c r="D209" s="95"/>
    </row>
    <row r="210" spans="2:4" x14ac:dyDescent="0.25">
      <c r="B210" s="97"/>
      <c r="C210" s="49"/>
      <c r="D210" s="95"/>
    </row>
    <row r="211" spans="2:4" x14ac:dyDescent="0.25">
      <c r="B211" s="97"/>
      <c r="C211" s="49"/>
      <c r="D211" s="95"/>
    </row>
    <row r="212" spans="2:4" x14ac:dyDescent="0.25">
      <c r="B212" s="97"/>
      <c r="C212" s="49"/>
      <c r="D212" s="95"/>
    </row>
    <row r="213" spans="2:4" x14ac:dyDescent="0.25">
      <c r="B213" s="97"/>
      <c r="C213" s="49"/>
      <c r="D213" s="95"/>
    </row>
    <row r="214" spans="2:4" x14ac:dyDescent="0.25">
      <c r="B214" s="97"/>
      <c r="C214" s="49"/>
      <c r="D214" s="95"/>
    </row>
    <row r="215" spans="2:4" x14ac:dyDescent="0.25">
      <c r="B215" s="97"/>
      <c r="C215" s="49"/>
      <c r="D215" s="95"/>
    </row>
    <row r="216" spans="2:4" x14ac:dyDescent="0.25">
      <c r="B216" s="97"/>
      <c r="C216" s="49"/>
      <c r="D216" s="95"/>
    </row>
    <row r="217" spans="2:4" x14ac:dyDescent="0.25">
      <c r="B217" s="97"/>
      <c r="C217" s="49"/>
      <c r="D217" s="95"/>
    </row>
    <row r="218" spans="2:4" x14ac:dyDescent="0.25">
      <c r="B218" s="97"/>
      <c r="C218" s="49"/>
      <c r="D218" s="95"/>
    </row>
    <row r="219" spans="2:4" x14ac:dyDescent="0.25">
      <c r="B219" s="97"/>
      <c r="C219" s="49"/>
      <c r="D219" s="95"/>
    </row>
    <row r="220" spans="2:4" x14ac:dyDescent="0.25">
      <c r="B220" s="97"/>
      <c r="C220" s="49"/>
      <c r="D220" s="95"/>
    </row>
    <row r="221" spans="2:4" x14ac:dyDescent="0.25">
      <c r="B221" s="97"/>
      <c r="C221" s="49"/>
      <c r="D221" s="95"/>
    </row>
    <row r="222" spans="2:4" x14ac:dyDescent="0.25">
      <c r="B222" s="97"/>
      <c r="C222" s="49"/>
      <c r="D222" s="95"/>
    </row>
    <row r="223" spans="2:4" x14ac:dyDescent="0.25">
      <c r="B223" s="97"/>
      <c r="C223" s="49"/>
      <c r="D223" s="95"/>
    </row>
    <row r="224" spans="2:4" x14ac:dyDescent="0.25">
      <c r="B224" s="97"/>
      <c r="C224" s="49"/>
      <c r="D224" s="95"/>
    </row>
    <row r="225" spans="2:4" x14ac:dyDescent="0.25">
      <c r="B225" s="97"/>
      <c r="C225" s="49"/>
      <c r="D225" s="95"/>
    </row>
    <row r="226" spans="2:4" x14ac:dyDescent="0.25">
      <c r="B226" s="97"/>
      <c r="C226" s="49"/>
      <c r="D226" s="95"/>
    </row>
    <row r="227" spans="2:4" x14ac:dyDescent="0.25">
      <c r="B227" s="97"/>
      <c r="C227" s="49"/>
      <c r="D227" s="95"/>
    </row>
    <row r="228" spans="2:4" x14ac:dyDescent="0.25">
      <c r="B228" s="97"/>
      <c r="C228" s="49"/>
      <c r="D228" s="95"/>
    </row>
    <row r="229" spans="2:4" x14ac:dyDescent="0.25">
      <c r="B229" s="97"/>
      <c r="C229" s="49"/>
      <c r="D229" s="95"/>
    </row>
    <row r="230" spans="2:4" x14ac:dyDescent="0.25">
      <c r="B230" s="97"/>
      <c r="C230" s="49"/>
      <c r="D230" s="95"/>
    </row>
    <row r="231" spans="2:4" x14ac:dyDescent="0.25">
      <c r="B231" s="97"/>
      <c r="C231" s="49"/>
      <c r="D231" s="95"/>
    </row>
    <row r="232" spans="2:4" x14ac:dyDescent="0.25">
      <c r="B232" s="97"/>
      <c r="C232" s="49"/>
      <c r="D232" s="95"/>
    </row>
    <row r="233" spans="2:4" x14ac:dyDescent="0.25">
      <c r="B233" s="97"/>
      <c r="C233" s="49"/>
      <c r="D233" s="95"/>
    </row>
    <row r="234" spans="2:4" x14ac:dyDescent="0.25">
      <c r="B234" s="97"/>
      <c r="C234" s="49"/>
      <c r="D234" s="95"/>
    </row>
    <row r="235" spans="2:4" x14ac:dyDescent="0.25">
      <c r="B235" s="97"/>
      <c r="C235" s="49"/>
      <c r="D235" s="95"/>
    </row>
    <row r="236" spans="2:4" x14ac:dyDescent="0.25">
      <c r="B236" s="97"/>
      <c r="C236" s="49"/>
      <c r="D236" s="95"/>
    </row>
    <row r="237" spans="2:4" x14ac:dyDescent="0.25">
      <c r="B237" s="97"/>
      <c r="C237" s="49"/>
      <c r="D237" s="95"/>
    </row>
    <row r="238" spans="2:4" x14ac:dyDescent="0.25">
      <c r="B238" s="97"/>
      <c r="C238" s="49"/>
      <c r="D238" s="95"/>
    </row>
    <row r="239" spans="2:4" x14ac:dyDescent="0.25">
      <c r="B239" s="97"/>
      <c r="C239" s="49"/>
      <c r="D239" s="95"/>
    </row>
    <row r="240" spans="2:4" x14ac:dyDescent="0.25">
      <c r="B240" s="97"/>
      <c r="C240" s="49"/>
      <c r="D240" s="95"/>
    </row>
    <row r="241" spans="2:4" x14ac:dyDescent="0.25">
      <c r="B241" s="97"/>
      <c r="C241" s="49"/>
      <c r="D241" s="95"/>
    </row>
    <row r="242" spans="2:4" x14ac:dyDescent="0.25">
      <c r="B242" s="97"/>
      <c r="C242" s="49"/>
      <c r="D242" s="95"/>
    </row>
    <row r="243" spans="2:4" x14ac:dyDescent="0.25">
      <c r="B243" s="97"/>
      <c r="C243" s="49"/>
      <c r="D243" s="95"/>
    </row>
    <row r="244" spans="2:4" x14ac:dyDescent="0.25">
      <c r="B244" s="97"/>
      <c r="C244" s="49"/>
      <c r="D244" s="95"/>
    </row>
    <row r="245" spans="2:4" x14ac:dyDescent="0.25">
      <c r="B245" s="97"/>
      <c r="C245" s="49"/>
      <c r="D245" s="95"/>
    </row>
    <row r="246" spans="2:4" x14ac:dyDescent="0.25">
      <c r="B246" s="97"/>
      <c r="C246" s="49"/>
      <c r="D246" s="95"/>
    </row>
    <row r="247" spans="2:4" x14ac:dyDescent="0.25">
      <c r="B247" s="97"/>
      <c r="C247" s="49"/>
      <c r="D247" s="95"/>
    </row>
    <row r="248" spans="2:4" x14ac:dyDescent="0.25">
      <c r="B248" s="97"/>
      <c r="C248" s="49"/>
      <c r="D248" s="95"/>
    </row>
    <row r="249" spans="2:4" x14ac:dyDescent="0.25">
      <c r="B249" s="97"/>
      <c r="C249" s="49"/>
      <c r="D249" s="95"/>
    </row>
    <row r="250" spans="2:4" x14ac:dyDescent="0.25">
      <c r="B250" s="97"/>
      <c r="C250" s="49"/>
      <c r="D250" s="95"/>
    </row>
    <row r="251" spans="2:4" x14ac:dyDescent="0.25">
      <c r="B251" s="97"/>
      <c r="C251" s="49"/>
      <c r="D251" s="95"/>
    </row>
    <row r="252" spans="2:4" x14ac:dyDescent="0.25">
      <c r="B252" s="97"/>
      <c r="C252" s="49"/>
      <c r="D252" s="95"/>
    </row>
    <row r="253" spans="2:4" x14ac:dyDescent="0.25">
      <c r="B253" s="97"/>
      <c r="C253" s="49"/>
      <c r="D253" s="95"/>
    </row>
    <row r="254" spans="2:4" x14ac:dyDescent="0.25">
      <c r="B254" s="97"/>
      <c r="C254" s="49"/>
      <c r="D254" s="95"/>
    </row>
    <row r="255" spans="2:4" x14ac:dyDescent="0.25">
      <c r="B255" s="97"/>
      <c r="C255" s="49"/>
      <c r="D255" s="95"/>
    </row>
    <row r="256" spans="2:4" x14ac:dyDescent="0.25">
      <c r="B256" s="97"/>
      <c r="C256" s="49"/>
      <c r="D256" s="95"/>
    </row>
    <row r="257" spans="2:4" x14ac:dyDescent="0.25">
      <c r="B257" s="97"/>
      <c r="C257" s="49"/>
      <c r="D257" s="95"/>
    </row>
    <row r="258" spans="2:4" x14ac:dyDescent="0.25">
      <c r="B258" s="97"/>
      <c r="C258" s="49"/>
      <c r="D258" s="95"/>
    </row>
    <row r="259" spans="2:4" x14ac:dyDescent="0.25">
      <c r="B259" s="97"/>
      <c r="C259" s="49"/>
      <c r="D259" s="95"/>
    </row>
    <row r="260" spans="2:4" x14ac:dyDescent="0.25">
      <c r="B260" s="97"/>
      <c r="C260" s="49"/>
      <c r="D260" s="95"/>
    </row>
    <row r="261" spans="2:4" x14ac:dyDescent="0.25">
      <c r="B261" s="97"/>
      <c r="C261" s="49"/>
      <c r="D261" s="95"/>
    </row>
    <row r="262" spans="2:4" x14ac:dyDescent="0.25">
      <c r="B262" s="97"/>
      <c r="C262" s="49"/>
      <c r="D262" s="95"/>
    </row>
    <row r="263" spans="2:4" x14ac:dyDescent="0.25">
      <c r="B263" s="97"/>
      <c r="C263" s="49"/>
      <c r="D263" s="95"/>
    </row>
    <row r="264" spans="2:4" x14ac:dyDescent="0.25">
      <c r="B264" s="97"/>
      <c r="C264" s="49"/>
      <c r="D264" s="95"/>
    </row>
    <row r="265" spans="2:4" x14ac:dyDescent="0.25">
      <c r="B265" s="97"/>
      <c r="C265" s="49"/>
      <c r="D265" s="95"/>
    </row>
    <row r="266" spans="2:4" x14ac:dyDescent="0.25">
      <c r="B266" s="97"/>
      <c r="C266" s="49"/>
      <c r="D266" s="95"/>
    </row>
    <row r="267" spans="2:4" x14ac:dyDescent="0.25">
      <c r="B267" s="97"/>
      <c r="C267" s="49"/>
      <c r="D267" s="95"/>
    </row>
    <row r="268" spans="2:4" x14ac:dyDescent="0.25">
      <c r="B268" s="97"/>
      <c r="C268" s="49"/>
      <c r="D268" s="95"/>
    </row>
    <row r="269" spans="2:4" x14ac:dyDescent="0.25">
      <c r="B269" s="97"/>
      <c r="C269" s="49"/>
      <c r="D269" s="95"/>
    </row>
    <row r="270" spans="2:4" x14ac:dyDescent="0.25">
      <c r="B270" s="97"/>
      <c r="C270" s="49"/>
      <c r="D270" s="95"/>
    </row>
    <row r="271" spans="2:4" x14ac:dyDescent="0.25">
      <c r="B271" s="97"/>
      <c r="C271" s="49"/>
      <c r="D271" s="95"/>
    </row>
    <row r="272" spans="2:4" x14ac:dyDescent="0.25">
      <c r="B272" s="97"/>
      <c r="C272" s="49"/>
      <c r="D272" s="95"/>
    </row>
    <row r="273" spans="2:4" x14ac:dyDescent="0.25">
      <c r="B273" s="97"/>
      <c r="C273" s="49"/>
      <c r="D273" s="95"/>
    </row>
    <row r="274" spans="2:4" x14ac:dyDescent="0.25">
      <c r="B274" s="97"/>
      <c r="C274" s="49"/>
      <c r="D274" s="95"/>
    </row>
    <row r="275" spans="2:4" x14ac:dyDescent="0.25">
      <c r="B275" s="97"/>
      <c r="C275" s="49"/>
      <c r="D275" s="95"/>
    </row>
    <row r="276" spans="2:4" x14ac:dyDescent="0.25">
      <c r="B276" s="97"/>
      <c r="C276" s="49"/>
      <c r="D276" s="95"/>
    </row>
    <row r="277" spans="2:4" x14ac:dyDescent="0.25">
      <c r="B277" s="97"/>
      <c r="C277" s="49"/>
      <c r="D277" s="95"/>
    </row>
    <row r="278" spans="2:4" x14ac:dyDescent="0.25">
      <c r="B278" s="97"/>
      <c r="C278" s="49"/>
      <c r="D278" s="95"/>
    </row>
    <row r="279" spans="2:4" x14ac:dyDescent="0.25">
      <c r="B279" s="97"/>
      <c r="C279" s="49"/>
      <c r="D279" s="95"/>
    </row>
    <row r="280" spans="2:4" x14ac:dyDescent="0.25">
      <c r="B280" s="97"/>
      <c r="C280" s="49"/>
      <c r="D280" s="95"/>
    </row>
    <row r="281" spans="2:4" x14ac:dyDescent="0.25">
      <c r="B281" s="97"/>
      <c r="C281" s="49"/>
      <c r="D281" s="95"/>
    </row>
    <row r="282" spans="2:4" x14ac:dyDescent="0.25">
      <c r="B282" s="97"/>
      <c r="C282" s="49"/>
      <c r="D282" s="95"/>
    </row>
    <row r="283" spans="2:4" x14ac:dyDescent="0.25">
      <c r="B283" s="97"/>
      <c r="C283" s="49"/>
      <c r="D283" s="95"/>
    </row>
    <row r="284" spans="2:4" x14ac:dyDescent="0.25">
      <c r="B284" s="97"/>
      <c r="C284" s="49"/>
      <c r="D284" s="95"/>
    </row>
    <row r="285" spans="2:4" x14ac:dyDescent="0.25">
      <c r="B285" s="97"/>
      <c r="C285" s="49"/>
      <c r="D285" s="95"/>
    </row>
    <row r="286" spans="2:4" x14ac:dyDescent="0.25">
      <c r="B286" s="97"/>
      <c r="C286" s="49"/>
      <c r="D286" s="95"/>
    </row>
    <row r="287" spans="2:4" x14ac:dyDescent="0.25">
      <c r="B287" s="97"/>
      <c r="C287" s="49"/>
      <c r="D287" s="95"/>
    </row>
    <row r="288" spans="2:4" x14ac:dyDescent="0.25">
      <c r="B288" s="97"/>
      <c r="C288" s="49"/>
      <c r="D288" s="95"/>
    </row>
    <row r="289" spans="2:4" x14ac:dyDescent="0.25">
      <c r="B289" s="97"/>
      <c r="C289" s="49"/>
      <c r="D289" s="95"/>
    </row>
    <row r="290" spans="2:4" x14ac:dyDescent="0.25">
      <c r="B290" s="97"/>
      <c r="C290" s="49"/>
      <c r="D290" s="95"/>
    </row>
    <row r="291" spans="2:4" x14ac:dyDescent="0.25">
      <c r="B291" s="97"/>
      <c r="C291" s="49"/>
      <c r="D291" s="95"/>
    </row>
    <row r="292" spans="2:4" x14ac:dyDescent="0.25">
      <c r="B292" s="97"/>
      <c r="C292" s="49"/>
      <c r="D292" s="95"/>
    </row>
    <row r="293" spans="2:4" x14ac:dyDescent="0.25">
      <c r="B293" s="97"/>
      <c r="C293" s="49"/>
      <c r="D293" s="95"/>
    </row>
    <row r="294" spans="2:4" x14ac:dyDescent="0.25">
      <c r="B294" s="97"/>
      <c r="C294" s="49"/>
      <c r="D294" s="95"/>
    </row>
    <row r="295" spans="2:4" x14ac:dyDescent="0.25">
      <c r="B295" s="97"/>
      <c r="C295" s="49"/>
      <c r="D295" s="95"/>
    </row>
    <row r="296" spans="2:4" x14ac:dyDescent="0.25">
      <c r="B296" s="97"/>
      <c r="C296" s="49"/>
      <c r="D296" s="95"/>
    </row>
    <row r="297" spans="2:4" x14ac:dyDescent="0.25">
      <c r="B297" s="97"/>
      <c r="C297" s="49"/>
      <c r="D297" s="95"/>
    </row>
    <row r="298" spans="2:4" x14ac:dyDescent="0.25">
      <c r="B298" s="97"/>
      <c r="C298" s="49"/>
      <c r="D298" s="95"/>
    </row>
    <row r="299" spans="2:4" x14ac:dyDescent="0.25">
      <c r="B299" s="97"/>
      <c r="C299" s="49"/>
      <c r="D299" s="95"/>
    </row>
    <row r="300" spans="2:4" x14ac:dyDescent="0.25">
      <c r="B300" s="97"/>
      <c r="C300" s="49"/>
      <c r="D300" s="95"/>
    </row>
    <row r="301" spans="2:4" x14ac:dyDescent="0.25">
      <c r="B301" s="97"/>
      <c r="C301" s="49"/>
      <c r="D301" s="95"/>
    </row>
    <row r="302" spans="2:4" x14ac:dyDescent="0.25">
      <c r="B302" s="97"/>
      <c r="C302" s="49"/>
      <c r="D302" s="95"/>
    </row>
    <row r="303" spans="2:4" x14ac:dyDescent="0.25">
      <c r="B303" s="97"/>
      <c r="C303" s="49"/>
      <c r="D303" s="95"/>
    </row>
    <row r="304" spans="2:4" x14ac:dyDescent="0.25">
      <c r="B304" s="97"/>
      <c r="C304" s="49"/>
      <c r="D304" s="95"/>
    </row>
    <row r="305" spans="2:4" x14ac:dyDescent="0.25">
      <c r="B305" s="97"/>
      <c r="C305" s="49"/>
      <c r="D305" s="95"/>
    </row>
    <row r="306" spans="2:4" x14ac:dyDescent="0.25">
      <c r="B306" s="97"/>
      <c r="C306" s="49"/>
      <c r="D306" s="95"/>
    </row>
    <row r="307" spans="2:4" x14ac:dyDescent="0.25">
      <c r="B307" s="97"/>
      <c r="C307" s="49"/>
      <c r="D307" s="95"/>
    </row>
    <row r="308" spans="2:4" x14ac:dyDescent="0.25">
      <c r="B308" s="97"/>
      <c r="C308" s="49"/>
      <c r="D308" s="95"/>
    </row>
    <row r="309" spans="2:4" x14ac:dyDescent="0.25">
      <c r="B309" s="97"/>
      <c r="C309" s="49"/>
      <c r="D309" s="95"/>
    </row>
    <row r="310" spans="2:4" x14ac:dyDescent="0.25">
      <c r="B310" s="97"/>
      <c r="C310" s="49"/>
      <c r="D310" s="95"/>
    </row>
    <row r="311" spans="2:4" x14ac:dyDescent="0.25">
      <c r="B311" s="97"/>
      <c r="C311" s="49"/>
      <c r="D311" s="95"/>
    </row>
    <row r="312" spans="2:4" x14ac:dyDescent="0.25">
      <c r="B312" s="97"/>
      <c r="C312" s="49"/>
      <c r="D312" s="95"/>
    </row>
    <row r="313" spans="2:4" x14ac:dyDescent="0.25">
      <c r="B313" s="97"/>
      <c r="C313" s="49"/>
      <c r="D313" s="95"/>
    </row>
    <row r="314" spans="2:4" x14ac:dyDescent="0.25">
      <c r="B314" s="97"/>
      <c r="C314" s="49"/>
      <c r="D314" s="95"/>
    </row>
    <row r="315" spans="2:4" x14ac:dyDescent="0.25">
      <c r="B315" s="97"/>
      <c r="C315" s="49"/>
      <c r="D315" s="95"/>
    </row>
    <row r="316" spans="2:4" x14ac:dyDescent="0.25">
      <c r="B316" s="97"/>
      <c r="C316" s="49"/>
      <c r="D316" s="95"/>
    </row>
    <row r="317" spans="2:4" x14ac:dyDescent="0.25">
      <c r="B317" s="97"/>
      <c r="C317" s="49"/>
      <c r="D317" s="95"/>
    </row>
    <row r="318" spans="2:4" x14ac:dyDescent="0.25">
      <c r="B318" s="97"/>
      <c r="C318" s="49"/>
      <c r="D318" s="95"/>
    </row>
    <row r="319" spans="2:4" x14ac:dyDescent="0.25">
      <c r="B319" s="97"/>
      <c r="C319" s="49"/>
      <c r="D319" s="95"/>
    </row>
    <row r="320" spans="2:4" x14ac:dyDescent="0.25">
      <c r="B320" s="97"/>
      <c r="C320" s="49"/>
      <c r="D320" s="95"/>
    </row>
    <row r="321" spans="2:4" x14ac:dyDescent="0.25">
      <c r="B321" s="97"/>
      <c r="C321" s="49"/>
      <c r="D321" s="95"/>
    </row>
    <row r="322" spans="2:4" x14ac:dyDescent="0.25">
      <c r="B322" s="97"/>
      <c r="C322" s="49"/>
      <c r="D322" s="95"/>
    </row>
    <row r="323" spans="2:4" x14ac:dyDescent="0.25">
      <c r="B323" s="97"/>
      <c r="C323" s="49"/>
      <c r="D323" s="95"/>
    </row>
    <row r="324" spans="2:4" x14ac:dyDescent="0.25">
      <c r="B324" s="97"/>
      <c r="C324" s="49"/>
      <c r="D324" s="95"/>
    </row>
    <row r="325" spans="2:4" x14ac:dyDescent="0.25">
      <c r="B325" s="97"/>
      <c r="C325" s="49"/>
      <c r="D325" s="95"/>
    </row>
    <row r="326" spans="2:4" x14ac:dyDescent="0.25">
      <c r="B326" s="97"/>
      <c r="C326" s="49"/>
      <c r="D326" s="95"/>
    </row>
    <row r="327" spans="2:4" x14ac:dyDescent="0.25">
      <c r="B327" s="97"/>
      <c r="C327" s="49"/>
      <c r="D327" s="95"/>
    </row>
    <row r="328" spans="2:4" x14ac:dyDescent="0.25">
      <c r="B328" s="97"/>
      <c r="C328" s="49"/>
      <c r="D328" s="95"/>
    </row>
    <row r="329" spans="2:4" x14ac:dyDescent="0.25">
      <c r="B329" s="97"/>
      <c r="C329" s="49"/>
      <c r="D329" s="95"/>
    </row>
    <row r="330" spans="2:4" x14ac:dyDescent="0.25">
      <c r="B330" s="97"/>
      <c r="C330" s="49"/>
      <c r="D330" s="95"/>
    </row>
    <row r="331" spans="2:4" x14ac:dyDescent="0.25">
      <c r="B331" s="97"/>
      <c r="C331" s="49"/>
      <c r="D331" s="95"/>
    </row>
    <row r="332" spans="2:4" x14ac:dyDescent="0.25">
      <c r="B332" s="97"/>
      <c r="C332" s="49"/>
      <c r="D332" s="95"/>
    </row>
    <row r="333" spans="2:4" x14ac:dyDescent="0.25">
      <c r="B333" s="97"/>
      <c r="C333" s="49"/>
      <c r="D333" s="95"/>
    </row>
    <row r="334" spans="2:4" x14ac:dyDescent="0.25">
      <c r="B334" s="97"/>
      <c r="C334" s="49"/>
      <c r="D334" s="95"/>
    </row>
    <row r="335" spans="2:4" x14ac:dyDescent="0.25">
      <c r="B335" s="97"/>
      <c r="C335" s="49"/>
      <c r="D335" s="95"/>
    </row>
    <row r="336" spans="2:4" x14ac:dyDescent="0.25">
      <c r="B336" s="97"/>
      <c r="C336" s="49"/>
      <c r="D336" s="95"/>
    </row>
    <row r="337" spans="2:4" x14ac:dyDescent="0.25">
      <c r="B337" s="97"/>
      <c r="C337" s="49"/>
      <c r="D337" s="95"/>
    </row>
    <row r="338" spans="2:4" x14ac:dyDescent="0.25">
      <c r="B338" s="97"/>
      <c r="C338" s="49"/>
      <c r="D338" s="95"/>
    </row>
    <row r="339" spans="2:4" x14ac:dyDescent="0.25">
      <c r="B339" s="97"/>
      <c r="C339" s="49"/>
      <c r="D339" s="95"/>
    </row>
    <row r="340" spans="2:4" x14ac:dyDescent="0.25">
      <c r="B340" s="97"/>
      <c r="C340" s="49"/>
      <c r="D340" s="95"/>
    </row>
    <row r="341" spans="2:4" x14ac:dyDescent="0.25">
      <c r="B341" s="97"/>
      <c r="C341" s="49"/>
      <c r="D341" s="95"/>
    </row>
    <row r="342" spans="2:4" x14ac:dyDescent="0.25">
      <c r="B342" s="97"/>
      <c r="C342" s="49"/>
      <c r="D342" s="95"/>
    </row>
    <row r="343" spans="2:4" x14ac:dyDescent="0.25">
      <c r="B343" s="97"/>
      <c r="C343" s="49"/>
      <c r="D343" s="95"/>
    </row>
    <row r="344" spans="2:4" x14ac:dyDescent="0.25">
      <c r="B344" s="97"/>
      <c r="C344" s="49"/>
      <c r="D344" s="95"/>
    </row>
    <row r="345" spans="2:4" x14ac:dyDescent="0.25">
      <c r="B345" s="97"/>
      <c r="C345" s="49"/>
      <c r="D345" s="95"/>
    </row>
    <row r="346" spans="2:4" x14ac:dyDescent="0.25">
      <c r="B346" s="97"/>
      <c r="C346" s="49"/>
      <c r="D346" s="95"/>
    </row>
    <row r="347" spans="2:4" x14ac:dyDescent="0.25">
      <c r="B347" s="97"/>
      <c r="C347" s="49"/>
      <c r="D347" s="95"/>
    </row>
    <row r="348" spans="2:4" x14ac:dyDescent="0.25">
      <c r="B348" s="97"/>
      <c r="C348" s="49"/>
      <c r="D348" s="95"/>
    </row>
    <row r="349" spans="2:4" x14ac:dyDescent="0.25">
      <c r="B349" s="97"/>
      <c r="C349" s="49"/>
      <c r="D349" s="95"/>
    </row>
    <row r="350" spans="2:4" x14ac:dyDescent="0.25">
      <c r="B350" s="97"/>
      <c r="C350" s="49"/>
      <c r="D350" s="95"/>
    </row>
    <row r="351" spans="2:4" x14ac:dyDescent="0.25">
      <c r="B351" s="97"/>
      <c r="C351" s="49"/>
      <c r="D351" s="95"/>
    </row>
    <row r="352" spans="2:4" x14ac:dyDescent="0.25">
      <c r="B352" s="97"/>
      <c r="C352" s="49"/>
      <c r="D352" s="95"/>
    </row>
    <row r="353" spans="2:4" x14ac:dyDescent="0.25">
      <c r="B353" s="97"/>
      <c r="C353" s="49"/>
      <c r="D353" s="95"/>
    </row>
    <row r="354" spans="2:4" x14ac:dyDescent="0.25">
      <c r="B354" s="97"/>
      <c r="C354" s="49"/>
      <c r="D354" s="95"/>
    </row>
    <row r="355" spans="2:4" x14ac:dyDescent="0.25">
      <c r="B355" s="97"/>
      <c r="C355" s="49"/>
      <c r="D355" s="95"/>
    </row>
    <row r="356" spans="2:4" x14ac:dyDescent="0.25">
      <c r="B356" s="97"/>
      <c r="C356" s="49"/>
      <c r="D356" s="95"/>
    </row>
    <row r="357" spans="2:4" x14ac:dyDescent="0.25">
      <c r="B357" s="97"/>
      <c r="C357" s="49"/>
      <c r="D357" s="95"/>
    </row>
    <row r="358" spans="2:4" x14ac:dyDescent="0.25">
      <c r="B358" s="97"/>
      <c r="C358" s="49"/>
      <c r="D358" s="95"/>
    </row>
    <row r="359" spans="2:4" x14ac:dyDescent="0.25">
      <c r="B359" s="97"/>
      <c r="C359" s="49"/>
      <c r="D359" s="95"/>
    </row>
    <row r="360" spans="2:4" x14ac:dyDescent="0.25">
      <c r="B360" s="97"/>
      <c r="C360" s="49"/>
      <c r="D360" s="95"/>
    </row>
    <row r="361" spans="2:4" x14ac:dyDescent="0.25">
      <c r="B361" s="97"/>
      <c r="C361" s="49"/>
      <c r="D361" s="95"/>
    </row>
    <row r="362" spans="2:4" x14ac:dyDescent="0.25">
      <c r="B362" s="97"/>
      <c r="C362" s="49"/>
      <c r="D362" s="95"/>
    </row>
    <row r="363" spans="2:4" x14ac:dyDescent="0.25">
      <c r="B363" s="97"/>
      <c r="C363" s="49"/>
      <c r="D363" s="95"/>
    </row>
    <row r="364" spans="2:4" x14ac:dyDescent="0.25">
      <c r="B364" s="97"/>
      <c r="C364" s="49"/>
      <c r="D364" s="95"/>
    </row>
    <row r="365" spans="2:4" x14ac:dyDescent="0.25">
      <c r="B365" s="97"/>
      <c r="C365" s="49"/>
      <c r="D365" s="95"/>
    </row>
    <row r="366" spans="2:4" x14ac:dyDescent="0.25">
      <c r="B366" s="97"/>
      <c r="C366" s="49"/>
      <c r="D366" s="95"/>
    </row>
    <row r="367" spans="2:4" x14ac:dyDescent="0.25">
      <c r="B367" s="97"/>
      <c r="C367" s="49"/>
      <c r="D367" s="95"/>
    </row>
    <row r="368" spans="2:4" x14ac:dyDescent="0.25">
      <c r="B368" s="97"/>
      <c r="C368" s="49"/>
      <c r="D368" s="95"/>
    </row>
    <row r="369" spans="2:4" x14ac:dyDescent="0.25">
      <c r="B369" s="97"/>
      <c r="C369" s="49"/>
      <c r="D369" s="95"/>
    </row>
    <row r="370" spans="2:4" x14ac:dyDescent="0.25">
      <c r="B370" s="97"/>
      <c r="C370" s="49"/>
      <c r="D370" s="95"/>
    </row>
    <row r="371" spans="2:4" x14ac:dyDescent="0.25">
      <c r="B371" s="97"/>
      <c r="C371" s="49"/>
      <c r="D371" s="95"/>
    </row>
    <row r="372" spans="2:4" x14ac:dyDescent="0.25">
      <c r="B372" s="97"/>
      <c r="C372" s="49"/>
      <c r="D372" s="95"/>
    </row>
    <row r="373" spans="2:4" x14ac:dyDescent="0.25">
      <c r="B373" s="97"/>
      <c r="C373" s="49"/>
      <c r="D373" s="95"/>
    </row>
    <row r="374" spans="2:4" x14ac:dyDescent="0.25">
      <c r="B374" s="97"/>
      <c r="C374" s="49"/>
      <c r="D374" s="95"/>
    </row>
    <row r="375" spans="2:4" x14ac:dyDescent="0.25">
      <c r="B375" s="97"/>
      <c r="C375" s="49"/>
      <c r="D375" s="95"/>
    </row>
    <row r="376" spans="2:4" x14ac:dyDescent="0.25">
      <c r="B376" s="97"/>
      <c r="C376" s="49"/>
      <c r="D376" s="95"/>
    </row>
    <row r="377" spans="2:4" x14ac:dyDescent="0.25">
      <c r="B377" s="97"/>
      <c r="C377" s="49"/>
      <c r="D377" s="95"/>
    </row>
    <row r="378" spans="2:4" x14ac:dyDescent="0.25">
      <c r="B378" s="97"/>
      <c r="C378" s="49"/>
      <c r="D378" s="95"/>
    </row>
    <row r="379" spans="2:4" x14ac:dyDescent="0.25">
      <c r="B379" s="97"/>
      <c r="C379" s="49"/>
      <c r="D379" s="95"/>
    </row>
    <row r="380" spans="2:4" x14ac:dyDescent="0.25">
      <c r="B380" s="97"/>
      <c r="C380" s="49"/>
      <c r="D380" s="95"/>
    </row>
    <row r="381" spans="2:4" x14ac:dyDescent="0.25">
      <c r="B381" s="97"/>
      <c r="C381" s="49"/>
      <c r="D381" s="95"/>
    </row>
    <row r="382" spans="2:4" x14ac:dyDescent="0.25">
      <c r="B382" s="97"/>
      <c r="C382" s="49"/>
      <c r="D382" s="95"/>
    </row>
    <row r="383" spans="2:4" x14ac:dyDescent="0.25">
      <c r="B383" s="97"/>
      <c r="C383" s="49"/>
      <c r="D383" s="95"/>
    </row>
    <row r="384" spans="2:4" x14ac:dyDescent="0.25">
      <c r="B384" s="97"/>
      <c r="C384" s="49"/>
      <c r="D384" s="95"/>
    </row>
    <row r="385" spans="2:4" x14ac:dyDescent="0.25">
      <c r="B385" s="97"/>
      <c r="C385" s="49"/>
      <c r="D385" s="95"/>
    </row>
    <row r="386" spans="2:4" x14ac:dyDescent="0.25">
      <c r="B386" s="97"/>
      <c r="C386" s="49"/>
      <c r="D386" s="95"/>
    </row>
    <row r="387" spans="2:4" x14ac:dyDescent="0.25">
      <c r="B387" s="97"/>
      <c r="C387" s="49"/>
      <c r="D387" s="95"/>
    </row>
    <row r="388" spans="2:4" x14ac:dyDescent="0.25">
      <c r="B388" s="97"/>
      <c r="C388" s="49"/>
      <c r="D388" s="95"/>
    </row>
    <row r="389" spans="2:4" x14ac:dyDescent="0.25">
      <c r="B389" s="97"/>
      <c r="C389" s="49"/>
      <c r="D389" s="95"/>
    </row>
    <row r="390" spans="2:4" x14ac:dyDescent="0.25">
      <c r="B390" s="97"/>
      <c r="C390" s="49"/>
      <c r="D390" s="95"/>
    </row>
    <row r="391" spans="2:4" x14ac:dyDescent="0.25">
      <c r="B391" s="97"/>
      <c r="C391" s="49"/>
      <c r="D391" s="95"/>
    </row>
    <row r="392" spans="2:4" x14ac:dyDescent="0.25">
      <c r="B392" s="97"/>
      <c r="C392" s="49"/>
      <c r="D392" s="95"/>
    </row>
    <row r="393" spans="2:4" x14ac:dyDescent="0.25">
      <c r="B393" s="97"/>
      <c r="C393" s="49"/>
      <c r="D393" s="95"/>
    </row>
    <row r="394" spans="2:4" x14ac:dyDescent="0.25">
      <c r="B394" s="97"/>
      <c r="C394" s="49"/>
      <c r="D394" s="95"/>
    </row>
    <row r="395" spans="2:4" x14ac:dyDescent="0.25">
      <c r="B395" s="97"/>
      <c r="C395" s="49"/>
      <c r="D395" s="95"/>
    </row>
    <row r="396" spans="2:4" x14ac:dyDescent="0.25">
      <c r="B396" s="97"/>
      <c r="C396" s="49"/>
      <c r="D396" s="95"/>
    </row>
    <row r="397" spans="2:4" x14ac:dyDescent="0.25">
      <c r="B397" s="97"/>
      <c r="C397" s="49"/>
      <c r="D397" s="95"/>
    </row>
    <row r="398" spans="2:4" x14ac:dyDescent="0.25">
      <c r="B398" s="97"/>
      <c r="C398" s="49"/>
      <c r="D398" s="95"/>
    </row>
    <row r="399" spans="2:4" x14ac:dyDescent="0.25">
      <c r="B399" s="97"/>
      <c r="C399" s="49"/>
      <c r="D399" s="95"/>
    </row>
    <row r="400" spans="2:4" x14ac:dyDescent="0.25">
      <c r="B400" s="97"/>
      <c r="C400" s="49"/>
      <c r="D400" s="95"/>
    </row>
    <row r="401" spans="2:4" x14ac:dyDescent="0.25">
      <c r="B401" s="97"/>
      <c r="C401" s="49"/>
      <c r="D401" s="95"/>
    </row>
    <row r="402" spans="2:4" x14ac:dyDescent="0.25">
      <c r="B402" s="97"/>
      <c r="C402" s="49"/>
      <c r="D402" s="95"/>
    </row>
    <row r="403" spans="2:4" x14ac:dyDescent="0.25">
      <c r="B403" s="97"/>
      <c r="C403" s="49"/>
      <c r="D403" s="95"/>
    </row>
    <row r="404" spans="2:4" x14ac:dyDescent="0.25">
      <c r="B404" s="97"/>
      <c r="C404" s="49"/>
      <c r="D404" s="95"/>
    </row>
    <row r="405" spans="2:4" x14ac:dyDescent="0.25">
      <c r="B405" s="97"/>
      <c r="C405" s="49"/>
      <c r="D405" s="95"/>
    </row>
    <row r="406" spans="2:4" x14ac:dyDescent="0.25">
      <c r="B406" s="97"/>
      <c r="C406" s="49"/>
      <c r="D406" s="95"/>
    </row>
    <row r="407" spans="2:4" x14ac:dyDescent="0.25">
      <c r="B407" s="97"/>
      <c r="C407" s="49"/>
      <c r="D407" s="95"/>
    </row>
    <row r="408" spans="2:4" x14ac:dyDescent="0.25">
      <c r="B408" s="97"/>
      <c r="C408" s="49"/>
      <c r="D408" s="95"/>
    </row>
    <row r="409" spans="2:4" x14ac:dyDescent="0.25">
      <c r="B409" s="97"/>
      <c r="C409" s="49"/>
      <c r="D409" s="95"/>
    </row>
    <row r="410" spans="2:4" x14ac:dyDescent="0.25">
      <c r="B410" s="97"/>
      <c r="C410" s="49"/>
      <c r="D410" s="95"/>
    </row>
    <row r="411" spans="2:4" x14ac:dyDescent="0.25">
      <c r="B411" s="97"/>
      <c r="C411" s="49"/>
      <c r="D411" s="95"/>
    </row>
    <row r="412" spans="2:4" x14ac:dyDescent="0.25">
      <c r="B412" s="97"/>
      <c r="C412" s="49"/>
      <c r="D412" s="95"/>
    </row>
    <row r="413" spans="2:4" x14ac:dyDescent="0.25">
      <c r="B413" s="97"/>
      <c r="C413" s="49"/>
      <c r="D413" s="95"/>
    </row>
    <row r="414" spans="2:4" x14ac:dyDescent="0.25">
      <c r="B414" s="97"/>
      <c r="C414" s="49"/>
      <c r="D414" s="95"/>
    </row>
    <row r="415" spans="2:4" x14ac:dyDescent="0.25">
      <c r="B415" s="97"/>
      <c r="C415" s="49"/>
      <c r="D415" s="95"/>
    </row>
    <row r="416" spans="2:4" x14ac:dyDescent="0.25">
      <c r="B416" s="97"/>
      <c r="C416" s="49"/>
      <c r="D416" s="95"/>
    </row>
    <row r="417" spans="2:4" x14ac:dyDescent="0.25">
      <c r="B417" s="97"/>
      <c r="C417" s="49"/>
      <c r="D417" s="95"/>
    </row>
    <row r="418" spans="2:4" x14ac:dyDescent="0.25">
      <c r="B418" s="97"/>
      <c r="C418" s="49"/>
      <c r="D418" s="95"/>
    </row>
    <row r="419" spans="2:4" x14ac:dyDescent="0.25">
      <c r="B419" s="97"/>
      <c r="C419" s="49"/>
      <c r="D419" s="95"/>
    </row>
    <row r="420" spans="2:4" x14ac:dyDescent="0.25">
      <c r="B420" s="97"/>
      <c r="C420" s="49"/>
      <c r="D420" s="95"/>
    </row>
    <row r="421" spans="2:4" x14ac:dyDescent="0.25">
      <c r="B421" s="97"/>
      <c r="C421" s="49"/>
      <c r="D421" s="95"/>
    </row>
    <row r="422" spans="2:4" x14ac:dyDescent="0.25">
      <c r="B422" s="97"/>
      <c r="C422" s="49"/>
      <c r="D422" s="95"/>
    </row>
    <row r="423" spans="2:4" x14ac:dyDescent="0.25">
      <c r="B423" s="97"/>
      <c r="C423" s="49"/>
      <c r="D423" s="95"/>
    </row>
    <row r="424" spans="2:4" x14ac:dyDescent="0.25">
      <c r="B424" s="97"/>
      <c r="C424" s="49"/>
      <c r="D424" s="95"/>
    </row>
    <row r="425" spans="2:4" x14ac:dyDescent="0.25">
      <c r="B425" s="97"/>
      <c r="C425" s="49"/>
      <c r="D425" s="95"/>
    </row>
    <row r="426" spans="2:4" x14ac:dyDescent="0.25">
      <c r="B426" s="97"/>
      <c r="C426" s="49"/>
      <c r="D426" s="95"/>
    </row>
    <row r="427" spans="2:4" x14ac:dyDescent="0.25">
      <c r="B427" s="97"/>
      <c r="C427" s="49"/>
      <c r="D427" s="95"/>
    </row>
    <row r="428" spans="2:4" x14ac:dyDescent="0.25">
      <c r="B428" s="97"/>
      <c r="C428" s="49"/>
      <c r="D428" s="95"/>
    </row>
    <row r="429" spans="2:4" x14ac:dyDescent="0.25">
      <c r="B429" s="97"/>
      <c r="C429" s="49"/>
      <c r="D429" s="95"/>
    </row>
    <row r="430" spans="2:4" x14ac:dyDescent="0.25">
      <c r="B430" s="97"/>
      <c r="C430" s="49"/>
      <c r="D430" s="95"/>
    </row>
    <row r="431" spans="2:4" x14ac:dyDescent="0.25">
      <c r="B431" s="97"/>
      <c r="C431" s="49"/>
      <c r="D431" s="95"/>
    </row>
    <row r="432" spans="2:4" x14ac:dyDescent="0.25">
      <c r="B432" s="97"/>
      <c r="C432" s="49"/>
      <c r="D432" s="95"/>
    </row>
    <row r="433" spans="2:4" x14ac:dyDescent="0.25">
      <c r="B433" s="97"/>
      <c r="C433" s="49"/>
      <c r="D433" s="95"/>
    </row>
    <row r="434" spans="2:4" x14ac:dyDescent="0.25">
      <c r="B434" s="97"/>
      <c r="C434" s="49"/>
      <c r="D434" s="95"/>
    </row>
    <row r="435" spans="2:4" x14ac:dyDescent="0.25">
      <c r="B435" s="97"/>
      <c r="C435" s="49"/>
      <c r="D435" s="95"/>
    </row>
    <row r="436" spans="2:4" x14ac:dyDescent="0.25">
      <c r="B436" s="97"/>
      <c r="C436" s="49"/>
      <c r="D436" s="95"/>
    </row>
    <row r="437" spans="2:4" x14ac:dyDescent="0.25">
      <c r="B437" s="97"/>
      <c r="C437" s="49"/>
      <c r="D437" s="95"/>
    </row>
    <row r="438" spans="2:4" x14ac:dyDescent="0.25">
      <c r="B438" s="97"/>
      <c r="C438" s="49"/>
      <c r="D438" s="95"/>
    </row>
    <row r="439" spans="2:4" x14ac:dyDescent="0.25">
      <c r="B439" s="97"/>
      <c r="C439" s="49"/>
      <c r="D439" s="95"/>
    </row>
    <row r="440" spans="2:4" x14ac:dyDescent="0.25">
      <c r="B440" s="97"/>
      <c r="C440" s="49"/>
      <c r="D440" s="95"/>
    </row>
    <row r="441" spans="2:4" x14ac:dyDescent="0.25">
      <c r="B441" s="97"/>
      <c r="C441" s="49"/>
      <c r="D441" s="95"/>
    </row>
    <row r="442" spans="2:4" x14ac:dyDescent="0.25">
      <c r="B442" s="97"/>
      <c r="C442" s="49"/>
      <c r="D442" s="95"/>
    </row>
    <row r="443" spans="2:4" x14ac:dyDescent="0.25">
      <c r="B443" s="97"/>
      <c r="C443" s="49"/>
      <c r="D443" s="95"/>
    </row>
    <row r="444" spans="2:4" x14ac:dyDescent="0.25">
      <c r="B444" s="97"/>
      <c r="C444" s="49"/>
      <c r="D444" s="95"/>
    </row>
    <row r="445" spans="2:4" x14ac:dyDescent="0.25">
      <c r="B445" s="97"/>
      <c r="C445" s="49"/>
      <c r="D445" s="95"/>
    </row>
    <row r="446" spans="2:4" x14ac:dyDescent="0.25">
      <c r="B446" s="97"/>
      <c r="C446" s="49"/>
      <c r="D446" s="95"/>
    </row>
    <row r="447" spans="2:4" x14ac:dyDescent="0.25">
      <c r="B447" s="97"/>
      <c r="C447" s="49"/>
      <c r="D447" s="95"/>
    </row>
    <row r="448" spans="2:4" x14ac:dyDescent="0.25">
      <c r="B448" s="97"/>
      <c r="C448" s="49"/>
      <c r="D448" s="95"/>
    </row>
    <row r="449" spans="2:4" x14ac:dyDescent="0.25">
      <c r="B449" s="97"/>
      <c r="C449" s="49"/>
      <c r="D449" s="95"/>
    </row>
    <row r="450" spans="2:4" x14ac:dyDescent="0.25">
      <c r="B450" s="97"/>
      <c r="C450" s="49"/>
      <c r="D450" s="95"/>
    </row>
    <row r="451" spans="2:4" x14ac:dyDescent="0.25">
      <c r="B451" s="97"/>
      <c r="C451" s="49"/>
      <c r="D451" s="95"/>
    </row>
    <row r="452" spans="2:4" x14ac:dyDescent="0.25">
      <c r="B452" s="97"/>
      <c r="C452" s="49"/>
      <c r="D452" s="95"/>
    </row>
    <row r="453" spans="2:4" x14ac:dyDescent="0.25">
      <c r="B453" s="97"/>
      <c r="C453" s="49"/>
      <c r="D453" s="95"/>
    </row>
    <row r="454" spans="2:4" x14ac:dyDescent="0.25">
      <c r="B454" s="97"/>
      <c r="C454" s="49"/>
      <c r="D454" s="95"/>
    </row>
    <row r="455" spans="2:4" x14ac:dyDescent="0.25">
      <c r="B455" s="97"/>
      <c r="C455" s="49"/>
      <c r="D455" s="95"/>
    </row>
    <row r="456" spans="2:4" x14ac:dyDescent="0.25">
      <c r="B456" s="97"/>
      <c r="C456" s="49"/>
      <c r="D456" s="95"/>
    </row>
    <row r="457" spans="2:4" x14ac:dyDescent="0.25">
      <c r="B457" s="97"/>
      <c r="C457" s="49"/>
      <c r="D457" s="95"/>
    </row>
    <row r="458" spans="2:4" x14ac:dyDescent="0.25">
      <c r="B458" s="97"/>
      <c r="C458" s="49"/>
      <c r="D458" s="95"/>
    </row>
    <row r="459" spans="2:4" x14ac:dyDescent="0.25">
      <c r="B459" s="97"/>
      <c r="C459" s="49"/>
      <c r="D459" s="95"/>
    </row>
    <row r="460" spans="2:4" x14ac:dyDescent="0.25">
      <c r="B460" s="97"/>
      <c r="C460" s="49"/>
      <c r="D460" s="95"/>
    </row>
    <row r="461" spans="2:4" x14ac:dyDescent="0.25">
      <c r="B461" s="97"/>
      <c r="C461" s="49"/>
      <c r="D461" s="95"/>
    </row>
    <row r="462" spans="2:4" x14ac:dyDescent="0.25">
      <c r="B462" s="97"/>
      <c r="C462" s="49"/>
      <c r="D462" s="95"/>
    </row>
    <row r="463" spans="2:4" x14ac:dyDescent="0.25">
      <c r="B463" s="97"/>
      <c r="C463" s="49"/>
      <c r="D463" s="95"/>
    </row>
    <row r="464" spans="2:4" x14ac:dyDescent="0.25">
      <c r="B464" s="97"/>
      <c r="C464" s="49"/>
      <c r="D464" s="95"/>
    </row>
    <row r="465" spans="2:4" x14ac:dyDescent="0.25">
      <c r="B465" s="97"/>
      <c r="C465" s="49"/>
      <c r="D465" s="95"/>
    </row>
    <row r="466" spans="2:4" x14ac:dyDescent="0.25">
      <c r="B466" s="97"/>
      <c r="C466" s="49"/>
      <c r="D466" s="95"/>
    </row>
    <row r="467" spans="2:4" x14ac:dyDescent="0.25">
      <c r="B467" s="97"/>
      <c r="C467" s="49"/>
      <c r="D467" s="95"/>
    </row>
    <row r="468" spans="2:4" x14ac:dyDescent="0.25">
      <c r="B468" s="97"/>
      <c r="C468" s="49"/>
      <c r="D468" s="95"/>
    </row>
    <row r="469" spans="2:4" x14ac:dyDescent="0.25">
      <c r="B469" s="97"/>
      <c r="C469" s="49"/>
      <c r="D469" s="95"/>
    </row>
    <row r="470" spans="2:4" x14ac:dyDescent="0.25">
      <c r="B470" s="97"/>
      <c r="C470" s="49"/>
      <c r="D470" s="95"/>
    </row>
    <row r="471" spans="2:4" x14ac:dyDescent="0.25">
      <c r="B471" s="97"/>
      <c r="C471" s="49"/>
      <c r="D471" s="95"/>
    </row>
    <row r="472" spans="2:4" x14ac:dyDescent="0.25">
      <c r="B472" s="97"/>
      <c r="C472" s="49"/>
      <c r="D472" s="95"/>
    </row>
    <row r="473" spans="2:4" x14ac:dyDescent="0.25">
      <c r="B473" s="97"/>
      <c r="C473" s="49"/>
      <c r="D473" s="95"/>
    </row>
    <row r="474" spans="2:4" x14ac:dyDescent="0.25">
      <c r="B474" s="97"/>
      <c r="C474" s="49"/>
      <c r="D474" s="95"/>
    </row>
    <row r="475" spans="2:4" x14ac:dyDescent="0.25">
      <c r="B475" s="97"/>
      <c r="C475" s="49"/>
      <c r="D475" s="95"/>
    </row>
    <row r="476" spans="2:4" x14ac:dyDescent="0.25">
      <c r="B476" s="97"/>
      <c r="C476" s="49"/>
      <c r="D476" s="95"/>
    </row>
    <row r="477" spans="2:4" x14ac:dyDescent="0.25">
      <c r="B477" s="97"/>
      <c r="C477" s="49"/>
      <c r="D477" s="95"/>
    </row>
    <row r="478" spans="2:4" x14ac:dyDescent="0.25">
      <c r="B478" s="97"/>
      <c r="C478" s="49"/>
      <c r="D478" s="95"/>
    </row>
    <row r="479" spans="2:4" x14ac:dyDescent="0.25">
      <c r="B479" s="97"/>
      <c r="C479" s="49"/>
      <c r="D479" s="95"/>
    </row>
    <row r="480" spans="2:4" x14ac:dyDescent="0.25">
      <c r="B480" s="97"/>
      <c r="C480" s="49"/>
      <c r="D480" s="95"/>
    </row>
    <row r="481" spans="2:4" x14ac:dyDescent="0.25">
      <c r="B481" s="97"/>
      <c r="C481" s="49"/>
      <c r="D481" s="95"/>
    </row>
    <row r="482" spans="2:4" x14ac:dyDescent="0.25">
      <c r="B482" s="97"/>
      <c r="C482" s="49"/>
      <c r="D482" s="95"/>
    </row>
    <row r="483" spans="2:4" x14ac:dyDescent="0.25">
      <c r="B483" s="97"/>
      <c r="C483" s="49"/>
      <c r="D483" s="95"/>
    </row>
    <row r="484" spans="2:4" x14ac:dyDescent="0.25">
      <c r="B484" s="97"/>
      <c r="C484" s="49"/>
      <c r="D484" s="95"/>
    </row>
    <row r="485" spans="2:4" x14ac:dyDescent="0.25">
      <c r="B485" s="97"/>
      <c r="C485" s="49"/>
      <c r="D485" s="95"/>
    </row>
    <row r="486" spans="2:4" x14ac:dyDescent="0.25">
      <c r="B486" s="97"/>
      <c r="C486" s="49"/>
      <c r="D486" s="95"/>
    </row>
    <row r="487" spans="2:4" x14ac:dyDescent="0.25">
      <c r="B487" s="97"/>
      <c r="C487" s="49"/>
      <c r="D487" s="95"/>
    </row>
    <row r="488" spans="2:4" x14ac:dyDescent="0.25">
      <c r="B488" s="97"/>
      <c r="C488" s="49"/>
      <c r="D488" s="95"/>
    </row>
    <row r="489" spans="2:4" x14ac:dyDescent="0.25">
      <c r="B489" s="97"/>
      <c r="C489" s="49"/>
      <c r="D489" s="95"/>
    </row>
    <row r="490" spans="2:4" x14ac:dyDescent="0.25">
      <c r="B490" s="97"/>
      <c r="C490" s="49"/>
      <c r="D490" s="95"/>
    </row>
    <row r="491" spans="2:4" x14ac:dyDescent="0.25">
      <c r="B491" s="97"/>
      <c r="C491" s="49"/>
      <c r="D491" s="95"/>
    </row>
    <row r="492" spans="2:4" x14ac:dyDescent="0.25">
      <c r="B492" s="97"/>
      <c r="C492" s="49"/>
      <c r="D492" s="95"/>
    </row>
    <row r="493" spans="2:4" x14ac:dyDescent="0.25">
      <c r="B493" s="97"/>
      <c r="C493" s="49"/>
      <c r="D493" s="95"/>
    </row>
    <row r="494" spans="2:4" x14ac:dyDescent="0.25">
      <c r="B494" s="97"/>
      <c r="C494" s="49"/>
      <c r="D494" s="95"/>
    </row>
    <row r="495" spans="2:4" x14ac:dyDescent="0.25">
      <c r="B495" s="97"/>
      <c r="C495" s="49"/>
      <c r="D495" s="95"/>
    </row>
    <row r="496" spans="2:4" x14ac:dyDescent="0.25">
      <c r="B496" s="97"/>
      <c r="C496" s="49"/>
      <c r="D496" s="95"/>
    </row>
    <row r="497" spans="2:4" x14ac:dyDescent="0.25">
      <c r="B497" s="97"/>
      <c r="C497" s="49"/>
      <c r="D497" s="95"/>
    </row>
    <row r="498" spans="2:4" x14ac:dyDescent="0.25">
      <c r="B498" s="97"/>
      <c r="C498" s="49"/>
      <c r="D498" s="95"/>
    </row>
    <row r="499" spans="2:4" x14ac:dyDescent="0.25">
      <c r="B499" s="97"/>
      <c r="C499" s="49"/>
      <c r="D499" s="95"/>
    </row>
    <row r="500" spans="2:4" x14ac:dyDescent="0.25">
      <c r="B500" s="97"/>
      <c r="C500" s="49"/>
      <c r="D500" s="95"/>
    </row>
    <row r="501" spans="2:4" x14ac:dyDescent="0.25">
      <c r="B501" s="97"/>
      <c r="C501" s="49"/>
      <c r="D501" s="95"/>
    </row>
    <row r="502" spans="2:4" x14ac:dyDescent="0.25">
      <c r="B502" s="97"/>
      <c r="C502" s="49"/>
      <c r="D502" s="95"/>
    </row>
    <row r="503" spans="2:4" x14ac:dyDescent="0.25">
      <c r="B503" s="97"/>
      <c r="C503" s="49"/>
      <c r="D503" s="95"/>
    </row>
    <row r="504" spans="2:4" x14ac:dyDescent="0.25">
      <c r="B504" s="97"/>
      <c r="C504" s="49"/>
      <c r="D504" s="95"/>
    </row>
    <row r="505" spans="2:4" x14ac:dyDescent="0.25">
      <c r="B505" s="97"/>
      <c r="C505" s="49"/>
      <c r="D505" s="95"/>
    </row>
    <row r="506" spans="2:4" x14ac:dyDescent="0.25">
      <c r="B506" s="97"/>
      <c r="C506" s="49"/>
      <c r="D506" s="95"/>
    </row>
    <row r="507" spans="2:4" x14ac:dyDescent="0.25">
      <c r="B507" s="97"/>
      <c r="C507" s="49"/>
      <c r="D507" s="95"/>
    </row>
    <row r="508" spans="2:4" x14ac:dyDescent="0.25">
      <c r="B508" s="97"/>
      <c r="C508" s="49"/>
      <c r="D508" s="95"/>
    </row>
    <row r="509" spans="2:4" x14ac:dyDescent="0.25">
      <c r="B509" s="97"/>
      <c r="C509" s="49"/>
      <c r="D509" s="95"/>
    </row>
    <row r="510" spans="2:4" x14ac:dyDescent="0.25">
      <c r="B510" s="97"/>
      <c r="C510" s="49"/>
      <c r="D510" s="95"/>
    </row>
    <row r="511" spans="2:4" x14ac:dyDescent="0.25">
      <c r="B511" s="97"/>
      <c r="C511" s="49"/>
      <c r="D511" s="95"/>
    </row>
    <row r="512" spans="2:4" x14ac:dyDescent="0.25">
      <c r="B512" s="97"/>
      <c r="C512" s="49"/>
      <c r="D512" s="95"/>
    </row>
    <row r="513" spans="2:4" x14ac:dyDescent="0.25">
      <c r="B513" s="97"/>
      <c r="C513" s="49"/>
      <c r="D513" s="95"/>
    </row>
    <row r="514" spans="2:4" x14ac:dyDescent="0.25">
      <c r="B514" s="97"/>
      <c r="C514" s="49"/>
      <c r="D514" s="95"/>
    </row>
    <row r="515" spans="2:4" x14ac:dyDescent="0.25">
      <c r="B515" s="97"/>
      <c r="C515" s="49"/>
      <c r="D515" s="95"/>
    </row>
    <row r="516" spans="2:4" x14ac:dyDescent="0.25">
      <c r="B516" s="97"/>
      <c r="C516" s="49"/>
      <c r="D516" s="95"/>
    </row>
    <row r="517" spans="2:4" x14ac:dyDescent="0.25">
      <c r="B517" s="97"/>
      <c r="C517" s="49"/>
      <c r="D517" s="95"/>
    </row>
    <row r="518" spans="2:4" x14ac:dyDescent="0.25">
      <c r="B518" s="97"/>
      <c r="C518" s="49"/>
      <c r="D518" s="95"/>
    </row>
    <row r="519" spans="2:4" x14ac:dyDescent="0.25">
      <c r="B519" s="97"/>
      <c r="C519" s="49"/>
      <c r="D519" s="95"/>
    </row>
    <row r="520" spans="2:4" x14ac:dyDescent="0.25">
      <c r="B520" s="97"/>
      <c r="C520" s="49"/>
      <c r="D520" s="95"/>
    </row>
    <row r="521" spans="2:4" x14ac:dyDescent="0.25">
      <c r="B521" s="97"/>
      <c r="C521" s="49"/>
      <c r="D521" s="95"/>
    </row>
    <row r="522" spans="2:4" x14ac:dyDescent="0.25">
      <c r="B522" s="97"/>
      <c r="C522" s="49"/>
      <c r="D522" s="95"/>
    </row>
    <row r="523" spans="2:4" x14ac:dyDescent="0.25">
      <c r="B523" s="97"/>
      <c r="C523" s="49"/>
      <c r="D523" s="95"/>
    </row>
    <row r="524" spans="2:4" x14ac:dyDescent="0.25">
      <c r="B524" s="97"/>
      <c r="C524" s="49"/>
      <c r="D524" s="95"/>
    </row>
    <row r="525" spans="2:4" x14ac:dyDescent="0.25">
      <c r="B525" s="97"/>
      <c r="C525" s="49"/>
      <c r="D525" s="95"/>
    </row>
    <row r="526" spans="2:4" x14ac:dyDescent="0.25">
      <c r="B526" s="97"/>
      <c r="C526" s="49"/>
      <c r="D526" s="95"/>
    </row>
    <row r="527" spans="2:4" x14ac:dyDescent="0.25">
      <c r="B527" s="97"/>
      <c r="C527" s="49"/>
      <c r="D527" s="95"/>
    </row>
    <row r="528" spans="2:4" x14ac:dyDescent="0.25">
      <c r="B528" s="97"/>
      <c r="C528" s="49"/>
      <c r="D528" s="95"/>
    </row>
    <row r="529" spans="2:4" x14ac:dyDescent="0.25">
      <c r="B529" s="97"/>
      <c r="C529" s="49"/>
      <c r="D529" s="95"/>
    </row>
    <row r="530" spans="2:4" x14ac:dyDescent="0.25">
      <c r="B530" s="97"/>
      <c r="C530" s="49"/>
      <c r="D530" s="95"/>
    </row>
    <row r="531" spans="2:4" x14ac:dyDescent="0.25">
      <c r="B531" s="97"/>
      <c r="C531" s="49"/>
      <c r="D531" s="95"/>
    </row>
    <row r="532" spans="2:4" x14ac:dyDescent="0.25">
      <c r="B532" s="97"/>
      <c r="C532" s="49"/>
      <c r="D532" s="95"/>
    </row>
    <row r="533" spans="2:4" x14ac:dyDescent="0.25">
      <c r="B533" s="97"/>
      <c r="C533" s="49"/>
      <c r="D533" s="95"/>
    </row>
    <row r="534" spans="2:4" x14ac:dyDescent="0.25">
      <c r="B534" s="97"/>
      <c r="C534" s="49"/>
      <c r="D534" s="95"/>
    </row>
    <row r="535" spans="2:4" x14ac:dyDescent="0.25">
      <c r="B535" s="97"/>
      <c r="C535" s="49"/>
      <c r="D535" s="95"/>
    </row>
    <row r="536" spans="2:4" x14ac:dyDescent="0.25">
      <c r="B536" s="97"/>
      <c r="C536" s="49"/>
      <c r="D536" s="95"/>
    </row>
    <row r="537" spans="2:4" x14ac:dyDescent="0.25">
      <c r="B537" s="97"/>
      <c r="C537" s="49"/>
      <c r="D537" s="95"/>
    </row>
    <row r="538" spans="2:4" x14ac:dyDescent="0.25">
      <c r="B538" s="97"/>
      <c r="C538" s="49"/>
      <c r="D538" s="95"/>
    </row>
    <row r="539" spans="2:4" x14ac:dyDescent="0.25">
      <c r="B539" s="97"/>
      <c r="C539" s="49"/>
      <c r="D539" s="95"/>
    </row>
    <row r="540" spans="2:4" x14ac:dyDescent="0.25">
      <c r="B540" s="97"/>
      <c r="C540" s="49"/>
      <c r="D540" s="95"/>
    </row>
    <row r="541" spans="2:4" x14ac:dyDescent="0.25">
      <c r="B541" s="97"/>
      <c r="C541" s="49"/>
      <c r="D541" s="95"/>
    </row>
    <row r="542" spans="2:4" x14ac:dyDescent="0.25">
      <c r="B542" s="97"/>
      <c r="C542" s="49"/>
      <c r="D542" s="95"/>
    </row>
    <row r="543" spans="2:4" x14ac:dyDescent="0.25">
      <c r="B543" s="97"/>
      <c r="C543" s="49"/>
      <c r="D543" s="95"/>
    </row>
    <row r="544" spans="2:4" x14ac:dyDescent="0.25">
      <c r="B544" s="97"/>
      <c r="C544" s="49"/>
      <c r="D544" s="95"/>
    </row>
    <row r="545" spans="2:4" x14ac:dyDescent="0.25">
      <c r="B545" s="97"/>
      <c r="C545" s="49"/>
      <c r="D545" s="95"/>
    </row>
    <row r="546" spans="2:4" x14ac:dyDescent="0.25">
      <c r="B546" s="97"/>
      <c r="C546" s="49"/>
      <c r="D546" s="95"/>
    </row>
    <row r="547" spans="2:4" x14ac:dyDescent="0.25">
      <c r="B547" s="97"/>
      <c r="C547" s="49"/>
      <c r="D547" s="95"/>
    </row>
    <row r="548" spans="2:4" x14ac:dyDescent="0.25">
      <c r="B548" s="97"/>
      <c r="C548" s="49"/>
      <c r="D548" s="95"/>
    </row>
    <row r="549" spans="2:4" x14ac:dyDescent="0.25">
      <c r="B549" s="97"/>
      <c r="C549" s="49"/>
      <c r="D549" s="95"/>
    </row>
    <row r="550" spans="2:4" x14ac:dyDescent="0.25">
      <c r="B550" s="97"/>
      <c r="C550" s="49"/>
      <c r="D550" s="95"/>
    </row>
    <row r="551" spans="2:4" x14ac:dyDescent="0.25">
      <c r="B551" s="97"/>
      <c r="C551" s="49"/>
      <c r="D551" s="95"/>
    </row>
    <row r="552" spans="2:4" x14ac:dyDescent="0.25">
      <c r="B552" s="97"/>
      <c r="C552" s="49"/>
      <c r="D552" s="95"/>
    </row>
    <row r="553" spans="2:4" x14ac:dyDescent="0.25">
      <c r="B553" s="97"/>
      <c r="C553" s="49"/>
      <c r="D553" s="95"/>
    </row>
    <row r="554" spans="2:4" x14ac:dyDescent="0.25">
      <c r="B554" s="97"/>
      <c r="C554" s="49"/>
      <c r="D554" s="95"/>
    </row>
    <row r="555" spans="2:4" x14ac:dyDescent="0.25">
      <c r="B555" s="97"/>
      <c r="C555" s="49"/>
      <c r="D555" s="95"/>
    </row>
    <row r="556" spans="2:4" x14ac:dyDescent="0.25">
      <c r="B556" s="97"/>
      <c r="C556" s="49"/>
      <c r="D556" s="95"/>
    </row>
    <row r="557" spans="2:4" x14ac:dyDescent="0.25">
      <c r="B557" s="97"/>
      <c r="C557" s="49"/>
      <c r="D557" s="95"/>
    </row>
    <row r="558" spans="2:4" x14ac:dyDescent="0.25">
      <c r="B558" s="97"/>
      <c r="C558" s="49"/>
      <c r="D558" s="95"/>
    </row>
    <row r="559" spans="2:4" x14ac:dyDescent="0.25">
      <c r="B559" s="97"/>
      <c r="C559" s="49"/>
      <c r="D559" s="95"/>
    </row>
    <row r="560" spans="2:4" x14ac:dyDescent="0.25">
      <c r="B560" s="97"/>
      <c r="C560" s="49"/>
      <c r="D560" s="95"/>
    </row>
    <row r="561" spans="2:4" x14ac:dyDescent="0.25">
      <c r="B561" s="97"/>
      <c r="C561" s="49"/>
      <c r="D561" s="95"/>
    </row>
    <row r="562" spans="2:4" x14ac:dyDescent="0.25">
      <c r="B562" s="97"/>
      <c r="C562" s="49"/>
      <c r="D562" s="95"/>
    </row>
    <row r="563" spans="2:4" x14ac:dyDescent="0.25">
      <c r="B563" s="97"/>
      <c r="C563" s="49"/>
      <c r="D563" s="95"/>
    </row>
    <row r="564" spans="2:4" x14ac:dyDescent="0.25">
      <c r="B564" s="97"/>
      <c r="C564" s="49"/>
      <c r="D564" s="95"/>
    </row>
    <row r="565" spans="2:4" x14ac:dyDescent="0.25">
      <c r="B565" s="97"/>
      <c r="C565" s="49"/>
      <c r="D565" s="95"/>
    </row>
    <row r="566" spans="2:4" x14ac:dyDescent="0.25">
      <c r="B566" s="97"/>
      <c r="C566" s="49"/>
      <c r="D566" s="95"/>
    </row>
    <row r="567" spans="2:4" x14ac:dyDescent="0.25">
      <c r="B567" s="97"/>
      <c r="C567" s="49"/>
      <c r="D567" s="95"/>
    </row>
    <row r="568" spans="2:4" x14ac:dyDescent="0.25">
      <c r="B568" s="97"/>
      <c r="C568" s="49"/>
      <c r="D568" s="95"/>
    </row>
    <row r="569" spans="2:4" x14ac:dyDescent="0.25">
      <c r="B569" s="97"/>
      <c r="C569" s="49"/>
      <c r="D569" s="95"/>
    </row>
    <row r="570" spans="2:4" x14ac:dyDescent="0.25">
      <c r="B570" s="97"/>
      <c r="C570" s="49"/>
      <c r="D570" s="95"/>
    </row>
    <row r="571" spans="2:4" x14ac:dyDescent="0.25">
      <c r="B571" s="97"/>
      <c r="C571" s="49"/>
      <c r="D571" s="95"/>
    </row>
    <row r="572" spans="2:4" x14ac:dyDescent="0.25">
      <c r="B572" s="97"/>
      <c r="C572" s="49"/>
      <c r="D572" s="95"/>
    </row>
    <row r="573" spans="2:4" x14ac:dyDescent="0.25">
      <c r="B573" s="97"/>
      <c r="C573" s="49"/>
      <c r="D573" s="95"/>
    </row>
    <row r="574" spans="2:4" x14ac:dyDescent="0.25">
      <c r="B574" s="97"/>
      <c r="C574" s="49"/>
      <c r="D574" s="95"/>
    </row>
    <row r="575" spans="2:4" x14ac:dyDescent="0.25">
      <c r="B575" s="97"/>
      <c r="C575" s="49"/>
      <c r="D575" s="95"/>
    </row>
    <row r="576" spans="2:4" x14ac:dyDescent="0.25">
      <c r="B576" s="97"/>
      <c r="C576" s="49"/>
      <c r="D576" s="95"/>
    </row>
    <row r="577" spans="2:4" x14ac:dyDescent="0.25">
      <c r="B577" s="97"/>
      <c r="C577" s="49"/>
      <c r="D577" s="95"/>
    </row>
    <row r="578" spans="2:4" x14ac:dyDescent="0.25">
      <c r="B578" s="97"/>
      <c r="C578" s="49"/>
      <c r="D578" s="95"/>
    </row>
    <row r="579" spans="2:4" x14ac:dyDescent="0.25">
      <c r="B579" s="97"/>
      <c r="C579" s="49"/>
      <c r="D579" s="95"/>
    </row>
    <row r="580" spans="2:4" x14ac:dyDescent="0.25">
      <c r="B580" s="97"/>
      <c r="C580" s="49"/>
      <c r="D580" s="95"/>
    </row>
    <row r="581" spans="2:4" x14ac:dyDescent="0.25">
      <c r="B581" s="97"/>
      <c r="C581" s="49"/>
      <c r="D581" s="95"/>
    </row>
    <row r="582" spans="2:4" x14ac:dyDescent="0.25">
      <c r="B582" s="97"/>
      <c r="C582" s="49"/>
      <c r="D582" s="95"/>
    </row>
    <row r="583" spans="2:4" x14ac:dyDescent="0.25">
      <c r="B583" s="97"/>
      <c r="C583" s="49"/>
      <c r="D583" s="95"/>
    </row>
    <row r="584" spans="2:4" x14ac:dyDescent="0.25">
      <c r="B584" s="97"/>
      <c r="C584" s="49"/>
      <c r="D584" s="95"/>
    </row>
    <row r="585" spans="2:4" x14ac:dyDescent="0.25">
      <c r="B585" s="97"/>
      <c r="C585" s="49"/>
      <c r="D585" s="95"/>
    </row>
    <row r="586" spans="2:4" x14ac:dyDescent="0.25">
      <c r="B586" s="97"/>
      <c r="C586" s="49"/>
      <c r="D586" s="95"/>
    </row>
    <row r="587" spans="2:4" x14ac:dyDescent="0.25">
      <c r="B587" s="97"/>
      <c r="C587" s="49"/>
      <c r="D587" s="95"/>
    </row>
    <row r="588" spans="2:4" x14ac:dyDescent="0.25">
      <c r="B588" s="97"/>
      <c r="C588" s="49"/>
      <c r="D588" s="95"/>
    </row>
    <row r="589" spans="2:4" x14ac:dyDescent="0.25">
      <c r="B589" s="97"/>
      <c r="C589" s="49"/>
      <c r="D589" s="95"/>
    </row>
    <row r="590" spans="2:4" x14ac:dyDescent="0.25">
      <c r="B590" s="97"/>
      <c r="C590" s="49"/>
      <c r="D590" s="95"/>
    </row>
    <row r="591" spans="2:4" x14ac:dyDescent="0.25">
      <c r="B591" s="97"/>
      <c r="C591" s="49"/>
      <c r="D591" s="95"/>
    </row>
    <row r="592" spans="2:4" x14ac:dyDescent="0.25">
      <c r="B592" s="97"/>
      <c r="C592" s="49"/>
      <c r="D592" s="95"/>
    </row>
    <row r="593" spans="2:4" x14ac:dyDescent="0.25">
      <c r="B593" s="97"/>
      <c r="C593" s="49"/>
      <c r="D593" s="95"/>
    </row>
    <row r="594" spans="2:4" x14ac:dyDescent="0.25">
      <c r="B594" s="97"/>
      <c r="C594" s="49"/>
      <c r="D594" s="95"/>
    </row>
    <row r="595" spans="2:4" x14ac:dyDescent="0.25">
      <c r="B595" s="97"/>
      <c r="C595" s="49"/>
      <c r="D595" s="95"/>
    </row>
    <row r="596" spans="2:4" x14ac:dyDescent="0.25">
      <c r="B596" s="97"/>
      <c r="C596" s="49"/>
      <c r="D596" s="95"/>
    </row>
    <row r="597" spans="2:4" x14ac:dyDescent="0.25">
      <c r="B597" s="97"/>
      <c r="C597" s="49"/>
      <c r="D597" s="95"/>
    </row>
    <row r="598" spans="2:4" x14ac:dyDescent="0.25">
      <c r="B598" s="97"/>
      <c r="C598" s="49"/>
      <c r="D598" s="95"/>
    </row>
    <row r="599" spans="2:4" x14ac:dyDescent="0.25">
      <c r="B599" s="97"/>
      <c r="C599" s="49"/>
      <c r="D599" s="95"/>
    </row>
    <row r="600" spans="2:4" x14ac:dyDescent="0.25">
      <c r="B600" s="97"/>
      <c r="C600" s="49"/>
      <c r="D600" s="95"/>
    </row>
    <row r="601" spans="2:4" x14ac:dyDescent="0.25">
      <c r="B601" s="97"/>
      <c r="C601" s="49"/>
      <c r="D601" s="95"/>
    </row>
    <row r="602" spans="2:4" x14ac:dyDescent="0.25">
      <c r="B602" s="97"/>
      <c r="C602" s="49"/>
      <c r="D602" s="95"/>
    </row>
    <row r="603" spans="2:4" x14ac:dyDescent="0.25">
      <c r="B603" s="97"/>
      <c r="C603" s="49"/>
      <c r="D603" s="95"/>
    </row>
    <row r="604" spans="2:4" x14ac:dyDescent="0.25">
      <c r="B604" s="97"/>
      <c r="C604" s="49"/>
      <c r="D604" s="95"/>
    </row>
    <row r="605" spans="2:4" x14ac:dyDescent="0.25">
      <c r="B605" s="97"/>
      <c r="C605" s="49"/>
      <c r="D605" s="95"/>
    </row>
    <row r="606" spans="2:4" x14ac:dyDescent="0.25">
      <c r="B606" s="97"/>
      <c r="C606" s="49"/>
      <c r="D606" s="95"/>
    </row>
    <row r="607" spans="2:4" x14ac:dyDescent="0.25">
      <c r="B607" s="97"/>
      <c r="C607" s="49"/>
      <c r="D607" s="95"/>
    </row>
    <row r="608" spans="2:4" x14ac:dyDescent="0.25">
      <c r="B608" s="97"/>
      <c r="C608" s="49"/>
      <c r="D608" s="95"/>
    </row>
    <row r="609" spans="2:4" x14ac:dyDescent="0.25">
      <c r="B609" s="97"/>
      <c r="C609" s="49"/>
      <c r="D609" s="95"/>
    </row>
    <row r="610" spans="2:4" x14ac:dyDescent="0.25">
      <c r="B610" s="97"/>
      <c r="C610" s="49"/>
      <c r="D610" s="95"/>
    </row>
    <row r="611" spans="2:4" x14ac:dyDescent="0.25">
      <c r="B611" s="97"/>
      <c r="C611" s="49"/>
      <c r="D611" s="95"/>
    </row>
    <row r="612" spans="2:4" x14ac:dyDescent="0.25">
      <c r="B612" s="97"/>
      <c r="C612" s="49"/>
      <c r="D612" s="95"/>
    </row>
    <row r="613" spans="2:4" x14ac:dyDescent="0.25">
      <c r="B613" s="97"/>
      <c r="C613" s="49"/>
      <c r="D613" s="95"/>
    </row>
    <row r="614" spans="2:4" x14ac:dyDescent="0.25">
      <c r="B614" s="97"/>
      <c r="C614" s="49"/>
      <c r="D614" s="95"/>
    </row>
    <row r="615" spans="2:4" x14ac:dyDescent="0.25">
      <c r="B615" s="97"/>
      <c r="C615" s="49"/>
      <c r="D615" s="95"/>
    </row>
    <row r="616" spans="2:4" x14ac:dyDescent="0.25">
      <c r="B616" s="97"/>
      <c r="C616" s="49"/>
      <c r="D616" s="95"/>
    </row>
    <row r="617" spans="2:4" x14ac:dyDescent="0.25">
      <c r="B617" s="97"/>
      <c r="C617" s="49"/>
      <c r="D617" s="95"/>
    </row>
    <row r="618" spans="2:4" x14ac:dyDescent="0.25">
      <c r="B618" s="97"/>
      <c r="C618" s="49"/>
      <c r="D618" s="95"/>
    </row>
    <row r="619" spans="2:4" x14ac:dyDescent="0.25">
      <c r="B619" s="97"/>
      <c r="C619" s="49"/>
      <c r="D619" s="95"/>
    </row>
    <row r="620" spans="2:4" x14ac:dyDescent="0.25">
      <c r="B620" s="97"/>
      <c r="C620" s="49"/>
      <c r="D620" s="95"/>
    </row>
    <row r="621" spans="2:4" x14ac:dyDescent="0.25">
      <c r="B621" s="97"/>
      <c r="C621" s="49"/>
      <c r="D621" s="95"/>
    </row>
    <row r="622" spans="2:4" x14ac:dyDescent="0.25">
      <c r="B622" s="97"/>
      <c r="C622" s="49"/>
      <c r="D622" s="95"/>
    </row>
    <row r="623" spans="2:4" x14ac:dyDescent="0.25">
      <c r="B623" s="97"/>
      <c r="C623" s="49"/>
      <c r="D623" s="95"/>
    </row>
    <row r="624" spans="2:4" x14ac:dyDescent="0.25">
      <c r="B624" s="97"/>
      <c r="C624" s="49"/>
      <c r="D624" s="95"/>
    </row>
    <row r="625" spans="2:4" x14ac:dyDescent="0.25">
      <c r="B625" s="97"/>
      <c r="C625" s="49"/>
      <c r="D625" s="95"/>
    </row>
    <row r="626" spans="2:4" x14ac:dyDescent="0.25">
      <c r="B626" s="97"/>
      <c r="C626" s="49"/>
      <c r="D626" s="95"/>
    </row>
    <row r="627" spans="2:4" x14ac:dyDescent="0.25">
      <c r="B627" s="97"/>
      <c r="C627" s="49"/>
      <c r="D627" s="95"/>
    </row>
    <row r="628" spans="2:4" x14ac:dyDescent="0.25">
      <c r="B628" s="97"/>
      <c r="C628" s="49"/>
      <c r="D628" s="95"/>
    </row>
    <row r="629" spans="2:4" x14ac:dyDescent="0.25">
      <c r="B629" s="97"/>
      <c r="C629" s="49"/>
      <c r="D629" s="95"/>
    </row>
    <row r="630" spans="2:4" x14ac:dyDescent="0.25">
      <c r="B630" s="97"/>
      <c r="C630" s="49"/>
      <c r="D630" s="95"/>
    </row>
    <row r="631" spans="2:4" x14ac:dyDescent="0.25">
      <c r="B631" s="97"/>
      <c r="C631" s="49"/>
      <c r="D631" s="95"/>
    </row>
    <row r="632" spans="2:4" x14ac:dyDescent="0.25">
      <c r="B632" s="97"/>
      <c r="C632" s="49"/>
      <c r="D632" s="95"/>
    </row>
    <row r="633" spans="2:4" x14ac:dyDescent="0.25">
      <c r="B633" s="97"/>
      <c r="C633" s="49"/>
      <c r="D633" s="95"/>
    </row>
    <row r="634" spans="2:4" x14ac:dyDescent="0.25">
      <c r="B634" s="97"/>
      <c r="C634" s="49"/>
      <c r="D634" s="95"/>
    </row>
    <row r="635" spans="2:4" x14ac:dyDescent="0.25">
      <c r="B635" s="97"/>
      <c r="C635" s="49"/>
      <c r="D635" s="95"/>
    </row>
    <row r="636" spans="2:4" x14ac:dyDescent="0.25">
      <c r="B636" s="97"/>
      <c r="C636" s="49"/>
      <c r="D636" s="95"/>
    </row>
    <row r="637" spans="2:4" x14ac:dyDescent="0.25">
      <c r="B637" s="97"/>
      <c r="C637" s="49"/>
      <c r="D637" s="95"/>
    </row>
    <row r="638" spans="2:4" x14ac:dyDescent="0.25">
      <c r="B638" s="97"/>
      <c r="C638" s="49"/>
      <c r="D638" s="95"/>
    </row>
    <row r="639" spans="2:4" x14ac:dyDescent="0.25">
      <c r="B639" s="97"/>
      <c r="C639" s="49"/>
      <c r="D639" s="95"/>
    </row>
    <row r="640" spans="2:4" x14ac:dyDescent="0.25">
      <c r="B640" s="97"/>
      <c r="C640" s="49"/>
      <c r="D640" s="95"/>
    </row>
    <row r="641" spans="2:4" x14ac:dyDescent="0.25">
      <c r="B641" s="97"/>
      <c r="C641" s="49"/>
      <c r="D641" s="95"/>
    </row>
    <row r="642" spans="2:4" x14ac:dyDescent="0.25">
      <c r="B642" s="97"/>
      <c r="C642" s="49"/>
      <c r="D642" s="95"/>
    </row>
    <row r="643" spans="2:4" x14ac:dyDescent="0.25">
      <c r="B643" s="97"/>
      <c r="C643" s="49"/>
      <c r="D643" s="95"/>
    </row>
    <row r="644" spans="2:4" x14ac:dyDescent="0.25">
      <c r="B644" s="97"/>
      <c r="C644" s="49"/>
      <c r="D644" s="95"/>
    </row>
    <row r="645" spans="2:4" x14ac:dyDescent="0.25">
      <c r="B645" s="97"/>
      <c r="C645" s="49"/>
      <c r="D645" s="95"/>
    </row>
    <row r="646" spans="2:4" x14ac:dyDescent="0.25">
      <c r="B646" s="97"/>
      <c r="C646" s="49"/>
      <c r="D646" s="95"/>
    </row>
    <row r="647" spans="2:4" x14ac:dyDescent="0.25">
      <c r="B647" s="97"/>
      <c r="C647" s="49"/>
      <c r="D647" s="95"/>
    </row>
    <row r="648" spans="2:4" x14ac:dyDescent="0.25">
      <c r="B648" s="97"/>
      <c r="C648" s="49"/>
      <c r="D648" s="95"/>
    </row>
    <row r="649" spans="2:4" x14ac:dyDescent="0.25">
      <c r="B649" s="97"/>
      <c r="C649" s="49"/>
      <c r="D649" s="95"/>
    </row>
    <row r="650" spans="2:4" x14ac:dyDescent="0.25">
      <c r="B650" s="97"/>
      <c r="C650" s="49"/>
      <c r="D650" s="95"/>
    </row>
    <row r="651" spans="2:4" x14ac:dyDescent="0.25">
      <c r="B651" s="97"/>
      <c r="C651" s="49"/>
      <c r="D651" s="95"/>
    </row>
    <row r="652" spans="2:4" x14ac:dyDescent="0.25">
      <c r="B652" s="97"/>
      <c r="C652" s="49"/>
      <c r="D652" s="95"/>
    </row>
    <row r="653" spans="2:4" x14ac:dyDescent="0.25">
      <c r="B653" s="97"/>
      <c r="C653" s="49"/>
      <c r="D653" s="95"/>
    </row>
    <row r="654" spans="2:4" x14ac:dyDescent="0.25">
      <c r="B654" s="97"/>
      <c r="C654" s="49"/>
      <c r="D654" s="95"/>
    </row>
    <row r="655" spans="2:4" x14ac:dyDescent="0.25">
      <c r="B655" s="97"/>
      <c r="C655" s="49"/>
      <c r="D655" s="95"/>
    </row>
    <row r="656" spans="2:4" x14ac:dyDescent="0.25">
      <c r="B656" s="97"/>
      <c r="C656" s="49"/>
      <c r="D656" s="95"/>
    </row>
    <row r="657" spans="2:4" x14ac:dyDescent="0.25">
      <c r="B657" s="97"/>
      <c r="C657" s="49"/>
      <c r="D657" s="95"/>
    </row>
    <row r="658" spans="2:4" x14ac:dyDescent="0.25">
      <c r="B658" s="97"/>
      <c r="C658" s="49"/>
      <c r="D658" s="95"/>
    </row>
    <row r="659" spans="2:4" x14ac:dyDescent="0.25">
      <c r="B659" s="97"/>
      <c r="C659" s="49"/>
      <c r="D659" s="95"/>
    </row>
    <row r="660" spans="2:4" x14ac:dyDescent="0.25">
      <c r="B660" s="97"/>
      <c r="C660" s="49"/>
      <c r="D660" s="95"/>
    </row>
    <row r="661" spans="2:4" x14ac:dyDescent="0.25">
      <c r="B661" s="97"/>
      <c r="C661" s="49"/>
      <c r="D661" s="95"/>
    </row>
    <row r="662" spans="2:4" x14ac:dyDescent="0.25">
      <c r="B662" s="97"/>
      <c r="C662" s="49"/>
      <c r="D662" s="95"/>
    </row>
    <row r="663" spans="2:4" x14ac:dyDescent="0.25">
      <c r="B663" s="97"/>
      <c r="C663" s="49"/>
      <c r="D663" s="95"/>
    </row>
    <row r="664" spans="2:4" x14ac:dyDescent="0.25">
      <c r="B664" s="97"/>
      <c r="C664" s="49"/>
      <c r="D664" s="95"/>
    </row>
    <row r="665" spans="2:4" x14ac:dyDescent="0.25">
      <c r="B665" s="97"/>
      <c r="C665" s="49"/>
      <c r="D665" s="95"/>
    </row>
    <row r="666" spans="2:4" x14ac:dyDescent="0.25">
      <c r="B666" s="97"/>
      <c r="C666" s="49"/>
      <c r="D666" s="95"/>
    </row>
    <row r="667" spans="2:4" x14ac:dyDescent="0.25">
      <c r="B667" s="97"/>
      <c r="C667" s="49"/>
      <c r="D667" s="95"/>
    </row>
    <row r="668" spans="2:4" x14ac:dyDescent="0.25">
      <c r="B668" s="97"/>
      <c r="C668" s="49"/>
      <c r="D668" s="95"/>
    </row>
    <row r="669" spans="2:4" x14ac:dyDescent="0.25">
      <c r="B669" s="97"/>
      <c r="C669" s="49"/>
      <c r="D669" s="95"/>
    </row>
    <row r="670" spans="2:4" x14ac:dyDescent="0.25">
      <c r="B670" s="97"/>
      <c r="C670" s="49"/>
      <c r="D670" s="95"/>
    </row>
    <row r="671" spans="2:4" x14ac:dyDescent="0.25">
      <c r="B671" s="97"/>
      <c r="C671" s="49"/>
      <c r="D671" s="95"/>
    </row>
    <row r="672" spans="2:4" x14ac:dyDescent="0.25">
      <c r="B672" s="97"/>
      <c r="C672" s="49"/>
      <c r="D672" s="95"/>
    </row>
    <row r="673" spans="2:4" x14ac:dyDescent="0.25">
      <c r="B673" s="97"/>
      <c r="C673" s="49"/>
      <c r="D673" s="95"/>
    </row>
    <row r="674" spans="2:4" x14ac:dyDescent="0.25">
      <c r="B674" s="97"/>
      <c r="C674" s="49"/>
      <c r="D674" s="95"/>
    </row>
    <row r="675" spans="2:4" x14ac:dyDescent="0.25">
      <c r="B675" s="97"/>
      <c r="C675" s="49"/>
      <c r="D675" s="95"/>
    </row>
    <row r="676" spans="2:4" x14ac:dyDescent="0.25">
      <c r="B676" s="97"/>
      <c r="C676" s="49"/>
      <c r="D676" s="95"/>
    </row>
    <row r="677" spans="2:4" x14ac:dyDescent="0.25">
      <c r="B677" s="97"/>
      <c r="C677" s="49"/>
      <c r="D677" s="95"/>
    </row>
    <row r="678" spans="2:4" x14ac:dyDescent="0.25">
      <c r="B678" s="97"/>
      <c r="C678" s="49"/>
      <c r="D678" s="95"/>
    </row>
    <row r="679" spans="2:4" x14ac:dyDescent="0.25">
      <c r="B679" s="97"/>
      <c r="C679" s="49"/>
      <c r="D679" s="95"/>
    </row>
    <row r="680" spans="2:4" x14ac:dyDescent="0.25">
      <c r="B680" s="97"/>
      <c r="C680" s="49"/>
      <c r="D680" s="95"/>
    </row>
    <row r="681" spans="2:4" x14ac:dyDescent="0.25">
      <c r="B681" s="97"/>
      <c r="C681" s="49"/>
      <c r="D681" s="95"/>
    </row>
    <row r="682" spans="2:4" x14ac:dyDescent="0.25">
      <c r="B682" s="97"/>
      <c r="C682" s="49"/>
      <c r="D682" s="95"/>
    </row>
    <row r="683" spans="2:4" x14ac:dyDescent="0.25">
      <c r="B683" s="97"/>
      <c r="C683" s="49"/>
      <c r="D683" s="95"/>
    </row>
    <row r="684" spans="2:4" x14ac:dyDescent="0.25">
      <c r="B684" s="97"/>
      <c r="C684" s="49"/>
      <c r="D684" s="95"/>
    </row>
    <row r="685" spans="2:4" x14ac:dyDescent="0.25">
      <c r="B685" s="97"/>
      <c r="C685" s="49"/>
      <c r="D685" s="95"/>
    </row>
    <row r="686" spans="2:4" x14ac:dyDescent="0.25">
      <c r="B686" s="97"/>
      <c r="C686" s="49"/>
      <c r="D686" s="95"/>
    </row>
    <row r="687" spans="2:4" x14ac:dyDescent="0.25">
      <c r="B687" s="97"/>
      <c r="C687" s="49"/>
      <c r="D687" s="95"/>
    </row>
    <row r="688" spans="2:4" x14ac:dyDescent="0.25">
      <c r="B688" s="97"/>
      <c r="C688" s="49"/>
      <c r="D688" s="95"/>
    </row>
    <row r="689" spans="2:4" x14ac:dyDescent="0.25">
      <c r="B689" s="97"/>
      <c r="C689" s="49"/>
      <c r="D689" s="95"/>
    </row>
    <row r="690" spans="2:4" x14ac:dyDescent="0.25">
      <c r="B690" s="97"/>
      <c r="C690" s="49"/>
      <c r="D690" s="95"/>
    </row>
    <row r="691" spans="2:4" x14ac:dyDescent="0.25">
      <c r="B691" s="97"/>
      <c r="C691" s="49"/>
      <c r="D691" s="95"/>
    </row>
    <row r="692" spans="2:4" x14ac:dyDescent="0.25">
      <c r="B692" s="97"/>
      <c r="C692" s="49"/>
      <c r="D692" s="95"/>
    </row>
    <row r="693" spans="2:4" x14ac:dyDescent="0.25">
      <c r="B693" s="97"/>
      <c r="C693" s="49"/>
      <c r="D693" s="95"/>
    </row>
    <row r="694" spans="2:4" x14ac:dyDescent="0.25">
      <c r="B694" s="97"/>
      <c r="C694" s="49"/>
      <c r="D694" s="95"/>
    </row>
    <row r="695" spans="2:4" x14ac:dyDescent="0.25">
      <c r="B695" s="97"/>
      <c r="C695" s="49"/>
      <c r="D695" s="95"/>
    </row>
    <row r="696" spans="2:4" x14ac:dyDescent="0.25">
      <c r="B696" s="97"/>
      <c r="C696" s="49"/>
      <c r="D696" s="95"/>
    </row>
    <row r="697" spans="2:4" x14ac:dyDescent="0.25">
      <c r="B697" s="97"/>
      <c r="C697" s="49"/>
      <c r="D697" s="95"/>
    </row>
    <row r="698" spans="2:4" x14ac:dyDescent="0.25">
      <c r="B698" s="97"/>
      <c r="C698" s="49"/>
      <c r="D698" s="95"/>
    </row>
    <row r="699" spans="2:4" x14ac:dyDescent="0.25">
      <c r="B699" s="97"/>
      <c r="C699" s="49"/>
      <c r="D699" s="95"/>
    </row>
    <row r="700" spans="2:4" x14ac:dyDescent="0.25">
      <c r="B700" s="97"/>
      <c r="C700" s="49"/>
      <c r="D700" s="95"/>
    </row>
    <row r="701" spans="2:4" x14ac:dyDescent="0.25">
      <c r="B701" s="97"/>
      <c r="C701" s="49"/>
      <c r="D701" s="95"/>
    </row>
    <row r="702" spans="2:4" x14ac:dyDescent="0.25">
      <c r="B702" s="97"/>
      <c r="C702" s="49"/>
      <c r="D702" s="95"/>
    </row>
    <row r="703" spans="2:4" x14ac:dyDescent="0.25">
      <c r="B703" s="97"/>
      <c r="C703" s="49"/>
      <c r="D703" s="95"/>
    </row>
    <row r="704" spans="2:4" x14ac:dyDescent="0.25">
      <c r="B704" s="97"/>
      <c r="C704" s="49"/>
      <c r="D704" s="95"/>
    </row>
    <row r="705" spans="2:4" x14ac:dyDescent="0.25">
      <c r="B705" s="97"/>
      <c r="C705" s="49"/>
      <c r="D705" s="95"/>
    </row>
    <row r="706" spans="2:4" x14ac:dyDescent="0.25">
      <c r="B706" s="97"/>
      <c r="C706" s="49"/>
      <c r="D706" s="95"/>
    </row>
    <row r="707" spans="2:4" x14ac:dyDescent="0.25">
      <c r="B707" s="97"/>
      <c r="C707" s="49"/>
      <c r="D707" s="95"/>
    </row>
    <row r="708" spans="2:4" x14ac:dyDescent="0.25">
      <c r="B708" s="97"/>
      <c r="C708" s="49"/>
      <c r="D708" s="95"/>
    </row>
    <row r="709" spans="2:4" x14ac:dyDescent="0.25">
      <c r="B709" s="97"/>
      <c r="C709" s="49"/>
      <c r="D709" s="95"/>
    </row>
    <row r="710" spans="2:4" x14ac:dyDescent="0.25">
      <c r="B710" s="97"/>
      <c r="C710" s="49"/>
      <c r="D710" s="95"/>
    </row>
    <row r="711" spans="2:4" x14ac:dyDescent="0.25">
      <c r="B711" s="97"/>
      <c r="C711" s="49"/>
      <c r="D711" s="95"/>
    </row>
    <row r="712" spans="2:4" x14ac:dyDescent="0.25">
      <c r="B712" s="97"/>
      <c r="C712" s="49"/>
      <c r="D712" s="95"/>
    </row>
    <row r="713" spans="2:4" x14ac:dyDescent="0.25">
      <c r="B713" s="97"/>
      <c r="C713" s="49"/>
      <c r="D713" s="95"/>
    </row>
    <row r="714" spans="2:4" x14ac:dyDescent="0.25">
      <c r="B714" s="97"/>
      <c r="C714" s="49"/>
      <c r="D714" s="95"/>
    </row>
    <row r="715" spans="2:4" x14ac:dyDescent="0.25">
      <c r="B715" s="97"/>
      <c r="C715" s="49"/>
      <c r="D715" s="95"/>
    </row>
    <row r="716" spans="2:4" x14ac:dyDescent="0.25">
      <c r="B716" s="97"/>
      <c r="C716" s="49"/>
      <c r="D716" s="95"/>
    </row>
    <row r="717" spans="2:4" x14ac:dyDescent="0.25">
      <c r="B717" s="97"/>
      <c r="C717" s="49"/>
      <c r="D717" s="95"/>
    </row>
    <row r="718" spans="2:4" x14ac:dyDescent="0.25">
      <c r="B718" s="97"/>
      <c r="C718" s="49"/>
      <c r="D718" s="95"/>
    </row>
    <row r="719" spans="2:4" x14ac:dyDescent="0.25">
      <c r="B719" s="97"/>
      <c r="C719" s="49"/>
      <c r="D719" s="95"/>
    </row>
    <row r="720" spans="2:4" x14ac:dyDescent="0.25">
      <c r="B720" s="97"/>
      <c r="C720" s="49"/>
      <c r="D720" s="95"/>
    </row>
    <row r="721" spans="2:4" x14ac:dyDescent="0.25">
      <c r="B721" s="97"/>
      <c r="C721" s="49"/>
      <c r="D721" s="95"/>
    </row>
    <row r="722" spans="2:4" x14ac:dyDescent="0.25">
      <c r="B722" s="97"/>
      <c r="C722" s="49"/>
      <c r="D722" s="95"/>
    </row>
    <row r="723" spans="2:4" x14ac:dyDescent="0.25">
      <c r="B723" s="97"/>
      <c r="C723" s="49"/>
      <c r="D723" s="95"/>
    </row>
    <row r="724" spans="2:4" x14ac:dyDescent="0.25">
      <c r="B724" s="97"/>
      <c r="C724" s="49"/>
      <c r="D724" s="95"/>
    </row>
    <row r="725" spans="2:4" x14ac:dyDescent="0.25">
      <c r="B725" s="97"/>
      <c r="C725" s="49"/>
      <c r="D725" s="95"/>
    </row>
    <row r="726" spans="2:4" x14ac:dyDescent="0.25">
      <c r="B726" s="97"/>
      <c r="C726" s="49"/>
      <c r="D726" s="95"/>
    </row>
    <row r="727" spans="2:4" x14ac:dyDescent="0.25">
      <c r="B727" s="97"/>
      <c r="C727" s="49"/>
      <c r="D727" s="95"/>
    </row>
    <row r="728" spans="2:4" x14ac:dyDescent="0.25">
      <c r="B728" s="97"/>
      <c r="C728" s="49"/>
      <c r="D728" s="95"/>
    </row>
    <row r="729" spans="2:4" x14ac:dyDescent="0.25">
      <c r="B729" s="97"/>
      <c r="C729" s="49"/>
      <c r="D729" s="95"/>
    </row>
    <row r="730" spans="2:4" x14ac:dyDescent="0.25">
      <c r="B730" s="97"/>
      <c r="C730" s="49"/>
      <c r="D730" s="95"/>
    </row>
    <row r="731" spans="2:4" x14ac:dyDescent="0.25">
      <c r="B731" s="97"/>
      <c r="C731" s="49"/>
      <c r="D731" s="95"/>
    </row>
    <row r="732" spans="2:4" x14ac:dyDescent="0.25">
      <c r="B732" s="97"/>
      <c r="C732" s="49"/>
      <c r="D732" s="95"/>
    </row>
    <row r="733" spans="2:4" x14ac:dyDescent="0.25">
      <c r="B733" s="97"/>
      <c r="C733" s="49"/>
      <c r="D733" s="95"/>
    </row>
    <row r="734" spans="2:4" x14ac:dyDescent="0.25">
      <c r="B734" s="97"/>
      <c r="C734" s="49"/>
      <c r="D734" s="95"/>
    </row>
    <row r="735" spans="2:4" x14ac:dyDescent="0.25">
      <c r="B735" s="97"/>
      <c r="C735" s="49"/>
      <c r="D735" s="95"/>
    </row>
    <row r="736" spans="2:4" x14ac:dyDescent="0.25">
      <c r="B736" s="97"/>
      <c r="C736" s="49"/>
      <c r="D736" s="95"/>
    </row>
    <row r="737" spans="2:4" x14ac:dyDescent="0.25">
      <c r="B737" s="97"/>
      <c r="C737" s="49"/>
      <c r="D737" s="95"/>
    </row>
    <row r="738" spans="2:4" x14ac:dyDescent="0.25">
      <c r="B738" s="97"/>
      <c r="C738" s="49"/>
      <c r="D738" s="95"/>
    </row>
    <row r="739" spans="2:4" x14ac:dyDescent="0.25">
      <c r="B739" s="97"/>
      <c r="C739" s="49"/>
      <c r="D739" s="95"/>
    </row>
    <row r="740" spans="2:4" x14ac:dyDescent="0.25">
      <c r="B740" s="97"/>
      <c r="C740" s="49"/>
      <c r="D740" s="95"/>
    </row>
    <row r="741" spans="2:4" x14ac:dyDescent="0.25">
      <c r="B741" s="97"/>
      <c r="C741" s="49"/>
      <c r="D741" s="95"/>
    </row>
    <row r="742" spans="2:4" x14ac:dyDescent="0.25">
      <c r="B742" s="97"/>
      <c r="C742" s="49"/>
      <c r="D742" s="95"/>
    </row>
    <row r="743" spans="2:4" x14ac:dyDescent="0.25">
      <c r="B743" s="97"/>
      <c r="C743" s="49"/>
      <c r="D743" s="95"/>
    </row>
    <row r="744" spans="2:4" x14ac:dyDescent="0.25">
      <c r="B744" s="97"/>
      <c r="C744" s="49"/>
      <c r="D744" s="95"/>
    </row>
    <row r="745" spans="2:4" x14ac:dyDescent="0.25">
      <c r="B745" s="97"/>
      <c r="C745" s="49"/>
      <c r="D745" s="95"/>
    </row>
    <row r="746" spans="2:4" x14ac:dyDescent="0.25">
      <c r="B746" s="97"/>
      <c r="C746" s="49"/>
      <c r="D746" s="95"/>
    </row>
    <row r="747" spans="2:4" x14ac:dyDescent="0.25">
      <c r="B747" s="97"/>
      <c r="C747" s="49"/>
      <c r="D747" s="95"/>
    </row>
    <row r="748" spans="2:4" x14ac:dyDescent="0.25">
      <c r="B748" s="97"/>
      <c r="C748" s="49"/>
      <c r="D748" s="95"/>
    </row>
    <row r="749" spans="2:4" x14ac:dyDescent="0.25">
      <c r="B749" s="97"/>
      <c r="C749" s="49"/>
      <c r="D749" s="95"/>
    </row>
    <row r="750" spans="2:4" x14ac:dyDescent="0.25">
      <c r="B750" s="97"/>
      <c r="C750" s="49"/>
      <c r="D750" s="95"/>
    </row>
    <row r="751" spans="2:4" x14ac:dyDescent="0.25">
      <c r="B751" s="97"/>
      <c r="C751" s="49"/>
      <c r="D751" s="95"/>
    </row>
    <row r="752" spans="2:4" x14ac:dyDescent="0.25">
      <c r="B752" s="97"/>
      <c r="C752" s="49"/>
      <c r="D752" s="95"/>
    </row>
    <row r="753" spans="2:4" x14ac:dyDescent="0.25">
      <c r="B753" s="97"/>
      <c r="C753" s="49"/>
      <c r="D753" s="95"/>
    </row>
    <row r="754" spans="2:4" x14ac:dyDescent="0.25">
      <c r="B754" s="97"/>
      <c r="C754" s="49"/>
      <c r="D754" s="95"/>
    </row>
    <row r="755" spans="2:4" x14ac:dyDescent="0.25">
      <c r="B755" s="97"/>
      <c r="C755" s="49"/>
      <c r="D755" s="95"/>
    </row>
    <row r="756" spans="2:4" x14ac:dyDescent="0.25">
      <c r="B756" s="97"/>
      <c r="C756" s="49"/>
      <c r="D756" s="95"/>
    </row>
    <row r="757" spans="2:4" x14ac:dyDescent="0.25">
      <c r="B757" s="97"/>
      <c r="C757" s="49"/>
      <c r="D757" s="95"/>
    </row>
    <row r="758" spans="2:4" x14ac:dyDescent="0.25">
      <c r="B758" s="97"/>
      <c r="C758" s="49"/>
      <c r="D758" s="95"/>
    </row>
    <row r="759" spans="2:4" x14ac:dyDescent="0.25">
      <c r="B759" s="97"/>
      <c r="C759" s="49"/>
      <c r="D759" s="95"/>
    </row>
    <row r="760" spans="2:4" x14ac:dyDescent="0.25">
      <c r="B760" s="97"/>
      <c r="C760" s="49"/>
      <c r="D760" s="95"/>
    </row>
    <row r="761" spans="2:4" x14ac:dyDescent="0.25">
      <c r="B761" s="97"/>
      <c r="C761" s="49"/>
      <c r="D761" s="95"/>
    </row>
    <row r="762" spans="2:4" x14ac:dyDescent="0.25">
      <c r="B762" s="97"/>
      <c r="C762" s="49"/>
      <c r="D762" s="95"/>
    </row>
    <row r="763" spans="2:4" x14ac:dyDescent="0.25">
      <c r="B763" s="97"/>
      <c r="C763" s="49"/>
      <c r="D763" s="95"/>
    </row>
    <row r="764" spans="2:4" x14ac:dyDescent="0.25">
      <c r="B764" s="97"/>
      <c r="C764" s="49"/>
      <c r="D764" s="95"/>
    </row>
    <row r="765" spans="2:4" x14ac:dyDescent="0.25">
      <c r="B765" s="97"/>
      <c r="C765" s="49"/>
      <c r="D765" s="95"/>
    </row>
    <row r="766" spans="2:4" x14ac:dyDescent="0.25">
      <c r="B766" s="97"/>
      <c r="C766" s="49"/>
      <c r="D766" s="95"/>
    </row>
    <row r="767" spans="2:4" x14ac:dyDescent="0.25">
      <c r="B767" s="97"/>
      <c r="C767" s="49"/>
      <c r="D767" s="95"/>
    </row>
    <row r="768" spans="2:4" x14ac:dyDescent="0.25">
      <c r="B768" s="97"/>
      <c r="C768" s="49"/>
      <c r="D768" s="95"/>
    </row>
    <row r="769" spans="2:4" x14ac:dyDescent="0.25">
      <c r="B769" s="97"/>
      <c r="C769" s="49"/>
      <c r="D769" s="95"/>
    </row>
    <row r="770" spans="2:4" x14ac:dyDescent="0.25">
      <c r="B770" s="97"/>
      <c r="C770" s="49"/>
      <c r="D770" s="95"/>
    </row>
    <row r="771" spans="2:4" x14ac:dyDescent="0.25">
      <c r="B771" s="97"/>
      <c r="C771" s="49"/>
      <c r="D771" s="95"/>
    </row>
    <row r="772" spans="2:4" x14ac:dyDescent="0.25">
      <c r="B772" s="97"/>
      <c r="C772" s="49"/>
      <c r="D772" s="95"/>
    </row>
    <row r="773" spans="2:4" x14ac:dyDescent="0.25">
      <c r="B773" s="97"/>
      <c r="C773" s="49"/>
      <c r="D773" s="95"/>
    </row>
    <row r="774" spans="2:4" x14ac:dyDescent="0.25">
      <c r="B774" s="97"/>
      <c r="C774" s="49"/>
      <c r="D774" s="95"/>
    </row>
    <row r="775" spans="2:4" x14ac:dyDescent="0.25">
      <c r="B775" s="97"/>
      <c r="C775" s="49"/>
      <c r="D775" s="95"/>
    </row>
    <row r="776" spans="2:4" x14ac:dyDescent="0.25">
      <c r="B776" s="97"/>
      <c r="C776" s="49"/>
      <c r="D776" s="95"/>
    </row>
    <row r="777" spans="2:4" x14ac:dyDescent="0.25">
      <c r="B777" s="97"/>
      <c r="C777" s="49"/>
      <c r="D777" s="95"/>
    </row>
    <row r="778" spans="2:4" x14ac:dyDescent="0.25">
      <c r="B778" s="97"/>
      <c r="C778" s="49"/>
      <c r="D778" s="95"/>
    </row>
    <row r="779" spans="2:4" x14ac:dyDescent="0.25">
      <c r="B779" s="97"/>
      <c r="C779" s="49"/>
      <c r="D779" s="95"/>
    </row>
    <row r="780" spans="2:4" x14ac:dyDescent="0.25">
      <c r="B780" s="97"/>
      <c r="C780" s="49"/>
      <c r="D780" s="95"/>
    </row>
    <row r="781" spans="2:4" x14ac:dyDescent="0.25">
      <c r="B781" s="97"/>
      <c r="C781" s="49"/>
      <c r="D781" s="95"/>
    </row>
    <row r="782" spans="2:4" x14ac:dyDescent="0.25">
      <c r="B782" s="97"/>
      <c r="C782" s="49"/>
      <c r="D782" s="95"/>
    </row>
    <row r="783" spans="2:4" x14ac:dyDescent="0.25">
      <c r="B783" s="97"/>
      <c r="C783" s="49"/>
      <c r="D783" s="95"/>
    </row>
    <row r="784" spans="2:4" x14ac:dyDescent="0.25">
      <c r="B784" s="97"/>
      <c r="C784" s="49"/>
      <c r="D784" s="95"/>
    </row>
    <row r="785" spans="2:4" x14ac:dyDescent="0.25">
      <c r="B785" s="97"/>
      <c r="C785" s="49"/>
      <c r="D785" s="95"/>
    </row>
    <row r="786" spans="2:4" x14ac:dyDescent="0.25">
      <c r="B786" s="97"/>
      <c r="C786" s="49"/>
      <c r="D786" s="95"/>
    </row>
    <row r="787" spans="2:4" x14ac:dyDescent="0.25">
      <c r="B787" s="97"/>
      <c r="C787" s="49"/>
      <c r="D787" s="95"/>
    </row>
    <row r="788" spans="2:4" x14ac:dyDescent="0.25">
      <c r="B788" s="97"/>
      <c r="C788" s="49"/>
      <c r="D788" s="95"/>
    </row>
    <row r="789" spans="2:4" x14ac:dyDescent="0.25">
      <c r="B789" s="97"/>
      <c r="C789" s="49"/>
      <c r="D789" s="95"/>
    </row>
    <row r="790" spans="2:4" x14ac:dyDescent="0.25">
      <c r="B790" s="97"/>
      <c r="C790" s="49"/>
      <c r="D790" s="95"/>
    </row>
    <row r="791" spans="2:4" x14ac:dyDescent="0.25">
      <c r="B791" s="97"/>
      <c r="C791" s="49"/>
      <c r="D791" s="95"/>
    </row>
    <row r="792" spans="2:4" x14ac:dyDescent="0.25">
      <c r="B792" s="97"/>
      <c r="C792" s="49"/>
      <c r="D792" s="95"/>
    </row>
    <row r="793" spans="2:4" x14ac:dyDescent="0.25">
      <c r="B793" s="97"/>
      <c r="C793" s="49"/>
      <c r="D793" s="95"/>
    </row>
    <row r="794" spans="2:4" x14ac:dyDescent="0.25">
      <c r="B794" s="97"/>
      <c r="C794" s="49"/>
      <c r="D794" s="95"/>
    </row>
    <row r="795" spans="2:4" x14ac:dyDescent="0.25">
      <c r="B795" s="97"/>
      <c r="C795" s="49"/>
      <c r="D795" s="95"/>
    </row>
    <row r="796" spans="2:4" x14ac:dyDescent="0.25">
      <c r="B796" s="97"/>
      <c r="C796" s="49"/>
      <c r="D796" s="95"/>
    </row>
    <row r="797" spans="2:4" x14ac:dyDescent="0.25">
      <c r="B797" s="97"/>
      <c r="C797" s="49"/>
      <c r="D797" s="95"/>
    </row>
    <row r="798" spans="2:4" x14ac:dyDescent="0.25">
      <c r="B798" s="97"/>
      <c r="C798" s="49"/>
      <c r="D798" s="95"/>
    </row>
    <row r="799" spans="2:4" x14ac:dyDescent="0.25">
      <c r="B799" s="97"/>
      <c r="C799" s="49"/>
      <c r="D799" s="95"/>
    </row>
    <row r="800" spans="2:4" x14ac:dyDescent="0.25">
      <c r="B800" s="97"/>
      <c r="C800" s="49"/>
      <c r="D800" s="95"/>
    </row>
    <row r="801" spans="2:4" x14ac:dyDescent="0.25">
      <c r="B801" s="97"/>
      <c r="C801" s="49"/>
      <c r="D801" s="95"/>
    </row>
    <row r="802" spans="2:4" x14ac:dyDescent="0.25">
      <c r="B802" s="97"/>
      <c r="C802" s="49"/>
      <c r="D802" s="95"/>
    </row>
    <row r="803" spans="2:4" x14ac:dyDescent="0.25">
      <c r="B803" s="97"/>
      <c r="C803" s="49"/>
      <c r="D803" s="95"/>
    </row>
    <row r="804" spans="2:4" x14ac:dyDescent="0.25">
      <c r="B804" s="97"/>
      <c r="C804" s="49"/>
      <c r="D804" s="95"/>
    </row>
    <row r="805" spans="2:4" x14ac:dyDescent="0.25">
      <c r="B805" s="97"/>
      <c r="C805" s="49"/>
      <c r="D805" s="95"/>
    </row>
    <row r="806" spans="2:4" x14ac:dyDescent="0.25">
      <c r="B806" s="97"/>
      <c r="C806" s="49"/>
      <c r="D806" s="95"/>
    </row>
    <row r="807" spans="2:4" x14ac:dyDescent="0.25">
      <c r="B807" s="97"/>
      <c r="C807" s="49"/>
      <c r="D807" s="95"/>
    </row>
    <row r="808" spans="2:4" x14ac:dyDescent="0.25">
      <c r="B808" s="97"/>
      <c r="C808" s="49"/>
      <c r="D808" s="95"/>
    </row>
    <row r="809" spans="2:4" x14ac:dyDescent="0.25">
      <c r="B809" s="97"/>
      <c r="C809" s="49"/>
      <c r="D809" s="95"/>
    </row>
    <row r="810" spans="2:4" x14ac:dyDescent="0.25">
      <c r="B810" s="97"/>
      <c r="C810" s="49"/>
      <c r="D810" s="95"/>
    </row>
    <row r="811" spans="2:4" x14ac:dyDescent="0.25">
      <c r="B811" s="97"/>
      <c r="C811" s="49"/>
      <c r="D811" s="95"/>
    </row>
    <row r="812" spans="2:4" x14ac:dyDescent="0.25">
      <c r="B812" s="97"/>
      <c r="C812" s="49"/>
      <c r="D812" s="95"/>
    </row>
    <row r="813" spans="2:4" x14ac:dyDescent="0.25">
      <c r="B813" s="97"/>
      <c r="C813" s="49"/>
      <c r="D813" s="95"/>
    </row>
    <row r="814" spans="2:4" x14ac:dyDescent="0.25">
      <c r="B814" s="97"/>
      <c r="C814" s="49"/>
      <c r="D814" s="95"/>
    </row>
    <row r="815" spans="2:4" x14ac:dyDescent="0.25">
      <c r="B815" s="97"/>
      <c r="C815" s="49"/>
      <c r="D815" s="95"/>
    </row>
    <row r="816" spans="2:4" x14ac:dyDescent="0.25">
      <c r="B816" s="97"/>
      <c r="C816" s="49"/>
      <c r="D816" s="95"/>
    </row>
    <row r="817" spans="2:4" x14ac:dyDescent="0.25">
      <c r="B817" s="97"/>
      <c r="C817" s="49"/>
      <c r="D817" s="95"/>
    </row>
    <row r="818" spans="2:4" x14ac:dyDescent="0.25">
      <c r="B818" s="97"/>
      <c r="C818" s="49"/>
      <c r="D818" s="95"/>
    </row>
    <row r="819" spans="2:4" x14ac:dyDescent="0.25">
      <c r="B819" s="97"/>
      <c r="C819" s="49"/>
      <c r="D819" s="95"/>
    </row>
    <row r="820" spans="2:4" x14ac:dyDescent="0.25">
      <c r="B820" s="97"/>
      <c r="C820" s="49"/>
      <c r="D820" s="95"/>
    </row>
    <row r="821" spans="2:4" x14ac:dyDescent="0.25">
      <c r="B821" s="97"/>
      <c r="C821" s="49"/>
      <c r="D821" s="95"/>
    </row>
    <row r="822" spans="2:4" x14ac:dyDescent="0.25">
      <c r="B822" s="97"/>
      <c r="C822" s="49"/>
      <c r="D822" s="95"/>
    </row>
    <row r="823" spans="2:4" x14ac:dyDescent="0.25">
      <c r="B823" s="97"/>
      <c r="C823" s="49"/>
      <c r="D823" s="95"/>
    </row>
    <row r="824" spans="2:4" x14ac:dyDescent="0.25">
      <c r="B824" s="97"/>
      <c r="C824" s="49"/>
      <c r="D824" s="95"/>
    </row>
    <row r="825" spans="2:4" x14ac:dyDescent="0.25">
      <c r="B825" s="97"/>
      <c r="C825" s="49"/>
      <c r="D825" s="95"/>
    </row>
    <row r="826" spans="2:4" x14ac:dyDescent="0.25">
      <c r="B826" s="97"/>
      <c r="C826" s="49"/>
      <c r="D826" s="95"/>
    </row>
    <row r="827" spans="2:4" x14ac:dyDescent="0.25">
      <c r="B827" s="97"/>
      <c r="C827" s="49"/>
      <c r="D827" s="95"/>
    </row>
    <row r="828" spans="2:4" x14ac:dyDescent="0.25">
      <c r="B828" s="97"/>
      <c r="C828" s="49"/>
      <c r="D828" s="95"/>
    </row>
    <row r="829" spans="2:4" x14ac:dyDescent="0.25">
      <c r="B829" s="97"/>
      <c r="C829" s="49"/>
      <c r="D829" s="95"/>
    </row>
    <row r="830" spans="2:4" x14ac:dyDescent="0.25">
      <c r="B830" s="97"/>
      <c r="C830" s="49"/>
      <c r="D830" s="95"/>
    </row>
    <row r="831" spans="2:4" x14ac:dyDescent="0.25">
      <c r="B831" s="97"/>
      <c r="C831" s="49"/>
      <c r="D831" s="95"/>
    </row>
    <row r="832" spans="2:4" x14ac:dyDescent="0.25">
      <c r="B832" s="97"/>
      <c r="C832" s="49"/>
      <c r="D832" s="95"/>
    </row>
    <row r="833" spans="2:4" x14ac:dyDescent="0.25">
      <c r="B833" s="97"/>
      <c r="C833" s="49"/>
      <c r="D833" s="95"/>
    </row>
    <row r="834" spans="2:4" x14ac:dyDescent="0.25">
      <c r="B834" s="97"/>
      <c r="C834" s="49"/>
      <c r="D834" s="95"/>
    </row>
    <row r="835" spans="2:4" x14ac:dyDescent="0.25">
      <c r="B835" s="97"/>
      <c r="C835" s="49"/>
      <c r="D835" s="95"/>
    </row>
    <row r="836" spans="2:4" x14ac:dyDescent="0.25">
      <c r="B836" s="97"/>
      <c r="C836" s="49"/>
      <c r="D836" s="95"/>
    </row>
    <row r="837" spans="2:4" x14ac:dyDescent="0.25">
      <c r="B837" s="97"/>
      <c r="C837" s="49"/>
      <c r="D837" s="95"/>
    </row>
    <row r="838" spans="2:4" x14ac:dyDescent="0.25">
      <c r="B838" s="97"/>
      <c r="C838" s="49"/>
      <c r="D838" s="95"/>
    </row>
    <row r="839" spans="2:4" x14ac:dyDescent="0.25">
      <c r="B839" s="97"/>
      <c r="C839" s="49"/>
      <c r="D839" s="95"/>
    </row>
    <row r="840" spans="2:4" x14ac:dyDescent="0.25">
      <c r="B840" s="97"/>
      <c r="C840" s="49"/>
      <c r="D840" s="95"/>
    </row>
    <row r="841" spans="2:4" x14ac:dyDescent="0.25">
      <c r="B841" s="97"/>
      <c r="C841" s="49"/>
      <c r="D841" s="95"/>
    </row>
    <row r="842" spans="2:4" x14ac:dyDescent="0.25">
      <c r="B842" s="97"/>
      <c r="C842" s="49"/>
      <c r="D842" s="95"/>
    </row>
    <row r="843" spans="2:4" x14ac:dyDescent="0.25">
      <c r="B843" s="97"/>
      <c r="C843" s="49"/>
      <c r="D843" s="95"/>
    </row>
    <row r="844" spans="2:4" x14ac:dyDescent="0.25">
      <c r="B844" s="97"/>
      <c r="C844" s="49"/>
      <c r="D844" s="95"/>
    </row>
    <row r="845" spans="2:4" x14ac:dyDescent="0.25">
      <c r="B845" s="97"/>
      <c r="C845" s="49"/>
      <c r="D845" s="95"/>
    </row>
    <row r="846" spans="2:4" x14ac:dyDescent="0.25">
      <c r="B846" s="97"/>
      <c r="C846" s="49"/>
      <c r="D846" s="95"/>
    </row>
    <row r="847" spans="2:4" x14ac:dyDescent="0.25">
      <c r="B847" s="97"/>
      <c r="C847" s="49"/>
      <c r="D847" s="95"/>
    </row>
    <row r="848" spans="2:4" x14ac:dyDescent="0.25">
      <c r="B848" s="97"/>
      <c r="C848" s="49"/>
      <c r="D848" s="95"/>
    </row>
    <row r="849" spans="2:4" x14ac:dyDescent="0.25">
      <c r="B849" s="97"/>
      <c r="C849" s="49"/>
      <c r="D849" s="95"/>
    </row>
    <row r="850" spans="2:4" x14ac:dyDescent="0.25">
      <c r="B850" s="97"/>
      <c r="C850" s="49"/>
      <c r="D850" s="95"/>
    </row>
    <row r="851" spans="2:4" x14ac:dyDescent="0.25">
      <c r="B851" s="97"/>
      <c r="C851" s="49"/>
      <c r="D851" s="95"/>
    </row>
    <row r="852" spans="2:4" x14ac:dyDescent="0.25">
      <c r="B852" s="97"/>
      <c r="C852" s="49"/>
      <c r="D852" s="95"/>
    </row>
    <row r="853" spans="2:4" x14ac:dyDescent="0.25">
      <c r="B853" s="97"/>
      <c r="C853" s="49"/>
      <c r="D853" s="95"/>
    </row>
    <row r="854" spans="2:4" x14ac:dyDescent="0.25">
      <c r="B854" s="97"/>
      <c r="C854" s="49"/>
      <c r="D854" s="95"/>
    </row>
    <row r="855" spans="2:4" x14ac:dyDescent="0.25">
      <c r="B855" s="97"/>
      <c r="C855" s="49"/>
      <c r="D855" s="95"/>
    </row>
    <row r="856" spans="2:4" x14ac:dyDescent="0.25">
      <c r="B856" s="97"/>
      <c r="C856" s="49"/>
      <c r="D856" s="95"/>
    </row>
    <row r="857" spans="2:4" x14ac:dyDescent="0.25">
      <c r="B857" s="97"/>
      <c r="C857" s="49"/>
      <c r="D857" s="95"/>
    </row>
    <row r="858" spans="2:4" x14ac:dyDescent="0.25">
      <c r="B858" s="97"/>
      <c r="C858" s="49"/>
      <c r="D858" s="95"/>
    </row>
    <row r="859" spans="2:4" x14ac:dyDescent="0.25">
      <c r="B859" s="97"/>
      <c r="C859" s="49"/>
      <c r="D859" s="95"/>
    </row>
    <row r="860" spans="2:4" x14ac:dyDescent="0.25">
      <c r="B860" s="97"/>
      <c r="C860" s="49"/>
      <c r="D860" s="95"/>
    </row>
    <row r="861" spans="2:4" x14ac:dyDescent="0.25">
      <c r="B861" s="97"/>
      <c r="C861" s="49"/>
      <c r="D861" s="95"/>
    </row>
    <row r="862" spans="2:4" x14ac:dyDescent="0.25">
      <c r="B862" s="97"/>
      <c r="C862" s="49"/>
      <c r="D862" s="95"/>
    </row>
    <row r="863" spans="2:4" x14ac:dyDescent="0.25">
      <c r="B863" s="97"/>
      <c r="C863" s="49"/>
      <c r="D863" s="95"/>
    </row>
    <row r="864" spans="2:4" x14ac:dyDescent="0.25">
      <c r="B864" s="97"/>
      <c r="C864" s="49"/>
      <c r="D864" s="95"/>
    </row>
    <row r="865" spans="2:4" x14ac:dyDescent="0.25">
      <c r="B865" s="97"/>
      <c r="C865" s="49"/>
      <c r="D865" s="95"/>
    </row>
    <row r="866" spans="2:4" x14ac:dyDescent="0.25">
      <c r="B866" s="97"/>
      <c r="C866" s="49"/>
      <c r="D866" s="95"/>
    </row>
    <row r="867" spans="2:4" x14ac:dyDescent="0.25">
      <c r="B867" s="97"/>
      <c r="C867" s="49"/>
      <c r="D867" s="95"/>
    </row>
    <row r="868" spans="2:4" x14ac:dyDescent="0.25">
      <c r="B868" s="97"/>
      <c r="C868" s="49"/>
      <c r="D868" s="95"/>
    </row>
    <row r="869" spans="2:4" x14ac:dyDescent="0.25">
      <c r="B869" s="97"/>
      <c r="C869" s="49"/>
      <c r="D869" s="95"/>
    </row>
    <row r="870" spans="2:4" x14ac:dyDescent="0.25">
      <c r="B870" s="97"/>
      <c r="C870" s="49"/>
      <c r="D870" s="95"/>
    </row>
    <row r="871" spans="2:4" x14ac:dyDescent="0.25">
      <c r="B871" s="97"/>
      <c r="C871" s="49"/>
      <c r="D871" s="95"/>
    </row>
    <row r="872" spans="2:4" x14ac:dyDescent="0.25">
      <c r="B872" s="97"/>
      <c r="C872" s="49"/>
      <c r="D872" s="95"/>
    </row>
    <row r="873" spans="2:4" x14ac:dyDescent="0.25">
      <c r="B873" s="97"/>
      <c r="C873" s="49"/>
      <c r="D873" s="95"/>
    </row>
    <row r="874" spans="2:4" x14ac:dyDescent="0.25">
      <c r="B874" s="97"/>
      <c r="C874" s="49"/>
      <c r="D874" s="95"/>
    </row>
    <row r="875" spans="2:4" x14ac:dyDescent="0.25">
      <c r="B875" s="97"/>
      <c r="C875" s="49"/>
      <c r="D875" s="95"/>
    </row>
    <row r="876" spans="2:4" x14ac:dyDescent="0.25">
      <c r="B876" s="97"/>
      <c r="C876" s="49"/>
      <c r="D876" s="95"/>
    </row>
    <row r="877" spans="2:4" x14ac:dyDescent="0.25">
      <c r="B877" s="97"/>
      <c r="C877" s="49"/>
      <c r="D877" s="95"/>
    </row>
    <row r="878" spans="2:4" x14ac:dyDescent="0.25">
      <c r="B878" s="97"/>
      <c r="C878" s="49"/>
      <c r="D878" s="95"/>
    </row>
    <row r="879" spans="2:4" x14ac:dyDescent="0.25">
      <c r="B879" s="97"/>
      <c r="C879" s="49"/>
      <c r="D879" s="95"/>
    </row>
    <row r="880" spans="2:4" x14ac:dyDescent="0.25">
      <c r="B880" s="97"/>
      <c r="C880" s="49"/>
      <c r="D880" s="95"/>
    </row>
    <row r="881" spans="2:4" x14ac:dyDescent="0.25">
      <c r="B881" s="97"/>
      <c r="C881" s="49"/>
      <c r="D881" s="95"/>
    </row>
    <row r="882" spans="2:4" x14ac:dyDescent="0.25">
      <c r="B882" s="97"/>
      <c r="C882" s="49"/>
      <c r="D882" s="95"/>
    </row>
    <row r="883" spans="2:4" x14ac:dyDescent="0.25">
      <c r="B883" s="97"/>
      <c r="C883" s="49"/>
      <c r="D883" s="95"/>
    </row>
    <row r="884" spans="2:4" x14ac:dyDescent="0.25">
      <c r="B884" s="97"/>
      <c r="C884" s="49"/>
      <c r="D884" s="95"/>
    </row>
    <row r="885" spans="2:4" x14ac:dyDescent="0.25">
      <c r="B885" s="97"/>
      <c r="C885" s="49"/>
      <c r="D885" s="95"/>
    </row>
    <row r="886" spans="2:4" x14ac:dyDescent="0.25">
      <c r="B886" s="97"/>
      <c r="C886" s="49"/>
      <c r="D886" s="95"/>
    </row>
    <row r="887" spans="2:4" x14ac:dyDescent="0.25">
      <c r="B887" s="97"/>
      <c r="C887" s="49"/>
      <c r="D887" s="95"/>
    </row>
    <row r="888" spans="2:4" x14ac:dyDescent="0.25">
      <c r="B888" s="97"/>
      <c r="C888" s="49"/>
      <c r="D888" s="95"/>
    </row>
    <row r="889" spans="2:4" x14ac:dyDescent="0.25">
      <c r="B889" s="97"/>
      <c r="C889" s="49"/>
      <c r="D889" s="95"/>
    </row>
    <row r="890" spans="2:4" x14ac:dyDescent="0.25">
      <c r="B890" s="97"/>
      <c r="C890" s="49"/>
      <c r="D890" s="95"/>
    </row>
    <row r="891" spans="2:4" x14ac:dyDescent="0.25">
      <c r="B891" s="97"/>
      <c r="C891" s="49"/>
      <c r="D891" s="95"/>
    </row>
    <row r="892" spans="2:4" x14ac:dyDescent="0.25">
      <c r="B892" s="97"/>
      <c r="C892" s="49"/>
      <c r="D892" s="95"/>
    </row>
    <row r="893" spans="2:4" x14ac:dyDescent="0.25">
      <c r="B893" s="97"/>
      <c r="C893" s="49"/>
      <c r="D893" s="95"/>
    </row>
    <row r="894" spans="2:4" x14ac:dyDescent="0.25">
      <c r="B894" s="97"/>
      <c r="C894" s="49"/>
      <c r="D894" s="95"/>
    </row>
    <row r="895" spans="2:4" x14ac:dyDescent="0.25">
      <c r="B895" s="97"/>
      <c r="C895" s="49"/>
      <c r="D895" s="95"/>
    </row>
    <row r="896" spans="2:4" x14ac:dyDescent="0.25">
      <c r="B896" s="97"/>
      <c r="C896" s="49"/>
      <c r="D896" s="95"/>
    </row>
    <row r="897" spans="2:4" x14ac:dyDescent="0.25">
      <c r="B897" s="97"/>
      <c r="C897" s="49"/>
      <c r="D897" s="95"/>
    </row>
    <row r="898" spans="2:4" x14ac:dyDescent="0.25">
      <c r="B898" s="97"/>
      <c r="C898" s="49"/>
      <c r="D898" s="95"/>
    </row>
    <row r="899" spans="2:4" x14ac:dyDescent="0.25">
      <c r="B899" s="97"/>
      <c r="C899" s="49"/>
      <c r="D899" s="95"/>
    </row>
    <row r="900" spans="2:4" x14ac:dyDescent="0.25">
      <c r="B900" s="97"/>
      <c r="C900" s="49"/>
      <c r="D900" s="95"/>
    </row>
    <row r="901" spans="2:4" x14ac:dyDescent="0.25">
      <c r="B901" s="97"/>
      <c r="C901" s="49"/>
      <c r="D901" s="95"/>
    </row>
    <row r="902" spans="2:4" x14ac:dyDescent="0.25">
      <c r="B902" s="97"/>
      <c r="C902" s="49"/>
      <c r="D902" s="95"/>
    </row>
    <row r="903" spans="2:4" x14ac:dyDescent="0.25">
      <c r="B903" s="97"/>
      <c r="C903" s="49"/>
      <c r="D903" s="95"/>
    </row>
    <row r="904" spans="2:4" x14ac:dyDescent="0.25">
      <c r="B904" s="97"/>
      <c r="C904" s="49"/>
      <c r="D904" s="95"/>
    </row>
    <row r="905" spans="2:4" x14ac:dyDescent="0.25">
      <c r="B905" s="97"/>
      <c r="C905" s="49"/>
      <c r="D905" s="95"/>
    </row>
    <row r="906" spans="2:4" x14ac:dyDescent="0.25">
      <c r="B906" s="97"/>
      <c r="C906" s="49"/>
      <c r="D906" s="95"/>
    </row>
    <row r="907" spans="2:4" x14ac:dyDescent="0.25">
      <c r="B907" s="97"/>
      <c r="C907" s="49"/>
      <c r="D907" s="95"/>
    </row>
    <row r="908" spans="2:4" x14ac:dyDescent="0.25">
      <c r="B908" s="97"/>
      <c r="C908" s="49"/>
      <c r="D908" s="95"/>
    </row>
    <row r="909" spans="2:4" x14ac:dyDescent="0.25">
      <c r="B909" s="97"/>
      <c r="C909" s="49"/>
      <c r="D909" s="95"/>
    </row>
    <row r="910" spans="2:4" x14ac:dyDescent="0.25">
      <c r="B910" s="97"/>
      <c r="C910" s="49"/>
      <c r="D910" s="95"/>
    </row>
    <row r="911" spans="2:4" x14ac:dyDescent="0.25">
      <c r="B911" s="97"/>
      <c r="C911" s="49"/>
      <c r="D911" s="95"/>
    </row>
    <row r="912" spans="2:4" x14ac:dyDescent="0.25">
      <c r="B912" s="97"/>
      <c r="C912" s="49"/>
      <c r="D912" s="95"/>
    </row>
    <row r="913" spans="2:4" x14ac:dyDescent="0.25">
      <c r="B913" s="97"/>
      <c r="C913" s="49"/>
      <c r="D913" s="95"/>
    </row>
    <row r="914" spans="2:4" x14ac:dyDescent="0.25">
      <c r="B914" s="97"/>
      <c r="C914" s="49"/>
      <c r="D914" s="95"/>
    </row>
    <row r="915" spans="2:4" x14ac:dyDescent="0.25">
      <c r="B915" s="97"/>
      <c r="C915" s="49"/>
      <c r="D915" s="95"/>
    </row>
    <row r="916" spans="2:4" x14ac:dyDescent="0.25">
      <c r="B916" s="97"/>
      <c r="C916" s="49"/>
      <c r="D916" s="95"/>
    </row>
    <row r="917" spans="2:4" x14ac:dyDescent="0.25">
      <c r="B917" s="97"/>
      <c r="C917" s="49"/>
      <c r="D917" s="95"/>
    </row>
    <row r="918" spans="2:4" x14ac:dyDescent="0.25">
      <c r="B918" s="97"/>
      <c r="C918" s="49"/>
      <c r="D918" s="95"/>
    </row>
    <row r="919" spans="2:4" x14ac:dyDescent="0.25">
      <c r="B919" s="97"/>
      <c r="C919" s="49"/>
      <c r="D919" s="95"/>
    </row>
    <row r="920" spans="2:4" x14ac:dyDescent="0.25">
      <c r="B920" s="97"/>
      <c r="C920" s="49"/>
      <c r="D920" s="95"/>
    </row>
    <row r="921" spans="2:4" x14ac:dyDescent="0.25">
      <c r="B921" s="97"/>
      <c r="C921" s="49"/>
      <c r="D921" s="95"/>
    </row>
    <row r="922" spans="2:4" x14ac:dyDescent="0.25">
      <c r="B922" s="97"/>
      <c r="C922" s="49"/>
      <c r="D922" s="95"/>
    </row>
    <row r="923" spans="2:4" x14ac:dyDescent="0.25">
      <c r="B923" s="97"/>
      <c r="C923" s="49"/>
      <c r="D923" s="95"/>
    </row>
    <row r="924" spans="2:4" x14ac:dyDescent="0.25">
      <c r="B924" s="97"/>
      <c r="C924" s="49"/>
      <c r="D924" s="95"/>
    </row>
    <row r="925" spans="2:4" x14ac:dyDescent="0.25">
      <c r="B925" s="97"/>
      <c r="C925" s="49"/>
      <c r="D925" s="95"/>
    </row>
    <row r="926" spans="2:4" x14ac:dyDescent="0.25">
      <c r="B926" s="97"/>
      <c r="C926" s="49"/>
      <c r="D926" s="95"/>
    </row>
    <row r="927" spans="2:4" x14ac:dyDescent="0.25">
      <c r="B927" s="97"/>
      <c r="C927" s="49"/>
      <c r="D927" s="95"/>
    </row>
    <row r="928" spans="2:4" x14ac:dyDescent="0.25">
      <c r="B928" s="97"/>
      <c r="C928" s="49"/>
      <c r="D928" s="95"/>
    </row>
    <row r="929" spans="2:4" x14ac:dyDescent="0.25">
      <c r="B929" s="97"/>
      <c r="C929" s="49"/>
      <c r="D929" s="95"/>
    </row>
    <row r="930" spans="2:4" x14ac:dyDescent="0.25">
      <c r="B930" s="97"/>
      <c r="C930" s="49"/>
      <c r="D930" s="95"/>
    </row>
    <row r="931" spans="2:4" x14ac:dyDescent="0.25">
      <c r="B931" s="97"/>
      <c r="C931" s="49"/>
      <c r="D931" s="95"/>
    </row>
    <row r="932" spans="2:4" x14ac:dyDescent="0.25">
      <c r="B932" s="97"/>
      <c r="C932" s="49"/>
      <c r="D932" s="95"/>
    </row>
    <row r="933" spans="2:4" x14ac:dyDescent="0.25">
      <c r="B933" s="97"/>
      <c r="C933" s="49"/>
      <c r="D933" s="95"/>
    </row>
    <row r="934" spans="2:4" x14ac:dyDescent="0.25">
      <c r="B934" s="97"/>
      <c r="C934" s="49"/>
      <c r="D934" s="95"/>
    </row>
    <row r="935" spans="2:4" x14ac:dyDescent="0.25">
      <c r="B935" s="97"/>
      <c r="C935" s="49"/>
      <c r="D935" s="95"/>
    </row>
    <row r="936" spans="2:4" x14ac:dyDescent="0.25">
      <c r="B936" s="97"/>
      <c r="C936" s="49"/>
      <c r="D936" s="95"/>
    </row>
    <row r="937" spans="2:4" x14ac:dyDescent="0.25">
      <c r="B937" s="97"/>
      <c r="C937" s="49"/>
      <c r="D937" s="95"/>
    </row>
    <row r="938" spans="2:4" x14ac:dyDescent="0.25">
      <c r="B938" s="97"/>
      <c r="C938" s="49"/>
      <c r="D938" s="95"/>
    </row>
    <row r="939" spans="2:4" x14ac:dyDescent="0.25">
      <c r="B939" s="97"/>
      <c r="C939" s="49"/>
      <c r="D939" s="95"/>
    </row>
    <row r="940" spans="2:4" x14ac:dyDescent="0.25">
      <c r="B940" s="97"/>
      <c r="C940" s="49"/>
      <c r="D940" s="95"/>
    </row>
    <row r="941" spans="2:4" x14ac:dyDescent="0.25">
      <c r="B941" s="97"/>
      <c r="C941" s="49"/>
      <c r="D941" s="95"/>
    </row>
    <row r="942" spans="2:4" x14ac:dyDescent="0.25">
      <c r="B942" s="97"/>
      <c r="C942" s="49"/>
      <c r="D942" s="95"/>
    </row>
    <row r="943" spans="2:4" x14ac:dyDescent="0.25">
      <c r="B943" s="97"/>
      <c r="C943" s="49"/>
      <c r="D943" s="95"/>
    </row>
    <row r="944" spans="2:4" x14ac:dyDescent="0.25">
      <c r="B944" s="97"/>
      <c r="C944" s="49"/>
      <c r="D944" s="95"/>
    </row>
    <row r="945" spans="2:4" x14ac:dyDescent="0.25">
      <c r="B945" s="97"/>
      <c r="C945" s="49"/>
      <c r="D945" s="95"/>
    </row>
    <row r="946" spans="2:4" x14ac:dyDescent="0.25">
      <c r="B946" s="97"/>
      <c r="C946" s="49"/>
      <c r="D946" s="95"/>
    </row>
    <row r="947" spans="2:4" x14ac:dyDescent="0.25">
      <c r="B947" s="97"/>
      <c r="C947" s="49"/>
      <c r="D947" s="95"/>
    </row>
    <row r="948" spans="2:4" x14ac:dyDescent="0.25">
      <c r="B948" s="97"/>
      <c r="C948" s="49"/>
      <c r="D948" s="95"/>
    </row>
    <row r="949" spans="2:4" x14ac:dyDescent="0.25">
      <c r="B949" s="97"/>
      <c r="C949" s="49"/>
      <c r="D949" s="95"/>
    </row>
    <row r="950" spans="2:4" x14ac:dyDescent="0.25">
      <c r="B950" s="97"/>
      <c r="C950" s="49"/>
      <c r="D950" s="95"/>
    </row>
    <row r="951" spans="2:4" x14ac:dyDescent="0.25">
      <c r="B951" s="97"/>
      <c r="C951" s="49"/>
      <c r="D951" s="95"/>
    </row>
    <row r="952" spans="2:4" x14ac:dyDescent="0.25">
      <c r="B952" s="97"/>
      <c r="C952" s="49"/>
      <c r="D952" s="95"/>
    </row>
    <row r="953" spans="2:4" x14ac:dyDescent="0.25">
      <c r="B953" s="97"/>
      <c r="C953" s="49"/>
      <c r="D953" s="95"/>
    </row>
    <row r="954" spans="2:4" x14ac:dyDescent="0.25">
      <c r="B954" s="97"/>
      <c r="C954" s="49"/>
      <c r="D954" s="95"/>
    </row>
    <row r="955" spans="2:4" x14ac:dyDescent="0.25">
      <c r="B955" s="97"/>
      <c r="C955" s="49"/>
      <c r="D955" s="95"/>
    </row>
    <row r="956" spans="2:4" x14ac:dyDescent="0.25">
      <c r="B956" s="97"/>
      <c r="C956" s="49"/>
      <c r="D956" s="95"/>
    </row>
    <row r="957" spans="2:4" x14ac:dyDescent="0.25">
      <c r="B957" s="97"/>
      <c r="C957" s="49"/>
      <c r="D957" s="95"/>
    </row>
    <row r="958" spans="2:4" x14ac:dyDescent="0.25">
      <c r="B958" s="97"/>
      <c r="C958" s="49"/>
      <c r="D958" s="95"/>
    </row>
    <row r="959" spans="2:4" x14ac:dyDescent="0.25">
      <c r="B959" s="97"/>
      <c r="C959" s="49"/>
      <c r="D959" s="95"/>
    </row>
    <row r="960" spans="2:4" x14ac:dyDescent="0.25">
      <c r="B960" s="97"/>
      <c r="C960" s="49"/>
      <c r="D960" s="95"/>
    </row>
    <row r="961" spans="2:4" x14ac:dyDescent="0.25">
      <c r="B961" s="97"/>
      <c r="C961" s="49"/>
      <c r="D961" s="95"/>
    </row>
    <row r="962" spans="2:4" x14ac:dyDescent="0.25">
      <c r="B962" s="97"/>
      <c r="C962" s="49"/>
      <c r="D962" s="95"/>
    </row>
    <row r="963" spans="2:4" x14ac:dyDescent="0.25">
      <c r="B963" s="97"/>
      <c r="C963" s="49"/>
      <c r="D963" s="95"/>
    </row>
    <row r="964" spans="2:4" x14ac:dyDescent="0.25">
      <c r="B964" s="97"/>
      <c r="C964" s="49"/>
      <c r="D964" s="95"/>
    </row>
    <row r="965" spans="2:4" x14ac:dyDescent="0.25">
      <c r="B965" s="97"/>
      <c r="C965" s="49"/>
      <c r="D965" s="95"/>
    </row>
    <row r="966" spans="2:4" x14ac:dyDescent="0.25">
      <c r="B966" s="97"/>
      <c r="C966" s="49"/>
      <c r="D966" s="95"/>
    </row>
    <row r="967" spans="2:4" x14ac:dyDescent="0.25">
      <c r="B967" s="97"/>
      <c r="C967" s="49"/>
      <c r="D967" s="95"/>
    </row>
    <row r="968" spans="2:4" x14ac:dyDescent="0.25">
      <c r="B968" s="97"/>
      <c r="C968" s="49"/>
      <c r="D968" s="95"/>
    </row>
    <row r="969" spans="2:4" x14ac:dyDescent="0.25">
      <c r="B969" s="97"/>
      <c r="C969" s="49"/>
      <c r="D969" s="95"/>
    </row>
    <row r="970" spans="2:4" x14ac:dyDescent="0.25">
      <c r="B970" s="97"/>
      <c r="C970" s="49"/>
      <c r="D970" s="95"/>
    </row>
    <row r="971" spans="2:4" x14ac:dyDescent="0.25">
      <c r="B971" s="97"/>
      <c r="C971" s="49"/>
      <c r="D971" s="95"/>
    </row>
    <row r="972" spans="2:4" x14ac:dyDescent="0.25">
      <c r="B972" s="97"/>
      <c r="C972" s="49"/>
      <c r="D972" s="95"/>
    </row>
    <row r="973" spans="2:4" x14ac:dyDescent="0.25">
      <c r="B973" s="97"/>
      <c r="C973" s="49"/>
      <c r="D973" s="95"/>
    </row>
    <row r="974" spans="2:4" x14ac:dyDescent="0.25">
      <c r="B974" s="97"/>
      <c r="C974" s="49"/>
      <c r="D974" s="95"/>
    </row>
    <row r="975" spans="2:4" x14ac:dyDescent="0.25">
      <c r="B975" s="97"/>
      <c r="C975" s="49"/>
      <c r="D975" s="95"/>
    </row>
    <row r="976" spans="2:4" x14ac:dyDescent="0.25">
      <c r="B976" s="97"/>
      <c r="C976" s="49"/>
      <c r="D976" s="95"/>
    </row>
    <row r="977" spans="2:4" x14ac:dyDescent="0.25">
      <c r="B977" s="97"/>
      <c r="C977" s="49"/>
      <c r="D977" s="95"/>
    </row>
    <row r="978" spans="2:4" x14ac:dyDescent="0.25">
      <c r="B978" s="97"/>
      <c r="C978" s="49"/>
      <c r="D978" s="95"/>
    </row>
    <row r="979" spans="2:4" x14ac:dyDescent="0.25">
      <c r="B979" s="97"/>
      <c r="C979" s="49"/>
      <c r="D979" s="95"/>
    </row>
    <row r="980" spans="2:4" x14ac:dyDescent="0.25">
      <c r="B980" s="97"/>
      <c r="C980" s="49"/>
      <c r="D980" s="95"/>
    </row>
    <row r="981" spans="2:4" x14ac:dyDescent="0.25">
      <c r="B981" s="97"/>
      <c r="C981" s="49"/>
      <c r="D981" s="95"/>
    </row>
    <row r="982" spans="2:4" x14ac:dyDescent="0.25">
      <c r="B982" s="97"/>
      <c r="C982" s="49"/>
      <c r="D982" s="95"/>
    </row>
    <row r="983" spans="2:4" x14ac:dyDescent="0.25">
      <c r="B983" s="97"/>
      <c r="C983" s="49"/>
      <c r="D983" s="95"/>
    </row>
    <row r="984" spans="2:4" x14ac:dyDescent="0.25">
      <c r="B984" s="97"/>
      <c r="C984" s="49"/>
      <c r="D984" s="95"/>
    </row>
    <row r="985" spans="2:4" x14ac:dyDescent="0.25">
      <c r="B985" s="97"/>
      <c r="C985" s="49"/>
      <c r="D985" s="95"/>
    </row>
    <row r="986" spans="2:4" x14ac:dyDescent="0.25">
      <c r="B986" s="97"/>
      <c r="C986" s="49"/>
      <c r="D986" s="95"/>
    </row>
    <row r="987" spans="2:4" x14ac:dyDescent="0.25">
      <c r="B987" s="97"/>
      <c r="C987" s="49"/>
      <c r="D987" s="95"/>
    </row>
    <row r="988" spans="2:4" x14ac:dyDescent="0.25">
      <c r="B988" s="97"/>
      <c r="C988" s="49"/>
      <c r="D988" s="95"/>
    </row>
    <row r="989" spans="2:4" x14ac:dyDescent="0.25">
      <c r="B989" s="97"/>
      <c r="C989" s="49"/>
      <c r="D989" s="95"/>
    </row>
    <row r="990" spans="2:4" x14ac:dyDescent="0.25">
      <c r="B990" s="97"/>
      <c r="C990" s="49"/>
      <c r="D990" s="95"/>
    </row>
    <row r="991" spans="2:4" x14ac:dyDescent="0.25">
      <c r="B991" s="97"/>
      <c r="C991" s="49"/>
      <c r="D991" s="95"/>
    </row>
    <row r="992" spans="2:4" x14ac:dyDescent="0.25">
      <c r="B992" s="97"/>
      <c r="C992" s="49"/>
      <c r="D992" s="95"/>
    </row>
    <row r="993" spans="2:4" x14ac:dyDescent="0.25">
      <c r="B993" s="97"/>
      <c r="C993" s="49"/>
      <c r="D993" s="95"/>
    </row>
    <row r="994" spans="2:4" x14ac:dyDescent="0.25">
      <c r="B994" s="97"/>
      <c r="C994" s="49"/>
      <c r="D994" s="95"/>
    </row>
    <row r="995" spans="2:4" x14ac:dyDescent="0.25">
      <c r="B995" s="97"/>
      <c r="C995" s="49"/>
      <c r="D995" s="95"/>
    </row>
    <row r="996" spans="2:4" x14ac:dyDescent="0.25">
      <c r="B996" s="97"/>
      <c r="C996" s="49"/>
      <c r="D996" s="95"/>
    </row>
    <row r="997" spans="2:4" x14ac:dyDescent="0.25">
      <c r="B997" s="97"/>
      <c r="C997" s="49"/>
      <c r="D997" s="95"/>
    </row>
    <row r="998" spans="2:4" x14ac:dyDescent="0.25">
      <c r="B998" s="97"/>
      <c r="C998" s="49"/>
      <c r="D998" s="95"/>
    </row>
    <row r="999" spans="2:4" x14ac:dyDescent="0.25">
      <c r="B999" s="97"/>
      <c r="C999" s="49"/>
      <c r="D999" s="95"/>
    </row>
    <row r="1000" spans="2:4" x14ac:dyDescent="0.25">
      <c r="B1000" s="97"/>
      <c r="C1000" s="49"/>
      <c r="D1000" s="95"/>
    </row>
    <row r="1001" spans="2:4" x14ac:dyDescent="0.25">
      <c r="B1001" s="97"/>
      <c r="C1001" s="49"/>
      <c r="D1001" s="95"/>
    </row>
    <row r="1002" spans="2:4" x14ac:dyDescent="0.25">
      <c r="B1002" s="97"/>
      <c r="C1002" s="49"/>
      <c r="D1002" s="95"/>
    </row>
    <row r="1003" spans="2:4" x14ac:dyDescent="0.25">
      <c r="B1003" s="97"/>
      <c r="C1003" s="49"/>
      <c r="D1003" s="95"/>
    </row>
    <row r="1004" spans="2:4" x14ac:dyDescent="0.25">
      <c r="B1004" s="97"/>
      <c r="C1004" s="49"/>
      <c r="D1004" s="95"/>
    </row>
    <row r="1005" spans="2:4" x14ac:dyDescent="0.25">
      <c r="B1005" s="97"/>
      <c r="C1005" s="49"/>
      <c r="D1005" s="95"/>
    </row>
    <row r="1006" spans="2:4" x14ac:dyDescent="0.25">
      <c r="B1006" s="97"/>
      <c r="C1006" s="49"/>
      <c r="D1006" s="95"/>
    </row>
    <row r="1007" spans="2:4" x14ac:dyDescent="0.25">
      <c r="B1007" s="97"/>
      <c r="C1007" s="49"/>
      <c r="D1007" s="95"/>
    </row>
    <row r="1008" spans="2:4" x14ac:dyDescent="0.25">
      <c r="B1008" s="97"/>
      <c r="C1008" s="49"/>
      <c r="D1008" s="95"/>
    </row>
    <row r="1009" spans="2:4" x14ac:dyDescent="0.25">
      <c r="B1009" s="97"/>
      <c r="C1009" s="49"/>
      <c r="D1009" s="95"/>
    </row>
    <row r="1010" spans="2:4" x14ac:dyDescent="0.25">
      <c r="B1010" s="97"/>
      <c r="C1010" s="49"/>
      <c r="D1010" s="95"/>
    </row>
    <row r="1011" spans="2:4" x14ac:dyDescent="0.25">
      <c r="B1011" s="97"/>
      <c r="C1011" s="49"/>
      <c r="D1011" s="95"/>
    </row>
    <row r="1012" spans="2:4" x14ac:dyDescent="0.25">
      <c r="B1012" s="97"/>
      <c r="C1012" s="49"/>
      <c r="D1012" s="95"/>
    </row>
    <row r="1013" spans="2:4" x14ac:dyDescent="0.25">
      <c r="B1013" s="97"/>
      <c r="C1013" s="49"/>
      <c r="D1013" s="95"/>
    </row>
    <row r="1014" spans="2:4" x14ac:dyDescent="0.25">
      <c r="B1014" s="97"/>
      <c r="C1014" s="49"/>
      <c r="D1014" s="95"/>
    </row>
    <row r="1015" spans="2:4" x14ac:dyDescent="0.25">
      <c r="B1015" s="97"/>
      <c r="C1015" s="49"/>
      <c r="D1015" s="95"/>
    </row>
    <row r="1016" spans="2:4" x14ac:dyDescent="0.25">
      <c r="B1016" s="97"/>
      <c r="C1016" s="49"/>
      <c r="D1016" s="95"/>
    </row>
    <row r="1017" spans="2:4" x14ac:dyDescent="0.25">
      <c r="B1017" s="97"/>
      <c r="C1017" s="49"/>
      <c r="D1017" s="95"/>
    </row>
    <row r="1018" spans="2:4" x14ac:dyDescent="0.25">
      <c r="B1018" s="97"/>
      <c r="C1018" s="49"/>
      <c r="D1018" s="95"/>
    </row>
    <row r="1019" spans="2:4" x14ac:dyDescent="0.25">
      <c r="B1019" s="97"/>
      <c r="C1019" s="49"/>
      <c r="D1019" s="95"/>
    </row>
    <row r="1020" spans="2:4" x14ac:dyDescent="0.25">
      <c r="B1020" s="97"/>
      <c r="C1020" s="49"/>
      <c r="D1020" s="95"/>
    </row>
    <row r="1021" spans="2:4" x14ac:dyDescent="0.25">
      <c r="B1021" s="97"/>
      <c r="C1021" s="49"/>
      <c r="D1021" s="95"/>
    </row>
    <row r="1022" spans="2:4" x14ac:dyDescent="0.25">
      <c r="B1022" s="97"/>
      <c r="C1022" s="49"/>
      <c r="D1022" s="95"/>
    </row>
    <row r="1023" spans="2:4" x14ac:dyDescent="0.25">
      <c r="B1023" s="97"/>
      <c r="C1023" s="49"/>
      <c r="D1023" s="95"/>
    </row>
    <row r="1024" spans="2:4" x14ac:dyDescent="0.25">
      <c r="B1024" s="97"/>
      <c r="C1024" s="49"/>
      <c r="D1024" s="95"/>
    </row>
    <row r="1025" spans="2:4" x14ac:dyDescent="0.25">
      <c r="B1025" s="97"/>
      <c r="C1025" s="49"/>
      <c r="D1025" s="95"/>
    </row>
    <row r="1026" spans="2:4" x14ac:dyDescent="0.25">
      <c r="B1026" s="97"/>
      <c r="C1026" s="49"/>
      <c r="D1026" s="95"/>
    </row>
    <row r="1027" spans="2:4" x14ac:dyDescent="0.25">
      <c r="B1027" s="97"/>
      <c r="C1027" s="49"/>
      <c r="D1027" s="95"/>
    </row>
    <row r="1028" spans="2:4" x14ac:dyDescent="0.25">
      <c r="B1028" s="97"/>
      <c r="C1028" s="49"/>
      <c r="D1028" s="95"/>
    </row>
    <row r="1029" spans="2:4" x14ac:dyDescent="0.25">
      <c r="B1029" s="97"/>
      <c r="C1029" s="49"/>
      <c r="D1029" s="95"/>
    </row>
    <row r="1030" spans="2:4" x14ac:dyDescent="0.25">
      <c r="B1030" s="97"/>
      <c r="C1030" s="49"/>
      <c r="D1030" s="95"/>
    </row>
    <row r="1031" spans="2:4" x14ac:dyDescent="0.25">
      <c r="B1031" s="97"/>
      <c r="C1031" s="49"/>
      <c r="D1031" s="95"/>
    </row>
    <row r="1032" spans="2:4" x14ac:dyDescent="0.25">
      <c r="B1032" s="97"/>
      <c r="C1032" s="49"/>
      <c r="D1032" s="95"/>
    </row>
    <row r="1033" spans="2:4" x14ac:dyDescent="0.25">
      <c r="B1033" s="97"/>
      <c r="C1033" s="49"/>
      <c r="D1033" s="95"/>
    </row>
    <row r="1034" spans="2:4" x14ac:dyDescent="0.25">
      <c r="B1034" s="97"/>
      <c r="C1034" s="49"/>
      <c r="D1034" s="95"/>
    </row>
    <row r="1035" spans="2:4" x14ac:dyDescent="0.25">
      <c r="B1035" s="97"/>
      <c r="C1035" s="49"/>
      <c r="D1035" s="95"/>
    </row>
    <row r="1036" spans="2:4" x14ac:dyDescent="0.25">
      <c r="B1036" s="97"/>
      <c r="C1036" s="49"/>
      <c r="D1036" s="95"/>
    </row>
    <row r="1037" spans="2:4" x14ac:dyDescent="0.25">
      <c r="B1037" s="97"/>
      <c r="C1037" s="49"/>
      <c r="D1037" s="95"/>
    </row>
    <row r="1038" spans="2:4" x14ac:dyDescent="0.25">
      <c r="B1038" s="97"/>
      <c r="C1038" s="49"/>
      <c r="D1038" s="95"/>
    </row>
    <row r="1039" spans="2:4" x14ac:dyDescent="0.25">
      <c r="B1039" s="97"/>
      <c r="C1039" s="49"/>
      <c r="D1039" s="95"/>
    </row>
    <row r="1040" spans="2:4" x14ac:dyDescent="0.25">
      <c r="B1040" s="97"/>
      <c r="C1040" s="49"/>
      <c r="D1040" s="95"/>
    </row>
    <row r="1041" spans="2:4" x14ac:dyDescent="0.25">
      <c r="B1041" s="97"/>
      <c r="C1041" s="49"/>
      <c r="D1041" s="95"/>
    </row>
    <row r="1042" spans="2:4" x14ac:dyDescent="0.25">
      <c r="B1042" s="97"/>
      <c r="C1042" s="49"/>
      <c r="D1042" s="95"/>
    </row>
    <row r="1043" spans="2:4" x14ac:dyDescent="0.25">
      <c r="B1043" s="97"/>
      <c r="C1043" s="49"/>
      <c r="D1043" s="95"/>
    </row>
    <row r="1044" spans="2:4" x14ac:dyDescent="0.25">
      <c r="B1044" s="97"/>
      <c r="C1044" s="49"/>
      <c r="D1044" s="95"/>
    </row>
    <row r="1045" spans="2:4" x14ac:dyDescent="0.25">
      <c r="B1045" s="97"/>
      <c r="C1045" s="49"/>
      <c r="D1045" s="95"/>
    </row>
    <row r="1046" spans="2:4" x14ac:dyDescent="0.25">
      <c r="B1046" s="97"/>
      <c r="C1046" s="49"/>
      <c r="D1046" s="95"/>
    </row>
    <row r="1047" spans="2:4" x14ac:dyDescent="0.25">
      <c r="B1047" s="97"/>
      <c r="C1047" s="49"/>
      <c r="D1047" s="95"/>
    </row>
    <row r="1048" spans="2:4" x14ac:dyDescent="0.25">
      <c r="B1048" s="97"/>
      <c r="C1048" s="49"/>
      <c r="D1048" s="95"/>
    </row>
    <row r="1049" spans="2:4" x14ac:dyDescent="0.25">
      <c r="B1049" s="97"/>
      <c r="C1049" s="49"/>
      <c r="D1049" s="95"/>
    </row>
    <row r="1050" spans="2:4" x14ac:dyDescent="0.25">
      <c r="B1050" s="97"/>
      <c r="C1050" s="49"/>
      <c r="D1050" s="95"/>
    </row>
    <row r="1051" spans="2:4" x14ac:dyDescent="0.25">
      <c r="B1051" s="97"/>
      <c r="C1051" s="49"/>
      <c r="D1051" s="95"/>
    </row>
    <row r="1052" spans="2:4" x14ac:dyDescent="0.25">
      <c r="B1052" s="97"/>
      <c r="C1052" s="49"/>
      <c r="D1052" s="95"/>
    </row>
    <row r="1053" spans="2:4" x14ac:dyDescent="0.25">
      <c r="B1053" s="97"/>
      <c r="C1053" s="49"/>
      <c r="D1053" s="95"/>
    </row>
    <row r="1054" spans="2:4" x14ac:dyDescent="0.25">
      <c r="B1054" s="97"/>
      <c r="C1054" s="49"/>
      <c r="D1054" s="95"/>
    </row>
    <row r="1055" spans="2:4" x14ac:dyDescent="0.25">
      <c r="B1055" s="97"/>
      <c r="C1055" s="49"/>
      <c r="D1055" s="95"/>
    </row>
    <row r="1056" spans="2:4" x14ac:dyDescent="0.25">
      <c r="B1056" s="97"/>
      <c r="C1056" s="49"/>
      <c r="D1056" s="95"/>
    </row>
    <row r="1057" spans="2:4" x14ac:dyDescent="0.25">
      <c r="B1057" s="97"/>
      <c r="C1057" s="49"/>
      <c r="D1057" s="95"/>
    </row>
    <row r="1058" spans="2:4" x14ac:dyDescent="0.25">
      <c r="B1058" s="97"/>
      <c r="C1058" s="49"/>
      <c r="D1058" s="95"/>
    </row>
    <row r="1059" spans="2:4" x14ac:dyDescent="0.25">
      <c r="B1059" s="97"/>
      <c r="C1059" s="49"/>
      <c r="D1059" s="95"/>
    </row>
    <row r="1060" spans="2:4" x14ac:dyDescent="0.25">
      <c r="B1060" s="97"/>
      <c r="C1060" s="49"/>
      <c r="D1060" s="95"/>
    </row>
    <row r="1061" spans="2:4" x14ac:dyDescent="0.25">
      <c r="B1061" s="97"/>
      <c r="C1061" s="49"/>
      <c r="D1061" s="95"/>
    </row>
    <row r="1062" spans="2:4" x14ac:dyDescent="0.25">
      <c r="B1062" s="97"/>
      <c r="C1062" s="49"/>
      <c r="D1062" s="95"/>
    </row>
    <row r="1063" spans="2:4" x14ac:dyDescent="0.25">
      <c r="B1063" s="97"/>
      <c r="C1063" s="49"/>
      <c r="D1063" s="95"/>
    </row>
    <row r="1064" spans="2:4" x14ac:dyDescent="0.25">
      <c r="B1064" s="97"/>
      <c r="C1064" s="49"/>
      <c r="D1064" s="95"/>
    </row>
    <row r="1065" spans="2:4" x14ac:dyDescent="0.25">
      <c r="B1065" s="97"/>
      <c r="C1065" s="49"/>
      <c r="D1065" s="95"/>
    </row>
    <row r="1066" spans="2:4" x14ac:dyDescent="0.25">
      <c r="B1066" s="97"/>
      <c r="C1066" s="49"/>
      <c r="D1066" s="95"/>
    </row>
    <row r="1067" spans="2:4" x14ac:dyDescent="0.25">
      <c r="B1067" s="97"/>
      <c r="C1067" s="49"/>
      <c r="D1067" s="95"/>
    </row>
    <row r="1068" spans="2:4" x14ac:dyDescent="0.25">
      <c r="B1068" s="97"/>
      <c r="C1068" s="49"/>
      <c r="D1068" s="95"/>
    </row>
    <row r="1069" spans="2:4" x14ac:dyDescent="0.25">
      <c r="B1069" s="97"/>
      <c r="C1069" s="49"/>
      <c r="D1069" s="95"/>
    </row>
    <row r="1070" spans="2:4" x14ac:dyDescent="0.25">
      <c r="B1070" s="97"/>
      <c r="C1070" s="49"/>
      <c r="D1070" s="95"/>
    </row>
    <row r="1071" spans="2:4" x14ac:dyDescent="0.25">
      <c r="B1071" s="97"/>
      <c r="C1071" s="49"/>
      <c r="D1071" s="95"/>
    </row>
    <row r="1072" spans="2:4" x14ac:dyDescent="0.25">
      <c r="B1072" s="97"/>
      <c r="C1072" s="49"/>
      <c r="D1072" s="95"/>
    </row>
    <row r="1073" spans="2:4" x14ac:dyDescent="0.25">
      <c r="B1073" s="97"/>
      <c r="C1073" s="49"/>
      <c r="D1073" s="95"/>
    </row>
    <row r="1074" spans="2:4" x14ac:dyDescent="0.25">
      <c r="B1074" s="97"/>
      <c r="C1074" s="49"/>
      <c r="D1074" s="95"/>
    </row>
    <row r="1075" spans="2:4" x14ac:dyDescent="0.25">
      <c r="B1075" s="97"/>
      <c r="C1075" s="49"/>
      <c r="D1075" s="95"/>
    </row>
    <row r="1076" spans="2:4" x14ac:dyDescent="0.25">
      <c r="B1076" s="97"/>
      <c r="C1076" s="49"/>
      <c r="D1076" s="95"/>
    </row>
    <row r="1077" spans="2:4" x14ac:dyDescent="0.25">
      <c r="B1077" s="97"/>
      <c r="C1077" s="49"/>
      <c r="D1077" s="95"/>
    </row>
    <row r="1078" spans="2:4" x14ac:dyDescent="0.25">
      <c r="B1078" s="97"/>
      <c r="C1078" s="49"/>
      <c r="D1078" s="95"/>
    </row>
    <row r="1079" spans="2:4" x14ac:dyDescent="0.25">
      <c r="B1079" s="97"/>
      <c r="C1079" s="49"/>
      <c r="D1079" s="95"/>
    </row>
    <row r="1080" spans="2:4" x14ac:dyDescent="0.25">
      <c r="B1080" s="97"/>
      <c r="C1080" s="49"/>
      <c r="D1080" s="95"/>
    </row>
    <row r="1081" spans="2:4" x14ac:dyDescent="0.25">
      <c r="B1081" s="97"/>
      <c r="C1081" s="49"/>
      <c r="D1081" s="95"/>
    </row>
    <row r="1082" spans="2:4" x14ac:dyDescent="0.25">
      <c r="B1082" s="97"/>
      <c r="C1082" s="49"/>
      <c r="D1082" s="95"/>
    </row>
    <row r="1083" spans="2:4" x14ac:dyDescent="0.25">
      <c r="B1083" s="97"/>
      <c r="C1083" s="49"/>
      <c r="D1083" s="95"/>
    </row>
    <row r="1084" spans="2:4" x14ac:dyDescent="0.25">
      <c r="B1084" s="97"/>
      <c r="C1084" s="49"/>
      <c r="D1084" s="95"/>
    </row>
    <row r="1085" spans="2:4" x14ac:dyDescent="0.25">
      <c r="B1085" s="97"/>
      <c r="C1085" s="49"/>
      <c r="D1085" s="95"/>
    </row>
    <row r="1086" spans="2:4" x14ac:dyDescent="0.25">
      <c r="B1086" s="97"/>
      <c r="C1086" s="49"/>
      <c r="D1086" s="95"/>
    </row>
    <row r="1087" spans="2:4" x14ac:dyDescent="0.25">
      <c r="B1087" s="97"/>
      <c r="C1087" s="49"/>
      <c r="D1087" s="95"/>
    </row>
    <row r="1088" spans="2:4" x14ac:dyDescent="0.25">
      <c r="B1088" s="97"/>
      <c r="C1088" s="49"/>
      <c r="D1088" s="95"/>
    </row>
    <row r="1089" spans="2:4" x14ac:dyDescent="0.25">
      <c r="B1089" s="97"/>
      <c r="C1089" s="49"/>
      <c r="D1089" s="95"/>
    </row>
    <row r="1090" spans="2:4" x14ac:dyDescent="0.25">
      <c r="B1090" s="97"/>
      <c r="C1090" s="49"/>
      <c r="D1090" s="95"/>
    </row>
    <row r="1091" spans="2:4" x14ac:dyDescent="0.25">
      <c r="B1091" s="97"/>
      <c r="C1091" s="49"/>
      <c r="D1091" s="95"/>
    </row>
    <row r="1092" spans="2:4" x14ac:dyDescent="0.25">
      <c r="B1092" s="97"/>
      <c r="C1092" s="49"/>
      <c r="D1092" s="95"/>
    </row>
    <row r="1093" spans="2:4" x14ac:dyDescent="0.25">
      <c r="B1093" s="97"/>
      <c r="C1093" s="49"/>
      <c r="D1093" s="95"/>
    </row>
    <row r="1094" spans="2:4" x14ac:dyDescent="0.25">
      <c r="B1094" s="97"/>
      <c r="C1094" s="49"/>
      <c r="D1094" s="95"/>
    </row>
    <row r="1095" spans="2:4" x14ac:dyDescent="0.25">
      <c r="B1095" s="97"/>
      <c r="C1095" s="49"/>
      <c r="D1095" s="95"/>
    </row>
    <row r="1096" spans="2:4" x14ac:dyDescent="0.25">
      <c r="B1096" s="97"/>
      <c r="C1096" s="49"/>
      <c r="D1096" s="95"/>
    </row>
    <row r="1097" spans="2:4" x14ac:dyDescent="0.25">
      <c r="B1097" s="97"/>
      <c r="C1097" s="49"/>
      <c r="D1097" s="95"/>
    </row>
    <row r="1098" spans="2:4" x14ac:dyDescent="0.25">
      <c r="B1098" s="97"/>
      <c r="C1098" s="49"/>
      <c r="D1098" s="95"/>
    </row>
    <row r="1099" spans="2:4" x14ac:dyDescent="0.25">
      <c r="B1099" s="97"/>
      <c r="C1099" s="49"/>
      <c r="D1099" s="95"/>
    </row>
    <row r="1100" spans="2:4" x14ac:dyDescent="0.25">
      <c r="B1100" s="97"/>
      <c r="C1100" s="49"/>
      <c r="D1100" s="95"/>
    </row>
    <row r="1101" spans="2:4" x14ac:dyDescent="0.25">
      <c r="B1101" s="97"/>
      <c r="C1101" s="49"/>
      <c r="D1101" s="95"/>
    </row>
    <row r="1102" spans="2:4" x14ac:dyDescent="0.25">
      <c r="B1102" s="97"/>
      <c r="C1102" s="49"/>
      <c r="D1102" s="95"/>
    </row>
    <row r="1103" spans="2:4" x14ac:dyDescent="0.25">
      <c r="B1103" s="97"/>
      <c r="C1103" s="49"/>
      <c r="D1103" s="95"/>
    </row>
    <row r="1104" spans="2:4" x14ac:dyDescent="0.25">
      <c r="B1104" s="97"/>
      <c r="C1104" s="49"/>
      <c r="D1104" s="95"/>
    </row>
    <row r="1105" spans="2:4" x14ac:dyDescent="0.25">
      <c r="B1105" s="97"/>
      <c r="C1105" s="49"/>
      <c r="D1105" s="95"/>
    </row>
    <row r="1106" spans="2:4" x14ac:dyDescent="0.25">
      <c r="B1106" s="97"/>
      <c r="C1106" s="49"/>
      <c r="D1106" s="95"/>
    </row>
    <row r="1107" spans="2:4" x14ac:dyDescent="0.25">
      <c r="B1107" s="97"/>
      <c r="C1107" s="49"/>
      <c r="D1107" s="95"/>
    </row>
    <row r="1108" spans="2:4" x14ac:dyDescent="0.25">
      <c r="B1108" s="97"/>
      <c r="C1108" s="49"/>
      <c r="D1108" s="95"/>
    </row>
    <row r="1109" spans="2:4" x14ac:dyDescent="0.25">
      <c r="B1109" s="97"/>
      <c r="C1109" s="49"/>
      <c r="D1109" s="95"/>
    </row>
    <row r="1110" spans="2:4" x14ac:dyDescent="0.25">
      <c r="B1110" s="97"/>
      <c r="C1110" s="49"/>
      <c r="D1110" s="95"/>
    </row>
    <row r="1111" spans="2:4" x14ac:dyDescent="0.25">
      <c r="B1111" s="97"/>
      <c r="C1111" s="49"/>
      <c r="D1111" s="95"/>
    </row>
    <row r="1112" spans="2:4" x14ac:dyDescent="0.25">
      <c r="B1112" s="97"/>
      <c r="C1112" s="49"/>
      <c r="D1112" s="95"/>
    </row>
    <row r="1113" spans="2:4" x14ac:dyDescent="0.25">
      <c r="B1113" s="97"/>
      <c r="C1113" s="49"/>
      <c r="D1113" s="95"/>
    </row>
    <row r="1114" spans="2:4" x14ac:dyDescent="0.25">
      <c r="B1114" s="97"/>
      <c r="C1114" s="49"/>
      <c r="D1114" s="95"/>
    </row>
    <row r="1115" spans="2:4" x14ac:dyDescent="0.25">
      <c r="B1115" s="97"/>
      <c r="C1115" s="49"/>
      <c r="D1115" s="95"/>
    </row>
    <row r="1116" spans="2:4" x14ac:dyDescent="0.25">
      <c r="B1116" s="97"/>
      <c r="C1116" s="49"/>
      <c r="D1116" s="95"/>
    </row>
    <row r="1117" spans="2:4" x14ac:dyDescent="0.25">
      <c r="B1117" s="97"/>
      <c r="C1117" s="49"/>
      <c r="D1117" s="95"/>
    </row>
    <row r="1118" spans="2:4" x14ac:dyDescent="0.25">
      <c r="B1118" s="97"/>
      <c r="C1118" s="49"/>
      <c r="D1118" s="95"/>
    </row>
    <row r="1119" spans="2:4" x14ac:dyDescent="0.25">
      <c r="B1119" s="97"/>
      <c r="C1119" s="49"/>
      <c r="D1119" s="95"/>
    </row>
    <row r="1120" spans="2:4" x14ac:dyDescent="0.25">
      <c r="B1120" s="97"/>
      <c r="C1120" s="49"/>
      <c r="D1120" s="95"/>
    </row>
    <row r="1121" spans="2:4" x14ac:dyDescent="0.25">
      <c r="B1121" s="97"/>
      <c r="C1121" s="49"/>
      <c r="D1121" s="95"/>
    </row>
    <row r="1122" spans="2:4" x14ac:dyDescent="0.25">
      <c r="B1122" s="97"/>
      <c r="C1122" s="49"/>
      <c r="D1122" s="95"/>
    </row>
    <row r="1123" spans="2:4" x14ac:dyDescent="0.25">
      <c r="B1123" s="97"/>
      <c r="C1123" s="49"/>
      <c r="D1123" s="95"/>
    </row>
    <row r="1124" spans="2:4" x14ac:dyDescent="0.25">
      <c r="B1124" s="97"/>
      <c r="C1124" s="49"/>
      <c r="D1124" s="95"/>
    </row>
    <row r="1125" spans="2:4" x14ac:dyDescent="0.25">
      <c r="B1125" s="97"/>
      <c r="C1125" s="49"/>
      <c r="D1125" s="95"/>
    </row>
    <row r="1126" spans="2:4" x14ac:dyDescent="0.25">
      <c r="B1126" s="97"/>
      <c r="C1126" s="49"/>
      <c r="D1126" s="95"/>
    </row>
    <row r="1127" spans="2:4" x14ac:dyDescent="0.25">
      <c r="B1127" s="97"/>
      <c r="C1127" s="49"/>
      <c r="D1127" s="95"/>
    </row>
    <row r="1128" spans="2:4" x14ac:dyDescent="0.25">
      <c r="B1128" s="97"/>
      <c r="C1128" s="49"/>
      <c r="D1128" s="95"/>
    </row>
    <row r="1129" spans="2:4" x14ac:dyDescent="0.25">
      <c r="B1129" s="97"/>
      <c r="C1129" s="49"/>
      <c r="D1129" s="95"/>
    </row>
    <row r="1130" spans="2:4" x14ac:dyDescent="0.25">
      <c r="B1130" s="97"/>
      <c r="C1130" s="49"/>
      <c r="D1130" s="95"/>
    </row>
    <row r="1131" spans="2:4" x14ac:dyDescent="0.25">
      <c r="B1131" s="97"/>
      <c r="C1131" s="49"/>
      <c r="D1131" s="95"/>
    </row>
    <row r="1132" spans="2:4" x14ac:dyDescent="0.25">
      <c r="B1132" s="97"/>
      <c r="C1132" s="49"/>
      <c r="D1132" s="95"/>
    </row>
    <row r="1133" spans="2:4" x14ac:dyDescent="0.25">
      <c r="B1133" s="97"/>
      <c r="C1133" s="49"/>
      <c r="D1133" s="95"/>
    </row>
    <row r="1134" spans="2:4" x14ac:dyDescent="0.25">
      <c r="B1134" s="97"/>
      <c r="C1134" s="49"/>
      <c r="D1134" s="95"/>
    </row>
    <row r="1135" spans="2:4" x14ac:dyDescent="0.25">
      <c r="B1135" s="97"/>
      <c r="C1135" s="49"/>
      <c r="D1135" s="95"/>
    </row>
    <row r="1136" spans="2:4" x14ac:dyDescent="0.25">
      <c r="B1136" s="97"/>
      <c r="C1136" s="49"/>
      <c r="D1136" s="95"/>
    </row>
    <row r="1137" spans="2:4" x14ac:dyDescent="0.25">
      <c r="B1137" s="97"/>
      <c r="C1137" s="49"/>
      <c r="D1137" s="95"/>
    </row>
    <row r="1138" spans="2:4" x14ac:dyDescent="0.25">
      <c r="B1138" s="97"/>
      <c r="C1138" s="49"/>
      <c r="D1138" s="95"/>
    </row>
    <row r="1139" spans="2:4" x14ac:dyDescent="0.25">
      <c r="B1139" s="97"/>
      <c r="C1139" s="49"/>
      <c r="D1139" s="95"/>
    </row>
    <row r="1140" spans="2:4" x14ac:dyDescent="0.25">
      <c r="B1140" s="97"/>
      <c r="C1140" s="49"/>
      <c r="D1140" s="95"/>
    </row>
    <row r="1141" spans="2:4" x14ac:dyDescent="0.25">
      <c r="B1141" s="97"/>
      <c r="C1141" s="49"/>
      <c r="D1141" s="95"/>
    </row>
    <row r="1142" spans="2:4" x14ac:dyDescent="0.25">
      <c r="B1142" s="97"/>
      <c r="C1142" s="49"/>
      <c r="D1142" s="95"/>
    </row>
    <row r="1143" spans="2:4" x14ac:dyDescent="0.25">
      <c r="B1143" s="97"/>
      <c r="C1143" s="49"/>
      <c r="D1143" s="95"/>
    </row>
    <row r="1144" spans="2:4" x14ac:dyDescent="0.25">
      <c r="B1144" s="97"/>
      <c r="C1144" s="49"/>
      <c r="D1144" s="95"/>
    </row>
    <row r="1145" spans="2:4" x14ac:dyDescent="0.25">
      <c r="B1145" s="97"/>
      <c r="C1145" s="49"/>
      <c r="D1145" s="95"/>
    </row>
    <row r="1146" spans="2:4" x14ac:dyDescent="0.25">
      <c r="B1146" s="97"/>
      <c r="C1146" s="49"/>
      <c r="D1146" s="95"/>
    </row>
    <row r="1147" spans="2:4" x14ac:dyDescent="0.25">
      <c r="B1147" s="97"/>
      <c r="C1147" s="49"/>
      <c r="D1147" s="95"/>
    </row>
    <row r="1148" spans="2:4" x14ac:dyDescent="0.25">
      <c r="B1148" s="97"/>
      <c r="C1148" s="49"/>
      <c r="D1148" s="95"/>
    </row>
    <row r="1149" spans="2:4" x14ac:dyDescent="0.25">
      <c r="B1149" s="97"/>
      <c r="C1149" s="49"/>
      <c r="D1149" s="95"/>
    </row>
    <row r="1150" spans="2:4" x14ac:dyDescent="0.25">
      <c r="B1150" s="97"/>
      <c r="C1150" s="49"/>
      <c r="D1150" s="95"/>
    </row>
    <row r="1151" spans="2:4" x14ac:dyDescent="0.25">
      <c r="B1151" s="97"/>
      <c r="C1151" s="49"/>
      <c r="D1151" s="95"/>
    </row>
    <row r="1152" spans="2:4" x14ac:dyDescent="0.25">
      <c r="B1152" s="97"/>
      <c r="C1152" s="49"/>
      <c r="D1152" s="95"/>
    </row>
    <row r="1153" spans="2:4" x14ac:dyDescent="0.25">
      <c r="B1153" s="97"/>
      <c r="C1153" s="49"/>
      <c r="D1153" s="95"/>
    </row>
    <row r="1154" spans="2:4" x14ac:dyDescent="0.25">
      <c r="B1154" s="97"/>
      <c r="C1154" s="49"/>
      <c r="D1154" s="95"/>
    </row>
    <row r="1155" spans="2:4" x14ac:dyDescent="0.25">
      <c r="B1155" s="97"/>
      <c r="C1155" s="49"/>
      <c r="D1155" s="95"/>
    </row>
    <row r="1156" spans="2:4" x14ac:dyDescent="0.25">
      <c r="B1156" s="97"/>
      <c r="C1156" s="49"/>
      <c r="D1156" s="95"/>
    </row>
    <row r="1157" spans="2:4" x14ac:dyDescent="0.25">
      <c r="B1157" s="97"/>
      <c r="C1157" s="49"/>
      <c r="D1157" s="95"/>
    </row>
    <row r="1158" spans="2:4" x14ac:dyDescent="0.25">
      <c r="B1158" s="97"/>
      <c r="C1158" s="49"/>
      <c r="D1158" s="95"/>
    </row>
    <row r="1159" spans="2:4" x14ac:dyDescent="0.25">
      <c r="B1159" s="97"/>
      <c r="C1159" s="49"/>
      <c r="D1159" s="95"/>
    </row>
    <row r="1160" spans="2:4" x14ac:dyDescent="0.25">
      <c r="B1160" s="97"/>
      <c r="C1160" s="49"/>
      <c r="D1160" s="95"/>
    </row>
    <row r="1161" spans="2:4" x14ac:dyDescent="0.25">
      <c r="B1161" s="97"/>
      <c r="C1161" s="49"/>
      <c r="D1161" s="95"/>
    </row>
    <row r="1162" spans="2:4" x14ac:dyDescent="0.25">
      <c r="B1162" s="97"/>
      <c r="C1162" s="49"/>
      <c r="D1162" s="95"/>
    </row>
    <row r="1163" spans="2:4" x14ac:dyDescent="0.25">
      <c r="B1163" s="97"/>
      <c r="C1163" s="49"/>
      <c r="D1163" s="95"/>
    </row>
    <row r="1164" spans="2:4" x14ac:dyDescent="0.25">
      <c r="B1164" s="97"/>
      <c r="C1164" s="49"/>
      <c r="D1164" s="95"/>
    </row>
    <row r="1165" spans="2:4" x14ac:dyDescent="0.25">
      <c r="B1165" s="97"/>
      <c r="C1165" s="49"/>
      <c r="D1165" s="95"/>
    </row>
    <row r="1166" spans="2:4" x14ac:dyDescent="0.25">
      <c r="B1166" s="97"/>
      <c r="C1166" s="49"/>
      <c r="D1166" s="95"/>
    </row>
    <row r="1167" spans="2:4" x14ac:dyDescent="0.25">
      <c r="B1167" s="97"/>
      <c r="C1167" s="49"/>
      <c r="D1167" s="95"/>
    </row>
    <row r="1168" spans="2:4" x14ac:dyDescent="0.25">
      <c r="B1168" s="97"/>
      <c r="C1168" s="49"/>
      <c r="D1168" s="95"/>
    </row>
    <row r="1169" spans="2:4" x14ac:dyDescent="0.25">
      <c r="B1169" s="97"/>
      <c r="C1169" s="49"/>
      <c r="D1169" s="95"/>
    </row>
    <row r="1170" spans="2:4" x14ac:dyDescent="0.25">
      <c r="B1170" s="97"/>
      <c r="C1170" s="49"/>
      <c r="D1170" s="95"/>
    </row>
    <row r="1171" spans="2:4" x14ac:dyDescent="0.25">
      <c r="B1171" s="97"/>
      <c r="C1171" s="49"/>
      <c r="D1171" s="95"/>
    </row>
    <row r="1172" spans="2:4" x14ac:dyDescent="0.25">
      <c r="B1172" s="97"/>
      <c r="C1172" s="49"/>
      <c r="D1172" s="95"/>
    </row>
    <row r="1173" spans="2:4" x14ac:dyDescent="0.25">
      <c r="B1173" s="97"/>
      <c r="C1173" s="49"/>
      <c r="D1173" s="95"/>
    </row>
    <row r="1174" spans="2:4" x14ac:dyDescent="0.25">
      <c r="B1174" s="97"/>
      <c r="C1174" s="49"/>
      <c r="D1174" s="95"/>
    </row>
    <row r="1175" spans="2:4" x14ac:dyDescent="0.25">
      <c r="B1175" s="97"/>
      <c r="C1175" s="49"/>
      <c r="D1175" s="95"/>
    </row>
    <row r="1176" spans="2:4" x14ac:dyDescent="0.25">
      <c r="B1176" s="97"/>
      <c r="C1176" s="49"/>
      <c r="D1176" s="95"/>
    </row>
    <row r="1177" spans="2:4" x14ac:dyDescent="0.25">
      <c r="B1177" s="97"/>
      <c r="C1177" s="49"/>
      <c r="D1177" s="95"/>
    </row>
    <row r="1178" spans="2:4" x14ac:dyDescent="0.25">
      <c r="B1178" s="97"/>
      <c r="C1178" s="49"/>
      <c r="D1178" s="95"/>
    </row>
    <row r="1179" spans="2:4" x14ac:dyDescent="0.25">
      <c r="B1179" s="97"/>
      <c r="C1179" s="49"/>
      <c r="D1179" s="95"/>
    </row>
    <row r="1180" spans="2:4" x14ac:dyDescent="0.25">
      <c r="B1180" s="97"/>
      <c r="C1180" s="49"/>
      <c r="D1180" s="95"/>
    </row>
    <row r="1181" spans="2:4" x14ac:dyDescent="0.25">
      <c r="B1181" s="97"/>
      <c r="C1181" s="49"/>
      <c r="D1181" s="95"/>
    </row>
    <row r="1182" spans="2:4" x14ac:dyDescent="0.25">
      <c r="B1182" s="97"/>
      <c r="C1182" s="49"/>
      <c r="D1182" s="95"/>
    </row>
    <row r="1183" spans="2:4" x14ac:dyDescent="0.25">
      <c r="B1183" s="97"/>
      <c r="C1183" s="49"/>
      <c r="D1183" s="95"/>
    </row>
    <row r="1184" spans="2:4" x14ac:dyDescent="0.25">
      <c r="B1184" s="97"/>
      <c r="C1184" s="49"/>
      <c r="D1184" s="95"/>
    </row>
    <row r="1185" spans="2:4" x14ac:dyDescent="0.25">
      <c r="B1185" s="97"/>
      <c r="C1185" s="49"/>
      <c r="D1185" s="95"/>
    </row>
    <row r="1186" spans="2:4" x14ac:dyDescent="0.25">
      <c r="B1186" s="97"/>
      <c r="C1186" s="49"/>
      <c r="D1186" s="95"/>
    </row>
    <row r="1187" spans="2:4" x14ac:dyDescent="0.25">
      <c r="B1187" s="97"/>
      <c r="C1187" s="49"/>
      <c r="D1187" s="95"/>
    </row>
    <row r="1188" spans="2:4" x14ac:dyDescent="0.25">
      <c r="B1188" s="97"/>
      <c r="C1188" s="49"/>
      <c r="D1188" s="95"/>
    </row>
    <row r="1189" spans="2:4" x14ac:dyDescent="0.25">
      <c r="B1189" s="97"/>
      <c r="C1189" s="49"/>
      <c r="D1189" s="95"/>
    </row>
    <row r="1190" spans="2:4" x14ac:dyDescent="0.25">
      <c r="B1190" s="97"/>
      <c r="C1190" s="49"/>
      <c r="D1190" s="95"/>
    </row>
    <row r="1191" spans="2:4" x14ac:dyDescent="0.25">
      <c r="B1191" s="97"/>
      <c r="C1191" s="49"/>
      <c r="D1191" s="95"/>
    </row>
    <row r="1192" spans="2:4" x14ac:dyDescent="0.25">
      <c r="B1192" s="97"/>
      <c r="C1192" s="49"/>
      <c r="D1192" s="95"/>
    </row>
    <row r="1193" spans="2:4" x14ac:dyDescent="0.25">
      <c r="B1193" s="97"/>
      <c r="C1193" s="49"/>
      <c r="D1193" s="95"/>
    </row>
    <row r="1194" spans="2:4" x14ac:dyDescent="0.25">
      <c r="B1194" s="97"/>
      <c r="C1194" s="49"/>
      <c r="D1194" s="95"/>
    </row>
    <row r="1195" spans="2:4" x14ac:dyDescent="0.25">
      <c r="B1195" s="97"/>
      <c r="C1195" s="49"/>
      <c r="D1195" s="95"/>
    </row>
    <row r="1196" spans="2:4" x14ac:dyDescent="0.25">
      <c r="B1196" s="97"/>
      <c r="C1196" s="49"/>
      <c r="D1196" s="95"/>
    </row>
    <row r="1197" spans="2:4" x14ac:dyDescent="0.25">
      <c r="B1197" s="97"/>
      <c r="C1197" s="49"/>
      <c r="D1197" s="95"/>
    </row>
    <row r="1198" spans="2:4" x14ac:dyDescent="0.25">
      <c r="B1198" s="97"/>
      <c r="C1198" s="49"/>
      <c r="D1198" s="95"/>
    </row>
    <row r="1199" spans="2:4" x14ac:dyDescent="0.25">
      <c r="B1199" s="97"/>
      <c r="C1199" s="49"/>
      <c r="D1199" s="95"/>
    </row>
    <row r="1200" spans="2:4" x14ac:dyDescent="0.25">
      <c r="B1200" s="97"/>
      <c r="C1200" s="49"/>
      <c r="D1200" s="95"/>
    </row>
    <row r="1201" spans="2:4" x14ac:dyDescent="0.25">
      <c r="B1201" s="97"/>
      <c r="C1201" s="49"/>
      <c r="D1201" s="95"/>
    </row>
    <row r="1202" spans="2:4" x14ac:dyDescent="0.25">
      <c r="B1202" s="97"/>
      <c r="C1202" s="49"/>
      <c r="D1202" s="95"/>
    </row>
    <row r="1203" spans="2:4" x14ac:dyDescent="0.25">
      <c r="B1203" s="97"/>
      <c r="C1203" s="49"/>
      <c r="D1203" s="95"/>
    </row>
    <row r="1204" spans="2:4" x14ac:dyDescent="0.25">
      <c r="B1204" s="97"/>
      <c r="C1204" s="49"/>
      <c r="D1204" s="95"/>
    </row>
    <row r="1205" spans="2:4" x14ac:dyDescent="0.25">
      <c r="B1205" s="97"/>
      <c r="C1205" s="49"/>
      <c r="D1205" s="95"/>
    </row>
    <row r="1206" spans="2:4" x14ac:dyDescent="0.25">
      <c r="B1206" s="97"/>
      <c r="C1206" s="49"/>
      <c r="D1206" s="95"/>
    </row>
    <row r="1207" spans="2:4" x14ac:dyDescent="0.25">
      <c r="B1207" s="97"/>
      <c r="C1207" s="49"/>
      <c r="D1207" s="95"/>
    </row>
    <row r="1208" spans="2:4" x14ac:dyDescent="0.25">
      <c r="B1208" s="97"/>
      <c r="C1208" s="49"/>
      <c r="D1208" s="95"/>
    </row>
    <row r="1209" spans="2:4" x14ac:dyDescent="0.25">
      <c r="B1209" s="97"/>
      <c r="C1209" s="49"/>
      <c r="D1209" s="95"/>
    </row>
    <row r="1210" spans="2:4" x14ac:dyDescent="0.25">
      <c r="B1210" s="97"/>
      <c r="C1210" s="49"/>
      <c r="D1210" s="95"/>
    </row>
    <row r="1211" spans="2:4" x14ac:dyDescent="0.25">
      <c r="B1211" s="97"/>
      <c r="C1211" s="49"/>
      <c r="D1211" s="95"/>
    </row>
    <row r="1212" spans="2:4" x14ac:dyDescent="0.25">
      <c r="B1212" s="97"/>
      <c r="C1212" s="49"/>
      <c r="D1212" s="95"/>
    </row>
    <row r="1213" spans="2:4" x14ac:dyDescent="0.25">
      <c r="B1213" s="97"/>
      <c r="C1213" s="49"/>
      <c r="D1213" s="95"/>
    </row>
    <row r="1214" spans="2:4" x14ac:dyDescent="0.25">
      <c r="B1214" s="97"/>
      <c r="C1214" s="49"/>
      <c r="D1214" s="95"/>
    </row>
    <row r="1215" spans="2:4" x14ac:dyDescent="0.25">
      <c r="B1215" s="97"/>
      <c r="C1215" s="49"/>
      <c r="D1215" s="95"/>
    </row>
    <row r="1216" spans="2:4" x14ac:dyDescent="0.25">
      <c r="B1216" s="97"/>
      <c r="C1216" s="49"/>
      <c r="D1216" s="95"/>
    </row>
    <row r="1217" spans="2:4" x14ac:dyDescent="0.25">
      <c r="B1217" s="97"/>
      <c r="C1217" s="49"/>
      <c r="D1217" s="95"/>
    </row>
    <row r="1218" spans="2:4" x14ac:dyDescent="0.25">
      <c r="B1218" s="97"/>
      <c r="C1218" s="49"/>
      <c r="D1218" s="95"/>
    </row>
    <row r="1219" spans="2:4" x14ac:dyDescent="0.25">
      <c r="B1219" s="97"/>
      <c r="C1219" s="49"/>
      <c r="D1219" s="95"/>
    </row>
    <row r="1220" spans="2:4" x14ac:dyDescent="0.25">
      <c r="B1220" s="97"/>
      <c r="C1220" s="49"/>
      <c r="D1220" s="95"/>
    </row>
    <row r="1221" spans="2:4" x14ac:dyDescent="0.25">
      <c r="B1221" s="97"/>
      <c r="C1221" s="49"/>
      <c r="D1221" s="95"/>
    </row>
    <row r="1222" spans="2:4" x14ac:dyDescent="0.25">
      <c r="B1222" s="97"/>
      <c r="C1222" s="49"/>
      <c r="D1222" s="95"/>
    </row>
    <row r="1223" spans="2:4" x14ac:dyDescent="0.25">
      <c r="B1223" s="97"/>
      <c r="C1223" s="49"/>
      <c r="D1223" s="95"/>
    </row>
    <row r="1224" spans="2:4" x14ac:dyDescent="0.25">
      <c r="B1224" s="97"/>
      <c r="C1224" s="49"/>
      <c r="D1224" s="95"/>
    </row>
    <row r="1225" spans="2:4" x14ac:dyDescent="0.25">
      <c r="B1225" s="97"/>
      <c r="C1225" s="49"/>
      <c r="D1225" s="95"/>
    </row>
    <row r="1226" spans="2:4" x14ac:dyDescent="0.25">
      <c r="B1226" s="97"/>
      <c r="C1226" s="49"/>
      <c r="D1226" s="95"/>
    </row>
    <row r="1227" spans="2:4" x14ac:dyDescent="0.25">
      <c r="B1227" s="97"/>
      <c r="C1227" s="49"/>
      <c r="D1227" s="95"/>
    </row>
    <row r="1228" spans="2:4" x14ac:dyDescent="0.25">
      <c r="B1228" s="97"/>
      <c r="C1228" s="49"/>
      <c r="D1228" s="95"/>
    </row>
    <row r="1229" spans="2:4" x14ac:dyDescent="0.25">
      <c r="B1229" s="97"/>
      <c r="C1229" s="49"/>
      <c r="D1229" s="95"/>
    </row>
    <row r="1230" spans="2:4" x14ac:dyDescent="0.25">
      <c r="B1230" s="97"/>
      <c r="C1230" s="49"/>
      <c r="D1230" s="95"/>
    </row>
    <row r="1231" spans="2:4" x14ac:dyDescent="0.25">
      <c r="B1231" s="97"/>
      <c r="C1231" s="49"/>
      <c r="D1231" s="95"/>
    </row>
    <row r="1232" spans="2:4" x14ac:dyDescent="0.25">
      <c r="B1232" s="97"/>
      <c r="C1232" s="49"/>
      <c r="D1232" s="95"/>
    </row>
    <row r="1233" spans="2:4" x14ac:dyDescent="0.25">
      <c r="B1233" s="97"/>
      <c r="C1233" s="49"/>
      <c r="D1233" s="95"/>
    </row>
    <row r="1234" spans="2:4" x14ac:dyDescent="0.25">
      <c r="B1234" s="97"/>
      <c r="C1234" s="49"/>
      <c r="D1234" s="95"/>
    </row>
    <row r="1235" spans="2:4" x14ac:dyDescent="0.25">
      <c r="B1235" s="97"/>
      <c r="C1235" s="49"/>
      <c r="D1235" s="95"/>
    </row>
    <row r="1236" spans="2:4" x14ac:dyDescent="0.25">
      <c r="B1236" s="97"/>
      <c r="C1236" s="49"/>
      <c r="D1236" s="95"/>
    </row>
    <row r="1237" spans="2:4" x14ac:dyDescent="0.25">
      <c r="B1237" s="97"/>
      <c r="C1237" s="49"/>
      <c r="D1237" s="95"/>
    </row>
    <row r="1238" spans="2:4" x14ac:dyDescent="0.25">
      <c r="B1238" s="97"/>
      <c r="C1238" s="49"/>
      <c r="D1238" s="95"/>
    </row>
    <row r="1239" spans="2:4" x14ac:dyDescent="0.25">
      <c r="B1239" s="97"/>
      <c r="C1239" s="49"/>
      <c r="D1239" s="95"/>
    </row>
    <row r="1240" spans="2:4" x14ac:dyDescent="0.25">
      <c r="B1240" s="97"/>
      <c r="C1240" s="49"/>
      <c r="D1240" s="95"/>
    </row>
    <row r="1241" spans="2:4" x14ac:dyDescent="0.25">
      <c r="B1241" s="97"/>
      <c r="C1241" s="49"/>
      <c r="D1241" s="95"/>
    </row>
    <row r="1242" spans="2:4" x14ac:dyDescent="0.25">
      <c r="B1242" s="97"/>
      <c r="C1242" s="49"/>
      <c r="D1242" s="95"/>
    </row>
    <row r="1243" spans="2:4" x14ac:dyDescent="0.25">
      <c r="B1243" s="97"/>
      <c r="C1243" s="49"/>
      <c r="D1243" s="95"/>
    </row>
    <row r="1244" spans="2:4" x14ac:dyDescent="0.25">
      <c r="B1244" s="97"/>
      <c r="C1244" s="49"/>
      <c r="D1244" s="95"/>
    </row>
    <row r="1245" spans="2:4" x14ac:dyDescent="0.25">
      <c r="B1245" s="97"/>
      <c r="C1245" s="49"/>
      <c r="D1245" s="95"/>
    </row>
    <row r="1246" spans="2:4" x14ac:dyDescent="0.25">
      <c r="B1246" s="97"/>
      <c r="C1246" s="49"/>
      <c r="D1246" s="95"/>
    </row>
    <row r="1247" spans="2:4" x14ac:dyDescent="0.25">
      <c r="B1247" s="97"/>
      <c r="C1247" s="49"/>
      <c r="D1247" s="95"/>
    </row>
    <row r="1248" spans="2:4" x14ac:dyDescent="0.25">
      <c r="B1248" s="97"/>
      <c r="C1248" s="49"/>
      <c r="D1248" s="95"/>
    </row>
    <row r="1249" spans="2:4" x14ac:dyDescent="0.25">
      <c r="B1249" s="97"/>
      <c r="C1249" s="49"/>
      <c r="D1249" s="95"/>
    </row>
    <row r="1250" spans="2:4" x14ac:dyDescent="0.25">
      <c r="B1250" s="97"/>
      <c r="C1250" s="49"/>
      <c r="D1250" s="95"/>
    </row>
    <row r="1251" spans="2:4" x14ac:dyDescent="0.25">
      <c r="B1251" s="97"/>
      <c r="C1251" s="49"/>
      <c r="D1251" s="95"/>
    </row>
    <row r="1252" spans="2:4" x14ac:dyDescent="0.25">
      <c r="B1252" s="97"/>
      <c r="C1252" s="49"/>
      <c r="D1252" s="95"/>
    </row>
    <row r="1253" spans="2:4" x14ac:dyDescent="0.25">
      <c r="B1253" s="97"/>
      <c r="C1253" s="49"/>
      <c r="D1253" s="95"/>
    </row>
    <row r="1254" spans="2:4" x14ac:dyDescent="0.25">
      <c r="B1254" s="97"/>
      <c r="C1254" s="49"/>
      <c r="D1254" s="95"/>
    </row>
    <row r="1255" spans="2:4" x14ac:dyDescent="0.25">
      <c r="B1255" s="97"/>
      <c r="C1255" s="49"/>
      <c r="D1255" s="95"/>
    </row>
    <row r="1256" spans="2:4" x14ac:dyDescent="0.25">
      <c r="B1256" s="97"/>
      <c r="C1256" s="49"/>
      <c r="D1256" s="95"/>
    </row>
    <row r="1257" spans="2:4" x14ac:dyDescent="0.25">
      <c r="B1257" s="97"/>
      <c r="C1257" s="49"/>
      <c r="D1257" s="95"/>
    </row>
    <row r="1258" spans="2:4" x14ac:dyDescent="0.25">
      <c r="B1258" s="97"/>
      <c r="C1258" s="49"/>
      <c r="D1258" s="95"/>
    </row>
    <row r="1259" spans="2:4" x14ac:dyDescent="0.25">
      <c r="B1259" s="97"/>
      <c r="C1259" s="49"/>
      <c r="D1259" s="95"/>
    </row>
    <row r="1260" spans="2:4" x14ac:dyDescent="0.25">
      <c r="B1260" s="97"/>
      <c r="C1260" s="49"/>
      <c r="D1260" s="95"/>
    </row>
    <row r="1261" spans="2:4" x14ac:dyDescent="0.25">
      <c r="B1261" s="97"/>
      <c r="C1261" s="49"/>
      <c r="D1261" s="95"/>
    </row>
    <row r="1262" spans="2:4" x14ac:dyDescent="0.25">
      <c r="B1262" s="97"/>
      <c r="C1262" s="49"/>
      <c r="D1262" s="95"/>
    </row>
    <row r="1263" spans="2:4" x14ac:dyDescent="0.25">
      <c r="B1263" s="97"/>
      <c r="C1263" s="49"/>
      <c r="D1263" s="95"/>
    </row>
    <row r="1264" spans="2:4" x14ac:dyDescent="0.25">
      <c r="B1264" s="97"/>
      <c r="C1264" s="49"/>
      <c r="D1264" s="95"/>
    </row>
    <row r="1265" spans="2:4" x14ac:dyDescent="0.25">
      <c r="B1265" s="97"/>
      <c r="C1265" s="49"/>
      <c r="D1265" s="95"/>
    </row>
    <row r="1266" spans="2:4" x14ac:dyDescent="0.25">
      <c r="B1266" s="97"/>
      <c r="C1266" s="49"/>
      <c r="D1266" s="95"/>
    </row>
    <row r="1267" spans="2:4" x14ac:dyDescent="0.25">
      <c r="B1267" s="97"/>
      <c r="C1267" s="49"/>
      <c r="D1267" s="95"/>
    </row>
    <row r="1268" spans="2:4" x14ac:dyDescent="0.25">
      <c r="B1268" s="97"/>
      <c r="C1268" s="49"/>
      <c r="D1268" s="95"/>
    </row>
    <row r="1269" spans="2:4" x14ac:dyDescent="0.25">
      <c r="B1269" s="97"/>
      <c r="C1269" s="49"/>
      <c r="D1269" s="95"/>
    </row>
    <row r="1270" spans="2:4" x14ac:dyDescent="0.25">
      <c r="B1270" s="97"/>
      <c r="C1270" s="49"/>
      <c r="D1270" s="95"/>
    </row>
    <row r="1271" spans="2:4" x14ac:dyDescent="0.25">
      <c r="B1271" s="97"/>
      <c r="C1271" s="49"/>
      <c r="D1271" s="95"/>
    </row>
    <row r="1272" spans="2:4" x14ac:dyDescent="0.25">
      <c r="B1272" s="97"/>
      <c r="C1272" s="49"/>
      <c r="D1272" s="95"/>
    </row>
    <row r="1273" spans="2:4" x14ac:dyDescent="0.25">
      <c r="B1273" s="97"/>
      <c r="C1273" s="49"/>
      <c r="D1273" s="95"/>
    </row>
    <row r="1274" spans="2:4" x14ac:dyDescent="0.25">
      <c r="B1274" s="97"/>
      <c r="C1274" s="49"/>
      <c r="D1274" s="95"/>
    </row>
    <row r="1275" spans="2:4" x14ac:dyDescent="0.25">
      <c r="B1275" s="97"/>
      <c r="C1275" s="49"/>
      <c r="D1275" s="95"/>
    </row>
    <row r="1276" spans="2:4" x14ac:dyDescent="0.25">
      <c r="B1276" s="97"/>
      <c r="C1276" s="49"/>
      <c r="D1276" s="95"/>
    </row>
    <row r="1277" spans="2:4" x14ac:dyDescent="0.25">
      <c r="B1277" s="97"/>
      <c r="C1277" s="49"/>
      <c r="D1277" s="95"/>
    </row>
    <row r="1278" spans="2:4" x14ac:dyDescent="0.25">
      <c r="B1278" s="97"/>
      <c r="C1278" s="49"/>
      <c r="D1278" s="95"/>
    </row>
    <row r="1279" spans="2:4" x14ac:dyDescent="0.25">
      <c r="B1279" s="97"/>
      <c r="C1279" s="49"/>
      <c r="D1279" s="95"/>
    </row>
    <row r="1280" spans="2:4" x14ac:dyDescent="0.25">
      <c r="B1280" s="97"/>
      <c r="C1280" s="49"/>
      <c r="D1280" s="95"/>
    </row>
    <row r="1281" spans="2:4" x14ac:dyDescent="0.25">
      <c r="B1281" s="97"/>
      <c r="C1281" s="49"/>
      <c r="D1281" s="95"/>
    </row>
    <row r="1282" spans="2:4" x14ac:dyDescent="0.25">
      <c r="B1282" s="97"/>
      <c r="C1282" s="49"/>
      <c r="D1282" s="95"/>
    </row>
    <row r="1283" spans="2:4" x14ac:dyDescent="0.25">
      <c r="B1283" s="97"/>
      <c r="C1283" s="49"/>
      <c r="D1283" s="95"/>
    </row>
    <row r="1284" spans="2:4" x14ac:dyDescent="0.25">
      <c r="B1284" s="97"/>
      <c r="C1284" s="49"/>
      <c r="D1284" s="95"/>
    </row>
    <row r="1285" spans="2:4" x14ac:dyDescent="0.25">
      <c r="B1285" s="97"/>
      <c r="C1285" s="49"/>
      <c r="D1285" s="95"/>
    </row>
    <row r="1286" spans="2:4" x14ac:dyDescent="0.25">
      <c r="B1286" s="97"/>
      <c r="C1286" s="49"/>
      <c r="D1286" s="95"/>
    </row>
    <row r="1287" spans="2:4" x14ac:dyDescent="0.25">
      <c r="B1287" s="97"/>
      <c r="C1287" s="49"/>
      <c r="D1287" s="95"/>
    </row>
    <row r="1288" spans="2:4" x14ac:dyDescent="0.25">
      <c r="B1288" s="97"/>
      <c r="C1288" s="49"/>
      <c r="D1288" s="95"/>
    </row>
    <row r="1289" spans="2:4" x14ac:dyDescent="0.25">
      <c r="B1289" s="97"/>
      <c r="C1289" s="49"/>
      <c r="D1289" s="95"/>
    </row>
    <row r="1290" spans="2:4" x14ac:dyDescent="0.25">
      <c r="B1290" s="97"/>
      <c r="C1290" s="49"/>
      <c r="D1290" s="95"/>
    </row>
    <row r="1291" spans="2:4" x14ac:dyDescent="0.25">
      <c r="B1291" s="97"/>
      <c r="C1291" s="49"/>
      <c r="D1291" s="95"/>
    </row>
    <row r="1292" spans="2:4" x14ac:dyDescent="0.25">
      <c r="B1292" s="97"/>
      <c r="C1292" s="49"/>
      <c r="D1292" s="95"/>
    </row>
    <row r="1293" spans="2:4" x14ac:dyDescent="0.25">
      <c r="B1293" s="97"/>
      <c r="C1293" s="49"/>
      <c r="D1293" s="95"/>
    </row>
    <row r="1294" spans="2:4" x14ac:dyDescent="0.25">
      <c r="B1294" s="97"/>
      <c r="C1294" s="49"/>
      <c r="D1294" s="95"/>
    </row>
    <row r="1295" spans="2:4" x14ac:dyDescent="0.25">
      <c r="B1295" s="97"/>
      <c r="C1295" s="49"/>
      <c r="D1295" s="95"/>
    </row>
    <row r="1296" spans="2:4" x14ac:dyDescent="0.25">
      <c r="B1296" s="97"/>
      <c r="C1296" s="49"/>
      <c r="D1296" s="95"/>
    </row>
    <row r="1297" spans="2:4" x14ac:dyDescent="0.25">
      <c r="B1297" s="97"/>
      <c r="C1297" s="49"/>
      <c r="D1297" s="95"/>
    </row>
    <row r="1298" spans="2:4" x14ac:dyDescent="0.25">
      <c r="B1298" s="97"/>
      <c r="C1298" s="49"/>
      <c r="D1298" s="95"/>
    </row>
    <row r="1299" spans="2:4" x14ac:dyDescent="0.25">
      <c r="B1299" s="97"/>
      <c r="C1299" s="49"/>
      <c r="D1299" s="95"/>
    </row>
    <row r="1300" spans="2:4" x14ac:dyDescent="0.25">
      <c r="B1300" s="97"/>
      <c r="C1300" s="49"/>
      <c r="D1300" s="95"/>
    </row>
    <row r="1301" spans="2:4" x14ac:dyDescent="0.25">
      <c r="B1301" s="97"/>
      <c r="C1301" s="49"/>
      <c r="D1301" s="95"/>
    </row>
    <row r="1302" spans="2:4" x14ac:dyDescent="0.25">
      <c r="B1302" s="97"/>
      <c r="C1302" s="49"/>
      <c r="D1302" s="95"/>
    </row>
    <row r="1303" spans="2:4" x14ac:dyDescent="0.25">
      <c r="B1303" s="97"/>
      <c r="C1303" s="49"/>
      <c r="D1303" s="95"/>
    </row>
    <row r="1304" spans="2:4" x14ac:dyDescent="0.25">
      <c r="B1304" s="97"/>
      <c r="C1304" s="49"/>
      <c r="D1304" s="95"/>
    </row>
    <row r="1305" spans="2:4" x14ac:dyDescent="0.25">
      <c r="B1305" s="97"/>
      <c r="C1305" s="49"/>
      <c r="D1305" s="95"/>
    </row>
    <row r="1306" spans="2:4" x14ac:dyDescent="0.25">
      <c r="B1306" s="97"/>
      <c r="C1306" s="49"/>
      <c r="D1306" s="95"/>
    </row>
    <row r="1307" spans="2:4" x14ac:dyDescent="0.25">
      <c r="B1307" s="97"/>
      <c r="C1307" s="49"/>
      <c r="D1307" s="95"/>
    </row>
    <row r="1308" spans="2:4" x14ac:dyDescent="0.25">
      <c r="B1308" s="97"/>
      <c r="C1308" s="49"/>
      <c r="D1308" s="95"/>
    </row>
    <row r="1309" spans="2:4" x14ac:dyDescent="0.25">
      <c r="B1309" s="97"/>
      <c r="C1309" s="49"/>
      <c r="D1309" s="95"/>
    </row>
    <row r="1310" spans="2:4" x14ac:dyDescent="0.25">
      <c r="B1310" s="97"/>
      <c r="C1310" s="49"/>
      <c r="D1310" s="95"/>
    </row>
    <row r="1311" spans="2:4" x14ac:dyDescent="0.25">
      <c r="B1311" s="97"/>
      <c r="C1311" s="49"/>
      <c r="D1311" s="95"/>
    </row>
    <row r="1312" spans="2:4" x14ac:dyDescent="0.25">
      <c r="B1312" s="97"/>
      <c r="C1312" s="49"/>
      <c r="D1312" s="95"/>
    </row>
    <row r="1313" spans="2:4" x14ac:dyDescent="0.25">
      <c r="B1313" s="97"/>
      <c r="C1313" s="49"/>
      <c r="D1313" s="95"/>
    </row>
    <row r="1314" spans="2:4" x14ac:dyDescent="0.25">
      <c r="B1314" s="97"/>
      <c r="C1314" s="49"/>
      <c r="D1314" s="95"/>
    </row>
    <row r="1315" spans="2:4" x14ac:dyDescent="0.25">
      <c r="B1315" s="97"/>
      <c r="C1315" s="49"/>
      <c r="D1315" s="95"/>
    </row>
    <row r="1316" spans="2:4" x14ac:dyDescent="0.25">
      <c r="B1316" s="97"/>
      <c r="C1316" s="49"/>
      <c r="D1316" s="95"/>
    </row>
    <row r="1317" spans="2:4" x14ac:dyDescent="0.25">
      <c r="B1317" s="97"/>
      <c r="C1317" s="49"/>
      <c r="D1317" s="95"/>
    </row>
    <row r="1318" spans="2:4" x14ac:dyDescent="0.25">
      <c r="B1318" s="97"/>
      <c r="C1318" s="49"/>
      <c r="D1318" s="95"/>
    </row>
    <row r="1319" spans="2:4" x14ac:dyDescent="0.25">
      <c r="B1319" s="97"/>
      <c r="C1319" s="49"/>
      <c r="D1319" s="95"/>
    </row>
    <row r="1320" spans="2:4" x14ac:dyDescent="0.25">
      <c r="B1320" s="97"/>
      <c r="C1320" s="49"/>
      <c r="D1320" s="95"/>
    </row>
    <row r="1321" spans="2:4" x14ac:dyDescent="0.25">
      <c r="B1321" s="97"/>
      <c r="C1321" s="49"/>
      <c r="D1321" s="95"/>
    </row>
    <row r="1322" spans="2:4" x14ac:dyDescent="0.25">
      <c r="B1322" s="97"/>
      <c r="C1322" s="49"/>
      <c r="D1322" s="95"/>
    </row>
    <row r="1323" spans="2:4" x14ac:dyDescent="0.25">
      <c r="B1323" s="97"/>
      <c r="C1323" s="49"/>
      <c r="D1323" s="95"/>
    </row>
    <row r="1324" spans="2:4" x14ac:dyDescent="0.25">
      <c r="B1324" s="97"/>
      <c r="C1324" s="49"/>
      <c r="D1324" s="95"/>
    </row>
    <row r="1325" spans="2:4" x14ac:dyDescent="0.25">
      <c r="B1325" s="97"/>
      <c r="C1325" s="49"/>
      <c r="D1325" s="95"/>
    </row>
    <row r="1326" spans="2:4" x14ac:dyDescent="0.25">
      <c r="B1326" s="97"/>
      <c r="C1326" s="49"/>
      <c r="D1326" s="95"/>
    </row>
    <row r="1327" spans="2:4" x14ac:dyDescent="0.25">
      <c r="B1327" s="97"/>
      <c r="C1327" s="49"/>
      <c r="D1327" s="95"/>
    </row>
    <row r="1328" spans="2:4" x14ac:dyDescent="0.25">
      <c r="B1328" s="97"/>
      <c r="C1328" s="49"/>
      <c r="D1328" s="95"/>
    </row>
    <row r="1329" spans="2:4" x14ac:dyDescent="0.25">
      <c r="B1329" s="97"/>
      <c r="C1329" s="49"/>
      <c r="D1329" s="95"/>
    </row>
    <row r="1330" spans="2:4" x14ac:dyDescent="0.25">
      <c r="B1330" s="97"/>
      <c r="C1330" s="49"/>
      <c r="D1330" s="95"/>
    </row>
    <row r="1331" spans="2:4" x14ac:dyDescent="0.25">
      <c r="B1331" s="97"/>
      <c r="C1331" s="49"/>
      <c r="D1331" s="95"/>
    </row>
    <row r="1332" spans="2:4" x14ac:dyDescent="0.25">
      <c r="B1332" s="97"/>
      <c r="C1332" s="49"/>
      <c r="D1332" s="95"/>
    </row>
    <row r="1333" spans="2:4" x14ac:dyDescent="0.25">
      <c r="B1333" s="97"/>
      <c r="C1333" s="49"/>
      <c r="D1333" s="95"/>
    </row>
    <row r="1334" spans="2:4" x14ac:dyDescent="0.25">
      <c r="B1334" s="97"/>
      <c r="C1334" s="49"/>
      <c r="D1334" s="95"/>
    </row>
    <row r="1335" spans="2:4" x14ac:dyDescent="0.25">
      <c r="B1335" s="97"/>
      <c r="C1335" s="49"/>
      <c r="D1335" s="95"/>
    </row>
    <row r="1336" spans="2:4" x14ac:dyDescent="0.25">
      <c r="B1336" s="97"/>
      <c r="C1336" s="49"/>
      <c r="D1336" s="95"/>
    </row>
    <row r="1337" spans="2:4" x14ac:dyDescent="0.25">
      <c r="B1337" s="97"/>
      <c r="C1337" s="49"/>
      <c r="D1337" s="95"/>
    </row>
    <row r="1338" spans="2:4" x14ac:dyDescent="0.25">
      <c r="B1338" s="97"/>
      <c r="C1338" s="49"/>
      <c r="D1338" s="95"/>
    </row>
    <row r="1339" spans="2:4" x14ac:dyDescent="0.25">
      <c r="B1339" s="97"/>
      <c r="C1339" s="49"/>
      <c r="D1339" s="95"/>
    </row>
    <row r="1340" spans="2:4" x14ac:dyDescent="0.25">
      <c r="B1340" s="97"/>
      <c r="C1340" s="49"/>
      <c r="D1340" s="95"/>
    </row>
    <row r="1341" spans="2:4" x14ac:dyDescent="0.25">
      <c r="B1341" s="97"/>
      <c r="C1341" s="49"/>
      <c r="D1341" s="95"/>
    </row>
    <row r="1342" spans="2:4" x14ac:dyDescent="0.25">
      <c r="B1342" s="97"/>
      <c r="C1342" s="49"/>
      <c r="D1342" s="95"/>
    </row>
    <row r="1343" spans="2:4" x14ac:dyDescent="0.25">
      <c r="B1343" s="97"/>
      <c r="C1343" s="49"/>
      <c r="D1343" s="95"/>
    </row>
    <row r="1344" spans="2:4" x14ac:dyDescent="0.25">
      <c r="B1344" s="97"/>
      <c r="C1344" s="49"/>
      <c r="D1344" s="95"/>
    </row>
    <row r="1345" spans="2:4" x14ac:dyDescent="0.25">
      <c r="B1345" s="97"/>
      <c r="C1345" s="49"/>
      <c r="D1345" s="95"/>
    </row>
    <row r="1346" spans="2:4" x14ac:dyDescent="0.25">
      <c r="B1346" s="97"/>
      <c r="C1346" s="49"/>
      <c r="D1346" s="95"/>
    </row>
    <row r="1347" spans="2:4" x14ac:dyDescent="0.25">
      <c r="B1347" s="97"/>
      <c r="C1347" s="49"/>
      <c r="D1347" s="95"/>
    </row>
    <row r="1348" spans="2:4" x14ac:dyDescent="0.25">
      <c r="B1348" s="97"/>
      <c r="C1348" s="49"/>
      <c r="D1348" s="95"/>
    </row>
    <row r="1349" spans="2:4" x14ac:dyDescent="0.25">
      <c r="B1349" s="97"/>
      <c r="C1349" s="49"/>
      <c r="D1349" s="95"/>
    </row>
    <row r="1350" spans="2:4" x14ac:dyDescent="0.25">
      <c r="B1350" s="97"/>
      <c r="C1350" s="49"/>
      <c r="D1350" s="95"/>
    </row>
    <row r="1351" spans="2:4" x14ac:dyDescent="0.25">
      <c r="B1351" s="97"/>
      <c r="C1351" s="49"/>
      <c r="D1351" s="95"/>
    </row>
    <row r="1352" spans="2:4" x14ac:dyDescent="0.25">
      <c r="B1352" s="97"/>
      <c r="C1352" s="49"/>
      <c r="D1352" s="95"/>
    </row>
    <row r="1353" spans="2:4" x14ac:dyDescent="0.25">
      <c r="B1353" s="97"/>
      <c r="C1353" s="49"/>
      <c r="D1353" s="95"/>
    </row>
    <row r="1354" spans="2:4" x14ac:dyDescent="0.25">
      <c r="B1354" s="97"/>
      <c r="C1354" s="49"/>
      <c r="D1354" s="95"/>
    </row>
    <row r="1355" spans="2:4" x14ac:dyDescent="0.25">
      <c r="B1355" s="97"/>
      <c r="C1355" s="49"/>
      <c r="D1355" s="95"/>
    </row>
    <row r="1356" spans="2:4" x14ac:dyDescent="0.25">
      <c r="B1356" s="97"/>
      <c r="C1356" s="49"/>
      <c r="D1356" s="95"/>
    </row>
    <row r="1357" spans="2:4" x14ac:dyDescent="0.25">
      <c r="B1357" s="97"/>
      <c r="C1357" s="49"/>
      <c r="D1357" s="95"/>
    </row>
    <row r="1358" spans="2:4" x14ac:dyDescent="0.25">
      <c r="B1358" s="97"/>
      <c r="C1358" s="49"/>
      <c r="D1358" s="95"/>
    </row>
    <row r="1359" spans="2:4" x14ac:dyDescent="0.25">
      <c r="B1359" s="97"/>
      <c r="C1359" s="49"/>
      <c r="D1359" s="95"/>
    </row>
    <row r="1360" spans="2:4" x14ac:dyDescent="0.25">
      <c r="B1360" s="97"/>
      <c r="C1360" s="49"/>
      <c r="D1360" s="95"/>
    </row>
    <row r="1361" spans="2:4" x14ac:dyDescent="0.25">
      <c r="B1361" s="97"/>
      <c r="C1361" s="49"/>
      <c r="D1361" s="95"/>
    </row>
    <row r="1362" spans="2:4" x14ac:dyDescent="0.25">
      <c r="B1362" s="97"/>
      <c r="C1362" s="49"/>
      <c r="D1362" s="95"/>
    </row>
    <row r="1363" spans="2:4" x14ac:dyDescent="0.25">
      <c r="B1363" s="97"/>
      <c r="C1363" s="49"/>
      <c r="D1363" s="95"/>
    </row>
    <row r="1364" spans="2:4" x14ac:dyDescent="0.25">
      <c r="B1364" s="97"/>
      <c r="C1364" s="49"/>
      <c r="D1364" s="95"/>
    </row>
    <row r="1365" spans="2:4" x14ac:dyDescent="0.25">
      <c r="B1365" s="97"/>
      <c r="C1365" s="49"/>
      <c r="D1365" s="95"/>
    </row>
    <row r="1366" spans="2:4" x14ac:dyDescent="0.25">
      <c r="B1366" s="97"/>
      <c r="C1366" s="49"/>
      <c r="D1366" s="95"/>
    </row>
    <row r="1367" spans="2:4" x14ac:dyDescent="0.25">
      <c r="B1367" s="97"/>
      <c r="C1367" s="49"/>
      <c r="D1367" s="95"/>
    </row>
    <row r="1368" spans="2:4" x14ac:dyDescent="0.25">
      <c r="B1368" s="97"/>
      <c r="C1368" s="49"/>
      <c r="D1368" s="95"/>
    </row>
    <row r="1369" spans="2:4" x14ac:dyDescent="0.25">
      <c r="B1369" s="97"/>
      <c r="C1369" s="49"/>
      <c r="D1369" s="95"/>
    </row>
    <row r="1370" spans="2:4" x14ac:dyDescent="0.25">
      <c r="B1370" s="97"/>
      <c r="C1370" s="49"/>
      <c r="D1370" s="95"/>
    </row>
    <row r="1371" spans="2:4" x14ac:dyDescent="0.25">
      <c r="B1371" s="97"/>
      <c r="C1371" s="49"/>
      <c r="D1371" s="95"/>
    </row>
    <row r="1372" spans="2:4" x14ac:dyDescent="0.25">
      <c r="B1372" s="97"/>
      <c r="C1372" s="49"/>
      <c r="D1372" s="95"/>
    </row>
    <row r="1373" spans="2:4" x14ac:dyDescent="0.25">
      <c r="B1373" s="97"/>
      <c r="C1373" s="49"/>
      <c r="D1373" s="95"/>
    </row>
    <row r="1374" spans="2:4" x14ac:dyDescent="0.25">
      <c r="B1374" s="97"/>
      <c r="C1374" s="49"/>
      <c r="D1374" s="95"/>
    </row>
    <row r="1375" spans="2:4" x14ac:dyDescent="0.25">
      <c r="B1375" s="97"/>
      <c r="C1375" s="49"/>
      <c r="D1375" s="95"/>
    </row>
    <row r="1376" spans="2:4" x14ac:dyDescent="0.25">
      <c r="B1376" s="97"/>
      <c r="C1376" s="49"/>
      <c r="D1376" s="95"/>
    </row>
    <row r="1377" spans="2:4" x14ac:dyDescent="0.25">
      <c r="B1377" s="97"/>
      <c r="C1377" s="49"/>
      <c r="D1377" s="95"/>
    </row>
    <row r="1378" spans="2:4" x14ac:dyDescent="0.25">
      <c r="B1378" s="97"/>
      <c r="C1378" s="49"/>
      <c r="D1378" s="95"/>
    </row>
    <row r="1379" spans="2:4" x14ac:dyDescent="0.25">
      <c r="B1379" s="97"/>
      <c r="C1379" s="49"/>
      <c r="D1379" s="95"/>
    </row>
    <row r="1380" spans="2:4" x14ac:dyDescent="0.25">
      <c r="B1380" s="97"/>
      <c r="C1380" s="49"/>
      <c r="D1380" s="95"/>
    </row>
    <row r="1381" spans="2:4" x14ac:dyDescent="0.25">
      <c r="B1381" s="97"/>
      <c r="C1381" s="49"/>
      <c r="D1381" s="95"/>
    </row>
    <row r="1382" spans="2:4" x14ac:dyDescent="0.25">
      <c r="B1382" s="97"/>
      <c r="C1382" s="49"/>
      <c r="D1382" s="95"/>
    </row>
    <row r="1383" spans="2:4" x14ac:dyDescent="0.25">
      <c r="B1383" s="97"/>
      <c r="C1383" s="49"/>
      <c r="D1383" s="95"/>
    </row>
    <row r="1384" spans="2:4" x14ac:dyDescent="0.25">
      <c r="B1384" s="97"/>
      <c r="C1384" s="49"/>
      <c r="D1384" s="95"/>
    </row>
    <row r="1385" spans="2:4" x14ac:dyDescent="0.25">
      <c r="B1385" s="97"/>
      <c r="C1385" s="49"/>
      <c r="D1385" s="95"/>
    </row>
    <row r="1386" spans="2:4" x14ac:dyDescent="0.25">
      <c r="B1386" s="97"/>
      <c r="C1386" s="49"/>
      <c r="D1386" s="95"/>
    </row>
    <row r="1387" spans="2:4" x14ac:dyDescent="0.25">
      <c r="B1387" s="97"/>
      <c r="C1387" s="49"/>
      <c r="D1387" s="95"/>
    </row>
    <row r="1388" spans="2:4" x14ac:dyDescent="0.25">
      <c r="B1388" s="97"/>
      <c r="C1388" s="49"/>
      <c r="D1388" s="95"/>
    </row>
    <row r="1389" spans="2:4" x14ac:dyDescent="0.25">
      <c r="B1389" s="97"/>
      <c r="C1389" s="49"/>
      <c r="D1389" s="95"/>
    </row>
    <row r="1390" spans="2:4" x14ac:dyDescent="0.25">
      <c r="B1390" s="97"/>
      <c r="C1390" s="49"/>
      <c r="D1390" s="95"/>
    </row>
    <row r="1391" spans="2:4" x14ac:dyDescent="0.25">
      <c r="B1391" s="97"/>
      <c r="C1391" s="49"/>
      <c r="D1391" s="95"/>
    </row>
    <row r="1392" spans="2:4" x14ac:dyDescent="0.25">
      <c r="B1392" s="97"/>
      <c r="C1392" s="49"/>
      <c r="D1392" s="95"/>
    </row>
    <row r="1393" spans="2:4" x14ac:dyDescent="0.25">
      <c r="B1393" s="97"/>
      <c r="C1393" s="49"/>
      <c r="D1393" s="95"/>
    </row>
    <row r="1394" spans="2:4" x14ac:dyDescent="0.25">
      <c r="B1394" s="97"/>
      <c r="C1394" s="49"/>
      <c r="D1394" s="95"/>
    </row>
    <row r="1395" spans="2:4" x14ac:dyDescent="0.25">
      <c r="B1395" s="97"/>
      <c r="C1395" s="49"/>
      <c r="D1395" s="95"/>
    </row>
    <row r="1396" spans="2:4" x14ac:dyDescent="0.25">
      <c r="B1396" s="97"/>
      <c r="C1396" s="49"/>
      <c r="D1396" s="95"/>
    </row>
    <row r="1397" spans="2:4" x14ac:dyDescent="0.25">
      <c r="B1397" s="97"/>
      <c r="C1397" s="49"/>
      <c r="D1397" s="95"/>
    </row>
    <row r="1398" spans="2:4" x14ac:dyDescent="0.25">
      <c r="B1398" s="97"/>
      <c r="C1398" s="49"/>
      <c r="D1398" s="95"/>
    </row>
    <row r="1399" spans="2:4" x14ac:dyDescent="0.25">
      <c r="B1399" s="97"/>
      <c r="C1399" s="49"/>
      <c r="D1399" s="95"/>
    </row>
    <row r="1400" spans="2:4" x14ac:dyDescent="0.25">
      <c r="B1400" s="97"/>
      <c r="C1400" s="49"/>
      <c r="D1400" s="95"/>
    </row>
    <row r="1401" spans="2:4" x14ac:dyDescent="0.25">
      <c r="B1401" s="97"/>
      <c r="C1401" s="49"/>
      <c r="D1401" s="95"/>
    </row>
    <row r="1402" spans="2:4" x14ac:dyDescent="0.25">
      <c r="B1402" s="97"/>
      <c r="C1402" s="49"/>
      <c r="D1402" s="95"/>
    </row>
    <row r="1403" spans="2:4" x14ac:dyDescent="0.25">
      <c r="B1403" s="97"/>
      <c r="C1403" s="49"/>
      <c r="D1403" s="95"/>
    </row>
    <row r="1404" spans="2:4" x14ac:dyDescent="0.25">
      <c r="B1404" s="97"/>
      <c r="C1404" s="49"/>
      <c r="D1404" s="95"/>
    </row>
    <row r="1405" spans="2:4" x14ac:dyDescent="0.25">
      <c r="B1405" s="97"/>
      <c r="C1405" s="49"/>
      <c r="D1405" s="95"/>
    </row>
    <row r="1406" spans="2:4" x14ac:dyDescent="0.25">
      <c r="B1406" s="97"/>
      <c r="C1406" s="49"/>
      <c r="D1406" s="95"/>
    </row>
    <row r="1407" spans="2:4" x14ac:dyDescent="0.25">
      <c r="B1407" s="97"/>
      <c r="C1407" s="49"/>
      <c r="D1407" s="95"/>
    </row>
    <row r="1408" spans="2:4" x14ac:dyDescent="0.25">
      <c r="B1408" s="97"/>
      <c r="C1408" s="49"/>
      <c r="D1408" s="95"/>
    </row>
    <row r="1409" spans="2:4" x14ac:dyDescent="0.25">
      <c r="B1409" s="97"/>
      <c r="C1409" s="49"/>
      <c r="D1409" s="95"/>
    </row>
    <row r="1410" spans="2:4" x14ac:dyDescent="0.25">
      <c r="B1410" s="97"/>
      <c r="C1410" s="49"/>
      <c r="D1410" s="95"/>
    </row>
    <row r="1411" spans="2:4" x14ac:dyDescent="0.25">
      <c r="B1411" s="97"/>
      <c r="C1411" s="49"/>
      <c r="D1411" s="95"/>
    </row>
    <row r="1412" spans="2:4" x14ac:dyDescent="0.25">
      <c r="B1412" s="97"/>
      <c r="C1412" s="49"/>
      <c r="D1412" s="95"/>
    </row>
    <row r="1413" spans="2:4" x14ac:dyDescent="0.25">
      <c r="B1413" s="97"/>
      <c r="C1413" s="49"/>
      <c r="D1413" s="95"/>
    </row>
    <row r="1414" spans="2:4" x14ac:dyDescent="0.25">
      <c r="B1414" s="97"/>
      <c r="C1414" s="49"/>
      <c r="D1414" s="95"/>
    </row>
    <row r="1415" spans="2:4" x14ac:dyDescent="0.25">
      <c r="B1415" s="97"/>
      <c r="C1415" s="49"/>
      <c r="D1415" s="95"/>
    </row>
    <row r="1416" spans="2:4" x14ac:dyDescent="0.25">
      <c r="B1416" s="97"/>
      <c r="C1416" s="49"/>
      <c r="D1416" s="95"/>
    </row>
    <row r="1417" spans="2:4" x14ac:dyDescent="0.25">
      <c r="B1417" s="97"/>
      <c r="C1417" s="49"/>
      <c r="D1417" s="95"/>
    </row>
    <row r="1418" spans="2:4" x14ac:dyDescent="0.25">
      <c r="B1418" s="97"/>
      <c r="C1418" s="49"/>
      <c r="D1418" s="95"/>
    </row>
    <row r="1419" spans="2:4" x14ac:dyDescent="0.25">
      <c r="B1419" s="97"/>
      <c r="C1419" s="49"/>
      <c r="D1419" s="95"/>
    </row>
    <row r="1420" spans="2:4" x14ac:dyDescent="0.25">
      <c r="B1420" s="97"/>
      <c r="C1420" s="49"/>
      <c r="D1420" s="95"/>
    </row>
    <row r="1421" spans="2:4" x14ac:dyDescent="0.25">
      <c r="B1421" s="97"/>
      <c r="C1421" s="49"/>
      <c r="D1421" s="95"/>
    </row>
    <row r="1422" spans="2:4" x14ac:dyDescent="0.25">
      <c r="B1422" s="97"/>
      <c r="C1422" s="49"/>
      <c r="D1422" s="95"/>
    </row>
    <row r="1423" spans="2:4" x14ac:dyDescent="0.25">
      <c r="B1423" s="97"/>
      <c r="C1423" s="49"/>
      <c r="D1423" s="95"/>
    </row>
    <row r="1424" spans="2:4" x14ac:dyDescent="0.25">
      <c r="B1424" s="97"/>
      <c r="C1424" s="49"/>
      <c r="D1424" s="95"/>
    </row>
    <row r="1425" spans="2:4" x14ac:dyDescent="0.25">
      <c r="B1425" s="97"/>
      <c r="C1425" s="49"/>
      <c r="D1425" s="95"/>
    </row>
    <row r="1426" spans="2:4" x14ac:dyDescent="0.25">
      <c r="B1426" s="97"/>
      <c r="C1426" s="49"/>
      <c r="D1426" s="95"/>
    </row>
    <row r="1427" spans="2:4" x14ac:dyDescent="0.25">
      <c r="B1427" s="97"/>
      <c r="C1427" s="49"/>
      <c r="D1427" s="95"/>
    </row>
    <row r="1428" spans="2:4" x14ac:dyDescent="0.25">
      <c r="B1428" s="97"/>
      <c r="C1428" s="49"/>
      <c r="D1428" s="95"/>
    </row>
    <row r="1429" spans="2:4" x14ac:dyDescent="0.25">
      <c r="B1429" s="97"/>
      <c r="C1429" s="49"/>
      <c r="D1429" s="95"/>
    </row>
    <row r="1430" spans="2:4" x14ac:dyDescent="0.25">
      <c r="B1430" s="97"/>
      <c r="C1430" s="49"/>
      <c r="D1430" s="95"/>
    </row>
    <row r="1431" spans="2:4" x14ac:dyDescent="0.25">
      <c r="B1431" s="97"/>
      <c r="C1431" s="49"/>
      <c r="D1431" s="95"/>
    </row>
    <row r="1432" spans="2:4" x14ac:dyDescent="0.25">
      <c r="B1432" s="97"/>
      <c r="C1432" s="49"/>
      <c r="D1432" s="95"/>
    </row>
    <row r="1433" spans="2:4" x14ac:dyDescent="0.25">
      <c r="B1433" s="97"/>
      <c r="C1433" s="49"/>
      <c r="D1433" s="95"/>
    </row>
    <row r="1434" spans="2:4" x14ac:dyDescent="0.25">
      <c r="B1434" s="97"/>
      <c r="C1434" s="49"/>
      <c r="D1434" s="95"/>
    </row>
    <row r="1435" spans="2:4" x14ac:dyDescent="0.25">
      <c r="B1435" s="97"/>
      <c r="C1435" s="49"/>
      <c r="D1435" s="95"/>
    </row>
    <row r="1436" spans="2:4" x14ac:dyDescent="0.25">
      <c r="B1436" s="97"/>
      <c r="C1436" s="49"/>
      <c r="D1436" s="95"/>
    </row>
    <row r="1437" spans="2:4" x14ac:dyDescent="0.25">
      <c r="B1437" s="97"/>
      <c r="C1437" s="49"/>
      <c r="D1437" s="95"/>
    </row>
    <row r="1438" spans="2:4" x14ac:dyDescent="0.25">
      <c r="B1438" s="97"/>
      <c r="C1438" s="49"/>
      <c r="D1438" s="95"/>
    </row>
    <row r="1439" spans="2:4" x14ac:dyDescent="0.25">
      <c r="B1439" s="97"/>
      <c r="C1439" s="49"/>
      <c r="D1439" s="95"/>
    </row>
    <row r="1440" spans="2:4" x14ac:dyDescent="0.25">
      <c r="B1440" s="97"/>
      <c r="C1440" s="49"/>
      <c r="D1440" s="95"/>
    </row>
    <row r="1441" spans="2:4" x14ac:dyDescent="0.25">
      <c r="B1441" s="97"/>
      <c r="C1441" s="49"/>
      <c r="D1441" s="95"/>
    </row>
    <row r="1442" spans="2:4" x14ac:dyDescent="0.25">
      <c r="B1442" s="97"/>
      <c r="C1442" s="49"/>
      <c r="D1442" s="95"/>
    </row>
    <row r="1443" spans="2:4" x14ac:dyDescent="0.25">
      <c r="B1443" s="97"/>
      <c r="C1443" s="49"/>
      <c r="D1443" s="95"/>
    </row>
    <row r="1444" spans="2:4" x14ac:dyDescent="0.25">
      <c r="B1444" s="97"/>
      <c r="C1444" s="49"/>
      <c r="D1444" s="95"/>
    </row>
    <row r="1445" spans="2:4" x14ac:dyDescent="0.25">
      <c r="B1445" s="97"/>
      <c r="C1445" s="49"/>
      <c r="D1445" s="95"/>
    </row>
    <row r="1446" spans="2:4" x14ac:dyDescent="0.25">
      <c r="B1446" s="97"/>
      <c r="C1446" s="49"/>
      <c r="D1446" s="95"/>
    </row>
    <row r="1447" spans="2:4" x14ac:dyDescent="0.25">
      <c r="B1447" s="97"/>
      <c r="C1447" s="49"/>
      <c r="D1447" s="95"/>
    </row>
    <row r="1448" spans="2:4" x14ac:dyDescent="0.25">
      <c r="B1448" s="97"/>
      <c r="C1448" s="49"/>
      <c r="D1448" s="95"/>
    </row>
    <row r="1449" spans="2:4" x14ac:dyDescent="0.25">
      <c r="B1449" s="97"/>
      <c r="C1449" s="49"/>
      <c r="D1449" s="95"/>
    </row>
    <row r="1450" spans="2:4" x14ac:dyDescent="0.25">
      <c r="B1450" s="97"/>
      <c r="C1450" s="49"/>
      <c r="D1450" s="95"/>
    </row>
    <row r="1451" spans="2:4" x14ac:dyDescent="0.25">
      <c r="B1451" s="97"/>
      <c r="C1451" s="49"/>
      <c r="D1451" s="95"/>
    </row>
    <row r="1452" spans="2:4" x14ac:dyDescent="0.25">
      <c r="B1452" s="97"/>
      <c r="C1452" s="49"/>
      <c r="D1452" s="95"/>
    </row>
    <row r="1453" spans="2:4" x14ac:dyDescent="0.25">
      <c r="B1453" s="97"/>
      <c r="C1453" s="49"/>
      <c r="D1453" s="95"/>
    </row>
    <row r="1454" spans="2:4" x14ac:dyDescent="0.25">
      <c r="B1454" s="97"/>
      <c r="C1454" s="49"/>
      <c r="D1454" s="95"/>
    </row>
    <row r="1455" spans="2:4" x14ac:dyDescent="0.25">
      <c r="B1455" s="97"/>
      <c r="C1455" s="49"/>
      <c r="D1455" s="95"/>
    </row>
    <row r="1456" spans="2:4" x14ac:dyDescent="0.25">
      <c r="B1456" s="97"/>
      <c r="C1456" s="49"/>
      <c r="D1456" s="95"/>
    </row>
    <row r="1457" spans="2:4" x14ac:dyDescent="0.25">
      <c r="B1457" s="97"/>
      <c r="C1457" s="49"/>
      <c r="D1457" s="95"/>
    </row>
    <row r="1458" spans="2:4" x14ac:dyDescent="0.25">
      <c r="B1458" s="97"/>
      <c r="C1458" s="49"/>
      <c r="D1458" s="95"/>
    </row>
    <row r="1459" spans="2:4" x14ac:dyDescent="0.25">
      <c r="B1459" s="97"/>
      <c r="C1459" s="49"/>
      <c r="D1459" s="95"/>
    </row>
    <row r="1460" spans="2:4" x14ac:dyDescent="0.25">
      <c r="B1460" s="97"/>
      <c r="C1460" s="49"/>
      <c r="D1460" s="95"/>
    </row>
    <row r="1461" spans="2:4" x14ac:dyDescent="0.25">
      <c r="B1461" s="97"/>
      <c r="C1461" s="49"/>
      <c r="D1461" s="95"/>
    </row>
    <row r="1462" spans="2:4" x14ac:dyDescent="0.25">
      <c r="B1462" s="97"/>
      <c r="C1462" s="49"/>
      <c r="D1462" s="95"/>
    </row>
    <row r="1463" spans="2:4" x14ac:dyDescent="0.25">
      <c r="B1463" s="97"/>
      <c r="C1463" s="49"/>
      <c r="D1463" s="95"/>
    </row>
    <row r="1464" spans="2:4" x14ac:dyDescent="0.25">
      <c r="B1464" s="97"/>
      <c r="C1464" s="49"/>
      <c r="D1464" s="95"/>
    </row>
    <row r="1465" spans="2:4" x14ac:dyDescent="0.25">
      <c r="B1465" s="97"/>
      <c r="C1465" s="49"/>
      <c r="D1465" s="95"/>
    </row>
    <row r="1466" spans="2:4" x14ac:dyDescent="0.25">
      <c r="B1466" s="97"/>
      <c r="C1466" s="49"/>
      <c r="D1466" s="95"/>
    </row>
    <row r="1467" spans="2:4" x14ac:dyDescent="0.25">
      <c r="B1467" s="97"/>
      <c r="C1467" s="49"/>
      <c r="D1467" s="95"/>
    </row>
    <row r="1468" spans="2:4" x14ac:dyDescent="0.25">
      <c r="B1468" s="97"/>
      <c r="C1468" s="49"/>
      <c r="D1468" s="95"/>
    </row>
    <row r="1469" spans="2:4" x14ac:dyDescent="0.25">
      <c r="B1469" s="97"/>
      <c r="C1469" s="49"/>
      <c r="D1469" s="95"/>
    </row>
    <row r="1470" spans="2:4" x14ac:dyDescent="0.25">
      <c r="B1470" s="97"/>
      <c r="C1470" s="49"/>
      <c r="D1470" s="95"/>
    </row>
    <row r="1471" spans="2:4" x14ac:dyDescent="0.25">
      <c r="B1471" s="97"/>
      <c r="C1471" s="49"/>
      <c r="D1471" s="95"/>
    </row>
    <row r="1472" spans="2:4" x14ac:dyDescent="0.25">
      <c r="B1472" s="97"/>
      <c r="C1472" s="49"/>
      <c r="D1472" s="95"/>
    </row>
    <row r="1473" spans="2:4" x14ac:dyDescent="0.25">
      <c r="B1473" s="97"/>
      <c r="C1473" s="49"/>
      <c r="D1473" s="95"/>
    </row>
    <row r="1474" spans="2:4" x14ac:dyDescent="0.25">
      <c r="B1474" s="97"/>
      <c r="C1474" s="49"/>
      <c r="D1474" s="95"/>
    </row>
    <row r="1475" spans="2:4" x14ac:dyDescent="0.25">
      <c r="B1475" s="97"/>
      <c r="C1475" s="49"/>
      <c r="D1475" s="95"/>
    </row>
    <row r="1476" spans="2:4" x14ac:dyDescent="0.25">
      <c r="B1476" s="97"/>
      <c r="C1476" s="49"/>
      <c r="D1476" s="95"/>
    </row>
    <row r="1477" spans="2:4" x14ac:dyDescent="0.25">
      <c r="B1477" s="97"/>
      <c r="C1477" s="49"/>
      <c r="D1477" s="95"/>
    </row>
    <row r="1478" spans="2:4" x14ac:dyDescent="0.25">
      <c r="B1478" s="97"/>
      <c r="C1478" s="49"/>
      <c r="D1478" s="95"/>
    </row>
    <row r="1479" spans="2:4" x14ac:dyDescent="0.25">
      <c r="B1479" s="97"/>
      <c r="C1479" s="49"/>
      <c r="D1479" s="95"/>
    </row>
    <row r="1480" spans="2:4" x14ac:dyDescent="0.25">
      <c r="B1480" s="97"/>
      <c r="C1480" s="49"/>
      <c r="D1480" s="95"/>
    </row>
    <row r="1481" spans="2:4" x14ac:dyDescent="0.25">
      <c r="B1481" s="97"/>
      <c r="C1481" s="49"/>
      <c r="D1481" s="95"/>
    </row>
    <row r="1482" spans="2:4" x14ac:dyDescent="0.25">
      <c r="B1482" s="97"/>
      <c r="C1482" s="49"/>
      <c r="D1482" s="95"/>
    </row>
    <row r="1483" spans="2:4" x14ac:dyDescent="0.25">
      <c r="B1483" s="97"/>
      <c r="C1483" s="49"/>
      <c r="D1483" s="95"/>
    </row>
    <row r="1484" spans="2:4" x14ac:dyDescent="0.25">
      <c r="B1484" s="97"/>
      <c r="C1484" s="49"/>
      <c r="D1484" s="95"/>
    </row>
    <row r="1485" spans="2:4" x14ac:dyDescent="0.25">
      <c r="B1485" s="97"/>
      <c r="C1485" s="49"/>
      <c r="D1485" s="95"/>
    </row>
    <row r="1486" spans="2:4" x14ac:dyDescent="0.25">
      <c r="B1486" s="97"/>
      <c r="C1486" s="49"/>
      <c r="D1486" s="95"/>
    </row>
    <row r="1487" spans="2:4" x14ac:dyDescent="0.25">
      <c r="B1487" s="97"/>
      <c r="C1487" s="49"/>
      <c r="D1487" s="95"/>
    </row>
    <row r="1488" spans="2:4" x14ac:dyDescent="0.25">
      <c r="B1488" s="97"/>
      <c r="C1488" s="49"/>
      <c r="D1488" s="95"/>
    </row>
    <row r="1489" spans="2:4" x14ac:dyDescent="0.25">
      <c r="B1489" s="97"/>
      <c r="C1489" s="49"/>
      <c r="D1489" s="95"/>
    </row>
    <row r="1490" spans="2:4" x14ac:dyDescent="0.25">
      <c r="B1490" s="97"/>
      <c r="C1490" s="49"/>
      <c r="D1490" s="95"/>
    </row>
    <row r="1491" spans="2:4" x14ac:dyDescent="0.25">
      <c r="B1491" s="97"/>
      <c r="C1491" s="49"/>
      <c r="D1491" s="95"/>
    </row>
    <row r="1492" spans="2:4" x14ac:dyDescent="0.25">
      <c r="B1492" s="97"/>
      <c r="C1492" s="49"/>
      <c r="D1492" s="95"/>
    </row>
    <row r="1493" spans="2:4" x14ac:dyDescent="0.25">
      <c r="B1493" s="97"/>
      <c r="C1493" s="49"/>
      <c r="D1493" s="95"/>
    </row>
    <row r="1494" spans="2:4" x14ac:dyDescent="0.25">
      <c r="B1494" s="97"/>
      <c r="C1494" s="49"/>
      <c r="D1494" s="95"/>
    </row>
    <row r="1495" spans="2:4" x14ac:dyDescent="0.25">
      <c r="B1495" s="97"/>
      <c r="C1495" s="49"/>
      <c r="D1495" s="95"/>
    </row>
    <row r="1496" spans="2:4" x14ac:dyDescent="0.25">
      <c r="B1496" s="97"/>
      <c r="C1496" s="49"/>
      <c r="D1496" s="95"/>
    </row>
    <row r="1497" spans="2:4" x14ac:dyDescent="0.25">
      <c r="B1497" s="97"/>
      <c r="C1497" s="49"/>
      <c r="D1497" s="95"/>
    </row>
    <row r="1498" spans="2:4" x14ac:dyDescent="0.25">
      <c r="B1498" s="97"/>
      <c r="C1498" s="49"/>
      <c r="D1498" s="95"/>
    </row>
    <row r="1499" spans="2:4" x14ac:dyDescent="0.25">
      <c r="B1499" s="97"/>
      <c r="C1499" s="49"/>
      <c r="D1499" s="95"/>
    </row>
    <row r="1500" spans="2:4" x14ac:dyDescent="0.25">
      <c r="B1500" s="97"/>
      <c r="C1500" s="49"/>
      <c r="D1500" s="95"/>
    </row>
    <row r="1501" spans="2:4" x14ac:dyDescent="0.25">
      <c r="B1501" s="97"/>
      <c r="C1501" s="49"/>
      <c r="D1501" s="95"/>
    </row>
    <row r="1502" spans="2:4" x14ac:dyDescent="0.25">
      <c r="B1502" s="97"/>
      <c r="C1502" s="49"/>
      <c r="D1502" s="95"/>
    </row>
    <row r="1503" spans="2:4" x14ac:dyDescent="0.25">
      <c r="B1503" s="97"/>
      <c r="C1503" s="49"/>
      <c r="D1503" s="95"/>
    </row>
    <row r="1504" spans="2:4" x14ac:dyDescent="0.25">
      <c r="B1504" s="97"/>
      <c r="C1504" s="49"/>
      <c r="D1504" s="95"/>
    </row>
    <row r="1505" spans="2:4" x14ac:dyDescent="0.25">
      <c r="B1505" s="97"/>
      <c r="C1505" s="49"/>
      <c r="D1505" s="95"/>
    </row>
    <row r="1506" spans="2:4" x14ac:dyDescent="0.25">
      <c r="B1506" s="97"/>
      <c r="C1506" s="49"/>
      <c r="D1506" s="95"/>
    </row>
    <row r="1507" spans="2:4" x14ac:dyDescent="0.25">
      <c r="B1507" s="97"/>
      <c r="C1507" s="49"/>
      <c r="D1507" s="95"/>
    </row>
    <row r="1508" spans="2:4" x14ac:dyDescent="0.25">
      <c r="B1508" s="97"/>
      <c r="C1508" s="49"/>
      <c r="D1508" s="95"/>
    </row>
    <row r="1509" spans="2:4" x14ac:dyDescent="0.25">
      <c r="B1509" s="97"/>
      <c r="C1509" s="49"/>
      <c r="D1509" s="95"/>
    </row>
    <row r="1510" spans="2:4" x14ac:dyDescent="0.25">
      <c r="B1510" s="97"/>
      <c r="C1510" s="49"/>
      <c r="D1510" s="95"/>
    </row>
    <row r="1511" spans="2:4" x14ac:dyDescent="0.25">
      <c r="B1511" s="97"/>
      <c r="C1511" s="49"/>
      <c r="D1511" s="95"/>
    </row>
    <row r="1512" spans="2:4" x14ac:dyDescent="0.25">
      <c r="B1512" s="97"/>
      <c r="C1512" s="49"/>
      <c r="D1512" s="95"/>
    </row>
    <row r="1513" spans="2:4" x14ac:dyDescent="0.25">
      <c r="B1513" s="97"/>
      <c r="C1513" s="49"/>
      <c r="D1513" s="95"/>
    </row>
    <row r="1514" spans="2:4" x14ac:dyDescent="0.25">
      <c r="B1514" s="97"/>
      <c r="C1514" s="49"/>
      <c r="D1514" s="95"/>
    </row>
    <row r="1515" spans="2:4" x14ac:dyDescent="0.25">
      <c r="B1515" s="97"/>
      <c r="C1515" s="49"/>
      <c r="D1515" s="95"/>
    </row>
    <row r="1516" spans="2:4" x14ac:dyDescent="0.25">
      <c r="B1516" s="97"/>
      <c r="C1516" s="49"/>
      <c r="D1516" s="95"/>
    </row>
    <row r="1517" spans="2:4" x14ac:dyDescent="0.25">
      <c r="B1517" s="97"/>
      <c r="C1517" s="49"/>
      <c r="D1517" s="95"/>
    </row>
    <row r="1518" spans="2:4" x14ac:dyDescent="0.25">
      <c r="B1518" s="97"/>
      <c r="C1518" s="49"/>
      <c r="D1518" s="95"/>
    </row>
    <row r="1519" spans="2:4" x14ac:dyDescent="0.25">
      <c r="B1519" s="97"/>
      <c r="C1519" s="49"/>
      <c r="D1519" s="95"/>
    </row>
    <row r="1520" spans="2:4" x14ac:dyDescent="0.25">
      <c r="B1520" s="97"/>
      <c r="C1520" s="49"/>
      <c r="D1520" s="95"/>
    </row>
    <row r="1521" spans="2:4" x14ac:dyDescent="0.25">
      <c r="B1521" s="97"/>
      <c r="C1521" s="49"/>
      <c r="D1521" s="95"/>
    </row>
    <row r="1522" spans="2:4" x14ac:dyDescent="0.25">
      <c r="B1522" s="97"/>
      <c r="C1522" s="49"/>
      <c r="D1522" s="95"/>
    </row>
    <row r="1523" spans="2:4" x14ac:dyDescent="0.25">
      <c r="B1523" s="97"/>
      <c r="C1523" s="49"/>
      <c r="D1523" s="95"/>
    </row>
    <row r="1524" spans="2:4" x14ac:dyDescent="0.25">
      <c r="B1524" s="97"/>
      <c r="C1524" s="49"/>
      <c r="D1524" s="95"/>
    </row>
    <row r="1525" spans="2:4" x14ac:dyDescent="0.25">
      <c r="B1525" s="97"/>
      <c r="C1525" s="49"/>
      <c r="D1525" s="95"/>
    </row>
    <row r="1526" spans="2:4" x14ac:dyDescent="0.25">
      <c r="B1526" s="97"/>
      <c r="C1526" s="49"/>
      <c r="D1526" s="95"/>
    </row>
    <row r="1527" spans="2:4" x14ac:dyDescent="0.25">
      <c r="B1527" s="97"/>
      <c r="C1527" s="49"/>
      <c r="D1527" s="95"/>
    </row>
    <row r="1528" spans="2:4" x14ac:dyDescent="0.25">
      <c r="B1528" s="97"/>
      <c r="C1528" s="49"/>
      <c r="D1528" s="95"/>
    </row>
    <row r="1529" spans="2:4" x14ac:dyDescent="0.25">
      <c r="B1529" s="97"/>
      <c r="C1529" s="49"/>
      <c r="D1529" s="95"/>
    </row>
    <row r="1530" spans="2:4" x14ac:dyDescent="0.25">
      <c r="B1530" s="97"/>
      <c r="C1530" s="49"/>
      <c r="D1530" s="95"/>
    </row>
    <row r="1531" spans="2:4" x14ac:dyDescent="0.25">
      <c r="B1531" s="97"/>
      <c r="C1531" s="49"/>
      <c r="D1531" s="95"/>
    </row>
    <row r="1532" spans="2:4" x14ac:dyDescent="0.25">
      <c r="B1532" s="97"/>
      <c r="C1532" s="49"/>
      <c r="D1532" s="95"/>
    </row>
    <row r="1533" spans="2:4" x14ac:dyDescent="0.25">
      <c r="B1533" s="97"/>
      <c r="C1533" s="49"/>
      <c r="D1533" s="95"/>
    </row>
    <row r="1534" spans="2:4" x14ac:dyDescent="0.25">
      <c r="B1534" s="97"/>
      <c r="C1534" s="49"/>
      <c r="D1534" s="95"/>
    </row>
    <row r="1535" spans="2:4" x14ac:dyDescent="0.25">
      <c r="B1535" s="97"/>
      <c r="C1535" s="49"/>
      <c r="D1535" s="95"/>
    </row>
    <row r="1536" spans="2:4" x14ac:dyDescent="0.25">
      <c r="B1536" s="97"/>
      <c r="C1536" s="49"/>
      <c r="D1536" s="95"/>
    </row>
    <row r="1537" spans="2:4" x14ac:dyDescent="0.25">
      <c r="B1537" s="97"/>
      <c r="C1537" s="49"/>
      <c r="D1537" s="95"/>
    </row>
    <row r="1538" spans="2:4" x14ac:dyDescent="0.25">
      <c r="B1538" s="97"/>
      <c r="C1538" s="49"/>
      <c r="D1538" s="95"/>
    </row>
    <row r="1539" spans="2:4" x14ac:dyDescent="0.25">
      <c r="B1539" s="97"/>
      <c r="C1539" s="49"/>
      <c r="D1539" s="95"/>
    </row>
    <row r="1540" spans="2:4" x14ac:dyDescent="0.25">
      <c r="B1540" s="97"/>
      <c r="C1540" s="49"/>
      <c r="D1540" s="95"/>
    </row>
    <row r="1541" spans="2:4" x14ac:dyDescent="0.25">
      <c r="B1541" s="97"/>
      <c r="C1541" s="49"/>
      <c r="D1541" s="95"/>
    </row>
    <row r="1542" spans="2:4" x14ac:dyDescent="0.25">
      <c r="B1542" s="97"/>
      <c r="C1542" s="49"/>
      <c r="D1542" s="95"/>
    </row>
    <row r="1543" spans="2:4" x14ac:dyDescent="0.25">
      <c r="B1543" s="97"/>
      <c r="C1543" s="49"/>
      <c r="D1543" s="95"/>
    </row>
    <row r="1544" spans="2:4" x14ac:dyDescent="0.25">
      <c r="B1544" s="97"/>
      <c r="C1544" s="49"/>
      <c r="D1544" s="95"/>
    </row>
    <row r="1545" spans="2:4" x14ac:dyDescent="0.25">
      <c r="B1545" s="97"/>
      <c r="C1545" s="49"/>
      <c r="D1545" s="95"/>
    </row>
    <row r="1546" spans="2:4" x14ac:dyDescent="0.25">
      <c r="B1546" s="97"/>
      <c r="C1546" s="49"/>
      <c r="D1546" s="95"/>
    </row>
    <row r="1547" spans="2:4" x14ac:dyDescent="0.25">
      <c r="B1547" s="97"/>
      <c r="C1547" s="49"/>
      <c r="D1547" s="95"/>
    </row>
    <row r="1548" spans="2:4" x14ac:dyDescent="0.25">
      <c r="B1548" s="97"/>
      <c r="C1548" s="49"/>
      <c r="D1548" s="95"/>
    </row>
    <row r="1549" spans="2:4" x14ac:dyDescent="0.25">
      <c r="B1549" s="97"/>
      <c r="C1549" s="49"/>
      <c r="D1549" s="95"/>
    </row>
    <row r="1550" spans="2:4" x14ac:dyDescent="0.25">
      <c r="B1550" s="97"/>
      <c r="C1550" s="49"/>
      <c r="D1550" s="95"/>
    </row>
    <row r="1551" spans="2:4" x14ac:dyDescent="0.25">
      <c r="B1551" s="97"/>
      <c r="C1551" s="49"/>
      <c r="D1551" s="95"/>
    </row>
    <row r="1552" spans="2:4" x14ac:dyDescent="0.25">
      <c r="B1552" s="97"/>
      <c r="C1552" s="49"/>
      <c r="D1552" s="95"/>
    </row>
    <row r="1553" spans="2:4" x14ac:dyDescent="0.25">
      <c r="B1553" s="97"/>
      <c r="C1553" s="49"/>
      <c r="D1553" s="95"/>
    </row>
    <row r="1554" spans="2:4" x14ac:dyDescent="0.25">
      <c r="B1554" s="97"/>
      <c r="C1554" s="49"/>
      <c r="D1554" s="95"/>
    </row>
    <row r="1555" spans="2:4" x14ac:dyDescent="0.25">
      <c r="B1555" s="97"/>
      <c r="C1555" s="49"/>
      <c r="D1555" s="95"/>
    </row>
    <row r="1556" spans="2:4" x14ac:dyDescent="0.25">
      <c r="B1556" s="97"/>
      <c r="C1556" s="49"/>
      <c r="D1556" s="95"/>
    </row>
    <row r="1557" spans="2:4" x14ac:dyDescent="0.25">
      <c r="B1557" s="97"/>
      <c r="C1557" s="49"/>
      <c r="D1557" s="95"/>
    </row>
    <row r="1558" spans="2:4" x14ac:dyDescent="0.25">
      <c r="B1558" s="97"/>
      <c r="C1558" s="49"/>
      <c r="D1558" s="95"/>
    </row>
    <row r="1559" spans="2:4" x14ac:dyDescent="0.25">
      <c r="B1559" s="97"/>
      <c r="C1559" s="49"/>
      <c r="D1559" s="95"/>
    </row>
    <row r="1560" spans="2:4" x14ac:dyDescent="0.25">
      <c r="B1560" s="97"/>
      <c r="C1560" s="49"/>
      <c r="D1560" s="95"/>
    </row>
    <row r="1561" spans="2:4" x14ac:dyDescent="0.25">
      <c r="B1561" s="97"/>
      <c r="C1561" s="49"/>
      <c r="D1561" s="95"/>
    </row>
    <row r="1562" spans="2:4" x14ac:dyDescent="0.25">
      <c r="B1562" s="97"/>
      <c r="C1562" s="49"/>
      <c r="D1562" s="95"/>
    </row>
    <row r="1563" spans="2:4" x14ac:dyDescent="0.25">
      <c r="B1563" s="97"/>
      <c r="C1563" s="49"/>
      <c r="D1563" s="95"/>
    </row>
    <row r="1564" spans="2:4" x14ac:dyDescent="0.25">
      <c r="B1564" s="97"/>
      <c r="C1564" s="49"/>
      <c r="D1564" s="95"/>
    </row>
    <row r="1565" spans="2:4" x14ac:dyDescent="0.25">
      <c r="B1565" s="97"/>
      <c r="C1565" s="49"/>
      <c r="D1565" s="95"/>
    </row>
    <row r="1566" spans="2:4" x14ac:dyDescent="0.25">
      <c r="B1566" s="97"/>
      <c r="C1566" s="49"/>
      <c r="D1566" s="95"/>
    </row>
    <row r="1567" spans="2:4" x14ac:dyDescent="0.25">
      <c r="B1567" s="97"/>
      <c r="C1567" s="49"/>
      <c r="D1567" s="95"/>
    </row>
    <row r="1568" spans="2:4" x14ac:dyDescent="0.25">
      <c r="B1568" s="97"/>
      <c r="C1568" s="49"/>
      <c r="D1568" s="95"/>
    </row>
    <row r="1569" spans="2:4" x14ac:dyDescent="0.25">
      <c r="B1569" s="97"/>
      <c r="C1569" s="49"/>
      <c r="D1569" s="95"/>
    </row>
    <row r="1570" spans="2:4" x14ac:dyDescent="0.25">
      <c r="B1570" s="97"/>
      <c r="C1570" s="49"/>
      <c r="D1570" s="95"/>
    </row>
    <row r="1571" spans="2:4" x14ac:dyDescent="0.25">
      <c r="B1571" s="97"/>
      <c r="C1571" s="49"/>
      <c r="D1571" s="95"/>
    </row>
    <row r="1572" spans="2:4" x14ac:dyDescent="0.25">
      <c r="B1572" s="97"/>
      <c r="C1572" s="49"/>
      <c r="D1572" s="95"/>
    </row>
    <row r="1573" spans="2:4" x14ac:dyDescent="0.25">
      <c r="B1573" s="97"/>
      <c r="C1573" s="49"/>
      <c r="D1573" s="95"/>
    </row>
    <row r="1574" spans="2:4" x14ac:dyDescent="0.25">
      <c r="B1574" s="97"/>
      <c r="C1574" s="49"/>
      <c r="D1574" s="95"/>
    </row>
    <row r="1575" spans="2:4" x14ac:dyDescent="0.25">
      <c r="B1575" s="97"/>
      <c r="C1575" s="49"/>
      <c r="D1575" s="95"/>
    </row>
    <row r="1576" spans="2:4" x14ac:dyDescent="0.25">
      <c r="B1576" s="97"/>
      <c r="C1576" s="49"/>
      <c r="D1576" s="95"/>
    </row>
    <row r="1577" spans="2:4" x14ac:dyDescent="0.25">
      <c r="B1577" s="97"/>
      <c r="C1577" s="49"/>
      <c r="D1577" s="95"/>
    </row>
    <row r="1578" spans="2:4" x14ac:dyDescent="0.25">
      <c r="B1578" s="97"/>
      <c r="C1578" s="49"/>
      <c r="D1578" s="95"/>
    </row>
    <row r="1579" spans="2:4" x14ac:dyDescent="0.25">
      <c r="B1579" s="97"/>
      <c r="C1579" s="49"/>
      <c r="D1579" s="95"/>
    </row>
    <row r="1580" spans="2:4" x14ac:dyDescent="0.25">
      <c r="B1580" s="97"/>
      <c r="C1580" s="49"/>
      <c r="D1580" s="95"/>
    </row>
    <row r="1581" spans="2:4" x14ac:dyDescent="0.25">
      <c r="B1581" s="97"/>
      <c r="C1581" s="49"/>
      <c r="D1581" s="95"/>
    </row>
    <row r="1582" spans="2:4" x14ac:dyDescent="0.25">
      <c r="B1582" s="97"/>
      <c r="C1582" s="49"/>
      <c r="D1582" s="95"/>
    </row>
    <row r="1583" spans="2:4" x14ac:dyDescent="0.25">
      <c r="B1583" s="97"/>
      <c r="C1583" s="49"/>
      <c r="D1583" s="95"/>
    </row>
    <row r="1584" spans="2:4" x14ac:dyDescent="0.25">
      <c r="B1584" s="97"/>
      <c r="C1584" s="49"/>
      <c r="D1584" s="95"/>
    </row>
    <row r="1585" spans="2:4" x14ac:dyDescent="0.25">
      <c r="B1585" s="97"/>
      <c r="C1585" s="49"/>
      <c r="D1585" s="95"/>
    </row>
    <row r="1586" spans="2:4" x14ac:dyDescent="0.25">
      <c r="B1586" s="97"/>
      <c r="C1586" s="49"/>
      <c r="D1586" s="95"/>
    </row>
    <row r="1587" spans="2:4" x14ac:dyDescent="0.25">
      <c r="B1587" s="97"/>
      <c r="C1587" s="49"/>
      <c r="D1587" s="95"/>
    </row>
    <row r="1588" spans="2:4" x14ac:dyDescent="0.25">
      <c r="B1588" s="97"/>
      <c r="C1588" s="49"/>
      <c r="D1588" s="95"/>
    </row>
    <row r="1589" spans="2:4" x14ac:dyDescent="0.25">
      <c r="B1589" s="97"/>
      <c r="C1589" s="49"/>
      <c r="D1589" s="95"/>
    </row>
    <row r="1590" spans="2:4" x14ac:dyDescent="0.25">
      <c r="B1590" s="97"/>
      <c r="C1590" s="49"/>
      <c r="D1590" s="95"/>
    </row>
    <row r="1591" spans="2:4" x14ac:dyDescent="0.25">
      <c r="B1591" s="97"/>
      <c r="C1591" s="49"/>
      <c r="D1591" s="95"/>
    </row>
    <row r="1592" spans="2:4" x14ac:dyDescent="0.25">
      <c r="B1592" s="97"/>
      <c r="C1592" s="49"/>
      <c r="D1592" s="95"/>
    </row>
    <row r="1593" spans="2:4" x14ac:dyDescent="0.25">
      <c r="B1593" s="97"/>
      <c r="C1593" s="49"/>
      <c r="D1593" s="95"/>
    </row>
    <row r="1594" spans="2:4" x14ac:dyDescent="0.25">
      <c r="B1594" s="97"/>
      <c r="C1594" s="49"/>
      <c r="D1594" s="95"/>
    </row>
    <row r="1595" spans="2:4" x14ac:dyDescent="0.25">
      <c r="B1595" s="97"/>
      <c r="C1595" s="49"/>
      <c r="D1595" s="95"/>
    </row>
    <row r="1596" spans="2:4" x14ac:dyDescent="0.25">
      <c r="B1596" s="97"/>
      <c r="C1596" s="49"/>
      <c r="D1596" s="95"/>
    </row>
    <row r="1597" spans="2:4" x14ac:dyDescent="0.25">
      <c r="B1597" s="97"/>
      <c r="C1597" s="49"/>
      <c r="D1597" s="95"/>
    </row>
    <row r="1598" spans="2:4" x14ac:dyDescent="0.25">
      <c r="B1598" s="97"/>
      <c r="C1598" s="49"/>
      <c r="D1598" s="95"/>
    </row>
    <row r="1599" spans="2:4" x14ac:dyDescent="0.25">
      <c r="B1599" s="97"/>
      <c r="C1599" s="49"/>
      <c r="D1599" s="95"/>
    </row>
    <row r="1600" spans="2:4" x14ac:dyDescent="0.25">
      <c r="B1600" s="97"/>
      <c r="C1600" s="49"/>
      <c r="D1600" s="95"/>
    </row>
    <row r="1601" spans="2:4" x14ac:dyDescent="0.25">
      <c r="B1601" s="97"/>
      <c r="C1601" s="49"/>
      <c r="D1601" s="95"/>
    </row>
    <row r="1602" spans="2:4" x14ac:dyDescent="0.25">
      <c r="B1602" s="97"/>
      <c r="C1602" s="49"/>
      <c r="D1602" s="95"/>
    </row>
    <row r="1603" spans="2:4" x14ac:dyDescent="0.25">
      <c r="B1603" s="97"/>
      <c r="C1603" s="49"/>
      <c r="D1603" s="95"/>
    </row>
    <row r="1604" spans="2:4" x14ac:dyDescent="0.25">
      <c r="B1604" s="97"/>
      <c r="C1604" s="49"/>
      <c r="D1604" s="95"/>
    </row>
    <row r="1605" spans="2:4" x14ac:dyDescent="0.25">
      <c r="B1605" s="97"/>
      <c r="C1605" s="49"/>
      <c r="D1605" s="95"/>
    </row>
    <row r="1606" spans="2:4" x14ac:dyDescent="0.25">
      <c r="B1606" s="97"/>
      <c r="C1606" s="49"/>
      <c r="D1606" s="95"/>
    </row>
    <row r="1607" spans="2:4" x14ac:dyDescent="0.25">
      <c r="B1607" s="97"/>
      <c r="C1607" s="49"/>
      <c r="D1607" s="95"/>
    </row>
    <row r="1608" spans="2:4" x14ac:dyDescent="0.25">
      <c r="B1608" s="97"/>
      <c r="C1608" s="49"/>
      <c r="D1608" s="95"/>
    </row>
    <row r="1609" spans="2:4" x14ac:dyDescent="0.25">
      <c r="B1609" s="97"/>
      <c r="C1609" s="49"/>
      <c r="D1609" s="95"/>
    </row>
    <row r="1610" spans="2:4" x14ac:dyDescent="0.25">
      <c r="B1610" s="97"/>
      <c r="C1610" s="49"/>
      <c r="D1610" s="95"/>
    </row>
    <row r="1611" spans="2:4" x14ac:dyDescent="0.25">
      <c r="B1611" s="97"/>
      <c r="C1611" s="49"/>
      <c r="D1611" s="95"/>
    </row>
    <row r="1612" spans="2:4" x14ac:dyDescent="0.25">
      <c r="B1612" s="97"/>
      <c r="C1612" s="49"/>
      <c r="D1612" s="95"/>
    </row>
    <row r="1613" spans="2:4" x14ac:dyDescent="0.25">
      <c r="B1613" s="97"/>
      <c r="C1613" s="49"/>
      <c r="D1613" s="95"/>
    </row>
    <row r="1614" spans="2:4" x14ac:dyDescent="0.25">
      <c r="B1614" s="97"/>
      <c r="C1614" s="49"/>
      <c r="D1614" s="95"/>
    </row>
    <row r="1615" spans="2:4" x14ac:dyDescent="0.25">
      <c r="B1615" s="97"/>
      <c r="C1615" s="49"/>
      <c r="D1615" s="95"/>
    </row>
    <row r="1616" spans="2:4" x14ac:dyDescent="0.25">
      <c r="B1616" s="97"/>
      <c r="C1616" s="49"/>
      <c r="D1616" s="95"/>
    </row>
    <row r="1617" spans="2:4" x14ac:dyDescent="0.25">
      <c r="B1617" s="97"/>
      <c r="C1617" s="49"/>
      <c r="D1617" s="95"/>
    </row>
    <row r="1618" spans="2:4" x14ac:dyDescent="0.25">
      <c r="B1618" s="97"/>
      <c r="C1618" s="49"/>
      <c r="D1618" s="95"/>
    </row>
    <row r="1619" spans="2:4" x14ac:dyDescent="0.25">
      <c r="B1619" s="97"/>
      <c r="C1619" s="49"/>
      <c r="D1619" s="95"/>
    </row>
    <row r="1620" spans="2:4" x14ac:dyDescent="0.25">
      <c r="B1620" s="97"/>
      <c r="C1620" s="49"/>
      <c r="D1620" s="95"/>
    </row>
    <row r="1621" spans="2:4" x14ac:dyDescent="0.25">
      <c r="B1621" s="97"/>
      <c r="C1621" s="49"/>
      <c r="D1621" s="95"/>
    </row>
    <row r="1622" spans="2:4" x14ac:dyDescent="0.25">
      <c r="B1622" s="97"/>
      <c r="C1622" s="49"/>
      <c r="D1622" s="95"/>
    </row>
    <row r="1623" spans="2:4" x14ac:dyDescent="0.25">
      <c r="B1623" s="97"/>
      <c r="C1623" s="49"/>
      <c r="D1623" s="95"/>
    </row>
    <row r="1624" spans="2:4" x14ac:dyDescent="0.25">
      <c r="B1624" s="97"/>
      <c r="C1624" s="49"/>
      <c r="D1624" s="95"/>
    </row>
    <row r="1625" spans="2:4" x14ac:dyDescent="0.25">
      <c r="B1625" s="97"/>
      <c r="C1625" s="49"/>
      <c r="D1625" s="95"/>
    </row>
    <row r="1626" spans="2:4" x14ac:dyDescent="0.25">
      <c r="B1626" s="97"/>
      <c r="C1626" s="49"/>
      <c r="D1626" s="95"/>
    </row>
    <row r="1627" spans="2:4" x14ac:dyDescent="0.25">
      <c r="B1627" s="97"/>
      <c r="C1627" s="49"/>
      <c r="D1627" s="95"/>
    </row>
    <row r="1628" spans="2:4" x14ac:dyDescent="0.25">
      <c r="B1628" s="97"/>
      <c r="C1628" s="49"/>
      <c r="D1628" s="95"/>
    </row>
    <row r="1629" spans="2:4" x14ac:dyDescent="0.25">
      <c r="B1629" s="97"/>
      <c r="C1629" s="49"/>
      <c r="D1629" s="95"/>
    </row>
    <row r="1630" spans="2:4" x14ac:dyDescent="0.25">
      <c r="B1630" s="97"/>
      <c r="C1630" s="49"/>
      <c r="D1630" s="95"/>
    </row>
    <row r="1631" spans="2:4" x14ac:dyDescent="0.25">
      <c r="B1631" s="97"/>
      <c r="C1631" s="49"/>
      <c r="D1631" s="95"/>
    </row>
    <row r="1632" spans="2:4" x14ac:dyDescent="0.25">
      <c r="B1632" s="97"/>
      <c r="C1632" s="49"/>
      <c r="D1632" s="95"/>
    </row>
    <row r="1633" spans="2:4" x14ac:dyDescent="0.25">
      <c r="B1633" s="97"/>
      <c r="C1633" s="49"/>
      <c r="D1633" s="95"/>
    </row>
    <row r="1634" spans="2:4" x14ac:dyDescent="0.25">
      <c r="B1634" s="97"/>
      <c r="C1634" s="49"/>
      <c r="D1634" s="95"/>
    </row>
    <row r="1635" spans="2:4" x14ac:dyDescent="0.25">
      <c r="B1635" s="97"/>
      <c r="C1635" s="49"/>
      <c r="D1635" s="95"/>
    </row>
    <row r="1636" spans="2:4" x14ac:dyDescent="0.25">
      <c r="B1636" s="97"/>
      <c r="C1636" s="49"/>
      <c r="D1636" s="95"/>
    </row>
    <row r="1637" spans="2:4" x14ac:dyDescent="0.25">
      <c r="B1637" s="97"/>
      <c r="C1637" s="49"/>
      <c r="D1637" s="95"/>
    </row>
    <row r="1638" spans="2:4" x14ac:dyDescent="0.25">
      <c r="B1638" s="97"/>
      <c r="C1638" s="49"/>
      <c r="D1638" s="95"/>
    </row>
    <row r="1639" spans="2:4" x14ac:dyDescent="0.25">
      <c r="B1639" s="97"/>
      <c r="C1639" s="49"/>
      <c r="D1639" s="95"/>
    </row>
    <row r="1640" spans="2:4" x14ac:dyDescent="0.25">
      <c r="B1640" s="97"/>
      <c r="C1640" s="49"/>
      <c r="D1640" s="95"/>
    </row>
    <row r="1641" spans="2:4" x14ac:dyDescent="0.25">
      <c r="B1641" s="97"/>
      <c r="C1641" s="49"/>
      <c r="D1641" s="95"/>
    </row>
    <row r="1642" spans="2:4" x14ac:dyDescent="0.25">
      <c r="B1642" s="97"/>
      <c r="C1642" s="49"/>
      <c r="D1642" s="95"/>
    </row>
    <row r="1643" spans="2:4" x14ac:dyDescent="0.25">
      <c r="B1643" s="97"/>
      <c r="C1643" s="49"/>
      <c r="D1643" s="95"/>
    </row>
    <row r="1644" spans="2:4" x14ac:dyDescent="0.25">
      <c r="B1644" s="97"/>
      <c r="C1644" s="49"/>
      <c r="D1644" s="95"/>
    </row>
    <row r="1645" spans="2:4" x14ac:dyDescent="0.25">
      <c r="B1645" s="97"/>
      <c r="C1645" s="49"/>
      <c r="D1645" s="95"/>
    </row>
    <row r="1646" spans="2:4" x14ac:dyDescent="0.25">
      <c r="B1646" s="97"/>
      <c r="C1646" s="49"/>
      <c r="D1646" s="95"/>
    </row>
    <row r="1647" spans="2:4" x14ac:dyDescent="0.25">
      <c r="B1647" s="97"/>
      <c r="C1647" s="49"/>
      <c r="D1647" s="95"/>
    </row>
    <row r="1648" spans="2:4" x14ac:dyDescent="0.25">
      <c r="B1648" s="97"/>
      <c r="C1648" s="49"/>
      <c r="D1648" s="95"/>
    </row>
    <row r="1649" spans="2:4" x14ac:dyDescent="0.25">
      <c r="B1649" s="97"/>
      <c r="C1649" s="49"/>
      <c r="D1649" s="95"/>
    </row>
    <row r="1650" spans="2:4" x14ac:dyDescent="0.25">
      <c r="B1650" s="97"/>
      <c r="C1650" s="49"/>
      <c r="D1650" s="95"/>
    </row>
    <row r="1651" spans="2:4" x14ac:dyDescent="0.25">
      <c r="B1651" s="97"/>
      <c r="C1651" s="49"/>
      <c r="D1651" s="95"/>
    </row>
    <row r="1652" spans="2:4" x14ac:dyDescent="0.25">
      <c r="B1652" s="97"/>
      <c r="C1652" s="49"/>
      <c r="D1652" s="95"/>
    </row>
    <row r="1653" spans="2:4" x14ac:dyDescent="0.25">
      <c r="B1653" s="97"/>
      <c r="C1653" s="49"/>
      <c r="D1653" s="95"/>
    </row>
    <row r="1654" spans="2:4" x14ac:dyDescent="0.25">
      <c r="B1654" s="97"/>
      <c r="C1654" s="49"/>
      <c r="D1654" s="95"/>
    </row>
    <row r="1655" spans="2:4" x14ac:dyDescent="0.25">
      <c r="B1655" s="97"/>
      <c r="C1655" s="49"/>
      <c r="D1655" s="95"/>
    </row>
    <row r="1656" spans="2:4" x14ac:dyDescent="0.25">
      <c r="B1656" s="97"/>
      <c r="C1656" s="49"/>
      <c r="D1656" s="95"/>
    </row>
    <row r="1657" spans="2:4" x14ac:dyDescent="0.25">
      <c r="B1657" s="97"/>
      <c r="C1657" s="49"/>
      <c r="D1657" s="95"/>
    </row>
    <row r="1658" spans="2:4" x14ac:dyDescent="0.25">
      <c r="B1658" s="97"/>
      <c r="C1658" s="49"/>
      <c r="D1658" s="95"/>
    </row>
    <row r="1659" spans="2:4" x14ac:dyDescent="0.25">
      <c r="B1659" s="97"/>
      <c r="C1659" s="49"/>
      <c r="D1659" s="95"/>
    </row>
    <row r="1660" spans="2:4" x14ac:dyDescent="0.25">
      <c r="B1660" s="97"/>
      <c r="C1660" s="49"/>
      <c r="D1660" s="95"/>
    </row>
    <row r="1661" spans="2:4" x14ac:dyDescent="0.25">
      <c r="B1661" s="97"/>
      <c r="C1661" s="49"/>
      <c r="D1661" s="95"/>
    </row>
    <row r="1662" spans="2:4" x14ac:dyDescent="0.25">
      <c r="B1662" s="97"/>
      <c r="C1662" s="49"/>
      <c r="D1662" s="95"/>
    </row>
    <row r="1663" spans="2:4" x14ac:dyDescent="0.25">
      <c r="B1663" s="97"/>
      <c r="C1663" s="49"/>
      <c r="D1663" s="95"/>
    </row>
    <row r="1664" spans="2:4" x14ac:dyDescent="0.25">
      <c r="B1664" s="97"/>
      <c r="C1664" s="49"/>
      <c r="D1664" s="95"/>
    </row>
    <row r="1665" spans="2:4" x14ac:dyDescent="0.25">
      <c r="B1665" s="97"/>
      <c r="C1665" s="49"/>
      <c r="D1665" s="95"/>
    </row>
    <row r="1666" spans="2:4" x14ac:dyDescent="0.25">
      <c r="B1666" s="97"/>
      <c r="C1666" s="49"/>
      <c r="D1666" s="95"/>
    </row>
    <row r="1667" spans="2:4" x14ac:dyDescent="0.25">
      <c r="B1667" s="97"/>
      <c r="C1667" s="49"/>
      <c r="D1667" s="95"/>
    </row>
    <row r="1668" spans="2:4" x14ac:dyDescent="0.25">
      <c r="B1668" s="97"/>
      <c r="C1668" s="49"/>
      <c r="D1668" s="95"/>
    </row>
    <row r="1669" spans="2:4" x14ac:dyDescent="0.25">
      <c r="B1669" s="97"/>
      <c r="C1669" s="49"/>
      <c r="D1669" s="95"/>
    </row>
    <row r="1670" spans="2:4" x14ac:dyDescent="0.25">
      <c r="B1670" s="97"/>
      <c r="C1670" s="49"/>
      <c r="D1670" s="95"/>
    </row>
    <row r="1671" spans="2:4" x14ac:dyDescent="0.25">
      <c r="B1671" s="97"/>
      <c r="C1671" s="49"/>
      <c r="D1671" s="95"/>
    </row>
    <row r="1672" spans="2:4" x14ac:dyDescent="0.25">
      <c r="B1672" s="97"/>
      <c r="C1672" s="49"/>
      <c r="D1672" s="95"/>
    </row>
    <row r="1673" spans="2:4" x14ac:dyDescent="0.25">
      <c r="B1673" s="97"/>
      <c r="C1673" s="49"/>
      <c r="D1673" s="95"/>
    </row>
    <row r="1674" spans="2:4" x14ac:dyDescent="0.25">
      <c r="B1674" s="97"/>
      <c r="C1674" s="49"/>
      <c r="D1674" s="95"/>
    </row>
    <row r="1675" spans="2:4" x14ac:dyDescent="0.25">
      <c r="B1675" s="97"/>
      <c r="C1675" s="49"/>
      <c r="D1675" s="95"/>
    </row>
    <row r="1676" spans="2:4" x14ac:dyDescent="0.25">
      <c r="B1676" s="97"/>
      <c r="C1676" s="49"/>
      <c r="D1676" s="95"/>
    </row>
    <row r="1677" spans="2:4" x14ac:dyDescent="0.25">
      <c r="B1677" s="97"/>
      <c r="C1677" s="49"/>
      <c r="D1677" s="95"/>
    </row>
    <row r="1678" spans="2:4" x14ac:dyDescent="0.25">
      <c r="B1678" s="97"/>
      <c r="C1678" s="49"/>
      <c r="D1678" s="95"/>
    </row>
    <row r="1679" spans="2:4" x14ac:dyDescent="0.25">
      <c r="B1679" s="97"/>
      <c r="C1679" s="49"/>
      <c r="D1679" s="95"/>
    </row>
    <row r="1680" spans="2:4" x14ac:dyDescent="0.25">
      <c r="B1680" s="97"/>
      <c r="C1680" s="49"/>
      <c r="D1680" s="95"/>
    </row>
    <row r="1681" spans="2:4" x14ac:dyDescent="0.25">
      <c r="B1681" s="97"/>
      <c r="C1681" s="49"/>
      <c r="D1681" s="95"/>
    </row>
    <row r="1682" spans="2:4" x14ac:dyDescent="0.25">
      <c r="B1682" s="97"/>
      <c r="C1682" s="49"/>
      <c r="D1682" s="95"/>
    </row>
    <row r="1683" spans="2:4" x14ac:dyDescent="0.25">
      <c r="B1683" s="97"/>
      <c r="C1683" s="49"/>
      <c r="D1683" s="95"/>
    </row>
    <row r="1684" spans="2:4" x14ac:dyDescent="0.25">
      <c r="B1684" s="97"/>
      <c r="C1684" s="49"/>
      <c r="D1684" s="95"/>
    </row>
    <row r="1685" spans="2:4" x14ac:dyDescent="0.25">
      <c r="B1685" s="97"/>
      <c r="C1685" s="49"/>
      <c r="D1685" s="95"/>
    </row>
    <row r="1686" spans="2:4" x14ac:dyDescent="0.25">
      <c r="B1686" s="97"/>
      <c r="C1686" s="49"/>
      <c r="D1686" s="95"/>
    </row>
    <row r="1687" spans="2:4" x14ac:dyDescent="0.25">
      <c r="B1687" s="97"/>
      <c r="C1687" s="49"/>
      <c r="D1687" s="95"/>
    </row>
    <row r="1688" spans="2:4" x14ac:dyDescent="0.25">
      <c r="B1688" s="97"/>
      <c r="C1688" s="49"/>
      <c r="D1688" s="95"/>
    </row>
    <row r="1689" spans="2:4" x14ac:dyDescent="0.25">
      <c r="B1689" s="97"/>
      <c r="C1689" s="49"/>
      <c r="D1689" s="95"/>
    </row>
    <row r="1690" spans="2:4" x14ac:dyDescent="0.25">
      <c r="B1690" s="97"/>
      <c r="C1690" s="49"/>
      <c r="D1690" s="95"/>
    </row>
    <row r="1691" spans="2:4" x14ac:dyDescent="0.25">
      <c r="B1691" s="97"/>
      <c r="C1691" s="49"/>
      <c r="D1691" s="95"/>
    </row>
    <row r="1692" spans="2:4" x14ac:dyDescent="0.25">
      <c r="B1692" s="97"/>
      <c r="C1692" s="49"/>
      <c r="D1692" s="95"/>
    </row>
    <row r="1693" spans="2:4" x14ac:dyDescent="0.25">
      <c r="B1693" s="97"/>
      <c r="C1693" s="49"/>
      <c r="D1693" s="95"/>
    </row>
    <row r="1694" spans="2:4" x14ac:dyDescent="0.25">
      <c r="B1694" s="97"/>
      <c r="C1694" s="49"/>
      <c r="D1694" s="95"/>
    </row>
    <row r="1695" spans="2:4" x14ac:dyDescent="0.25">
      <c r="B1695" s="97"/>
      <c r="C1695" s="49"/>
      <c r="D1695" s="95"/>
    </row>
    <row r="1696" spans="2:4" x14ac:dyDescent="0.25">
      <c r="B1696" s="97"/>
      <c r="C1696" s="49"/>
      <c r="D1696" s="95"/>
    </row>
    <row r="1697" spans="2:4" x14ac:dyDescent="0.25">
      <c r="B1697" s="97"/>
      <c r="C1697" s="49"/>
      <c r="D1697" s="95"/>
    </row>
    <row r="1698" spans="2:4" x14ac:dyDescent="0.25">
      <c r="B1698" s="97"/>
      <c r="C1698" s="49"/>
      <c r="D1698" s="95"/>
    </row>
    <row r="1699" spans="2:4" x14ac:dyDescent="0.25">
      <c r="B1699" s="97"/>
      <c r="C1699" s="49"/>
      <c r="D1699" s="95"/>
    </row>
    <row r="1700" spans="2:4" x14ac:dyDescent="0.25">
      <c r="B1700" s="97"/>
      <c r="C1700" s="49"/>
      <c r="D1700" s="95"/>
    </row>
    <row r="1701" spans="2:4" x14ac:dyDescent="0.25">
      <c r="B1701" s="97"/>
      <c r="C1701" s="49"/>
      <c r="D1701" s="95"/>
    </row>
    <row r="1702" spans="2:4" x14ac:dyDescent="0.25">
      <c r="B1702" s="97"/>
      <c r="C1702" s="49"/>
      <c r="D1702" s="95"/>
    </row>
    <row r="1703" spans="2:4" x14ac:dyDescent="0.25">
      <c r="B1703" s="97"/>
      <c r="C1703" s="49"/>
      <c r="D1703" s="95"/>
    </row>
    <row r="1704" spans="2:4" x14ac:dyDescent="0.25">
      <c r="B1704" s="97"/>
      <c r="C1704" s="49"/>
      <c r="D1704" s="95"/>
    </row>
    <row r="1705" spans="2:4" x14ac:dyDescent="0.25">
      <c r="B1705" s="97"/>
      <c r="C1705" s="49"/>
      <c r="D1705" s="95"/>
    </row>
    <row r="1706" spans="2:4" x14ac:dyDescent="0.25">
      <c r="B1706" s="97"/>
      <c r="C1706" s="49"/>
      <c r="D1706" s="95"/>
    </row>
    <row r="1707" spans="2:4" x14ac:dyDescent="0.25">
      <c r="B1707" s="97"/>
      <c r="C1707" s="49"/>
      <c r="D1707" s="95"/>
    </row>
    <row r="1708" spans="2:4" x14ac:dyDescent="0.25">
      <c r="B1708" s="97"/>
      <c r="C1708" s="49"/>
      <c r="D1708" s="95"/>
    </row>
    <row r="1709" spans="2:4" x14ac:dyDescent="0.25">
      <c r="B1709" s="97"/>
      <c r="C1709" s="49"/>
      <c r="D1709" s="95"/>
    </row>
    <row r="1710" spans="2:4" x14ac:dyDescent="0.25">
      <c r="B1710" s="97"/>
      <c r="C1710" s="49"/>
      <c r="D1710" s="95"/>
    </row>
    <row r="1711" spans="2:4" x14ac:dyDescent="0.25">
      <c r="B1711" s="97"/>
      <c r="C1711" s="49"/>
      <c r="D1711" s="95"/>
    </row>
    <row r="1712" spans="2:4" x14ac:dyDescent="0.25">
      <c r="B1712" s="97"/>
      <c r="C1712" s="49"/>
      <c r="D1712" s="95"/>
    </row>
    <row r="1713" spans="2:4" x14ac:dyDescent="0.25">
      <c r="B1713" s="97"/>
      <c r="C1713" s="49"/>
      <c r="D1713" s="95"/>
    </row>
    <row r="1714" spans="2:4" x14ac:dyDescent="0.25">
      <c r="B1714" s="97"/>
      <c r="C1714" s="49"/>
      <c r="D1714" s="95"/>
    </row>
    <row r="1715" spans="2:4" x14ac:dyDescent="0.25">
      <c r="B1715" s="97"/>
      <c r="C1715" s="49"/>
      <c r="D1715" s="95"/>
    </row>
    <row r="1716" spans="2:4" x14ac:dyDescent="0.25">
      <c r="B1716" s="97"/>
      <c r="C1716" s="49"/>
      <c r="D1716" s="95"/>
    </row>
    <row r="1717" spans="2:4" x14ac:dyDescent="0.25">
      <c r="B1717" s="97"/>
      <c r="C1717" s="49"/>
      <c r="D1717" s="95"/>
    </row>
    <row r="1718" spans="2:4" x14ac:dyDescent="0.25">
      <c r="B1718" s="97"/>
      <c r="C1718" s="49"/>
      <c r="D1718" s="95"/>
    </row>
    <row r="1719" spans="2:4" x14ac:dyDescent="0.25">
      <c r="B1719" s="97"/>
      <c r="C1719" s="49"/>
      <c r="D1719" s="95"/>
    </row>
    <row r="1720" spans="2:4" x14ac:dyDescent="0.25">
      <c r="B1720" s="97"/>
      <c r="C1720" s="49"/>
      <c r="D1720" s="95"/>
    </row>
    <row r="1721" spans="2:4" x14ac:dyDescent="0.25">
      <c r="B1721" s="97"/>
      <c r="C1721" s="49"/>
      <c r="D1721" s="95"/>
    </row>
    <row r="1722" spans="2:4" x14ac:dyDescent="0.25">
      <c r="B1722" s="97"/>
      <c r="C1722" s="49"/>
      <c r="D1722" s="95"/>
    </row>
    <row r="1723" spans="2:4" x14ac:dyDescent="0.25">
      <c r="B1723" s="97"/>
      <c r="C1723" s="49"/>
      <c r="D1723" s="95"/>
    </row>
    <row r="1724" spans="2:4" x14ac:dyDescent="0.25">
      <c r="B1724" s="97"/>
      <c r="C1724" s="49"/>
      <c r="D1724" s="95"/>
    </row>
    <row r="1725" spans="2:4" x14ac:dyDescent="0.25">
      <c r="B1725" s="97"/>
      <c r="C1725" s="49"/>
      <c r="D1725" s="95"/>
    </row>
    <row r="1726" spans="2:4" x14ac:dyDescent="0.25">
      <c r="B1726" s="97"/>
      <c r="C1726" s="49"/>
      <c r="D1726" s="95"/>
    </row>
    <row r="1727" spans="2:4" x14ac:dyDescent="0.25">
      <c r="B1727" s="97"/>
      <c r="C1727" s="49"/>
      <c r="D1727" s="95"/>
    </row>
    <row r="1728" spans="2:4" x14ac:dyDescent="0.25">
      <c r="B1728" s="97"/>
      <c r="C1728" s="49"/>
      <c r="D1728" s="95"/>
    </row>
    <row r="1729" spans="2:4" x14ac:dyDescent="0.25">
      <c r="B1729" s="97"/>
      <c r="C1729" s="49"/>
      <c r="D1729" s="95"/>
    </row>
    <row r="1730" spans="2:4" x14ac:dyDescent="0.25">
      <c r="B1730" s="97"/>
      <c r="C1730" s="49"/>
      <c r="D1730" s="95"/>
    </row>
    <row r="1731" spans="2:4" x14ac:dyDescent="0.25">
      <c r="B1731" s="97"/>
      <c r="C1731" s="49"/>
      <c r="D1731" s="95"/>
    </row>
    <row r="1732" spans="2:4" x14ac:dyDescent="0.25">
      <c r="B1732" s="97"/>
      <c r="C1732" s="49"/>
      <c r="D1732" s="95"/>
    </row>
    <row r="1733" spans="2:4" x14ac:dyDescent="0.25">
      <c r="B1733" s="97"/>
      <c r="C1733" s="49"/>
      <c r="D1733" s="95"/>
    </row>
    <row r="1734" spans="2:4" x14ac:dyDescent="0.25">
      <c r="B1734" s="97"/>
      <c r="C1734" s="49"/>
      <c r="D1734" s="95"/>
    </row>
    <row r="1735" spans="2:4" x14ac:dyDescent="0.25">
      <c r="B1735" s="97"/>
      <c r="C1735" s="49"/>
      <c r="D1735" s="95"/>
    </row>
    <row r="1736" spans="2:4" x14ac:dyDescent="0.25">
      <c r="B1736" s="97"/>
      <c r="C1736" s="49"/>
      <c r="D1736" s="95"/>
    </row>
    <row r="1737" spans="2:4" x14ac:dyDescent="0.25">
      <c r="B1737" s="97"/>
      <c r="C1737" s="49"/>
      <c r="D1737" s="95"/>
    </row>
    <row r="1738" spans="2:4" x14ac:dyDescent="0.25">
      <c r="B1738" s="97"/>
      <c r="C1738" s="49"/>
      <c r="D1738" s="95"/>
    </row>
    <row r="1739" spans="2:4" x14ac:dyDescent="0.25">
      <c r="B1739" s="97"/>
      <c r="C1739" s="49"/>
      <c r="D1739" s="95"/>
    </row>
    <row r="1740" spans="2:4" x14ac:dyDescent="0.25">
      <c r="B1740" s="97"/>
      <c r="C1740" s="49"/>
      <c r="D1740" s="95"/>
    </row>
    <row r="1741" spans="2:4" x14ac:dyDescent="0.25">
      <c r="B1741" s="97"/>
      <c r="C1741" s="49"/>
      <c r="D1741" s="95"/>
    </row>
    <row r="1742" spans="2:4" x14ac:dyDescent="0.25">
      <c r="B1742" s="97"/>
      <c r="C1742" s="49"/>
      <c r="D1742" s="95"/>
    </row>
    <row r="1743" spans="2:4" x14ac:dyDescent="0.25">
      <c r="B1743" s="97"/>
      <c r="C1743" s="49"/>
      <c r="D1743" s="95"/>
    </row>
    <row r="1744" spans="2:4" x14ac:dyDescent="0.25">
      <c r="B1744" s="97"/>
      <c r="C1744" s="49"/>
      <c r="D1744" s="95"/>
    </row>
    <row r="1745" spans="2:4" x14ac:dyDescent="0.25">
      <c r="B1745" s="97"/>
      <c r="C1745" s="49"/>
      <c r="D1745" s="95"/>
    </row>
    <row r="1746" spans="2:4" x14ac:dyDescent="0.25">
      <c r="B1746" s="97"/>
      <c r="C1746" s="49"/>
      <c r="D1746" s="95"/>
    </row>
    <row r="1747" spans="2:4" x14ac:dyDescent="0.25">
      <c r="B1747" s="97"/>
      <c r="C1747" s="49"/>
      <c r="D1747" s="95"/>
    </row>
    <row r="1748" spans="2:4" x14ac:dyDescent="0.25">
      <c r="B1748" s="97"/>
      <c r="C1748" s="49"/>
      <c r="D1748" s="95"/>
    </row>
    <row r="1749" spans="2:4" x14ac:dyDescent="0.25">
      <c r="B1749" s="97"/>
      <c r="C1749" s="49"/>
      <c r="D1749" s="95"/>
    </row>
    <row r="1750" spans="2:4" x14ac:dyDescent="0.25">
      <c r="B1750" s="97"/>
      <c r="C1750" s="49"/>
      <c r="D1750" s="95"/>
    </row>
    <row r="1751" spans="2:4" x14ac:dyDescent="0.25">
      <c r="B1751" s="97"/>
      <c r="C1751" s="49"/>
      <c r="D1751" s="95"/>
    </row>
    <row r="1752" spans="2:4" x14ac:dyDescent="0.25">
      <c r="B1752" s="97"/>
      <c r="C1752" s="49"/>
      <c r="D1752" s="95"/>
    </row>
    <row r="1753" spans="2:4" x14ac:dyDescent="0.25">
      <c r="B1753" s="97"/>
      <c r="C1753" s="49"/>
      <c r="D1753" s="95"/>
    </row>
    <row r="1754" spans="2:4" x14ac:dyDescent="0.25">
      <c r="B1754" s="97"/>
      <c r="C1754" s="49"/>
      <c r="D1754" s="95"/>
    </row>
    <row r="1755" spans="2:4" x14ac:dyDescent="0.25">
      <c r="B1755" s="97"/>
      <c r="C1755" s="49"/>
      <c r="D1755" s="95"/>
    </row>
    <row r="1756" spans="2:4" x14ac:dyDescent="0.25">
      <c r="B1756" s="97"/>
      <c r="C1756" s="49"/>
      <c r="D1756" s="95"/>
    </row>
    <row r="1757" spans="2:4" x14ac:dyDescent="0.25">
      <c r="B1757" s="97"/>
      <c r="C1757" s="49"/>
      <c r="D1757" s="95"/>
    </row>
    <row r="1758" spans="2:4" x14ac:dyDescent="0.25">
      <c r="B1758" s="97"/>
      <c r="C1758" s="49"/>
      <c r="D1758" s="95"/>
    </row>
    <row r="1759" spans="2:4" x14ac:dyDescent="0.25">
      <c r="B1759" s="97"/>
      <c r="C1759" s="49"/>
      <c r="D1759" s="95"/>
    </row>
    <row r="1760" spans="2:4" x14ac:dyDescent="0.25">
      <c r="B1760" s="97"/>
      <c r="C1760" s="49"/>
      <c r="D1760" s="95"/>
    </row>
    <row r="1761" spans="2:4" x14ac:dyDescent="0.25">
      <c r="B1761" s="97"/>
      <c r="C1761" s="49"/>
      <c r="D1761" s="95"/>
    </row>
    <row r="1762" spans="2:4" x14ac:dyDescent="0.25">
      <c r="B1762" s="97"/>
      <c r="C1762" s="49"/>
      <c r="D1762" s="95"/>
    </row>
    <row r="1763" spans="2:4" x14ac:dyDescent="0.25">
      <c r="B1763" s="97"/>
      <c r="C1763" s="49"/>
      <c r="D1763" s="95"/>
    </row>
    <row r="1764" spans="2:4" x14ac:dyDescent="0.25">
      <c r="B1764" s="97"/>
      <c r="C1764" s="49"/>
      <c r="D1764" s="95"/>
    </row>
    <row r="1765" spans="2:4" x14ac:dyDescent="0.25">
      <c r="B1765" s="97"/>
      <c r="C1765" s="49"/>
      <c r="D1765" s="95"/>
    </row>
    <row r="1766" spans="2:4" x14ac:dyDescent="0.25">
      <c r="B1766" s="97"/>
      <c r="C1766" s="49"/>
      <c r="D1766" s="95"/>
    </row>
    <row r="1767" spans="2:4" x14ac:dyDescent="0.25">
      <c r="B1767" s="97"/>
      <c r="C1767" s="49"/>
      <c r="D1767" s="95"/>
    </row>
    <row r="1768" spans="2:4" x14ac:dyDescent="0.25">
      <c r="B1768" s="97"/>
      <c r="C1768" s="49"/>
      <c r="D1768" s="95"/>
    </row>
    <row r="1769" spans="2:4" x14ac:dyDescent="0.25">
      <c r="B1769" s="97"/>
      <c r="C1769" s="49"/>
      <c r="D1769" s="95"/>
    </row>
    <row r="1770" spans="2:4" x14ac:dyDescent="0.25">
      <c r="B1770" s="97"/>
      <c r="C1770" s="49"/>
      <c r="D1770" s="95"/>
    </row>
    <row r="1771" spans="2:4" x14ac:dyDescent="0.25">
      <c r="B1771" s="97"/>
      <c r="C1771" s="49"/>
      <c r="D1771" s="95"/>
    </row>
    <row r="1772" spans="2:4" x14ac:dyDescent="0.25">
      <c r="B1772" s="97"/>
      <c r="C1772" s="49"/>
      <c r="D1772" s="95"/>
    </row>
    <row r="1773" spans="2:4" x14ac:dyDescent="0.25">
      <c r="B1773" s="97"/>
      <c r="C1773" s="49"/>
      <c r="D1773" s="95"/>
    </row>
    <row r="1774" spans="2:4" x14ac:dyDescent="0.25">
      <c r="B1774" s="97"/>
      <c r="C1774" s="49"/>
      <c r="D1774" s="95"/>
    </row>
    <row r="1775" spans="2:4" x14ac:dyDescent="0.25">
      <c r="B1775" s="97"/>
      <c r="C1775" s="49"/>
      <c r="D1775" s="95"/>
    </row>
    <row r="1776" spans="2:4" x14ac:dyDescent="0.25">
      <c r="B1776" s="97"/>
      <c r="C1776" s="49"/>
      <c r="D1776" s="95"/>
    </row>
    <row r="1777" spans="2:4" x14ac:dyDescent="0.25">
      <c r="B1777" s="97"/>
      <c r="C1777" s="49"/>
      <c r="D1777" s="95"/>
    </row>
    <row r="1778" spans="2:4" x14ac:dyDescent="0.25">
      <c r="B1778" s="97"/>
      <c r="C1778" s="49"/>
      <c r="D1778" s="95"/>
    </row>
    <row r="1779" spans="2:4" x14ac:dyDescent="0.25">
      <c r="B1779" s="97"/>
      <c r="C1779" s="49"/>
      <c r="D1779" s="95"/>
    </row>
    <row r="1780" spans="2:4" x14ac:dyDescent="0.25">
      <c r="B1780" s="97"/>
      <c r="C1780" s="49"/>
      <c r="D1780" s="95"/>
    </row>
    <row r="1781" spans="2:4" x14ac:dyDescent="0.25">
      <c r="B1781" s="97"/>
      <c r="C1781" s="49"/>
      <c r="D1781" s="95"/>
    </row>
    <row r="1782" spans="2:4" x14ac:dyDescent="0.25">
      <c r="B1782" s="97"/>
      <c r="C1782" s="49"/>
      <c r="D1782" s="95"/>
    </row>
    <row r="1783" spans="2:4" x14ac:dyDescent="0.25">
      <c r="B1783" s="97"/>
      <c r="C1783" s="49"/>
      <c r="D1783" s="95"/>
    </row>
    <row r="1784" spans="2:4" x14ac:dyDescent="0.25">
      <c r="B1784" s="97"/>
      <c r="C1784" s="49"/>
      <c r="D1784" s="95"/>
    </row>
    <row r="1785" spans="2:4" x14ac:dyDescent="0.25">
      <c r="B1785" s="97"/>
      <c r="C1785" s="49"/>
      <c r="D1785" s="95"/>
    </row>
    <row r="1786" spans="2:4" x14ac:dyDescent="0.25">
      <c r="B1786" s="97"/>
      <c r="C1786" s="49"/>
      <c r="D1786" s="95"/>
    </row>
    <row r="1787" spans="2:4" x14ac:dyDescent="0.25">
      <c r="B1787" s="97"/>
      <c r="C1787" s="49"/>
      <c r="D1787" s="95"/>
    </row>
    <row r="1788" spans="2:4" x14ac:dyDescent="0.25">
      <c r="B1788" s="97"/>
      <c r="C1788" s="49"/>
      <c r="D1788" s="95"/>
    </row>
    <row r="1789" spans="2:4" x14ac:dyDescent="0.25">
      <c r="B1789" s="97"/>
      <c r="C1789" s="49"/>
      <c r="D1789" s="95"/>
    </row>
    <row r="1790" spans="2:4" x14ac:dyDescent="0.25">
      <c r="B1790" s="97"/>
      <c r="C1790" s="49"/>
      <c r="D1790" s="95"/>
    </row>
    <row r="1791" spans="2:4" x14ac:dyDescent="0.25">
      <c r="B1791" s="97"/>
      <c r="C1791" s="49"/>
      <c r="D1791" s="95"/>
    </row>
    <row r="1792" spans="2:4" x14ac:dyDescent="0.25">
      <c r="B1792" s="97"/>
      <c r="C1792" s="49"/>
      <c r="D1792" s="95"/>
    </row>
    <row r="1793" spans="2:4" x14ac:dyDescent="0.25">
      <c r="B1793" s="97"/>
      <c r="C1793" s="49"/>
      <c r="D1793" s="95"/>
    </row>
    <row r="1794" spans="2:4" x14ac:dyDescent="0.25">
      <c r="B1794" s="97"/>
      <c r="C1794" s="49"/>
      <c r="D1794" s="95"/>
    </row>
    <row r="1795" spans="2:4" x14ac:dyDescent="0.25">
      <c r="B1795" s="97"/>
      <c r="C1795" s="49"/>
      <c r="D1795" s="95"/>
    </row>
    <row r="1796" spans="2:4" x14ac:dyDescent="0.25">
      <c r="B1796" s="97"/>
      <c r="C1796" s="49"/>
      <c r="D1796" s="95"/>
    </row>
    <row r="1797" spans="2:4" x14ac:dyDescent="0.25">
      <c r="B1797" s="97"/>
      <c r="C1797" s="49"/>
      <c r="D1797" s="95"/>
    </row>
    <row r="1798" spans="2:4" x14ac:dyDescent="0.25">
      <c r="B1798" s="97"/>
      <c r="C1798" s="49"/>
      <c r="D1798" s="95"/>
    </row>
    <row r="1799" spans="2:4" x14ac:dyDescent="0.25">
      <c r="B1799" s="97"/>
      <c r="C1799" s="49"/>
      <c r="D1799" s="95"/>
    </row>
    <row r="1800" spans="2:4" x14ac:dyDescent="0.25">
      <c r="B1800" s="97"/>
      <c r="C1800" s="49"/>
      <c r="D1800" s="95"/>
    </row>
    <row r="1801" spans="2:4" x14ac:dyDescent="0.25">
      <c r="B1801" s="97"/>
      <c r="C1801" s="49"/>
      <c r="D1801" s="95"/>
    </row>
    <row r="1802" spans="2:4" x14ac:dyDescent="0.25">
      <c r="B1802" s="97"/>
      <c r="C1802" s="49"/>
      <c r="D1802" s="95"/>
    </row>
    <row r="1803" spans="2:4" x14ac:dyDescent="0.25">
      <c r="B1803" s="97"/>
      <c r="C1803" s="49"/>
      <c r="D1803" s="95"/>
    </row>
    <row r="1804" spans="2:4" x14ac:dyDescent="0.25">
      <c r="B1804" s="97"/>
      <c r="C1804" s="49"/>
      <c r="D1804" s="95"/>
    </row>
    <row r="1805" spans="2:4" x14ac:dyDescent="0.25">
      <c r="B1805" s="97"/>
      <c r="C1805" s="49"/>
      <c r="D1805" s="95"/>
    </row>
    <row r="1806" spans="2:4" x14ac:dyDescent="0.25">
      <c r="B1806" s="97"/>
      <c r="C1806" s="49"/>
      <c r="D1806" s="95"/>
    </row>
    <row r="1807" spans="2:4" x14ac:dyDescent="0.25">
      <c r="B1807" s="97"/>
      <c r="C1807" s="49"/>
      <c r="D1807" s="95"/>
    </row>
    <row r="1808" spans="2:4" x14ac:dyDescent="0.25">
      <c r="B1808" s="97"/>
      <c r="C1808" s="49"/>
      <c r="D1808" s="95"/>
    </row>
    <row r="1809" spans="2:4" x14ac:dyDescent="0.25">
      <c r="B1809" s="97"/>
      <c r="C1809" s="49"/>
      <c r="D1809" s="95"/>
    </row>
    <row r="1810" spans="2:4" x14ac:dyDescent="0.25">
      <c r="B1810" s="97"/>
      <c r="C1810" s="49"/>
      <c r="D1810" s="95"/>
    </row>
    <row r="1811" spans="2:4" x14ac:dyDescent="0.25">
      <c r="B1811" s="97"/>
      <c r="C1811" s="49"/>
      <c r="D1811" s="95"/>
    </row>
    <row r="1812" spans="2:4" x14ac:dyDescent="0.25">
      <c r="B1812" s="97"/>
      <c r="C1812" s="49"/>
      <c r="D1812" s="95"/>
    </row>
    <row r="1813" spans="2:4" x14ac:dyDescent="0.25">
      <c r="B1813" s="97"/>
      <c r="C1813" s="49"/>
      <c r="D1813" s="95"/>
    </row>
    <row r="1814" spans="2:4" x14ac:dyDescent="0.25">
      <c r="B1814" s="97"/>
      <c r="C1814" s="49"/>
      <c r="D1814" s="95"/>
    </row>
    <row r="1815" spans="2:4" x14ac:dyDescent="0.25">
      <c r="B1815" s="97"/>
      <c r="C1815" s="49"/>
      <c r="D1815" s="95"/>
    </row>
    <row r="1816" spans="2:4" x14ac:dyDescent="0.25">
      <c r="B1816" s="97"/>
      <c r="C1816" s="49"/>
      <c r="D1816" s="95"/>
    </row>
    <row r="1817" spans="2:4" x14ac:dyDescent="0.25">
      <c r="B1817" s="97"/>
      <c r="C1817" s="49"/>
      <c r="D1817" s="95"/>
    </row>
    <row r="1818" spans="2:4" x14ac:dyDescent="0.25">
      <c r="B1818" s="97"/>
      <c r="C1818" s="49"/>
      <c r="D1818" s="95"/>
    </row>
    <row r="1819" spans="2:4" x14ac:dyDescent="0.25">
      <c r="B1819" s="97"/>
      <c r="C1819" s="49"/>
      <c r="D1819" s="95"/>
    </row>
    <row r="1820" spans="2:4" x14ac:dyDescent="0.25">
      <c r="B1820" s="97"/>
      <c r="C1820" s="49"/>
      <c r="D1820" s="95"/>
    </row>
    <row r="1821" spans="2:4" x14ac:dyDescent="0.25">
      <c r="B1821" s="97"/>
      <c r="C1821" s="49"/>
      <c r="D1821" s="95"/>
    </row>
    <row r="1822" spans="2:4" x14ac:dyDescent="0.25">
      <c r="B1822" s="97"/>
      <c r="C1822" s="49"/>
      <c r="D1822" s="95"/>
    </row>
    <row r="1823" spans="2:4" x14ac:dyDescent="0.25">
      <c r="B1823" s="97"/>
      <c r="C1823" s="49"/>
      <c r="D1823" s="95"/>
    </row>
    <row r="1824" spans="2:4" x14ac:dyDescent="0.25">
      <c r="B1824" s="97"/>
      <c r="C1824" s="49"/>
      <c r="D1824" s="95"/>
    </row>
    <row r="1825" spans="2:4" x14ac:dyDescent="0.25">
      <c r="B1825" s="97"/>
      <c r="C1825" s="49"/>
      <c r="D1825" s="95"/>
    </row>
    <row r="1826" spans="2:4" x14ac:dyDescent="0.25">
      <c r="B1826" s="97"/>
      <c r="C1826" s="49"/>
      <c r="D1826" s="95"/>
    </row>
    <row r="1827" spans="2:4" x14ac:dyDescent="0.25">
      <c r="B1827" s="97"/>
      <c r="C1827" s="49"/>
      <c r="D1827" s="95"/>
    </row>
    <row r="1828" spans="2:4" x14ac:dyDescent="0.25">
      <c r="B1828" s="97"/>
      <c r="C1828" s="49"/>
      <c r="D1828" s="95"/>
    </row>
    <row r="1829" spans="2:4" x14ac:dyDescent="0.25">
      <c r="B1829" s="97"/>
      <c r="C1829" s="49"/>
      <c r="D1829" s="95"/>
    </row>
    <row r="1830" spans="2:4" x14ac:dyDescent="0.25">
      <c r="B1830" s="97"/>
      <c r="C1830" s="49"/>
      <c r="D1830" s="95"/>
    </row>
    <row r="1831" spans="2:4" x14ac:dyDescent="0.25">
      <c r="B1831" s="97"/>
      <c r="C1831" s="49"/>
      <c r="D1831" s="95"/>
    </row>
    <row r="1832" spans="2:4" x14ac:dyDescent="0.25">
      <c r="B1832" s="97"/>
      <c r="C1832" s="49"/>
      <c r="D1832" s="95"/>
    </row>
    <row r="1833" spans="2:4" x14ac:dyDescent="0.25">
      <c r="B1833" s="97"/>
      <c r="C1833" s="49"/>
      <c r="D1833" s="95"/>
    </row>
    <row r="1834" spans="2:4" x14ac:dyDescent="0.25">
      <c r="B1834" s="97"/>
      <c r="C1834" s="49"/>
      <c r="D1834" s="95"/>
    </row>
    <row r="1835" spans="2:4" x14ac:dyDescent="0.25">
      <c r="B1835" s="97"/>
      <c r="C1835" s="49"/>
      <c r="D1835" s="95"/>
    </row>
    <row r="1836" spans="2:4" x14ac:dyDescent="0.25">
      <c r="B1836" s="97"/>
      <c r="C1836" s="49"/>
      <c r="D1836" s="95"/>
    </row>
    <row r="1837" spans="2:4" x14ac:dyDescent="0.25">
      <c r="B1837" s="97"/>
      <c r="C1837" s="49"/>
      <c r="D1837" s="95"/>
    </row>
    <row r="1838" spans="2:4" x14ac:dyDescent="0.25">
      <c r="B1838" s="97"/>
      <c r="C1838" s="49"/>
      <c r="D1838" s="95"/>
    </row>
    <row r="1839" spans="2:4" x14ac:dyDescent="0.25">
      <c r="B1839" s="97"/>
      <c r="C1839" s="49"/>
      <c r="D1839" s="95"/>
    </row>
    <row r="1840" spans="2:4" x14ac:dyDescent="0.25">
      <c r="B1840" s="97"/>
      <c r="C1840" s="49"/>
      <c r="D1840" s="95"/>
    </row>
    <row r="1841" spans="2:4" x14ac:dyDescent="0.25">
      <c r="B1841" s="97"/>
      <c r="C1841" s="49"/>
      <c r="D1841" s="95"/>
    </row>
    <row r="1842" spans="2:4" x14ac:dyDescent="0.25">
      <c r="B1842" s="97"/>
      <c r="C1842" s="49"/>
      <c r="D1842" s="95"/>
    </row>
    <row r="1843" spans="2:4" x14ac:dyDescent="0.25">
      <c r="B1843" s="97"/>
      <c r="C1843" s="49"/>
      <c r="D1843" s="95"/>
    </row>
    <row r="1844" spans="2:4" x14ac:dyDescent="0.25">
      <c r="B1844" s="97"/>
      <c r="C1844" s="49"/>
      <c r="D1844" s="95"/>
    </row>
    <row r="1845" spans="2:4" x14ac:dyDescent="0.25">
      <c r="B1845" s="97"/>
      <c r="C1845" s="49"/>
      <c r="D1845" s="95"/>
    </row>
    <row r="1846" spans="2:4" x14ac:dyDescent="0.25">
      <c r="B1846" s="97"/>
      <c r="C1846" s="49"/>
      <c r="D1846" s="95"/>
    </row>
    <row r="1847" spans="2:4" x14ac:dyDescent="0.25">
      <c r="B1847" s="97"/>
      <c r="C1847" s="49"/>
      <c r="D1847" s="95"/>
    </row>
    <row r="1848" spans="2:4" x14ac:dyDescent="0.25">
      <c r="B1848" s="97"/>
      <c r="C1848" s="49"/>
      <c r="D1848" s="95"/>
    </row>
    <row r="1849" spans="2:4" x14ac:dyDescent="0.25">
      <c r="B1849" s="97"/>
      <c r="C1849" s="49"/>
      <c r="D1849" s="95"/>
    </row>
    <row r="1850" spans="2:4" x14ac:dyDescent="0.25">
      <c r="B1850" s="97"/>
      <c r="C1850" s="49"/>
      <c r="D1850" s="95"/>
    </row>
    <row r="1851" spans="2:4" x14ac:dyDescent="0.25">
      <c r="B1851" s="97"/>
      <c r="C1851" s="49"/>
      <c r="D1851" s="95"/>
    </row>
    <row r="1852" spans="2:4" x14ac:dyDescent="0.25">
      <c r="B1852" s="97"/>
      <c r="C1852" s="49"/>
      <c r="D1852" s="95"/>
    </row>
    <row r="1853" spans="2:4" x14ac:dyDescent="0.25">
      <c r="B1853" s="97"/>
      <c r="C1853" s="49"/>
      <c r="D1853" s="95"/>
    </row>
    <row r="1854" spans="2:4" x14ac:dyDescent="0.25">
      <c r="B1854" s="97"/>
      <c r="C1854" s="49"/>
      <c r="D1854" s="95"/>
    </row>
    <row r="1855" spans="2:4" x14ac:dyDescent="0.25">
      <c r="B1855" s="97"/>
      <c r="C1855" s="49"/>
      <c r="D1855" s="95"/>
    </row>
    <row r="1856" spans="2:4" x14ac:dyDescent="0.25">
      <c r="B1856" s="97"/>
      <c r="C1856" s="49"/>
      <c r="D1856" s="95"/>
    </row>
    <row r="1857" spans="2:4" x14ac:dyDescent="0.25">
      <c r="B1857" s="97"/>
      <c r="C1857" s="49"/>
      <c r="D1857" s="95"/>
    </row>
    <row r="1858" spans="2:4" x14ac:dyDescent="0.25">
      <c r="B1858" s="97"/>
      <c r="C1858" s="49"/>
      <c r="D1858" s="95"/>
    </row>
    <row r="1859" spans="2:4" x14ac:dyDescent="0.25">
      <c r="B1859" s="97"/>
      <c r="C1859" s="49"/>
      <c r="D1859" s="95"/>
    </row>
    <row r="1860" spans="2:4" x14ac:dyDescent="0.25">
      <c r="B1860" s="97"/>
      <c r="C1860" s="49"/>
      <c r="D1860" s="95"/>
    </row>
    <row r="1861" spans="2:4" x14ac:dyDescent="0.25">
      <c r="B1861" s="97"/>
      <c r="C1861" s="49"/>
      <c r="D1861" s="95"/>
    </row>
    <row r="1862" spans="2:4" x14ac:dyDescent="0.25">
      <c r="B1862" s="97"/>
      <c r="C1862" s="49"/>
      <c r="D1862" s="95"/>
    </row>
    <row r="1863" spans="2:4" x14ac:dyDescent="0.25">
      <c r="B1863" s="97"/>
      <c r="C1863" s="49"/>
      <c r="D1863" s="95"/>
    </row>
    <row r="1864" spans="2:4" x14ac:dyDescent="0.25">
      <c r="B1864" s="97"/>
      <c r="C1864" s="49"/>
      <c r="D1864" s="95"/>
    </row>
    <row r="1865" spans="2:4" x14ac:dyDescent="0.25">
      <c r="B1865" s="97"/>
      <c r="C1865" s="49"/>
      <c r="D1865" s="95"/>
    </row>
    <row r="1866" spans="2:4" x14ac:dyDescent="0.25">
      <c r="B1866" s="97"/>
      <c r="C1866" s="49"/>
      <c r="D1866" s="95"/>
    </row>
    <row r="1867" spans="2:4" x14ac:dyDescent="0.25">
      <c r="B1867" s="97"/>
      <c r="C1867" s="49"/>
      <c r="D1867" s="95"/>
    </row>
    <row r="1868" spans="2:4" x14ac:dyDescent="0.25">
      <c r="B1868" s="97"/>
      <c r="C1868" s="49"/>
      <c r="D1868" s="95"/>
    </row>
    <row r="1869" spans="2:4" x14ac:dyDescent="0.25">
      <c r="B1869" s="97"/>
      <c r="C1869" s="49"/>
      <c r="D1869" s="95"/>
    </row>
    <row r="1870" spans="2:4" x14ac:dyDescent="0.25">
      <c r="B1870" s="97"/>
      <c r="C1870" s="49"/>
      <c r="D1870" s="95"/>
    </row>
    <row r="1871" spans="2:4" x14ac:dyDescent="0.25">
      <c r="B1871" s="97"/>
      <c r="C1871" s="49"/>
      <c r="D1871" s="95"/>
    </row>
    <row r="1872" spans="2:4" x14ac:dyDescent="0.25">
      <c r="B1872" s="97"/>
      <c r="C1872" s="49"/>
      <c r="D1872" s="95"/>
    </row>
    <row r="1873" spans="2:4" x14ac:dyDescent="0.25">
      <c r="B1873" s="97"/>
      <c r="C1873" s="49"/>
      <c r="D1873" s="95"/>
    </row>
    <row r="1874" spans="2:4" x14ac:dyDescent="0.25">
      <c r="B1874" s="97"/>
      <c r="C1874" s="49"/>
      <c r="D1874" s="95"/>
    </row>
    <row r="1875" spans="2:4" x14ac:dyDescent="0.25">
      <c r="B1875" s="97"/>
      <c r="C1875" s="49"/>
      <c r="D1875" s="95"/>
    </row>
    <row r="1876" spans="2:4" x14ac:dyDescent="0.25">
      <c r="B1876" s="97"/>
      <c r="C1876" s="49"/>
      <c r="D1876" s="95"/>
    </row>
    <row r="1877" spans="2:4" x14ac:dyDescent="0.25">
      <c r="B1877" s="97"/>
      <c r="C1877" s="49"/>
      <c r="D1877" s="95"/>
    </row>
    <row r="1878" spans="2:4" x14ac:dyDescent="0.25">
      <c r="B1878" s="97"/>
      <c r="C1878" s="49"/>
      <c r="D1878" s="95"/>
    </row>
    <row r="1879" spans="2:4" x14ac:dyDescent="0.25">
      <c r="B1879" s="97"/>
      <c r="C1879" s="49"/>
      <c r="D1879" s="95"/>
    </row>
    <row r="1880" spans="2:4" x14ac:dyDescent="0.25">
      <c r="B1880" s="97"/>
      <c r="C1880" s="49"/>
      <c r="D1880" s="95"/>
    </row>
    <row r="1881" spans="2:4" x14ac:dyDescent="0.25">
      <c r="B1881" s="97"/>
      <c r="C1881" s="49"/>
      <c r="D1881" s="95"/>
    </row>
    <row r="1882" spans="2:4" x14ac:dyDescent="0.25">
      <c r="B1882" s="97"/>
      <c r="C1882" s="49"/>
      <c r="D1882" s="95"/>
    </row>
    <row r="1883" spans="2:4" x14ac:dyDescent="0.25">
      <c r="B1883" s="97"/>
      <c r="C1883" s="49"/>
      <c r="D1883" s="95"/>
    </row>
    <row r="1884" spans="2:4" x14ac:dyDescent="0.25">
      <c r="B1884" s="97"/>
      <c r="C1884" s="49"/>
      <c r="D1884" s="95"/>
    </row>
    <row r="1885" spans="2:4" x14ac:dyDescent="0.25">
      <c r="B1885" s="97"/>
      <c r="C1885" s="49"/>
      <c r="D1885" s="95"/>
    </row>
    <row r="1886" spans="2:4" x14ac:dyDescent="0.25">
      <c r="B1886" s="97"/>
      <c r="C1886" s="49"/>
      <c r="D1886" s="95"/>
    </row>
    <row r="1887" spans="2:4" x14ac:dyDescent="0.25">
      <c r="B1887" s="97"/>
      <c r="C1887" s="49"/>
      <c r="D1887" s="95"/>
    </row>
    <row r="1888" spans="2:4" x14ac:dyDescent="0.25">
      <c r="B1888" s="97"/>
      <c r="C1888" s="49"/>
      <c r="D1888" s="95"/>
    </row>
    <row r="1889" spans="2:4" x14ac:dyDescent="0.25">
      <c r="B1889" s="97"/>
      <c r="C1889" s="49"/>
      <c r="D1889" s="95"/>
    </row>
    <row r="1890" spans="2:4" x14ac:dyDescent="0.25">
      <c r="B1890" s="97"/>
      <c r="C1890" s="49"/>
      <c r="D1890" s="95"/>
    </row>
    <row r="1891" spans="2:4" x14ac:dyDescent="0.25">
      <c r="B1891" s="97"/>
      <c r="C1891" s="49"/>
      <c r="D1891" s="95"/>
    </row>
    <row r="1892" spans="2:4" x14ac:dyDescent="0.25">
      <c r="B1892" s="97"/>
      <c r="C1892" s="49"/>
      <c r="D1892" s="95"/>
    </row>
    <row r="1893" spans="2:4" x14ac:dyDescent="0.25">
      <c r="B1893" s="97"/>
      <c r="C1893" s="49"/>
      <c r="D1893" s="95"/>
    </row>
    <row r="1894" spans="2:4" x14ac:dyDescent="0.25">
      <c r="B1894" s="97"/>
      <c r="C1894" s="49"/>
      <c r="D1894" s="95"/>
    </row>
    <row r="1895" spans="2:4" x14ac:dyDescent="0.25">
      <c r="B1895" s="97"/>
      <c r="C1895" s="49"/>
      <c r="D1895" s="95"/>
    </row>
    <row r="1896" spans="2:4" x14ac:dyDescent="0.25">
      <c r="B1896" s="97"/>
      <c r="C1896" s="49"/>
      <c r="D1896" s="95"/>
    </row>
    <row r="1897" spans="2:4" x14ac:dyDescent="0.25">
      <c r="B1897" s="97"/>
      <c r="C1897" s="49"/>
      <c r="D1897" s="95"/>
    </row>
    <row r="1898" spans="2:4" x14ac:dyDescent="0.25">
      <c r="B1898" s="97"/>
      <c r="C1898" s="49"/>
      <c r="D1898" s="95"/>
    </row>
    <row r="1899" spans="2:4" x14ac:dyDescent="0.25">
      <c r="B1899" s="97"/>
      <c r="C1899" s="49"/>
      <c r="D1899" s="95"/>
    </row>
    <row r="1900" spans="2:4" x14ac:dyDescent="0.25">
      <c r="B1900" s="97"/>
      <c r="C1900" s="49"/>
      <c r="D1900" s="95"/>
    </row>
    <row r="1901" spans="2:4" x14ac:dyDescent="0.25">
      <c r="B1901" s="97"/>
      <c r="C1901" s="49"/>
      <c r="D1901" s="95"/>
    </row>
    <row r="1902" spans="2:4" x14ac:dyDescent="0.25">
      <c r="B1902" s="97"/>
      <c r="C1902" s="49"/>
      <c r="D1902" s="95"/>
    </row>
    <row r="1903" spans="2:4" x14ac:dyDescent="0.25">
      <c r="B1903" s="97"/>
      <c r="C1903" s="49"/>
      <c r="D1903" s="95"/>
    </row>
    <row r="1904" spans="2:4" x14ac:dyDescent="0.25">
      <c r="B1904" s="97"/>
      <c r="C1904" s="49"/>
      <c r="D1904" s="95"/>
    </row>
    <row r="1905" spans="2:4" x14ac:dyDescent="0.25">
      <c r="B1905" s="97"/>
      <c r="C1905" s="49"/>
      <c r="D1905" s="95"/>
    </row>
    <row r="1906" spans="2:4" x14ac:dyDescent="0.25">
      <c r="B1906" s="97"/>
      <c r="C1906" s="49"/>
      <c r="D1906" s="95"/>
    </row>
    <row r="1907" spans="2:4" x14ac:dyDescent="0.25">
      <c r="B1907" s="97"/>
      <c r="C1907" s="49"/>
      <c r="D1907" s="95"/>
    </row>
    <row r="1908" spans="2:4" x14ac:dyDescent="0.25">
      <c r="B1908" s="97"/>
      <c r="C1908" s="49"/>
      <c r="D1908" s="95"/>
    </row>
    <row r="1909" spans="2:4" x14ac:dyDescent="0.25">
      <c r="B1909" s="97"/>
      <c r="C1909" s="49"/>
      <c r="D1909" s="95"/>
    </row>
    <row r="1910" spans="2:4" x14ac:dyDescent="0.25">
      <c r="B1910" s="97"/>
      <c r="C1910" s="49"/>
      <c r="D1910" s="95"/>
    </row>
    <row r="1911" spans="2:4" x14ac:dyDescent="0.25">
      <c r="B1911" s="97"/>
      <c r="C1911" s="49"/>
      <c r="D1911" s="95"/>
    </row>
    <row r="1912" spans="2:4" x14ac:dyDescent="0.25">
      <c r="B1912" s="97"/>
      <c r="C1912" s="49"/>
      <c r="D1912" s="95"/>
    </row>
    <row r="1913" spans="2:4" x14ac:dyDescent="0.25">
      <c r="B1913" s="97"/>
      <c r="C1913" s="49"/>
      <c r="D1913" s="95"/>
    </row>
    <row r="1914" spans="2:4" x14ac:dyDescent="0.25">
      <c r="B1914" s="97"/>
      <c r="C1914" s="49"/>
      <c r="D1914" s="95"/>
    </row>
    <row r="1915" spans="2:4" x14ac:dyDescent="0.25">
      <c r="B1915" s="97"/>
      <c r="C1915" s="49"/>
      <c r="D1915" s="95"/>
    </row>
    <row r="1916" spans="2:4" x14ac:dyDescent="0.25">
      <c r="B1916" s="97"/>
      <c r="C1916" s="49"/>
      <c r="D1916" s="95"/>
    </row>
    <row r="1917" spans="2:4" x14ac:dyDescent="0.25">
      <c r="B1917" s="97"/>
      <c r="C1917" s="49"/>
      <c r="D1917" s="95"/>
    </row>
    <row r="1918" spans="2:4" x14ac:dyDescent="0.25">
      <c r="B1918" s="97"/>
      <c r="C1918" s="49"/>
      <c r="D1918" s="95"/>
    </row>
    <row r="1919" spans="2:4" x14ac:dyDescent="0.25">
      <c r="B1919" s="97"/>
      <c r="C1919" s="49"/>
      <c r="D1919" s="95"/>
    </row>
    <row r="1920" spans="2:4" x14ac:dyDescent="0.25">
      <c r="B1920" s="97"/>
      <c r="C1920" s="49"/>
      <c r="D1920" s="95"/>
    </row>
    <row r="1921" spans="2:4" x14ac:dyDescent="0.25">
      <c r="B1921" s="97"/>
      <c r="C1921" s="49"/>
      <c r="D1921" s="95"/>
    </row>
    <row r="1922" spans="2:4" x14ac:dyDescent="0.25">
      <c r="B1922" s="97"/>
      <c r="C1922" s="49"/>
      <c r="D1922" s="95"/>
    </row>
    <row r="1923" spans="2:4" x14ac:dyDescent="0.25">
      <c r="B1923" s="97"/>
      <c r="C1923" s="49"/>
      <c r="D1923" s="95"/>
    </row>
    <row r="1924" spans="2:4" x14ac:dyDescent="0.25">
      <c r="B1924" s="97"/>
      <c r="C1924" s="49"/>
      <c r="D1924" s="95"/>
    </row>
    <row r="1925" spans="2:4" x14ac:dyDescent="0.25">
      <c r="B1925" s="97"/>
      <c r="C1925" s="49"/>
      <c r="D1925" s="95"/>
    </row>
    <row r="1926" spans="2:4" x14ac:dyDescent="0.25">
      <c r="B1926" s="97"/>
      <c r="C1926" s="49"/>
      <c r="D1926" s="95"/>
    </row>
    <row r="1927" spans="2:4" x14ac:dyDescent="0.25">
      <c r="B1927" s="97"/>
      <c r="C1927" s="49"/>
      <c r="D1927" s="95"/>
    </row>
    <row r="1928" spans="2:4" x14ac:dyDescent="0.25">
      <c r="B1928" s="97"/>
      <c r="C1928" s="49"/>
      <c r="D1928" s="95"/>
    </row>
    <row r="1929" spans="2:4" x14ac:dyDescent="0.25">
      <c r="B1929" s="97"/>
      <c r="C1929" s="49"/>
      <c r="D1929" s="95"/>
    </row>
    <row r="1930" spans="2:4" x14ac:dyDescent="0.25">
      <c r="B1930" s="97"/>
      <c r="C1930" s="49"/>
      <c r="D1930" s="95"/>
    </row>
    <row r="1931" spans="2:4" x14ac:dyDescent="0.25">
      <c r="B1931" s="97"/>
      <c r="C1931" s="49"/>
      <c r="D1931" s="95"/>
    </row>
    <row r="1932" spans="2:4" x14ac:dyDescent="0.25">
      <c r="B1932" s="97"/>
      <c r="C1932" s="49"/>
      <c r="D1932" s="95"/>
    </row>
    <row r="1933" spans="2:4" x14ac:dyDescent="0.25">
      <c r="B1933" s="97"/>
      <c r="C1933" s="49"/>
      <c r="D1933" s="95"/>
    </row>
    <row r="1934" spans="2:4" x14ac:dyDescent="0.25">
      <c r="B1934" s="97"/>
      <c r="C1934" s="49"/>
      <c r="D1934" s="95"/>
    </row>
    <row r="1935" spans="2:4" x14ac:dyDescent="0.25">
      <c r="B1935" s="97"/>
      <c r="C1935" s="49"/>
      <c r="D1935" s="95"/>
    </row>
    <row r="1936" spans="2:4" x14ac:dyDescent="0.25">
      <c r="B1936" s="97"/>
      <c r="C1936" s="49"/>
      <c r="D1936" s="95"/>
    </row>
    <row r="1937" spans="2:4" x14ac:dyDescent="0.25">
      <c r="B1937" s="97"/>
      <c r="C1937" s="49"/>
      <c r="D1937" s="95"/>
    </row>
    <row r="1938" spans="2:4" x14ac:dyDescent="0.25">
      <c r="B1938" s="97"/>
      <c r="C1938" s="49"/>
      <c r="D1938" s="95"/>
    </row>
    <row r="1939" spans="2:4" x14ac:dyDescent="0.25">
      <c r="B1939" s="97"/>
      <c r="C1939" s="49"/>
      <c r="D1939" s="95"/>
    </row>
    <row r="1940" spans="2:4" x14ac:dyDescent="0.25">
      <c r="B1940" s="97"/>
      <c r="C1940" s="49"/>
      <c r="D1940" s="95"/>
    </row>
    <row r="1941" spans="2:4" x14ac:dyDescent="0.25">
      <c r="B1941" s="97"/>
      <c r="C1941" s="49"/>
      <c r="D1941" s="95"/>
    </row>
    <row r="1942" spans="2:4" x14ac:dyDescent="0.25">
      <c r="B1942" s="97"/>
      <c r="C1942" s="49"/>
      <c r="D1942" s="95"/>
    </row>
    <row r="1943" spans="2:4" x14ac:dyDescent="0.25">
      <c r="B1943" s="97"/>
      <c r="C1943" s="49"/>
      <c r="D1943" s="95"/>
    </row>
    <row r="1944" spans="2:4" x14ac:dyDescent="0.25">
      <c r="B1944" s="97"/>
      <c r="C1944" s="49"/>
      <c r="D1944" s="95"/>
    </row>
    <row r="1945" spans="2:4" x14ac:dyDescent="0.25">
      <c r="B1945" s="97"/>
      <c r="C1945" s="49"/>
      <c r="D1945" s="95"/>
    </row>
    <row r="1946" spans="2:4" x14ac:dyDescent="0.25">
      <c r="B1946" s="97"/>
      <c r="C1946" s="49"/>
      <c r="D1946" s="95"/>
    </row>
    <row r="1947" spans="2:4" x14ac:dyDescent="0.25">
      <c r="B1947" s="97"/>
      <c r="C1947" s="49"/>
      <c r="D1947" s="95"/>
    </row>
    <row r="1948" spans="2:4" x14ac:dyDescent="0.25">
      <c r="B1948" s="97"/>
      <c r="C1948" s="49"/>
      <c r="D1948" s="95"/>
    </row>
    <row r="1949" spans="2:4" x14ac:dyDescent="0.25">
      <c r="B1949" s="97"/>
      <c r="C1949" s="49"/>
      <c r="D1949" s="95"/>
    </row>
    <row r="1950" spans="2:4" x14ac:dyDescent="0.25">
      <c r="B1950" s="97"/>
      <c r="C1950" s="49"/>
      <c r="D1950" s="95"/>
    </row>
    <row r="1951" spans="2:4" x14ac:dyDescent="0.25">
      <c r="B1951" s="97"/>
      <c r="C1951" s="49"/>
      <c r="D1951" s="95"/>
    </row>
    <row r="1952" spans="2:4" x14ac:dyDescent="0.25">
      <c r="B1952" s="97"/>
      <c r="C1952" s="49"/>
      <c r="D1952" s="95"/>
    </row>
    <row r="1953" spans="2:4" x14ac:dyDescent="0.25">
      <c r="B1953" s="97"/>
      <c r="C1953" s="49"/>
      <c r="D1953" s="95"/>
    </row>
    <row r="1954" spans="2:4" x14ac:dyDescent="0.25">
      <c r="B1954" s="97"/>
      <c r="C1954" s="49"/>
      <c r="D1954" s="95"/>
    </row>
    <row r="1955" spans="2:4" x14ac:dyDescent="0.25">
      <c r="B1955" s="97"/>
      <c r="C1955" s="49"/>
      <c r="D1955" s="95"/>
    </row>
    <row r="1956" spans="2:4" x14ac:dyDescent="0.25">
      <c r="B1956" s="97"/>
      <c r="C1956" s="49"/>
      <c r="D1956" s="95"/>
    </row>
    <row r="1957" spans="2:4" x14ac:dyDescent="0.25">
      <c r="B1957" s="97"/>
      <c r="C1957" s="49"/>
      <c r="D1957" s="95"/>
    </row>
    <row r="1958" spans="2:4" x14ac:dyDescent="0.25">
      <c r="B1958" s="97"/>
      <c r="C1958" s="49"/>
      <c r="D1958" s="95"/>
    </row>
    <row r="1959" spans="2:4" x14ac:dyDescent="0.25">
      <c r="B1959" s="97"/>
      <c r="C1959" s="49"/>
      <c r="D1959" s="95"/>
    </row>
    <row r="1960" spans="2:4" x14ac:dyDescent="0.25">
      <c r="B1960" s="97"/>
      <c r="C1960" s="49"/>
      <c r="D1960" s="95"/>
    </row>
    <row r="1961" spans="2:4" x14ac:dyDescent="0.25">
      <c r="B1961" s="97"/>
      <c r="C1961" s="49"/>
      <c r="D1961" s="95"/>
    </row>
    <row r="1962" spans="2:4" x14ac:dyDescent="0.25">
      <c r="B1962" s="97"/>
      <c r="C1962" s="49"/>
      <c r="D1962" s="95"/>
    </row>
    <row r="1963" spans="2:4" x14ac:dyDescent="0.25">
      <c r="B1963" s="97"/>
      <c r="C1963" s="49"/>
      <c r="D1963" s="95"/>
    </row>
    <row r="1964" spans="2:4" x14ac:dyDescent="0.25">
      <c r="B1964" s="97"/>
      <c r="C1964" s="49"/>
      <c r="D1964" s="95"/>
    </row>
    <row r="1965" spans="2:4" x14ac:dyDescent="0.25">
      <c r="B1965" s="97"/>
      <c r="C1965" s="49"/>
      <c r="D1965" s="95"/>
    </row>
    <row r="1966" spans="2:4" x14ac:dyDescent="0.25">
      <c r="B1966" s="97"/>
      <c r="C1966" s="49"/>
      <c r="D1966" s="95"/>
    </row>
    <row r="1967" spans="2:4" x14ac:dyDescent="0.25">
      <c r="B1967" s="97"/>
      <c r="C1967" s="49"/>
      <c r="D1967" s="95"/>
    </row>
    <row r="1968" spans="2:4" x14ac:dyDescent="0.25">
      <c r="B1968" s="97"/>
      <c r="C1968" s="49"/>
      <c r="D1968" s="95"/>
    </row>
    <row r="1969" spans="2:4" x14ac:dyDescent="0.25">
      <c r="B1969" s="97"/>
      <c r="C1969" s="49"/>
      <c r="D1969" s="95"/>
    </row>
    <row r="1970" spans="2:4" x14ac:dyDescent="0.25">
      <c r="B1970" s="97"/>
      <c r="C1970" s="49"/>
      <c r="D1970" s="95"/>
    </row>
    <row r="1971" spans="2:4" x14ac:dyDescent="0.25">
      <c r="B1971" s="97"/>
      <c r="C1971" s="49"/>
      <c r="D1971" s="95"/>
    </row>
    <row r="1972" spans="2:4" x14ac:dyDescent="0.25">
      <c r="B1972" s="97"/>
      <c r="C1972" s="49"/>
      <c r="D1972" s="95"/>
    </row>
    <row r="1973" spans="2:4" x14ac:dyDescent="0.25">
      <c r="B1973" s="97"/>
      <c r="C1973" s="49"/>
      <c r="D1973" s="95"/>
    </row>
    <row r="1974" spans="2:4" x14ac:dyDescent="0.25">
      <c r="B1974" s="97"/>
      <c r="C1974" s="49"/>
      <c r="D1974" s="95"/>
    </row>
    <row r="1975" spans="2:4" x14ac:dyDescent="0.25">
      <c r="B1975" s="97"/>
      <c r="C1975" s="49"/>
      <c r="D1975" s="95"/>
    </row>
    <row r="1976" spans="2:4" x14ac:dyDescent="0.25">
      <c r="B1976" s="97"/>
      <c r="C1976" s="49"/>
      <c r="D1976" s="95"/>
    </row>
    <row r="1977" spans="2:4" x14ac:dyDescent="0.25">
      <c r="B1977" s="97"/>
      <c r="C1977" s="49"/>
      <c r="D1977" s="95"/>
    </row>
    <row r="1978" spans="2:4" x14ac:dyDescent="0.25">
      <c r="B1978" s="97"/>
      <c r="C1978" s="49"/>
      <c r="D1978" s="95"/>
    </row>
    <row r="1979" spans="2:4" x14ac:dyDescent="0.25">
      <c r="B1979" s="97"/>
      <c r="C1979" s="49"/>
      <c r="D1979" s="95"/>
    </row>
    <row r="1980" spans="2:4" x14ac:dyDescent="0.25">
      <c r="B1980" s="97"/>
      <c r="C1980" s="49"/>
      <c r="D1980" s="95"/>
    </row>
    <row r="1981" spans="2:4" x14ac:dyDescent="0.25">
      <c r="B1981" s="97"/>
      <c r="C1981" s="49"/>
      <c r="D1981" s="95"/>
    </row>
    <row r="1982" spans="2:4" x14ac:dyDescent="0.25">
      <c r="B1982" s="97"/>
      <c r="C1982" s="49"/>
      <c r="D1982" s="95"/>
    </row>
    <row r="1983" spans="2:4" x14ac:dyDescent="0.25">
      <c r="B1983" s="97"/>
      <c r="C1983" s="49"/>
      <c r="D1983" s="95"/>
    </row>
    <row r="1984" spans="2:4" x14ac:dyDescent="0.25">
      <c r="B1984" s="97"/>
      <c r="C1984" s="49"/>
      <c r="D1984" s="95"/>
    </row>
    <row r="1985" spans="2:4" x14ac:dyDescent="0.25">
      <c r="B1985" s="97"/>
      <c r="C1985" s="49"/>
      <c r="D1985" s="95"/>
    </row>
    <row r="1986" spans="2:4" x14ac:dyDescent="0.25">
      <c r="B1986" s="97"/>
      <c r="C1986" s="49"/>
      <c r="D1986" s="95"/>
    </row>
    <row r="1987" spans="2:4" x14ac:dyDescent="0.25">
      <c r="B1987" s="97"/>
      <c r="C1987" s="49"/>
      <c r="D1987" s="95"/>
    </row>
    <row r="1988" spans="2:4" x14ac:dyDescent="0.25">
      <c r="B1988" s="97"/>
      <c r="C1988" s="49"/>
      <c r="D1988" s="95"/>
    </row>
    <row r="1989" spans="2:4" x14ac:dyDescent="0.25">
      <c r="B1989" s="97"/>
      <c r="C1989" s="49"/>
      <c r="D1989" s="95"/>
    </row>
    <row r="1990" spans="2:4" x14ac:dyDescent="0.25">
      <c r="B1990" s="97"/>
      <c r="C1990" s="49"/>
      <c r="D1990" s="95"/>
    </row>
    <row r="1991" spans="2:4" x14ac:dyDescent="0.25">
      <c r="B1991" s="97"/>
      <c r="C1991" s="49"/>
      <c r="D1991" s="95"/>
    </row>
    <row r="1992" spans="2:4" x14ac:dyDescent="0.25">
      <c r="B1992" s="97"/>
      <c r="C1992" s="49"/>
      <c r="D1992" s="95"/>
    </row>
    <row r="1993" spans="2:4" x14ac:dyDescent="0.25">
      <c r="B1993" s="97"/>
      <c r="C1993" s="49"/>
      <c r="D1993" s="95"/>
    </row>
    <row r="1994" spans="2:4" x14ac:dyDescent="0.25">
      <c r="B1994" s="97"/>
      <c r="C1994" s="49"/>
      <c r="D1994" s="95"/>
    </row>
    <row r="1995" spans="2:4" x14ac:dyDescent="0.25">
      <c r="B1995" s="97"/>
      <c r="C1995" s="49"/>
      <c r="D1995" s="95"/>
    </row>
    <row r="1996" spans="2:4" x14ac:dyDescent="0.25">
      <c r="B1996" s="97"/>
      <c r="C1996" s="49"/>
      <c r="D1996" s="95"/>
    </row>
    <row r="1997" spans="2:4" x14ac:dyDescent="0.25">
      <c r="B1997" s="97"/>
      <c r="C1997" s="49"/>
      <c r="D1997" s="95"/>
    </row>
    <row r="1998" spans="2:4" x14ac:dyDescent="0.25">
      <c r="B1998" s="97"/>
      <c r="C1998" s="49"/>
      <c r="D1998" s="95"/>
    </row>
    <row r="1999" spans="2:4" x14ac:dyDescent="0.25">
      <c r="B1999" s="97"/>
      <c r="C1999" s="49"/>
      <c r="D1999" s="95"/>
    </row>
    <row r="2000" spans="2:4" x14ac:dyDescent="0.25">
      <c r="B2000" s="97"/>
      <c r="C2000" s="49"/>
      <c r="D2000" s="95"/>
    </row>
    <row r="2001" spans="2:4" x14ac:dyDescent="0.25">
      <c r="B2001" s="97"/>
      <c r="C2001" s="49"/>
      <c r="D2001" s="95"/>
    </row>
    <row r="2002" spans="2:4" x14ac:dyDescent="0.25">
      <c r="B2002" s="97"/>
      <c r="C2002" s="49"/>
      <c r="D2002" s="95"/>
    </row>
    <row r="2003" spans="2:4" x14ac:dyDescent="0.25">
      <c r="B2003" s="97"/>
      <c r="C2003" s="49"/>
      <c r="D2003" s="95"/>
    </row>
    <row r="2004" spans="2:4" x14ac:dyDescent="0.25">
      <c r="B2004" s="97"/>
      <c r="C2004" s="49"/>
      <c r="D2004" s="95"/>
    </row>
    <row r="2005" spans="2:4" x14ac:dyDescent="0.25">
      <c r="B2005" s="97"/>
      <c r="C2005" s="49"/>
      <c r="D2005" s="95"/>
    </row>
    <row r="2006" spans="2:4" x14ac:dyDescent="0.25">
      <c r="B2006" s="97"/>
      <c r="C2006" s="49"/>
      <c r="D2006" s="95"/>
    </row>
    <row r="2007" spans="2:4" x14ac:dyDescent="0.25">
      <c r="B2007" s="97"/>
      <c r="C2007" s="49"/>
      <c r="D2007" s="95"/>
    </row>
    <row r="2008" spans="2:4" x14ac:dyDescent="0.25">
      <c r="B2008" s="97"/>
      <c r="C2008" s="49"/>
      <c r="D2008" s="95"/>
    </row>
    <row r="2009" spans="2:4" x14ac:dyDescent="0.25">
      <c r="B2009" s="97"/>
      <c r="C2009" s="49"/>
      <c r="D2009" s="95"/>
    </row>
    <row r="2010" spans="2:4" x14ac:dyDescent="0.25">
      <c r="B2010" s="97"/>
      <c r="C2010" s="49"/>
      <c r="D2010" s="95"/>
    </row>
    <row r="2011" spans="2:4" x14ac:dyDescent="0.25">
      <c r="B2011" s="97"/>
      <c r="C2011" s="49"/>
      <c r="D2011" s="95"/>
    </row>
    <row r="2012" spans="2:4" x14ac:dyDescent="0.25">
      <c r="B2012" s="97"/>
      <c r="C2012" s="49"/>
      <c r="D2012" s="95"/>
    </row>
    <row r="2013" spans="2:4" x14ac:dyDescent="0.25">
      <c r="B2013" s="97"/>
      <c r="C2013" s="49"/>
      <c r="D2013" s="95"/>
    </row>
    <row r="2014" spans="2:4" x14ac:dyDescent="0.25">
      <c r="B2014" s="97"/>
      <c r="C2014" s="49"/>
      <c r="D2014" s="95"/>
    </row>
    <row r="2015" spans="2:4" x14ac:dyDescent="0.25">
      <c r="B2015" s="97"/>
      <c r="C2015" s="49"/>
      <c r="D2015" s="95"/>
    </row>
    <row r="2016" spans="2:4" x14ac:dyDescent="0.25">
      <c r="B2016" s="97"/>
      <c r="C2016" s="49"/>
      <c r="D2016" s="95"/>
    </row>
    <row r="2017" spans="2:4" x14ac:dyDescent="0.25">
      <c r="B2017" s="97"/>
      <c r="C2017" s="49"/>
      <c r="D2017" s="95"/>
    </row>
    <row r="2018" spans="2:4" x14ac:dyDescent="0.25">
      <c r="B2018" s="97"/>
      <c r="C2018" s="49"/>
      <c r="D2018" s="95"/>
    </row>
    <row r="2019" spans="2:4" x14ac:dyDescent="0.25">
      <c r="B2019" s="97"/>
      <c r="C2019" s="49"/>
      <c r="D2019" s="95"/>
    </row>
    <row r="2020" spans="2:4" x14ac:dyDescent="0.25">
      <c r="B2020" s="97"/>
      <c r="C2020" s="49"/>
      <c r="D2020" s="95"/>
    </row>
    <row r="2021" spans="2:4" x14ac:dyDescent="0.25">
      <c r="B2021" s="97"/>
      <c r="C2021" s="49"/>
      <c r="D2021" s="95"/>
    </row>
    <row r="2022" spans="2:4" x14ac:dyDescent="0.25">
      <c r="B2022" s="97"/>
      <c r="C2022" s="49"/>
      <c r="D2022" s="95"/>
    </row>
    <row r="2023" spans="2:4" x14ac:dyDescent="0.25">
      <c r="B2023" s="97"/>
      <c r="C2023" s="49"/>
      <c r="D2023" s="95"/>
    </row>
    <row r="2024" spans="2:4" x14ac:dyDescent="0.25">
      <c r="B2024" s="97"/>
      <c r="C2024" s="49"/>
      <c r="D2024" s="95"/>
    </row>
    <row r="2025" spans="2:4" x14ac:dyDescent="0.25">
      <c r="B2025" s="97"/>
      <c r="C2025" s="49"/>
      <c r="D2025" s="95"/>
    </row>
    <row r="2026" spans="2:4" x14ac:dyDescent="0.25">
      <c r="B2026" s="97"/>
      <c r="C2026" s="49"/>
      <c r="D2026" s="95"/>
    </row>
    <row r="2027" spans="2:4" x14ac:dyDescent="0.25">
      <c r="B2027" s="97"/>
      <c r="C2027" s="49"/>
      <c r="D2027" s="95"/>
    </row>
    <row r="2028" spans="2:4" x14ac:dyDescent="0.25">
      <c r="B2028" s="97"/>
      <c r="C2028" s="49"/>
      <c r="D2028" s="95"/>
    </row>
    <row r="2029" spans="2:4" x14ac:dyDescent="0.25">
      <c r="B2029" s="97"/>
      <c r="C2029" s="49"/>
      <c r="D2029" s="95"/>
    </row>
    <row r="2030" spans="2:4" x14ac:dyDescent="0.25">
      <c r="B2030" s="97"/>
      <c r="C2030" s="49"/>
      <c r="D2030" s="95"/>
    </row>
    <row r="2031" spans="2:4" x14ac:dyDescent="0.25">
      <c r="B2031" s="97"/>
      <c r="C2031" s="49"/>
      <c r="D2031" s="95"/>
    </row>
    <row r="2032" spans="2:4" x14ac:dyDescent="0.25">
      <c r="B2032" s="97"/>
      <c r="C2032" s="49"/>
      <c r="D2032" s="95"/>
    </row>
    <row r="2033" spans="2:4" x14ac:dyDescent="0.25">
      <c r="B2033" s="97"/>
      <c r="C2033" s="49"/>
      <c r="D2033" s="95"/>
    </row>
    <row r="2034" spans="2:4" x14ac:dyDescent="0.25">
      <c r="B2034" s="97"/>
      <c r="C2034" s="49"/>
      <c r="D2034" s="95"/>
    </row>
    <row r="2035" spans="2:4" x14ac:dyDescent="0.25">
      <c r="B2035" s="97"/>
      <c r="C2035" s="49"/>
      <c r="D2035" s="95"/>
    </row>
    <row r="2036" spans="2:4" x14ac:dyDescent="0.25">
      <c r="B2036" s="97"/>
      <c r="C2036" s="49"/>
      <c r="D2036" s="95"/>
    </row>
    <row r="2037" spans="2:4" x14ac:dyDescent="0.25">
      <c r="B2037" s="97"/>
      <c r="C2037" s="49"/>
      <c r="D2037" s="95"/>
    </row>
    <row r="2038" spans="2:4" x14ac:dyDescent="0.25">
      <c r="B2038" s="97"/>
      <c r="C2038" s="49"/>
      <c r="D2038" s="95"/>
    </row>
    <row r="2039" spans="2:4" x14ac:dyDescent="0.25">
      <c r="B2039" s="97"/>
      <c r="C2039" s="49"/>
      <c r="D2039" s="95"/>
    </row>
    <row r="2040" spans="2:4" x14ac:dyDescent="0.25">
      <c r="B2040" s="97"/>
      <c r="C2040" s="49"/>
      <c r="D2040" s="95"/>
    </row>
    <row r="2041" spans="2:4" x14ac:dyDescent="0.25">
      <c r="B2041" s="97"/>
      <c r="C2041" s="49"/>
      <c r="D2041" s="95"/>
    </row>
    <row r="2042" spans="2:4" x14ac:dyDescent="0.25">
      <c r="B2042" s="97"/>
      <c r="C2042" s="49"/>
      <c r="D2042" s="95"/>
    </row>
    <row r="2043" spans="2:4" x14ac:dyDescent="0.25">
      <c r="B2043" s="97"/>
      <c r="C2043" s="49"/>
      <c r="D2043" s="95"/>
    </row>
    <row r="2044" spans="2:4" x14ac:dyDescent="0.25">
      <c r="B2044" s="97"/>
      <c r="C2044" s="49"/>
      <c r="D2044" s="95"/>
    </row>
    <row r="2045" spans="2:4" x14ac:dyDescent="0.25">
      <c r="B2045" s="97"/>
      <c r="C2045" s="49"/>
      <c r="D2045" s="95"/>
    </row>
    <row r="2046" spans="2:4" x14ac:dyDescent="0.25">
      <c r="B2046" s="97"/>
      <c r="C2046" s="49"/>
      <c r="D2046" s="95"/>
    </row>
    <row r="2047" spans="2:4" x14ac:dyDescent="0.25">
      <c r="B2047" s="97"/>
      <c r="C2047" s="49"/>
      <c r="D2047" s="95"/>
    </row>
    <row r="2048" spans="2:4" x14ac:dyDescent="0.25">
      <c r="B2048" s="97"/>
      <c r="C2048" s="49"/>
      <c r="D2048" s="95"/>
    </row>
    <row r="2049" spans="2:4" x14ac:dyDescent="0.25">
      <c r="B2049" s="97"/>
      <c r="C2049" s="49"/>
      <c r="D2049" s="95"/>
    </row>
    <row r="2050" spans="2:4" x14ac:dyDescent="0.25">
      <c r="B2050" s="97"/>
      <c r="C2050" s="49"/>
      <c r="D2050" s="95"/>
    </row>
    <row r="2051" spans="2:4" x14ac:dyDescent="0.25">
      <c r="B2051" s="97"/>
      <c r="C2051" s="49"/>
      <c r="D2051" s="95"/>
    </row>
    <row r="2052" spans="2:4" x14ac:dyDescent="0.25">
      <c r="B2052" s="97"/>
      <c r="C2052" s="49"/>
      <c r="D2052" s="95"/>
    </row>
    <row r="2053" spans="2:4" x14ac:dyDescent="0.25">
      <c r="B2053" s="97"/>
      <c r="C2053" s="49"/>
      <c r="D2053" s="95"/>
    </row>
    <row r="2054" spans="2:4" x14ac:dyDescent="0.25">
      <c r="B2054" s="97"/>
      <c r="C2054" s="49"/>
      <c r="D2054" s="95"/>
    </row>
    <row r="2055" spans="2:4" x14ac:dyDescent="0.25">
      <c r="B2055" s="97"/>
      <c r="C2055" s="49"/>
      <c r="D2055" s="95"/>
    </row>
    <row r="2056" spans="2:4" x14ac:dyDescent="0.25">
      <c r="B2056" s="97"/>
      <c r="C2056" s="49"/>
      <c r="D2056" s="95"/>
    </row>
    <row r="2057" spans="2:4" x14ac:dyDescent="0.25">
      <c r="B2057" s="97"/>
      <c r="C2057" s="49"/>
      <c r="D2057" s="95"/>
    </row>
    <row r="2058" spans="2:4" x14ac:dyDescent="0.25">
      <c r="B2058" s="97"/>
      <c r="C2058" s="49"/>
      <c r="D2058" s="95"/>
    </row>
    <row r="2059" spans="2:4" x14ac:dyDescent="0.25">
      <c r="B2059" s="97"/>
      <c r="C2059" s="49"/>
      <c r="D2059" s="95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C0063-01FA-47CC-8A2D-129D9AF23958}">
  <sheetPr codeName="Sheet2">
    <tabColor theme="5" tint="0.39997558519241921"/>
  </sheetPr>
  <dimension ref="A1:AM383"/>
  <sheetViews>
    <sheetView showGridLines="0" zoomScale="70" zoomScaleNormal="70" workbookViewId="0">
      <pane xSplit="4" ySplit="1" topLeftCell="E348" activePane="bottomRight" state="frozen"/>
      <selection pane="topRight" activeCell="D1" sqref="D1"/>
      <selection pane="bottomLeft" activeCell="A2" sqref="A2"/>
      <selection pane="bottomRight" activeCell="W365" sqref="W365"/>
    </sheetView>
  </sheetViews>
  <sheetFormatPr defaultRowHeight="15" outlineLevelCol="1" x14ac:dyDescent="0.25"/>
  <cols>
    <col min="1" max="1" width="12.85546875" customWidth="1"/>
    <col min="2" max="2" width="13.42578125" style="118" customWidth="1"/>
    <col min="3" max="4" width="15.85546875" customWidth="1"/>
    <col min="5" max="5" width="16.7109375" customWidth="1"/>
    <col min="6" max="6" width="13.42578125" customWidth="1"/>
    <col min="7" max="7" width="18.140625" bestFit="1" customWidth="1"/>
    <col min="8" max="8" width="13" bestFit="1" customWidth="1"/>
    <col min="9" max="9" width="18.140625" hidden="1" customWidth="1" outlineLevel="1"/>
    <col min="10" max="10" width="12.5703125" hidden="1" customWidth="1" outlineLevel="1"/>
    <col min="11" max="11" width="14.5703125" hidden="1" customWidth="1" outlineLevel="1"/>
    <col min="12" max="12" width="10.28515625" hidden="1" customWidth="1" outlineLevel="1"/>
    <col min="13" max="13" width="20.7109375" style="143" customWidth="1" collapsed="1"/>
    <col min="14" max="14" width="20.7109375" style="144" customWidth="1" collapsed="1"/>
    <col min="15" max="35" width="17.42578125" customWidth="1"/>
    <col min="36" max="36" width="19" customWidth="1"/>
    <col min="37" max="37" width="54.7109375" customWidth="1"/>
    <col min="38" max="38" width="11.42578125" bestFit="1" customWidth="1"/>
  </cols>
  <sheetData>
    <row r="1" spans="1:39" s="118" customFormat="1" x14ac:dyDescent="0.25">
      <c r="A1" s="2" t="s">
        <v>3</v>
      </c>
      <c r="B1" s="2" t="s">
        <v>98</v>
      </c>
      <c r="C1" s="2" t="s">
        <v>0</v>
      </c>
      <c r="D1" s="2" t="s">
        <v>4</v>
      </c>
      <c r="E1" s="2" t="s">
        <v>104</v>
      </c>
      <c r="F1" s="111" t="s">
        <v>105</v>
      </c>
      <c r="G1" s="2" t="s">
        <v>106</v>
      </c>
      <c r="H1" s="2" t="s">
        <v>107</v>
      </c>
      <c r="I1" s="2" t="s">
        <v>1</v>
      </c>
      <c r="J1" s="2" t="s">
        <v>2</v>
      </c>
      <c r="K1" s="2" t="s">
        <v>68</v>
      </c>
      <c r="L1" s="2" t="s">
        <v>69</v>
      </c>
      <c r="M1" s="2" t="s">
        <v>19</v>
      </c>
      <c r="N1" s="2" t="s">
        <v>23</v>
      </c>
      <c r="O1" s="2" t="s">
        <v>96</v>
      </c>
      <c r="P1" s="2" t="s">
        <v>13</v>
      </c>
      <c r="Q1" s="2" t="s">
        <v>14</v>
      </c>
      <c r="R1" s="2" t="s">
        <v>85</v>
      </c>
      <c r="S1" s="2" t="s">
        <v>24</v>
      </c>
      <c r="T1" s="2" t="s">
        <v>88</v>
      </c>
      <c r="U1" s="2" t="s">
        <v>36</v>
      </c>
      <c r="V1" s="2" t="s">
        <v>17</v>
      </c>
      <c r="W1" s="2" t="s">
        <v>30</v>
      </c>
      <c r="X1" s="2" t="s">
        <v>89</v>
      </c>
      <c r="Y1" s="2" t="s">
        <v>86</v>
      </c>
      <c r="Z1" s="2" t="s">
        <v>20</v>
      </c>
      <c r="AA1" s="2" t="s">
        <v>87</v>
      </c>
      <c r="AB1" s="2" t="s">
        <v>46</v>
      </c>
      <c r="AC1" s="2" t="s">
        <v>90</v>
      </c>
      <c r="AD1" s="2" t="s">
        <v>91</v>
      </c>
      <c r="AE1" s="2" t="s">
        <v>92</v>
      </c>
      <c r="AF1" s="2" t="s">
        <v>93</v>
      </c>
      <c r="AG1" s="2" t="s">
        <v>132</v>
      </c>
      <c r="AH1" s="2" t="s">
        <v>25</v>
      </c>
      <c r="AI1" s="2" t="s">
        <v>22</v>
      </c>
      <c r="AJ1" s="2" t="s">
        <v>18</v>
      </c>
      <c r="AK1" s="2" t="s">
        <v>21</v>
      </c>
      <c r="AL1" s="13" t="s">
        <v>108</v>
      </c>
    </row>
    <row r="2" spans="1:39" x14ac:dyDescent="0.25">
      <c r="A2" s="119">
        <v>45300</v>
      </c>
      <c r="B2" s="108" t="s">
        <v>99</v>
      </c>
      <c r="C2" s="4" t="s">
        <v>5</v>
      </c>
      <c r="D2" s="5" t="s">
        <v>6</v>
      </c>
      <c r="E2" s="120">
        <v>812000</v>
      </c>
      <c r="F2" s="121"/>
      <c r="G2" s="122"/>
      <c r="H2" s="123"/>
      <c r="I2" s="124">
        <f t="shared" ref="I2:I17" si="0">E2+G2</f>
        <v>812000</v>
      </c>
      <c r="J2" s="121">
        <f t="shared" ref="J2:J17" si="1">F2+H2</f>
        <v>0</v>
      </c>
      <c r="K2" s="8" vm="1">
        <v>917.35</v>
      </c>
      <c r="L2" s="8">
        <v>36863.94</v>
      </c>
      <c r="M2" s="125">
        <f t="shared" ref="M2:M33" si="2">I2+J2*K2</f>
        <v>812000</v>
      </c>
      <c r="N2" s="126">
        <f>SUM(O2:AJ2)</f>
        <v>-654555.91999999993</v>
      </c>
      <c r="O2" s="32"/>
      <c r="P2" s="32"/>
      <c r="Q2" s="32"/>
      <c r="R2" s="32">
        <v>-620630.91999999993</v>
      </c>
      <c r="S2" s="32"/>
      <c r="T2" s="32"/>
      <c r="U2" s="32"/>
      <c r="V2" s="32"/>
      <c r="W2" s="32"/>
      <c r="X2" s="32"/>
      <c r="Y2" s="32"/>
      <c r="Z2" s="32"/>
      <c r="AA2" s="32">
        <v>-33925</v>
      </c>
      <c r="AB2" s="32"/>
      <c r="AC2" s="32"/>
      <c r="AD2" s="32"/>
      <c r="AE2" s="32"/>
      <c r="AF2" s="32"/>
      <c r="AG2" s="32"/>
      <c r="AH2" s="127"/>
      <c r="AI2" s="128"/>
      <c r="AJ2" s="129"/>
      <c r="AL2" t="s">
        <v>12</v>
      </c>
    </row>
    <row r="3" spans="1:39" x14ac:dyDescent="0.25">
      <c r="A3" s="119">
        <v>45300</v>
      </c>
      <c r="B3" s="109" t="s">
        <v>99</v>
      </c>
      <c r="C3" s="6" t="s">
        <v>5</v>
      </c>
      <c r="D3" s="7" t="s">
        <v>26</v>
      </c>
      <c r="E3" s="120">
        <v>9460608</v>
      </c>
      <c r="F3" s="130">
        <v>6952.09</v>
      </c>
      <c r="G3" s="122">
        <v>-10000000</v>
      </c>
      <c r="H3" s="123">
        <v>-8000</v>
      </c>
      <c r="I3" s="120">
        <f t="shared" si="0"/>
        <v>-539392</v>
      </c>
      <c r="J3" s="130">
        <f t="shared" si="1"/>
        <v>-1047.9099999999999</v>
      </c>
      <c r="K3" s="8" vm="1">
        <v>917.35</v>
      </c>
      <c r="L3" s="8">
        <v>36863.94</v>
      </c>
      <c r="M3" s="131">
        <f t="shared" si="2"/>
        <v>-1500692.2385</v>
      </c>
      <c r="N3" s="126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127"/>
      <c r="AI3" s="128"/>
      <c r="AJ3" s="132"/>
      <c r="AL3" t="s">
        <v>15</v>
      </c>
    </row>
    <row r="4" spans="1:39" x14ac:dyDescent="0.25">
      <c r="A4" s="119">
        <v>45300</v>
      </c>
      <c r="B4" s="109" t="s">
        <v>99</v>
      </c>
      <c r="C4" s="6" t="s">
        <v>9</v>
      </c>
      <c r="D4" s="7" t="s">
        <v>12</v>
      </c>
      <c r="E4" s="120">
        <v>4852676</v>
      </c>
      <c r="F4" s="130"/>
      <c r="G4" s="122"/>
      <c r="H4" s="123"/>
      <c r="I4" s="120">
        <f t="shared" si="0"/>
        <v>4852676</v>
      </c>
      <c r="J4" s="130">
        <f t="shared" si="1"/>
        <v>0</v>
      </c>
      <c r="K4" s="8" vm="1">
        <v>917.35</v>
      </c>
      <c r="L4" s="8">
        <v>36863.94</v>
      </c>
      <c r="M4" s="131">
        <f t="shared" si="2"/>
        <v>4852676</v>
      </c>
      <c r="N4" s="126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127"/>
      <c r="AI4" s="128"/>
      <c r="AJ4" s="129"/>
      <c r="AL4" t="s">
        <v>11</v>
      </c>
    </row>
    <row r="5" spans="1:39" x14ac:dyDescent="0.25">
      <c r="A5" s="119">
        <v>45300</v>
      </c>
      <c r="B5" s="109" t="s">
        <v>99</v>
      </c>
      <c r="C5" s="6" t="s">
        <v>9</v>
      </c>
      <c r="D5" s="7" t="s">
        <v>15</v>
      </c>
      <c r="E5" s="120">
        <v>435540</v>
      </c>
      <c r="F5" s="130"/>
      <c r="G5" s="122"/>
      <c r="H5" s="123"/>
      <c r="I5" s="120">
        <f t="shared" si="0"/>
        <v>435540</v>
      </c>
      <c r="J5" s="130">
        <f t="shared" si="1"/>
        <v>0</v>
      </c>
      <c r="K5" s="8" vm="1">
        <v>917.35</v>
      </c>
      <c r="L5" s="8">
        <v>36863.94</v>
      </c>
      <c r="M5" s="131">
        <f t="shared" si="2"/>
        <v>435540</v>
      </c>
      <c r="N5" s="126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127"/>
      <c r="AI5" s="128"/>
      <c r="AJ5" s="129"/>
      <c r="AL5" t="s">
        <v>10</v>
      </c>
    </row>
    <row r="6" spans="1:39" x14ac:dyDescent="0.25">
      <c r="A6" s="119">
        <v>45300</v>
      </c>
      <c r="B6" s="109" t="s">
        <v>99</v>
      </c>
      <c r="C6" s="6" t="s">
        <v>9</v>
      </c>
      <c r="D6" s="7" t="s">
        <v>11</v>
      </c>
      <c r="E6" s="120">
        <v>210492</v>
      </c>
      <c r="F6" s="130"/>
      <c r="G6" s="122"/>
      <c r="H6" s="123"/>
      <c r="I6" s="120">
        <f t="shared" si="0"/>
        <v>210492</v>
      </c>
      <c r="J6" s="130">
        <f t="shared" si="1"/>
        <v>0</v>
      </c>
      <c r="K6" s="8" vm="1">
        <v>917.35</v>
      </c>
      <c r="L6" s="8">
        <v>36863.94</v>
      </c>
      <c r="M6" s="131">
        <f t="shared" si="2"/>
        <v>210492</v>
      </c>
      <c r="N6" s="126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127"/>
      <c r="AI6" s="128"/>
      <c r="AJ6" s="129"/>
      <c r="AL6" t="s">
        <v>16</v>
      </c>
    </row>
    <row r="7" spans="1:39" x14ac:dyDescent="0.25">
      <c r="A7" s="119">
        <v>45300</v>
      </c>
      <c r="B7" s="109" t="s">
        <v>99</v>
      </c>
      <c r="C7" s="6" t="s">
        <v>9</v>
      </c>
      <c r="D7" s="7" t="s">
        <v>10</v>
      </c>
      <c r="E7" s="120"/>
      <c r="F7" s="130">
        <v>303.10000000000002</v>
      </c>
      <c r="G7" s="122"/>
      <c r="H7" s="123"/>
      <c r="I7" s="120">
        <f t="shared" si="0"/>
        <v>0</v>
      </c>
      <c r="J7" s="130">
        <f t="shared" si="1"/>
        <v>303.10000000000002</v>
      </c>
      <c r="K7" s="8" vm="1">
        <v>917.35</v>
      </c>
      <c r="L7" s="8">
        <v>36863.94</v>
      </c>
      <c r="M7" s="131">
        <f t="shared" si="2"/>
        <v>278048.78500000003</v>
      </c>
      <c r="N7" s="126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  <c r="AG7" s="32"/>
      <c r="AH7" s="127"/>
      <c r="AI7" s="128"/>
      <c r="AJ7" s="129"/>
    </row>
    <row r="8" spans="1:39" x14ac:dyDescent="0.25">
      <c r="A8" s="119">
        <v>45300</v>
      </c>
      <c r="B8" s="109" t="s">
        <v>99</v>
      </c>
      <c r="C8" s="6" t="s">
        <v>7</v>
      </c>
      <c r="D8" s="7" t="s">
        <v>16</v>
      </c>
      <c r="E8" s="120"/>
      <c r="F8" s="130">
        <v>494</v>
      </c>
      <c r="G8" s="122"/>
      <c r="H8" s="123"/>
      <c r="I8" s="120">
        <f t="shared" si="0"/>
        <v>0</v>
      </c>
      <c r="J8" s="130">
        <f t="shared" si="1"/>
        <v>494</v>
      </c>
      <c r="K8" s="8" vm="1">
        <v>917.35</v>
      </c>
      <c r="L8" s="8">
        <v>36863.94</v>
      </c>
      <c r="M8" s="131">
        <f t="shared" si="2"/>
        <v>453170.9</v>
      </c>
      <c r="N8" s="126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127"/>
      <c r="AI8" s="128"/>
      <c r="AJ8" s="129"/>
    </row>
    <row r="9" spans="1:39" s="142" customFormat="1" x14ac:dyDescent="0.25">
      <c r="A9" s="133">
        <v>45300</v>
      </c>
      <c r="B9" s="110" t="s">
        <v>99</v>
      </c>
      <c r="C9" s="45" t="s">
        <v>8</v>
      </c>
      <c r="D9" s="46" t="s">
        <v>16</v>
      </c>
      <c r="E9" s="134"/>
      <c r="F9" s="135">
        <v>105</v>
      </c>
      <c r="G9" s="134"/>
      <c r="H9" s="135"/>
      <c r="I9" s="134">
        <f t="shared" si="0"/>
        <v>0</v>
      </c>
      <c r="J9" s="135">
        <f t="shared" si="1"/>
        <v>105</v>
      </c>
      <c r="K9" s="47" vm="1">
        <v>917.35</v>
      </c>
      <c r="L9" s="47">
        <v>36863.94</v>
      </c>
      <c r="M9" s="136">
        <f t="shared" si="2"/>
        <v>96321.75</v>
      </c>
      <c r="N9" s="137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9"/>
      <c r="AI9" s="140"/>
      <c r="AJ9" s="141"/>
    </row>
    <row r="10" spans="1:39" x14ac:dyDescent="0.25">
      <c r="A10" s="119">
        <v>45301</v>
      </c>
      <c r="B10" s="109" t="s">
        <v>99</v>
      </c>
      <c r="C10" s="6" t="s">
        <v>5</v>
      </c>
      <c r="D10" s="7" t="s">
        <v>6</v>
      </c>
      <c r="E10" s="120">
        <v>356535</v>
      </c>
      <c r="F10" s="130"/>
      <c r="G10" s="120"/>
      <c r="H10" s="130"/>
      <c r="I10" s="120">
        <f t="shared" si="0"/>
        <v>356535</v>
      </c>
      <c r="J10" s="130">
        <f t="shared" si="1"/>
        <v>0</v>
      </c>
      <c r="K10" s="42" vm="2">
        <v>915.7</v>
      </c>
      <c r="L10" s="42">
        <v>36857.980000000003</v>
      </c>
      <c r="M10" s="131">
        <f t="shared" si="2"/>
        <v>356535</v>
      </c>
      <c r="N10" s="126">
        <f t="shared" ref="N10:N73" si="3">M10-SUMIFS(Total,Cuenta,C10,Linea,D10,Fecha,INDEX(Fecha,MATCH(A10-1,Fecha,1)))</f>
        <v>-455465</v>
      </c>
      <c r="O10" s="32"/>
      <c r="P10" s="32"/>
      <c r="Q10" s="32"/>
      <c r="R10" s="32">
        <v>145000</v>
      </c>
      <c r="S10" s="32">
        <v>-80000</v>
      </c>
      <c r="T10" s="32"/>
      <c r="U10" s="32"/>
      <c r="V10" s="32"/>
      <c r="W10" s="32"/>
      <c r="X10" s="32"/>
      <c r="Y10" s="32"/>
      <c r="Z10" s="32"/>
      <c r="AA10" s="32">
        <v>-520976</v>
      </c>
      <c r="AB10" s="32"/>
      <c r="AC10" s="32"/>
      <c r="AD10" s="32"/>
      <c r="AE10" s="32"/>
      <c r="AF10" s="32"/>
      <c r="AG10" s="32"/>
      <c r="AH10" s="127">
        <f t="shared" ref="AH10:AH41" si="4">J10*(K10-K2)</f>
        <v>0</v>
      </c>
      <c r="AI10" s="128">
        <f t="shared" ref="AI10:AI73" si="5">(N10-AH10-Q10)*ISNUMBER(MATCH($D10,$AL:$AL,0))</f>
        <v>0</v>
      </c>
      <c r="AJ10" s="129">
        <f t="shared" ref="AJ10:AJ73" si="6">N10-SUM(O10:AI10)</f>
        <v>511</v>
      </c>
      <c r="AK10" t="s">
        <v>35</v>
      </c>
    </row>
    <row r="11" spans="1:39" x14ac:dyDescent="0.25">
      <c r="A11" s="119">
        <f>A10</f>
        <v>45301</v>
      </c>
      <c r="B11" s="109" t="s">
        <v>99</v>
      </c>
      <c r="C11" s="6" t="s">
        <v>5</v>
      </c>
      <c r="D11" s="7" t="s">
        <v>26</v>
      </c>
      <c r="E11" s="120">
        <v>9958471</v>
      </c>
      <c r="F11" s="130">
        <v>6952.09</v>
      </c>
      <c r="G11" s="122">
        <v>-10000000</v>
      </c>
      <c r="H11" s="123">
        <v>-8000</v>
      </c>
      <c r="I11" s="120">
        <f t="shared" si="0"/>
        <v>-41529</v>
      </c>
      <c r="J11" s="130">
        <f t="shared" si="1"/>
        <v>-1047.9099999999999</v>
      </c>
      <c r="K11" s="8" vm="2">
        <v>915.7</v>
      </c>
      <c r="L11" s="8">
        <v>36857.980000000003</v>
      </c>
      <c r="M11" s="131">
        <f t="shared" si="2"/>
        <v>-1001100.1869999999</v>
      </c>
      <c r="N11" s="126">
        <f t="shared" si="3"/>
        <v>499592.05150000006</v>
      </c>
      <c r="O11" s="32"/>
      <c r="P11" s="32"/>
      <c r="Q11" s="32"/>
      <c r="R11" s="32"/>
      <c r="S11" s="32"/>
      <c r="T11" s="32"/>
      <c r="U11" s="32"/>
      <c r="V11" s="32"/>
      <c r="W11" s="32">
        <v>-3140</v>
      </c>
      <c r="X11" s="32"/>
      <c r="Y11" s="32"/>
      <c r="Z11" s="32">
        <v>-4752</v>
      </c>
      <c r="AA11" s="32">
        <v>505755.00000000006</v>
      </c>
      <c r="AB11" s="32"/>
      <c r="AC11" s="32"/>
      <c r="AD11" s="32"/>
      <c r="AE11" s="32"/>
      <c r="AF11" s="32"/>
      <c r="AG11" s="32"/>
      <c r="AH11" s="127">
        <f t="shared" si="4"/>
        <v>1729.0514999999759</v>
      </c>
      <c r="AI11" s="128">
        <f t="shared" si="5"/>
        <v>0</v>
      </c>
      <c r="AJ11" s="129">
        <f t="shared" si="6"/>
        <v>0</v>
      </c>
    </row>
    <row r="12" spans="1:39" x14ac:dyDescent="0.25">
      <c r="A12" s="119">
        <f t="shared" ref="A12:A17" si="7">A11</f>
        <v>45301</v>
      </c>
      <c r="B12" s="109" t="s">
        <v>99</v>
      </c>
      <c r="C12" s="6" t="s">
        <v>9</v>
      </c>
      <c r="D12" s="7" t="s">
        <v>12</v>
      </c>
      <c r="E12" s="120">
        <v>4853826</v>
      </c>
      <c r="F12" s="130"/>
      <c r="G12" s="122"/>
      <c r="H12" s="123"/>
      <c r="I12" s="120">
        <f t="shared" si="0"/>
        <v>4853826</v>
      </c>
      <c r="J12" s="130">
        <f t="shared" si="1"/>
        <v>0</v>
      </c>
      <c r="K12" s="8" vm="2">
        <v>915.7</v>
      </c>
      <c r="L12" s="8">
        <v>36857.980000000003</v>
      </c>
      <c r="M12" s="131">
        <f t="shared" si="2"/>
        <v>4853826</v>
      </c>
      <c r="N12" s="126">
        <f t="shared" si="3"/>
        <v>1150</v>
      </c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127">
        <f t="shared" si="4"/>
        <v>0</v>
      </c>
      <c r="AI12" s="128">
        <f t="shared" si="5"/>
        <v>1150</v>
      </c>
      <c r="AJ12" s="129">
        <f t="shared" si="6"/>
        <v>0</v>
      </c>
    </row>
    <row r="13" spans="1:39" x14ac:dyDescent="0.25">
      <c r="A13" s="119">
        <f t="shared" si="7"/>
        <v>45301</v>
      </c>
      <c r="B13" s="109" t="s">
        <v>99</v>
      </c>
      <c r="C13" s="6" t="s">
        <v>9</v>
      </c>
      <c r="D13" s="7" t="s">
        <v>15</v>
      </c>
      <c r="E13" s="120">
        <v>439304</v>
      </c>
      <c r="F13" s="130"/>
      <c r="G13" s="122"/>
      <c r="H13" s="123"/>
      <c r="I13" s="120">
        <f t="shared" si="0"/>
        <v>439304</v>
      </c>
      <c r="J13" s="130">
        <f t="shared" si="1"/>
        <v>0</v>
      </c>
      <c r="K13" s="8" vm="2">
        <v>915.7</v>
      </c>
      <c r="L13" s="8">
        <v>36857.980000000003</v>
      </c>
      <c r="M13" s="131">
        <f t="shared" si="2"/>
        <v>439304</v>
      </c>
      <c r="N13" s="126">
        <f t="shared" si="3"/>
        <v>3764</v>
      </c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127">
        <f t="shared" si="4"/>
        <v>0</v>
      </c>
      <c r="AI13" s="128">
        <f t="shared" si="5"/>
        <v>3764</v>
      </c>
      <c r="AJ13" s="129">
        <f t="shared" si="6"/>
        <v>0</v>
      </c>
      <c r="AM13" s="119"/>
    </row>
    <row r="14" spans="1:39" x14ac:dyDescent="0.25">
      <c r="A14" s="119">
        <f t="shared" si="7"/>
        <v>45301</v>
      </c>
      <c r="B14" s="109" t="s">
        <v>99</v>
      </c>
      <c r="C14" s="6" t="s">
        <v>9</v>
      </c>
      <c r="D14" s="7" t="s">
        <v>11</v>
      </c>
      <c r="E14" s="120">
        <v>211572</v>
      </c>
      <c r="F14" s="130"/>
      <c r="G14" s="122"/>
      <c r="H14" s="123"/>
      <c r="I14" s="120">
        <f t="shared" si="0"/>
        <v>211572</v>
      </c>
      <c r="J14" s="130">
        <f t="shared" si="1"/>
        <v>0</v>
      </c>
      <c r="K14" s="8" vm="2">
        <v>915.7</v>
      </c>
      <c r="L14" s="8">
        <v>36857.980000000003</v>
      </c>
      <c r="M14" s="131">
        <f t="shared" si="2"/>
        <v>211572</v>
      </c>
      <c r="N14" s="126">
        <f t="shared" si="3"/>
        <v>1080</v>
      </c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127">
        <f t="shared" si="4"/>
        <v>0</v>
      </c>
      <c r="AI14" s="128">
        <f t="shared" si="5"/>
        <v>1080</v>
      </c>
      <c r="AJ14" s="129">
        <f t="shared" si="6"/>
        <v>0</v>
      </c>
    </row>
    <row r="15" spans="1:39" x14ac:dyDescent="0.25">
      <c r="A15" s="119">
        <f t="shared" si="7"/>
        <v>45301</v>
      </c>
      <c r="B15" s="109" t="s">
        <v>99</v>
      </c>
      <c r="C15" s="6" t="s">
        <v>9</v>
      </c>
      <c r="D15" s="7" t="s">
        <v>10</v>
      </c>
      <c r="E15" s="120"/>
      <c r="F15" s="130">
        <f>201.25+102.22</f>
        <v>303.47000000000003</v>
      </c>
      <c r="G15" s="122"/>
      <c r="H15" s="123"/>
      <c r="I15" s="120">
        <f t="shared" si="0"/>
        <v>0</v>
      </c>
      <c r="J15" s="130">
        <f t="shared" si="1"/>
        <v>303.47000000000003</v>
      </c>
      <c r="K15" s="8" vm="2">
        <v>915.7</v>
      </c>
      <c r="L15" s="8">
        <v>36857.980000000003</v>
      </c>
      <c r="M15" s="131">
        <f t="shared" si="2"/>
        <v>277887.47900000005</v>
      </c>
      <c r="N15" s="126">
        <f t="shared" si="3"/>
        <v>-161.3059999999823</v>
      </c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127">
        <f t="shared" si="4"/>
        <v>-500.72549999999313</v>
      </c>
      <c r="AI15" s="128">
        <f t="shared" si="5"/>
        <v>339.41950000001083</v>
      </c>
      <c r="AJ15" s="129">
        <f t="shared" si="6"/>
        <v>0</v>
      </c>
    </row>
    <row r="16" spans="1:39" x14ac:dyDescent="0.25">
      <c r="A16" s="119">
        <f t="shared" si="7"/>
        <v>45301</v>
      </c>
      <c r="B16" s="109" t="s">
        <v>99</v>
      </c>
      <c r="C16" s="6" t="s">
        <v>7</v>
      </c>
      <c r="D16" s="7" t="s">
        <v>16</v>
      </c>
      <c r="E16" s="120"/>
      <c r="F16" s="130">
        <v>500.13</v>
      </c>
      <c r="G16" s="122"/>
      <c r="H16" s="123"/>
      <c r="I16" s="120">
        <f t="shared" si="0"/>
        <v>0</v>
      </c>
      <c r="J16" s="130">
        <f t="shared" si="1"/>
        <v>500.13</v>
      </c>
      <c r="K16" s="8" vm="2">
        <v>915.7</v>
      </c>
      <c r="L16" s="8">
        <v>36857.980000000003</v>
      </c>
      <c r="M16" s="131">
        <f t="shared" si="2"/>
        <v>457969.04100000003</v>
      </c>
      <c r="N16" s="126">
        <f t="shared" si="3"/>
        <v>4798.1410000000033</v>
      </c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127">
        <f t="shared" si="4"/>
        <v>-825.21449999998867</v>
      </c>
      <c r="AI16" s="128">
        <f t="shared" si="5"/>
        <v>5623.3554999999924</v>
      </c>
      <c r="AJ16" s="129">
        <f t="shared" si="6"/>
        <v>0</v>
      </c>
    </row>
    <row r="17" spans="1:39" s="142" customFormat="1" x14ac:dyDescent="0.25">
      <c r="A17" s="133">
        <f t="shared" si="7"/>
        <v>45301</v>
      </c>
      <c r="B17" s="110" t="s">
        <v>99</v>
      </c>
      <c r="C17" s="45" t="s">
        <v>8</v>
      </c>
      <c r="D17" s="46" t="s">
        <v>16</v>
      </c>
      <c r="E17" s="134"/>
      <c r="F17" s="135">
        <v>114.68</v>
      </c>
      <c r="G17" s="134"/>
      <c r="H17" s="135"/>
      <c r="I17" s="134">
        <f t="shared" si="0"/>
        <v>0</v>
      </c>
      <c r="J17" s="135">
        <f t="shared" si="1"/>
        <v>114.68</v>
      </c>
      <c r="K17" s="47" vm="2">
        <v>915.7</v>
      </c>
      <c r="L17" s="47">
        <v>36857.980000000003</v>
      </c>
      <c r="M17" s="136">
        <f t="shared" si="2"/>
        <v>105012.47600000001</v>
      </c>
      <c r="N17" s="137">
        <f t="shared" si="3"/>
        <v>8690.7260000000097</v>
      </c>
      <c r="O17" s="138"/>
      <c r="P17" s="138"/>
      <c r="Q17" s="138"/>
      <c r="R17" s="138"/>
      <c r="S17" s="138"/>
      <c r="T17" s="138"/>
      <c r="U17" s="138"/>
      <c r="V17" s="138"/>
      <c r="W17" s="138"/>
      <c r="X17" s="138"/>
      <c r="Y17" s="138"/>
      <c r="Z17" s="138"/>
      <c r="AA17" s="138"/>
      <c r="AB17" s="138"/>
      <c r="AC17" s="138"/>
      <c r="AD17" s="138"/>
      <c r="AE17" s="138"/>
      <c r="AF17" s="138"/>
      <c r="AG17" s="138"/>
      <c r="AH17" s="139">
        <f t="shared" si="4"/>
        <v>-189.22199999999739</v>
      </c>
      <c r="AI17" s="140">
        <f t="shared" si="5"/>
        <v>8879.9480000000076</v>
      </c>
      <c r="AJ17" s="141">
        <f t="shared" si="6"/>
        <v>0</v>
      </c>
    </row>
    <row r="18" spans="1:39" x14ac:dyDescent="0.25">
      <c r="A18" s="119">
        <v>45302</v>
      </c>
      <c r="B18" s="109" t="s">
        <v>99</v>
      </c>
      <c r="C18" s="6" t="s">
        <v>5</v>
      </c>
      <c r="D18" s="7" t="s">
        <v>6</v>
      </c>
      <c r="E18" s="120">
        <v>341685</v>
      </c>
      <c r="F18" s="130"/>
      <c r="G18" s="120"/>
      <c r="H18" s="130"/>
      <c r="I18" s="120">
        <f t="shared" ref="I18:I25" si="8">E18+G18</f>
        <v>341685</v>
      </c>
      <c r="J18" s="130">
        <f t="shared" ref="J18:J25" si="9">F18+H18</f>
        <v>0</v>
      </c>
      <c r="K18" s="42">
        <v>910</v>
      </c>
      <c r="L18" s="42">
        <v>36852.019999999997</v>
      </c>
      <c r="M18" s="131">
        <f t="shared" si="2"/>
        <v>341685</v>
      </c>
      <c r="N18" s="126">
        <f t="shared" si="3"/>
        <v>-14850</v>
      </c>
      <c r="O18" s="32"/>
      <c r="P18" s="32"/>
      <c r="Q18" s="32"/>
      <c r="R18" s="32"/>
      <c r="S18" s="32"/>
      <c r="T18" s="32"/>
      <c r="U18" s="32"/>
      <c r="V18" s="32">
        <v>-14850</v>
      </c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127">
        <f t="shared" si="4"/>
        <v>0</v>
      </c>
      <c r="AI18" s="128">
        <f t="shared" si="5"/>
        <v>0</v>
      </c>
      <c r="AJ18" s="129">
        <f t="shared" si="6"/>
        <v>0</v>
      </c>
    </row>
    <row r="19" spans="1:39" x14ac:dyDescent="0.25">
      <c r="A19" s="119">
        <f>A18</f>
        <v>45302</v>
      </c>
      <c r="B19" s="109" t="s">
        <v>99</v>
      </c>
      <c r="C19" s="6" t="s">
        <v>5</v>
      </c>
      <c r="D19" s="7" t="s">
        <v>26</v>
      </c>
      <c r="E19" s="120">
        <v>9939841</v>
      </c>
      <c r="F19" s="130">
        <v>6952.09</v>
      </c>
      <c r="G19" s="122">
        <v>-10000000</v>
      </c>
      <c r="H19" s="123">
        <v>-8000</v>
      </c>
      <c r="I19" s="120">
        <f t="shared" si="8"/>
        <v>-60159</v>
      </c>
      <c r="J19" s="130">
        <f t="shared" si="9"/>
        <v>-1047.9099999999999</v>
      </c>
      <c r="K19" s="8">
        <v>910</v>
      </c>
      <c r="L19" s="8">
        <v>36852.019999999997</v>
      </c>
      <c r="M19" s="131">
        <f t="shared" si="2"/>
        <v>-1013757.0999999999</v>
      </c>
      <c r="N19" s="126">
        <f t="shared" si="3"/>
        <v>-12656.912999999942</v>
      </c>
      <c r="O19" s="32"/>
      <c r="P19" s="32"/>
      <c r="Q19" s="32"/>
      <c r="R19" s="32"/>
      <c r="S19" s="32"/>
      <c r="T19" s="32"/>
      <c r="U19" s="32"/>
      <c r="V19" s="32"/>
      <c r="W19" s="32">
        <v>-4630</v>
      </c>
      <c r="X19" s="32"/>
      <c r="Y19" s="32"/>
      <c r="Z19" s="32">
        <v>-14000</v>
      </c>
      <c r="AA19" s="32"/>
      <c r="AB19" s="32"/>
      <c r="AC19" s="32"/>
      <c r="AD19" s="32"/>
      <c r="AE19" s="32"/>
      <c r="AF19" s="32"/>
      <c r="AG19" s="32"/>
      <c r="AH19" s="127">
        <f t="shared" si="4"/>
        <v>5973.0870000000468</v>
      </c>
      <c r="AI19" s="128">
        <f t="shared" si="5"/>
        <v>0</v>
      </c>
      <c r="AJ19" s="129">
        <f t="shared" si="6"/>
        <v>0</v>
      </c>
    </row>
    <row r="20" spans="1:39" x14ac:dyDescent="0.25">
      <c r="A20" s="119">
        <f t="shared" ref="A20:A25" si="10">A19</f>
        <v>45302</v>
      </c>
      <c r="B20" s="109" t="s">
        <v>99</v>
      </c>
      <c r="C20" s="6" t="s">
        <v>9</v>
      </c>
      <c r="D20" s="7" t="s">
        <v>12</v>
      </c>
      <c r="E20" s="120">
        <v>4853826</v>
      </c>
      <c r="F20" s="130"/>
      <c r="G20" s="122"/>
      <c r="H20" s="123"/>
      <c r="I20" s="120">
        <f t="shared" si="8"/>
        <v>4853826</v>
      </c>
      <c r="J20" s="130">
        <f t="shared" si="9"/>
        <v>0</v>
      </c>
      <c r="K20" s="8">
        <v>910</v>
      </c>
      <c r="L20" s="8">
        <v>36852.019999999997</v>
      </c>
      <c r="M20" s="131">
        <f t="shared" si="2"/>
        <v>4853826</v>
      </c>
      <c r="N20" s="126">
        <f t="shared" si="3"/>
        <v>0</v>
      </c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127">
        <f t="shared" si="4"/>
        <v>0</v>
      </c>
      <c r="AI20" s="128">
        <f t="shared" si="5"/>
        <v>0</v>
      </c>
      <c r="AJ20" s="129">
        <f t="shared" si="6"/>
        <v>0</v>
      </c>
    </row>
    <row r="21" spans="1:39" x14ac:dyDescent="0.25">
      <c r="A21" s="119">
        <f t="shared" si="10"/>
        <v>45302</v>
      </c>
      <c r="B21" s="109" t="s">
        <v>99</v>
      </c>
      <c r="C21" s="6" t="s">
        <v>9</v>
      </c>
      <c r="D21" s="7" t="s">
        <v>15</v>
      </c>
      <c r="E21" s="120">
        <v>439304</v>
      </c>
      <c r="F21" s="130"/>
      <c r="G21" s="122"/>
      <c r="H21" s="123"/>
      <c r="I21" s="120">
        <f t="shared" si="8"/>
        <v>439304</v>
      </c>
      <c r="J21" s="130">
        <f t="shared" si="9"/>
        <v>0</v>
      </c>
      <c r="K21" s="8">
        <v>910</v>
      </c>
      <c r="L21" s="8">
        <v>36852.019999999997</v>
      </c>
      <c r="M21" s="131">
        <f t="shared" si="2"/>
        <v>439304</v>
      </c>
      <c r="N21" s="126">
        <f t="shared" si="3"/>
        <v>0</v>
      </c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127">
        <f t="shared" si="4"/>
        <v>0</v>
      </c>
      <c r="AI21" s="128">
        <f t="shared" si="5"/>
        <v>0</v>
      </c>
      <c r="AJ21" s="129">
        <f t="shared" si="6"/>
        <v>0</v>
      </c>
      <c r="AM21" s="119"/>
    </row>
    <row r="22" spans="1:39" x14ac:dyDescent="0.25">
      <c r="A22" s="119">
        <f t="shared" si="10"/>
        <v>45302</v>
      </c>
      <c r="B22" s="109" t="s">
        <v>99</v>
      </c>
      <c r="C22" s="6" t="s">
        <v>9</v>
      </c>
      <c r="D22" s="7" t="s">
        <v>11</v>
      </c>
      <c r="E22" s="120">
        <v>211572</v>
      </c>
      <c r="F22" s="130"/>
      <c r="G22" s="122"/>
      <c r="H22" s="123"/>
      <c r="I22" s="120">
        <f t="shared" si="8"/>
        <v>211572</v>
      </c>
      <c r="J22" s="130">
        <f t="shared" si="9"/>
        <v>0</v>
      </c>
      <c r="K22" s="8">
        <v>910</v>
      </c>
      <c r="L22" s="8">
        <v>36852.019999999997</v>
      </c>
      <c r="M22" s="131">
        <f t="shared" si="2"/>
        <v>211572</v>
      </c>
      <c r="N22" s="126">
        <f t="shared" si="3"/>
        <v>0</v>
      </c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127">
        <f t="shared" si="4"/>
        <v>0</v>
      </c>
      <c r="AI22" s="128">
        <f t="shared" si="5"/>
        <v>0</v>
      </c>
      <c r="AJ22" s="129">
        <f t="shared" si="6"/>
        <v>0</v>
      </c>
    </row>
    <row r="23" spans="1:39" x14ac:dyDescent="0.25">
      <c r="A23" s="119">
        <f t="shared" si="10"/>
        <v>45302</v>
      </c>
      <c r="B23" s="109" t="s">
        <v>99</v>
      </c>
      <c r="C23" s="6" t="s">
        <v>9</v>
      </c>
      <c r="D23" s="7" t="s">
        <v>10</v>
      </c>
      <c r="E23" s="120"/>
      <c r="F23" s="130">
        <f>201.15+103.44</f>
        <v>304.59000000000003</v>
      </c>
      <c r="G23" s="122"/>
      <c r="H23" s="123"/>
      <c r="I23" s="120">
        <f t="shared" si="8"/>
        <v>0</v>
      </c>
      <c r="J23" s="130">
        <f t="shared" si="9"/>
        <v>304.59000000000003</v>
      </c>
      <c r="K23" s="8">
        <v>910</v>
      </c>
      <c r="L23" s="8">
        <v>36852.019999999997</v>
      </c>
      <c r="M23" s="131">
        <f t="shared" si="2"/>
        <v>277176.90000000002</v>
      </c>
      <c r="N23" s="126">
        <f t="shared" si="3"/>
        <v>-710.57900000002701</v>
      </c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127">
        <f t="shared" si="4"/>
        <v>-1736.1630000000141</v>
      </c>
      <c r="AI23" s="128">
        <f t="shared" si="5"/>
        <v>1025.5839999999871</v>
      </c>
      <c r="AJ23" s="129">
        <f t="shared" si="6"/>
        <v>0</v>
      </c>
    </row>
    <row r="24" spans="1:39" x14ac:dyDescent="0.25">
      <c r="A24" s="119">
        <f t="shared" si="10"/>
        <v>45302</v>
      </c>
      <c r="B24" s="109" t="s">
        <v>99</v>
      </c>
      <c r="C24" s="6" t="s">
        <v>7</v>
      </c>
      <c r="D24" s="7" t="s">
        <v>16</v>
      </c>
      <c r="E24" s="120"/>
      <c r="F24" s="130">
        <v>521.44000000000005</v>
      </c>
      <c r="G24" s="122"/>
      <c r="H24" s="123"/>
      <c r="I24" s="120">
        <f t="shared" si="8"/>
        <v>0</v>
      </c>
      <c r="J24" s="130">
        <f t="shared" si="9"/>
        <v>521.44000000000005</v>
      </c>
      <c r="K24" s="8">
        <v>910</v>
      </c>
      <c r="L24" s="8">
        <v>36852.019999999997</v>
      </c>
      <c r="M24" s="131">
        <f t="shared" si="2"/>
        <v>474510.4</v>
      </c>
      <c r="N24" s="126">
        <f t="shared" si="3"/>
        <v>16541.358999999997</v>
      </c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127">
        <f t="shared" si="4"/>
        <v>-2972.2080000000242</v>
      </c>
      <c r="AI24" s="128">
        <f t="shared" si="5"/>
        <v>19513.567000000021</v>
      </c>
      <c r="AJ24" s="129">
        <f t="shared" si="6"/>
        <v>0</v>
      </c>
    </row>
    <row r="25" spans="1:39" s="142" customFormat="1" x14ac:dyDescent="0.25">
      <c r="A25" s="133">
        <f t="shared" si="10"/>
        <v>45302</v>
      </c>
      <c r="B25" s="110" t="s">
        <v>99</v>
      </c>
      <c r="C25" s="45" t="s">
        <v>8</v>
      </c>
      <c r="D25" s="46" t="s">
        <v>16</v>
      </c>
      <c r="E25" s="134"/>
      <c r="F25" s="135">
        <v>115.31</v>
      </c>
      <c r="G25" s="134"/>
      <c r="H25" s="135"/>
      <c r="I25" s="134">
        <f t="shared" si="8"/>
        <v>0</v>
      </c>
      <c r="J25" s="135">
        <f t="shared" si="9"/>
        <v>115.31</v>
      </c>
      <c r="K25" s="47">
        <v>910</v>
      </c>
      <c r="L25" s="47">
        <v>36852.019999999997</v>
      </c>
      <c r="M25" s="136">
        <f t="shared" si="2"/>
        <v>104932.1</v>
      </c>
      <c r="N25" s="137">
        <f t="shared" si="3"/>
        <v>-80.376000000003842</v>
      </c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9">
        <f t="shared" si="4"/>
        <v>-657.26700000000528</v>
      </c>
      <c r="AI25" s="140">
        <f t="shared" si="5"/>
        <v>576.89100000000144</v>
      </c>
      <c r="AJ25" s="141">
        <f t="shared" si="6"/>
        <v>0</v>
      </c>
    </row>
    <row r="26" spans="1:39" x14ac:dyDescent="0.25">
      <c r="A26" s="119">
        <v>45303</v>
      </c>
      <c r="B26" s="109" t="s">
        <v>99</v>
      </c>
      <c r="C26" s="6" t="s">
        <v>5</v>
      </c>
      <c r="D26" s="7" t="s">
        <v>6</v>
      </c>
      <c r="E26" s="120">
        <v>376685</v>
      </c>
      <c r="F26" s="130"/>
      <c r="G26" s="120"/>
      <c r="H26" s="130"/>
      <c r="I26" s="120">
        <f t="shared" ref="I26:I33" si="11">E26+G26</f>
        <v>376685</v>
      </c>
      <c r="J26" s="130">
        <f t="shared" ref="J26:J33" si="12">F26+H26</f>
        <v>0</v>
      </c>
      <c r="K26" s="42">
        <v>911.37</v>
      </c>
      <c r="L26" s="42">
        <v>36846.06</v>
      </c>
      <c r="M26" s="131">
        <f t="shared" si="2"/>
        <v>376685</v>
      </c>
      <c r="N26" s="126">
        <f t="shared" si="3"/>
        <v>35000</v>
      </c>
      <c r="O26" s="32"/>
      <c r="P26" s="32"/>
      <c r="Q26" s="32"/>
      <c r="R26" s="32"/>
      <c r="S26" s="32">
        <v>35000</v>
      </c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127">
        <f t="shared" si="4"/>
        <v>0</v>
      </c>
      <c r="AI26" s="128">
        <f t="shared" si="5"/>
        <v>0</v>
      </c>
      <c r="AJ26" s="129">
        <f t="shared" si="6"/>
        <v>0</v>
      </c>
    </row>
    <row r="27" spans="1:39" x14ac:dyDescent="0.25">
      <c r="A27" s="119">
        <f>A26</f>
        <v>45303</v>
      </c>
      <c r="B27" s="109" t="s">
        <v>99</v>
      </c>
      <c r="C27" s="6" t="s">
        <v>5</v>
      </c>
      <c r="D27" s="7" t="s">
        <v>26</v>
      </c>
      <c r="E27" s="120">
        <v>9892221</v>
      </c>
      <c r="F27" s="130">
        <v>6952.09</v>
      </c>
      <c r="G27" s="122">
        <v>-10000000</v>
      </c>
      <c r="H27" s="123">
        <v>-8000</v>
      </c>
      <c r="I27" s="120">
        <f t="shared" si="11"/>
        <v>-107779</v>
      </c>
      <c r="J27" s="130">
        <f t="shared" si="12"/>
        <v>-1047.9099999999999</v>
      </c>
      <c r="K27" s="8">
        <v>911.37</v>
      </c>
      <c r="L27" s="8">
        <v>36846.06</v>
      </c>
      <c r="M27" s="131">
        <f t="shared" si="2"/>
        <v>-1062812.7366999998</v>
      </c>
      <c r="N27" s="126">
        <f t="shared" si="3"/>
        <v>-49055.636699999915</v>
      </c>
      <c r="O27" s="32"/>
      <c r="P27" s="32"/>
      <c r="Q27" s="32"/>
      <c r="R27" s="32"/>
      <c r="S27" s="32"/>
      <c r="T27" s="32"/>
      <c r="U27" s="32"/>
      <c r="V27" s="32">
        <v>-40000</v>
      </c>
      <c r="W27" s="32"/>
      <c r="X27" s="32"/>
      <c r="Y27" s="32"/>
      <c r="Z27" s="32">
        <v>-5000</v>
      </c>
      <c r="AA27" s="32"/>
      <c r="AB27" s="32"/>
      <c r="AC27" s="32"/>
      <c r="AD27" s="32"/>
      <c r="AE27" s="32"/>
      <c r="AF27" s="32"/>
      <c r="AG27" s="32"/>
      <c r="AH27" s="127">
        <f t="shared" si="4"/>
        <v>-1435.6367000000046</v>
      </c>
      <c r="AI27" s="128">
        <f t="shared" si="5"/>
        <v>0</v>
      </c>
      <c r="AJ27" s="129">
        <f t="shared" si="6"/>
        <v>-2619.9999999999127</v>
      </c>
    </row>
    <row r="28" spans="1:39" x14ac:dyDescent="0.25">
      <c r="A28" s="119">
        <f t="shared" ref="A28:A33" si="13">A27</f>
        <v>45303</v>
      </c>
      <c r="B28" s="109" t="s">
        <v>99</v>
      </c>
      <c r="C28" s="6" t="s">
        <v>9</v>
      </c>
      <c r="D28" s="7" t="s">
        <v>12</v>
      </c>
      <c r="E28" s="120">
        <v>4854887</v>
      </c>
      <c r="F28" s="130"/>
      <c r="G28" s="122"/>
      <c r="H28" s="123"/>
      <c r="I28" s="120">
        <f t="shared" si="11"/>
        <v>4854887</v>
      </c>
      <c r="J28" s="130">
        <f t="shared" si="12"/>
        <v>0</v>
      </c>
      <c r="K28" s="8">
        <v>911.37</v>
      </c>
      <c r="L28" s="8">
        <v>36846.06</v>
      </c>
      <c r="M28" s="131">
        <f t="shared" si="2"/>
        <v>4854887</v>
      </c>
      <c r="N28" s="126">
        <f t="shared" si="3"/>
        <v>1061</v>
      </c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127">
        <f t="shared" si="4"/>
        <v>0</v>
      </c>
      <c r="AI28" s="128">
        <f t="shared" si="5"/>
        <v>1061</v>
      </c>
      <c r="AJ28" s="129">
        <f t="shared" si="6"/>
        <v>0</v>
      </c>
    </row>
    <row r="29" spans="1:39" x14ac:dyDescent="0.25">
      <c r="A29" s="119">
        <f t="shared" si="13"/>
        <v>45303</v>
      </c>
      <c r="B29" s="109" t="s">
        <v>99</v>
      </c>
      <c r="C29" s="6" t="s">
        <v>9</v>
      </c>
      <c r="D29" s="7" t="s">
        <v>15</v>
      </c>
      <c r="E29" s="120">
        <v>435682</v>
      </c>
      <c r="F29" s="130"/>
      <c r="G29" s="122"/>
      <c r="H29" s="123"/>
      <c r="I29" s="120">
        <f t="shared" si="11"/>
        <v>435682</v>
      </c>
      <c r="J29" s="130">
        <f t="shared" si="12"/>
        <v>0</v>
      </c>
      <c r="K29" s="8">
        <v>911.37</v>
      </c>
      <c r="L29" s="8">
        <v>36846.06</v>
      </c>
      <c r="M29" s="131">
        <f t="shared" si="2"/>
        <v>435682</v>
      </c>
      <c r="N29" s="126">
        <f t="shared" si="3"/>
        <v>-3622</v>
      </c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32"/>
      <c r="AF29" s="32"/>
      <c r="AG29" s="32"/>
      <c r="AH29" s="127">
        <f t="shared" si="4"/>
        <v>0</v>
      </c>
      <c r="AI29" s="128">
        <f t="shared" si="5"/>
        <v>-3622</v>
      </c>
      <c r="AJ29" s="129">
        <f t="shared" si="6"/>
        <v>0</v>
      </c>
      <c r="AM29" s="119"/>
    </row>
    <row r="30" spans="1:39" x14ac:dyDescent="0.25">
      <c r="A30" s="119">
        <f t="shared" si="13"/>
        <v>45303</v>
      </c>
      <c r="B30" s="109" t="s">
        <v>99</v>
      </c>
      <c r="C30" s="6" t="s">
        <v>9</v>
      </c>
      <c r="D30" s="7" t="s">
        <v>11</v>
      </c>
      <c r="E30" s="120">
        <v>210794</v>
      </c>
      <c r="F30" s="130"/>
      <c r="G30" s="122"/>
      <c r="H30" s="123"/>
      <c r="I30" s="120">
        <f t="shared" si="11"/>
        <v>210794</v>
      </c>
      <c r="J30" s="130">
        <f t="shared" si="12"/>
        <v>0</v>
      </c>
      <c r="K30" s="8">
        <v>911.37</v>
      </c>
      <c r="L30" s="8">
        <v>36846.06</v>
      </c>
      <c r="M30" s="131">
        <f t="shared" si="2"/>
        <v>210794</v>
      </c>
      <c r="N30" s="126">
        <f t="shared" si="3"/>
        <v>-778</v>
      </c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127">
        <f t="shared" si="4"/>
        <v>0</v>
      </c>
      <c r="AI30" s="128">
        <f t="shared" si="5"/>
        <v>-778</v>
      </c>
      <c r="AJ30" s="129">
        <f t="shared" si="6"/>
        <v>0</v>
      </c>
    </row>
    <row r="31" spans="1:39" x14ac:dyDescent="0.25">
      <c r="A31" s="119">
        <f t="shared" si="13"/>
        <v>45303</v>
      </c>
      <c r="B31" s="109" t="s">
        <v>99</v>
      </c>
      <c r="C31" s="6" t="s">
        <v>9</v>
      </c>
      <c r="D31" s="7" t="s">
        <v>10</v>
      </c>
      <c r="E31" s="120"/>
      <c r="F31" s="130">
        <f>201.57+103.12</f>
        <v>304.69</v>
      </c>
      <c r="G31" s="122"/>
      <c r="H31" s="123"/>
      <c r="I31" s="120">
        <f t="shared" si="11"/>
        <v>0</v>
      </c>
      <c r="J31" s="130">
        <f t="shared" si="12"/>
        <v>304.69</v>
      </c>
      <c r="K31" s="8">
        <v>911.37</v>
      </c>
      <c r="L31" s="8">
        <v>36846.06</v>
      </c>
      <c r="M31" s="131">
        <f t="shared" si="2"/>
        <v>277685.32530000003</v>
      </c>
      <c r="N31" s="126">
        <f t="shared" si="3"/>
        <v>508.42530000000261</v>
      </c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127">
        <f t="shared" si="4"/>
        <v>417.42530000000136</v>
      </c>
      <c r="AI31" s="128">
        <f t="shared" si="5"/>
        <v>91.000000000001251</v>
      </c>
      <c r="AJ31" s="129">
        <f t="shared" si="6"/>
        <v>0</v>
      </c>
    </row>
    <row r="32" spans="1:39" x14ac:dyDescent="0.25">
      <c r="A32" s="119">
        <f t="shared" si="13"/>
        <v>45303</v>
      </c>
      <c r="B32" s="109" t="s">
        <v>99</v>
      </c>
      <c r="C32" s="6" t="s">
        <v>7</v>
      </c>
      <c r="D32" s="7" t="s">
        <v>16</v>
      </c>
      <c r="E32" s="120"/>
      <c r="F32" s="130">
        <v>520.48</v>
      </c>
      <c r="G32" s="122"/>
      <c r="H32" s="123"/>
      <c r="I32" s="120">
        <f t="shared" si="11"/>
        <v>0</v>
      </c>
      <c r="J32" s="130">
        <f t="shared" si="12"/>
        <v>520.48</v>
      </c>
      <c r="K32" s="8">
        <v>911.37</v>
      </c>
      <c r="L32" s="8">
        <v>36846.06</v>
      </c>
      <c r="M32" s="131">
        <f t="shared" si="2"/>
        <v>474349.85760000005</v>
      </c>
      <c r="N32" s="126">
        <f t="shared" si="3"/>
        <v>-160.54239999997662</v>
      </c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127">
        <f t="shared" si="4"/>
        <v>713.05760000000237</v>
      </c>
      <c r="AI32" s="128">
        <f t="shared" si="5"/>
        <v>-873.59999999997899</v>
      </c>
      <c r="AJ32" s="129">
        <f t="shared" si="6"/>
        <v>0</v>
      </c>
    </row>
    <row r="33" spans="1:39" s="142" customFormat="1" x14ac:dyDescent="0.25">
      <c r="A33" s="133">
        <f t="shared" si="13"/>
        <v>45303</v>
      </c>
      <c r="B33" s="110" t="s">
        <v>99</v>
      </c>
      <c r="C33" s="45" t="s">
        <v>8</v>
      </c>
      <c r="D33" s="46" t="s">
        <v>16</v>
      </c>
      <c r="E33" s="134"/>
      <c r="F33" s="135">
        <v>124.26</v>
      </c>
      <c r="G33" s="134"/>
      <c r="H33" s="135"/>
      <c r="I33" s="134">
        <f t="shared" si="11"/>
        <v>0</v>
      </c>
      <c r="J33" s="135">
        <f t="shared" si="12"/>
        <v>124.26</v>
      </c>
      <c r="K33" s="47">
        <v>911.37</v>
      </c>
      <c r="L33" s="47">
        <v>36846.06</v>
      </c>
      <c r="M33" s="136">
        <f t="shared" si="2"/>
        <v>113246.83620000001</v>
      </c>
      <c r="N33" s="137">
        <f t="shared" si="3"/>
        <v>8314.7361999999994</v>
      </c>
      <c r="O33" s="138"/>
      <c r="P33" s="138"/>
      <c r="Q33" s="138"/>
      <c r="R33" s="138"/>
      <c r="S33" s="138"/>
      <c r="T33" s="138"/>
      <c r="U33" s="138"/>
      <c r="V33" s="138"/>
      <c r="W33" s="138"/>
      <c r="X33" s="138"/>
      <c r="Y33" s="138"/>
      <c r="Z33" s="138"/>
      <c r="AA33" s="138"/>
      <c r="AB33" s="138"/>
      <c r="AC33" s="138"/>
      <c r="AD33" s="138"/>
      <c r="AE33" s="138"/>
      <c r="AF33" s="138"/>
      <c r="AG33" s="138"/>
      <c r="AH33" s="139">
        <f t="shared" si="4"/>
        <v>170.23620000000057</v>
      </c>
      <c r="AI33" s="140">
        <f t="shared" si="5"/>
        <v>8144.4999999999991</v>
      </c>
      <c r="AJ33" s="141">
        <f t="shared" si="6"/>
        <v>0</v>
      </c>
    </row>
    <row r="34" spans="1:39" x14ac:dyDescent="0.25">
      <c r="A34" s="119">
        <v>45304</v>
      </c>
      <c r="B34" s="109" t="s">
        <v>99</v>
      </c>
      <c r="C34" s="6" t="s">
        <v>5</v>
      </c>
      <c r="D34" s="7" t="s">
        <v>6</v>
      </c>
      <c r="E34" s="120">
        <v>376685</v>
      </c>
      <c r="F34" s="130"/>
      <c r="G34" s="120"/>
      <c r="H34" s="130"/>
      <c r="I34" s="120">
        <f t="shared" ref="I34:I41" si="14">E34+G34</f>
        <v>376685</v>
      </c>
      <c r="J34" s="130">
        <f t="shared" ref="J34:J41" si="15">F34+H34</f>
        <v>0</v>
      </c>
      <c r="K34" s="42">
        <v>911.37</v>
      </c>
      <c r="L34" s="42">
        <v>36840.1</v>
      </c>
      <c r="M34" s="131">
        <f t="shared" ref="M34:M41" si="16">I34+J34*K34</f>
        <v>376685</v>
      </c>
      <c r="N34" s="126">
        <f t="shared" si="3"/>
        <v>0</v>
      </c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127">
        <f t="shared" si="4"/>
        <v>0</v>
      </c>
      <c r="AI34" s="128">
        <f t="shared" si="5"/>
        <v>0</v>
      </c>
      <c r="AJ34" s="129">
        <f t="shared" si="6"/>
        <v>0</v>
      </c>
    </row>
    <row r="35" spans="1:39" x14ac:dyDescent="0.25">
      <c r="A35" s="119">
        <f>A34</f>
        <v>45304</v>
      </c>
      <c r="B35" s="109" t="s">
        <v>99</v>
      </c>
      <c r="C35" s="6" t="s">
        <v>5</v>
      </c>
      <c r="D35" s="7" t="s">
        <v>26</v>
      </c>
      <c r="E35" s="120">
        <v>9840160</v>
      </c>
      <c r="F35" s="130">
        <v>6952.09</v>
      </c>
      <c r="G35" s="122">
        <v>-10000000</v>
      </c>
      <c r="H35" s="123">
        <v>-8000</v>
      </c>
      <c r="I35" s="120">
        <f t="shared" si="14"/>
        <v>-159840</v>
      </c>
      <c r="J35" s="130">
        <f t="shared" si="15"/>
        <v>-1047.9099999999999</v>
      </c>
      <c r="K35" s="8">
        <v>911.37</v>
      </c>
      <c r="L35" s="8">
        <v>36840.1</v>
      </c>
      <c r="M35" s="131">
        <f t="shared" si="16"/>
        <v>-1114873.7366999998</v>
      </c>
      <c r="N35" s="126">
        <f t="shared" si="3"/>
        <v>-52061</v>
      </c>
      <c r="O35" s="32"/>
      <c r="P35" s="32"/>
      <c r="Q35" s="32"/>
      <c r="R35" s="32"/>
      <c r="S35" s="32"/>
      <c r="T35" s="32"/>
      <c r="U35" s="32"/>
      <c r="V35" s="32"/>
      <c r="W35" s="32">
        <v>-29000</v>
      </c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127">
        <f t="shared" si="4"/>
        <v>0</v>
      </c>
      <c r="AI35" s="128">
        <f t="shared" si="5"/>
        <v>0</v>
      </c>
      <c r="AJ35" s="129">
        <f t="shared" si="6"/>
        <v>-23061</v>
      </c>
    </row>
    <row r="36" spans="1:39" x14ac:dyDescent="0.25">
      <c r="A36" s="119">
        <f t="shared" ref="A36:A41" si="17">A35</f>
        <v>45304</v>
      </c>
      <c r="B36" s="109" t="s">
        <v>99</v>
      </c>
      <c r="C36" s="6" t="s">
        <v>9</v>
      </c>
      <c r="D36" s="7" t="s">
        <v>12</v>
      </c>
      <c r="E36" s="120">
        <v>4855834</v>
      </c>
      <c r="F36" s="130"/>
      <c r="G36" s="122"/>
      <c r="H36" s="123"/>
      <c r="I36" s="120">
        <f t="shared" si="14"/>
        <v>4855834</v>
      </c>
      <c r="J36" s="130">
        <f t="shared" si="15"/>
        <v>0</v>
      </c>
      <c r="K36" s="8">
        <v>911.37</v>
      </c>
      <c r="L36" s="8">
        <v>36840.1</v>
      </c>
      <c r="M36" s="131">
        <f t="shared" si="16"/>
        <v>4855834</v>
      </c>
      <c r="N36" s="126">
        <f t="shared" si="3"/>
        <v>947</v>
      </c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127">
        <f t="shared" si="4"/>
        <v>0</v>
      </c>
      <c r="AI36" s="128">
        <f t="shared" si="5"/>
        <v>947</v>
      </c>
      <c r="AJ36" s="129">
        <f t="shared" si="6"/>
        <v>0</v>
      </c>
    </row>
    <row r="37" spans="1:39" x14ac:dyDescent="0.25">
      <c r="A37" s="119">
        <f t="shared" si="17"/>
        <v>45304</v>
      </c>
      <c r="B37" s="109" t="s">
        <v>99</v>
      </c>
      <c r="C37" s="6" t="s">
        <v>9</v>
      </c>
      <c r="D37" s="7" t="s">
        <v>15</v>
      </c>
      <c r="E37" s="120">
        <v>435188</v>
      </c>
      <c r="F37" s="130"/>
      <c r="G37" s="122"/>
      <c r="H37" s="123"/>
      <c r="I37" s="120">
        <f t="shared" si="14"/>
        <v>435188</v>
      </c>
      <c r="J37" s="130">
        <f t="shared" si="15"/>
        <v>0</v>
      </c>
      <c r="K37" s="8">
        <v>911.37</v>
      </c>
      <c r="L37" s="8">
        <v>36840.1</v>
      </c>
      <c r="M37" s="131">
        <f t="shared" si="16"/>
        <v>435188</v>
      </c>
      <c r="N37" s="126">
        <f t="shared" si="3"/>
        <v>-494</v>
      </c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127">
        <f t="shared" si="4"/>
        <v>0</v>
      </c>
      <c r="AI37" s="128">
        <f t="shared" si="5"/>
        <v>-494</v>
      </c>
      <c r="AJ37" s="129">
        <f t="shared" si="6"/>
        <v>0</v>
      </c>
      <c r="AM37" s="119"/>
    </row>
    <row r="38" spans="1:39" x14ac:dyDescent="0.25">
      <c r="A38" s="119">
        <f t="shared" si="17"/>
        <v>45304</v>
      </c>
      <c r="B38" s="109" t="s">
        <v>99</v>
      </c>
      <c r="C38" s="6" t="s">
        <v>9</v>
      </c>
      <c r="D38" s="7" t="s">
        <v>11</v>
      </c>
      <c r="E38" s="120">
        <v>210804</v>
      </c>
      <c r="F38" s="130"/>
      <c r="G38" s="122"/>
      <c r="H38" s="123"/>
      <c r="I38" s="120">
        <f t="shared" si="14"/>
        <v>210804</v>
      </c>
      <c r="J38" s="130">
        <f t="shared" si="15"/>
        <v>0</v>
      </c>
      <c r="K38" s="8">
        <v>911.37</v>
      </c>
      <c r="L38" s="8">
        <v>36840.1</v>
      </c>
      <c r="M38" s="131">
        <f t="shared" si="16"/>
        <v>210804</v>
      </c>
      <c r="N38" s="126">
        <f t="shared" si="3"/>
        <v>10</v>
      </c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127">
        <f t="shared" si="4"/>
        <v>0</v>
      </c>
      <c r="AI38" s="128">
        <f t="shared" si="5"/>
        <v>10</v>
      </c>
      <c r="AJ38" s="129">
        <f t="shared" si="6"/>
        <v>0</v>
      </c>
    </row>
    <row r="39" spans="1:39" x14ac:dyDescent="0.25">
      <c r="A39" s="119">
        <f t="shared" si="17"/>
        <v>45304</v>
      </c>
      <c r="B39" s="109" t="s">
        <v>99</v>
      </c>
      <c r="C39" s="6" t="s">
        <v>9</v>
      </c>
      <c r="D39" s="7" t="s">
        <v>10</v>
      </c>
      <c r="E39" s="120"/>
      <c r="F39" s="130">
        <f>201.57+103.12</f>
        <v>304.69</v>
      </c>
      <c r="G39" s="122"/>
      <c r="H39" s="123"/>
      <c r="I39" s="120">
        <f t="shared" si="14"/>
        <v>0</v>
      </c>
      <c r="J39" s="130">
        <f t="shared" si="15"/>
        <v>304.69</v>
      </c>
      <c r="K39" s="8">
        <v>911.37</v>
      </c>
      <c r="L39" s="8">
        <v>36840.1</v>
      </c>
      <c r="M39" s="131">
        <f t="shared" si="16"/>
        <v>277685.32530000003</v>
      </c>
      <c r="N39" s="126">
        <f t="shared" si="3"/>
        <v>0</v>
      </c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32"/>
      <c r="AG39" s="32"/>
      <c r="AH39" s="127">
        <f t="shared" si="4"/>
        <v>0</v>
      </c>
      <c r="AI39" s="128">
        <f t="shared" si="5"/>
        <v>0</v>
      </c>
      <c r="AJ39" s="129">
        <f t="shared" si="6"/>
        <v>0</v>
      </c>
    </row>
    <row r="40" spans="1:39" x14ac:dyDescent="0.25">
      <c r="A40" s="119">
        <f t="shared" si="17"/>
        <v>45304</v>
      </c>
      <c r="B40" s="109" t="s">
        <v>99</v>
      </c>
      <c r="C40" s="6" t="s">
        <v>7</v>
      </c>
      <c r="D40" s="7" t="s">
        <v>16</v>
      </c>
      <c r="E40" s="120"/>
      <c r="F40" s="130">
        <v>520.48</v>
      </c>
      <c r="G40" s="122"/>
      <c r="H40" s="123"/>
      <c r="I40" s="120">
        <f t="shared" si="14"/>
        <v>0</v>
      </c>
      <c r="J40" s="130">
        <f t="shared" si="15"/>
        <v>520.48</v>
      </c>
      <c r="K40" s="8">
        <v>911.37</v>
      </c>
      <c r="L40" s="8">
        <v>36840.1</v>
      </c>
      <c r="M40" s="131">
        <f t="shared" si="16"/>
        <v>474349.85760000005</v>
      </c>
      <c r="N40" s="126">
        <f t="shared" si="3"/>
        <v>0</v>
      </c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127">
        <f t="shared" si="4"/>
        <v>0</v>
      </c>
      <c r="AI40" s="128">
        <f t="shared" si="5"/>
        <v>0</v>
      </c>
      <c r="AJ40" s="129">
        <f t="shared" si="6"/>
        <v>0</v>
      </c>
    </row>
    <row r="41" spans="1:39" s="142" customFormat="1" x14ac:dyDescent="0.25">
      <c r="A41" s="133">
        <f t="shared" si="17"/>
        <v>45304</v>
      </c>
      <c r="B41" s="110" t="s">
        <v>99</v>
      </c>
      <c r="C41" s="45" t="s">
        <v>8</v>
      </c>
      <c r="D41" s="46" t="s">
        <v>16</v>
      </c>
      <c r="E41" s="134"/>
      <c r="F41" s="135">
        <v>120.76</v>
      </c>
      <c r="G41" s="134"/>
      <c r="H41" s="135"/>
      <c r="I41" s="134">
        <f t="shared" si="14"/>
        <v>0</v>
      </c>
      <c r="J41" s="135">
        <f t="shared" si="15"/>
        <v>120.76</v>
      </c>
      <c r="K41" s="47">
        <v>911.37</v>
      </c>
      <c r="L41" s="47">
        <v>36840.1</v>
      </c>
      <c r="M41" s="136">
        <f t="shared" si="16"/>
        <v>110057.04120000001</v>
      </c>
      <c r="N41" s="137">
        <f t="shared" si="3"/>
        <v>-3189.7949999999983</v>
      </c>
      <c r="O41" s="138"/>
      <c r="P41" s="138"/>
      <c r="Q41" s="138"/>
      <c r="R41" s="138"/>
      <c r="S41" s="138"/>
      <c r="T41" s="138"/>
      <c r="U41" s="138"/>
      <c r="V41" s="138"/>
      <c r="W41" s="138"/>
      <c r="X41" s="138"/>
      <c r="Y41" s="138"/>
      <c r="Z41" s="138"/>
      <c r="AA41" s="138"/>
      <c r="AB41" s="138"/>
      <c r="AC41" s="138"/>
      <c r="AD41" s="138"/>
      <c r="AE41" s="138"/>
      <c r="AF41" s="138"/>
      <c r="AG41" s="138"/>
      <c r="AH41" s="139">
        <f t="shared" si="4"/>
        <v>0</v>
      </c>
      <c r="AI41" s="140">
        <f t="shared" si="5"/>
        <v>-3189.7949999999983</v>
      </c>
      <c r="AJ41" s="141">
        <f t="shared" si="6"/>
        <v>0</v>
      </c>
    </row>
    <row r="42" spans="1:39" x14ac:dyDescent="0.25">
      <c r="A42" s="119">
        <v>45308</v>
      </c>
      <c r="B42" s="109" t="s">
        <v>99</v>
      </c>
      <c r="C42" s="6" t="s">
        <v>5</v>
      </c>
      <c r="D42" s="7" t="s">
        <v>6</v>
      </c>
      <c r="E42" s="120">
        <v>3155622</v>
      </c>
      <c r="F42" s="130"/>
      <c r="G42" s="120"/>
      <c r="H42" s="130"/>
      <c r="I42" s="120">
        <f t="shared" ref="I42:I49" si="18">E42+G42</f>
        <v>3155622</v>
      </c>
      <c r="J42" s="130">
        <f t="shared" ref="J42:J49" si="19">F42+H42</f>
        <v>0</v>
      </c>
      <c r="K42" s="42">
        <v>922.06</v>
      </c>
      <c r="L42" s="42">
        <v>36816.29</v>
      </c>
      <c r="M42" s="131">
        <f t="shared" ref="M42:M49" si="20">I42+J42*K42</f>
        <v>3155622</v>
      </c>
      <c r="N42" s="126">
        <f t="shared" si="3"/>
        <v>2778937</v>
      </c>
      <c r="O42" s="32"/>
      <c r="P42" s="32">
        <v>1715000</v>
      </c>
      <c r="Q42" s="32">
        <f>(13740*4+920000)+0</f>
        <v>974960</v>
      </c>
      <c r="R42" s="32"/>
      <c r="S42" s="32">
        <f>36000+52977</f>
        <v>88977</v>
      </c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127">
        <f t="shared" ref="AH42:AH73" si="21">J42*(K42-K34)</f>
        <v>0</v>
      </c>
      <c r="AI42" s="128">
        <f t="shared" si="5"/>
        <v>0</v>
      </c>
      <c r="AJ42" s="129">
        <f t="shared" si="6"/>
        <v>0</v>
      </c>
      <c r="AK42" t="s">
        <v>32</v>
      </c>
    </row>
    <row r="43" spans="1:39" x14ac:dyDescent="0.25">
      <c r="A43" s="119">
        <f>A42</f>
        <v>45308</v>
      </c>
      <c r="B43" s="109" t="s">
        <v>99</v>
      </c>
      <c r="C43" s="6" t="s">
        <v>5</v>
      </c>
      <c r="D43" s="7" t="s">
        <v>26</v>
      </c>
      <c r="E43" s="120">
        <v>9630676</v>
      </c>
      <c r="F43" s="130">
        <v>5992.61</v>
      </c>
      <c r="G43" s="122">
        <v>-10000000</v>
      </c>
      <c r="H43" s="123">
        <v>-8000</v>
      </c>
      <c r="I43" s="120">
        <f t="shared" si="18"/>
        <v>-369324</v>
      </c>
      <c r="J43" s="130">
        <f t="shared" si="19"/>
        <v>-2007.3900000000003</v>
      </c>
      <c r="K43" s="8">
        <v>922.06</v>
      </c>
      <c r="L43" s="8">
        <v>36816.29</v>
      </c>
      <c r="M43" s="131">
        <f t="shared" si="20"/>
        <v>-2220258.0234000003</v>
      </c>
      <c r="N43" s="126">
        <f t="shared" si="3"/>
        <v>-1105384.2867000005</v>
      </c>
      <c r="O43" s="32"/>
      <c r="P43" s="32"/>
      <c r="Q43" s="32">
        <f>(-13740*4-959.48*K43)+0</f>
        <v>-939658.12879999995</v>
      </c>
      <c r="R43" s="32"/>
      <c r="S43" s="32">
        <v>-63684</v>
      </c>
      <c r="T43" s="32"/>
      <c r="U43" s="32"/>
      <c r="V43" s="32">
        <f>-13500-23990</f>
        <v>-37490</v>
      </c>
      <c r="W43" s="32">
        <f>-1290-1690-1290-1000-2980</f>
        <v>-8250</v>
      </c>
      <c r="X43" s="32"/>
      <c r="Y43" s="32"/>
      <c r="Z43" s="32">
        <f>-15970-5000-4118</f>
        <v>-25088</v>
      </c>
      <c r="AA43" s="32"/>
      <c r="AB43" s="32">
        <v>-20000</v>
      </c>
      <c r="AC43" s="32"/>
      <c r="AD43" s="32"/>
      <c r="AE43" s="32"/>
      <c r="AF43" s="32"/>
      <c r="AG43" s="32"/>
      <c r="AH43" s="127">
        <f t="shared" si="21"/>
        <v>-21458.999099999884</v>
      </c>
      <c r="AI43" s="128">
        <f t="shared" si="5"/>
        <v>0</v>
      </c>
      <c r="AJ43" s="129">
        <f t="shared" si="6"/>
        <v>10244.841199999442</v>
      </c>
      <c r="AK43" t="s">
        <v>33</v>
      </c>
    </row>
    <row r="44" spans="1:39" x14ac:dyDescent="0.25">
      <c r="A44" s="119">
        <f t="shared" ref="A44:A49" si="22">A43</f>
        <v>45308</v>
      </c>
      <c r="B44" s="109" t="s">
        <v>99</v>
      </c>
      <c r="C44" s="6" t="s">
        <v>9</v>
      </c>
      <c r="D44" s="7" t="s">
        <v>12</v>
      </c>
      <c r="E44" s="120">
        <v>4861268</v>
      </c>
      <c r="F44" s="130"/>
      <c r="G44" s="122"/>
      <c r="H44" s="123"/>
      <c r="I44" s="120">
        <f t="shared" si="18"/>
        <v>4861268</v>
      </c>
      <c r="J44" s="130">
        <f t="shared" si="19"/>
        <v>0</v>
      </c>
      <c r="K44" s="8">
        <v>922.06</v>
      </c>
      <c r="L44" s="8">
        <v>36816.29</v>
      </c>
      <c r="M44" s="131">
        <f t="shared" si="20"/>
        <v>4861268</v>
      </c>
      <c r="N44" s="126">
        <f t="shared" si="3"/>
        <v>5434</v>
      </c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127">
        <f t="shared" si="21"/>
        <v>0</v>
      </c>
      <c r="AI44" s="128">
        <f t="shared" si="5"/>
        <v>5434</v>
      </c>
      <c r="AJ44" s="129">
        <f t="shared" si="6"/>
        <v>0</v>
      </c>
      <c r="AK44" t="s">
        <v>34</v>
      </c>
    </row>
    <row r="45" spans="1:39" x14ac:dyDescent="0.25">
      <c r="A45" s="119">
        <f t="shared" si="22"/>
        <v>45308</v>
      </c>
      <c r="B45" s="109" t="s">
        <v>99</v>
      </c>
      <c r="C45" s="6" t="s">
        <v>9</v>
      </c>
      <c r="D45" s="7" t="s">
        <v>15</v>
      </c>
      <c r="E45" s="120">
        <v>438154</v>
      </c>
      <c r="F45" s="130"/>
      <c r="G45" s="122"/>
      <c r="H45" s="123"/>
      <c r="I45" s="120">
        <f t="shared" si="18"/>
        <v>438154</v>
      </c>
      <c r="J45" s="130">
        <f t="shared" si="19"/>
        <v>0</v>
      </c>
      <c r="K45" s="8">
        <v>922.06</v>
      </c>
      <c r="L45" s="8">
        <v>36816.29</v>
      </c>
      <c r="M45" s="131">
        <f t="shared" si="20"/>
        <v>438154</v>
      </c>
      <c r="N45" s="126">
        <f t="shared" si="3"/>
        <v>2966</v>
      </c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32"/>
      <c r="AG45" s="32"/>
      <c r="AH45" s="127">
        <f t="shared" si="21"/>
        <v>0</v>
      </c>
      <c r="AI45" s="128">
        <f t="shared" si="5"/>
        <v>2966</v>
      </c>
      <c r="AJ45" s="129">
        <f t="shared" si="6"/>
        <v>0</v>
      </c>
      <c r="AM45" s="119"/>
    </row>
    <row r="46" spans="1:39" x14ac:dyDescent="0.25">
      <c r="A46" s="119">
        <f t="shared" si="22"/>
        <v>45308</v>
      </c>
      <c r="B46" s="109" t="s">
        <v>99</v>
      </c>
      <c r="C46" s="6" t="s">
        <v>9</v>
      </c>
      <c r="D46" s="7" t="s">
        <v>11</v>
      </c>
      <c r="E46" s="120">
        <v>212330</v>
      </c>
      <c r="F46" s="130"/>
      <c r="G46" s="122"/>
      <c r="H46" s="123"/>
      <c r="I46" s="120">
        <f t="shared" si="18"/>
        <v>212330</v>
      </c>
      <c r="J46" s="130">
        <f t="shared" si="19"/>
        <v>0</v>
      </c>
      <c r="K46" s="8">
        <v>922.06</v>
      </c>
      <c r="L46" s="8">
        <v>36816.29</v>
      </c>
      <c r="M46" s="131">
        <f t="shared" si="20"/>
        <v>212330</v>
      </c>
      <c r="N46" s="126">
        <f t="shared" si="3"/>
        <v>1526</v>
      </c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127">
        <f t="shared" si="21"/>
        <v>0</v>
      </c>
      <c r="AI46" s="128">
        <f t="shared" si="5"/>
        <v>1526</v>
      </c>
      <c r="AJ46" s="129">
        <f t="shared" si="6"/>
        <v>0</v>
      </c>
    </row>
    <row r="47" spans="1:39" x14ac:dyDescent="0.25">
      <c r="A47" s="119">
        <f t="shared" si="22"/>
        <v>45308</v>
      </c>
      <c r="B47" s="109" t="s">
        <v>99</v>
      </c>
      <c r="C47" s="6" t="s">
        <v>9</v>
      </c>
      <c r="D47" s="7" t="s">
        <v>10</v>
      </c>
      <c r="E47" s="120"/>
      <c r="F47" s="130">
        <v>295.77</v>
      </c>
      <c r="G47" s="122"/>
      <c r="H47" s="123"/>
      <c r="I47" s="120">
        <f t="shared" si="18"/>
        <v>0</v>
      </c>
      <c r="J47" s="130">
        <f t="shared" si="19"/>
        <v>295.77</v>
      </c>
      <c r="K47" s="8">
        <v>922.06</v>
      </c>
      <c r="L47" s="8">
        <v>36816.29</v>
      </c>
      <c r="M47" s="131">
        <f t="shared" si="20"/>
        <v>272717.68619999994</v>
      </c>
      <c r="N47" s="126">
        <f t="shared" si="3"/>
        <v>-4967.6391000000876</v>
      </c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127">
        <f t="shared" si="21"/>
        <v>3161.7812999999824</v>
      </c>
      <c r="AI47" s="128">
        <f t="shared" si="5"/>
        <v>-8129.42040000007</v>
      </c>
      <c r="AJ47" s="129">
        <f t="shared" si="6"/>
        <v>0</v>
      </c>
    </row>
    <row r="48" spans="1:39" x14ac:dyDescent="0.25">
      <c r="A48" s="119">
        <f t="shared" si="22"/>
        <v>45308</v>
      </c>
      <c r="B48" s="109" t="s">
        <v>99</v>
      </c>
      <c r="C48" s="6" t="s">
        <v>7</v>
      </c>
      <c r="D48" s="7" t="s">
        <v>16</v>
      </c>
      <c r="E48" s="120"/>
      <c r="F48" s="130">
        <v>520.48</v>
      </c>
      <c r="G48" s="122"/>
      <c r="H48" s="123"/>
      <c r="I48" s="120">
        <f t="shared" si="18"/>
        <v>0</v>
      </c>
      <c r="J48" s="130">
        <f t="shared" si="19"/>
        <v>520.48</v>
      </c>
      <c r="K48" s="8">
        <v>922.06</v>
      </c>
      <c r="L48" s="8">
        <v>36816.29</v>
      </c>
      <c r="M48" s="131">
        <f t="shared" si="20"/>
        <v>479913.78879999998</v>
      </c>
      <c r="N48" s="126">
        <f t="shared" si="3"/>
        <v>5563.9311999999336</v>
      </c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127">
        <f t="shared" si="21"/>
        <v>5563.9311999999691</v>
      </c>
      <c r="AI48" s="128">
        <f t="shared" si="5"/>
        <v>-3.5470293369144201E-11</v>
      </c>
      <c r="AJ48" s="129">
        <f t="shared" si="6"/>
        <v>0</v>
      </c>
    </row>
    <row r="49" spans="1:39" s="142" customFormat="1" x14ac:dyDescent="0.25">
      <c r="A49" s="133">
        <f t="shared" si="22"/>
        <v>45308</v>
      </c>
      <c r="B49" s="110" t="s">
        <v>99</v>
      </c>
      <c r="C49" s="45" t="s">
        <v>8</v>
      </c>
      <c r="D49" s="46" t="s">
        <v>16</v>
      </c>
      <c r="E49" s="134"/>
      <c r="F49" s="135">
        <v>122.27</v>
      </c>
      <c r="G49" s="134"/>
      <c r="H49" s="135"/>
      <c r="I49" s="134">
        <f t="shared" si="18"/>
        <v>0</v>
      </c>
      <c r="J49" s="135">
        <f t="shared" si="19"/>
        <v>122.27</v>
      </c>
      <c r="K49" s="47">
        <v>922.06</v>
      </c>
      <c r="L49" s="47">
        <v>36816.29</v>
      </c>
      <c r="M49" s="136">
        <f t="shared" si="20"/>
        <v>112740.27619999999</v>
      </c>
      <c r="N49" s="137">
        <f t="shared" si="3"/>
        <v>2683.234999999986</v>
      </c>
      <c r="O49" s="138"/>
      <c r="P49" s="138"/>
      <c r="Q49" s="138"/>
      <c r="R49" s="138"/>
      <c r="S49" s="138"/>
      <c r="T49" s="138"/>
      <c r="U49" s="138"/>
      <c r="V49" s="138"/>
      <c r="W49" s="138"/>
      <c r="X49" s="138"/>
      <c r="Y49" s="138"/>
      <c r="Z49" s="138"/>
      <c r="AA49" s="138"/>
      <c r="AB49" s="138"/>
      <c r="AC49" s="138"/>
      <c r="AD49" s="138"/>
      <c r="AE49" s="138"/>
      <c r="AF49" s="138"/>
      <c r="AG49" s="138"/>
      <c r="AH49" s="139">
        <f t="shared" si="21"/>
        <v>1307.0662999999927</v>
      </c>
      <c r="AI49" s="140">
        <f t="shared" si="5"/>
        <v>1376.1686999999934</v>
      </c>
      <c r="AJ49" s="141">
        <f t="shared" si="6"/>
        <v>0</v>
      </c>
    </row>
    <row r="50" spans="1:39" x14ac:dyDescent="0.25">
      <c r="A50" s="119">
        <f>A49+1</f>
        <v>45309</v>
      </c>
      <c r="B50" s="109" t="s">
        <v>99</v>
      </c>
      <c r="C50" s="6" t="s">
        <v>5</v>
      </c>
      <c r="D50" s="7" t="s">
        <v>6</v>
      </c>
      <c r="E50" s="120">
        <v>2837198</v>
      </c>
      <c r="F50" s="130"/>
      <c r="G50" s="120"/>
      <c r="H50" s="130"/>
      <c r="I50" s="120">
        <f t="shared" ref="I50:I57" si="23">E50+G50</f>
        <v>2837198</v>
      </c>
      <c r="J50" s="130">
        <f t="shared" ref="J50:J57" si="24">F50+H50</f>
        <v>0</v>
      </c>
      <c r="K50" s="42">
        <v>926.77</v>
      </c>
      <c r="L50" s="42">
        <v>36810.33</v>
      </c>
      <c r="M50" s="131">
        <f t="shared" ref="M50:M57" si="25">I50+J50*K50</f>
        <v>2837198</v>
      </c>
      <c r="N50" s="126">
        <f t="shared" si="3"/>
        <v>-318424</v>
      </c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>
        <v>-318424</v>
      </c>
      <c r="AB50" s="32"/>
      <c r="AC50" s="32"/>
      <c r="AD50" s="32"/>
      <c r="AE50" s="32"/>
      <c r="AF50" s="32"/>
      <c r="AG50" s="32"/>
      <c r="AH50" s="127">
        <f t="shared" si="21"/>
        <v>0</v>
      </c>
      <c r="AI50" s="128">
        <f t="shared" si="5"/>
        <v>0</v>
      </c>
      <c r="AJ50" s="129">
        <f t="shared" si="6"/>
        <v>0</v>
      </c>
      <c r="AK50" t="s">
        <v>31</v>
      </c>
    </row>
    <row r="51" spans="1:39" x14ac:dyDescent="0.25">
      <c r="A51" s="119">
        <f>A50</f>
        <v>45309</v>
      </c>
      <c r="B51" s="109" t="s">
        <v>99</v>
      </c>
      <c r="C51" s="6" t="s">
        <v>5</v>
      </c>
      <c r="D51" s="7" t="s">
        <v>26</v>
      </c>
      <c r="E51" s="120">
        <v>9845633</v>
      </c>
      <c r="F51" s="130">
        <v>5992.61</v>
      </c>
      <c r="G51" s="122">
        <v>-10000000</v>
      </c>
      <c r="H51" s="123">
        <v>-8000</v>
      </c>
      <c r="I51" s="120">
        <f t="shared" si="23"/>
        <v>-154367</v>
      </c>
      <c r="J51" s="130">
        <f t="shared" si="24"/>
        <v>-2007.3900000000003</v>
      </c>
      <c r="K51" s="8">
        <v>926.77</v>
      </c>
      <c r="L51" s="8">
        <v>36810.33</v>
      </c>
      <c r="M51" s="131">
        <f t="shared" si="25"/>
        <v>-2014755.8303000003</v>
      </c>
      <c r="N51" s="126">
        <f t="shared" si="3"/>
        <v>205502.19310000003</v>
      </c>
      <c r="O51" s="32"/>
      <c r="P51" s="32"/>
      <c r="Q51" s="32"/>
      <c r="R51" s="32"/>
      <c r="S51" s="32"/>
      <c r="T51" s="32"/>
      <c r="U51" s="32"/>
      <c r="V51" s="32">
        <v>-62000</v>
      </c>
      <c r="W51" s="32">
        <f>-2980-1250</f>
        <v>-4230</v>
      </c>
      <c r="X51" s="32"/>
      <c r="Y51" s="32"/>
      <c r="Z51" s="32">
        <f>-5000-3622-6561-6021</f>
        <v>-21204</v>
      </c>
      <c r="AA51" s="32">
        <v>302544</v>
      </c>
      <c r="AB51" s="32"/>
      <c r="AC51" s="32"/>
      <c r="AD51" s="32"/>
      <c r="AE51" s="32"/>
      <c r="AF51" s="32"/>
      <c r="AG51" s="32"/>
      <c r="AH51" s="127">
        <f t="shared" si="21"/>
        <v>-9454.8069000000742</v>
      </c>
      <c r="AI51" s="128">
        <f t="shared" si="5"/>
        <v>0</v>
      </c>
      <c r="AJ51" s="129">
        <f t="shared" si="6"/>
        <v>-152.99999999988358</v>
      </c>
    </row>
    <row r="52" spans="1:39" x14ac:dyDescent="0.25">
      <c r="A52" s="119">
        <f t="shared" ref="A52:A57" si="26">A51</f>
        <v>45309</v>
      </c>
      <c r="B52" s="109" t="s">
        <v>99</v>
      </c>
      <c r="C52" s="6" t="s">
        <v>9</v>
      </c>
      <c r="D52" s="7" t="s">
        <v>12</v>
      </c>
      <c r="E52" s="120">
        <v>4862328</v>
      </c>
      <c r="F52" s="130"/>
      <c r="G52" s="122"/>
      <c r="H52" s="123"/>
      <c r="I52" s="120">
        <f t="shared" si="23"/>
        <v>4862328</v>
      </c>
      <c r="J52" s="130">
        <f t="shared" si="24"/>
        <v>0</v>
      </c>
      <c r="K52" s="8">
        <v>926.77</v>
      </c>
      <c r="L52" s="8">
        <v>36810.33</v>
      </c>
      <c r="M52" s="131">
        <f t="shared" si="25"/>
        <v>4862328</v>
      </c>
      <c r="N52" s="126">
        <f t="shared" si="3"/>
        <v>1060</v>
      </c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127">
        <f t="shared" si="21"/>
        <v>0</v>
      </c>
      <c r="AI52" s="128">
        <f t="shared" si="5"/>
        <v>1060</v>
      </c>
      <c r="AJ52" s="129">
        <f t="shared" si="6"/>
        <v>0</v>
      </c>
    </row>
    <row r="53" spans="1:39" x14ac:dyDescent="0.25">
      <c r="A53" s="119">
        <f t="shared" si="26"/>
        <v>45309</v>
      </c>
      <c r="B53" s="109" t="s">
        <v>99</v>
      </c>
      <c r="C53" s="6" t="s">
        <v>9</v>
      </c>
      <c r="D53" s="7" t="s">
        <v>15</v>
      </c>
      <c r="E53" s="120">
        <v>439498</v>
      </c>
      <c r="F53" s="130"/>
      <c r="G53" s="122"/>
      <c r="H53" s="123"/>
      <c r="I53" s="120">
        <f t="shared" si="23"/>
        <v>439498</v>
      </c>
      <c r="J53" s="130">
        <f t="shared" si="24"/>
        <v>0</v>
      </c>
      <c r="K53" s="8">
        <v>926.77</v>
      </c>
      <c r="L53" s="8">
        <v>36810.33</v>
      </c>
      <c r="M53" s="131">
        <f t="shared" si="25"/>
        <v>439498</v>
      </c>
      <c r="N53" s="126">
        <f t="shared" si="3"/>
        <v>1344</v>
      </c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127">
        <f t="shared" si="21"/>
        <v>0</v>
      </c>
      <c r="AI53" s="128">
        <f t="shared" si="5"/>
        <v>1344</v>
      </c>
      <c r="AJ53" s="129">
        <f t="shared" si="6"/>
        <v>0</v>
      </c>
      <c r="AM53" s="119"/>
    </row>
    <row r="54" spans="1:39" x14ac:dyDescent="0.25">
      <c r="A54" s="119">
        <f t="shared" si="26"/>
        <v>45309</v>
      </c>
      <c r="B54" s="109" t="s">
        <v>99</v>
      </c>
      <c r="C54" s="6" t="s">
        <v>9</v>
      </c>
      <c r="D54" s="7" t="s">
        <v>11</v>
      </c>
      <c r="E54" s="120">
        <v>212896</v>
      </c>
      <c r="F54" s="130"/>
      <c r="G54" s="122"/>
      <c r="H54" s="123"/>
      <c r="I54" s="120">
        <f t="shared" si="23"/>
        <v>212896</v>
      </c>
      <c r="J54" s="130">
        <f t="shared" si="24"/>
        <v>0</v>
      </c>
      <c r="K54" s="8">
        <v>926.77</v>
      </c>
      <c r="L54" s="8">
        <v>36810.33</v>
      </c>
      <c r="M54" s="131">
        <f t="shared" si="25"/>
        <v>212896</v>
      </c>
      <c r="N54" s="126">
        <f t="shared" si="3"/>
        <v>566</v>
      </c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32"/>
      <c r="AG54" s="32"/>
      <c r="AH54" s="127">
        <f t="shared" si="21"/>
        <v>0</v>
      </c>
      <c r="AI54" s="128">
        <f t="shared" si="5"/>
        <v>566</v>
      </c>
      <c r="AJ54" s="129">
        <f t="shared" si="6"/>
        <v>0</v>
      </c>
    </row>
    <row r="55" spans="1:39" x14ac:dyDescent="0.25">
      <c r="A55" s="119">
        <f t="shared" si="26"/>
        <v>45309</v>
      </c>
      <c r="B55" s="109" t="s">
        <v>99</v>
      </c>
      <c r="C55" s="6" t="s">
        <v>9</v>
      </c>
      <c r="D55" s="7" t="s">
        <v>10</v>
      </c>
      <c r="E55" s="120"/>
      <c r="F55" s="130">
        <f>200+98.2</f>
        <v>298.2</v>
      </c>
      <c r="G55" s="122"/>
      <c r="H55" s="123"/>
      <c r="I55" s="120">
        <f t="shared" si="23"/>
        <v>0</v>
      </c>
      <c r="J55" s="130">
        <f t="shared" si="24"/>
        <v>298.2</v>
      </c>
      <c r="K55" s="8">
        <v>926.77</v>
      </c>
      <c r="L55" s="8">
        <v>36810.33</v>
      </c>
      <c r="M55" s="131">
        <f t="shared" si="25"/>
        <v>276362.81400000001</v>
      </c>
      <c r="N55" s="126">
        <f t="shared" si="3"/>
        <v>3645.1278000000748</v>
      </c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127">
        <f t="shared" si="21"/>
        <v>1404.5220000000108</v>
      </c>
      <c r="AI55" s="128">
        <f t="shared" si="5"/>
        <v>2240.6058000000639</v>
      </c>
      <c r="AJ55" s="129">
        <f t="shared" si="6"/>
        <v>0</v>
      </c>
    </row>
    <row r="56" spans="1:39" x14ac:dyDescent="0.25">
      <c r="A56" s="119">
        <f t="shared" si="26"/>
        <v>45309</v>
      </c>
      <c r="B56" s="109" t="s">
        <v>99</v>
      </c>
      <c r="C56" s="6" t="s">
        <v>7</v>
      </c>
      <c r="D56" s="7" t="s">
        <v>16</v>
      </c>
      <c r="E56" s="120"/>
      <c r="F56" s="130">
        <v>520.48</v>
      </c>
      <c r="G56" s="122"/>
      <c r="H56" s="123"/>
      <c r="I56" s="120">
        <f t="shared" si="23"/>
        <v>0</v>
      </c>
      <c r="J56" s="130">
        <f t="shared" si="24"/>
        <v>520.48</v>
      </c>
      <c r="K56" s="8">
        <v>926.77</v>
      </c>
      <c r="L56" s="8">
        <v>36810.33</v>
      </c>
      <c r="M56" s="131">
        <f t="shared" si="25"/>
        <v>482365.24959999998</v>
      </c>
      <c r="N56" s="126">
        <f t="shared" si="3"/>
        <v>2451.4608000000007</v>
      </c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32"/>
      <c r="AG56" s="32"/>
      <c r="AH56" s="127">
        <f t="shared" si="21"/>
        <v>2451.4608000000189</v>
      </c>
      <c r="AI56" s="128">
        <f t="shared" si="5"/>
        <v>-1.8189894035458565E-11</v>
      </c>
      <c r="AJ56" s="129">
        <f t="shared" si="6"/>
        <v>0</v>
      </c>
    </row>
    <row r="57" spans="1:39" s="142" customFormat="1" x14ac:dyDescent="0.25">
      <c r="A57" s="133">
        <f t="shared" si="26"/>
        <v>45309</v>
      </c>
      <c r="B57" s="110" t="s">
        <v>99</v>
      </c>
      <c r="C57" s="45" t="s">
        <v>8</v>
      </c>
      <c r="D57" s="46" t="s">
        <v>16</v>
      </c>
      <c r="E57" s="134"/>
      <c r="F57" s="135">
        <v>113.79</v>
      </c>
      <c r="G57" s="134"/>
      <c r="H57" s="135"/>
      <c r="I57" s="134">
        <f t="shared" si="23"/>
        <v>0</v>
      </c>
      <c r="J57" s="135">
        <f t="shared" si="24"/>
        <v>113.79</v>
      </c>
      <c r="K57" s="47">
        <v>926.77</v>
      </c>
      <c r="L57" s="47">
        <v>36810.33</v>
      </c>
      <c r="M57" s="136">
        <f t="shared" si="25"/>
        <v>105457.15830000001</v>
      </c>
      <c r="N57" s="137">
        <f t="shared" si="3"/>
        <v>-7283.1178999999829</v>
      </c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9">
        <f t="shared" si="21"/>
        <v>535.95090000000414</v>
      </c>
      <c r="AI57" s="140">
        <f t="shared" si="5"/>
        <v>-7819.0687999999873</v>
      </c>
      <c r="AJ57" s="141">
        <f t="shared" si="6"/>
        <v>0</v>
      </c>
    </row>
    <row r="58" spans="1:39" x14ac:dyDescent="0.25">
      <c r="A58" s="119">
        <f>A57+3</f>
        <v>45312</v>
      </c>
      <c r="B58" s="109" t="s">
        <v>99</v>
      </c>
      <c r="C58" s="6" t="s">
        <v>5</v>
      </c>
      <c r="D58" s="7" t="s">
        <v>6</v>
      </c>
      <c r="E58" s="120">
        <v>2699035</v>
      </c>
      <c r="F58" s="130"/>
      <c r="G58" s="120"/>
      <c r="H58" s="130"/>
      <c r="I58" s="120">
        <f t="shared" ref="I58:I65" si="27">E58+G58</f>
        <v>2699035</v>
      </c>
      <c r="J58" s="130">
        <f t="shared" ref="J58:J65" si="28">F58+H58</f>
        <v>0</v>
      </c>
      <c r="K58" s="42">
        <v>918.62</v>
      </c>
      <c r="L58" s="42">
        <v>36792.480000000003</v>
      </c>
      <c r="M58" s="131">
        <f t="shared" ref="M58:M65" si="29">I58+J58*K58</f>
        <v>2699035</v>
      </c>
      <c r="N58" s="126">
        <f t="shared" si="3"/>
        <v>-138163</v>
      </c>
      <c r="O58" s="32"/>
      <c r="P58" s="32"/>
      <c r="Q58" s="32">
        <v>-138163</v>
      </c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2"/>
      <c r="AF58" s="32"/>
      <c r="AG58" s="32"/>
      <c r="AH58" s="127">
        <f t="shared" si="21"/>
        <v>0</v>
      </c>
      <c r="AI58" s="128">
        <f t="shared" si="5"/>
        <v>0</v>
      </c>
      <c r="AJ58" s="129">
        <f t="shared" si="6"/>
        <v>0</v>
      </c>
    </row>
    <row r="59" spans="1:39" x14ac:dyDescent="0.25">
      <c r="A59" s="119">
        <f>A58</f>
        <v>45312</v>
      </c>
      <c r="B59" s="109" t="s">
        <v>99</v>
      </c>
      <c r="C59" s="6" t="s">
        <v>5</v>
      </c>
      <c r="D59" s="7" t="s">
        <v>26</v>
      </c>
      <c r="E59" s="120">
        <v>9808833</v>
      </c>
      <c r="F59" s="130">
        <v>5992.61</v>
      </c>
      <c r="G59" s="122">
        <v>-10000000</v>
      </c>
      <c r="H59" s="123">
        <v>-8000</v>
      </c>
      <c r="I59" s="120">
        <f t="shared" si="27"/>
        <v>-191167</v>
      </c>
      <c r="J59" s="130">
        <f t="shared" si="28"/>
        <v>-2007.3900000000003</v>
      </c>
      <c r="K59" s="8">
        <v>918.62</v>
      </c>
      <c r="L59" s="8">
        <v>36792.480000000003</v>
      </c>
      <c r="M59" s="131">
        <f t="shared" si="29"/>
        <v>-2035195.6018000003</v>
      </c>
      <c r="N59" s="126">
        <f t="shared" si="3"/>
        <v>-20439.771500000032</v>
      </c>
      <c r="O59" s="32"/>
      <c r="P59" s="32"/>
      <c r="Q59" s="32">
        <v>138163</v>
      </c>
      <c r="R59" s="32"/>
      <c r="S59" s="32">
        <f>-23205-15414-27096</f>
        <v>-65715</v>
      </c>
      <c r="T59" s="32">
        <v>-12700</v>
      </c>
      <c r="U59" s="32">
        <f>-35990-21500</f>
        <v>-57490</v>
      </c>
      <c r="V59" s="32">
        <f>-15580</f>
        <v>-15580</v>
      </c>
      <c r="W59" s="32">
        <f>-6083-3000</f>
        <v>-9083</v>
      </c>
      <c r="X59" s="32"/>
      <c r="Y59" s="32"/>
      <c r="Z59" s="32">
        <f>-5747-8368</f>
        <v>-14115</v>
      </c>
      <c r="AA59" s="32"/>
      <c r="AB59" s="32"/>
      <c r="AC59" s="32"/>
      <c r="AD59" s="32"/>
      <c r="AE59" s="32"/>
      <c r="AF59" s="32"/>
      <c r="AG59" s="32"/>
      <c r="AH59" s="127">
        <f t="shared" si="21"/>
        <v>16360.228499999957</v>
      </c>
      <c r="AI59" s="128">
        <f t="shared" si="5"/>
        <v>0</v>
      </c>
      <c r="AJ59" s="129">
        <f t="shared" si="6"/>
        <v>-279.99999999998909</v>
      </c>
    </row>
    <row r="60" spans="1:39" x14ac:dyDescent="0.25">
      <c r="A60" s="119">
        <f t="shared" ref="A60:A65" si="30">A59</f>
        <v>45312</v>
      </c>
      <c r="B60" s="109" t="s">
        <v>99</v>
      </c>
      <c r="C60" s="6" t="s">
        <v>9</v>
      </c>
      <c r="D60" s="7" t="s">
        <v>12</v>
      </c>
      <c r="E60" s="120">
        <v>4863246</v>
      </c>
      <c r="F60" s="130"/>
      <c r="G60" s="122"/>
      <c r="H60" s="123"/>
      <c r="I60" s="120">
        <f t="shared" si="27"/>
        <v>4863246</v>
      </c>
      <c r="J60" s="130">
        <f t="shared" si="28"/>
        <v>0</v>
      </c>
      <c r="K60" s="8">
        <v>918.62</v>
      </c>
      <c r="L60" s="8">
        <v>36792.480000000003</v>
      </c>
      <c r="M60" s="131">
        <f t="shared" si="29"/>
        <v>4863246</v>
      </c>
      <c r="N60" s="126">
        <f t="shared" si="3"/>
        <v>918</v>
      </c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127">
        <f t="shared" si="21"/>
        <v>0</v>
      </c>
      <c r="AI60" s="128">
        <f t="shared" si="5"/>
        <v>918</v>
      </c>
      <c r="AJ60" s="129">
        <f t="shared" si="6"/>
        <v>0</v>
      </c>
    </row>
    <row r="61" spans="1:39" x14ac:dyDescent="0.25">
      <c r="A61" s="119">
        <f t="shared" si="30"/>
        <v>45312</v>
      </c>
      <c r="B61" s="109" t="s">
        <v>99</v>
      </c>
      <c r="C61" s="6" t="s">
        <v>9</v>
      </c>
      <c r="D61" s="7" t="s">
        <v>15</v>
      </c>
      <c r="E61" s="120">
        <v>441417</v>
      </c>
      <c r="F61" s="130"/>
      <c r="G61" s="122"/>
      <c r="H61" s="123"/>
      <c r="I61" s="120">
        <f t="shared" si="27"/>
        <v>441417</v>
      </c>
      <c r="J61" s="130">
        <f t="shared" si="28"/>
        <v>0</v>
      </c>
      <c r="K61" s="8">
        <v>918.62</v>
      </c>
      <c r="L61" s="8">
        <v>36792.480000000003</v>
      </c>
      <c r="M61" s="131">
        <f t="shared" si="29"/>
        <v>441417</v>
      </c>
      <c r="N61" s="126">
        <f t="shared" si="3"/>
        <v>1919</v>
      </c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127">
        <f t="shared" si="21"/>
        <v>0</v>
      </c>
      <c r="AI61" s="128">
        <f t="shared" si="5"/>
        <v>1919</v>
      </c>
      <c r="AJ61" s="129">
        <f t="shared" si="6"/>
        <v>0</v>
      </c>
      <c r="AM61" s="119"/>
    </row>
    <row r="62" spans="1:39" x14ac:dyDescent="0.25">
      <c r="A62" s="119">
        <f t="shared" si="30"/>
        <v>45312</v>
      </c>
      <c r="B62" s="109" t="s">
        <v>99</v>
      </c>
      <c r="C62" s="6" t="s">
        <v>9</v>
      </c>
      <c r="D62" s="7" t="s">
        <v>11</v>
      </c>
      <c r="E62" s="120">
        <v>213659</v>
      </c>
      <c r="F62" s="130"/>
      <c r="G62" s="122"/>
      <c r="H62" s="123"/>
      <c r="I62" s="120">
        <f t="shared" si="27"/>
        <v>213659</v>
      </c>
      <c r="J62" s="130">
        <f t="shared" si="28"/>
        <v>0</v>
      </c>
      <c r="K62" s="8">
        <v>918.62</v>
      </c>
      <c r="L62" s="8">
        <v>36792.480000000003</v>
      </c>
      <c r="M62" s="131">
        <f t="shared" si="29"/>
        <v>213659</v>
      </c>
      <c r="N62" s="126">
        <f t="shared" si="3"/>
        <v>763</v>
      </c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127">
        <f t="shared" si="21"/>
        <v>0</v>
      </c>
      <c r="AI62" s="128">
        <f t="shared" si="5"/>
        <v>763</v>
      </c>
      <c r="AJ62" s="129">
        <f t="shared" si="6"/>
        <v>0</v>
      </c>
    </row>
    <row r="63" spans="1:39" x14ac:dyDescent="0.25">
      <c r="A63" s="119">
        <f t="shared" si="30"/>
        <v>45312</v>
      </c>
      <c r="B63" s="109" t="s">
        <v>99</v>
      </c>
      <c r="C63" s="6" t="s">
        <v>9</v>
      </c>
      <c r="D63" s="7" t="s">
        <v>10</v>
      </c>
      <c r="E63" s="120"/>
      <c r="F63" s="130">
        <v>300.5</v>
      </c>
      <c r="G63" s="122"/>
      <c r="H63" s="123"/>
      <c r="I63" s="120">
        <f t="shared" si="27"/>
        <v>0</v>
      </c>
      <c r="J63" s="130">
        <f t="shared" si="28"/>
        <v>300.5</v>
      </c>
      <c r="K63" s="8">
        <v>918.62</v>
      </c>
      <c r="L63" s="8">
        <v>36792.480000000003</v>
      </c>
      <c r="M63" s="131">
        <f t="shared" si="29"/>
        <v>276045.31</v>
      </c>
      <c r="N63" s="126">
        <f t="shared" si="3"/>
        <v>-317.50400000001537</v>
      </c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127">
        <f t="shared" si="21"/>
        <v>-2449.074999999993</v>
      </c>
      <c r="AI63" s="128">
        <f t="shared" si="5"/>
        <v>2131.5709999999776</v>
      </c>
      <c r="AJ63" s="129">
        <f t="shared" si="6"/>
        <v>0</v>
      </c>
    </row>
    <row r="64" spans="1:39" x14ac:dyDescent="0.25">
      <c r="A64" s="119">
        <f t="shared" si="30"/>
        <v>45312</v>
      </c>
      <c r="B64" s="109" t="s">
        <v>99</v>
      </c>
      <c r="C64" s="6" t="s">
        <v>7</v>
      </c>
      <c r="D64" s="7" t="s">
        <v>16</v>
      </c>
      <c r="E64" s="120"/>
      <c r="F64" s="130">
        <v>520.48</v>
      </c>
      <c r="G64" s="122"/>
      <c r="H64" s="123"/>
      <c r="I64" s="120">
        <f t="shared" si="27"/>
        <v>0</v>
      </c>
      <c r="J64" s="130">
        <f t="shared" si="28"/>
        <v>520.48</v>
      </c>
      <c r="K64" s="8">
        <v>918.62</v>
      </c>
      <c r="L64" s="8">
        <v>36792.480000000003</v>
      </c>
      <c r="M64" s="131">
        <f t="shared" si="29"/>
        <v>478123.33760000003</v>
      </c>
      <c r="N64" s="126">
        <f t="shared" si="3"/>
        <v>-4241.911999999953</v>
      </c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2"/>
      <c r="AF64" s="32"/>
      <c r="AG64" s="32"/>
      <c r="AH64" s="127">
        <f t="shared" si="21"/>
        <v>-4241.9119999999884</v>
      </c>
      <c r="AI64" s="128">
        <f t="shared" si="5"/>
        <v>3.5470293369144201E-11</v>
      </c>
      <c r="AJ64" s="129">
        <f t="shared" si="6"/>
        <v>0</v>
      </c>
    </row>
    <row r="65" spans="1:39" s="142" customFormat="1" x14ac:dyDescent="0.25">
      <c r="A65" s="133">
        <f t="shared" si="30"/>
        <v>45312</v>
      </c>
      <c r="B65" s="110" t="s">
        <v>99</v>
      </c>
      <c r="C65" s="45" t="s">
        <v>8</v>
      </c>
      <c r="D65" s="46" t="s">
        <v>16</v>
      </c>
      <c r="E65" s="134"/>
      <c r="F65" s="135">
        <v>113.79</v>
      </c>
      <c r="G65" s="134"/>
      <c r="H65" s="135"/>
      <c r="I65" s="134">
        <f t="shared" si="27"/>
        <v>0</v>
      </c>
      <c r="J65" s="135">
        <f t="shared" si="28"/>
        <v>113.79</v>
      </c>
      <c r="K65" s="47">
        <v>918.62</v>
      </c>
      <c r="L65" s="47">
        <v>36792.480000000003</v>
      </c>
      <c r="M65" s="136">
        <f t="shared" si="29"/>
        <v>104529.76980000001</v>
      </c>
      <c r="N65" s="137">
        <f t="shared" si="3"/>
        <v>-927.38850000000093</v>
      </c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9">
        <f t="shared" si="21"/>
        <v>-927.38849999999741</v>
      </c>
      <c r="AI65" s="140">
        <f t="shared" si="5"/>
        <v>-3.5242919693700969E-12</v>
      </c>
      <c r="AJ65" s="141">
        <f t="shared" si="6"/>
        <v>0</v>
      </c>
    </row>
    <row r="66" spans="1:39" x14ac:dyDescent="0.25">
      <c r="A66" s="119">
        <f>A65+3</f>
        <v>45315</v>
      </c>
      <c r="B66" s="109" t="s">
        <v>99</v>
      </c>
      <c r="C66" s="6" t="s">
        <v>5</v>
      </c>
      <c r="D66" s="7" t="s">
        <v>6</v>
      </c>
      <c r="E66" s="120">
        <v>3054766</v>
      </c>
      <c r="F66" s="130"/>
      <c r="G66" s="120"/>
      <c r="H66" s="130"/>
      <c r="I66" s="120">
        <f t="shared" ref="I66:I73" si="31">E66+G66</f>
        <v>3054766</v>
      </c>
      <c r="J66" s="130">
        <f t="shared" ref="J66:J73" si="32">F66+H66</f>
        <v>0</v>
      </c>
      <c r="K66" s="42">
        <v>908.87</v>
      </c>
      <c r="L66" s="42">
        <v>36774.639999999999</v>
      </c>
      <c r="M66" s="131">
        <f t="shared" ref="M66:M73" si="33">I66+J66*K66</f>
        <v>3054766</v>
      </c>
      <c r="N66" s="126">
        <f t="shared" si="3"/>
        <v>355731</v>
      </c>
      <c r="O66" s="32">
        <f>2412943-P66</f>
        <v>1841276.3333333335</v>
      </c>
      <c r="P66" s="32">
        <v>571666.66666666651</v>
      </c>
      <c r="Q66" s="32">
        <f>(-203064-1854148)+0</f>
        <v>-2057212</v>
      </c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127">
        <f t="shared" si="21"/>
        <v>0</v>
      </c>
      <c r="AI66" s="128">
        <f t="shared" si="5"/>
        <v>0</v>
      </c>
      <c r="AJ66" s="129">
        <f t="shared" si="6"/>
        <v>0</v>
      </c>
    </row>
    <row r="67" spans="1:39" x14ac:dyDescent="0.25">
      <c r="A67" s="119">
        <f>A66</f>
        <v>45315</v>
      </c>
      <c r="B67" s="109" t="s">
        <v>99</v>
      </c>
      <c r="C67" s="6" t="s">
        <v>5</v>
      </c>
      <c r="D67" s="7" t="s">
        <v>26</v>
      </c>
      <c r="E67" s="120">
        <v>9842723</v>
      </c>
      <c r="F67" s="130">
        <v>8000</v>
      </c>
      <c r="G67" s="122">
        <v>-10000000</v>
      </c>
      <c r="H67" s="123">
        <v>-8000</v>
      </c>
      <c r="I67" s="120">
        <f t="shared" si="31"/>
        <v>-157277</v>
      </c>
      <c r="J67" s="130">
        <f t="shared" si="32"/>
        <v>0</v>
      </c>
      <c r="K67" s="8">
        <v>908.87</v>
      </c>
      <c r="L67" s="8">
        <v>36774.639999999999</v>
      </c>
      <c r="M67" s="131">
        <f t="shared" si="33"/>
        <v>-157277</v>
      </c>
      <c r="N67" s="126">
        <f t="shared" si="3"/>
        <v>1877918.6018000003</v>
      </c>
      <c r="O67" s="32"/>
      <c r="P67" s="32"/>
      <c r="Q67" s="32">
        <f>(-Q66)+0</f>
        <v>2057212</v>
      </c>
      <c r="R67" s="32"/>
      <c r="S67" s="32"/>
      <c r="T67" s="32">
        <v>-121207</v>
      </c>
      <c r="U67" s="32"/>
      <c r="V67" s="32">
        <v>-7180</v>
      </c>
      <c r="W67" s="32">
        <v>-12390</v>
      </c>
      <c r="X67" s="32"/>
      <c r="Y67" s="32"/>
      <c r="Z67" s="32">
        <f>-5747-11156-11085-8924-4511</f>
        <v>-41423</v>
      </c>
      <c r="AA67" s="32"/>
      <c r="AB67" s="32"/>
      <c r="AC67" s="32"/>
      <c r="AD67" s="32"/>
      <c r="AE67" s="32"/>
      <c r="AF67" s="32"/>
      <c r="AG67" s="32"/>
      <c r="AH67" s="127">
        <f t="shared" si="21"/>
        <v>0</v>
      </c>
      <c r="AI67" s="128">
        <f t="shared" si="5"/>
        <v>0</v>
      </c>
      <c r="AJ67" s="129">
        <f t="shared" si="6"/>
        <v>2906.601800000295</v>
      </c>
    </row>
    <row r="68" spans="1:39" x14ac:dyDescent="0.25">
      <c r="A68" s="119">
        <f t="shared" ref="A68:A73" si="34">A67</f>
        <v>45315</v>
      </c>
      <c r="B68" s="109" t="s">
        <v>99</v>
      </c>
      <c r="C68" s="6" t="s">
        <v>9</v>
      </c>
      <c r="D68" s="7" t="s">
        <v>12</v>
      </c>
      <c r="E68" s="120">
        <v>4868643</v>
      </c>
      <c r="F68" s="130"/>
      <c r="G68" s="122"/>
      <c r="H68" s="123"/>
      <c r="I68" s="120">
        <f t="shared" si="31"/>
        <v>4868643</v>
      </c>
      <c r="J68" s="130">
        <f t="shared" si="32"/>
        <v>0</v>
      </c>
      <c r="K68" s="8">
        <v>908.87</v>
      </c>
      <c r="L68" s="8">
        <v>36774.639999999999</v>
      </c>
      <c r="M68" s="131">
        <f t="shared" si="33"/>
        <v>4868643</v>
      </c>
      <c r="N68" s="126">
        <f t="shared" si="3"/>
        <v>5397</v>
      </c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2"/>
      <c r="AF68" s="32"/>
      <c r="AG68" s="32"/>
      <c r="AH68" s="127">
        <f t="shared" si="21"/>
        <v>0</v>
      </c>
      <c r="AI68" s="128">
        <f t="shared" si="5"/>
        <v>5397</v>
      </c>
      <c r="AJ68" s="129">
        <f t="shared" si="6"/>
        <v>0</v>
      </c>
    </row>
    <row r="69" spans="1:39" x14ac:dyDescent="0.25">
      <c r="A69" s="119">
        <f t="shared" si="34"/>
        <v>45315</v>
      </c>
      <c r="B69" s="109" t="s">
        <v>99</v>
      </c>
      <c r="C69" s="6" t="s">
        <v>9</v>
      </c>
      <c r="D69" s="7" t="s">
        <v>15</v>
      </c>
      <c r="E69" s="120">
        <v>444695</v>
      </c>
      <c r="F69" s="130"/>
      <c r="G69" s="122"/>
      <c r="H69" s="123"/>
      <c r="I69" s="120">
        <f t="shared" si="31"/>
        <v>444695</v>
      </c>
      <c r="J69" s="130">
        <f t="shared" si="32"/>
        <v>0</v>
      </c>
      <c r="K69" s="8">
        <v>908.87</v>
      </c>
      <c r="L69" s="8">
        <v>36774.639999999999</v>
      </c>
      <c r="M69" s="131">
        <f t="shared" si="33"/>
        <v>444695</v>
      </c>
      <c r="N69" s="126">
        <f t="shared" si="3"/>
        <v>3278</v>
      </c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2"/>
      <c r="AF69" s="32"/>
      <c r="AG69" s="32"/>
      <c r="AH69" s="127">
        <f t="shared" si="21"/>
        <v>0</v>
      </c>
      <c r="AI69" s="128">
        <f t="shared" si="5"/>
        <v>3278</v>
      </c>
      <c r="AJ69" s="129">
        <f t="shared" si="6"/>
        <v>0</v>
      </c>
      <c r="AM69" s="119"/>
    </row>
    <row r="70" spans="1:39" x14ac:dyDescent="0.25">
      <c r="A70" s="119">
        <f t="shared" si="34"/>
        <v>45315</v>
      </c>
      <c r="B70" s="109" t="s">
        <v>99</v>
      </c>
      <c r="C70" s="6" t="s">
        <v>9</v>
      </c>
      <c r="D70" s="7" t="s">
        <v>11</v>
      </c>
      <c r="E70" s="120">
        <v>214614</v>
      </c>
      <c r="F70" s="130"/>
      <c r="G70" s="122"/>
      <c r="H70" s="123"/>
      <c r="I70" s="120">
        <f t="shared" si="31"/>
        <v>214614</v>
      </c>
      <c r="J70" s="130">
        <f t="shared" si="32"/>
        <v>0</v>
      </c>
      <c r="K70" s="8">
        <v>908.87</v>
      </c>
      <c r="L70" s="8">
        <v>36774.639999999999</v>
      </c>
      <c r="M70" s="131">
        <f t="shared" si="33"/>
        <v>214614</v>
      </c>
      <c r="N70" s="126">
        <f t="shared" si="3"/>
        <v>955</v>
      </c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2"/>
      <c r="AF70" s="32"/>
      <c r="AG70" s="32"/>
      <c r="AH70" s="127">
        <f t="shared" si="21"/>
        <v>0</v>
      </c>
      <c r="AI70" s="128">
        <f t="shared" si="5"/>
        <v>955</v>
      </c>
      <c r="AJ70" s="129">
        <f t="shared" si="6"/>
        <v>0</v>
      </c>
    </row>
    <row r="71" spans="1:39" x14ac:dyDescent="0.25">
      <c r="A71" s="119">
        <f t="shared" si="34"/>
        <v>45315</v>
      </c>
      <c r="B71" s="109" t="s">
        <v>99</v>
      </c>
      <c r="C71" s="6" t="s">
        <v>9</v>
      </c>
      <c r="D71" s="7" t="s">
        <v>10</v>
      </c>
      <c r="E71" s="120"/>
      <c r="F71" s="130">
        <f>203.42+102.06</f>
        <v>305.48</v>
      </c>
      <c r="G71" s="122"/>
      <c r="H71" s="123"/>
      <c r="I71" s="120">
        <f t="shared" si="31"/>
        <v>0</v>
      </c>
      <c r="J71" s="130">
        <f t="shared" si="32"/>
        <v>305.48</v>
      </c>
      <c r="K71" s="8">
        <v>908.87</v>
      </c>
      <c r="L71" s="8">
        <v>36774.639999999999</v>
      </c>
      <c r="M71" s="131">
        <f t="shared" si="33"/>
        <v>277641.60760000005</v>
      </c>
      <c r="N71" s="126">
        <f t="shared" si="3"/>
        <v>1596.297600000049</v>
      </c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2"/>
      <c r="AF71" s="32"/>
      <c r="AG71" s="32"/>
      <c r="AH71" s="127">
        <f t="shared" si="21"/>
        <v>-2978.4300000000003</v>
      </c>
      <c r="AI71" s="128">
        <f t="shared" si="5"/>
        <v>4574.7276000000493</v>
      </c>
      <c r="AJ71" s="129">
        <f t="shared" si="6"/>
        <v>0</v>
      </c>
    </row>
    <row r="72" spans="1:39" x14ac:dyDescent="0.25">
      <c r="A72" s="119">
        <f t="shared" si="34"/>
        <v>45315</v>
      </c>
      <c r="B72" s="109" t="s">
        <v>99</v>
      </c>
      <c r="C72" s="6" t="s">
        <v>7</v>
      </c>
      <c r="D72" s="7" t="s">
        <v>16</v>
      </c>
      <c r="E72" s="120"/>
      <c r="F72" s="130">
        <v>520.48</v>
      </c>
      <c r="G72" s="122"/>
      <c r="H72" s="123"/>
      <c r="I72" s="120">
        <f t="shared" si="31"/>
        <v>0</v>
      </c>
      <c r="J72" s="130">
        <f t="shared" si="32"/>
        <v>520.48</v>
      </c>
      <c r="K72" s="8">
        <v>908.87</v>
      </c>
      <c r="L72" s="8">
        <v>36774.639999999999</v>
      </c>
      <c r="M72" s="131">
        <f t="shared" si="33"/>
        <v>473048.65760000004</v>
      </c>
      <c r="N72" s="126">
        <f t="shared" si="3"/>
        <v>-5074.679999999993</v>
      </c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2"/>
      <c r="AF72" s="32"/>
      <c r="AG72" s="32"/>
      <c r="AH72" s="127">
        <f t="shared" si="21"/>
        <v>-5074.68</v>
      </c>
      <c r="AI72" s="128">
        <f t="shared" si="5"/>
        <v>7.2759576141834259E-12</v>
      </c>
      <c r="AJ72" s="129">
        <f t="shared" si="6"/>
        <v>0</v>
      </c>
    </row>
    <row r="73" spans="1:39" s="142" customFormat="1" x14ac:dyDescent="0.25">
      <c r="A73" s="133">
        <f t="shared" si="34"/>
        <v>45315</v>
      </c>
      <c r="B73" s="110" t="s">
        <v>99</v>
      </c>
      <c r="C73" s="45" t="s">
        <v>8</v>
      </c>
      <c r="D73" s="46" t="s">
        <v>16</v>
      </c>
      <c r="E73" s="134"/>
      <c r="F73" s="135">
        <v>100.34</v>
      </c>
      <c r="G73" s="134"/>
      <c r="H73" s="135"/>
      <c r="I73" s="134">
        <f t="shared" si="31"/>
        <v>0</v>
      </c>
      <c r="J73" s="135">
        <f t="shared" si="32"/>
        <v>100.34</v>
      </c>
      <c r="K73" s="47">
        <v>908.87</v>
      </c>
      <c r="L73" s="47">
        <v>36774.639999999999</v>
      </c>
      <c r="M73" s="136">
        <f t="shared" si="33"/>
        <v>91196.015800000008</v>
      </c>
      <c r="N73" s="137">
        <f t="shared" si="3"/>
        <v>-13333.754000000001</v>
      </c>
      <c r="O73" s="138"/>
      <c r="P73" s="138"/>
      <c r="Q73" s="138"/>
      <c r="R73" s="138"/>
      <c r="S73" s="138"/>
      <c r="T73" s="138"/>
      <c r="U73" s="138"/>
      <c r="V73" s="138"/>
      <c r="W73" s="138"/>
      <c r="X73" s="138"/>
      <c r="Y73" s="138"/>
      <c r="Z73" s="138"/>
      <c r="AA73" s="138"/>
      <c r="AB73" s="138"/>
      <c r="AC73" s="138"/>
      <c r="AD73" s="138"/>
      <c r="AE73" s="138"/>
      <c r="AF73" s="138"/>
      <c r="AG73" s="138"/>
      <c r="AH73" s="139">
        <f t="shared" si="21"/>
        <v>-978.31500000000005</v>
      </c>
      <c r="AI73" s="140">
        <f t="shared" si="5"/>
        <v>-12355.439</v>
      </c>
      <c r="AJ73" s="141">
        <f t="shared" si="6"/>
        <v>0</v>
      </c>
    </row>
    <row r="74" spans="1:39" x14ac:dyDescent="0.25">
      <c r="A74" s="119">
        <f>A73+1</f>
        <v>45316</v>
      </c>
      <c r="B74" s="109" t="s">
        <v>99</v>
      </c>
      <c r="C74" s="6" t="s">
        <v>5</v>
      </c>
      <c r="D74" s="7" t="s">
        <v>6</v>
      </c>
      <c r="E74" s="120">
        <v>3008886</v>
      </c>
      <c r="F74" s="130"/>
      <c r="G74" s="120"/>
      <c r="H74" s="130"/>
      <c r="I74" s="120">
        <f t="shared" ref="I74:I81" si="35">E74+G74</f>
        <v>3008886</v>
      </c>
      <c r="J74" s="130">
        <f t="shared" ref="J74:J81" si="36">F74+H74</f>
        <v>0</v>
      </c>
      <c r="K74" s="42">
        <v>908.51</v>
      </c>
      <c r="L74" s="42">
        <v>36768.69</v>
      </c>
      <c r="M74" s="131">
        <f t="shared" ref="M74:M81" si="37">I74+J74*K74</f>
        <v>3008886</v>
      </c>
      <c r="N74" s="126">
        <f t="shared" ref="N74:N137" si="38">M74-SUMIFS(Total,Cuenta,C74,Linea,D74,Fecha,INDEX(Fecha,MATCH(A74-1,Fecha,1)))</f>
        <v>-45880</v>
      </c>
      <c r="O74" s="32"/>
      <c r="P74" s="32"/>
      <c r="Q74" s="32">
        <v>-28890</v>
      </c>
      <c r="R74" s="32"/>
      <c r="S74" s="32"/>
      <c r="T74" s="32">
        <v>-12000</v>
      </c>
      <c r="U74" s="32"/>
      <c r="V74" s="32"/>
      <c r="W74" s="32"/>
      <c r="X74" s="32"/>
      <c r="Y74" s="32"/>
      <c r="Z74" s="32"/>
      <c r="AA74" s="32">
        <v>-5000</v>
      </c>
      <c r="AB74" s="32"/>
      <c r="AC74" s="32"/>
      <c r="AD74" s="32"/>
      <c r="AE74" s="32"/>
      <c r="AF74" s="32"/>
      <c r="AG74" s="32"/>
      <c r="AH74" s="127">
        <f t="shared" ref="AH74:AH105" si="39">J74*(K74-K66)</f>
        <v>0</v>
      </c>
      <c r="AI74" s="128">
        <f t="shared" ref="AI74:AI137" si="40">(N74-AH74-Q74)*ISNUMBER(MATCH($D74,$AL:$AL,0))</f>
        <v>0</v>
      </c>
      <c r="AJ74" s="129">
        <f t="shared" ref="AJ74:AJ137" si="41">N74-SUM(O74:AI74)</f>
        <v>10</v>
      </c>
      <c r="AK74" t="s">
        <v>42</v>
      </c>
    </row>
    <row r="75" spans="1:39" x14ac:dyDescent="0.25">
      <c r="A75" s="119">
        <f>A74</f>
        <v>45316</v>
      </c>
      <c r="B75" s="109" t="s">
        <v>99</v>
      </c>
      <c r="C75" s="6" t="s">
        <v>5</v>
      </c>
      <c r="D75" s="7" t="s">
        <v>26</v>
      </c>
      <c r="E75" s="120">
        <v>9658430</v>
      </c>
      <c r="F75" s="130">
        <v>7980</v>
      </c>
      <c r="G75" s="122">
        <v>-10000000</v>
      </c>
      <c r="H75" s="123">
        <v>-8000</v>
      </c>
      <c r="I75" s="120">
        <f t="shared" si="35"/>
        <v>-341570</v>
      </c>
      <c r="J75" s="130">
        <f t="shared" si="36"/>
        <v>-20</v>
      </c>
      <c r="K75" s="8">
        <v>908.51</v>
      </c>
      <c r="L75" s="8">
        <v>36768.69</v>
      </c>
      <c r="M75" s="131">
        <f t="shared" si="37"/>
        <v>-359740.2</v>
      </c>
      <c r="N75" s="126">
        <f t="shared" si="38"/>
        <v>-202463.2</v>
      </c>
      <c r="O75" s="32"/>
      <c r="P75" s="32"/>
      <c r="Q75" s="32">
        <v>28890</v>
      </c>
      <c r="R75" s="32">
        <v>-144403.94</v>
      </c>
      <c r="S75" s="32"/>
      <c r="T75" s="32">
        <v>-21182</v>
      </c>
      <c r="U75" s="32">
        <v>-42220</v>
      </c>
      <c r="V75" s="32"/>
      <c r="W75" s="32"/>
      <c r="X75" s="32"/>
      <c r="Y75" s="32"/>
      <c r="Z75" s="32">
        <f>-6183*2</f>
        <v>-12366</v>
      </c>
      <c r="AA75" s="32">
        <f>(-20*909)+0</f>
        <v>-18180</v>
      </c>
      <c r="AB75" s="32"/>
      <c r="AC75" s="32"/>
      <c r="AD75" s="32"/>
      <c r="AE75" s="32"/>
      <c r="AF75" s="32"/>
      <c r="AG75" s="32"/>
      <c r="AH75" s="127">
        <f t="shared" si="39"/>
        <v>7.2000000000002728</v>
      </c>
      <c r="AI75" s="128">
        <f t="shared" si="40"/>
        <v>0</v>
      </c>
      <c r="AJ75" s="129">
        <f t="shared" si="41"/>
        <v>6991.539999999979</v>
      </c>
      <c r="AK75" t="s">
        <v>43</v>
      </c>
    </row>
    <row r="76" spans="1:39" x14ac:dyDescent="0.25">
      <c r="A76" s="119">
        <f t="shared" ref="A76:A81" si="42">A75</f>
        <v>45316</v>
      </c>
      <c r="B76" s="109" t="s">
        <v>99</v>
      </c>
      <c r="C76" s="6" t="s">
        <v>9</v>
      </c>
      <c r="D76" s="7" t="s">
        <v>12</v>
      </c>
      <c r="E76" s="120">
        <v>4869708</v>
      </c>
      <c r="F76" s="130"/>
      <c r="G76" s="122"/>
      <c r="H76" s="123"/>
      <c r="I76" s="120">
        <f t="shared" si="35"/>
        <v>4869708</v>
      </c>
      <c r="J76" s="130">
        <f t="shared" si="36"/>
        <v>0</v>
      </c>
      <c r="K76" s="8">
        <v>908.51</v>
      </c>
      <c r="L76" s="8">
        <v>36768.69</v>
      </c>
      <c r="M76" s="131">
        <f t="shared" si="37"/>
        <v>4869708</v>
      </c>
      <c r="N76" s="126">
        <f t="shared" si="38"/>
        <v>1065</v>
      </c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2"/>
      <c r="AF76" s="32"/>
      <c r="AG76" s="32"/>
      <c r="AH76" s="127">
        <f t="shared" si="39"/>
        <v>0</v>
      </c>
      <c r="AI76" s="128">
        <f t="shared" si="40"/>
        <v>1065</v>
      </c>
      <c r="AJ76" s="129">
        <f t="shared" si="41"/>
        <v>0</v>
      </c>
      <c r="AK76" t="s">
        <v>44</v>
      </c>
    </row>
    <row r="77" spans="1:39" x14ac:dyDescent="0.25">
      <c r="A77" s="119">
        <f t="shared" si="42"/>
        <v>45316</v>
      </c>
      <c r="B77" s="109" t="s">
        <v>99</v>
      </c>
      <c r="C77" s="6" t="s">
        <v>9</v>
      </c>
      <c r="D77" s="7" t="s">
        <v>15</v>
      </c>
      <c r="E77" s="120">
        <v>447671</v>
      </c>
      <c r="F77" s="130"/>
      <c r="G77" s="122"/>
      <c r="H77" s="123"/>
      <c r="I77" s="120">
        <f t="shared" si="35"/>
        <v>447671</v>
      </c>
      <c r="J77" s="130">
        <f t="shared" si="36"/>
        <v>0</v>
      </c>
      <c r="K77" s="8">
        <v>908.51</v>
      </c>
      <c r="L77" s="8">
        <v>36768.69</v>
      </c>
      <c r="M77" s="131">
        <f t="shared" si="37"/>
        <v>447671</v>
      </c>
      <c r="N77" s="126">
        <f t="shared" si="38"/>
        <v>2976</v>
      </c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2"/>
      <c r="AF77" s="32"/>
      <c r="AG77" s="32"/>
      <c r="AH77" s="127">
        <f t="shared" si="39"/>
        <v>0</v>
      </c>
      <c r="AI77" s="128">
        <f t="shared" si="40"/>
        <v>2976</v>
      </c>
      <c r="AJ77" s="129">
        <f t="shared" si="41"/>
        <v>0</v>
      </c>
      <c r="AK77" t="s">
        <v>45</v>
      </c>
      <c r="AM77" s="119"/>
    </row>
    <row r="78" spans="1:39" x14ac:dyDescent="0.25">
      <c r="A78" s="119">
        <f t="shared" si="42"/>
        <v>45316</v>
      </c>
      <c r="B78" s="109" t="s">
        <v>99</v>
      </c>
      <c r="C78" s="6" t="s">
        <v>9</v>
      </c>
      <c r="D78" s="7" t="s">
        <v>11</v>
      </c>
      <c r="E78" s="120">
        <v>215731</v>
      </c>
      <c r="F78" s="130"/>
      <c r="G78" s="122"/>
      <c r="H78" s="123"/>
      <c r="I78" s="120">
        <f t="shared" si="35"/>
        <v>215731</v>
      </c>
      <c r="J78" s="130">
        <f t="shared" si="36"/>
        <v>0</v>
      </c>
      <c r="K78" s="8">
        <v>908.51</v>
      </c>
      <c r="L78" s="8">
        <v>36768.69</v>
      </c>
      <c r="M78" s="131">
        <f t="shared" si="37"/>
        <v>215731</v>
      </c>
      <c r="N78" s="126">
        <f t="shared" si="38"/>
        <v>1117</v>
      </c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2"/>
      <c r="AF78" s="32"/>
      <c r="AG78" s="32"/>
      <c r="AH78" s="127">
        <f t="shared" si="39"/>
        <v>0</v>
      </c>
      <c r="AI78" s="128">
        <f t="shared" si="40"/>
        <v>1117</v>
      </c>
      <c r="AJ78" s="129">
        <f t="shared" si="41"/>
        <v>0</v>
      </c>
    </row>
    <row r="79" spans="1:39" x14ac:dyDescent="0.25">
      <c r="A79" s="119">
        <f t="shared" si="42"/>
        <v>45316</v>
      </c>
      <c r="B79" s="109" t="s">
        <v>99</v>
      </c>
      <c r="C79" s="6" t="s">
        <v>9</v>
      </c>
      <c r="D79" s="7" t="s">
        <v>10</v>
      </c>
      <c r="E79" s="120"/>
      <c r="F79" s="130">
        <f>204.77+100.73</f>
        <v>305.5</v>
      </c>
      <c r="G79" s="122"/>
      <c r="H79" s="123"/>
      <c r="I79" s="120">
        <f t="shared" si="35"/>
        <v>0</v>
      </c>
      <c r="J79" s="130">
        <f t="shared" si="36"/>
        <v>305.5</v>
      </c>
      <c r="K79" s="8">
        <v>908.51</v>
      </c>
      <c r="L79" s="8">
        <v>36768.69</v>
      </c>
      <c r="M79" s="131">
        <f t="shared" si="37"/>
        <v>277549.80499999999</v>
      </c>
      <c r="N79" s="126">
        <f t="shared" si="38"/>
        <v>-91.802600000053644</v>
      </c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32"/>
      <c r="AF79" s="32"/>
      <c r="AG79" s="32"/>
      <c r="AH79" s="127">
        <f t="shared" si="39"/>
        <v>-109.98000000000417</v>
      </c>
      <c r="AI79" s="128">
        <f t="shared" si="40"/>
        <v>18.177399999950524</v>
      </c>
      <c r="AJ79" s="129">
        <f t="shared" si="41"/>
        <v>0</v>
      </c>
    </row>
    <row r="80" spans="1:39" x14ac:dyDescent="0.25">
      <c r="A80" s="119">
        <f t="shared" si="42"/>
        <v>45316</v>
      </c>
      <c r="B80" s="109" t="s">
        <v>99</v>
      </c>
      <c r="C80" s="6" t="s">
        <v>7</v>
      </c>
      <c r="D80" s="7" t="s">
        <v>16</v>
      </c>
      <c r="E80" s="120"/>
      <c r="F80" s="130">
        <v>520.48</v>
      </c>
      <c r="G80" s="122"/>
      <c r="H80" s="123"/>
      <c r="I80" s="120">
        <f t="shared" si="35"/>
        <v>0</v>
      </c>
      <c r="J80" s="130">
        <f t="shared" si="36"/>
        <v>520.48</v>
      </c>
      <c r="K80" s="8">
        <v>908.51</v>
      </c>
      <c r="L80" s="8">
        <v>36768.69</v>
      </c>
      <c r="M80" s="131">
        <f t="shared" si="37"/>
        <v>472861.28480000002</v>
      </c>
      <c r="N80" s="126">
        <f t="shared" si="38"/>
        <v>-187.37280000001192</v>
      </c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32"/>
      <c r="AF80" s="32"/>
      <c r="AG80" s="32"/>
      <c r="AH80" s="127">
        <f t="shared" si="39"/>
        <v>-187.37280000000712</v>
      </c>
      <c r="AI80" s="128">
        <f t="shared" si="40"/>
        <v>-4.8032688937382773E-12</v>
      </c>
      <c r="AJ80" s="129">
        <f t="shared" si="41"/>
        <v>0</v>
      </c>
    </row>
    <row r="81" spans="1:39" s="142" customFormat="1" x14ac:dyDescent="0.25">
      <c r="A81" s="133">
        <f t="shared" si="42"/>
        <v>45316</v>
      </c>
      <c r="B81" s="110" t="s">
        <v>99</v>
      </c>
      <c r="C81" s="45" t="s">
        <v>8</v>
      </c>
      <c r="D81" s="46" t="s">
        <v>16</v>
      </c>
      <c r="E81" s="134"/>
      <c r="F81" s="135">
        <v>106.38</v>
      </c>
      <c r="G81" s="134"/>
      <c r="H81" s="135"/>
      <c r="I81" s="134">
        <f t="shared" si="35"/>
        <v>0</v>
      </c>
      <c r="J81" s="135">
        <f t="shared" si="36"/>
        <v>106.38</v>
      </c>
      <c r="K81" s="47">
        <v>908.51</v>
      </c>
      <c r="L81" s="47">
        <v>36768.69</v>
      </c>
      <c r="M81" s="136">
        <f t="shared" si="37"/>
        <v>96647.293799999999</v>
      </c>
      <c r="N81" s="137">
        <f t="shared" si="38"/>
        <v>5451.2779999999912</v>
      </c>
      <c r="O81" s="138"/>
      <c r="P81" s="138"/>
      <c r="Q81" s="138"/>
      <c r="R81" s="138"/>
      <c r="S81" s="138"/>
      <c r="T81" s="138"/>
      <c r="U81" s="138"/>
      <c r="V81" s="138"/>
      <c r="W81" s="138"/>
      <c r="X81" s="138"/>
      <c r="Y81" s="138"/>
      <c r="Z81" s="138"/>
      <c r="AA81" s="138"/>
      <c r="AB81" s="138"/>
      <c r="AC81" s="138"/>
      <c r="AD81" s="138"/>
      <c r="AE81" s="138"/>
      <c r="AF81" s="138"/>
      <c r="AG81" s="138"/>
      <c r="AH81" s="139">
        <f t="shared" si="39"/>
        <v>-38.296800000001447</v>
      </c>
      <c r="AI81" s="140">
        <f t="shared" si="40"/>
        <v>5489.574799999993</v>
      </c>
      <c r="AJ81" s="141">
        <f t="shared" si="41"/>
        <v>0</v>
      </c>
    </row>
    <row r="82" spans="1:39" x14ac:dyDescent="0.25">
      <c r="A82" s="119">
        <f>A81+4</f>
        <v>45320</v>
      </c>
      <c r="B82" s="109" t="s">
        <v>99</v>
      </c>
      <c r="C82" s="6" t="s">
        <v>5</v>
      </c>
      <c r="D82" s="7" t="s">
        <v>6</v>
      </c>
      <c r="E82" s="120">
        <v>2673499</v>
      </c>
      <c r="F82" s="130"/>
      <c r="G82" s="120"/>
      <c r="H82" s="130"/>
      <c r="I82" s="120">
        <f t="shared" ref="I82:I89" si="43">E82+G82</f>
        <v>2673499</v>
      </c>
      <c r="J82" s="130">
        <f t="shared" ref="J82:J89" si="44">F82+H82</f>
        <v>0</v>
      </c>
      <c r="K82" s="42">
        <v>916.16</v>
      </c>
      <c r="L82" s="42">
        <v>36744.92</v>
      </c>
      <c r="M82" s="131">
        <f t="shared" ref="M82:M89" si="45">I82+J82*K82</f>
        <v>2673499</v>
      </c>
      <c r="N82" s="126">
        <f t="shared" si="38"/>
        <v>-335387</v>
      </c>
      <c r="O82" s="32"/>
      <c r="P82" s="32"/>
      <c r="Q82" s="32">
        <v>-335387</v>
      </c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127">
        <f t="shared" si="39"/>
        <v>0</v>
      </c>
      <c r="AI82" s="128">
        <f t="shared" si="40"/>
        <v>0</v>
      </c>
      <c r="AJ82" s="129">
        <f t="shared" si="41"/>
        <v>0</v>
      </c>
    </row>
    <row r="83" spans="1:39" x14ac:dyDescent="0.25">
      <c r="A83" s="119">
        <f>A82</f>
        <v>45320</v>
      </c>
      <c r="B83" s="109" t="s">
        <v>99</v>
      </c>
      <c r="C83" s="6" t="s">
        <v>5</v>
      </c>
      <c r="D83" s="7" t="s">
        <v>26</v>
      </c>
      <c r="E83" s="120">
        <v>9671249</v>
      </c>
      <c r="F83" s="130">
        <v>7970</v>
      </c>
      <c r="G83" s="122">
        <v>-10000000</v>
      </c>
      <c r="H83" s="123">
        <v>-8000</v>
      </c>
      <c r="I83" s="120">
        <f t="shared" si="43"/>
        <v>-328751</v>
      </c>
      <c r="J83" s="130">
        <f t="shared" si="44"/>
        <v>-30</v>
      </c>
      <c r="K83" s="8">
        <v>916.16</v>
      </c>
      <c r="L83" s="8">
        <v>36744.92</v>
      </c>
      <c r="M83" s="131">
        <f t="shared" si="45"/>
        <v>-356235.8</v>
      </c>
      <c r="N83" s="126">
        <f t="shared" si="38"/>
        <v>3504.4000000000233</v>
      </c>
      <c r="O83" s="32"/>
      <c r="P83" s="32"/>
      <c r="Q83" s="32">
        <v>335387</v>
      </c>
      <c r="R83" s="32"/>
      <c r="S83" s="32">
        <f>-4504-21838-8287</f>
        <v>-34629</v>
      </c>
      <c r="T83" s="32"/>
      <c r="U83" s="32">
        <f>-37910-39910</f>
        <v>-77820</v>
      </c>
      <c r="V83" s="32"/>
      <c r="W83" s="32">
        <v>-1190</v>
      </c>
      <c r="X83" s="32"/>
      <c r="Y83" s="32"/>
      <c r="Z83" s="32">
        <f>-6025-5738-5846-5568-3952</f>
        <v>-27129</v>
      </c>
      <c r="AA83" s="32">
        <f>(-10*K83)</f>
        <v>-9161.6</v>
      </c>
      <c r="AB83" s="32">
        <f>-10480-1290-50-169980</f>
        <v>-181800</v>
      </c>
      <c r="AC83" s="32"/>
      <c r="AD83" s="32"/>
      <c r="AE83" s="32"/>
      <c r="AF83" s="32"/>
      <c r="AG83" s="32"/>
      <c r="AH83" s="127">
        <f t="shared" si="39"/>
        <v>-229.49999999999932</v>
      </c>
      <c r="AI83" s="128">
        <f t="shared" si="40"/>
        <v>0</v>
      </c>
      <c r="AJ83" s="129">
        <f t="shared" si="41"/>
        <v>76.500000000028194</v>
      </c>
    </row>
    <row r="84" spans="1:39" x14ac:dyDescent="0.25">
      <c r="A84" s="119">
        <f t="shared" ref="A84:A89" si="46">A83</f>
        <v>45320</v>
      </c>
      <c r="B84" s="109" t="s">
        <v>99</v>
      </c>
      <c r="C84" s="6" t="s">
        <v>9</v>
      </c>
      <c r="D84" s="7" t="s">
        <v>12</v>
      </c>
      <c r="E84" s="120">
        <v>4870650</v>
      </c>
      <c r="F84" s="130"/>
      <c r="G84" s="122"/>
      <c r="H84" s="123"/>
      <c r="I84" s="120">
        <f t="shared" si="43"/>
        <v>4870650</v>
      </c>
      <c r="J84" s="130">
        <f t="shared" si="44"/>
        <v>0</v>
      </c>
      <c r="K84" s="8">
        <v>916.16</v>
      </c>
      <c r="L84" s="8">
        <v>36744.92</v>
      </c>
      <c r="M84" s="131">
        <f t="shared" si="45"/>
        <v>4870650</v>
      </c>
      <c r="N84" s="126">
        <f t="shared" si="38"/>
        <v>942</v>
      </c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127">
        <f t="shared" si="39"/>
        <v>0</v>
      </c>
      <c r="AI84" s="128">
        <f t="shared" si="40"/>
        <v>942</v>
      </c>
      <c r="AJ84" s="129">
        <f t="shared" si="41"/>
        <v>0</v>
      </c>
    </row>
    <row r="85" spans="1:39" x14ac:dyDescent="0.25">
      <c r="A85" s="119">
        <f t="shared" si="46"/>
        <v>45320</v>
      </c>
      <c r="B85" s="109" t="s">
        <v>99</v>
      </c>
      <c r="C85" s="6" t="s">
        <v>9</v>
      </c>
      <c r="D85" s="7" t="s">
        <v>15</v>
      </c>
      <c r="E85" s="120">
        <v>447455</v>
      </c>
      <c r="F85" s="130"/>
      <c r="G85" s="122"/>
      <c r="H85" s="123"/>
      <c r="I85" s="120">
        <f t="shared" si="43"/>
        <v>447455</v>
      </c>
      <c r="J85" s="130">
        <f t="shared" si="44"/>
        <v>0</v>
      </c>
      <c r="K85" s="8">
        <v>916.16</v>
      </c>
      <c r="L85" s="8">
        <v>36744.92</v>
      </c>
      <c r="M85" s="131">
        <f t="shared" si="45"/>
        <v>447455</v>
      </c>
      <c r="N85" s="126">
        <f t="shared" si="38"/>
        <v>-216</v>
      </c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127">
        <f t="shared" si="39"/>
        <v>0</v>
      </c>
      <c r="AI85" s="128">
        <f t="shared" si="40"/>
        <v>-216</v>
      </c>
      <c r="AJ85" s="129">
        <f t="shared" si="41"/>
        <v>0</v>
      </c>
      <c r="AM85" s="119"/>
    </row>
    <row r="86" spans="1:39" x14ac:dyDescent="0.25">
      <c r="A86" s="119">
        <f t="shared" si="46"/>
        <v>45320</v>
      </c>
      <c r="B86" s="109" t="s">
        <v>99</v>
      </c>
      <c r="C86" s="6" t="s">
        <v>9</v>
      </c>
      <c r="D86" s="7" t="s">
        <v>11</v>
      </c>
      <c r="E86" s="120">
        <v>215650</v>
      </c>
      <c r="F86" s="130"/>
      <c r="G86" s="122"/>
      <c r="H86" s="123"/>
      <c r="I86" s="120">
        <f t="shared" si="43"/>
        <v>215650</v>
      </c>
      <c r="J86" s="130">
        <f t="shared" si="44"/>
        <v>0</v>
      </c>
      <c r="K86" s="8">
        <v>916.16</v>
      </c>
      <c r="L86" s="8">
        <v>36744.92</v>
      </c>
      <c r="M86" s="131">
        <f t="shared" si="45"/>
        <v>215650</v>
      </c>
      <c r="N86" s="126">
        <f t="shared" si="38"/>
        <v>-81</v>
      </c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32"/>
      <c r="AF86" s="32"/>
      <c r="AG86" s="32"/>
      <c r="AH86" s="127">
        <f t="shared" si="39"/>
        <v>0</v>
      </c>
      <c r="AI86" s="128">
        <f t="shared" si="40"/>
        <v>-81</v>
      </c>
      <c r="AJ86" s="129">
        <f t="shared" si="41"/>
        <v>0</v>
      </c>
    </row>
    <row r="87" spans="1:39" x14ac:dyDescent="0.25">
      <c r="A87" s="119">
        <f t="shared" si="46"/>
        <v>45320</v>
      </c>
      <c r="B87" s="109" t="s">
        <v>99</v>
      </c>
      <c r="C87" s="6" t="s">
        <v>9</v>
      </c>
      <c r="D87" s="7" t="s">
        <v>10</v>
      </c>
      <c r="E87" s="120"/>
      <c r="F87" s="130">
        <f>204.77+100.73</f>
        <v>305.5</v>
      </c>
      <c r="G87" s="122"/>
      <c r="H87" s="123"/>
      <c r="I87" s="120">
        <f t="shared" si="43"/>
        <v>0</v>
      </c>
      <c r="J87" s="130">
        <f t="shared" si="44"/>
        <v>305.5</v>
      </c>
      <c r="K87" s="8">
        <v>916.16</v>
      </c>
      <c r="L87" s="8">
        <v>36744.92</v>
      </c>
      <c r="M87" s="131">
        <f t="shared" si="45"/>
        <v>279886.88</v>
      </c>
      <c r="N87" s="126">
        <f t="shared" si="38"/>
        <v>2337.0750000000116</v>
      </c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127">
        <f t="shared" si="39"/>
        <v>2337.074999999993</v>
      </c>
      <c r="AI87" s="128">
        <f t="shared" si="40"/>
        <v>1.8644641386345029E-11</v>
      </c>
      <c r="AJ87" s="129">
        <f t="shared" si="41"/>
        <v>0</v>
      </c>
    </row>
    <row r="88" spans="1:39" x14ac:dyDescent="0.25">
      <c r="A88" s="119">
        <f t="shared" si="46"/>
        <v>45320</v>
      </c>
      <c r="B88" s="109" t="s">
        <v>99</v>
      </c>
      <c r="C88" s="6" t="s">
        <v>7</v>
      </c>
      <c r="D88" s="7" t="s">
        <v>16</v>
      </c>
      <c r="E88" s="120"/>
      <c r="F88" s="130">
        <v>520.48</v>
      </c>
      <c r="G88" s="122"/>
      <c r="H88" s="123"/>
      <c r="I88" s="120">
        <f t="shared" si="43"/>
        <v>0</v>
      </c>
      <c r="J88" s="130">
        <f t="shared" si="44"/>
        <v>520.48</v>
      </c>
      <c r="K88" s="8">
        <v>916.16</v>
      </c>
      <c r="L88" s="8">
        <v>36744.92</v>
      </c>
      <c r="M88" s="131">
        <f t="shared" si="45"/>
        <v>476842.95679999999</v>
      </c>
      <c r="N88" s="126">
        <f t="shared" si="38"/>
        <v>3981.6719999999623</v>
      </c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127">
        <f t="shared" si="39"/>
        <v>3981.6719999999882</v>
      </c>
      <c r="AI88" s="128">
        <f t="shared" si="40"/>
        <v>-2.5920599000528455E-11</v>
      </c>
      <c r="AJ88" s="129">
        <f t="shared" si="41"/>
        <v>0</v>
      </c>
    </row>
    <row r="89" spans="1:39" s="142" customFormat="1" x14ac:dyDescent="0.25">
      <c r="A89" s="133">
        <f t="shared" si="46"/>
        <v>45320</v>
      </c>
      <c r="B89" s="110" t="s">
        <v>99</v>
      </c>
      <c r="C89" s="45" t="s">
        <v>8</v>
      </c>
      <c r="D89" s="46" t="s">
        <v>16</v>
      </c>
      <c r="E89" s="134"/>
      <c r="F89" s="135">
        <v>106.38</v>
      </c>
      <c r="G89" s="134"/>
      <c r="H89" s="135"/>
      <c r="I89" s="134">
        <f t="shared" si="43"/>
        <v>0</v>
      </c>
      <c r="J89" s="135">
        <f t="shared" si="44"/>
        <v>106.38</v>
      </c>
      <c r="K89" s="47">
        <v>916.16</v>
      </c>
      <c r="L89" s="47">
        <v>36744.92</v>
      </c>
      <c r="M89" s="136">
        <f t="shared" si="45"/>
        <v>97461.100799999986</v>
      </c>
      <c r="N89" s="137">
        <f t="shared" si="38"/>
        <v>813.80699999998615</v>
      </c>
      <c r="O89" s="138"/>
      <c r="P89" s="138"/>
      <c r="Q89" s="138"/>
      <c r="R89" s="138"/>
      <c r="S89" s="138"/>
      <c r="T89" s="138"/>
      <c r="U89" s="138"/>
      <c r="V89" s="138"/>
      <c r="W89" s="138"/>
      <c r="X89" s="138"/>
      <c r="Y89" s="138"/>
      <c r="Z89" s="138"/>
      <c r="AA89" s="138"/>
      <c r="AB89" s="138"/>
      <c r="AC89" s="138"/>
      <c r="AD89" s="138"/>
      <c r="AE89" s="138"/>
      <c r="AF89" s="138"/>
      <c r="AG89" s="138"/>
      <c r="AH89" s="139">
        <f t="shared" si="39"/>
        <v>813.80699999999752</v>
      </c>
      <c r="AI89" s="140">
        <f t="shared" si="40"/>
        <v>-1.1368683772161603E-11</v>
      </c>
      <c r="AJ89" s="141">
        <f t="shared" si="41"/>
        <v>0</v>
      </c>
    </row>
    <row r="90" spans="1:39" x14ac:dyDescent="0.25">
      <c r="A90" s="119">
        <f>A89+1</f>
        <v>45321</v>
      </c>
      <c r="B90" s="109" t="s">
        <v>99</v>
      </c>
      <c r="C90" s="6" t="s">
        <v>5</v>
      </c>
      <c r="D90" s="7" t="s">
        <v>6</v>
      </c>
      <c r="E90" s="120">
        <v>2652996</v>
      </c>
      <c r="F90" s="130"/>
      <c r="G90" s="120"/>
      <c r="H90" s="130"/>
      <c r="I90" s="120">
        <f t="shared" ref="I90:I97" si="47">E90+G90</f>
        <v>2652996</v>
      </c>
      <c r="J90" s="130">
        <f t="shared" ref="J90:J97" si="48">F90+H90</f>
        <v>0</v>
      </c>
      <c r="K90" s="42">
        <v>927.63</v>
      </c>
      <c r="L90" s="42">
        <v>36738.980000000003</v>
      </c>
      <c r="M90" s="131">
        <f t="shared" ref="M90:M97" si="49">I90+J90*K90</f>
        <v>2652996</v>
      </c>
      <c r="N90" s="126">
        <f t="shared" si="38"/>
        <v>-20503</v>
      </c>
      <c r="O90" s="32"/>
      <c r="P90" s="32"/>
      <c r="Q90" s="32"/>
      <c r="R90" s="32"/>
      <c r="S90" s="32"/>
      <c r="T90" s="32"/>
      <c r="U90" s="32"/>
      <c r="V90" s="32">
        <v>-8000</v>
      </c>
      <c r="W90" s="32"/>
      <c r="X90" s="32"/>
      <c r="Y90" s="32"/>
      <c r="Z90" s="32"/>
      <c r="AA90" s="32">
        <v>-12503</v>
      </c>
      <c r="AB90" s="32"/>
      <c r="AC90" s="32"/>
      <c r="AD90" s="32"/>
      <c r="AE90" s="32"/>
      <c r="AF90" s="32"/>
      <c r="AG90" s="32"/>
      <c r="AH90" s="127">
        <f t="shared" si="39"/>
        <v>0</v>
      </c>
      <c r="AI90" s="128">
        <f t="shared" si="40"/>
        <v>0</v>
      </c>
      <c r="AJ90" s="129">
        <f t="shared" si="41"/>
        <v>0</v>
      </c>
      <c r="AK90" t="s">
        <v>47</v>
      </c>
    </row>
    <row r="91" spans="1:39" x14ac:dyDescent="0.25">
      <c r="A91" s="119">
        <f>A90</f>
        <v>45321</v>
      </c>
      <c r="B91" s="109" t="s">
        <v>99</v>
      </c>
      <c r="C91" s="6" t="s">
        <v>5</v>
      </c>
      <c r="D91" s="7" t="s">
        <v>26</v>
      </c>
      <c r="E91" s="120">
        <v>9079946</v>
      </c>
      <c r="F91" s="130">
        <v>7970</v>
      </c>
      <c r="G91" s="122">
        <v>-10000000</v>
      </c>
      <c r="H91" s="123">
        <v>-8000</v>
      </c>
      <c r="I91" s="120">
        <f t="shared" si="47"/>
        <v>-920054</v>
      </c>
      <c r="J91" s="130">
        <f t="shared" si="48"/>
        <v>-30</v>
      </c>
      <c r="K91" s="8">
        <v>927.63</v>
      </c>
      <c r="L91" s="8">
        <v>36738.980000000003</v>
      </c>
      <c r="M91" s="131">
        <f t="shared" si="49"/>
        <v>-947882.9</v>
      </c>
      <c r="N91" s="126">
        <f t="shared" si="38"/>
        <v>-591647.10000000009</v>
      </c>
      <c r="O91" s="32"/>
      <c r="P91" s="32"/>
      <c r="Q91" s="32"/>
      <c r="R91" s="32"/>
      <c r="S91" s="32">
        <f>-22000-30000-57107</f>
        <v>-109107</v>
      </c>
      <c r="T91" s="32">
        <v>-52585</v>
      </c>
      <c r="U91" s="32"/>
      <c r="V91" s="32"/>
      <c r="W91" s="32">
        <v>-3990</v>
      </c>
      <c r="X91" s="32"/>
      <c r="Y91" s="32"/>
      <c r="Z91" s="32">
        <f>-6929-4494-3339</f>
        <v>-14762</v>
      </c>
      <c r="AA91" s="32">
        <v>-25000</v>
      </c>
      <c r="AB91" s="32">
        <f>-317960-67900</f>
        <v>-385860</v>
      </c>
      <c r="AC91" s="32"/>
      <c r="AD91" s="32"/>
      <c r="AE91" s="32"/>
      <c r="AF91" s="32"/>
      <c r="AG91" s="32"/>
      <c r="AH91" s="127">
        <f t="shared" si="39"/>
        <v>-344.10000000000082</v>
      </c>
      <c r="AI91" s="128">
        <f t="shared" si="40"/>
        <v>0</v>
      </c>
      <c r="AJ91" s="129">
        <f t="shared" si="41"/>
        <v>0.99999999988358468</v>
      </c>
      <c r="AK91" t="s">
        <v>48</v>
      </c>
    </row>
    <row r="92" spans="1:39" x14ac:dyDescent="0.25">
      <c r="A92" s="119">
        <f t="shared" ref="A92:A97" si="50">A91</f>
        <v>45321</v>
      </c>
      <c r="B92" s="109" t="s">
        <v>99</v>
      </c>
      <c r="C92" s="6" t="s">
        <v>9</v>
      </c>
      <c r="D92" s="7" t="s">
        <v>12</v>
      </c>
      <c r="E92" s="120">
        <v>4870650</v>
      </c>
      <c r="F92" s="130"/>
      <c r="G92" s="122"/>
      <c r="H92" s="123"/>
      <c r="I92" s="120">
        <f t="shared" si="47"/>
        <v>4870650</v>
      </c>
      <c r="J92" s="130">
        <f t="shared" si="48"/>
        <v>0</v>
      </c>
      <c r="K92" s="8">
        <v>927.63</v>
      </c>
      <c r="L92" s="8">
        <v>36738.980000000003</v>
      </c>
      <c r="M92" s="131">
        <f t="shared" si="49"/>
        <v>4870650</v>
      </c>
      <c r="N92" s="126">
        <f t="shared" si="38"/>
        <v>0</v>
      </c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32"/>
      <c r="AG92" s="32"/>
      <c r="AH92" s="127">
        <f t="shared" si="39"/>
        <v>0</v>
      </c>
      <c r="AI92" s="128">
        <f t="shared" si="40"/>
        <v>0</v>
      </c>
      <c r="AJ92" s="129">
        <f t="shared" si="41"/>
        <v>0</v>
      </c>
      <c r="AK92" t="s">
        <v>49</v>
      </c>
    </row>
    <row r="93" spans="1:39" x14ac:dyDescent="0.25">
      <c r="A93" s="119">
        <f t="shared" si="50"/>
        <v>45321</v>
      </c>
      <c r="B93" s="109" t="s">
        <v>99</v>
      </c>
      <c r="C93" s="6" t="s">
        <v>9</v>
      </c>
      <c r="D93" s="7" t="s">
        <v>15</v>
      </c>
      <c r="E93" s="120">
        <v>447455</v>
      </c>
      <c r="F93" s="130"/>
      <c r="G93" s="122"/>
      <c r="H93" s="123"/>
      <c r="I93" s="120">
        <f t="shared" si="47"/>
        <v>447455</v>
      </c>
      <c r="J93" s="130">
        <f t="shared" si="48"/>
        <v>0</v>
      </c>
      <c r="K93" s="8">
        <v>927.63</v>
      </c>
      <c r="L93" s="8">
        <v>36738.980000000003</v>
      </c>
      <c r="M93" s="131">
        <f t="shared" si="49"/>
        <v>447455</v>
      </c>
      <c r="N93" s="126">
        <f t="shared" si="38"/>
        <v>0</v>
      </c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127">
        <f t="shared" si="39"/>
        <v>0</v>
      </c>
      <c r="AI93" s="128">
        <f t="shared" si="40"/>
        <v>0</v>
      </c>
      <c r="AJ93" s="129">
        <f t="shared" si="41"/>
        <v>0</v>
      </c>
      <c r="AK93" t="s">
        <v>50</v>
      </c>
      <c r="AM93" s="119"/>
    </row>
    <row r="94" spans="1:39" x14ac:dyDescent="0.25">
      <c r="A94" s="119">
        <f t="shared" si="50"/>
        <v>45321</v>
      </c>
      <c r="B94" s="109" t="s">
        <v>99</v>
      </c>
      <c r="C94" s="6" t="s">
        <v>9</v>
      </c>
      <c r="D94" s="7" t="s">
        <v>11</v>
      </c>
      <c r="E94" s="120">
        <v>215650</v>
      </c>
      <c r="F94" s="130"/>
      <c r="G94" s="122"/>
      <c r="H94" s="123"/>
      <c r="I94" s="120">
        <f t="shared" si="47"/>
        <v>215650</v>
      </c>
      <c r="J94" s="130">
        <f t="shared" si="48"/>
        <v>0</v>
      </c>
      <c r="K94" s="8">
        <v>927.63</v>
      </c>
      <c r="L94" s="8">
        <v>36738.980000000003</v>
      </c>
      <c r="M94" s="131">
        <f t="shared" si="49"/>
        <v>215650</v>
      </c>
      <c r="N94" s="126">
        <f t="shared" si="38"/>
        <v>0</v>
      </c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32"/>
      <c r="AF94" s="32"/>
      <c r="AG94" s="32"/>
      <c r="AH94" s="127">
        <f t="shared" si="39"/>
        <v>0</v>
      </c>
      <c r="AI94" s="128">
        <f t="shared" si="40"/>
        <v>0</v>
      </c>
      <c r="AJ94" s="129">
        <f t="shared" si="41"/>
        <v>0</v>
      </c>
      <c r="AK94" t="s">
        <v>51</v>
      </c>
    </row>
    <row r="95" spans="1:39" x14ac:dyDescent="0.25">
      <c r="A95" s="119">
        <f t="shared" si="50"/>
        <v>45321</v>
      </c>
      <c r="B95" s="109" t="s">
        <v>99</v>
      </c>
      <c r="C95" s="6" t="s">
        <v>9</v>
      </c>
      <c r="D95" s="7" t="s">
        <v>10</v>
      </c>
      <c r="E95" s="120"/>
      <c r="F95" s="130">
        <f>204.77+100.73</f>
        <v>305.5</v>
      </c>
      <c r="G95" s="122"/>
      <c r="H95" s="123"/>
      <c r="I95" s="120">
        <f t="shared" si="47"/>
        <v>0</v>
      </c>
      <c r="J95" s="130">
        <f t="shared" si="48"/>
        <v>305.5</v>
      </c>
      <c r="K95" s="8">
        <v>927.63</v>
      </c>
      <c r="L95" s="8">
        <v>36738.980000000003</v>
      </c>
      <c r="M95" s="131">
        <f t="shared" si="49"/>
        <v>283390.96500000003</v>
      </c>
      <c r="N95" s="126">
        <f t="shared" si="38"/>
        <v>3504.085000000021</v>
      </c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32"/>
      <c r="AF95" s="32"/>
      <c r="AG95" s="32"/>
      <c r="AH95" s="127">
        <f t="shared" si="39"/>
        <v>3504.0850000000082</v>
      </c>
      <c r="AI95" s="128">
        <f t="shared" si="40"/>
        <v>1.2732925824820995E-11</v>
      </c>
      <c r="AJ95" s="129">
        <f t="shared" si="41"/>
        <v>0</v>
      </c>
      <c r="AK95" t="s">
        <v>52</v>
      </c>
    </row>
    <row r="96" spans="1:39" x14ac:dyDescent="0.25">
      <c r="A96" s="119">
        <f t="shared" si="50"/>
        <v>45321</v>
      </c>
      <c r="B96" s="109" t="s">
        <v>99</v>
      </c>
      <c r="C96" s="6" t="s">
        <v>7</v>
      </c>
      <c r="D96" s="7" t="s">
        <v>16</v>
      </c>
      <c r="E96" s="120"/>
      <c r="F96" s="130">
        <v>520.48</v>
      </c>
      <c r="G96" s="122"/>
      <c r="H96" s="123"/>
      <c r="I96" s="120">
        <f t="shared" si="47"/>
        <v>0</v>
      </c>
      <c r="J96" s="130">
        <f t="shared" si="48"/>
        <v>520.48</v>
      </c>
      <c r="K96" s="8">
        <v>927.63</v>
      </c>
      <c r="L96" s="8">
        <v>36738.980000000003</v>
      </c>
      <c r="M96" s="131">
        <f t="shared" si="49"/>
        <v>482812.86240000004</v>
      </c>
      <c r="N96" s="126">
        <f t="shared" si="38"/>
        <v>5969.9056000000564</v>
      </c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32"/>
      <c r="AG96" s="32"/>
      <c r="AH96" s="127">
        <f t="shared" si="39"/>
        <v>5969.9056000000146</v>
      </c>
      <c r="AI96" s="128">
        <f t="shared" si="40"/>
        <v>4.1836756281554699E-11</v>
      </c>
      <c r="AJ96" s="129">
        <f t="shared" si="41"/>
        <v>0</v>
      </c>
      <c r="AK96" t="s">
        <v>53</v>
      </c>
    </row>
    <row r="97" spans="1:39" s="142" customFormat="1" x14ac:dyDescent="0.25">
      <c r="A97" s="133">
        <f t="shared" si="50"/>
        <v>45321</v>
      </c>
      <c r="B97" s="110" t="s">
        <v>99</v>
      </c>
      <c r="C97" s="45" t="s">
        <v>8</v>
      </c>
      <c r="D97" s="46" t="s">
        <v>16</v>
      </c>
      <c r="E97" s="134"/>
      <c r="F97" s="135">
        <v>106.38</v>
      </c>
      <c r="G97" s="134"/>
      <c r="H97" s="135"/>
      <c r="I97" s="134">
        <f t="shared" si="47"/>
        <v>0</v>
      </c>
      <c r="J97" s="135">
        <f t="shared" si="48"/>
        <v>106.38</v>
      </c>
      <c r="K97" s="47">
        <v>927.63</v>
      </c>
      <c r="L97" s="47">
        <v>36738.980000000003</v>
      </c>
      <c r="M97" s="136">
        <f t="shared" si="49"/>
        <v>98681.279399999999</v>
      </c>
      <c r="N97" s="137">
        <f t="shared" si="38"/>
        <v>1220.1786000000138</v>
      </c>
      <c r="O97" s="138"/>
      <c r="P97" s="138"/>
      <c r="Q97" s="138"/>
      <c r="R97" s="138"/>
      <c r="S97" s="138"/>
      <c r="T97" s="138"/>
      <c r="U97" s="138"/>
      <c r="V97" s="138"/>
      <c r="W97" s="138"/>
      <c r="X97" s="138"/>
      <c r="Y97" s="138"/>
      <c r="Z97" s="138"/>
      <c r="AA97" s="138"/>
      <c r="AB97" s="138"/>
      <c r="AC97" s="138"/>
      <c r="AD97" s="138"/>
      <c r="AE97" s="138"/>
      <c r="AF97" s="138"/>
      <c r="AG97" s="138"/>
      <c r="AH97" s="139">
        <f t="shared" si="39"/>
        <v>1220.1786000000029</v>
      </c>
      <c r="AI97" s="140">
        <f t="shared" si="40"/>
        <v>1.0913936421275139E-11</v>
      </c>
      <c r="AJ97" s="141">
        <f t="shared" si="41"/>
        <v>0</v>
      </c>
    </row>
    <row r="98" spans="1:39" x14ac:dyDescent="0.25">
      <c r="A98" s="119">
        <f>A97+5</f>
        <v>45326</v>
      </c>
      <c r="B98" s="109" t="s">
        <v>99</v>
      </c>
      <c r="C98" s="6" t="s">
        <v>5</v>
      </c>
      <c r="D98" s="7" t="s">
        <v>6</v>
      </c>
      <c r="E98" s="120">
        <v>947243</v>
      </c>
      <c r="F98" s="130"/>
      <c r="G98" s="120"/>
      <c r="H98" s="130"/>
      <c r="I98" s="120">
        <f t="shared" ref="I98:I105" si="51">E98+G98</f>
        <v>947243</v>
      </c>
      <c r="J98" s="130">
        <f t="shared" ref="J98:J105" si="52">F98+H98</f>
        <v>0</v>
      </c>
      <c r="K98" s="42">
        <v>936.01</v>
      </c>
      <c r="L98" s="42">
        <v>36709.29</v>
      </c>
      <c r="M98" s="131">
        <f t="shared" ref="M98:M105" si="53">I98+J98*K98</f>
        <v>947243</v>
      </c>
      <c r="N98" s="126">
        <f t="shared" si="38"/>
        <v>-1705753</v>
      </c>
      <c r="O98" s="32"/>
      <c r="P98" s="32"/>
      <c r="Q98" s="32">
        <v>-947753</v>
      </c>
      <c r="R98" s="32">
        <v>-750000</v>
      </c>
      <c r="S98" s="32"/>
      <c r="T98" s="32">
        <v>-5000</v>
      </c>
      <c r="U98" s="32"/>
      <c r="V98" s="32"/>
      <c r="W98" s="32"/>
      <c r="X98" s="32"/>
      <c r="Y98" s="32"/>
      <c r="Z98" s="32"/>
      <c r="AA98" s="32">
        <v>-3000</v>
      </c>
      <c r="AB98" s="32"/>
      <c r="AC98" s="32"/>
      <c r="AD98" s="32"/>
      <c r="AE98" s="32"/>
      <c r="AF98" s="32"/>
      <c r="AG98" s="32"/>
      <c r="AH98" s="127">
        <f t="shared" si="39"/>
        <v>0</v>
      </c>
      <c r="AI98" s="128">
        <f t="shared" si="40"/>
        <v>0</v>
      </c>
      <c r="AJ98" s="129">
        <f t="shared" si="41"/>
        <v>0</v>
      </c>
      <c r="AK98" t="s">
        <v>55</v>
      </c>
    </row>
    <row r="99" spans="1:39" x14ac:dyDescent="0.25">
      <c r="A99" s="119">
        <f>A98</f>
        <v>45326</v>
      </c>
      <c r="B99" s="109" t="s">
        <v>99</v>
      </c>
      <c r="C99" s="6" t="s">
        <v>5</v>
      </c>
      <c r="D99" s="7" t="s">
        <v>26</v>
      </c>
      <c r="E99" s="120">
        <v>9819763</v>
      </c>
      <c r="F99" s="130">
        <v>7970</v>
      </c>
      <c r="G99" s="122">
        <v>-10000000</v>
      </c>
      <c r="H99" s="123">
        <v>-8000</v>
      </c>
      <c r="I99" s="120">
        <f t="shared" si="51"/>
        <v>-180237</v>
      </c>
      <c r="J99" s="130">
        <f t="shared" si="52"/>
        <v>-30</v>
      </c>
      <c r="K99" s="8">
        <v>936.01</v>
      </c>
      <c r="L99" s="8">
        <v>36709.29</v>
      </c>
      <c r="M99" s="131">
        <f t="shared" si="53"/>
        <v>-208317.3</v>
      </c>
      <c r="N99" s="126">
        <f t="shared" si="38"/>
        <v>739565.60000000009</v>
      </c>
      <c r="O99" s="32"/>
      <c r="P99" s="32"/>
      <c r="Q99" s="32">
        <v>947753</v>
      </c>
      <c r="R99" s="32">
        <v>-13686</v>
      </c>
      <c r="S99" s="32">
        <v>-63800</v>
      </c>
      <c r="T99" s="32"/>
      <c r="U99" s="32"/>
      <c r="V99" s="32">
        <v>-48730</v>
      </c>
      <c r="W99" s="32">
        <f>-1600-2980-1600-2880-2000-3280-4280</f>
        <v>-18620</v>
      </c>
      <c r="X99" s="32"/>
      <c r="Y99" s="32"/>
      <c r="Z99" s="32">
        <f>-3339-6929-4707</f>
        <v>-14975</v>
      </c>
      <c r="AA99" s="32">
        <f>(-5000-5000-4550)+0</f>
        <v>-14550</v>
      </c>
      <c r="AB99" s="32">
        <f>-5000-38990</f>
        <v>-43990</v>
      </c>
      <c r="AC99" s="32"/>
      <c r="AD99" s="32"/>
      <c r="AE99" s="32"/>
      <c r="AF99" s="32"/>
      <c r="AG99" s="32"/>
      <c r="AH99" s="127">
        <f t="shared" si="39"/>
        <v>-251.39999999999986</v>
      </c>
      <c r="AI99" s="128">
        <f t="shared" si="40"/>
        <v>0</v>
      </c>
      <c r="AJ99" s="129">
        <f t="shared" si="41"/>
        <v>10415.000000000116</v>
      </c>
    </row>
    <row r="100" spans="1:39" x14ac:dyDescent="0.25">
      <c r="A100" s="119">
        <f t="shared" ref="A100:A105" si="54">A99</f>
        <v>45326</v>
      </c>
      <c r="B100" s="109" t="s">
        <v>99</v>
      </c>
      <c r="C100" s="6" t="s">
        <v>9</v>
      </c>
      <c r="D100" s="7" t="s">
        <v>12</v>
      </c>
      <c r="E100" s="120">
        <v>4879153</v>
      </c>
      <c r="F100" s="130"/>
      <c r="G100" s="122"/>
      <c r="H100" s="123"/>
      <c r="I100" s="120">
        <f t="shared" si="51"/>
        <v>4879153</v>
      </c>
      <c r="J100" s="130">
        <f t="shared" si="52"/>
        <v>0</v>
      </c>
      <c r="K100" s="8">
        <v>936.01</v>
      </c>
      <c r="L100" s="8">
        <v>36709.29</v>
      </c>
      <c r="M100" s="131">
        <f t="shared" si="53"/>
        <v>4879153</v>
      </c>
      <c r="N100" s="126">
        <f t="shared" si="38"/>
        <v>8503</v>
      </c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32"/>
      <c r="AF100" s="32"/>
      <c r="AG100" s="32"/>
      <c r="AH100" s="127">
        <f t="shared" si="39"/>
        <v>0</v>
      </c>
      <c r="AI100" s="128">
        <f t="shared" si="40"/>
        <v>8503</v>
      </c>
      <c r="AJ100" s="129">
        <f t="shared" si="41"/>
        <v>0</v>
      </c>
    </row>
    <row r="101" spans="1:39" x14ac:dyDescent="0.25">
      <c r="A101" s="119">
        <f t="shared" si="54"/>
        <v>45326</v>
      </c>
      <c r="B101" s="109" t="s">
        <v>99</v>
      </c>
      <c r="C101" s="6" t="s">
        <v>9</v>
      </c>
      <c r="D101" s="7" t="s">
        <v>15</v>
      </c>
      <c r="E101" s="120">
        <v>460998</v>
      </c>
      <c r="F101" s="130"/>
      <c r="G101" s="122"/>
      <c r="H101" s="123"/>
      <c r="I101" s="120">
        <f t="shared" si="51"/>
        <v>460998</v>
      </c>
      <c r="J101" s="130">
        <f t="shared" si="52"/>
        <v>0</v>
      </c>
      <c r="K101" s="8">
        <v>936.01</v>
      </c>
      <c r="L101" s="8">
        <v>36709.29</v>
      </c>
      <c r="M101" s="131">
        <f t="shared" si="53"/>
        <v>460998</v>
      </c>
      <c r="N101" s="126">
        <f t="shared" si="38"/>
        <v>13543</v>
      </c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32"/>
      <c r="AF101" s="32"/>
      <c r="AG101" s="32"/>
      <c r="AH101" s="127">
        <f t="shared" si="39"/>
        <v>0</v>
      </c>
      <c r="AI101" s="128">
        <f t="shared" si="40"/>
        <v>13543</v>
      </c>
      <c r="AJ101" s="129">
        <f t="shared" si="41"/>
        <v>0</v>
      </c>
      <c r="AM101" s="119"/>
    </row>
    <row r="102" spans="1:39" x14ac:dyDescent="0.25">
      <c r="A102" s="119">
        <f t="shared" si="54"/>
        <v>45326</v>
      </c>
      <c r="B102" s="109" t="s">
        <v>99</v>
      </c>
      <c r="C102" s="6" t="s">
        <v>9</v>
      </c>
      <c r="D102" s="7" t="s">
        <v>11</v>
      </c>
      <c r="E102" s="120">
        <v>219729</v>
      </c>
      <c r="F102" s="130"/>
      <c r="G102" s="122"/>
      <c r="H102" s="123"/>
      <c r="I102" s="120">
        <f t="shared" si="51"/>
        <v>219729</v>
      </c>
      <c r="J102" s="130">
        <f t="shared" si="52"/>
        <v>0</v>
      </c>
      <c r="K102" s="8">
        <v>936.01</v>
      </c>
      <c r="L102" s="8">
        <v>36709.29</v>
      </c>
      <c r="M102" s="131">
        <f t="shared" si="53"/>
        <v>219729</v>
      </c>
      <c r="N102" s="126">
        <f t="shared" si="38"/>
        <v>4079</v>
      </c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32"/>
      <c r="AF102" s="32"/>
      <c r="AG102" s="32"/>
      <c r="AH102" s="127">
        <f t="shared" si="39"/>
        <v>0</v>
      </c>
      <c r="AI102" s="128">
        <f t="shared" si="40"/>
        <v>4079</v>
      </c>
      <c r="AJ102" s="129">
        <f t="shared" si="41"/>
        <v>0</v>
      </c>
    </row>
    <row r="103" spans="1:39" x14ac:dyDescent="0.25">
      <c r="A103" s="119">
        <f t="shared" si="54"/>
        <v>45326</v>
      </c>
      <c r="B103" s="109" t="s">
        <v>99</v>
      </c>
      <c r="C103" s="6" t="s">
        <v>9</v>
      </c>
      <c r="D103" s="7" t="s">
        <v>10</v>
      </c>
      <c r="E103" s="120"/>
      <c r="F103" s="130">
        <f>206.12+95.84+0.23</f>
        <v>302.19000000000005</v>
      </c>
      <c r="G103" s="122"/>
      <c r="H103" s="123"/>
      <c r="I103" s="120">
        <f t="shared" si="51"/>
        <v>0</v>
      </c>
      <c r="J103" s="130">
        <f t="shared" si="52"/>
        <v>302.19000000000005</v>
      </c>
      <c r="K103" s="8">
        <v>936.01</v>
      </c>
      <c r="L103" s="8">
        <v>36709.29</v>
      </c>
      <c r="M103" s="131">
        <f t="shared" si="53"/>
        <v>282852.86190000008</v>
      </c>
      <c r="N103" s="126">
        <f t="shared" si="38"/>
        <v>-538.10309999994934</v>
      </c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32"/>
      <c r="AF103" s="32"/>
      <c r="AG103" s="32"/>
      <c r="AH103" s="127">
        <f t="shared" si="39"/>
        <v>2532.3521999999989</v>
      </c>
      <c r="AI103" s="128">
        <f t="shared" si="40"/>
        <v>-3070.4552999999482</v>
      </c>
      <c r="AJ103" s="129">
        <f t="shared" si="41"/>
        <v>0</v>
      </c>
    </row>
    <row r="104" spans="1:39" x14ac:dyDescent="0.25">
      <c r="A104" s="119">
        <f t="shared" si="54"/>
        <v>45326</v>
      </c>
      <c r="B104" s="109" t="s">
        <v>99</v>
      </c>
      <c r="C104" s="6" t="s">
        <v>7</v>
      </c>
      <c r="D104" s="7" t="s">
        <v>16</v>
      </c>
      <c r="E104" s="120"/>
      <c r="F104" s="130">
        <v>520.6</v>
      </c>
      <c r="G104" s="122"/>
      <c r="H104" s="123"/>
      <c r="I104" s="120">
        <f t="shared" si="51"/>
        <v>0</v>
      </c>
      <c r="J104" s="130">
        <f t="shared" si="52"/>
        <v>520.6</v>
      </c>
      <c r="K104" s="8">
        <v>936.01</v>
      </c>
      <c r="L104" s="8">
        <v>36709.29</v>
      </c>
      <c r="M104" s="131">
        <f t="shared" si="53"/>
        <v>487286.80600000004</v>
      </c>
      <c r="N104" s="126">
        <f t="shared" si="38"/>
        <v>4473.9435999999987</v>
      </c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32"/>
      <c r="AF104" s="32"/>
      <c r="AG104" s="32"/>
      <c r="AH104" s="127">
        <f t="shared" si="39"/>
        <v>4362.6279999999979</v>
      </c>
      <c r="AI104" s="128">
        <f t="shared" si="40"/>
        <v>111.31560000000081</v>
      </c>
      <c r="AJ104" s="129">
        <f t="shared" si="41"/>
        <v>0</v>
      </c>
    </row>
    <row r="105" spans="1:39" s="142" customFormat="1" x14ac:dyDescent="0.25">
      <c r="A105" s="133">
        <f t="shared" si="54"/>
        <v>45326</v>
      </c>
      <c r="B105" s="110" t="s">
        <v>99</v>
      </c>
      <c r="C105" s="45" t="s">
        <v>8</v>
      </c>
      <c r="D105" s="46" t="s">
        <v>16</v>
      </c>
      <c r="E105" s="134"/>
      <c r="F105" s="135">
        <v>107.71</v>
      </c>
      <c r="G105" s="134"/>
      <c r="H105" s="135"/>
      <c r="I105" s="134">
        <f t="shared" si="51"/>
        <v>0</v>
      </c>
      <c r="J105" s="135">
        <f t="shared" si="52"/>
        <v>107.71</v>
      </c>
      <c r="K105" s="47">
        <v>936.01</v>
      </c>
      <c r="L105" s="47">
        <v>36709.29</v>
      </c>
      <c r="M105" s="136">
        <f t="shared" si="53"/>
        <v>100817.63709999999</v>
      </c>
      <c r="N105" s="137">
        <f t="shared" si="38"/>
        <v>2136.3576999999932</v>
      </c>
      <c r="O105" s="138"/>
      <c r="P105" s="138"/>
      <c r="Q105" s="138"/>
      <c r="R105" s="138"/>
      <c r="S105" s="138"/>
      <c r="T105" s="138"/>
      <c r="U105" s="138"/>
      <c r="V105" s="138"/>
      <c r="W105" s="138"/>
      <c r="X105" s="138"/>
      <c r="Y105" s="138"/>
      <c r="Z105" s="138"/>
      <c r="AA105" s="138"/>
      <c r="AB105" s="138"/>
      <c r="AC105" s="138"/>
      <c r="AD105" s="138"/>
      <c r="AE105" s="138"/>
      <c r="AF105" s="138"/>
      <c r="AG105" s="138"/>
      <c r="AH105" s="139">
        <f t="shared" si="39"/>
        <v>902.6097999999995</v>
      </c>
      <c r="AI105" s="140">
        <f t="shared" si="40"/>
        <v>1233.7478999999937</v>
      </c>
      <c r="AJ105" s="141">
        <f t="shared" si="41"/>
        <v>0</v>
      </c>
    </row>
    <row r="106" spans="1:39" x14ac:dyDescent="0.25">
      <c r="A106" s="119">
        <v>45339</v>
      </c>
      <c r="B106" s="109" t="s">
        <v>99</v>
      </c>
      <c r="C106" s="6" t="s">
        <v>5</v>
      </c>
      <c r="D106" s="7" t="s">
        <v>6</v>
      </c>
      <c r="E106" s="120">
        <v>7157480</v>
      </c>
      <c r="F106" s="130"/>
      <c r="G106" s="120"/>
      <c r="H106" s="130"/>
      <c r="I106" s="120">
        <f t="shared" ref="I106:I113" si="55">E106+G106</f>
        <v>7157480</v>
      </c>
      <c r="J106" s="130">
        <f t="shared" ref="J106:J113" si="56">F106+H106</f>
        <v>0</v>
      </c>
      <c r="K106" s="42">
        <v>961.94</v>
      </c>
      <c r="L106" s="42">
        <v>36750.269999999997</v>
      </c>
      <c r="M106" s="131">
        <f t="shared" ref="M106:M113" si="57">I106+J106*K106</f>
        <v>7157480</v>
      </c>
      <c r="N106" s="126">
        <f t="shared" si="38"/>
        <v>6210237</v>
      </c>
      <c r="O106" s="32"/>
      <c r="P106" s="32">
        <v>7350000</v>
      </c>
      <c r="Q106" s="32">
        <f>(-281735-221497)+-500000</f>
        <v>-1003232</v>
      </c>
      <c r="R106" s="32"/>
      <c r="S106" s="32"/>
      <c r="T106" s="32"/>
      <c r="U106" s="32"/>
      <c r="V106" s="32">
        <v>-7694</v>
      </c>
      <c r="W106" s="32"/>
      <c r="X106" s="32"/>
      <c r="Y106" s="32"/>
      <c r="Z106" s="32"/>
      <c r="AA106" s="32">
        <v>-83837</v>
      </c>
      <c r="AB106" s="32">
        <v>-45000</v>
      </c>
      <c r="AC106" s="32"/>
      <c r="AD106" s="32"/>
      <c r="AE106" s="32"/>
      <c r="AF106" s="32"/>
      <c r="AG106" s="32"/>
      <c r="AH106" s="127">
        <f t="shared" ref="AH106:AH137" si="58">J106*(K106-K98)</f>
        <v>0</v>
      </c>
      <c r="AI106" s="128">
        <f t="shared" si="40"/>
        <v>0</v>
      </c>
      <c r="AJ106" s="129">
        <f t="shared" si="41"/>
        <v>0</v>
      </c>
      <c r="AK106" t="s">
        <v>56</v>
      </c>
    </row>
    <row r="107" spans="1:39" x14ac:dyDescent="0.25">
      <c r="A107" s="119">
        <f>A106</f>
        <v>45339</v>
      </c>
      <c r="B107" s="109" t="s">
        <v>99</v>
      </c>
      <c r="C107" s="6" t="s">
        <v>5</v>
      </c>
      <c r="D107" s="7" t="s">
        <v>26</v>
      </c>
      <c r="E107" s="120">
        <v>9928481</v>
      </c>
      <c r="F107" s="130">
        <v>7970</v>
      </c>
      <c r="G107" s="122">
        <v>-10000000</v>
      </c>
      <c r="H107" s="123">
        <v>-8000</v>
      </c>
      <c r="I107" s="120">
        <f t="shared" si="55"/>
        <v>-71519</v>
      </c>
      <c r="J107" s="130">
        <f t="shared" si="56"/>
        <v>-30</v>
      </c>
      <c r="K107" s="8">
        <v>961.94</v>
      </c>
      <c r="L107" s="8">
        <v>36750.269999999997</v>
      </c>
      <c r="M107" s="131">
        <f t="shared" si="57"/>
        <v>-100377.2</v>
      </c>
      <c r="N107" s="126">
        <f t="shared" si="38"/>
        <v>107940.09999999999</v>
      </c>
      <c r="O107" s="32"/>
      <c r="P107" s="32"/>
      <c r="Q107" s="32">
        <f>(281735+221497)+0</f>
        <v>503232</v>
      </c>
      <c r="R107" s="32"/>
      <c r="S107" s="32">
        <f>-22730-8198</f>
        <v>-30928</v>
      </c>
      <c r="T107" s="32">
        <f>-6000-67953</f>
        <v>-73953</v>
      </c>
      <c r="U107" s="32">
        <f>-7180-25650-38940</f>
        <v>-71770</v>
      </c>
      <c r="V107" s="32">
        <f>-7790-36630</f>
        <v>-44420</v>
      </c>
      <c r="W107" s="32">
        <f>-1600-15860--1690-2000-1690-2180-1000-700-5970-1600-1590-2240-11580-1600-2100-12260-6860-3580-1940-1600-3980-3280</f>
        <v>-83520</v>
      </c>
      <c r="X107" s="32"/>
      <c r="Y107" s="32"/>
      <c r="Z107" s="32">
        <f>-4389-4716-4962-4618-7120-4386-5100-4399-4802-4931-3911-12388</f>
        <v>-65722</v>
      </c>
      <c r="AA107" s="32">
        <v>-15221</v>
      </c>
      <c r="AB107" s="32">
        <v>-4000</v>
      </c>
      <c r="AC107" s="32"/>
      <c r="AD107" s="32"/>
      <c r="AE107" s="32"/>
      <c r="AF107" s="32"/>
      <c r="AG107" s="32"/>
      <c r="AH107" s="127">
        <f t="shared" si="58"/>
        <v>-777.90000000000191</v>
      </c>
      <c r="AI107" s="128">
        <f t="shared" si="40"/>
        <v>0</v>
      </c>
      <c r="AJ107" s="129">
        <f t="shared" si="41"/>
        <v>-4980</v>
      </c>
      <c r="AK107" t="s">
        <v>57</v>
      </c>
    </row>
    <row r="108" spans="1:39" x14ac:dyDescent="0.25">
      <c r="A108" s="119">
        <f t="shared" ref="A108:A113" si="59">A107</f>
        <v>45339</v>
      </c>
      <c r="B108" s="109" t="s">
        <v>99</v>
      </c>
      <c r="C108" s="6" t="s">
        <v>9</v>
      </c>
      <c r="D108" s="7" t="s">
        <v>12</v>
      </c>
      <c r="E108" s="120">
        <v>4892943</v>
      </c>
      <c r="F108" s="130"/>
      <c r="G108" s="122"/>
      <c r="H108" s="123"/>
      <c r="I108" s="120">
        <f t="shared" si="55"/>
        <v>4892943</v>
      </c>
      <c r="J108" s="130">
        <f t="shared" si="56"/>
        <v>0</v>
      </c>
      <c r="K108" s="8">
        <v>961.94</v>
      </c>
      <c r="L108" s="8">
        <v>36750.269999999997</v>
      </c>
      <c r="M108" s="131">
        <f t="shared" si="57"/>
        <v>4892943</v>
      </c>
      <c r="N108" s="126">
        <f t="shared" si="38"/>
        <v>13790</v>
      </c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32"/>
      <c r="AF108" s="32"/>
      <c r="AG108" s="32"/>
      <c r="AH108" s="127">
        <f t="shared" si="58"/>
        <v>0</v>
      </c>
      <c r="AI108" s="128">
        <f t="shared" si="40"/>
        <v>13790</v>
      </c>
      <c r="AJ108" s="129">
        <f t="shared" si="41"/>
        <v>0</v>
      </c>
      <c r="AK108" t="s">
        <v>58</v>
      </c>
    </row>
    <row r="109" spans="1:39" x14ac:dyDescent="0.25">
      <c r="A109" s="119">
        <f t="shared" si="59"/>
        <v>45339</v>
      </c>
      <c r="B109" s="109" t="s">
        <v>99</v>
      </c>
      <c r="C109" s="6" t="s">
        <v>9</v>
      </c>
      <c r="D109" s="7" t="s">
        <v>15</v>
      </c>
      <c r="E109" s="120">
        <v>986858</v>
      </c>
      <c r="F109" s="130"/>
      <c r="G109" s="122"/>
      <c r="H109" s="123"/>
      <c r="I109" s="120">
        <f t="shared" si="55"/>
        <v>986858</v>
      </c>
      <c r="J109" s="130">
        <f t="shared" si="56"/>
        <v>0</v>
      </c>
      <c r="K109" s="8">
        <v>961.94</v>
      </c>
      <c r="L109" s="8">
        <v>36750.269999999997</v>
      </c>
      <c r="M109" s="131">
        <f t="shared" si="57"/>
        <v>986858</v>
      </c>
      <c r="N109" s="126">
        <f t="shared" si="38"/>
        <v>525860</v>
      </c>
      <c r="O109" s="32"/>
      <c r="P109" s="32"/>
      <c r="Q109" s="32">
        <v>500000</v>
      </c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  <c r="AD109" s="32"/>
      <c r="AE109" s="32"/>
      <c r="AF109" s="32"/>
      <c r="AG109" s="32"/>
      <c r="AH109" s="127">
        <f t="shared" si="58"/>
        <v>0</v>
      </c>
      <c r="AI109" s="128">
        <f t="shared" si="40"/>
        <v>25860</v>
      </c>
      <c r="AJ109" s="129">
        <f t="shared" si="41"/>
        <v>0</v>
      </c>
      <c r="AM109" s="119"/>
    </row>
    <row r="110" spans="1:39" x14ac:dyDescent="0.25">
      <c r="A110" s="119">
        <f t="shared" si="59"/>
        <v>45339</v>
      </c>
      <c r="B110" s="109" t="s">
        <v>99</v>
      </c>
      <c r="C110" s="6" t="s">
        <v>9</v>
      </c>
      <c r="D110" s="7" t="s">
        <v>11</v>
      </c>
      <c r="E110" s="120">
        <v>224886</v>
      </c>
      <c r="F110" s="130"/>
      <c r="G110" s="122"/>
      <c r="H110" s="123"/>
      <c r="I110" s="120">
        <f t="shared" si="55"/>
        <v>224886</v>
      </c>
      <c r="J110" s="130">
        <f t="shared" si="56"/>
        <v>0</v>
      </c>
      <c r="K110" s="8">
        <v>961.94</v>
      </c>
      <c r="L110" s="8">
        <v>36750.269999999997</v>
      </c>
      <c r="M110" s="131">
        <f t="shared" si="57"/>
        <v>224886</v>
      </c>
      <c r="N110" s="126">
        <f t="shared" si="38"/>
        <v>5157</v>
      </c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127">
        <f t="shared" si="58"/>
        <v>0</v>
      </c>
      <c r="AI110" s="128">
        <f t="shared" si="40"/>
        <v>5157</v>
      </c>
      <c r="AJ110" s="129">
        <f t="shared" si="41"/>
        <v>0</v>
      </c>
    </row>
    <row r="111" spans="1:39" x14ac:dyDescent="0.25">
      <c r="A111" s="119">
        <f t="shared" si="59"/>
        <v>45339</v>
      </c>
      <c r="B111" s="109" t="s">
        <v>99</v>
      </c>
      <c r="C111" s="6" t="s">
        <v>9</v>
      </c>
      <c r="D111" s="7" t="s">
        <v>10</v>
      </c>
      <c r="E111" s="120"/>
      <c r="F111" s="130">
        <v>312.39</v>
      </c>
      <c r="G111" s="122"/>
      <c r="H111" s="123"/>
      <c r="I111" s="120">
        <f t="shared" si="55"/>
        <v>0</v>
      </c>
      <c r="J111" s="130">
        <f t="shared" si="56"/>
        <v>312.39</v>
      </c>
      <c r="K111" s="8">
        <v>961.94</v>
      </c>
      <c r="L111" s="8">
        <v>36750.269999999997</v>
      </c>
      <c r="M111" s="131">
        <f t="shared" si="57"/>
        <v>300500.43660000002</v>
      </c>
      <c r="N111" s="126">
        <f t="shared" si="38"/>
        <v>17647.574699999939</v>
      </c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  <c r="AD111" s="32"/>
      <c r="AE111" s="32"/>
      <c r="AF111" s="32"/>
      <c r="AG111" s="32"/>
      <c r="AH111" s="127">
        <f t="shared" si="58"/>
        <v>8100.2727000000195</v>
      </c>
      <c r="AI111" s="128">
        <f t="shared" si="40"/>
        <v>9547.3019999999196</v>
      </c>
      <c r="AJ111" s="129">
        <f t="shared" si="41"/>
        <v>0</v>
      </c>
    </row>
    <row r="112" spans="1:39" x14ac:dyDescent="0.25">
      <c r="A112" s="119">
        <f t="shared" si="59"/>
        <v>45339</v>
      </c>
      <c r="B112" s="109" t="s">
        <v>99</v>
      </c>
      <c r="C112" s="6" t="s">
        <v>7</v>
      </c>
      <c r="D112" s="7" t="s">
        <v>16</v>
      </c>
      <c r="E112" s="120"/>
      <c r="F112" s="130">
        <v>641</v>
      </c>
      <c r="G112" s="122"/>
      <c r="H112" s="123"/>
      <c r="I112" s="120">
        <f t="shared" si="55"/>
        <v>0</v>
      </c>
      <c r="J112" s="130">
        <f t="shared" si="56"/>
        <v>641</v>
      </c>
      <c r="K112" s="8">
        <v>961.94</v>
      </c>
      <c r="L112" s="8">
        <v>36750.269999999997</v>
      </c>
      <c r="M112" s="131">
        <f t="shared" si="57"/>
        <v>616603.54</v>
      </c>
      <c r="N112" s="126">
        <f t="shared" si="38"/>
        <v>129316.734</v>
      </c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  <c r="AD112" s="32"/>
      <c r="AE112" s="32"/>
      <c r="AF112" s="32"/>
      <c r="AG112" s="32"/>
      <c r="AH112" s="127">
        <f t="shared" si="58"/>
        <v>16621.130000000041</v>
      </c>
      <c r="AI112" s="128">
        <f t="shared" si="40"/>
        <v>112695.60399999996</v>
      </c>
      <c r="AJ112" s="129">
        <f t="shared" si="41"/>
        <v>0</v>
      </c>
    </row>
    <row r="113" spans="1:39" s="142" customFormat="1" x14ac:dyDescent="0.25">
      <c r="A113" s="133">
        <f t="shared" si="59"/>
        <v>45339</v>
      </c>
      <c r="B113" s="110" t="s">
        <v>99</v>
      </c>
      <c r="C113" s="45" t="s">
        <v>8</v>
      </c>
      <c r="D113" s="46" t="s">
        <v>16</v>
      </c>
      <c r="E113" s="134"/>
      <c r="F113" s="135">
        <v>244.9</v>
      </c>
      <c r="G113" s="134"/>
      <c r="H113" s="135"/>
      <c r="I113" s="134">
        <f t="shared" si="55"/>
        <v>0</v>
      </c>
      <c r="J113" s="135">
        <f t="shared" si="56"/>
        <v>244.9</v>
      </c>
      <c r="K113" s="47">
        <v>961.94</v>
      </c>
      <c r="L113" s="47">
        <v>36750.269999999997</v>
      </c>
      <c r="M113" s="136">
        <f t="shared" si="57"/>
        <v>235579.10600000003</v>
      </c>
      <c r="N113" s="137">
        <f t="shared" si="38"/>
        <v>134761.46890000004</v>
      </c>
      <c r="O113" s="138"/>
      <c r="P113" s="138"/>
      <c r="Q113" s="138"/>
      <c r="R113" s="138"/>
      <c r="S113" s="138"/>
      <c r="T113" s="138"/>
      <c r="U113" s="138"/>
      <c r="V113" s="138"/>
      <c r="W113" s="138"/>
      <c r="X113" s="138"/>
      <c r="Y113" s="138"/>
      <c r="Z113" s="138"/>
      <c r="AA113" s="138"/>
      <c r="AB113" s="138"/>
      <c r="AC113" s="138"/>
      <c r="AD113" s="138"/>
      <c r="AE113" s="138"/>
      <c r="AF113" s="138"/>
      <c r="AG113" s="138"/>
      <c r="AH113" s="139">
        <f t="shared" si="58"/>
        <v>6350.257000000016</v>
      </c>
      <c r="AI113" s="140">
        <f t="shared" si="40"/>
        <v>128411.21190000002</v>
      </c>
      <c r="AJ113" s="141">
        <f t="shared" si="41"/>
        <v>0</v>
      </c>
    </row>
    <row r="114" spans="1:39" x14ac:dyDescent="0.25">
      <c r="A114" s="119">
        <v>45341</v>
      </c>
      <c r="B114" s="109" t="s">
        <v>99</v>
      </c>
      <c r="C114" s="6" t="s">
        <v>5</v>
      </c>
      <c r="D114" s="7" t="s">
        <v>6</v>
      </c>
      <c r="E114" s="120">
        <v>7157480</v>
      </c>
      <c r="F114" s="130"/>
      <c r="G114" s="120"/>
      <c r="H114" s="130"/>
      <c r="I114" s="120">
        <f t="shared" ref="I114:I121" si="60">E114+G114</f>
        <v>7157480</v>
      </c>
      <c r="J114" s="130">
        <f t="shared" ref="J114:J121" si="61">F114+H114</f>
        <v>0</v>
      </c>
      <c r="K114" s="42">
        <f>VLOOKUP($A114,MarketData!$D:$ZZ,MATCH(K$1,MarketData!$D$1:$ZZ$1,0))</f>
        <v>969.04</v>
      </c>
      <c r="L114" s="42">
        <f>VLOOKUP($A114,MarketData!$D:$ZZ,MATCH(L$1,MarketData!$D$1:$ZZ$1,0))</f>
        <v>36767.949999999997</v>
      </c>
      <c r="M114" s="131">
        <f t="shared" ref="M114:M121" si="62">I114+J114*K114</f>
        <v>7157480</v>
      </c>
      <c r="N114" s="126">
        <f t="shared" si="38"/>
        <v>0</v>
      </c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127">
        <f t="shared" si="58"/>
        <v>0</v>
      </c>
      <c r="AI114" s="128">
        <f t="shared" si="40"/>
        <v>0</v>
      </c>
      <c r="AJ114" s="129">
        <f t="shared" si="41"/>
        <v>0</v>
      </c>
    </row>
    <row r="115" spans="1:39" x14ac:dyDescent="0.25">
      <c r="A115" s="119">
        <f>A114</f>
        <v>45341</v>
      </c>
      <c r="B115" s="109" t="s">
        <v>99</v>
      </c>
      <c r="C115" s="6" t="s">
        <v>5</v>
      </c>
      <c r="D115" s="7" t="s">
        <v>26</v>
      </c>
      <c r="E115" s="120">
        <v>9597436</v>
      </c>
      <c r="F115" s="130">
        <v>7960</v>
      </c>
      <c r="G115" s="122">
        <v>-10000000</v>
      </c>
      <c r="H115" s="123">
        <v>-8000</v>
      </c>
      <c r="I115" s="120">
        <f t="shared" si="60"/>
        <v>-402564</v>
      </c>
      <c r="J115" s="130">
        <f t="shared" si="61"/>
        <v>-40</v>
      </c>
      <c r="K115" s="8">
        <f>K114</f>
        <v>969.04</v>
      </c>
      <c r="L115" s="8">
        <f>L114</f>
        <v>36767.949999999997</v>
      </c>
      <c r="M115" s="131">
        <f t="shared" si="62"/>
        <v>-441325.6</v>
      </c>
      <c r="N115" s="126">
        <f t="shared" si="38"/>
        <v>-340948.39999999997</v>
      </c>
      <c r="O115" s="32"/>
      <c r="P115" s="32"/>
      <c r="Q115" s="32"/>
      <c r="R115" s="32"/>
      <c r="S115" s="32"/>
      <c r="T115" s="32">
        <v>-44525</v>
      </c>
      <c r="U115" s="32"/>
      <c r="V115" s="32">
        <v>-41602</v>
      </c>
      <c r="W115" s="32"/>
      <c r="X115" s="32"/>
      <c r="Y115" s="32"/>
      <c r="Z115" s="32">
        <f>-14591-6013-3422</f>
        <v>-24026</v>
      </c>
      <c r="AA115" s="32">
        <f>(-10*K115)+0</f>
        <v>-9690.4</v>
      </c>
      <c r="AB115" s="32">
        <v>-220892</v>
      </c>
      <c r="AC115" s="32"/>
      <c r="AD115" s="32"/>
      <c r="AE115" s="32"/>
      <c r="AF115" s="32"/>
      <c r="AG115" s="32"/>
      <c r="AH115" s="127">
        <f t="shared" si="58"/>
        <v>-283.99999999999636</v>
      </c>
      <c r="AI115" s="128">
        <f t="shared" si="40"/>
        <v>0</v>
      </c>
      <c r="AJ115" s="129">
        <f t="shared" si="41"/>
        <v>71.000000000058208</v>
      </c>
      <c r="AK115" t="s">
        <v>59</v>
      </c>
    </row>
    <row r="116" spans="1:39" x14ac:dyDescent="0.25">
      <c r="A116" s="119">
        <f t="shared" ref="A116:A121" si="63">A115</f>
        <v>45341</v>
      </c>
      <c r="B116" s="109" t="s">
        <v>99</v>
      </c>
      <c r="C116" s="6" t="s">
        <v>9</v>
      </c>
      <c r="D116" s="7" t="s">
        <v>12</v>
      </c>
      <c r="E116" s="120">
        <v>4892943</v>
      </c>
      <c r="F116" s="130"/>
      <c r="G116" s="122"/>
      <c r="H116" s="123"/>
      <c r="I116" s="120">
        <f t="shared" si="60"/>
        <v>4892943</v>
      </c>
      <c r="J116" s="130">
        <f t="shared" si="61"/>
        <v>0</v>
      </c>
      <c r="K116" s="8">
        <f t="shared" ref="K116:L116" si="64">K115</f>
        <v>969.04</v>
      </c>
      <c r="L116" s="8">
        <f t="shared" si="64"/>
        <v>36767.949999999997</v>
      </c>
      <c r="M116" s="131">
        <f t="shared" si="62"/>
        <v>4892943</v>
      </c>
      <c r="N116" s="126">
        <f t="shared" si="38"/>
        <v>0</v>
      </c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32"/>
      <c r="AE116" s="32"/>
      <c r="AF116" s="32"/>
      <c r="AG116" s="32"/>
      <c r="AH116" s="127">
        <f t="shared" si="58"/>
        <v>0</v>
      </c>
      <c r="AI116" s="128">
        <f t="shared" si="40"/>
        <v>0</v>
      </c>
      <c r="AJ116" s="129">
        <f t="shared" si="41"/>
        <v>0</v>
      </c>
    </row>
    <row r="117" spans="1:39" x14ac:dyDescent="0.25">
      <c r="A117" s="119">
        <f t="shared" si="63"/>
        <v>45341</v>
      </c>
      <c r="B117" s="109" t="s">
        <v>99</v>
      </c>
      <c r="C117" s="6" t="s">
        <v>9</v>
      </c>
      <c r="D117" s="7" t="s">
        <v>15</v>
      </c>
      <c r="E117" s="120">
        <v>986858</v>
      </c>
      <c r="F117" s="130"/>
      <c r="G117" s="122"/>
      <c r="H117" s="123"/>
      <c r="I117" s="120">
        <f t="shared" si="60"/>
        <v>986858</v>
      </c>
      <c r="J117" s="130">
        <f t="shared" si="61"/>
        <v>0</v>
      </c>
      <c r="K117" s="8">
        <f t="shared" ref="K117:L117" si="65">K116</f>
        <v>969.04</v>
      </c>
      <c r="L117" s="8">
        <f t="shared" si="65"/>
        <v>36767.949999999997</v>
      </c>
      <c r="M117" s="131">
        <f t="shared" si="62"/>
        <v>986858</v>
      </c>
      <c r="N117" s="126">
        <f t="shared" si="38"/>
        <v>0</v>
      </c>
      <c r="O117" s="32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32"/>
      <c r="AF117" s="32"/>
      <c r="AG117" s="32"/>
      <c r="AH117" s="127">
        <f t="shared" si="58"/>
        <v>0</v>
      </c>
      <c r="AI117" s="128">
        <f t="shared" si="40"/>
        <v>0</v>
      </c>
      <c r="AJ117" s="129">
        <f t="shared" si="41"/>
        <v>0</v>
      </c>
      <c r="AM117" s="119"/>
    </row>
    <row r="118" spans="1:39" x14ac:dyDescent="0.25">
      <c r="A118" s="119">
        <f t="shared" si="63"/>
        <v>45341</v>
      </c>
      <c r="B118" s="109" t="s">
        <v>99</v>
      </c>
      <c r="C118" s="6" t="s">
        <v>9</v>
      </c>
      <c r="D118" s="7" t="s">
        <v>11</v>
      </c>
      <c r="E118" s="120">
        <v>224886</v>
      </c>
      <c r="F118" s="130"/>
      <c r="G118" s="122"/>
      <c r="H118" s="123"/>
      <c r="I118" s="120">
        <f t="shared" si="60"/>
        <v>224886</v>
      </c>
      <c r="J118" s="130">
        <f t="shared" si="61"/>
        <v>0</v>
      </c>
      <c r="K118" s="8">
        <f t="shared" ref="K118:L118" si="66">K117</f>
        <v>969.04</v>
      </c>
      <c r="L118" s="8">
        <f t="shared" si="66"/>
        <v>36767.949999999997</v>
      </c>
      <c r="M118" s="131">
        <f t="shared" si="62"/>
        <v>224886</v>
      </c>
      <c r="N118" s="126">
        <f t="shared" si="38"/>
        <v>0</v>
      </c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  <c r="AD118" s="32"/>
      <c r="AE118" s="32"/>
      <c r="AF118" s="32"/>
      <c r="AG118" s="32"/>
      <c r="AH118" s="127">
        <f t="shared" si="58"/>
        <v>0</v>
      </c>
      <c r="AI118" s="128">
        <f t="shared" si="40"/>
        <v>0</v>
      </c>
      <c r="AJ118" s="129">
        <f t="shared" si="41"/>
        <v>0</v>
      </c>
    </row>
    <row r="119" spans="1:39" x14ac:dyDescent="0.25">
      <c r="A119" s="119">
        <f t="shared" si="63"/>
        <v>45341</v>
      </c>
      <c r="B119" s="109" t="s">
        <v>99</v>
      </c>
      <c r="C119" s="6" t="s">
        <v>9</v>
      </c>
      <c r="D119" s="7" t="s">
        <v>10</v>
      </c>
      <c r="E119" s="120"/>
      <c r="F119" s="130">
        <v>312.39</v>
      </c>
      <c r="G119" s="122"/>
      <c r="H119" s="123"/>
      <c r="I119" s="120">
        <f t="shared" si="60"/>
        <v>0</v>
      </c>
      <c r="J119" s="130">
        <f t="shared" si="61"/>
        <v>312.39</v>
      </c>
      <c r="K119" s="8">
        <f t="shared" ref="K119:L119" si="67">K118</f>
        <v>969.04</v>
      </c>
      <c r="L119" s="8">
        <f t="shared" si="67"/>
        <v>36767.949999999997</v>
      </c>
      <c r="M119" s="131">
        <f t="shared" si="62"/>
        <v>302718.4056</v>
      </c>
      <c r="N119" s="126">
        <f t="shared" si="38"/>
        <v>2217.9689999999828</v>
      </c>
      <c r="O119" s="32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  <c r="AD119" s="32"/>
      <c r="AE119" s="32"/>
      <c r="AF119" s="32"/>
      <c r="AG119" s="32"/>
      <c r="AH119" s="127">
        <f t="shared" si="58"/>
        <v>2217.9689999999714</v>
      </c>
      <c r="AI119" s="128">
        <f t="shared" si="40"/>
        <v>1.1368683772161603E-11</v>
      </c>
      <c r="AJ119" s="129">
        <f t="shared" si="41"/>
        <v>0</v>
      </c>
    </row>
    <row r="120" spans="1:39" x14ac:dyDescent="0.25">
      <c r="A120" s="119">
        <f t="shared" si="63"/>
        <v>45341</v>
      </c>
      <c r="B120" s="109" t="s">
        <v>99</v>
      </c>
      <c r="C120" s="6" t="s">
        <v>7</v>
      </c>
      <c r="D120" s="7" t="s">
        <v>16</v>
      </c>
      <c r="E120" s="120"/>
      <c r="F120" s="130">
        <v>641</v>
      </c>
      <c r="G120" s="122"/>
      <c r="H120" s="123"/>
      <c r="I120" s="120">
        <f t="shared" si="60"/>
        <v>0</v>
      </c>
      <c r="J120" s="130">
        <f t="shared" si="61"/>
        <v>641</v>
      </c>
      <c r="K120" s="8">
        <f t="shared" ref="K120:L120" si="68">K119</f>
        <v>969.04</v>
      </c>
      <c r="L120" s="8">
        <f t="shared" si="68"/>
        <v>36767.949999999997</v>
      </c>
      <c r="M120" s="131">
        <f t="shared" si="62"/>
        <v>621154.64</v>
      </c>
      <c r="N120" s="126">
        <f t="shared" si="38"/>
        <v>4551.0999999999767</v>
      </c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  <c r="AE120" s="32"/>
      <c r="AF120" s="32"/>
      <c r="AG120" s="32"/>
      <c r="AH120" s="127">
        <f t="shared" si="58"/>
        <v>4551.0999999999422</v>
      </c>
      <c r="AI120" s="128">
        <f t="shared" si="40"/>
        <v>3.4560798667371273E-11</v>
      </c>
      <c r="AJ120" s="129">
        <f t="shared" si="41"/>
        <v>0</v>
      </c>
    </row>
    <row r="121" spans="1:39" s="142" customFormat="1" x14ac:dyDescent="0.25">
      <c r="A121" s="133">
        <f t="shared" si="63"/>
        <v>45341</v>
      </c>
      <c r="B121" s="110" t="s">
        <v>99</v>
      </c>
      <c r="C121" s="45" t="s">
        <v>8</v>
      </c>
      <c r="D121" s="46" t="s">
        <v>16</v>
      </c>
      <c r="E121" s="134"/>
      <c r="F121" s="135">
        <v>322.18</v>
      </c>
      <c r="G121" s="134"/>
      <c r="H121" s="135"/>
      <c r="I121" s="134">
        <f t="shared" si="60"/>
        <v>0</v>
      </c>
      <c r="J121" s="135">
        <f t="shared" si="61"/>
        <v>322.18</v>
      </c>
      <c r="K121" s="47">
        <f t="shared" ref="K121:L121" si="69">K120</f>
        <v>969.04</v>
      </c>
      <c r="L121" s="47">
        <f t="shared" si="69"/>
        <v>36767.949999999997</v>
      </c>
      <c r="M121" s="136">
        <f t="shared" si="62"/>
        <v>312205.30719999998</v>
      </c>
      <c r="N121" s="137">
        <f t="shared" si="38"/>
        <v>76626.201199999952</v>
      </c>
      <c r="O121" s="138"/>
      <c r="P121" s="138"/>
      <c r="Q121" s="138"/>
      <c r="R121" s="138"/>
      <c r="S121" s="138"/>
      <c r="T121" s="138"/>
      <c r="U121" s="138"/>
      <c r="V121" s="138"/>
      <c r="W121" s="138"/>
      <c r="X121" s="138"/>
      <c r="Y121" s="138"/>
      <c r="Z121" s="138"/>
      <c r="AA121" s="138"/>
      <c r="AB121" s="138"/>
      <c r="AC121" s="138"/>
      <c r="AD121" s="138"/>
      <c r="AE121" s="138"/>
      <c r="AF121" s="138"/>
      <c r="AG121" s="138"/>
      <c r="AH121" s="139">
        <f t="shared" si="58"/>
        <v>2287.477999999971</v>
      </c>
      <c r="AI121" s="140">
        <f t="shared" si="40"/>
        <v>74338.723199999979</v>
      </c>
      <c r="AJ121" s="141">
        <f t="shared" si="41"/>
        <v>0</v>
      </c>
    </row>
    <row r="122" spans="1:39" x14ac:dyDescent="0.25">
      <c r="A122" s="119">
        <v>45343</v>
      </c>
      <c r="B122" s="109" t="s">
        <v>99</v>
      </c>
      <c r="C122" s="6" t="s">
        <v>5</v>
      </c>
      <c r="D122" s="7" t="s">
        <v>6</v>
      </c>
      <c r="E122" s="120">
        <v>5256600</v>
      </c>
      <c r="F122" s="130"/>
      <c r="G122" s="120"/>
      <c r="H122" s="130"/>
      <c r="I122" s="120">
        <f t="shared" ref="I122:I129" si="70">E122+G122</f>
        <v>5256600</v>
      </c>
      <c r="J122" s="130">
        <f t="shared" ref="J122:J129" si="71">F122+H122</f>
        <v>0</v>
      </c>
      <c r="K122" s="42">
        <f>VLOOKUP($A122,MarketData!$D:$ZZ,MATCH(K$1,MarketData!$D$1:$ZZ$1,0))</f>
        <v>963.68</v>
      </c>
      <c r="L122" s="42">
        <f>VLOOKUP($A122,MarketData!$D:$ZZ,MATCH(L$1,MarketData!$D$1:$ZZ$1,0))</f>
        <v>36785.65</v>
      </c>
      <c r="M122" s="131">
        <f t="shared" ref="M122:M129" si="72">I122+J122*K122</f>
        <v>5256600</v>
      </c>
      <c r="N122" s="126">
        <f t="shared" si="38"/>
        <v>-1900880</v>
      </c>
      <c r="O122" s="32"/>
      <c r="P122" s="32"/>
      <c r="Q122" s="32">
        <f>(615000)+-2500000</f>
        <v>-1885000</v>
      </c>
      <c r="R122" s="32"/>
      <c r="S122" s="32"/>
      <c r="T122" s="32"/>
      <c r="U122" s="32"/>
      <c r="V122" s="32"/>
      <c r="W122" s="32"/>
      <c r="X122" s="32"/>
      <c r="Y122" s="32"/>
      <c r="Z122" s="32"/>
      <c r="AA122" s="32">
        <v>-15880</v>
      </c>
      <c r="AB122" s="32"/>
      <c r="AC122" s="32"/>
      <c r="AD122" s="32"/>
      <c r="AE122" s="32"/>
      <c r="AF122" s="32"/>
      <c r="AG122" s="32"/>
      <c r="AH122" s="127">
        <f t="shared" si="58"/>
        <v>0</v>
      </c>
      <c r="AI122" s="128">
        <f t="shared" si="40"/>
        <v>0</v>
      </c>
      <c r="AJ122" s="129">
        <f t="shared" si="41"/>
        <v>0</v>
      </c>
    </row>
    <row r="123" spans="1:39" x14ac:dyDescent="0.25">
      <c r="A123" s="119">
        <f>A122</f>
        <v>45343</v>
      </c>
      <c r="B123" s="109" t="s">
        <v>99</v>
      </c>
      <c r="C123" s="6" t="s">
        <v>5</v>
      </c>
      <c r="D123" s="7" t="s">
        <v>26</v>
      </c>
      <c r="E123" s="120">
        <v>9465044</v>
      </c>
      <c r="F123" s="130">
        <v>7960</v>
      </c>
      <c r="G123" s="122">
        <v>-10000000</v>
      </c>
      <c r="H123" s="123">
        <v>-8000</v>
      </c>
      <c r="I123" s="120">
        <f t="shared" si="70"/>
        <v>-534956</v>
      </c>
      <c r="J123" s="130">
        <f t="shared" si="71"/>
        <v>-40</v>
      </c>
      <c r="K123" s="8">
        <f>K122</f>
        <v>963.68</v>
      </c>
      <c r="L123" s="8">
        <f>L122</f>
        <v>36785.65</v>
      </c>
      <c r="M123" s="131">
        <f t="shared" si="72"/>
        <v>-573503.19999999995</v>
      </c>
      <c r="N123" s="126">
        <f t="shared" si="38"/>
        <v>-132177.59999999998</v>
      </c>
      <c r="O123" s="32"/>
      <c r="P123" s="32"/>
      <c r="Q123" s="32"/>
      <c r="R123" s="32"/>
      <c r="S123" s="32">
        <v>-57107</v>
      </c>
      <c r="T123" s="32"/>
      <c r="U123" s="32">
        <v>-25000</v>
      </c>
      <c r="V123" s="32"/>
      <c r="W123" s="32">
        <f>-1590-2480-7400-1600-3490-1290-1600-5870</f>
        <v>-25320</v>
      </c>
      <c r="X123" s="32"/>
      <c r="Y123" s="32"/>
      <c r="Z123" s="32">
        <f>6216-5316-5416-4356-5031</f>
        <v>-13903</v>
      </c>
      <c r="AA123" s="32"/>
      <c r="AB123" s="32"/>
      <c r="AC123" s="32"/>
      <c r="AD123" s="32"/>
      <c r="AE123" s="32"/>
      <c r="AF123" s="32"/>
      <c r="AG123" s="32"/>
      <c r="AH123" s="127">
        <f t="shared" si="58"/>
        <v>214.40000000000055</v>
      </c>
      <c r="AI123" s="128">
        <f t="shared" si="40"/>
        <v>0</v>
      </c>
      <c r="AJ123" s="129">
        <f t="shared" si="41"/>
        <v>-11061.999999999971</v>
      </c>
    </row>
    <row r="124" spans="1:39" x14ac:dyDescent="0.25">
      <c r="A124" s="119">
        <f t="shared" ref="A124:A129" si="73">A123</f>
        <v>45343</v>
      </c>
      <c r="B124" s="109" t="s">
        <v>99</v>
      </c>
      <c r="C124" s="6" t="s">
        <v>9</v>
      </c>
      <c r="D124" s="7" t="s">
        <v>12</v>
      </c>
      <c r="E124" s="120">
        <v>5898347</v>
      </c>
      <c r="F124" s="130"/>
      <c r="G124" s="122"/>
      <c r="H124" s="123"/>
      <c r="I124" s="120">
        <f t="shared" si="70"/>
        <v>5898347</v>
      </c>
      <c r="J124" s="130">
        <f t="shared" si="71"/>
        <v>0</v>
      </c>
      <c r="K124" s="8">
        <f t="shared" ref="K124:L124" si="74">K123</f>
        <v>963.68</v>
      </c>
      <c r="L124" s="8">
        <f t="shared" si="74"/>
        <v>36785.65</v>
      </c>
      <c r="M124" s="131">
        <f t="shared" si="72"/>
        <v>5898347</v>
      </c>
      <c r="N124" s="126">
        <f t="shared" si="38"/>
        <v>1005404</v>
      </c>
      <c r="O124" s="32"/>
      <c r="P124" s="32"/>
      <c r="Q124" s="32">
        <v>1000000</v>
      </c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  <c r="AD124" s="32"/>
      <c r="AE124" s="32"/>
      <c r="AF124" s="32"/>
      <c r="AG124" s="32"/>
      <c r="AH124" s="127">
        <f t="shared" si="58"/>
        <v>0</v>
      </c>
      <c r="AI124" s="128">
        <f t="shared" si="40"/>
        <v>5404</v>
      </c>
      <c r="AJ124" s="129">
        <f t="shared" si="41"/>
        <v>0</v>
      </c>
    </row>
    <row r="125" spans="1:39" x14ac:dyDescent="0.25">
      <c r="A125" s="119">
        <f t="shared" si="73"/>
        <v>45343</v>
      </c>
      <c r="B125" s="109" t="s">
        <v>99</v>
      </c>
      <c r="C125" s="6" t="s">
        <v>9</v>
      </c>
      <c r="D125" s="7" t="s">
        <v>15</v>
      </c>
      <c r="E125" s="120">
        <v>2009498</v>
      </c>
      <c r="F125" s="130"/>
      <c r="G125" s="122"/>
      <c r="H125" s="123"/>
      <c r="I125" s="120">
        <f t="shared" si="70"/>
        <v>2009498</v>
      </c>
      <c r="J125" s="130">
        <f t="shared" si="71"/>
        <v>0</v>
      </c>
      <c r="K125" s="8">
        <f t="shared" ref="K125:L125" si="75">K124</f>
        <v>963.68</v>
      </c>
      <c r="L125" s="8">
        <f t="shared" si="75"/>
        <v>36785.65</v>
      </c>
      <c r="M125" s="131">
        <f t="shared" si="72"/>
        <v>2009498</v>
      </c>
      <c r="N125" s="126">
        <f t="shared" si="38"/>
        <v>1022640</v>
      </c>
      <c r="O125" s="32"/>
      <c r="P125" s="32"/>
      <c r="Q125" s="32">
        <v>1033900</v>
      </c>
      <c r="R125" s="32"/>
      <c r="S125" s="32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  <c r="AD125" s="32"/>
      <c r="AE125" s="32"/>
      <c r="AF125" s="32"/>
      <c r="AG125" s="32"/>
      <c r="AH125" s="127">
        <f t="shared" si="58"/>
        <v>0</v>
      </c>
      <c r="AI125" s="128">
        <f t="shared" si="40"/>
        <v>-11260</v>
      </c>
      <c r="AJ125" s="129">
        <f t="shared" si="41"/>
        <v>0</v>
      </c>
      <c r="AM125" s="119"/>
    </row>
    <row r="126" spans="1:39" x14ac:dyDescent="0.25">
      <c r="A126" s="119">
        <f t="shared" si="73"/>
        <v>45343</v>
      </c>
      <c r="B126" s="109" t="s">
        <v>99</v>
      </c>
      <c r="C126" s="6" t="s">
        <v>9</v>
      </c>
      <c r="D126" s="7" t="s">
        <v>11</v>
      </c>
      <c r="E126" s="120">
        <v>689289</v>
      </c>
      <c r="F126" s="130"/>
      <c r="G126" s="122"/>
      <c r="H126" s="123"/>
      <c r="I126" s="120">
        <f t="shared" si="70"/>
        <v>689289</v>
      </c>
      <c r="J126" s="130">
        <f t="shared" si="71"/>
        <v>0</v>
      </c>
      <c r="K126" s="8">
        <f t="shared" ref="K126:L126" si="76">K125</f>
        <v>963.68</v>
      </c>
      <c r="L126" s="8">
        <f t="shared" si="76"/>
        <v>36785.65</v>
      </c>
      <c r="M126" s="131">
        <f t="shared" si="72"/>
        <v>689289</v>
      </c>
      <c r="N126" s="126">
        <f t="shared" si="38"/>
        <v>464403</v>
      </c>
      <c r="O126" s="32"/>
      <c r="P126" s="32"/>
      <c r="Q126" s="32">
        <v>466100</v>
      </c>
      <c r="R126" s="32"/>
      <c r="S126" s="32"/>
      <c r="T126" s="32"/>
      <c r="U126" s="32"/>
      <c r="V126" s="32"/>
      <c r="W126" s="32"/>
      <c r="X126" s="32"/>
      <c r="Y126" s="32"/>
      <c r="Z126" s="32"/>
      <c r="AA126" s="32"/>
      <c r="AB126" s="32"/>
      <c r="AC126" s="32"/>
      <c r="AD126" s="32"/>
      <c r="AE126" s="32"/>
      <c r="AF126" s="32"/>
      <c r="AG126" s="32"/>
      <c r="AH126" s="127">
        <f t="shared" si="58"/>
        <v>0</v>
      </c>
      <c r="AI126" s="128">
        <f t="shared" si="40"/>
        <v>-1697</v>
      </c>
      <c r="AJ126" s="129">
        <f t="shared" si="41"/>
        <v>0</v>
      </c>
    </row>
    <row r="127" spans="1:39" x14ac:dyDescent="0.25">
      <c r="A127" s="119">
        <f t="shared" si="73"/>
        <v>45343</v>
      </c>
      <c r="B127" s="109" t="s">
        <v>99</v>
      </c>
      <c r="C127" s="6" t="s">
        <v>9</v>
      </c>
      <c r="D127" s="7" t="s">
        <v>10</v>
      </c>
      <c r="E127" s="120"/>
      <c r="F127" s="130">
        <v>314.5</v>
      </c>
      <c r="G127" s="122"/>
      <c r="H127" s="123"/>
      <c r="I127" s="120">
        <f t="shared" si="70"/>
        <v>0</v>
      </c>
      <c r="J127" s="130">
        <f t="shared" si="71"/>
        <v>314.5</v>
      </c>
      <c r="K127" s="8">
        <f t="shared" ref="K127:L127" si="77">K126</f>
        <v>963.68</v>
      </c>
      <c r="L127" s="8">
        <f t="shared" si="77"/>
        <v>36785.65</v>
      </c>
      <c r="M127" s="131">
        <f t="shared" si="72"/>
        <v>303077.36</v>
      </c>
      <c r="N127" s="126">
        <f t="shared" si="38"/>
        <v>358.9543999999878</v>
      </c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127">
        <f t="shared" si="58"/>
        <v>-1685.7200000000043</v>
      </c>
      <c r="AI127" s="128">
        <f t="shared" si="40"/>
        <v>2044.6743999999921</v>
      </c>
      <c r="AJ127" s="129">
        <f t="shared" si="41"/>
        <v>0</v>
      </c>
    </row>
    <row r="128" spans="1:39" x14ac:dyDescent="0.25">
      <c r="A128" s="119">
        <f t="shared" si="73"/>
        <v>45343</v>
      </c>
      <c r="B128" s="109" t="s">
        <v>99</v>
      </c>
      <c r="C128" s="6" t="s">
        <v>7</v>
      </c>
      <c r="D128" s="7" t="s">
        <v>16</v>
      </c>
      <c r="E128" s="120"/>
      <c r="F128" s="130">
        <v>641</v>
      </c>
      <c r="G128" s="122"/>
      <c r="H128" s="123"/>
      <c r="I128" s="120">
        <f t="shared" si="70"/>
        <v>0</v>
      </c>
      <c r="J128" s="130">
        <f t="shared" si="71"/>
        <v>641</v>
      </c>
      <c r="K128" s="8">
        <f t="shared" ref="K128:L128" si="78">K127</f>
        <v>963.68</v>
      </c>
      <c r="L128" s="8">
        <f t="shared" si="78"/>
        <v>36785.65</v>
      </c>
      <c r="M128" s="131">
        <f t="shared" si="72"/>
        <v>617718.88</v>
      </c>
      <c r="N128" s="126">
        <f t="shared" si="38"/>
        <v>-3435.7600000000093</v>
      </c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  <c r="AD128" s="32"/>
      <c r="AE128" s="32"/>
      <c r="AF128" s="32"/>
      <c r="AG128" s="32"/>
      <c r="AH128" s="127">
        <f t="shared" si="58"/>
        <v>-3435.7600000000089</v>
      </c>
      <c r="AI128" s="128">
        <f t="shared" si="40"/>
        <v>-4.5474735088646412E-13</v>
      </c>
      <c r="AJ128" s="129">
        <f t="shared" si="41"/>
        <v>0</v>
      </c>
    </row>
    <row r="129" spans="1:39" s="142" customFormat="1" x14ac:dyDescent="0.25">
      <c r="A129" s="133">
        <f t="shared" si="73"/>
        <v>45343</v>
      </c>
      <c r="B129" s="110" t="s">
        <v>99</v>
      </c>
      <c r="C129" s="45" t="s">
        <v>8</v>
      </c>
      <c r="D129" s="46" t="s">
        <v>16</v>
      </c>
      <c r="E129" s="134"/>
      <c r="F129" s="135">
        <v>322.18</v>
      </c>
      <c r="G129" s="134"/>
      <c r="H129" s="135"/>
      <c r="I129" s="134">
        <f t="shared" si="70"/>
        <v>0</v>
      </c>
      <c r="J129" s="135">
        <f t="shared" si="71"/>
        <v>322.18</v>
      </c>
      <c r="K129" s="47">
        <f t="shared" ref="K129:L129" si="79">K128</f>
        <v>963.68</v>
      </c>
      <c r="L129" s="47">
        <f t="shared" si="79"/>
        <v>36785.65</v>
      </c>
      <c r="M129" s="136">
        <f t="shared" si="72"/>
        <v>310478.42239999998</v>
      </c>
      <c r="N129" s="137">
        <f t="shared" si="38"/>
        <v>-1726.8847999999998</v>
      </c>
      <c r="O129" s="138"/>
      <c r="P129" s="138"/>
      <c r="Q129" s="138"/>
      <c r="R129" s="138"/>
      <c r="S129" s="138"/>
      <c r="T129" s="138"/>
      <c r="U129" s="138"/>
      <c r="V129" s="138"/>
      <c r="W129" s="138"/>
      <c r="X129" s="138"/>
      <c r="Y129" s="138"/>
      <c r="Z129" s="138"/>
      <c r="AA129" s="138"/>
      <c r="AB129" s="138"/>
      <c r="AC129" s="138"/>
      <c r="AD129" s="138"/>
      <c r="AE129" s="138"/>
      <c r="AF129" s="138"/>
      <c r="AG129" s="138"/>
      <c r="AH129" s="139">
        <f t="shared" si="58"/>
        <v>-1726.8848000000044</v>
      </c>
      <c r="AI129" s="140">
        <f t="shared" si="40"/>
        <v>4.5474735088646412E-12</v>
      </c>
      <c r="AJ129" s="141">
        <f t="shared" si="41"/>
        <v>0</v>
      </c>
    </row>
    <row r="130" spans="1:39" x14ac:dyDescent="0.25">
      <c r="A130" s="119">
        <v>45344</v>
      </c>
      <c r="B130" s="109" t="s">
        <v>99</v>
      </c>
      <c r="C130" s="6" t="s">
        <v>5</v>
      </c>
      <c r="D130" s="7" t="s">
        <v>6</v>
      </c>
      <c r="E130" s="120">
        <v>5256600</v>
      </c>
      <c r="F130" s="130"/>
      <c r="G130" s="120"/>
      <c r="H130" s="130"/>
      <c r="I130" s="120">
        <f t="shared" ref="I130:I137" si="80">E130+G130</f>
        <v>5256600</v>
      </c>
      <c r="J130" s="130">
        <f t="shared" ref="J130:J137" si="81">F130+H130</f>
        <v>0</v>
      </c>
      <c r="K130" s="42">
        <f>VLOOKUP($A130,MarketData!$D:$ZZ,MATCH(K$1,MarketData!$D$1:$ZZ$1,0))</f>
        <v>967.52</v>
      </c>
      <c r="L130" s="42">
        <f>VLOOKUP($A130,MarketData!$D:$ZZ,MATCH(L$1,MarketData!$D$1:$ZZ$1,0))</f>
        <v>36794.5</v>
      </c>
      <c r="M130" s="131">
        <f t="shared" ref="M130:M137" si="82">I130+J130*K130</f>
        <v>5256600</v>
      </c>
      <c r="N130" s="126">
        <f t="shared" si="38"/>
        <v>0</v>
      </c>
      <c r="O130" s="32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  <c r="AD130" s="32"/>
      <c r="AE130" s="32"/>
      <c r="AF130" s="32"/>
      <c r="AG130" s="32"/>
      <c r="AH130" s="127">
        <f t="shared" si="58"/>
        <v>0</v>
      </c>
      <c r="AI130" s="128">
        <f t="shared" si="40"/>
        <v>0</v>
      </c>
      <c r="AJ130" s="129">
        <f t="shared" si="41"/>
        <v>0</v>
      </c>
    </row>
    <row r="131" spans="1:39" x14ac:dyDescent="0.25">
      <c r="A131" s="119">
        <f>A130</f>
        <v>45344</v>
      </c>
      <c r="B131" s="109" t="s">
        <v>99</v>
      </c>
      <c r="C131" s="6" t="s">
        <v>5</v>
      </c>
      <c r="D131" s="7" t="s">
        <v>26</v>
      </c>
      <c r="E131" s="120">
        <v>9465044</v>
      </c>
      <c r="F131" s="130">
        <v>7960</v>
      </c>
      <c r="G131" s="122">
        <v>-10000000</v>
      </c>
      <c r="H131" s="123">
        <v>-8000</v>
      </c>
      <c r="I131" s="120">
        <f t="shared" si="80"/>
        <v>-534956</v>
      </c>
      <c r="J131" s="130">
        <f t="shared" si="81"/>
        <v>-40</v>
      </c>
      <c r="K131" s="8">
        <f>K130</f>
        <v>967.52</v>
      </c>
      <c r="L131" s="8">
        <f>L130</f>
        <v>36794.5</v>
      </c>
      <c r="M131" s="131">
        <f t="shared" si="82"/>
        <v>-573656.80000000005</v>
      </c>
      <c r="N131" s="126">
        <f t="shared" si="38"/>
        <v>-153.60000000009313</v>
      </c>
      <c r="O131" s="32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  <c r="AD131" s="32"/>
      <c r="AE131" s="32"/>
      <c r="AF131" s="32"/>
      <c r="AG131" s="32"/>
      <c r="AH131" s="127">
        <f t="shared" si="58"/>
        <v>-153.60000000000127</v>
      </c>
      <c r="AI131" s="128">
        <f t="shared" si="40"/>
        <v>0</v>
      </c>
      <c r="AJ131" s="129">
        <f t="shared" si="41"/>
        <v>-9.1858964879065752E-11</v>
      </c>
    </row>
    <row r="132" spans="1:39" x14ac:dyDescent="0.25">
      <c r="A132" s="119">
        <f t="shared" ref="A132:A137" si="83">A131</f>
        <v>45344</v>
      </c>
      <c r="B132" s="109" t="s">
        <v>99</v>
      </c>
      <c r="C132" s="6" t="s">
        <v>9</v>
      </c>
      <c r="D132" s="7" t="s">
        <v>12</v>
      </c>
      <c r="E132" s="120">
        <v>5898347</v>
      </c>
      <c r="F132" s="130"/>
      <c r="G132" s="122"/>
      <c r="H132" s="123"/>
      <c r="I132" s="120">
        <f t="shared" si="80"/>
        <v>5898347</v>
      </c>
      <c r="J132" s="130">
        <f t="shared" si="81"/>
        <v>0</v>
      </c>
      <c r="K132" s="8">
        <f t="shared" ref="K132:L132" si="84">K131</f>
        <v>967.52</v>
      </c>
      <c r="L132" s="8">
        <f t="shared" si="84"/>
        <v>36794.5</v>
      </c>
      <c r="M132" s="131">
        <f t="shared" si="82"/>
        <v>5898347</v>
      </c>
      <c r="N132" s="126">
        <f t="shared" si="38"/>
        <v>0</v>
      </c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32"/>
      <c r="Z132" s="32"/>
      <c r="AA132" s="32"/>
      <c r="AB132" s="32"/>
      <c r="AC132" s="32"/>
      <c r="AD132" s="32"/>
      <c r="AE132" s="32"/>
      <c r="AF132" s="32"/>
      <c r="AG132" s="32"/>
      <c r="AH132" s="127">
        <f t="shared" si="58"/>
        <v>0</v>
      </c>
      <c r="AI132" s="128">
        <f t="shared" si="40"/>
        <v>0</v>
      </c>
      <c r="AJ132" s="129">
        <f t="shared" si="41"/>
        <v>0</v>
      </c>
    </row>
    <row r="133" spans="1:39" x14ac:dyDescent="0.25">
      <c r="A133" s="119">
        <f t="shared" si="83"/>
        <v>45344</v>
      </c>
      <c r="B133" s="109" t="s">
        <v>99</v>
      </c>
      <c r="C133" s="6" t="s">
        <v>9</v>
      </c>
      <c r="D133" s="7" t="s">
        <v>15</v>
      </c>
      <c r="E133" s="120">
        <v>2009498</v>
      </c>
      <c r="F133" s="130"/>
      <c r="G133" s="122"/>
      <c r="H133" s="123"/>
      <c r="I133" s="120">
        <f t="shared" si="80"/>
        <v>2009498</v>
      </c>
      <c r="J133" s="130">
        <f t="shared" si="81"/>
        <v>0</v>
      </c>
      <c r="K133" s="8">
        <f t="shared" ref="K133:L133" si="85">K132</f>
        <v>967.52</v>
      </c>
      <c r="L133" s="8">
        <f t="shared" si="85"/>
        <v>36794.5</v>
      </c>
      <c r="M133" s="131">
        <f t="shared" si="82"/>
        <v>2009498</v>
      </c>
      <c r="N133" s="126">
        <f t="shared" si="38"/>
        <v>0</v>
      </c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  <c r="AH133" s="127">
        <f t="shared" si="58"/>
        <v>0</v>
      </c>
      <c r="AI133" s="128">
        <f t="shared" si="40"/>
        <v>0</v>
      </c>
      <c r="AJ133" s="129">
        <f t="shared" si="41"/>
        <v>0</v>
      </c>
      <c r="AM133" s="119"/>
    </row>
    <row r="134" spans="1:39" x14ac:dyDescent="0.25">
      <c r="A134" s="119">
        <f t="shared" si="83"/>
        <v>45344</v>
      </c>
      <c r="B134" s="109" t="s">
        <v>99</v>
      </c>
      <c r="C134" s="6" t="s">
        <v>9</v>
      </c>
      <c r="D134" s="7" t="s">
        <v>11</v>
      </c>
      <c r="E134" s="120">
        <v>689289</v>
      </c>
      <c r="F134" s="130"/>
      <c r="G134" s="122"/>
      <c r="H134" s="123"/>
      <c r="I134" s="120">
        <f t="shared" si="80"/>
        <v>689289</v>
      </c>
      <c r="J134" s="130">
        <f t="shared" si="81"/>
        <v>0</v>
      </c>
      <c r="K134" s="8">
        <f t="shared" ref="K134:L134" si="86">K133</f>
        <v>967.52</v>
      </c>
      <c r="L134" s="8">
        <f t="shared" si="86"/>
        <v>36794.5</v>
      </c>
      <c r="M134" s="131">
        <f t="shared" si="82"/>
        <v>689289</v>
      </c>
      <c r="N134" s="126">
        <f t="shared" si="38"/>
        <v>0</v>
      </c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32"/>
      <c r="AF134" s="32"/>
      <c r="AG134" s="32"/>
      <c r="AH134" s="127">
        <f t="shared" si="58"/>
        <v>0</v>
      </c>
      <c r="AI134" s="128">
        <f t="shared" si="40"/>
        <v>0</v>
      </c>
      <c r="AJ134" s="129">
        <f t="shared" si="41"/>
        <v>0</v>
      </c>
    </row>
    <row r="135" spans="1:39" x14ac:dyDescent="0.25">
      <c r="A135" s="119">
        <f t="shared" si="83"/>
        <v>45344</v>
      </c>
      <c r="B135" s="109" t="s">
        <v>99</v>
      </c>
      <c r="C135" s="6" t="s">
        <v>9</v>
      </c>
      <c r="D135" s="7" t="s">
        <v>10</v>
      </c>
      <c r="E135" s="120"/>
      <c r="F135" s="130">
        <v>314.5</v>
      </c>
      <c r="G135" s="122"/>
      <c r="H135" s="123"/>
      <c r="I135" s="120">
        <f t="shared" si="80"/>
        <v>0</v>
      </c>
      <c r="J135" s="130">
        <f t="shared" si="81"/>
        <v>314.5</v>
      </c>
      <c r="K135" s="8">
        <f t="shared" ref="K135:L135" si="87">K134</f>
        <v>967.52</v>
      </c>
      <c r="L135" s="8">
        <f t="shared" si="87"/>
        <v>36794.5</v>
      </c>
      <c r="M135" s="131">
        <f t="shared" si="82"/>
        <v>304285.03999999998</v>
      </c>
      <c r="N135" s="126">
        <f t="shared" si="38"/>
        <v>1207.679999999993</v>
      </c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  <c r="AE135" s="32"/>
      <c r="AF135" s="32"/>
      <c r="AG135" s="32"/>
      <c r="AH135" s="127">
        <f t="shared" si="58"/>
        <v>1207.6800000000101</v>
      </c>
      <c r="AI135" s="128">
        <f t="shared" si="40"/>
        <v>-1.7053025658242404E-11</v>
      </c>
      <c r="AJ135" s="129">
        <f t="shared" si="41"/>
        <v>0</v>
      </c>
    </row>
    <row r="136" spans="1:39" x14ac:dyDescent="0.25">
      <c r="A136" s="119">
        <f t="shared" si="83"/>
        <v>45344</v>
      </c>
      <c r="B136" s="109" t="s">
        <v>99</v>
      </c>
      <c r="C136" s="6" t="s">
        <v>7</v>
      </c>
      <c r="D136" s="7" t="s">
        <v>16</v>
      </c>
      <c r="E136" s="120"/>
      <c r="F136" s="130">
        <v>641</v>
      </c>
      <c r="G136" s="122"/>
      <c r="H136" s="123"/>
      <c r="I136" s="120">
        <f t="shared" si="80"/>
        <v>0</v>
      </c>
      <c r="J136" s="130">
        <f t="shared" si="81"/>
        <v>641</v>
      </c>
      <c r="K136" s="8">
        <f t="shared" ref="K136:L136" si="88">K135</f>
        <v>967.52</v>
      </c>
      <c r="L136" s="8">
        <f t="shared" si="88"/>
        <v>36794.5</v>
      </c>
      <c r="M136" s="131">
        <f t="shared" si="82"/>
        <v>620180.31999999995</v>
      </c>
      <c r="N136" s="126">
        <f t="shared" si="38"/>
        <v>2461.4399999999441</v>
      </c>
      <c r="O136" s="32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  <c r="AD136" s="32"/>
      <c r="AE136" s="32"/>
      <c r="AF136" s="32"/>
      <c r="AG136" s="32"/>
      <c r="AH136" s="127">
        <f t="shared" si="58"/>
        <v>2461.4400000000205</v>
      </c>
      <c r="AI136" s="128">
        <f t="shared" si="40"/>
        <v>-7.6397554948925972E-11</v>
      </c>
      <c r="AJ136" s="129">
        <f t="shared" si="41"/>
        <v>0</v>
      </c>
    </row>
    <row r="137" spans="1:39" s="142" customFormat="1" x14ac:dyDescent="0.25">
      <c r="A137" s="133">
        <f t="shared" si="83"/>
        <v>45344</v>
      </c>
      <c r="B137" s="110" t="s">
        <v>99</v>
      </c>
      <c r="C137" s="45" t="s">
        <v>8</v>
      </c>
      <c r="D137" s="46" t="s">
        <v>16</v>
      </c>
      <c r="E137" s="134"/>
      <c r="F137" s="135">
        <v>322.18</v>
      </c>
      <c r="G137" s="134"/>
      <c r="H137" s="135"/>
      <c r="I137" s="134">
        <f t="shared" si="80"/>
        <v>0</v>
      </c>
      <c r="J137" s="135">
        <f t="shared" si="81"/>
        <v>322.18</v>
      </c>
      <c r="K137" s="47">
        <f t="shared" ref="K137:L137" si="89">K136</f>
        <v>967.52</v>
      </c>
      <c r="L137" s="47">
        <f t="shared" si="89"/>
        <v>36794.5</v>
      </c>
      <c r="M137" s="136">
        <f t="shared" si="82"/>
        <v>311715.59360000002</v>
      </c>
      <c r="N137" s="137">
        <f t="shared" si="38"/>
        <v>1237.1712000000407</v>
      </c>
      <c r="O137" s="138"/>
      <c r="P137" s="138"/>
      <c r="Q137" s="138"/>
      <c r="R137" s="138"/>
      <c r="S137" s="138"/>
      <c r="T137" s="138"/>
      <c r="U137" s="138"/>
      <c r="V137" s="138"/>
      <c r="W137" s="138"/>
      <c r="X137" s="138"/>
      <c r="Y137" s="138"/>
      <c r="Z137" s="138"/>
      <c r="AA137" s="138"/>
      <c r="AB137" s="138"/>
      <c r="AC137" s="138"/>
      <c r="AD137" s="138"/>
      <c r="AE137" s="138"/>
      <c r="AF137" s="138"/>
      <c r="AG137" s="138"/>
      <c r="AH137" s="139">
        <f t="shared" si="58"/>
        <v>1237.1712000000102</v>
      </c>
      <c r="AI137" s="140">
        <f t="shared" si="40"/>
        <v>3.0468072509393096E-11</v>
      </c>
      <c r="AJ137" s="141">
        <f t="shared" si="41"/>
        <v>0</v>
      </c>
    </row>
    <row r="138" spans="1:39" x14ac:dyDescent="0.25">
      <c r="A138" s="119">
        <v>45346</v>
      </c>
      <c r="B138" s="109" t="s">
        <v>99</v>
      </c>
      <c r="C138" s="6" t="s">
        <v>5</v>
      </c>
      <c r="D138" s="7" t="s">
        <v>6</v>
      </c>
      <c r="E138" s="120">
        <v>8707474</v>
      </c>
      <c r="F138" s="130"/>
      <c r="G138" s="120"/>
      <c r="H138" s="130"/>
      <c r="I138" s="120">
        <f t="shared" ref="I138:I145" si="90">E138+G138</f>
        <v>8707474</v>
      </c>
      <c r="J138" s="130">
        <f t="shared" ref="J138:J145" si="91">F138+H138</f>
        <v>0</v>
      </c>
      <c r="K138" s="42">
        <f>VLOOKUP($A138,MarketData!$D:$ZZ,MATCH(K$1,MarketData!$D$1:$ZZ$1,0))</f>
        <v>972.77</v>
      </c>
      <c r="L138" s="42">
        <f>VLOOKUP($A138,MarketData!$D:$ZZ,MATCH(L$1,MarketData!$D$1:$ZZ$1,0))</f>
        <v>36812.199999999997</v>
      </c>
      <c r="M138" s="131">
        <f t="shared" ref="M138:M145" si="92">I138+J138*K138</f>
        <v>8707474</v>
      </c>
      <c r="N138" s="126">
        <f t="shared" ref="N138:N201" si="93">M138-SUMIFS(Total,Cuenta,C138,Linea,D138,Fecha,INDEX(Fecha,MATCH(A138-1,Fecha,1)))</f>
        <v>3450874</v>
      </c>
      <c r="O138" s="32">
        <f>O66/L66*L138</f>
        <v>1843156.9320035039</v>
      </c>
      <c r="P138" s="32">
        <f>3450874-O138</f>
        <v>1607717.0679964961</v>
      </c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127">
        <f t="shared" ref="AH138:AH169" si="94">J138*(K138-K130)</f>
        <v>0</v>
      </c>
      <c r="AI138" s="128">
        <f t="shared" ref="AI138:AI201" si="95">(N138-AH138-Q138)*ISNUMBER(MATCH($D138,$AL:$AL,0))</f>
        <v>0</v>
      </c>
      <c r="AJ138" s="129">
        <f t="shared" ref="AJ138:AJ201" si="96">N138-SUM(O138:AI138)</f>
        <v>0</v>
      </c>
    </row>
    <row r="139" spans="1:39" x14ac:dyDescent="0.25">
      <c r="A139" s="119">
        <f>A138</f>
        <v>45346</v>
      </c>
      <c r="B139" s="109" t="s">
        <v>99</v>
      </c>
      <c r="C139" s="6" t="s">
        <v>5</v>
      </c>
      <c r="D139" s="7" t="s">
        <v>26</v>
      </c>
      <c r="E139" s="120">
        <v>9286234</v>
      </c>
      <c r="F139" s="130">
        <v>7319.67</v>
      </c>
      <c r="G139" s="122">
        <v>-10000000</v>
      </c>
      <c r="H139" s="123">
        <v>-8000</v>
      </c>
      <c r="I139" s="120">
        <f t="shared" si="90"/>
        <v>-713766</v>
      </c>
      <c r="J139" s="130">
        <f t="shared" si="91"/>
        <v>-680.32999999999993</v>
      </c>
      <c r="K139" s="8">
        <f>K138</f>
        <v>972.77</v>
      </c>
      <c r="L139" s="8">
        <f>L138</f>
        <v>36812.199999999997</v>
      </c>
      <c r="M139" s="131">
        <f t="shared" si="92"/>
        <v>-1375570.6140999999</v>
      </c>
      <c r="N139" s="126">
        <f t="shared" si="93"/>
        <v>-801913.81409999984</v>
      </c>
      <c r="O139" s="32"/>
      <c r="P139" s="32"/>
      <c r="Q139" s="32">
        <f>(-640.33*K139)+0</f>
        <v>-622893.81410000008</v>
      </c>
      <c r="R139" s="32"/>
      <c r="S139" s="32">
        <v>-12330</v>
      </c>
      <c r="T139" s="32"/>
      <c r="U139" s="32"/>
      <c r="V139" s="32">
        <f>-58850-7580-23760</f>
        <v>-90190</v>
      </c>
      <c r="W139" s="32">
        <f>-1600-6130-2940-8080-2280-1900-1300</f>
        <v>-24230</v>
      </c>
      <c r="X139" s="32"/>
      <c r="Y139" s="32"/>
      <c r="Z139" s="32">
        <v>-5070</v>
      </c>
      <c r="AA139" s="32"/>
      <c r="AB139" s="32">
        <v>-46990</v>
      </c>
      <c r="AC139" s="32"/>
      <c r="AD139" s="32"/>
      <c r="AE139" s="32"/>
      <c r="AF139" s="32"/>
      <c r="AG139" s="32"/>
      <c r="AH139" s="127">
        <f t="shared" si="94"/>
        <v>-3571.7324999999996</v>
      </c>
      <c r="AI139" s="128">
        <f t="shared" si="95"/>
        <v>0</v>
      </c>
      <c r="AJ139" s="129">
        <f t="shared" si="96"/>
        <v>3361.7325000002747</v>
      </c>
    </row>
    <row r="140" spans="1:39" x14ac:dyDescent="0.25">
      <c r="A140" s="119">
        <f t="shared" ref="A140:A145" si="97">A139</f>
        <v>45346</v>
      </c>
      <c r="B140" s="109" t="s">
        <v>99</v>
      </c>
      <c r="C140" s="6" t="s">
        <v>9</v>
      </c>
      <c r="D140" s="7" t="s">
        <v>12</v>
      </c>
      <c r="E140" s="120">
        <v>5900634</v>
      </c>
      <c r="F140" s="130"/>
      <c r="G140" s="122"/>
      <c r="H140" s="123"/>
      <c r="I140" s="120">
        <f t="shared" si="90"/>
        <v>5900634</v>
      </c>
      <c r="J140" s="130">
        <f t="shared" si="91"/>
        <v>0</v>
      </c>
      <c r="K140" s="8">
        <f t="shared" ref="K140:L140" si="98">K139</f>
        <v>972.77</v>
      </c>
      <c r="L140" s="8">
        <f t="shared" si="98"/>
        <v>36812.199999999997</v>
      </c>
      <c r="M140" s="131">
        <f t="shared" si="92"/>
        <v>5900634</v>
      </c>
      <c r="N140" s="126">
        <f t="shared" si="93"/>
        <v>2287</v>
      </c>
      <c r="O140" s="32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32"/>
      <c r="AE140" s="32"/>
      <c r="AF140" s="32"/>
      <c r="AG140" s="32"/>
      <c r="AH140" s="127">
        <f t="shared" si="94"/>
        <v>0</v>
      </c>
      <c r="AI140" s="128">
        <f t="shared" si="95"/>
        <v>2287</v>
      </c>
      <c r="AJ140" s="129">
        <f t="shared" si="96"/>
        <v>0</v>
      </c>
    </row>
    <row r="141" spans="1:39" x14ac:dyDescent="0.25">
      <c r="A141" s="119">
        <f t="shared" si="97"/>
        <v>45346</v>
      </c>
      <c r="B141" s="109" t="s">
        <v>99</v>
      </c>
      <c r="C141" s="6" t="s">
        <v>9</v>
      </c>
      <c r="D141" s="7" t="s">
        <v>15</v>
      </c>
      <c r="E141" s="120">
        <v>2080987</v>
      </c>
      <c r="F141" s="130"/>
      <c r="G141" s="122"/>
      <c r="H141" s="123"/>
      <c r="I141" s="120">
        <f t="shared" si="90"/>
        <v>2080987</v>
      </c>
      <c r="J141" s="130">
        <f t="shared" si="91"/>
        <v>0</v>
      </c>
      <c r="K141" s="8">
        <f t="shared" ref="K141:L141" si="99">K140</f>
        <v>972.77</v>
      </c>
      <c r="L141" s="8">
        <f t="shared" si="99"/>
        <v>36812.199999999997</v>
      </c>
      <c r="M141" s="131">
        <f t="shared" si="92"/>
        <v>2080987</v>
      </c>
      <c r="N141" s="126">
        <f t="shared" si="93"/>
        <v>71489</v>
      </c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32"/>
      <c r="AE141" s="32"/>
      <c r="AF141" s="32"/>
      <c r="AG141" s="32"/>
      <c r="AH141" s="127">
        <f t="shared" si="94"/>
        <v>0</v>
      </c>
      <c r="AI141" s="128">
        <f t="shared" si="95"/>
        <v>71489</v>
      </c>
      <c r="AJ141" s="129">
        <f t="shared" si="96"/>
        <v>0</v>
      </c>
      <c r="AM141" s="119"/>
    </row>
    <row r="142" spans="1:39" x14ac:dyDescent="0.25">
      <c r="A142" s="119">
        <f t="shared" si="97"/>
        <v>45346</v>
      </c>
      <c r="B142" s="109" t="s">
        <v>99</v>
      </c>
      <c r="C142" s="6" t="s">
        <v>9</v>
      </c>
      <c r="D142" s="7" t="s">
        <v>11</v>
      </c>
      <c r="E142" s="120">
        <v>703485</v>
      </c>
      <c r="F142" s="130"/>
      <c r="G142" s="122"/>
      <c r="H142" s="123"/>
      <c r="I142" s="120">
        <f t="shared" si="90"/>
        <v>703485</v>
      </c>
      <c r="J142" s="130">
        <f t="shared" si="91"/>
        <v>0</v>
      </c>
      <c r="K142" s="8">
        <f t="shared" ref="K142:L142" si="100">K141</f>
        <v>972.77</v>
      </c>
      <c r="L142" s="8">
        <f t="shared" si="100"/>
        <v>36812.199999999997</v>
      </c>
      <c r="M142" s="131">
        <f t="shared" si="92"/>
        <v>703485</v>
      </c>
      <c r="N142" s="126">
        <f t="shared" si="93"/>
        <v>14196</v>
      </c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32"/>
      <c r="AF142" s="32"/>
      <c r="AG142" s="32"/>
      <c r="AH142" s="127">
        <f t="shared" si="94"/>
        <v>0</v>
      </c>
      <c r="AI142" s="128">
        <f t="shared" si="95"/>
        <v>14196</v>
      </c>
      <c r="AJ142" s="129">
        <f t="shared" si="96"/>
        <v>0</v>
      </c>
    </row>
    <row r="143" spans="1:39" x14ac:dyDescent="0.25">
      <c r="A143" s="119">
        <f t="shared" si="97"/>
        <v>45346</v>
      </c>
      <c r="B143" s="109" t="s">
        <v>99</v>
      </c>
      <c r="C143" s="6" t="s">
        <v>9</v>
      </c>
      <c r="D143" s="7" t="s">
        <v>10</v>
      </c>
      <c r="E143" s="120"/>
      <c r="F143" s="130">
        <f>212.14+106.1</f>
        <v>318.24</v>
      </c>
      <c r="G143" s="122"/>
      <c r="H143" s="123"/>
      <c r="I143" s="120">
        <f t="shared" si="90"/>
        <v>0</v>
      </c>
      <c r="J143" s="130">
        <f t="shared" si="91"/>
        <v>318.24</v>
      </c>
      <c r="K143" s="8">
        <f t="shared" ref="K143:L143" si="101">K142</f>
        <v>972.77</v>
      </c>
      <c r="L143" s="8">
        <f t="shared" si="101"/>
        <v>36812.199999999997</v>
      </c>
      <c r="M143" s="131">
        <f t="shared" si="92"/>
        <v>309574.3248</v>
      </c>
      <c r="N143" s="126">
        <f t="shared" si="93"/>
        <v>5289.2848000000231</v>
      </c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  <c r="AD143" s="32"/>
      <c r="AE143" s="32"/>
      <c r="AF143" s="32"/>
      <c r="AG143" s="32"/>
      <c r="AH143" s="127">
        <f t="shared" si="94"/>
        <v>1670.76</v>
      </c>
      <c r="AI143" s="128">
        <f t="shared" si="95"/>
        <v>3618.5248000000229</v>
      </c>
      <c r="AJ143" s="129">
        <f t="shared" si="96"/>
        <v>0</v>
      </c>
    </row>
    <row r="144" spans="1:39" x14ac:dyDescent="0.25">
      <c r="A144" s="119">
        <f t="shared" si="97"/>
        <v>45346</v>
      </c>
      <c r="B144" s="109" t="s">
        <v>99</v>
      </c>
      <c r="C144" s="6" t="s">
        <v>7</v>
      </c>
      <c r="D144" s="7" t="s">
        <v>16</v>
      </c>
      <c r="E144" s="120"/>
      <c r="F144" s="130">
        <v>641</v>
      </c>
      <c r="G144" s="122"/>
      <c r="H144" s="123"/>
      <c r="I144" s="120">
        <f t="shared" si="90"/>
        <v>0</v>
      </c>
      <c r="J144" s="130">
        <f t="shared" si="91"/>
        <v>641</v>
      </c>
      <c r="K144" s="8">
        <f t="shared" ref="K144:L144" si="102">K143</f>
        <v>972.77</v>
      </c>
      <c r="L144" s="8">
        <f t="shared" si="102"/>
        <v>36812.199999999997</v>
      </c>
      <c r="M144" s="131">
        <f t="shared" si="92"/>
        <v>623545.56999999995</v>
      </c>
      <c r="N144" s="126">
        <f t="shared" si="93"/>
        <v>3365.25</v>
      </c>
      <c r="O144" s="32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  <c r="AD144" s="32"/>
      <c r="AE144" s="32"/>
      <c r="AF144" s="32"/>
      <c r="AG144" s="32"/>
      <c r="AH144" s="127">
        <f t="shared" si="94"/>
        <v>3365.25</v>
      </c>
      <c r="AI144" s="128">
        <f t="shared" si="95"/>
        <v>0</v>
      </c>
      <c r="AJ144" s="129">
        <f t="shared" si="96"/>
        <v>0</v>
      </c>
    </row>
    <row r="145" spans="1:39" s="142" customFormat="1" x14ac:dyDescent="0.25">
      <c r="A145" s="133">
        <f t="shared" si="97"/>
        <v>45346</v>
      </c>
      <c r="B145" s="110" t="s">
        <v>99</v>
      </c>
      <c r="C145" s="45" t="s">
        <v>8</v>
      </c>
      <c r="D145" s="46" t="s">
        <v>16</v>
      </c>
      <c r="E145" s="134"/>
      <c r="F145" s="135">
        <v>429.76</v>
      </c>
      <c r="G145" s="134"/>
      <c r="H145" s="135"/>
      <c r="I145" s="134">
        <f t="shared" si="90"/>
        <v>0</v>
      </c>
      <c r="J145" s="135">
        <f t="shared" si="91"/>
        <v>429.76</v>
      </c>
      <c r="K145" s="47">
        <f t="shared" ref="K145:L145" si="103">K144</f>
        <v>972.77</v>
      </c>
      <c r="L145" s="47">
        <f t="shared" si="103"/>
        <v>36812.199999999997</v>
      </c>
      <c r="M145" s="136">
        <f t="shared" si="92"/>
        <v>418057.63519999996</v>
      </c>
      <c r="N145" s="137">
        <f t="shared" si="93"/>
        <v>106342.04159999994</v>
      </c>
      <c r="O145" s="138"/>
      <c r="P145" s="138"/>
      <c r="Q145" s="138"/>
      <c r="R145" s="138"/>
      <c r="S145" s="138"/>
      <c r="T145" s="138"/>
      <c r="U145" s="138"/>
      <c r="V145" s="138"/>
      <c r="W145" s="138"/>
      <c r="X145" s="138"/>
      <c r="Y145" s="138"/>
      <c r="Z145" s="138"/>
      <c r="AA145" s="138"/>
      <c r="AB145" s="138"/>
      <c r="AC145" s="138"/>
      <c r="AD145" s="138"/>
      <c r="AE145" s="138"/>
      <c r="AF145" s="138"/>
      <c r="AG145" s="138"/>
      <c r="AH145" s="139">
        <f t="shared" si="94"/>
        <v>2256.2399999999998</v>
      </c>
      <c r="AI145" s="140">
        <f t="shared" si="95"/>
        <v>104085.80159999993</v>
      </c>
      <c r="AJ145" s="141">
        <f t="shared" si="96"/>
        <v>0</v>
      </c>
    </row>
    <row r="146" spans="1:39" x14ac:dyDescent="0.25">
      <c r="A146" s="119">
        <v>45347</v>
      </c>
      <c r="B146" s="109" t="s">
        <v>99</v>
      </c>
      <c r="C146" s="6" t="s">
        <v>5</v>
      </c>
      <c r="D146" s="7" t="s">
        <v>6</v>
      </c>
      <c r="E146" s="120">
        <v>8707474</v>
      </c>
      <c r="F146" s="130"/>
      <c r="G146" s="120"/>
      <c r="H146" s="130"/>
      <c r="I146" s="120">
        <f t="shared" ref="I146:I153" si="104">E146+G146</f>
        <v>8707474</v>
      </c>
      <c r="J146" s="130">
        <f t="shared" ref="J146:J153" si="105">F146+H146</f>
        <v>0</v>
      </c>
      <c r="K146" s="42">
        <f>VLOOKUP($A146,MarketData!$D:$ZZ,MATCH(K$1,MarketData!$D$1:$ZZ$1,0))</f>
        <v>972.77</v>
      </c>
      <c r="L146" s="42">
        <f>VLOOKUP($A146,MarketData!$D:$ZZ,MATCH(L$1,MarketData!$D$1:$ZZ$1,0))</f>
        <v>36821.06</v>
      </c>
      <c r="M146" s="131">
        <f t="shared" ref="M146:M153" si="106">I146+J146*K146</f>
        <v>8707474</v>
      </c>
      <c r="N146" s="126">
        <f t="shared" si="93"/>
        <v>0</v>
      </c>
      <c r="O146" s="32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  <c r="AD146" s="32"/>
      <c r="AE146" s="32"/>
      <c r="AF146" s="32"/>
      <c r="AG146" s="32"/>
      <c r="AH146" s="127">
        <f t="shared" si="94"/>
        <v>0</v>
      </c>
      <c r="AI146" s="128">
        <f t="shared" si="95"/>
        <v>0</v>
      </c>
      <c r="AJ146" s="129">
        <f t="shared" si="96"/>
        <v>0</v>
      </c>
    </row>
    <row r="147" spans="1:39" x14ac:dyDescent="0.25">
      <c r="A147" s="119">
        <f>A146</f>
        <v>45347</v>
      </c>
      <c r="B147" s="109" t="s">
        <v>99</v>
      </c>
      <c r="C147" s="6" t="s">
        <v>5</v>
      </c>
      <c r="D147" s="7" t="s">
        <v>26</v>
      </c>
      <c r="E147" s="120">
        <v>9196276</v>
      </c>
      <c r="F147" s="130">
        <v>7299.67</v>
      </c>
      <c r="G147" s="122">
        <v>-10000000</v>
      </c>
      <c r="H147" s="123">
        <v>-8000</v>
      </c>
      <c r="I147" s="120">
        <f t="shared" si="104"/>
        <v>-803724</v>
      </c>
      <c r="J147" s="130">
        <f t="shared" si="105"/>
        <v>-700.32999999999993</v>
      </c>
      <c r="K147" s="8">
        <f>K146</f>
        <v>972.77</v>
      </c>
      <c r="L147" s="8">
        <f>L146</f>
        <v>36821.06</v>
      </c>
      <c r="M147" s="131">
        <f t="shared" si="106"/>
        <v>-1484984.0140999998</v>
      </c>
      <c r="N147" s="126">
        <f t="shared" si="93"/>
        <v>-109413.39999999991</v>
      </c>
      <c r="O147" s="32"/>
      <c r="P147" s="32"/>
      <c r="Q147" s="32"/>
      <c r="R147" s="32">
        <v>-7000</v>
      </c>
      <c r="S147" s="32">
        <v>-13708</v>
      </c>
      <c r="T147" s="32">
        <v>-44460</v>
      </c>
      <c r="U147" s="32"/>
      <c r="V147" s="32">
        <v>-14760</v>
      </c>
      <c r="W147" s="32"/>
      <c r="X147" s="32"/>
      <c r="Y147" s="32"/>
      <c r="Z147" s="32">
        <f>-4283-5767</f>
        <v>-10050</v>
      </c>
      <c r="AA147" s="32">
        <f>(-20*K147)+0</f>
        <v>-19455.400000000001</v>
      </c>
      <c r="AB147" s="32"/>
      <c r="AC147" s="32"/>
      <c r="AD147" s="32"/>
      <c r="AE147" s="32"/>
      <c r="AF147" s="32"/>
      <c r="AG147" s="32"/>
      <c r="AH147" s="127">
        <f t="shared" si="94"/>
        <v>0</v>
      </c>
      <c r="AI147" s="128">
        <f t="shared" si="95"/>
        <v>0</v>
      </c>
      <c r="AJ147" s="129">
        <f t="shared" si="96"/>
        <v>20.000000000087311</v>
      </c>
    </row>
    <row r="148" spans="1:39" x14ac:dyDescent="0.25">
      <c r="A148" s="119">
        <f t="shared" ref="A148:A153" si="107">A147</f>
        <v>45347</v>
      </c>
      <c r="B148" s="109" t="s">
        <v>99</v>
      </c>
      <c r="C148" s="6" t="s">
        <v>9</v>
      </c>
      <c r="D148" s="7" t="s">
        <v>12</v>
      </c>
      <c r="E148" s="120">
        <v>5900634</v>
      </c>
      <c r="F148" s="130"/>
      <c r="G148" s="122"/>
      <c r="H148" s="123"/>
      <c r="I148" s="120">
        <f t="shared" si="104"/>
        <v>5900634</v>
      </c>
      <c r="J148" s="130">
        <f t="shared" si="105"/>
        <v>0</v>
      </c>
      <c r="K148" s="8">
        <f t="shared" ref="K148:L148" si="108">K147</f>
        <v>972.77</v>
      </c>
      <c r="L148" s="8">
        <f t="shared" si="108"/>
        <v>36821.06</v>
      </c>
      <c r="M148" s="131">
        <f t="shared" si="106"/>
        <v>5900634</v>
      </c>
      <c r="N148" s="126">
        <f t="shared" si="93"/>
        <v>0</v>
      </c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  <c r="AD148" s="32"/>
      <c r="AE148" s="32"/>
      <c r="AF148" s="32"/>
      <c r="AG148" s="32"/>
      <c r="AH148" s="127">
        <f t="shared" si="94"/>
        <v>0</v>
      </c>
      <c r="AI148" s="128">
        <f t="shared" si="95"/>
        <v>0</v>
      </c>
      <c r="AJ148" s="129">
        <f t="shared" si="96"/>
        <v>0</v>
      </c>
    </row>
    <row r="149" spans="1:39" x14ac:dyDescent="0.25">
      <c r="A149" s="119">
        <f t="shared" si="107"/>
        <v>45347</v>
      </c>
      <c r="B149" s="109" t="s">
        <v>99</v>
      </c>
      <c r="C149" s="6" t="s">
        <v>9</v>
      </c>
      <c r="D149" s="7" t="s">
        <v>15</v>
      </c>
      <c r="E149" s="120">
        <v>2080987</v>
      </c>
      <c r="F149" s="130"/>
      <c r="G149" s="122"/>
      <c r="H149" s="123"/>
      <c r="I149" s="120">
        <f t="shared" si="104"/>
        <v>2080987</v>
      </c>
      <c r="J149" s="130">
        <f t="shared" si="105"/>
        <v>0</v>
      </c>
      <c r="K149" s="8">
        <f t="shared" ref="K149:L149" si="109">K148</f>
        <v>972.77</v>
      </c>
      <c r="L149" s="8">
        <f t="shared" si="109"/>
        <v>36821.06</v>
      </c>
      <c r="M149" s="131">
        <f t="shared" si="106"/>
        <v>2080987</v>
      </c>
      <c r="N149" s="126">
        <f t="shared" si="93"/>
        <v>0</v>
      </c>
      <c r="O149" s="32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2"/>
      <c r="AC149" s="32"/>
      <c r="AD149" s="32"/>
      <c r="AE149" s="32"/>
      <c r="AF149" s="32"/>
      <c r="AG149" s="32"/>
      <c r="AH149" s="127">
        <f t="shared" si="94"/>
        <v>0</v>
      </c>
      <c r="AI149" s="128">
        <f t="shared" si="95"/>
        <v>0</v>
      </c>
      <c r="AJ149" s="129">
        <f t="shared" si="96"/>
        <v>0</v>
      </c>
      <c r="AM149" s="119"/>
    </row>
    <row r="150" spans="1:39" x14ac:dyDescent="0.25">
      <c r="A150" s="119">
        <f t="shared" si="107"/>
        <v>45347</v>
      </c>
      <c r="B150" s="109" t="s">
        <v>99</v>
      </c>
      <c r="C150" s="6" t="s">
        <v>9</v>
      </c>
      <c r="D150" s="7" t="s">
        <v>11</v>
      </c>
      <c r="E150" s="120">
        <v>703485</v>
      </c>
      <c r="F150" s="130"/>
      <c r="G150" s="122"/>
      <c r="H150" s="123"/>
      <c r="I150" s="120">
        <f t="shared" si="104"/>
        <v>703485</v>
      </c>
      <c r="J150" s="130">
        <f t="shared" si="105"/>
        <v>0</v>
      </c>
      <c r="K150" s="8">
        <f t="shared" ref="K150" si="110">K149</f>
        <v>972.77</v>
      </c>
      <c r="L150" s="8">
        <f>L149</f>
        <v>36821.06</v>
      </c>
      <c r="M150" s="131">
        <f t="shared" si="106"/>
        <v>703485</v>
      </c>
      <c r="N150" s="126">
        <f t="shared" si="93"/>
        <v>0</v>
      </c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  <c r="AD150" s="32"/>
      <c r="AE150" s="32"/>
      <c r="AF150" s="32"/>
      <c r="AG150" s="32"/>
      <c r="AH150" s="127">
        <f t="shared" si="94"/>
        <v>0</v>
      </c>
      <c r="AI150" s="128">
        <f t="shared" si="95"/>
        <v>0</v>
      </c>
      <c r="AJ150" s="129">
        <f t="shared" si="96"/>
        <v>0</v>
      </c>
    </row>
    <row r="151" spans="1:39" x14ac:dyDescent="0.25">
      <c r="A151" s="119">
        <f t="shared" si="107"/>
        <v>45347</v>
      </c>
      <c r="B151" s="109" t="s">
        <v>99</v>
      </c>
      <c r="C151" s="6" t="s">
        <v>9</v>
      </c>
      <c r="D151" s="7" t="s">
        <v>10</v>
      </c>
      <c r="E151" s="120"/>
      <c r="F151" s="130">
        <f>212.14+106.1</f>
        <v>318.24</v>
      </c>
      <c r="G151" s="122"/>
      <c r="H151" s="123"/>
      <c r="I151" s="120">
        <f t="shared" si="104"/>
        <v>0</v>
      </c>
      <c r="J151" s="130">
        <f t="shared" si="105"/>
        <v>318.24</v>
      </c>
      <c r="K151" s="8">
        <f t="shared" ref="K151:L151" si="111">K150</f>
        <v>972.77</v>
      </c>
      <c r="L151" s="8">
        <f t="shared" si="111"/>
        <v>36821.06</v>
      </c>
      <c r="M151" s="131">
        <f t="shared" si="106"/>
        <v>309574.3248</v>
      </c>
      <c r="N151" s="126">
        <f t="shared" si="93"/>
        <v>0</v>
      </c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  <c r="AE151" s="32"/>
      <c r="AF151" s="32"/>
      <c r="AG151" s="32"/>
      <c r="AH151" s="127">
        <f t="shared" si="94"/>
        <v>0</v>
      </c>
      <c r="AI151" s="128">
        <f t="shared" si="95"/>
        <v>0</v>
      </c>
      <c r="AJ151" s="129">
        <f t="shared" si="96"/>
        <v>0</v>
      </c>
    </row>
    <row r="152" spans="1:39" x14ac:dyDescent="0.25">
      <c r="A152" s="119">
        <f t="shared" si="107"/>
        <v>45347</v>
      </c>
      <c r="B152" s="109" t="s">
        <v>99</v>
      </c>
      <c r="C152" s="6" t="s">
        <v>7</v>
      </c>
      <c r="D152" s="7" t="s">
        <v>16</v>
      </c>
      <c r="E152" s="120"/>
      <c r="F152" s="130">
        <v>641</v>
      </c>
      <c r="G152" s="122"/>
      <c r="H152" s="123"/>
      <c r="I152" s="120">
        <f t="shared" si="104"/>
        <v>0</v>
      </c>
      <c r="J152" s="130">
        <f t="shared" si="105"/>
        <v>641</v>
      </c>
      <c r="K152" s="8">
        <f t="shared" ref="K152:L152" si="112">K151</f>
        <v>972.77</v>
      </c>
      <c r="L152" s="8">
        <f t="shared" si="112"/>
        <v>36821.06</v>
      </c>
      <c r="M152" s="131">
        <f t="shared" si="106"/>
        <v>623545.56999999995</v>
      </c>
      <c r="N152" s="126">
        <f t="shared" si="93"/>
        <v>0</v>
      </c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  <c r="AD152" s="32"/>
      <c r="AE152" s="32"/>
      <c r="AF152" s="32"/>
      <c r="AG152" s="32"/>
      <c r="AH152" s="127">
        <f t="shared" si="94"/>
        <v>0</v>
      </c>
      <c r="AI152" s="128">
        <f t="shared" si="95"/>
        <v>0</v>
      </c>
      <c r="AJ152" s="129">
        <f t="shared" si="96"/>
        <v>0</v>
      </c>
    </row>
    <row r="153" spans="1:39" s="142" customFormat="1" x14ac:dyDescent="0.25">
      <c r="A153" s="133">
        <f t="shared" si="107"/>
        <v>45347</v>
      </c>
      <c r="B153" s="110" t="s">
        <v>99</v>
      </c>
      <c r="C153" s="45" t="s">
        <v>8</v>
      </c>
      <c r="D153" s="46" t="s">
        <v>16</v>
      </c>
      <c r="E153" s="134"/>
      <c r="F153" s="135">
        <v>442.16</v>
      </c>
      <c r="G153" s="134"/>
      <c r="H153" s="135"/>
      <c r="I153" s="134">
        <f t="shared" si="104"/>
        <v>0</v>
      </c>
      <c r="J153" s="135">
        <f t="shared" si="105"/>
        <v>442.16</v>
      </c>
      <c r="K153" s="47">
        <f t="shared" ref="K153:L153" si="113">K152</f>
        <v>972.77</v>
      </c>
      <c r="L153" s="47">
        <f t="shared" si="113"/>
        <v>36821.06</v>
      </c>
      <c r="M153" s="136">
        <f t="shared" si="106"/>
        <v>430119.98320000002</v>
      </c>
      <c r="N153" s="137">
        <f t="shared" si="93"/>
        <v>12062.348000000056</v>
      </c>
      <c r="O153" s="138"/>
      <c r="P153" s="138"/>
      <c r="Q153" s="138"/>
      <c r="R153" s="138"/>
      <c r="S153" s="138"/>
      <c r="T153" s="138"/>
      <c r="U153" s="138"/>
      <c r="V153" s="138"/>
      <c r="W153" s="138"/>
      <c r="X153" s="138"/>
      <c r="Y153" s="138"/>
      <c r="Z153" s="138"/>
      <c r="AA153" s="138"/>
      <c r="AB153" s="138"/>
      <c r="AC153" s="138"/>
      <c r="AD153" s="138"/>
      <c r="AE153" s="138"/>
      <c r="AF153" s="138"/>
      <c r="AG153" s="138"/>
      <c r="AH153" s="139">
        <f t="shared" si="94"/>
        <v>0</v>
      </c>
      <c r="AI153" s="140">
        <f t="shared" si="95"/>
        <v>12062.348000000056</v>
      </c>
      <c r="AJ153" s="141">
        <f t="shared" si="96"/>
        <v>0</v>
      </c>
    </row>
    <row r="154" spans="1:39" x14ac:dyDescent="0.25">
      <c r="A154" s="119">
        <v>45348</v>
      </c>
      <c r="B154" s="109" t="s">
        <v>99</v>
      </c>
      <c r="C154" s="6" t="s">
        <v>5</v>
      </c>
      <c r="D154" s="7" t="s">
        <v>6</v>
      </c>
      <c r="E154" s="120">
        <f>8156858-15000</f>
        <v>8141858</v>
      </c>
      <c r="F154" s="130"/>
      <c r="G154" s="120"/>
      <c r="H154" s="130"/>
      <c r="I154" s="120">
        <f t="shared" ref="I154:I161" si="114">E154+G154</f>
        <v>8141858</v>
      </c>
      <c r="J154" s="130">
        <f t="shared" ref="J154:J161" si="115">F154+H154</f>
        <v>0</v>
      </c>
      <c r="K154" s="42">
        <f>VLOOKUP($A154,MarketData!$D:$ZZ,MATCH(K$1,MarketData!$D$1:$ZZ$1,0))</f>
        <v>983.76</v>
      </c>
      <c r="L154" s="42">
        <f>VLOOKUP($A154,MarketData!$D:$ZZ,MATCH(L$1,MarketData!$D$1:$ZZ$1,0))</f>
        <v>36829.919999999998</v>
      </c>
      <c r="M154" s="131">
        <f t="shared" ref="M154:M161" si="116">I154+J154*K154</f>
        <v>8141858</v>
      </c>
      <c r="N154" s="126">
        <f t="shared" si="93"/>
        <v>-565616</v>
      </c>
      <c r="O154" s="32"/>
      <c r="P154" s="32"/>
      <c r="Q154" s="32">
        <v>-545626</v>
      </c>
      <c r="R154" s="32"/>
      <c r="S154" s="32"/>
      <c r="T154" s="32"/>
      <c r="U154" s="32"/>
      <c r="V154" s="32"/>
      <c r="W154" s="32"/>
      <c r="X154" s="32"/>
      <c r="Y154" s="32"/>
      <c r="Z154" s="32"/>
      <c r="AA154" s="32">
        <v>-20000</v>
      </c>
      <c r="AB154" s="32"/>
      <c r="AC154" s="32"/>
      <c r="AD154" s="32"/>
      <c r="AE154" s="32"/>
      <c r="AF154" s="32"/>
      <c r="AG154" s="32"/>
      <c r="AH154" s="127">
        <f t="shared" si="94"/>
        <v>0</v>
      </c>
      <c r="AI154" s="128">
        <f t="shared" si="95"/>
        <v>0</v>
      </c>
      <c r="AJ154" s="129">
        <f t="shared" si="96"/>
        <v>10</v>
      </c>
    </row>
    <row r="155" spans="1:39" x14ac:dyDescent="0.25">
      <c r="A155" s="119">
        <f>A154</f>
        <v>45348</v>
      </c>
      <c r="B155" s="109" t="s">
        <v>99</v>
      </c>
      <c r="C155" s="6" t="s">
        <v>5</v>
      </c>
      <c r="D155" s="7" t="s">
        <v>26</v>
      </c>
      <c r="E155" s="120">
        <v>9616482</v>
      </c>
      <c r="F155" s="130">
        <v>7299.67</v>
      </c>
      <c r="G155" s="122">
        <v>-10000000</v>
      </c>
      <c r="H155" s="123">
        <v>-8000</v>
      </c>
      <c r="I155" s="120">
        <f t="shared" si="114"/>
        <v>-383518</v>
      </c>
      <c r="J155" s="130">
        <f t="shared" si="115"/>
        <v>-700.32999999999993</v>
      </c>
      <c r="K155" s="8">
        <f>K154</f>
        <v>983.76</v>
      </c>
      <c r="L155" s="8">
        <f>L154</f>
        <v>36829.919999999998</v>
      </c>
      <c r="M155" s="131">
        <f t="shared" si="116"/>
        <v>-1072474.6407999999</v>
      </c>
      <c r="N155" s="126">
        <f t="shared" si="93"/>
        <v>412509.37329999986</v>
      </c>
      <c r="O155" s="32"/>
      <c r="P155" s="32"/>
      <c r="Q155" s="32">
        <v>545626</v>
      </c>
      <c r="R155" s="32"/>
      <c r="S155" s="32"/>
      <c r="T155" s="32"/>
      <c r="U155" s="32"/>
      <c r="V155" s="32"/>
      <c r="W155" s="32">
        <f>-3280-2000-3280</f>
        <v>-8560</v>
      </c>
      <c r="X155" s="32"/>
      <c r="Y155" s="32"/>
      <c r="Z155" s="32">
        <v>-4949</v>
      </c>
      <c r="AA155" s="32"/>
      <c r="AB155" s="32">
        <f>-34460-76941</f>
        <v>-111401</v>
      </c>
      <c r="AC155" s="32"/>
      <c r="AD155" s="32"/>
      <c r="AE155" s="32"/>
      <c r="AF155" s="32"/>
      <c r="AG155" s="32"/>
      <c r="AH155" s="127">
        <f t="shared" si="94"/>
        <v>-7696.6267000000053</v>
      </c>
      <c r="AI155" s="128">
        <f t="shared" si="95"/>
        <v>0</v>
      </c>
      <c r="AJ155" s="129">
        <f t="shared" si="96"/>
        <v>-510.00000000011642</v>
      </c>
    </row>
    <row r="156" spans="1:39" x14ac:dyDescent="0.25">
      <c r="A156" s="119">
        <f t="shared" ref="A156:A161" si="117">A155</f>
        <v>45348</v>
      </c>
      <c r="B156" s="109" t="s">
        <v>99</v>
      </c>
      <c r="C156" s="6" t="s">
        <v>9</v>
      </c>
      <c r="D156" s="7" t="s">
        <v>12</v>
      </c>
      <c r="E156" s="120">
        <v>5904391</v>
      </c>
      <c r="F156" s="130"/>
      <c r="G156" s="122"/>
      <c r="H156" s="123"/>
      <c r="I156" s="120">
        <f t="shared" si="114"/>
        <v>5904391</v>
      </c>
      <c r="J156" s="130">
        <f t="shared" si="115"/>
        <v>0</v>
      </c>
      <c r="K156" s="8">
        <f t="shared" ref="K156:L156" si="118">K155</f>
        <v>983.76</v>
      </c>
      <c r="L156" s="8">
        <f t="shared" si="118"/>
        <v>36829.919999999998</v>
      </c>
      <c r="M156" s="131">
        <f t="shared" si="116"/>
        <v>5904391</v>
      </c>
      <c r="N156" s="126">
        <f t="shared" si="93"/>
        <v>3757</v>
      </c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32"/>
      <c r="AF156" s="32"/>
      <c r="AG156" s="32"/>
      <c r="AH156" s="127">
        <f t="shared" si="94"/>
        <v>0</v>
      </c>
      <c r="AI156" s="128">
        <f t="shared" si="95"/>
        <v>3757</v>
      </c>
      <c r="AJ156" s="129">
        <f t="shared" si="96"/>
        <v>0</v>
      </c>
    </row>
    <row r="157" spans="1:39" x14ac:dyDescent="0.25">
      <c r="A157" s="119">
        <f t="shared" si="117"/>
        <v>45348</v>
      </c>
      <c r="B157" s="109" t="s">
        <v>99</v>
      </c>
      <c r="C157" s="6" t="s">
        <v>9</v>
      </c>
      <c r="D157" s="7" t="s">
        <v>15</v>
      </c>
      <c r="E157" s="120">
        <v>2089329</v>
      </c>
      <c r="F157" s="130"/>
      <c r="G157" s="122"/>
      <c r="H157" s="123"/>
      <c r="I157" s="120">
        <f t="shared" si="114"/>
        <v>2089329</v>
      </c>
      <c r="J157" s="130">
        <f t="shared" si="115"/>
        <v>0</v>
      </c>
      <c r="K157" s="8">
        <f t="shared" ref="K157:L158" si="119">K156</f>
        <v>983.76</v>
      </c>
      <c r="L157" s="8">
        <f t="shared" si="119"/>
        <v>36829.919999999998</v>
      </c>
      <c r="M157" s="131">
        <f t="shared" si="116"/>
        <v>2089329</v>
      </c>
      <c r="N157" s="126">
        <f t="shared" si="93"/>
        <v>8342</v>
      </c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127">
        <f t="shared" si="94"/>
        <v>0</v>
      </c>
      <c r="AI157" s="128">
        <f t="shared" si="95"/>
        <v>8342</v>
      </c>
      <c r="AJ157" s="129">
        <f t="shared" si="96"/>
        <v>0</v>
      </c>
      <c r="AM157" s="119"/>
    </row>
    <row r="158" spans="1:39" x14ac:dyDescent="0.25">
      <c r="A158" s="119">
        <f t="shared" si="117"/>
        <v>45348</v>
      </c>
      <c r="B158" s="109" t="s">
        <v>99</v>
      </c>
      <c r="C158" s="6" t="s">
        <v>9</v>
      </c>
      <c r="D158" s="7" t="s">
        <v>11</v>
      </c>
      <c r="E158" s="120">
        <v>704884</v>
      </c>
      <c r="F158" s="130"/>
      <c r="G158" s="122"/>
      <c r="H158" s="123"/>
      <c r="I158" s="120">
        <f t="shared" si="114"/>
        <v>704884</v>
      </c>
      <c r="J158" s="130">
        <f t="shared" si="115"/>
        <v>0</v>
      </c>
      <c r="K158" s="8">
        <f t="shared" si="119"/>
        <v>983.76</v>
      </c>
      <c r="L158" s="8">
        <f>L157</f>
        <v>36829.919999999998</v>
      </c>
      <c r="M158" s="131">
        <f t="shared" si="116"/>
        <v>704884</v>
      </c>
      <c r="N158" s="126">
        <f t="shared" si="93"/>
        <v>1399</v>
      </c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32"/>
      <c r="AF158" s="32"/>
      <c r="AG158" s="32"/>
      <c r="AH158" s="127">
        <f t="shared" si="94"/>
        <v>0</v>
      </c>
      <c r="AI158" s="128">
        <f t="shared" si="95"/>
        <v>1399</v>
      </c>
      <c r="AJ158" s="129">
        <f t="shared" si="96"/>
        <v>0</v>
      </c>
    </row>
    <row r="159" spans="1:39" x14ac:dyDescent="0.25">
      <c r="A159" s="119">
        <f t="shared" si="117"/>
        <v>45348</v>
      </c>
      <c r="B159" s="109" t="s">
        <v>99</v>
      </c>
      <c r="C159" s="6" t="s">
        <v>9</v>
      </c>
      <c r="D159" s="7" t="s">
        <v>10</v>
      </c>
      <c r="E159" s="120"/>
      <c r="F159" s="130">
        <f>211.56+105.2+0.24</f>
        <v>317</v>
      </c>
      <c r="G159" s="122"/>
      <c r="H159" s="123"/>
      <c r="I159" s="120">
        <f t="shared" si="114"/>
        <v>0</v>
      </c>
      <c r="J159" s="130">
        <f t="shared" si="115"/>
        <v>317</v>
      </c>
      <c r="K159" s="8">
        <f t="shared" ref="K159:L159" si="120">K158</f>
        <v>983.76</v>
      </c>
      <c r="L159" s="8">
        <f t="shared" si="120"/>
        <v>36829.919999999998</v>
      </c>
      <c r="M159" s="131">
        <f t="shared" si="116"/>
        <v>311851.92</v>
      </c>
      <c r="N159" s="126">
        <f t="shared" si="93"/>
        <v>2277.5951999999816</v>
      </c>
      <c r="O159" s="32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  <c r="AD159" s="32"/>
      <c r="AE159" s="32"/>
      <c r="AF159" s="32"/>
      <c r="AG159" s="32"/>
      <c r="AH159" s="127">
        <f t="shared" si="94"/>
        <v>3483.8300000000027</v>
      </c>
      <c r="AI159" s="128">
        <f t="shared" si="95"/>
        <v>-1206.2348000000211</v>
      </c>
      <c r="AJ159" s="129">
        <f t="shared" si="96"/>
        <v>0</v>
      </c>
    </row>
    <row r="160" spans="1:39" x14ac:dyDescent="0.25">
      <c r="A160" s="119">
        <f t="shared" si="117"/>
        <v>45348</v>
      </c>
      <c r="B160" s="109" t="s">
        <v>99</v>
      </c>
      <c r="C160" s="6" t="s">
        <v>7</v>
      </c>
      <c r="D160" s="7" t="s">
        <v>16</v>
      </c>
      <c r="E160" s="120"/>
      <c r="F160" s="130">
        <v>641.80999999999995</v>
      </c>
      <c r="G160" s="122"/>
      <c r="H160" s="123"/>
      <c r="I160" s="120">
        <f t="shared" si="114"/>
        <v>0</v>
      </c>
      <c r="J160" s="130">
        <f t="shared" si="115"/>
        <v>641.80999999999995</v>
      </c>
      <c r="K160" s="8">
        <f t="shared" ref="K160:L160" si="121">K159</f>
        <v>983.76</v>
      </c>
      <c r="L160" s="8">
        <f t="shared" si="121"/>
        <v>36829.919999999998</v>
      </c>
      <c r="M160" s="131">
        <f t="shared" si="116"/>
        <v>631387.00559999992</v>
      </c>
      <c r="N160" s="126">
        <f t="shared" si="93"/>
        <v>7841.435599999968</v>
      </c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  <c r="AD160" s="32"/>
      <c r="AE160" s="32"/>
      <c r="AF160" s="32"/>
      <c r="AG160" s="32"/>
      <c r="AH160" s="127">
        <f t="shared" si="94"/>
        <v>7053.4919000000054</v>
      </c>
      <c r="AI160" s="128">
        <f t="shared" si="95"/>
        <v>787.94369999996252</v>
      </c>
      <c r="AJ160" s="129">
        <f t="shared" si="96"/>
        <v>0</v>
      </c>
    </row>
    <row r="161" spans="1:39" s="142" customFormat="1" x14ac:dyDescent="0.25">
      <c r="A161" s="133">
        <f t="shared" si="117"/>
        <v>45348</v>
      </c>
      <c r="B161" s="110" t="s">
        <v>99</v>
      </c>
      <c r="C161" s="45" t="s">
        <v>8</v>
      </c>
      <c r="D161" s="46" t="s">
        <v>16</v>
      </c>
      <c r="E161" s="134"/>
      <c r="F161" s="135">
        <v>414.17</v>
      </c>
      <c r="G161" s="134"/>
      <c r="H161" s="135"/>
      <c r="I161" s="134">
        <f t="shared" si="114"/>
        <v>0</v>
      </c>
      <c r="J161" s="135">
        <f t="shared" si="115"/>
        <v>414.17</v>
      </c>
      <c r="K161" s="47">
        <f t="shared" ref="K161:L161" si="122">K160</f>
        <v>983.76</v>
      </c>
      <c r="L161" s="47">
        <f t="shared" si="122"/>
        <v>36829.919999999998</v>
      </c>
      <c r="M161" s="136">
        <f t="shared" si="116"/>
        <v>407443.87920000002</v>
      </c>
      <c r="N161" s="137">
        <f t="shared" si="93"/>
        <v>-22676.103999999992</v>
      </c>
      <c r="O161" s="138"/>
      <c r="P161" s="138"/>
      <c r="Q161" s="138"/>
      <c r="R161" s="138"/>
      <c r="S161" s="138"/>
      <c r="T161" s="138"/>
      <c r="U161" s="138"/>
      <c r="V161" s="138"/>
      <c r="W161" s="138"/>
      <c r="X161" s="138"/>
      <c r="Y161" s="138"/>
      <c r="Z161" s="138"/>
      <c r="AA161" s="138"/>
      <c r="AB161" s="138"/>
      <c r="AC161" s="138"/>
      <c r="AD161" s="138"/>
      <c r="AE161" s="138"/>
      <c r="AF161" s="138"/>
      <c r="AG161" s="138"/>
      <c r="AH161" s="139">
        <f t="shared" si="94"/>
        <v>4551.7283000000043</v>
      </c>
      <c r="AI161" s="140">
        <f t="shared" si="95"/>
        <v>-27227.832299999995</v>
      </c>
      <c r="AJ161" s="141">
        <f t="shared" si="96"/>
        <v>0</v>
      </c>
    </row>
    <row r="162" spans="1:39" x14ac:dyDescent="0.25">
      <c r="A162" s="119">
        <v>45349</v>
      </c>
      <c r="B162" s="109" t="s">
        <v>99</v>
      </c>
      <c r="C162" s="6" t="s">
        <v>5</v>
      </c>
      <c r="D162" s="7" t="s">
        <v>6</v>
      </c>
      <c r="E162" s="120">
        <v>7949369</v>
      </c>
      <c r="F162" s="130"/>
      <c r="G162" s="120"/>
      <c r="H162" s="130"/>
      <c r="I162" s="120">
        <f t="shared" ref="I162:I169" si="123">E162+G162</f>
        <v>7949369</v>
      </c>
      <c r="J162" s="130">
        <f t="shared" ref="J162:J169" si="124">F162+H162</f>
        <v>0</v>
      </c>
      <c r="K162" s="42">
        <f>VLOOKUP($A162,MarketData!$D:$ZZ,MATCH(K$1,MarketData!$D$1:$ZZ$1,0))</f>
        <v>986.85</v>
      </c>
      <c r="L162" s="42">
        <f>VLOOKUP($A162,MarketData!$D:$ZZ,MATCH(L$1,MarketData!$D$1:$ZZ$1,0))</f>
        <v>36838.78</v>
      </c>
      <c r="M162" s="131">
        <f t="shared" ref="M162:M169" si="125">I162+J162*K162</f>
        <v>7949369</v>
      </c>
      <c r="N162" s="126">
        <f t="shared" si="93"/>
        <v>-192489</v>
      </c>
      <c r="O162" s="32"/>
      <c r="P162" s="32"/>
      <c r="Q162" s="32">
        <v>-180000</v>
      </c>
      <c r="R162" s="32"/>
      <c r="S162" s="32"/>
      <c r="T162" s="32"/>
      <c r="U162" s="32"/>
      <c r="V162" s="32"/>
      <c r="W162" s="32"/>
      <c r="X162" s="32"/>
      <c r="Y162" s="32"/>
      <c r="Z162" s="32"/>
      <c r="AA162" s="32">
        <v>-12489</v>
      </c>
      <c r="AB162" s="32"/>
      <c r="AC162" s="32"/>
      <c r="AD162" s="32"/>
      <c r="AE162" s="32"/>
      <c r="AF162" s="32"/>
      <c r="AG162" s="32"/>
      <c r="AH162" s="127">
        <f t="shared" si="94"/>
        <v>0</v>
      </c>
      <c r="AI162" s="128">
        <f t="shared" si="95"/>
        <v>0</v>
      </c>
      <c r="AJ162" s="129">
        <f t="shared" si="96"/>
        <v>0</v>
      </c>
    </row>
    <row r="163" spans="1:39" x14ac:dyDescent="0.25">
      <c r="A163" s="119">
        <f>A162</f>
        <v>45349</v>
      </c>
      <c r="B163" s="109" t="s">
        <v>99</v>
      </c>
      <c r="C163" s="6" t="s">
        <v>5</v>
      </c>
      <c r="D163" s="7" t="s">
        <v>26</v>
      </c>
      <c r="E163" s="120">
        <v>9556261</v>
      </c>
      <c r="F163" s="130">
        <v>7299.67</v>
      </c>
      <c r="G163" s="122">
        <v>-10000000</v>
      </c>
      <c r="H163" s="123">
        <v>-8000</v>
      </c>
      <c r="I163" s="120">
        <f t="shared" si="123"/>
        <v>-443739</v>
      </c>
      <c r="J163" s="130">
        <f t="shared" si="124"/>
        <v>-700.32999999999993</v>
      </c>
      <c r="K163" s="8">
        <f>K162</f>
        <v>986.85</v>
      </c>
      <c r="L163" s="8">
        <f>L162</f>
        <v>36838.78</v>
      </c>
      <c r="M163" s="131">
        <f t="shared" si="125"/>
        <v>-1134859.6605</v>
      </c>
      <c r="N163" s="126">
        <f t="shared" si="93"/>
        <v>-62385.019700000063</v>
      </c>
      <c r="O163" s="32"/>
      <c r="P163" s="32"/>
      <c r="Q163" s="32"/>
      <c r="R163" s="32">
        <v>-24980</v>
      </c>
      <c r="S163" s="32"/>
      <c r="T163" s="32">
        <v>-18660</v>
      </c>
      <c r="U163" s="32"/>
      <c r="V163" s="32"/>
      <c r="W163" s="32">
        <f>-3790-1600-5780</f>
        <v>-11170</v>
      </c>
      <c r="X163" s="32"/>
      <c r="Y163" s="32"/>
      <c r="Z163" s="32">
        <v>-5411</v>
      </c>
      <c r="AA163" s="32"/>
      <c r="AB163" s="32"/>
      <c r="AC163" s="32"/>
      <c r="AD163" s="32"/>
      <c r="AE163" s="32"/>
      <c r="AF163" s="32"/>
      <c r="AG163" s="32"/>
      <c r="AH163" s="127">
        <f t="shared" si="94"/>
        <v>-2164.0197000000221</v>
      </c>
      <c r="AI163" s="128">
        <f t="shared" si="95"/>
        <v>0</v>
      </c>
      <c r="AJ163" s="129">
        <f t="shared" si="96"/>
        <v>0</v>
      </c>
    </row>
    <row r="164" spans="1:39" x14ac:dyDescent="0.25">
      <c r="A164" s="119">
        <f t="shared" ref="A164:A169" si="126">A163</f>
        <v>45349</v>
      </c>
      <c r="B164" s="109" t="s">
        <v>99</v>
      </c>
      <c r="C164" s="6" t="s">
        <v>9</v>
      </c>
      <c r="D164" s="7" t="s">
        <v>12</v>
      </c>
      <c r="E164" s="120">
        <v>5905734</v>
      </c>
      <c r="F164" s="130"/>
      <c r="G164" s="122"/>
      <c r="H164" s="123"/>
      <c r="I164" s="120">
        <f t="shared" si="123"/>
        <v>5905734</v>
      </c>
      <c r="J164" s="130">
        <f t="shared" si="124"/>
        <v>0</v>
      </c>
      <c r="K164" s="8">
        <f t="shared" ref="K164:L164" si="127">K163</f>
        <v>986.85</v>
      </c>
      <c r="L164" s="8">
        <f t="shared" si="127"/>
        <v>36838.78</v>
      </c>
      <c r="M164" s="131">
        <f t="shared" si="125"/>
        <v>5905734</v>
      </c>
      <c r="N164" s="126">
        <f t="shared" si="93"/>
        <v>1343</v>
      </c>
      <c r="O164" s="32"/>
      <c r="P164" s="32"/>
      <c r="Q164" s="32"/>
      <c r="R164" s="32"/>
      <c r="S164" s="32"/>
      <c r="T164" s="32"/>
      <c r="U164" s="32"/>
      <c r="V164" s="32"/>
      <c r="W164" s="32"/>
      <c r="X164" s="32"/>
      <c r="Y164" s="32"/>
      <c r="Z164" s="32"/>
      <c r="AA164" s="32"/>
      <c r="AB164" s="32"/>
      <c r="AC164" s="32"/>
      <c r="AD164" s="32"/>
      <c r="AE164" s="32"/>
      <c r="AF164" s="32"/>
      <c r="AG164" s="32"/>
      <c r="AH164" s="127">
        <f t="shared" si="94"/>
        <v>0</v>
      </c>
      <c r="AI164" s="128">
        <f t="shared" si="95"/>
        <v>1343</v>
      </c>
      <c r="AJ164" s="129">
        <f t="shared" si="96"/>
        <v>0</v>
      </c>
    </row>
    <row r="165" spans="1:39" x14ac:dyDescent="0.25">
      <c r="A165" s="119">
        <f t="shared" si="126"/>
        <v>45349</v>
      </c>
      <c r="B165" s="109" t="s">
        <v>99</v>
      </c>
      <c r="C165" s="6" t="s">
        <v>9</v>
      </c>
      <c r="D165" s="7" t="s">
        <v>15</v>
      </c>
      <c r="E165" s="120">
        <v>2087561</v>
      </c>
      <c r="F165" s="130"/>
      <c r="G165" s="122"/>
      <c r="H165" s="123"/>
      <c r="I165" s="120">
        <f t="shared" si="123"/>
        <v>2087561</v>
      </c>
      <c r="J165" s="130">
        <f t="shared" si="124"/>
        <v>0</v>
      </c>
      <c r="K165" s="8">
        <f t="shared" ref="K165:L165" si="128">K164</f>
        <v>986.85</v>
      </c>
      <c r="L165" s="8">
        <f t="shared" si="128"/>
        <v>36838.78</v>
      </c>
      <c r="M165" s="131">
        <f t="shared" si="125"/>
        <v>2087561</v>
      </c>
      <c r="N165" s="126">
        <f t="shared" si="93"/>
        <v>-1768</v>
      </c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32"/>
      <c r="AC165" s="32"/>
      <c r="AD165" s="32"/>
      <c r="AE165" s="32"/>
      <c r="AF165" s="32"/>
      <c r="AG165" s="32"/>
      <c r="AH165" s="127">
        <f t="shared" si="94"/>
        <v>0</v>
      </c>
      <c r="AI165" s="128">
        <f t="shared" si="95"/>
        <v>-1768</v>
      </c>
      <c r="AJ165" s="129">
        <f t="shared" si="96"/>
        <v>0</v>
      </c>
      <c r="AM165" s="119"/>
    </row>
    <row r="166" spans="1:39" x14ac:dyDescent="0.25">
      <c r="A166" s="119">
        <f t="shared" si="126"/>
        <v>45349</v>
      </c>
      <c r="B166" s="109" t="s">
        <v>99</v>
      </c>
      <c r="C166" s="6" t="s">
        <v>9</v>
      </c>
      <c r="D166" s="7" t="s">
        <v>11</v>
      </c>
      <c r="E166" s="120">
        <v>703744</v>
      </c>
      <c r="F166" s="130"/>
      <c r="G166" s="122"/>
      <c r="H166" s="123"/>
      <c r="I166" s="120">
        <f t="shared" si="123"/>
        <v>703744</v>
      </c>
      <c r="J166" s="130">
        <f t="shared" si="124"/>
        <v>0</v>
      </c>
      <c r="K166" s="8">
        <f t="shared" ref="K166" si="129">K165</f>
        <v>986.85</v>
      </c>
      <c r="L166" s="8">
        <f>L165</f>
        <v>36838.78</v>
      </c>
      <c r="M166" s="131">
        <f t="shared" si="125"/>
        <v>703744</v>
      </c>
      <c r="N166" s="126">
        <f t="shared" si="93"/>
        <v>-1140</v>
      </c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  <c r="Z166" s="32"/>
      <c r="AA166" s="32"/>
      <c r="AB166" s="32"/>
      <c r="AC166" s="32"/>
      <c r="AD166" s="32"/>
      <c r="AE166" s="32"/>
      <c r="AF166" s="32"/>
      <c r="AG166" s="32"/>
      <c r="AH166" s="127">
        <f t="shared" si="94"/>
        <v>0</v>
      </c>
      <c r="AI166" s="128">
        <f t="shared" si="95"/>
        <v>-1140</v>
      </c>
      <c r="AJ166" s="129">
        <f t="shared" si="96"/>
        <v>0</v>
      </c>
    </row>
    <row r="167" spans="1:39" x14ac:dyDescent="0.25">
      <c r="A167" s="119">
        <f t="shared" si="126"/>
        <v>45349</v>
      </c>
      <c r="B167" s="109" t="s">
        <v>99</v>
      </c>
      <c r="C167" s="6" t="s">
        <v>9</v>
      </c>
      <c r="D167" s="7" t="s">
        <v>10</v>
      </c>
      <c r="E167" s="120"/>
      <c r="F167" s="130">
        <f>211.98+106.61+0.24</f>
        <v>318.83</v>
      </c>
      <c r="G167" s="122"/>
      <c r="H167" s="123"/>
      <c r="I167" s="120">
        <f t="shared" si="123"/>
        <v>0</v>
      </c>
      <c r="J167" s="130">
        <f t="shared" si="124"/>
        <v>318.83</v>
      </c>
      <c r="K167" s="8">
        <f t="shared" ref="K167:L167" si="130">K166</f>
        <v>986.85</v>
      </c>
      <c r="L167" s="8">
        <f t="shared" si="130"/>
        <v>36838.78</v>
      </c>
      <c r="M167" s="131">
        <f t="shared" si="125"/>
        <v>314637.38549999997</v>
      </c>
      <c r="N167" s="126">
        <f t="shared" si="93"/>
        <v>2785.4654999999912</v>
      </c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32"/>
      <c r="AC167" s="32"/>
      <c r="AD167" s="32"/>
      <c r="AE167" s="32"/>
      <c r="AF167" s="32"/>
      <c r="AG167" s="32"/>
      <c r="AH167" s="127">
        <f t="shared" si="94"/>
        <v>985.18470000001014</v>
      </c>
      <c r="AI167" s="128">
        <f t="shared" si="95"/>
        <v>1800.2807999999809</v>
      </c>
      <c r="AJ167" s="129">
        <f t="shared" si="96"/>
        <v>0</v>
      </c>
    </row>
    <row r="168" spans="1:39" x14ac:dyDescent="0.25">
      <c r="A168" s="119">
        <f t="shared" si="126"/>
        <v>45349</v>
      </c>
      <c r="B168" s="109" t="s">
        <v>99</v>
      </c>
      <c r="C168" s="6" t="s">
        <v>7</v>
      </c>
      <c r="D168" s="7" t="s">
        <v>16</v>
      </c>
      <c r="E168" s="120"/>
      <c r="F168" s="130">
        <v>740</v>
      </c>
      <c r="G168" s="122"/>
      <c r="H168" s="123"/>
      <c r="I168" s="120">
        <f t="shared" si="123"/>
        <v>0</v>
      </c>
      <c r="J168" s="130">
        <f t="shared" si="124"/>
        <v>740</v>
      </c>
      <c r="K168" s="8">
        <f t="shared" ref="K168:L168" si="131">K167</f>
        <v>986.85</v>
      </c>
      <c r="L168" s="8">
        <f t="shared" si="131"/>
        <v>36838.78</v>
      </c>
      <c r="M168" s="131">
        <f t="shared" si="125"/>
        <v>730269</v>
      </c>
      <c r="N168" s="126">
        <f t="shared" si="93"/>
        <v>98881.994400000083</v>
      </c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127">
        <f t="shared" si="94"/>
        <v>2286.6000000000236</v>
      </c>
      <c r="AI168" s="128">
        <f t="shared" si="95"/>
        <v>96595.394400000063</v>
      </c>
      <c r="AJ168" s="129">
        <f t="shared" si="96"/>
        <v>0</v>
      </c>
    </row>
    <row r="169" spans="1:39" s="142" customFormat="1" x14ac:dyDescent="0.25">
      <c r="A169" s="133">
        <f t="shared" si="126"/>
        <v>45349</v>
      </c>
      <c r="B169" s="110" t="s">
        <v>99</v>
      </c>
      <c r="C169" s="45" t="s">
        <v>8</v>
      </c>
      <c r="D169" s="46" t="s">
        <v>16</v>
      </c>
      <c r="E169" s="134"/>
      <c r="F169" s="135">
        <v>371.26</v>
      </c>
      <c r="G169" s="134"/>
      <c r="H169" s="135"/>
      <c r="I169" s="134">
        <f t="shared" si="123"/>
        <v>0</v>
      </c>
      <c r="J169" s="135">
        <f t="shared" si="124"/>
        <v>371.26</v>
      </c>
      <c r="K169" s="47">
        <f t="shared" ref="K169:L169" si="132">K168</f>
        <v>986.85</v>
      </c>
      <c r="L169" s="47">
        <f t="shared" si="132"/>
        <v>36838.78</v>
      </c>
      <c r="M169" s="136">
        <f t="shared" si="125"/>
        <v>366377.93099999998</v>
      </c>
      <c r="N169" s="137">
        <f t="shared" si="93"/>
        <v>-41065.948200000043</v>
      </c>
      <c r="O169" s="138"/>
      <c r="P169" s="138"/>
      <c r="Q169" s="138"/>
      <c r="R169" s="138"/>
      <c r="S169" s="138"/>
      <c r="T169" s="138"/>
      <c r="U169" s="138"/>
      <c r="V169" s="138"/>
      <c r="W169" s="138"/>
      <c r="X169" s="138"/>
      <c r="Y169" s="138"/>
      <c r="Z169" s="138"/>
      <c r="AA169" s="138"/>
      <c r="AB169" s="138"/>
      <c r="AC169" s="138"/>
      <c r="AD169" s="138"/>
      <c r="AE169" s="138"/>
      <c r="AF169" s="138"/>
      <c r="AG169" s="138"/>
      <c r="AH169" s="139">
        <f t="shared" si="94"/>
        <v>1147.1934000000117</v>
      </c>
      <c r="AI169" s="140">
        <f t="shared" si="95"/>
        <v>-42213.141600000054</v>
      </c>
      <c r="AJ169" s="141">
        <f t="shared" si="96"/>
        <v>0</v>
      </c>
    </row>
    <row r="170" spans="1:39" x14ac:dyDescent="0.25">
      <c r="A170" s="119">
        <v>45350</v>
      </c>
      <c r="B170" s="109" t="s">
        <v>99</v>
      </c>
      <c r="C170" s="6" t="s">
        <v>5</v>
      </c>
      <c r="D170" s="7" t="s">
        <v>6</v>
      </c>
      <c r="E170" s="120">
        <v>8069369</v>
      </c>
      <c r="F170" s="130"/>
      <c r="G170" s="120"/>
      <c r="H170" s="130"/>
      <c r="I170" s="120">
        <f t="shared" ref="I170:I177" si="133">E170+G170</f>
        <v>8069369</v>
      </c>
      <c r="J170" s="130">
        <f t="shared" ref="J170:J177" si="134">F170+H170</f>
        <v>0</v>
      </c>
      <c r="K170" s="42">
        <f>VLOOKUP($A170,MarketData!$D:$ZZ,MATCH(K$1,MarketData!$D$1:$ZZ$1,0))</f>
        <v>984.53</v>
      </c>
      <c r="L170" s="42">
        <f>VLOOKUP($A170,MarketData!$D:$ZZ,MATCH(L$1,MarketData!$D$1:$ZZ$1,0))</f>
        <v>36847.64</v>
      </c>
      <c r="M170" s="131">
        <f t="shared" ref="M170:M177" si="135">I170+J170*K170</f>
        <v>8069369</v>
      </c>
      <c r="N170" s="126">
        <f t="shared" si="93"/>
        <v>120000</v>
      </c>
      <c r="O170" s="32"/>
      <c r="P170" s="32"/>
      <c r="Q170" s="32">
        <v>120000</v>
      </c>
      <c r="R170" s="32"/>
      <c r="S170" s="32"/>
      <c r="T170" s="32"/>
      <c r="U170" s="32"/>
      <c r="V170" s="32"/>
      <c r="W170" s="32"/>
      <c r="X170" s="32"/>
      <c r="Y170" s="32"/>
      <c r="Z170" s="32"/>
      <c r="AA170" s="32"/>
      <c r="AB170" s="32"/>
      <c r="AC170" s="32"/>
      <c r="AD170" s="32"/>
      <c r="AE170" s="32"/>
      <c r="AF170" s="32"/>
      <c r="AG170" s="32"/>
      <c r="AH170" s="127">
        <f t="shared" ref="AH170:AH201" si="136">J170*(K170-K162)</f>
        <v>0</v>
      </c>
      <c r="AI170" s="128">
        <f t="shared" si="95"/>
        <v>0</v>
      </c>
      <c r="AJ170" s="129">
        <f t="shared" si="96"/>
        <v>0</v>
      </c>
    </row>
    <row r="171" spans="1:39" x14ac:dyDescent="0.25">
      <c r="A171" s="119">
        <f>A170</f>
        <v>45350</v>
      </c>
      <c r="B171" s="109" t="s">
        <v>99</v>
      </c>
      <c r="C171" s="6" t="s">
        <v>5</v>
      </c>
      <c r="D171" s="7" t="s">
        <v>26</v>
      </c>
      <c r="E171" s="120">
        <v>9493522</v>
      </c>
      <c r="F171" s="130">
        <v>7299.67</v>
      </c>
      <c r="G171" s="122">
        <v>-10000000</v>
      </c>
      <c r="H171" s="123">
        <v>-8000</v>
      </c>
      <c r="I171" s="120">
        <f t="shared" si="133"/>
        <v>-506478</v>
      </c>
      <c r="J171" s="130">
        <f t="shared" si="134"/>
        <v>-700.32999999999993</v>
      </c>
      <c r="K171" s="8">
        <f>K170</f>
        <v>984.53</v>
      </c>
      <c r="L171" s="8">
        <f>L170</f>
        <v>36847.64</v>
      </c>
      <c r="M171" s="131">
        <f t="shared" si="135"/>
        <v>-1195973.8949</v>
      </c>
      <c r="N171" s="126">
        <f t="shared" si="93"/>
        <v>-61114.234399999958</v>
      </c>
      <c r="O171" s="32"/>
      <c r="P171" s="32"/>
      <c r="Q171" s="32"/>
      <c r="R171" s="32"/>
      <c r="S171" s="32"/>
      <c r="T171" s="32"/>
      <c r="U171" s="32"/>
      <c r="V171" s="32">
        <v>-49420</v>
      </c>
      <c r="W171" s="32">
        <f>-7658-700-1000</f>
        <v>-9358</v>
      </c>
      <c r="X171" s="32"/>
      <c r="Y171" s="32"/>
      <c r="Z171" s="32">
        <v>-3961</v>
      </c>
      <c r="AA171" s="32"/>
      <c r="AB171" s="32"/>
      <c r="AC171" s="32"/>
      <c r="AD171" s="32"/>
      <c r="AE171" s="32"/>
      <c r="AF171" s="32"/>
      <c r="AG171" s="32"/>
      <c r="AH171" s="127">
        <f t="shared" si="136"/>
        <v>1624.765600000035</v>
      </c>
      <c r="AI171" s="128">
        <f t="shared" si="95"/>
        <v>0</v>
      </c>
      <c r="AJ171" s="129">
        <f t="shared" si="96"/>
        <v>0</v>
      </c>
    </row>
    <row r="172" spans="1:39" x14ac:dyDescent="0.25">
      <c r="A172" s="119">
        <f t="shared" ref="A172:A177" si="137">A171</f>
        <v>45350</v>
      </c>
      <c r="B172" s="109" t="s">
        <v>99</v>
      </c>
      <c r="C172" s="6" t="s">
        <v>9</v>
      </c>
      <c r="D172" s="7" t="s">
        <v>12</v>
      </c>
      <c r="E172" s="120">
        <v>5907066</v>
      </c>
      <c r="F172" s="130"/>
      <c r="G172" s="122"/>
      <c r="H172" s="123"/>
      <c r="I172" s="120">
        <f t="shared" si="133"/>
        <v>5907066</v>
      </c>
      <c r="J172" s="130">
        <f t="shared" si="134"/>
        <v>0</v>
      </c>
      <c r="K172" s="8">
        <f t="shared" ref="K172:L172" si="138">K171</f>
        <v>984.53</v>
      </c>
      <c r="L172" s="8">
        <f t="shared" si="138"/>
        <v>36847.64</v>
      </c>
      <c r="M172" s="131">
        <f t="shared" si="135"/>
        <v>5907066</v>
      </c>
      <c r="N172" s="126">
        <f t="shared" si="93"/>
        <v>1332</v>
      </c>
      <c r="O172" s="32"/>
      <c r="P172" s="32"/>
      <c r="Q172" s="32"/>
      <c r="R172" s="32"/>
      <c r="S172" s="32"/>
      <c r="T172" s="32"/>
      <c r="U172" s="32"/>
      <c r="V172" s="32"/>
      <c r="W172" s="32"/>
      <c r="X172" s="32"/>
      <c r="Y172" s="32"/>
      <c r="Z172" s="32"/>
      <c r="AA172" s="32"/>
      <c r="AB172" s="32"/>
      <c r="AC172" s="32"/>
      <c r="AD172" s="32"/>
      <c r="AE172" s="32"/>
      <c r="AF172" s="32"/>
      <c r="AG172" s="32"/>
      <c r="AH172" s="127">
        <f t="shared" si="136"/>
        <v>0</v>
      </c>
      <c r="AI172" s="128">
        <f t="shared" si="95"/>
        <v>1332</v>
      </c>
      <c r="AJ172" s="129">
        <f t="shared" si="96"/>
        <v>0</v>
      </c>
    </row>
    <row r="173" spans="1:39" x14ac:dyDescent="0.25">
      <c r="A173" s="119">
        <f t="shared" si="137"/>
        <v>45350</v>
      </c>
      <c r="B173" s="109" t="s">
        <v>99</v>
      </c>
      <c r="C173" s="6" t="s">
        <v>9</v>
      </c>
      <c r="D173" s="7" t="s">
        <v>15</v>
      </c>
      <c r="E173" s="120">
        <v>2070381</v>
      </c>
      <c r="F173" s="130"/>
      <c r="G173" s="122"/>
      <c r="H173" s="123"/>
      <c r="I173" s="120">
        <f t="shared" si="133"/>
        <v>2070381</v>
      </c>
      <c r="J173" s="130">
        <f t="shared" si="134"/>
        <v>0</v>
      </c>
      <c r="K173" s="8">
        <f t="shared" ref="K173:L174" si="139">K172</f>
        <v>984.53</v>
      </c>
      <c r="L173" s="8">
        <f t="shared" si="139"/>
        <v>36847.64</v>
      </c>
      <c r="M173" s="131">
        <f t="shared" si="135"/>
        <v>2070381</v>
      </c>
      <c r="N173" s="126">
        <f t="shared" si="93"/>
        <v>-17180</v>
      </c>
      <c r="O173" s="32"/>
      <c r="P173" s="32"/>
      <c r="Q173" s="32"/>
      <c r="R173" s="32"/>
      <c r="S173" s="32"/>
      <c r="T173" s="32"/>
      <c r="U173" s="32"/>
      <c r="V173" s="32"/>
      <c r="W173" s="32"/>
      <c r="X173" s="32"/>
      <c r="Y173" s="32"/>
      <c r="Z173" s="32"/>
      <c r="AA173" s="32"/>
      <c r="AB173" s="32"/>
      <c r="AC173" s="32"/>
      <c r="AD173" s="32"/>
      <c r="AE173" s="32"/>
      <c r="AF173" s="32"/>
      <c r="AG173" s="32"/>
      <c r="AH173" s="127">
        <f t="shared" si="136"/>
        <v>0</v>
      </c>
      <c r="AI173" s="128">
        <f t="shared" si="95"/>
        <v>-17180</v>
      </c>
      <c r="AJ173" s="129">
        <f t="shared" si="96"/>
        <v>0</v>
      </c>
      <c r="AM173" s="119"/>
    </row>
    <row r="174" spans="1:39" x14ac:dyDescent="0.25">
      <c r="A174" s="119">
        <f t="shared" si="137"/>
        <v>45350</v>
      </c>
      <c r="B174" s="109" t="s">
        <v>99</v>
      </c>
      <c r="C174" s="6" t="s">
        <v>9</v>
      </c>
      <c r="D174" s="7" t="s">
        <v>11</v>
      </c>
      <c r="E174" s="120">
        <v>700973</v>
      </c>
      <c r="F174" s="130"/>
      <c r="G174" s="122"/>
      <c r="H174" s="123"/>
      <c r="I174" s="120">
        <f t="shared" si="133"/>
        <v>700973</v>
      </c>
      <c r="J174" s="130">
        <f t="shared" si="134"/>
        <v>0</v>
      </c>
      <c r="K174" s="8">
        <f t="shared" si="139"/>
        <v>984.53</v>
      </c>
      <c r="L174" s="8">
        <f>L173</f>
        <v>36847.64</v>
      </c>
      <c r="M174" s="131">
        <f t="shared" si="135"/>
        <v>700973</v>
      </c>
      <c r="N174" s="126">
        <f t="shared" si="93"/>
        <v>-2771</v>
      </c>
      <c r="O174" s="32"/>
      <c r="P174" s="32"/>
      <c r="Q174" s="32"/>
      <c r="R174" s="32"/>
      <c r="S174" s="32"/>
      <c r="T174" s="32"/>
      <c r="U174" s="32"/>
      <c r="V174" s="32"/>
      <c r="W174" s="32"/>
      <c r="X174" s="32"/>
      <c r="Y174" s="32"/>
      <c r="Z174" s="32"/>
      <c r="AA174" s="32"/>
      <c r="AB174" s="32"/>
      <c r="AC174" s="32"/>
      <c r="AD174" s="32"/>
      <c r="AE174" s="32"/>
      <c r="AF174" s="32"/>
      <c r="AG174" s="32"/>
      <c r="AH174" s="127">
        <f t="shared" si="136"/>
        <v>0</v>
      </c>
      <c r="AI174" s="128">
        <f t="shared" si="95"/>
        <v>-2771</v>
      </c>
      <c r="AJ174" s="129">
        <f t="shared" si="96"/>
        <v>0</v>
      </c>
    </row>
    <row r="175" spans="1:39" x14ac:dyDescent="0.25">
      <c r="A175" s="119">
        <f t="shared" si="137"/>
        <v>45350</v>
      </c>
      <c r="B175" s="109" t="s">
        <v>99</v>
      </c>
      <c r="C175" s="6" t="s">
        <v>9</v>
      </c>
      <c r="D175" s="7" t="s">
        <v>10</v>
      </c>
      <c r="E175" s="120"/>
      <c r="F175" s="130">
        <f>211.09+104.56+0.24</f>
        <v>315.89</v>
      </c>
      <c r="G175" s="122"/>
      <c r="H175" s="123"/>
      <c r="I175" s="120">
        <f t="shared" si="133"/>
        <v>0</v>
      </c>
      <c r="J175" s="130">
        <f t="shared" si="134"/>
        <v>315.89</v>
      </c>
      <c r="K175" s="8">
        <f t="shared" ref="K175:L175" si="140">K174</f>
        <v>984.53</v>
      </c>
      <c r="L175" s="8">
        <f t="shared" si="140"/>
        <v>36847.64</v>
      </c>
      <c r="M175" s="131">
        <f t="shared" si="135"/>
        <v>311003.18169999996</v>
      </c>
      <c r="N175" s="126">
        <f t="shared" si="93"/>
        <v>-3634.2038000000175</v>
      </c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  <c r="Z175" s="32"/>
      <c r="AA175" s="32"/>
      <c r="AB175" s="32"/>
      <c r="AC175" s="32"/>
      <c r="AD175" s="32"/>
      <c r="AE175" s="32"/>
      <c r="AF175" s="32"/>
      <c r="AG175" s="32"/>
      <c r="AH175" s="127">
        <f t="shared" si="136"/>
        <v>-732.86480000001575</v>
      </c>
      <c r="AI175" s="128">
        <f t="shared" si="95"/>
        <v>-2901.3390000000018</v>
      </c>
      <c r="AJ175" s="129">
        <f t="shared" si="96"/>
        <v>0</v>
      </c>
    </row>
    <row r="176" spans="1:39" x14ac:dyDescent="0.25">
      <c r="A176" s="119">
        <f t="shared" si="137"/>
        <v>45350</v>
      </c>
      <c r="B176" s="109" t="s">
        <v>99</v>
      </c>
      <c r="C176" s="6" t="s">
        <v>7</v>
      </c>
      <c r="D176" s="7" t="s">
        <v>16</v>
      </c>
      <c r="E176" s="120"/>
      <c r="F176" s="130">
        <v>906.9</v>
      </c>
      <c r="G176" s="122"/>
      <c r="H176" s="123"/>
      <c r="I176" s="120">
        <f t="shared" si="133"/>
        <v>0</v>
      </c>
      <c r="J176" s="130">
        <f t="shared" si="134"/>
        <v>906.9</v>
      </c>
      <c r="K176" s="8">
        <f t="shared" ref="K176:L176" si="141">K175</f>
        <v>984.53</v>
      </c>
      <c r="L176" s="8">
        <f t="shared" si="141"/>
        <v>36847.64</v>
      </c>
      <c r="M176" s="131">
        <f t="shared" si="135"/>
        <v>892870.25699999998</v>
      </c>
      <c r="N176" s="126">
        <f t="shared" si="93"/>
        <v>162601.25699999998</v>
      </c>
      <c r="O176" s="32"/>
      <c r="P176" s="32"/>
      <c r="Q176" s="32"/>
      <c r="R176" s="32"/>
      <c r="S176" s="32"/>
      <c r="T176" s="32"/>
      <c r="U176" s="32"/>
      <c r="V176" s="32"/>
      <c r="W176" s="32"/>
      <c r="X176" s="32"/>
      <c r="Y176" s="32"/>
      <c r="Z176" s="32"/>
      <c r="AA176" s="32"/>
      <c r="AB176" s="32"/>
      <c r="AC176" s="32"/>
      <c r="AD176" s="32"/>
      <c r="AE176" s="32"/>
      <c r="AF176" s="32"/>
      <c r="AG176" s="32"/>
      <c r="AH176" s="127">
        <f t="shared" si="136"/>
        <v>-2104.0080000000453</v>
      </c>
      <c r="AI176" s="128">
        <f t="shared" si="95"/>
        <v>164705.26500000001</v>
      </c>
      <c r="AJ176" s="129">
        <f t="shared" si="96"/>
        <v>0</v>
      </c>
    </row>
    <row r="177" spans="1:39" s="142" customFormat="1" x14ac:dyDescent="0.25">
      <c r="A177" s="133">
        <f t="shared" si="137"/>
        <v>45350</v>
      </c>
      <c r="B177" s="110" t="s">
        <v>99</v>
      </c>
      <c r="C177" s="45" t="s">
        <v>8</v>
      </c>
      <c r="D177" s="46" t="s">
        <v>16</v>
      </c>
      <c r="E177" s="134"/>
      <c r="F177" s="135">
        <v>358.67</v>
      </c>
      <c r="G177" s="134"/>
      <c r="H177" s="135"/>
      <c r="I177" s="134">
        <f t="shared" si="133"/>
        <v>0</v>
      </c>
      <c r="J177" s="135">
        <f t="shared" si="134"/>
        <v>358.67</v>
      </c>
      <c r="K177" s="47">
        <f t="shared" ref="K177:L177" si="142">K176</f>
        <v>984.53</v>
      </c>
      <c r="L177" s="47">
        <f t="shared" si="142"/>
        <v>36847.64</v>
      </c>
      <c r="M177" s="136">
        <f t="shared" si="135"/>
        <v>353121.3751</v>
      </c>
      <c r="N177" s="137">
        <f t="shared" si="93"/>
        <v>-13256.555899999978</v>
      </c>
      <c r="O177" s="138"/>
      <c r="P177" s="138"/>
      <c r="Q177" s="138"/>
      <c r="R177" s="138"/>
      <c r="S177" s="138"/>
      <c r="T177" s="138"/>
      <c r="U177" s="138"/>
      <c r="V177" s="138"/>
      <c r="W177" s="138"/>
      <c r="X177" s="138"/>
      <c r="Y177" s="138"/>
      <c r="Z177" s="138"/>
      <c r="AA177" s="138"/>
      <c r="AB177" s="138"/>
      <c r="AC177" s="138"/>
      <c r="AD177" s="138"/>
      <c r="AE177" s="138"/>
      <c r="AF177" s="138"/>
      <c r="AG177" s="138"/>
      <c r="AH177" s="139">
        <f t="shared" si="136"/>
        <v>-832.11440000001801</v>
      </c>
      <c r="AI177" s="140">
        <f t="shared" si="95"/>
        <v>-12424.441499999959</v>
      </c>
      <c r="AJ177" s="141">
        <f t="shared" si="96"/>
        <v>0</v>
      </c>
    </row>
    <row r="178" spans="1:39" x14ac:dyDescent="0.25">
      <c r="A178" s="119">
        <v>45351</v>
      </c>
      <c r="B178" s="109" t="s">
        <v>99</v>
      </c>
      <c r="C178" s="6" t="s">
        <v>5</v>
      </c>
      <c r="D178" s="7" t="s">
        <v>6</v>
      </c>
      <c r="E178" s="120">
        <v>8069369</v>
      </c>
      <c r="F178" s="130"/>
      <c r="G178" s="120"/>
      <c r="H178" s="130"/>
      <c r="I178" s="120">
        <f t="shared" ref="I178:I185" si="143">E178+G178</f>
        <v>8069369</v>
      </c>
      <c r="J178" s="130">
        <f t="shared" ref="J178:J185" si="144">F178+H178</f>
        <v>0</v>
      </c>
      <c r="K178" s="42">
        <f>VLOOKUP($A178,MarketData!$D:$ZZ,MATCH(K$1,MarketData!$D$1:$ZZ$1,0))</f>
        <v>980.19</v>
      </c>
      <c r="L178" s="42">
        <f>VLOOKUP($A178,MarketData!$D:$ZZ,MATCH(L$1,MarketData!$D$1:$ZZ$1,0))</f>
        <v>36856.5</v>
      </c>
      <c r="M178" s="131">
        <f t="shared" ref="M178:M185" si="145">I178+J178*K178</f>
        <v>8069369</v>
      </c>
      <c r="N178" s="126">
        <f t="shared" si="93"/>
        <v>0</v>
      </c>
      <c r="O178" s="32"/>
      <c r="P178" s="32"/>
      <c r="Q178" s="32"/>
      <c r="R178" s="32"/>
      <c r="S178" s="32"/>
      <c r="T178" s="32"/>
      <c r="U178" s="32"/>
      <c r="V178" s="32"/>
      <c r="W178" s="32"/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127">
        <f t="shared" si="136"/>
        <v>0</v>
      </c>
      <c r="AI178" s="128">
        <f t="shared" si="95"/>
        <v>0</v>
      </c>
      <c r="AJ178" s="129">
        <f t="shared" si="96"/>
        <v>0</v>
      </c>
    </row>
    <row r="179" spans="1:39" x14ac:dyDescent="0.25">
      <c r="A179" s="119">
        <f>A178</f>
        <v>45351</v>
      </c>
      <c r="B179" s="109" t="s">
        <v>99</v>
      </c>
      <c r="C179" s="6" t="s">
        <v>5</v>
      </c>
      <c r="D179" s="7" t="s">
        <v>26</v>
      </c>
      <c r="E179" s="120">
        <v>9462309</v>
      </c>
      <c r="F179" s="130">
        <v>7289.67</v>
      </c>
      <c r="G179" s="122">
        <v>-10000000</v>
      </c>
      <c r="H179" s="123">
        <v>-8000</v>
      </c>
      <c r="I179" s="120">
        <f t="shared" si="143"/>
        <v>-537691</v>
      </c>
      <c r="J179" s="130">
        <f t="shared" si="144"/>
        <v>-710.32999999999993</v>
      </c>
      <c r="K179" s="8">
        <f>K178</f>
        <v>980.19</v>
      </c>
      <c r="L179" s="8">
        <f>L178</f>
        <v>36856.5</v>
      </c>
      <c r="M179" s="131">
        <f t="shared" si="145"/>
        <v>-1233949.3626999999</v>
      </c>
      <c r="N179" s="126">
        <f t="shared" si="93"/>
        <v>-37975.467799999984</v>
      </c>
      <c r="O179" s="32"/>
      <c r="P179" s="32"/>
      <c r="Q179" s="32"/>
      <c r="R179" s="32"/>
      <c r="S179" s="32"/>
      <c r="T179" s="32">
        <v>-16580</v>
      </c>
      <c r="U179" s="32"/>
      <c r="V179" s="32"/>
      <c r="W179" s="32">
        <f>-2280-3500-3280</f>
        <v>-9060</v>
      </c>
      <c r="X179" s="32"/>
      <c r="Y179" s="32"/>
      <c r="Z179" s="32">
        <v>-5573</v>
      </c>
      <c r="AA179" s="32">
        <f>(-10*968)+0</f>
        <v>-9680</v>
      </c>
      <c r="AB179" s="32"/>
      <c r="AC179" s="32"/>
      <c r="AD179" s="32"/>
      <c r="AE179" s="32"/>
      <c r="AF179" s="32"/>
      <c r="AG179" s="32"/>
      <c r="AH179" s="127">
        <f t="shared" si="136"/>
        <v>3082.8321999999416</v>
      </c>
      <c r="AI179" s="128">
        <f t="shared" si="95"/>
        <v>0</v>
      </c>
      <c r="AJ179" s="129">
        <f t="shared" si="96"/>
        <v>-165.29999999992287</v>
      </c>
    </row>
    <row r="180" spans="1:39" x14ac:dyDescent="0.25">
      <c r="A180" s="119">
        <f t="shared" ref="A180:A185" si="146">A179</f>
        <v>45351</v>
      </c>
      <c r="B180" s="109" t="s">
        <v>99</v>
      </c>
      <c r="C180" s="6" t="s">
        <v>9</v>
      </c>
      <c r="D180" s="7" t="s">
        <v>12</v>
      </c>
      <c r="E180" s="120">
        <v>5908294</v>
      </c>
      <c r="F180" s="130"/>
      <c r="G180" s="122"/>
      <c r="H180" s="123"/>
      <c r="I180" s="120">
        <f t="shared" si="143"/>
        <v>5908294</v>
      </c>
      <c r="J180" s="130">
        <f t="shared" si="144"/>
        <v>0</v>
      </c>
      <c r="K180" s="8">
        <f t="shared" ref="K180:L180" si="147">K179</f>
        <v>980.19</v>
      </c>
      <c r="L180" s="8">
        <f t="shared" si="147"/>
        <v>36856.5</v>
      </c>
      <c r="M180" s="131">
        <f t="shared" si="145"/>
        <v>5908294</v>
      </c>
      <c r="N180" s="126">
        <f t="shared" si="93"/>
        <v>1228</v>
      </c>
      <c r="O180" s="32"/>
      <c r="P180" s="32"/>
      <c r="Q180" s="32"/>
      <c r="R180" s="32"/>
      <c r="S180" s="32"/>
      <c r="T180" s="32"/>
      <c r="U180" s="32"/>
      <c r="V180" s="32"/>
      <c r="W180" s="32"/>
      <c r="X180" s="32"/>
      <c r="Y180" s="32"/>
      <c r="Z180" s="32"/>
      <c r="AA180" s="32"/>
      <c r="AB180" s="32"/>
      <c r="AC180" s="32"/>
      <c r="AD180" s="32"/>
      <c r="AE180" s="32"/>
      <c r="AF180" s="32"/>
      <c r="AG180" s="32"/>
      <c r="AH180" s="127">
        <f t="shared" si="136"/>
        <v>0</v>
      </c>
      <c r="AI180" s="128">
        <f t="shared" si="95"/>
        <v>1228</v>
      </c>
      <c r="AJ180" s="129">
        <f t="shared" si="96"/>
        <v>0</v>
      </c>
    </row>
    <row r="181" spans="1:39" x14ac:dyDescent="0.25">
      <c r="A181" s="119">
        <f t="shared" si="146"/>
        <v>45351</v>
      </c>
      <c r="B181" s="109" t="s">
        <v>99</v>
      </c>
      <c r="C181" s="6" t="s">
        <v>9</v>
      </c>
      <c r="D181" s="7" t="s">
        <v>15</v>
      </c>
      <c r="E181" s="120">
        <v>2064542</v>
      </c>
      <c r="F181" s="130"/>
      <c r="G181" s="122"/>
      <c r="H181" s="123"/>
      <c r="I181" s="120">
        <f t="shared" si="143"/>
        <v>2064542</v>
      </c>
      <c r="J181" s="130">
        <f t="shared" si="144"/>
        <v>0</v>
      </c>
      <c r="K181" s="8">
        <f t="shared" ref="K181:L181" si="148">K180</f>
        <v>980.19</v>
      </c>
      <c r="L181" s="8">
        <f t="shared" si="148"/>
        <v>36856.5</v>
      </c>
      <c r="M181" s="131">
        <f t="shared" si="145"/>
        <v>2064542</v>
      </c>
      <c r="N181" s="126">
        <f t="shared" si="93"/>
        <v>-5839</v>
      </c>
      <c r="O181" s="32"/>
      <c r="P181" s="32"/>
      <c r="Q181" s="32"/>
      <c r="R181" s="32"/>
      <c r="S181" s="32"/>
      <c r="T181" s="32"/>
      <c r="U181" s="32"/>
      <c r="V181" s="32"/>
      <c r="W181" s="32"/>
      <c r="X181" s="32"/>
      <c r="Y181" s="32"/>
      <c r="Z181" s="32"/>
      <c r="AA181" s="32"/>
      <c r="AB181" s="32"/>
      <c r="AC181" s="32"/>
      <c r="AD181" s="32"/>
      <c r="AE181" s="32"/>
      <c r="AF181" s="32"/>
      <c r="AG181" s="32"/>
      <c r="AH181" s="127">
        <f t="shared" si="136"/>
        <v>0</v>
      </c>
      <c r="AI181" s="128">
        <f t="shared" si="95"/>
        <v>-5839</v>
      </c>
      <c r="AJ181" s="129">
        <f t="shared" si="96"/>
        <v>0</v>
      </c>
      <c r="AM181" s="119"/>
    </row>
    <row r="182" spans="1:39" x14ac:dyDescent="0.25">
      <c r="A182" s="119">
        <f t="shared" si="146"/>
        <v>45351</v>
      </c>
      <c r="B182" s="109" t="s">
        <v>99</v>
      </c>
      <c r="C182" s="6" t="s">
        <v>9</v>
      </c>
      <c r="D182" s="7" t="s">
        <v>11</v>
      </c>
      <c r="E182" s="120">
        <v>699531</v>
      </c>
      <c r="F182" s="130"/>
      <c r="G182" s="122"/>
      <c r="H182" s="123"/>
      <c r="I182" s="120">
        <f t="shared" si="143"/>
        <v>699531</v>
      </c>
      <c r="J182" s="130">
        <f t="shared" si="144"/>
        <v>0</v>
      </c>
      <c r="K182" s="8">
        <f t="shared" ref="K182" si="149">K181</f>
        <v>980.19</v>
      </c>
      <c r="L182" s="8">
        <f>L181</f>
        <v>36856.5</v>
      </c>
      <c r="M182" s="131">
        <f t="shared" si="145"/>
        <v>699531</v>
      </c>
      <c r="N182" s="126">
        <f t="shared" si="93"/>
        <v>-1442</v>
      </c>
      <c r="O182" s="32"/>
      <c r="P182" s="32"/>
      <c r="Q182" s="32"/>
      <c r="R182" s="32"/>
      <c r="S182" s="32"/>
      <c r="T182" s="32"/>
      <c r="U182" s="32"/>
      <c r="V182" s="32"/>
      <c r="W182" s="32"/>
      <c r="X182" s="32"/>
      <c r="Y182" s="32"/>
      <c r="Z182" s="32"/>
      <c r="AA182" s="32"/>
      <c r="AB182" s="32"/>
      <c r="AC182" s="32"/>
      <c r="AD182" s="32"/>
      <c r="AE182" s="32"/>
      <c r="AF182" s="32"/>
      <c r="AG182" s="32"/>
      <c r="AH182" s="127">
        <f t="shared" si="136"/>
        <v>0</v>
      </c>
      <c r="AI182" s="128">
        <f t="shared" si="95"/>
        <v>-1442</v>
      </c>
      <c r="AJ182" s="129">
        <f t="shared" si="96"/>
        <v>0</v>
      </c>
    </row>
    <row r="183" spans="1:39" x14ac:dyDescent="0.25">
      <c r="A183" s="119">
        <f t="shared" si="146"/>
        <v>45351</v>
      </c>
      <c r="B183" s="109" t="s">
        <v>99</v>
      </c>
      <c r="C183" s="6" t="s">
        <v>9</v>
      </c>
      <c r="D183" s="7" t="s">
        <v>10</v>
      </c>
      <c r="E183" s="120"/>
      <c r="F183" s="130">
        <f>211.09+104.56+0.24</f>
        <v>315.89</v>
      </c>
      <c r="G183" s="122"/>
      <c r="H183" s="123"/>
      <c r="I183" s="120">
        <f t="shared" si="143"/>
        <v>0</v>
      </c>
      <c r="J183" s="130">
        <f t="shared" si="144"/>
        <v>315.89</v>
      </c>
      <c r="K183" s="8">
        <f t="shared" ref="K183:L183" si="150">K182</f>
        <v>980.19</v>
      </c>
      <c r="L183" s="8">
        <f t="shared" si="150"/>
        <v>36856.5</v>
      </c>
      <c r="M183" s="131">
        <f t="shared" si="145"/>
        <v>309632.21909999999</v>
      </c>
      <c r="N183" s="126">
        <f t="shared" si="93"/>
        <v>-1370.9625999999698</v>
      </c>
      <c r="O183" s="32"/>
      <c r="P183" s="32"/>
      <c r="Q183" s="32"/>
      <c r="R183" s="32"/>
      <c r="S183" s="32"/>
      <c r="T183" s="32"/>
      <c r="U183" s="32"/>
      <c r="V183" s="32"/>
      <c r="W183" s="32"/>
      <c r="X183" s="32"/>
      <c r="Y183" s="32"/>
      <c r="Z183" s="32"/>
      <c r="AA183" s="32"/>
      <c r="AB183" s="32"/>
      <c r="AC183" s="32"/>
      <c r="AD183" s="32"/>
      <c r="AE183" s="32"/>
      <c r="AF183" s="32"/>
      <c r="AG183" s="32"/>
      <c r="AH183" s="127">
        <f t="shared" si="136"/>
        <v>-1370.9625999999741</v>
      </c>
      <c r="AI183" s="128">
        <f t="shared" si="95"/>
        <v>4.3200998334214091E-12</v>
      </c>
      <c r="AJ183" s="129">
        <f t="shared" si="96"/>
        <v>0</v>
      </c>
    </row>
    <row r="184" spans="1:39" x14ac:dyDescent="0.25">
      <c r="A184" s="119">
        <f t="shared" si="146"/>
        <v>45351</v>
      </c>
      <c r="B184" s="109" t="s">
        <v>99</v>
      </c>
      <c r="C184" s="6" t="s">
        <v>7</v>
      </c>
      <c r="D184" s="7" t="s">
        <v>16</v>
      </c>
      <c r="E184" s="120"/>
      <c r="F184" s="130">
        <v>876.93</v>
      </c>
      <c r="G184" s="122"/>
      <c r="H184" s="123"/>
      <c r="I184" s="120">
        <f t="shared" si="143"/>
        <v>0</v>
      </c>
      <c r="J184" s="130">
        <f t="shared" si="144"/>
        <v>876.93</v>
      </c>
      <c r="K184" s="8">
        <f t="shared" ref="K184:L184" si="151">K183</f>
        <v>980.19</v>
      </c>
      <c r="L184" s="8">
        <f t="shared" si="151"/>
        <v>36856.5</v>
      </c>
      <c r="M184" s="131">
        <f t="shared" si="145"/>
        <v>859558.01670000004</v>
      </c>
      <c r="N184" s="126">
        <f t="shared" si="93"/>
        <v>-33312.240299999947</v>
      </c>
      <c r="O184" s="32"/>
      <c r="P184" s="32"/>
      <c r="Q184" s="32"/>
      <c r="R184" s="32"/>
      <c r="S184" s="32"/>
      <c r="T184" s="32"/>
      <c r="U184" s="32"/>
      <c r="V184" s="32"/>
      <c r="W184" s="32"/>
      <c r="X184" s="32"/>
      <c r="Y184" s="32"/>
      <c r="Z184" s="32"/>
      <c r="AA184" s="32"/>
      <c r="AB184" s="32"/>
      <c r="AC184" s="32"/>
      <c r="AD184" s="32"/>
      <c r="AE184" s="32"/>
      <c r="AF184" s="32"/>
      <c r="AG184" s="32"/>
      <c r="AH184" s="127">
        <f t="shared" si="136"/>
        <v>-3805.8761999999278</v>
      </c>
      <c r="AI184" s="128">
        <f t="shared" si="95"/>
        <v>-29506.364100000021</v>
      </c>
      <c r="AJ184" s="129">
        <f t="shared" si="96"/>
        <v>0</v>
      </c>
    </row>
    <row r="185" spans="1:39" s="142" customFormat="1" x14ac:dyDescent="0.25">
      <c r="A185" s="133">
        <f t="shared" si="146"/>
        <v>45351</v>
      </c>
      <c r="B185" s="110" t="s">
        <v>99</v>
      </c>
      <c r="C185" s="45" t="s">
        <v>8</v>
      </c>
      <c r="D185" s="46" t="s">
        <v>16</v>
      </c>
      <c r="E185" s="134"/>
      <c r="F185" s="135">
        <v>332.46</v>
      </c>
      <c r="G185" s="134"/>
      <c r="H185" s="135"/>
      <c r="I185" s="134">
        <f t="shared" si="143"/>
        <v>0</v>
      </c>
      <c r="J185" s="135">
        <f t="shared" si="144"/>
        <v>332.46</v>
      </c>
      <c r="K185" s="47">
        <f t="shared" ref="K185:L185" si="152">K184</f>
        <v>980.19</v>
      </c>
      <c r="L185" s="47">
        <f t="shared" si="152"/>
        <v>36856.5</v>
      </c>
      <c r="M185" s="136">
        <f t="shared" si="145"/>
        <v>325873.96740000002</v>
      </c>
      <c r="N185" s="137">
        <f t="shared" si="93"/>
        <v>-27247.407699999982</v>
      </c>
      <c r="O185" s="138"/>
      <c r="P185" s="138"/>
      <c r="Q185" s="138"/>
      <c r="R185" s="138"/>
      <c r="S185" s="138"/>
      <c r="T185" s="138"/>
      <c r="U185" s="138"/>
      <c r="V185" s="138"/>
      <c r="W185" s="138"/>
      <c r="X185" s="138"/>
      <c r="Y185" s="138"/>
      <c r="Z185" s="138"/>
      <c r="AA185" s="138"/>
      <c r="AB185" s="138"/>
      <c r="AC185" s="138"/>
      <c r="AD185" s="138"/>
      <c r="AE185" s="138"/>
      <c r="AF185" s="138"/>
      <c r="AG185" s="138"/>
      <c r="AH185" s="139">
        <f t="shared" si="136"/>
        <v>-1442.8763999999726</v>
      </c>
      <c r="AI185" s="140">
        <f t="shared" si="95"/>
        <v>-25804.53130000001</v>
      </c>
      <c r="AJ185" s="141">
        <f t="shared" si="96"/>
        <v>0</v>
      </c>
    </row>
    <row r="186" spans="1:39" x14ac:dyDescent="0.25">
      <c r="A186" s="119">
        <v>45352</v>
      </c>
      <c r="B186" s="109" t="s">
        <v>99</v>
      </c>
      <c r="C186" s="6" t="s">
        <v>5</v>
      </c>
      <c r="D186" s="7" t="s">
        <v>6</v>
      </c>
      <c r="E186" s="120">
        <v>6377714</v>
      </c>
      <c r="F186" s="130"/>
      <c r="G186" s="120"/>
      <c r="H186" s="130"/>
      <c r="I186" s="120">
        <f t="shared" ref="I186:I193" si="153">E186+G186</f>
        <v>6377714</v>
      </c>
      <c r="J186" s="130">
        <f t="shared" ref="J186:J193" si="154">F186+H186</f>
        <v>0</v>
      </c>
      <c r="K186" s="42">
        <f>VLOOKUP($A186+1,MarketData!$D:$ZZ,MATCH(K$1,MarketData!$D$1:$ZZ$1,0))</f>
        <v>969.91</v>
      </c>
      <c r="L186" s="42">
        <f>VLOOKUP($A186,MarketData!$D:$ZZ,MATCH(L$1,MarketData!$D$1:$ZZ$1,0))</f>
        <v>36865.370000000003</v>
      </c>
      <c r="M186" s="131">
        <f t="shared" ref="M186:M193" si="155">I186+J186*K186</f>
        <v>6377714</v>
      </c>
      <c r="N186" s="126">
        <f t="shared" si="93"/>
        <v>-1691655</v>
      </c>
      <c r="O186" s="32"/>
      <c r="P186" s="32"/>
      <c r="Q186" s="32">
        <f>(-698997-457058)+0</f>
        <v>-1156055</v>
      </c>
      <c r="R186" s="32">
        <v>-511592</v>
      </c>
      <c r="S186" s="32"/>
      <c r="T186" s="32"/>
      <c r="U186" s="32"/>
      <c r="V186" s="32">
        <v>-16400</v>
      </c>
      <c r="W186" s="32"/>
      <c r="X186" s="32"/>
      <c r="Y186" s="32"/>
      <c r="Z186" s="32"/>
      <c r="AA186" s="32">
        <v>-7608</v>
      </c>
      <c r="AB186" s="32"/>
      <c r="AC186" s="32"/>
      <c r="AD186" s="32"/>
      <c r="AE186" s="32"/>
      <c r="AF186" s="32"/>
      <c r="AG186" s="32"/>
      <c r="AH186" s="127">
        <f t="shared" si="136"/>
        <v>0</v>
      </c>
      <c r="AI186" s="128">
        <f t="shared" si="95"/>
        <v>0</v>
      </c>
      <c r="AJ186" s="129">
        <f t="shared" si="96"/>
        <v>0</v>
      </c>
    </row>
    <row r="187" spans="1:39" x14ac:dyDescent="0.25">
      <c r="A187" s="119">
        <f>A186</f>
        <v>45352</v>
      </c>
      <c r="B187" s="109" t="s">
        <v>99</v>
      </c>
      <c r="C187" s="6" t="s">
        <v>5</v>
      </c>
      <c r="D187" s="7" t="s">
        <v>26</v>
      </c>
      <c r="E187" s="120">
        <v>9768888</v>
      </c>
      <c r="F187" s="130">
        <v>8000</v>
      </c>
      <c r="G187" s="122">
        <v>-10000000</v>
      </c>
      <c r="H187" s="123">
        <v>-8000</v>
      </c>
      <c r="I187" s="120">
        <f t="shared" si="153"/>
        <v>-231112</v>
      </c>
      <c r="J187" s="130">
        <f t="shared" si="154"/>
        <v>0</v>
      </c>
      <c r="K187" s="8">
        <f>K186</f>
        <v>969.91</v>
      </c>
      <c r="L187" s="8">
        <f>L186</f>
        <v>36865.370000000003</v>
      </c>
      <c r="M187" s="131">
        <f t="shared" si="155"/>
        <v>-231112</v>
      </c>
      <c r="N187" s="126">
        <f t="shared" si="93"/>
        <v>1002837.3626999999</v>
      </c>
      <c r="O187" s="32"/>
      <c r="P187" s="32"/>
      <c r="Q187" s="32">
        <f>(457058+715.05*K187)+0</f>
        <v>1150592.1455000001</v>
      </c>
      <c r="R187" s="32">
        <v>-142060</v>
      </c>
      <c r="S187" s="32"/>
      <c r="T187" s="32"/>
      <c r="U187" s="32"/>
      <c r="V187" s="32"/>
      <c r="W187" s="32">
        <v>-3280</v>
      </c>
      <c r="X187" s="32"/>
      <c r="Y187" s="32"/>
      <c r="Z187" s="32">
        <v>-5573</v>
      </c>
      <c r="AA187" s="32">
        <f>(-4.72*K187)+0</f>
        <v>-4577.9751999999999</v>
      </c>
      <c r="AB187" s="32"/>
      <c r="AC187" s="32"/>
      <c r="AD187" s="32"/>
      <c r="AE187" s="32"/>
      <c r="AF187" s="32"/>
      <c r="AG187" s="32"/>
      <c r="AH187" s="127">
        <f t="shared" si="136"/>
        <v>0</v>
      </c>
      <c r="AI187" s="128">
        <f t="shared" si="95"/>
        <v>0</v>
      </c>
      <c r="AJ187" s="129">
        <f t="shared" si="96"/>
        <v>7736.1923999998253</v>
      </c>
    </row>
    <row r="188" spans="1:39" x14ac:dyDescent="0.25">
      <c r="A188" s="119">
        <f t="shared" ref="A188:A193" si="156">A187</f>
        <v>45352</v>
      </c>
      <c r="B188" s="109" t="s">
        <v>99</v>
      </c>
      <c r="C188" s="6" t="s">
        <v>9</v>
      </c>
      <c r="D188" s="7" t="s">
        <v>12</v>
      </c>
      <c r="E188" s="120">
        <v>5908294</v>
      </c>
      <c r="F188" s="130"/>
      <c r="G188" s="122"/>
      <c r="H188" s="123"/>
      <c r="I188" s="120">
        <f t="shared" si="153"/>
        <v>5908294</v>
      </c>
      <c r="J188" s="130">
        <f t="shared" si="154"/>
        <v>0</v>
      </c>
      <c r="K188" s="8">
        <f t="shared" ref="K188:L188" si="157">K187</f>
        <v>969.91</v>
      </c>
      <c r="L188" s="8">
        <f t="shared" si="157"/>
        <v>36865.370000000003</v>
      </c>
      <c r="M188" s="131">
        <f t="shared" si="155"/>
        <v>5908294</v>
      </c>
      <c r="N188" s="126">
        <f t="shared" si="93"/>
        <v>0</v>
      </c>
      <c r="O188" s="32"/>
      <c r="P188" s="32"/>
      <c r="Q188" s="32"/>
      <c r="R188" s="32"/>
      <c r="S188" s="32"/>
      <c r="T188" s="32"/>
      <c r="U188" s="32"/>
      <c r="V188" s="32"/>
      <c r="W188" s="32"/>
      <c r="X188" s="32"/>
      <c r="Y188" s="32"/>
      <c r="Z188" s="32"/>
      <c r="AA188" s="32"/>
      <c r="AB188" s="32"/>
      <c r="AC188" s="32"/>
      <c r="AD188" s="32"/>
      <c r="AE188" s="32"/>
      <c r="AF188" s="32"/>
      <c r="AG188" s="32"/>
      <c r="AH188" s="127">
        <f t="shared" si="136"/>
        <v>0</v>
      </c>
      <c r="AI188" s="128">
        <f t="shared" si="95"/>
        <v>0</v>
      </c>
      <c r="AJ188" s="129">
        <f t="shared" si="96"/>
        <v>0</v>
      </c>
    </row>
    <row r="189" spans="1:39" x14ac:dyDescent="0.25">
      <c r="A189" s="119">
        <f t="shared" si="156"/>
        <v>45352</v>
      </c>
      <c r="B189" s="109" t="s">
        <v>99</v>
      </c>
      <c r="C189" s="6" t="s">
        <v>9</v>
      </c>
      <c r="D189" s="7" t="s">
        <v>15</v>
      </c>
      <c r="E189" s="120">
        <v>2064542</v>
      </c>
      <c r="F189" s="130"/>
      <c r="G189" s="122"/>
      <c r="H189" s="123"/>
      <c r="I189" s="120">
        <f t="shared" si="153"/>
        <v>2064542</v>
      </c>
      <c r="J189" s="130">
        <f t="shared" si="154"/>
        <v>0</v>
      </c>
      <c r="K189" s="8">
        <f t="shared" ref="K189:L189" si="158">K188</f>
        <v>969.91</v>
      </c>
      <c r="L189" s="8">
        <f t="shared" si="158"/>
        <v>36865.370000000003</v>
      </c>
      <c r="M189" s="131">
        <f t="shared" si="155"/>
        <v>2064542</v>
      </c>
      <c r="N189" s="126">
        <f t="shared" si="93"/>
        <v>0</v>
      </c>
      <c r="O189" s="32"/>
      <c r="P189" s="32"/>
      <c r="Q189" s="32"/>
      <c r="R189" s="32"/>
      <c r="S189" s="32"/>
      <c r="T189" s="32"/>
      <c r="U189" s="32"/>
      <c r="V189" s="32"/>
      <c r="W189" s="32"/>
      <c r="X189" s="32"/>
      <c r="Y189" s="32"/>
      <c r="Z189" s="32"/>
      <c r="AA189" s="32"/>
      <c r="AB189" s="32"/>
      <c r="AC189" s="32"/>
      <c r="AD189" s="32"/>
      <c r="AE189" s="32"/>
      <c r="AF189" s="32"/>
      <c r="AG189" s="32"/>
      <c r="AH189" s="127">
        <f t="shared" si="136"/>
        <v>0</v>
      </c>
      <c r="AI189" s="128">
        <f t="shared" si="95"/>
        <v>0</v>
      </c>
      <c r="AJ189" s="129">
        <f t="shared" si="96"/>
        <v>0</v>
      </c>
      <c r="AM189" s="119"/>
    </row>
    <row r="190" spans="1:39" x14ac:dyDescent="0.25">
      <c r="A190" s="119">
        <f t="shared" si="156"/>
        <v>45352</v>
      </c>
      <c r="B190" s="109" t="s">
        <v>99</v>
      </c>
      <c r="C190" s="6" t="s">
        <v>9</v>
      </c>
      <c r="D190" s="7" t="s">
        <v>11</v>
      </c>
      <c r="E190" s="120">
        <v>699531</v>
      </c>
      <c r="F190" s="130"/>
      <c r="G190" s="122"/>
      <c r="H190" s="123"/>
      <c r="I190" s="120">
        <f t="shared" si="153"/>
        <v>699531</v>
      </c>
      <c r="J190" s="130">
        <f t="shared" si="154"/>
        <v>0</v>
      </c>
      <c r="K190" s="8">
        <f t="shared" ref="K190" si="159">K189</f>
        <v>969.91</v>
      </c>
      <c r="L190" s="8">
        <f>L189</f>
        <v>36865.370000000003</v>
      </c>
      <c r="M190" s="131">
        <f t="shared" si="155"/>
        <v>699531</v>
      </c>
      <c r="N190" s="126">
        <f t="shared" si="93"/>
        <v>0</v>
      </c>
      <c r="O190" s="32"/>
      <c r="P190" s="32"/>
      <c r="Q190" s="32"/>
      <c r="R190" s="32"/>
      <c r="S190" s="32"/>
      <c r="T190" s="32"/>
      <c r="U190" s="32"/>
      <c r="V190" s="32"/>
      <c r="W190" s="32"/>
      <c r="X190" s="32"/>
      <c r="Y190" s="32"/>
      <c r="Z190" s="32"/>
      <c r="AA190" s="32"/>
      <c r="AB190" s="32"/>
      <c r="AC190" s="32"/>
      <c r="AD190" s="32"/>
      <c r="AE190" s="32"/>
      <c r="AF190" s="32"/>
      <c r="AG190" s="32"/>
      <c r="AH190" s="127">
        <f t="shared" si="136"/>
        <v>0</v>
      </c>
      <c r="AI190" s="128">
        <f t="shared" si="95"/>
        <v>0</v>
      </c>
      <c r="AJ190" s="129">
        <f t="shared" si="96"/>
        <v>0</v>
      </c>
    </row>
    <row r="191" spans="1:39" x14ac:dyDescent="0.25">
      <c r="A191" s="119">
        <f t="shared" si="156"/>
        <v>45352</v>
      </c>
      <c r="B191" s="109" t="s">
        <v>99</v>
      </c>
      <c r="C191" s="6" t="s">
        <v>9</v>
      </c>
      <c r="D191" s="7" t="s">
        <v>10</v>
      </c>
      <c r="E191" s="120"/>
      <c r="F191" s="130">
        <f>213.89+105.5+0.24</f>
        <v>319.63</v>
      </c>
      <c r="G191" s="122"/>
      <c r="H191" s="123"/>
      <c r="I191" s="120">
        <f t="shared" si="153"/>
        <v>0</v>
      </c>
      <c r="J191" s="130">
        <f t="shared" si="154"/>
        <v>319.63</v>
      </c>
      <c r="K191" s="8">
        <f t="shared" ref="K191:L191" si="160">K190</f>
        <v>969.91</v>
      </c>
      <c r="L191" s="8">
        <f t="shared" si="160"/>
        <v>36865.370000000003</v>
      </c>
      <c r="M191" s="131">
        <f t="shared" si="155"/>
        <v>310012.3333</v>
      </c>
      <c r="N191" s="126">
        <f t="shared" si="93"/>
        <v>380.1142000000109</v>
      </c>
      <c r="O191" s="32"/>
      <c r="P191" s="32"/>
      <c r="Q191" s="32"/>
      <c r="R191" s="32"/>
      <c r="S191" s="32"/>
      <c r="T191" s="32"/>
      <c r="U191" s="32"/>
      <c r="V191" s="32"/>
      <c r="W191" s="32"/>
      <c r="X191" s="32"/>
      <c r="Y191" s="32"/>
      <c r="Z191" s="32"/>
      <c r="AA191" s="32"/>
      <c r="AB191" s="32"/>
      <c r="AC191" s="32"/>
      <c r="AD191" s="32"/>
      <c r="AE191" s="32"/>
      <c r="AF191" s="32"/>
      <c r="AG191" s="32"/>
      <c r="AH191" s="127">
        <f t="shared" si="136"/>
        <v>-3285.7964000000275</v>
      </c>
      <c r="AI191" s="128">
        <f t="shared" si="95"/>
        <v>3665.9106000000384</v>
      </c>
      <c r="AJ191" s="129">
        <f t="shared" si="96"/>
        <v>0</v>
      </c>
    </row>
    <row r="192" spans="1:39" x14ac:dyDescent="0.25">
      <c r="A192" s="119">
        <f t="shared" si="156"/>
        <v>45352</v>
      </c>
      <c r="B192" s="109" t="s">
        <v>99</v>
      </c>
      <c r="C192" s="6" t="s">
        <v>7</v>
      </c>
      <c r="D192" s="7" t="s">
        <v>16</v>
      </c>
      <c r="E192" s="120"/>
      <c r="F192" s="130">
        <v>876.93</v>
      </c>
      <c r="G192" s="122"/>
      <c r="H192" s="123"/>
      <c r="I192" s="120">
        <f t="shared" si="153"/>
        <v>0</v>
      </c>
      <c r="J192" s="130">
        <f t="shared" si="154"/>
        <v>876.93</v>
      </c>
      <c r="K192" s="8">
        <f t="shared" ref="K192:L192" si="161">K191</f>
        <v>969.91</v>
      </c>
      <c r="L192" s="8">
        <f t="shared" si="161"/>
        <v>36865.370000000003</v>
      </c>
      <c r="M192" s="131">
        <f t="shared" si="155"/>
        <v>850543.17629999993</v>
      </c>
      <c r="N192" s="126">
        <f t="shared" si="93"/>
        <v>-9014.8404000001028</v>
      </c>
      <c r="O192" s="32"/>
      <c r="P192" s="32"/>
      <c r="Q192" s="32"/>
      <c r="R192" s="32"/>
      <c r="S192" s="32"/>
      <c r="T192" s="32"/>
      <c r="U192" s="32"/>
      <c r="V192" s="32"/>
      <c r="W192" s="32"/>
      <c r="X192" s="32"/>
      <c r="Y192" s="32"/>
      <c r="Z192" s="32"/>
      <c r="AA192" s="32"/>
      <c r="AB192" s="32"/>
      <c r="AC192" s="32"/>
      <c r="AD192" s="32"/>
      <c r="AE192" s="32"/>
      <c r="AF192" s="32"/>
      <c r="AG192" s="32"/>
      <c r="AH192" s="127">
        <f t="shared" si="136"/>
        <v>-9014.8404000000755</v>
      </c>
      <c r="AI192" s="128">
        <f t="shared" si="95"/>
        <v>-2.7284841053187847E-11</v>
      </c>
      <c r="AJ192" s="129">
        <f t="shared" si="96"/>
        <v>0</v>
      </c>
    </row>
    <row r="193" spans="1:39" s="142" customFormat="1" x14ac:dyDescent="0.25">
      <c r="A193" s="133">
        <f t="shared" si="156"/>
        <v>45352</v>
      </c>
      <c r="B193" s="110" t="s">
        <v>99</v>
      </c>
      <c r="C193" s="45" t="s">
        <v>8</v>
      </c>
      <c r="D193" s="46" t="s">
        <v>16</v>
      </c>
      <c r="E193" s="134"/>
      <c r="F193" s="135">
        <v>344.6</v>
      </c>
      <c r="G193" s="134"/>
      <c r="H193" s="135"/>
      <c r="I193" s="134">
        <f t="shared" si="153"/>
        <v>0</v>
      </c>
      <c r="J193" s="135">
        <f t="shared" si="154"/>
        <v>344.6</v>
      </c>
      <c r="K193" s="47">
        <f t="shared" ref="K193:L193" si="162">K192</f>
        <v>969.91</v>
      </c>
      <c r="L193" s="47">
        <f t="shared" si="162"/>
        <v>36865.370000000003</v>
      </c>
      <c r="M193" s="136">
        <f t="shared" si="155"/>
        <v>334230.98600000003</v>
      </c>
      <c r="N193" s="137">
        <f t="shared" si="93"/>
        <v>8357.0186000000103</v>
      </c>
      <c r="O193" s="138"/>
      <c r="P193" s="138"/>
      <c r="Q193" s="138"/>
      <c r="R193" s="138"/>
      <c r="S193" s="138"/>
      <c r="T193" s="138"/>
      <c r="U193" s="138"/>
      <c r="V193" s="138"/>
      <c r="W193" s="138"/>
      <c r="X193" s="138"/>
      <c r="Y193" s="138"/>
      <c r="Z193" s="138"/>
      <c r="AA193" s="138"/>
      <c r="AB193" s="138"/>
      <c r="AC193" s="138"/>
      <c r="AD193" s="138"/>
      <c r="AE193" s="138"/>
      <c r="AF193" s="138"/>
      <c r="AG193" s="138"/>
      <c r="AH193" s="139">
        <f t="shared" si="136"/>
        <v>-3542.4880000000298</v>
      </c>
      <c r="AI193" s="140">
        <f t="shared" si="95"/>
        <v>11899.506600000041</v>
      </c>
      <c r="AJ193" s="141">
        <f t="shared" si="96"/>
        <v>0</v>
      </c>
    </row>
    <row r="194" spans="1:39" x14ac:dyDescent="0.25">
      <c r="A194" s="119">
        <v>45357</v>
      </c>
      <c r="B194" s="109" t="s">
        <v>99</v>
      </c>
      <c r="C194" s="6" t="s">
        <v>5</v>
      </c>
      <c r="D194" s="7" t="s">
        <v>6</v>
      </c>
      <c r="E194" s="120">
        <v>6359639</v>
      </c>
      <c r="F194" s="130"/>
      <c r="G194" s="120"/>
      <c r="H194" s="130"/>
      <c r="I194" s="120">
        <f t="shared" ref="I194:I201" si="163">E194+G194</f>
        <v>6359639</v>
      </c>
      <c r="J194" s="130">
        <f t="shared" ref="J194:J201" si="164">F194+H194</f>
        <v>0</v>
      </c>
      <c r="K194" s="42">
        <f>VLOOKUP($A194+1,MarketData!$D:$ZZ,MATCH(K$1,MarketData!$D$1:$ZZ$1,0))</f>
        <v>981.26</v>
      </c>
      <c r="L194" s="42">
        <f>VLOOKUP($A194,MarketData!$D:$ZZ,MATCH(L$1,MarketData!$D$1:$ZZ$1,0))</f>
        <v>36909.730000000003</v>
      </c>
      <c r="M194" s="131">
        <f t="shared" ref="M194:M201" si="165">I194+J194*K194</f>
        <v>6359639</v>
      </c>
      <c r="N194" s="126">
        <f t="shared" si="93"/>
        <v>-18075</v>
      </c>
      <c r="O194" s="32"/>
      <c r="P194" s="32"/>
      <c r="Q194" s="32"/>
      <c r="R194" s="32"/>
      <c r="S194" s="32"/>
      <c r="T194" s="32"/>
      <c r="U194" s="32"/>
      <c r="V194" s="32"/>
      <c r="W194" s="32"/>
      <c r="X194" s="32"/>
      <c r="Y194" s="32"/>
      <c r="Z194" s="32"/>
      <c r="AA194" s="32">
        <v>-18075</v>
      </c>
      <c r="AB194" s="32"/>
      <c r="AC194" s="32"/>
      <c r="AD194" s="32"/>
      <c r="AE194" s="32"/>
      <c r="AF194" s="32"/>
      <c r="AG194" s="32"/>
      <c r="AH194" s="127">
        <f t="shared" si="136"/>
        <v>0</v>
      </c>
      <c r="AI194" s="128">
        <f t="shared" si="95"/>
        <v>0</v>
      </c>
      <c r="AJ194" s="129">
        <f t="shared" si="96"/>
        <v>0</v>
      </c>
    </row>
    <row r="195" spans="1:39" x14ac:dyDescent="0.25">
      <c r="A195" s="119">
        <f>A194</f>
        <v>45357</v>
      </c>
      <c r="B195" s="109" t="s">
        <v>99</v>
      </c>
      <c r="C195" s="6" t="s">
        <v>5</v>
      </c>
      <c r="D195" s="7" t="s">
        <v>26</v>
      </c>
      <c r="E195" s="120">
        <f>9640132-13320</f>
        <v>9626812</v>
      </c>
      <c r="F195" s="130">
        <v>8000</v>
      </c>
      <c r="G195" s="122">
        <v>-10000000</v>
      </c>
      <c r="H195" s="123">
        <v>-8000</v>
      </c>
      <c r="I195" s="120">
        <f t="shared" si="163"/>
        <v>-373188</v>
      </c>
      <c r="J195" s="130">
        <f t="shared" si="164"/>
        <v>0</v>
      </c>
      <c r="K195" s="8">
        <f>K194</f>
        <v>981.26</v>
      </c>
      <c r="L195" s="8">
        <f>L194</f>
        <v>36909.730000000003</v>
      </c>
      <c r="M195" s="131">
        <f t="shared" si="165"/>
        <v>-373188</v>
      </c>
      <c r="N195" s="126">
        <f t="shared" si="93"/>
        <v>-142076</v>
      </c>
      <c r="O195" s="32"/>
      <c r="P195" s="32"/>
      <c r="Q195" s="32"/>
      <c r="R195" s="32"/>
      <c r="S195" s="32"/>
      <c r="T195" s="32"/>
      <c r="U195" s="32">
        <f>-19990-20700-13320</f>
        <v>-54010</v>
      </c>
      <c r="V195" s="32"/>
      <c r="W195" s="32">
        <f>-5370-4190-4280-2280</f>
        <v>-16120</v>
      </c>
      <c r="X195" s="32"/>
      <c r="Y195" s="32"/>
      <c r="Z195" s="32">
        <f>-3162-12489-11813-3815-5523</f>
        <v>-36802</v>
      </c>
      <c r="AA195" s="32">
        <v>-25000</v>
      </c>
      <c r="AB195" s="32"/>
      <c r="AC195" s="32"/>
      <c r="AD195" s="32"/>
      <c r="AE195" s="32"/>
      <c r="AF195" s="32"/>
      <c r="AG195" s="32"/>
      <c r="AH195" s="127">
        <f t="shared" si="136"/>
        <v>0</v>
      </c>
      <c r="AI195" s="128">
        <f t="shared" si="95"/>
        <v>0</v>
      </c>
      <c r="AJ195" s="129">
        <f t="shared" si="96"/>
        <v>-10144</v>
      </c>
    </row>
    <row r="196" spans="1:39" x14ac:dyDescent="0.25">
      <c r="A196" s="119">
        <f t="shared" ref="A196:A201" si="166">A195</f>
        <v>45357</v>
      </c>
      <c r="B196" s="109" t="s">
        <v>99</v>
      </c>
      <c r="C196" s="6" t="s">
        <v>9</v>
      </c>
      <c r="D196" s="7" t="s">
        <v>12</v>
      </c>
      <c r="E196" s="120">
        <v>5915695</v>
      </c>
      <c r="F196" s="130"/>
      <c r="G196" s="122"/>
      <c r="H196" s="123"/>
      <c r="I196" s="120">
        <f t="shared" si="163"/>
        <v>5915695</v>
      </c>
      <c r="J196" s="130">
        <f t="shared" si="164"/>
        <v>0</v>
      </c>
      <c r="K196" s="8">
        <f t="shared" ref="K196:L196" si="167">K195</f>
        <v>981.26</v>
      </c>
      <c r="L196" s="8">
        <f t="shared" si="167"/>
        <v>36909.730000000003</v>
      </c>
      <c r="M196" s="131">
        <f t="shared" si="165"/>
        <v>5915695</v>
      </c>
      <c r="N196" s="126">
        <f t="shared" si="93"/>
        <v>7401</v>
      </c>
      <c r="O196" s="32"/>
      <c r="P196" s="32"/>
      <c r="Q196" s="32"/>
      <c r="R196" s="32"/>
      <c r="S196" s="32"/>
      <c r="T196" s="32"/>
      <c r="U196" s="32"/>
      <c r="V196" s="32"/>
      <c r="W196" s="32"/>
      <c r="X196" s="32"/>
      <c r="Y196" s="32"/>
      <c r="Z196" s="32"/>
      <c r="AA196" s="32"/>
      <c r="AB196" s="32"/>
      <c r="AC196" s="32"/>
      <c r="AD196" s="32"/>
      <c r="AE196" s="32"/>
      <c r="AF196" s="32"/>
      <c r="AG196" s="32"/>
      <c r="AH196" s="127">
        <f t="shared" si="136"/>
        <v>0</v>
      </c>
      <c r="AI196" s="128">
        <f t="shared" si="95"/>
        <v>7401</v>
      </c>
      <c r="AJ196" s="129">
        <f t="shared" si="96"/>
        <v>0</v>
      </c>
    </row>
    <row r="197" spans="1:39" x14ac:dyDescent="0.25">
      <c r="A197" s="119">
        <f t="shared" si="166"/>
        <v>45357</v>
      </c>
      <c r="B197" s="109" t="s">
        <v>99</v>
      </c>
      <c r="C197" s="6" t="s">
        <v>9</v>
      </c>
      <c r="D197" s="7" t="s">
        <v>15</v>
      </c>
      <c r="E197" s="120">
        <v>2106445</v>
      </c>
      <c r="F197" s="130"/>
      <c r="G197" s="122"/>
      <c r="H197" s="123"/>
      <c r="I197" s="120">
        <f t="shared" si="163"/>
        <v>2106445</v>
      </c>
      <c r="J197" s="130">
        <f t="shared" si="164"/>
        <v>0</v>
      </c>
      <c r="K197" s="8">
        <f t="shared" ref="K197:L198" si="168">K196</f>
        <v>981.26</v>
      </c>
      <c r="L197" s="8">
        <f t="shared" si="168"/>
        <v>36909.730000000003</v>
      </c>
      <c r="M197" s="131">
        <f t="shared" si="165"/>
        <v>2106445</v>
      </c>
      <c r="N197" s="126">
        <f t="shared" si="93"/>
        <v>41903</v>
      </c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32"/>
      <c r="Z197" s="32"/>
      <c r="AA197" s="32"/>
      <c r="AB197" s="32"/>
      <c r="AC197" s="32"/>
      <c r="AD197" s="32"/>
      <c r="AE197" s="32"/>
      <c r="AF197" s="32"/>
      <c r="AG197" s="32"/>
      <c r="AH197" s="127">
        <f t="shared" si="136"/>
        <v>0</v>
      </c>
      <c r="AI197" s="128">
        <f t="shared" si="95"/>
        <v>41903</v>
      </c>
      <c r="AJ197" s="129">
        <f t="shared" si="96"/>
        <v>0</v>
      </c>
      <c r="AM197" s="119"/>
    </row>
    <row r="198" spans="1:39" x14ac:dyDescent="0.25">
      <c r="A198" s="119">
        <f t="shared" si="166"/>
        <v>45357</v>
      </c>
      <c r="B198" s="109" t="s">
        <v>99</v>
      </c>
      <c r="C198" s="6" t="s">
        <v>9</v>
      </c>
      <c r="D198" s="7" t="s">
        <v>11</v>
      </c>
      <c r="E198" s="120">
        <v>708157</v>
      </c>
      <c r="F198" s="130"/>
      <c r="G198" s="122"/>
      <c r="H198" s="123"/>
      <c r="I198" s="120">
        <f t="shared" si="163"/>
        <v>708157</v>
      </c>
      <c r="J198" s="130">
        <f t="shared" si="164"/>
        <v>0</v>
      </c>
      <c r="K198" s="8">
        <f t="shared" si="168"/>
        <v>981.26</v>
      </c>
      <c r="L198" s="8">
        <f>L197</f>
        <v>36909.730000000003</v>
      </c>
      <c r="M198" s="131">
        <f t="shared" si="165"/>
        <v>708157</v>
      </c>
      <c r="N198" s="126">
        <f t="shared" si="93"/>
        <v>8626</v>
      </c>
      <c r="O198" s="32"/>
      <c r="P198" s="32"/>
      <c r="Q198" s="32"/>
      <c r="R198" s="32"/>
      <c r="S198" s="32"/>
      <c r="T198" s="32"/>
      <c r="U198" s="32"/>
      <c r="V198" s="32"/>
      <c r="W198" s="32"/>
      <c r="X198" s="32"/>
      <c r="Y198" s="32"/>
      <c r="Z198" s="32"/>
      <c r="AA198" s="32"/>
      <c r="AB198" s="32"/>
      <c r="AC198" s="32"/>
      <c r="AD198" s="32"/>
      <c r="AE198" s="32"/>
      <c r="AF198" s="32"/>
      <c r="AG198" s="32"/>
      <c r="AH198" s="127">
        <f t="shared" si="136"/>
        <v>0</v>
      </c>
      <c r="AI198" s="128">
        <f t="shared" si="95"/>
        <v>8626</v>
      </c>
      <c r="AJ198" s="129">
        <f t="shared" si="96"/>
        <v>0</v>
      </c>
    </row>
    <row r="199" spans="1:39" x14ac:dyDescent="0.25">
      <c r="A199" s="119">
        <f t="shared" si="166"/>
        <v>45357</v>
      </c>
      <c r="B199" s="109" t="s">
        <v>99</v>
      </c>
      <c r="C199" s="6" t="s">
        <v>9</v>
      </c>
      <c r="D199" s="7" t="s">
        <v>10</v>
      </c>
      <c r="E199" s="120"/>
      <c r="F199" s="130">
        <f>213.55+105.21+0.24</f>
        <v>319</v>
      </c>
      <c r="G199" s="122"/>
      <c r="H199" s="123"/>
      <c r="I199" s="120">
        <f t="shared" si="163"/>
        <v>0</v>
      </c>
      <c r="J199" s="130">
        <f t="shared" si="164"/>
        <v>319</v>
      </c>
      <c r="K199" s="8">
        <f t="shared" ref="K199:L199" si="169">K198</f>
        <v>981.26</v>
      </c>
      <c r="L199" s="8">
        <f t="shared" si="169"/>
        <v>36909.730000000003</v>
      </c>
      <c r="M199" s="131">
        <f t="shared" si="165"/>
        <v>313021.94</v>
      </c>
      <c r="N199" s="126">
        <f t="shared" si="93"/>
        <v>3009.6067000000039</v>
      </c>
      <c r="O199" s="32"/>
      <c r="P199" s="32"/>
      <c r="Q199" s="32"/>
      <c r="R199" s="32"/>
      <c r="S199" s="32"/>
      <c r="T199" s="32"/>
      <c r="U199" s="32"/>
      <c r="V199" s="32"/>
      <c r="W199" s="32"/>
      <c r="X199" s="32"/>
      <c r="Y199" s="32"/>
      <c r="Z199" s="32"/>
      <c r="AA199" s="32"/>
      <c r="AB199" s="32"/>
      <c r="AC199" s="32"/>
      <c r="AD199" s="32"/>
      <c r="AE199" s="32"/>
      <c r="AF199" s="32"/>
      <c r="AG199" s="32"/>
      <c r="AH199" s="127">
        <f t="shared" si="136"/>
        <v>3620.6500000000074</v>
      </c>
      <c r="AI199" s="128">
        <f t="shared" si="95"/>
        <v>-611.04330000000346</v>
      </c>
      <c r="AJ199" s="129">
        <f t="shared" si="96"/>
        <v>0</v>
      </c>
    </row>
    <row r="200" spans="1:39" x14ac:dyDescent="0.25">
      <c r="A200" s="119">
        <f t="shared" si="166"/>
        <v>45357</v>
      </c>
      <c r="B200" s="109" t="s">
        <v>99</v>
      </c>
      <c r="C200" s="6" t="s">
        <v>7</v>
      </c>
      <c r="D200" s="7" t="s">
        <v>16</v>
      </c>
      <c r="E200" s="120"/>
      <c r="F200" s="130">
        <v>948.17</v>
      </c>
      <c r="G200" s="122"/>
      <c r="H200" s="123"/>
      <c r="I200" s="120">
        <f t="shared" si="163"/>
        <v>0</v>
      </c>
      <c r="J200" s="130">
        <f t="shared" si="164"/>
        <v>948.17</v>
      </c>
      <c r="K200" s="8">
        <f t="shared" ref="K200:L200" si="170">K199</f>
        <v>981.26</v>
      </c>
      <c r="L200" s="8">
        <f t="shared" si="170"/>
        <v>36909.730000000003</v>
      </c>
      <c r="M200" s="131">
        <f t="shared" si="165"/>
        <v>930401.2942</v>
      </c>
      <c r="N200" s="126">
        <f t="shared" si="93"/>
        <v>79858.11790000007</v>
      </c>
      <c r="O200" s="32"/>
      <c r="P200" s="32"/>
      <c r="Q200" s="32"/>
      <c r="R200" s="32"/>
      <c r="S200" s="32"/>
      <c r="T200" s="32"/>
      <c r="U200" s="32"/>
      <c r="V200" s="32"/>
      <c r="W200" s="32"/>
      <c r="X200" s="32"/>
      <c r="Y200" s="32"/>
      <c r="Z200" s="32"/>
      <c r="AA200" s="32"/>
      <c r="AB200" s="32"/>
      <c r="AC200" s="32"/>
      <c r="AD200" s="32"/>
      <c r="AE200" s="32"/>
      <c r="AF200" s="32"/>
      <c r="AG200" s="32"/>
      <c r="AH200" s="127">
        <f t="shared" si="136"/>
        <v>10761.729500000021</v>
      </c>
      <c r="AI200" s="128">
        <f t="shared" si="95"/>
        <v>69096.388400000054</v>
      </c>
      <c r="AJ200" s="129">
        <f t="shared" si="96"/>
        <v>0</v>
      </c>
    </row>
    <row r="201" spans="1:39" s="142" customFormat="1" x14ac:dyDescent="0.25">
      <c r="A201" s="133">
        <f t="shared" si="166"/>
        <v>45357</v>
      </c>
      <c r="B201" s="110" t="s">
        <v>99</v>
      </c>
      <c r="C201" s="45" t="s">
        <v>8</v>
      </c>
      <c r="D201" s="46" t="s">
        <v>16</v>
      </c>
      <c r="E201" s="134"/>
      <c r="F201" s="135">
        <v>331.73</v>
      </c>
      <c r="G201" s="134"/>
      <c r="H201" s="135"/>
      <c r="I201" s="134">
        <f t="shared" si="163"/>
        <v>0</v>
      </c>
      <c r="J201" s="135">
        <f t="shared" si="164"/>
        <v>331.73</v>
      </c>
      <c r="K201" s="47">
        <f t="shared" ref="K201:L201" si="171">K200</f>
        <v>981.26</v>
      </c>
      <c r="L201" s="47">
        <f t="shared" si="171"/>
        <v>36909.730000000003</v>
      </c>
      <c r="M201" s="136">
        <f t="shared" si="165"/>
        <v>325513.3798</v>
      </c>
      <c r="N201" s="137">
        <f t="shared" si="93"/>
        <v>-8717.6062000000384</v>
      </c>
      <c r="O201" s="138"/>
      <c r="P201" s="138"/>
      <c r="Q201" s="138"/>
      <c r="R201" s="138"/>
      <c r="S201" s="138"/>
      <c r="T201" s="138"/>
      <c r="U201" s="138"/>
      <c r="V201" s="138"/>
      <c r="W201" s="138"/>
      <c r="X201" s="138"/>
      <c r="Y201" s="138"/>
      <c r="Z201" s="138"/>
      <c r="AA201" s="138"/>
      <c r="AB201" s="138"/>
      <c r="AC201" s="138"/>
      <c r="AD201" s="138"/>
      <c r="AE201" s="138"/>
      <c r="AF201" s="138"/>
      <c r="AG201" s="138"/>
      <c r="AH201" s="139">
        <f t="shared" si="136"/>
        <v>3765.1355000000076</v>
      </c>
      <c r="AI201" s="140">
        <f t="shared" si="95"/>
        <v>-12482.741700000046</v>
      </c>
      <c r="AJ201" s="141">
        <f t="shared" si="96"/>
        <v>0</v>
      </c>
    </row>
    <row r="202" spans="1:39" x14ac:dyDescent="0.25">
      <c r="A202" s="119">
        <v>45358</v>
      </c>
      <c r="B202" s="109" t="s">
        <v>99</v>
      </c>
      <c r="C202" s="6" t="s">
        <v>5</v>
      </c>
      <c r="D202" s="7" t="s">
        <v>6</v>
      </c>
      <c r="E202" s="120">
        <v>6359603</v>
      </c>
      <c r="F202" s="130"/>
      <c r="G202" s="120"/>
      <c r="H202" s="130"/>
      <c r="I202" s="120">
        <f t="shared" ref="I202:I210" si="172">E202+G202</f>
        <v>6359603</v>
      </c>
      <c r="J202" s="130">
        <f t="shared" ref="J202:J210" si="173">F202+H202</f>
        <v>0</v>
      </c>
      <c r="K202" s="42">
        <f>VLOOKUP($A202+1,MarketData!$D:$ZZ,MATCH(K$1,MarketData!$D$1:$ZZ$1,0))</f>
        <v>983.8</v>
      </c>
      <c r="L202" s="42">
        <f>VLOOKUP($A202,MarketData!$D:$ZZ,MATCH(L$1,MarketData!$D$1:$ZZ$1,0))</f>
        <v>36918.61</v>
      </c>
      <c r="M202" s="131">
        <f t="shared" ref="M202:M210" si="174">I202+J202*K202</f>
        <v>6359603</v>
      </c>
      <c r="N202" s="126">
        <f t="shared" ref="N202:N265" si="175">M202-SUMIFS(Total,Cuenta,C202,Linea,D202,Fecha,INDEX(Fecha,MATCH(A202-1,Fecha,1)))</f>
        <v>-36</v>
      </c>
      <c r="O202" s="32"/>
      <c r="P202" s="32"/>
      <c r="Q202" s="32">
        <v>-36</v>
      </c>
      <c r="R202" s="32"/>
      <c r="S202" s="32"/>
      <c r="T202" s="32"/>
      <c r="U202" s="32"/>
      <c r="V202" s="32"/>
      <c r="W202" s="32"/>
      <c r="X202" s="32"/>
      <c r="Y202" s="32"/>
      <c r="Z202" s="32"/>
      <c r="AA202" s="32"/>
      <c r="AB202" s="32"/>
      <c r="AC202" s="32"/>
      <c r="AD202" s="32"/>
      <c r="AE202" s="32"/>
      <c r="AF202" s="32"/>
      <c r="AG202" s="32"/>
      <c r="AH202" s="127">
        <f t="shared" ref="AH202:AH204" si="176">J202*(K202-K194)</f>
        <v>0</v>
      </c>
      <c r="AI202" s="128">
        <f t="shared" ref="AI202:AI265" si="177">(N202-AH202-Q202)*ISNUMBER(MATCH($D202,$AL:$AL,0))</f>
        <v>0</v>
      </c>
      <c r="AJ202" s="129">
        <f t="shared" ref="AJ202:AJ265" si="178">N202-SUM(O202:AI202)</f>
        <v>0</v>
      </c>
    </row>
    <row r="203" spans="1:39" x14ac:dyDescent="0.25">
      <c r="A203" s="119">
        <f>A202</f>
        <v>45358</v>
      </c>
      <c r="B203" s="109" t="s">
        <v>99</v>
      </c>
      <c r="C203" s="6" t="s">
        <v>5</v>
      </c>
      <c r="D203" s="7" t="s">
        <v>26</v>
      </c>
      <c r="E203" s="120">
        <v>9611592</v>
      </c>
      <c r="F203" s="130">
        <v>8000</v>
      </c>
      <c r="G203" s="122">
        <v>-10000000</v>
      </c>
      <c r="H203" s="123">
        <v>-8000</v>
      </c>
      <c r="I203" s="120">
        <f t="shared" si="172"/>
        <v>-388408</v>
      </c>
      <c r="J203" s="130">
        <f t="shared" si="173"/>
        <v>0</v>
      </c>
      <c r="K203" s="8">
        <f>K202</f>
        <v>983.8</v>
      </c>
      <c r="L203" s="8">
        <f>L202</f>
        <v>36918.61</v>
      </c>
      <c r="M203" s="131">
        <f t="shared" si="174"/>
        <v>-388408</v>
      </c>
      <c r="N203" s="126">
        <f t="shared" si="175"/>
        <v>-15220</v>
      </c>
      <c r="O203" s="32"/>
      <c r="P203" s="32"/>
      <c r="Q203" s="32"/>
      <c r="R203" s="32"/>
      <c r="S203" s="32"/>
      <c r="T203" s="32"/>
      <c r="U203" s="32"/>
      <c r="V203" s="32"/>
      <c r="W203" s="32">
        <f>-8180-5540-1500</f>
        <v>-15220</v>
      </c>
      <c r="X203" s="32"/>
      <c r="Y203" s="32"/>
      <c r="Z203" s="32"/>
      <c r="AA203" s="32"/>
      <c r="AB203" s="32"/>
      <c r="AC203" s="32"/>
      <c r="AD203" s="32"/>
      <c r="AE203" s="32"/>
      <c r="AF203" s="32"/>
      <c r="AG203" s="32"/>
      <c r="AH203" s="127">
        <f t="shared" si="176"/>
        <v>0</v>
      </c>
      <c r="AI203" s="128">
        <f t="shared" si="177"/>
        <v>0</v>
      </c>
      <c r="AJ203" s="129">
        <f t="shared" si="178"/>
        <v>0</v>
      </c>
    </row>
    <row r="204" spans="1:39" x14ac:dyDescent="0.25">
      <c r="A204" s="119">
        <f>A203</f>
        <v>45358</v>
      </c>
      <c r="B204" s="109" t="s">
        <v>99</v>
      </c>
      <c r="C204" s="6" t="s">
        <v>5</v>
      </c>
      <c r="D204" s="7" t="s">
        <v>80</v>
      </c>
      <c r="E204" s="120">
        <v>15000000</v>
      </c>
      <c r="F204" s="130"/>
      <c r="G204" s="122">
        <v>-15000000</v>
      </c>
      <c r="H204" s="123"/>
      <c r="I204" s="120">
        <f t="shared" si="172"/>
        <v>0</v>
      </c>
      <c r="J204" s="130">
        <f t="shared" ref="J204" si="179">F204+H204</f>
        <v>0</v>
      </c>
      <c r="K204" s="8">
        <f>K203</f>
        <v>983.8</v>
      </c>
      <c r="L204" s="8">
        <f>L203</f>
        <v>36918.61</v>
      </c>
      <c r="M204" s="131">
        <f t="shared" ref="M204" si="180">I204+J204*K204</f>
        <v>0</v>
      </c>
      <c r="N204" s="126">
        <f t="shared" si="175"/>
        <v>0</v>
      </c>
      <c r="O204" s="32"/>
      <c r="P204" s="32"/>
      <c r="Q204" s="32"/>
      <c r="R204" s="32"/>
      <c r="S204" s="32"/>
      <c r="T204" s="32"/>
      <c r="U204" s="32"/>
      <c r="V204" s="32"/>
      <c r="W204" s="32"/>
      <c r="X204" s="32"/>
      <c r="Y204" s="32"/>
      <c r="Z204" s="32"/>
      <c r="AA204" s="32"/>
      <c r="AB204" s="32"/>
      <c r="AC204" s="32"/>
      <c r="AD204" s="32"/>
      <c r="AE204" s="32"/>
      <c r="AF204" s="32"/>
      <c r="AG204" s="32"/>
      <c r="AH204" s="127">
        <f t="shared" si="176"/>
        <v>0</v>
      </c>
      <c r="AI204" s="128">
        <f t="shared" si="177"/>
        <v>0</v>
      </c>
      <c r="AJ204" s="129">
        <f t="shared" si="178"/>
        <v>0</v>
      </c>
      <c r="AK204" t="s">
        <v>82</v>
      </c>
    </row>
    <row r="205" spans="1:39" x14ac:dyDescent="0.25">
      <c r="A205" s="119">
        <f>A203</f>
        <v>45358</v>
      </c>
      <c r="B205" s="109" t="s">
        <v>99</v>
      </c>
      <c r="C205" s="6" t="s">
        <v>9</v>
      </c>
      <c r="D205" s="7" t="s">
        <v>12</v>
      </c>
      <c r="E205" s="120">
        <v>5916857</v>
      </c>
      <c r="F205" s="130"/>
      <c r="G205" s="122"/>
      <c r="H205" s="123"/>
      <c r="I205" s="120">
        <f t="shared" si="172"/>
        <v>5916857</v>
      </c>
      <c r="J205" s="130">
        <f t="shared" si="173"/>
        <v>0</v>
      </c>
      <c r="K205" s="8">
        <f t="shared" ref="K205:L205" si="181">K203</f>
        <v>983.8</v>
      </c>
      <c r="L205" s="8">
        <f t="shared" si="181"/>
        <v>36918.61</v>
      </c>
      <c r="M205" s="131">
        <f t="shared" si="174"/>
        <v>5916857</v>
      </c>
      <c r="N205" s="126">
        <f t="shared" si="175"/>
        <v>1162</v>
      </c>
      <c r="O205" s="32"/>
      <c r="P205" s="32"/>
      <c r="Q205" s="32"/>
      <c r="R205" s="32"/>
      <c r="S205" s="32"/>
      <c r="T205" s="32"/>
      <c r="U205" s="32"/>
      <c r="V205" s="32"/>
      <c r="W205" s="32"/>
      <c r="X205" s="32"/>
      <c r="Y205" s="32"/>
      <c r="Z205" s="32"/>
      <c r="AA205" s="32"/>
      <c r="AB205" s="32"/>
      <c r="AC205" s="32"/>
      <c r="AD205" s="32"/>
      <c r="AE205" s="32"/>
      <c r="AF205" s="32"/>
      <c r="AG205" s="32"/>
      <c r="AH205" s="127">
        <f t="shared" ref="AH205:AH210" si="182">J196*(K205-K196)</f>
        <v>0</v>
      </c>
      <c r="AI205" s="128">
        <f t="shared" si="177"/>
        <v>1162</v>
      </c>
      <c r="AJ205" s="129">
        <f t="shared" si="178"/>
        <v>0</v>
      </c>
    </row>
    <row r="206" spans="1:39" x14ac:dyDescent="0.25">
      <c r="A206" s="119">
        <f t="shared" ref="A206:A210" si="183">A205</f>
        <v>45358</v>
      </c>
      <c r="B206" s="109" t="s">
        <v>99</v>
      </c>
      <c r="C206" s="6" t="s">
        <v>9</v>
      </c>
      <c r="D206" s="7" t="s">
        <v>15</v>
      </c>
      <c r="E206" s="120">
        <v>2138159</v>
      </c>
      <c r="F206" s="130"/>
      <c r="G206" s="122"/>
      <c r="H206" s="123"/>
      <c r="I206" s="120">
        <f t="shared" si="172"/>
        <v>2138159</v>
      </c>
      <c r="J206" s="130">
        <f t="shared" si="173"/>
        <v>0</v>
      </c>
      <c r="K206" s="8">
        <f t="shared" ref="K206:L206" si="184">K205</f>
        <v>983.8</v>
      </c>
      <c r="L206" s="8">
        <f t="shared" si="184"/>
        <v>36918.61</v>
      </c>
      <c r="M206" s="131">
        <f t="shared" si="174"/>
        <v>2138159</v>
      </c>
      <c r="N206" s="126">
        <f t="shared" si="175"/>
        <v>31714</v>
      </c>
      <c r="O206" s="32"/>
      <c r="P206" s="32"/>
      <c r="Q206" s="32"/>
      <c r="R206" s="32"/>
      <c r="S206" s="32"/>
      <c r="T206" s="32"/>
      <c r="U206" s="32"/>
      <c r="V206" s="32"/>
      <c r="W206" s="32"/>
      <c r="X206" s="32"/>
      <c r="Y206" s="32"/>
      <c r="Z206" s="32"/>
      <c r="AA206" s="32"/>
      <c r="AB206" s="32"/>
      <c r="AC206" s="32"/>
      <c r="AD206" s="32"/>
      <c r="AE206" s="32"/>
      <c r="AF206" s="32"/>
      <c r="AG206" s="32"/>
      <c r="AH206" s="127">
        <f t="shared" si="182"/>
        <v>0</v>
      </c>
      <c r="AI206" s="128">
        <f t="shared" si="177"/>
        <v>31714</v>
      </c>
      <c r="AJ206" s="129">
        <f t="shared" si="178"/>
        <v>0</v>
      </c>
      <c r="AM206" s="119"/>
    </row>
    <row r="207" spans="1:39" x14ac:dyDescent="0.25">
      <c r="A207" s="119">
        <f t="shared" si="183"/>
        <v>45358</v>
      </c>
      <c r="B207" s="109" t="s">
        <v>99</v>
      </c>
      <c r="C207" s="6" t="s">
        <v>9</v>
      </c>
      <c r="D207" s="7" t="s">
        <v>11</v>
      </c>
      <c r="E207" s="120">
        <v>714745</v>
      </c>
      <c r="F207" s="130"/>
      <c r="G207" s="122"/>
      <c r="H207" s="123"/>
      <c r="I207" s="120">
        <f t="shared" si="172"/>
        <v>714745</v>
      </c>
      <c r="J207" s="130">
        <f t="shared" si="173"/>
        <v>0</v>
      </c>
      <c r="K207" s="8">
        <f t="shared" ref="K207" si="185">K206</f>
        <v>983.8</v>
      </c>
      <c r="L207" s="8">
        <f>L206</f>
        <v>36918.61</v>
      </c>
      <c r="M207" s="131">
        <f t="shared" si="174"/>
        <v>714745</v>
      </c>
      <c r="N207" s="126">
        <f t="shared" si="175"/>
        <v>6588</v>
      </c>
      <c r="O207" s="32"/>
      <c r="P207" s="32"/>
      <c r="Q207" s="32"/>
      <c r="R207" s="32"/>
      <c r="S207" s="32"/>
      <c r="T207" s="32"/>
      <c r="U207" s="32"/>
      <c r="V207" s="32"/>
      <c r="W207" s="32"/>
      <c r="X207" s="32"/>
      <c r="Y207" s="32"/>
      <c r="Z207" s="32"/>
      <c r="AA207" s="32"/>
      <c r="AB207" s="32"/>
      <c r="AC207" s="32"/>
      <c r="AD207" s="32"/>
      <c r="AE207" s="32"/>
      <c r="AF207" s="32"/>
      <c r="AG207" s="32"/>
      <c r="AH207" s="127">
        <f t="shared" si="182"/>
        <v>0</v>
      </c>
      <c r="AI207" s="128">
        <f t="shared" si="177"/>
        <v>6588</v>
      </c>
      <c r="AJ207" s="129">
        <f t="shared" si="178"/>
        <v>0</v>
      </c>
    </row>
    <row r="208" spans="1:39" x14ac:dyDescent="0.25">
      <c r="A208" s="119">
        <f t="shared" si="183"/>
        <v>45358</v>
      </c>
      <c r="B208" s="109" t="s">
        <v>99</v>
      </c>
      <c r="C208" s="6" t="s">
        <v>9</v>
      </c>
      <c r="D208" s="7" t="s">
        <v>10</v>
      </c>
      <c r="E208" s="120"/>
      <c r="F208" s="130">
        <f>215.78+102.72+0.24</f>
        <v>318.74</v>
      </c>
      <c r="G208" s="122"/>
      <c r="H208" s="123"/>
      <c r="I208" s="120">
        <f t="shared" si="172"/>
        <v>0</v>
      </c>
      <c r="J208" s="130">
        <f t="shared" si="173"/>
        <v>318.74</v>
      </c>
      <c r="K208" s="8">
        <f t="shared" ref="K208:L208" si="186">K207</f>
        <v>983.8</v>
      </c>
      <c r="L208" s="8">
        <f t="shared" si="186"/>
        <v>36918.61</v>
      </c>
      <c r="M208" s="131">
        <f t="shared" si="174"/>
        <v>313576.41200000001</v>
      </c>
      <c r="N208" s="126">
        <f t="shared" si="175"/>
        <v>554.47200000000885</v>
      </c>
      <c r="O208" s="32"/>
      <c r="P208" s="32"/>
      <c r="Q208" s="32"/>
      <c r="R208" s="32"/>
      <c r="S208" s="32"/>
      <c r="T208" s="32"/>
      <c r="U208" s="32"/>
      <c r="V208" s="32"/>
      <c r="W208" s="32"/>
      <c r="X208" s="32"/>
      <c r="Y208" s="32"/>
      <c r="Z208" s="32"/>
      <c r="AA208" s="32"/>
      <c r="AB208" s="32"/>
      <c r="AC208" s="32"/>
      <c r="AD208" s="32"/>
      <c r="AE208" s="32"/>
      <c r="AF208" s="32"/>
      <c r="AG208" s="32"/>
      <c r="AH208" s="127">
        <f t="shared" si="182"/>
        <v>810.25999999998839</v>
      </c>
      <c r="AI208" s="128">
        <f t="shared" si="177"/>
        <v>-255.78799999997955</v>
      </c>
      <c r="AJ208" s="129">
        <f t="shared" si="178"/>
        <v>0</v>
      </c>
    </row>
    <row r="209" spans="1:39" x14ac:dyDescent="0.25">
      <c r="A209" s="119">
        <f t="shared" si="183"/>
        <v>45358</v>
      </c>
      <c r="B209" s="109" t="s">
        <v>99</v>
      </c>
      <c r="C209" s="6" t="s">
        <v>7</v>
      </c>
      <c r="D209" s="7" t="s">
        <v>16</v>
      </c>
      <c r="E209" s="120"/>
      <c r="F209" s="130">
        <v>948.17</v>
      </c>
      <c r="G209" s="122"/>
      <c r="H209" s="123"/>
      <c r="I209" s="120">
        <f t="shared" si="172"/>
        <v>0</v>
      </c>
      <c r="J209" s="130">
        <f t="shared" si="173"/>
        <v>948.17</v>
      </c>
      <c r="K209" s="8">
        <f t="shared" ref="K209:L209" si="187">K208</f>
        <v>983.8</v>
      </c>
      <c r="L209" s="8">
        <f t="shared" si="187"/>
        <v>36918.61</v>
      </c>
      <c r="M209" s="131">
        <f t="shared" si="174"/>
        <v>932809.64599999995</v>
      </c>
      <c r="N209" s="126">
        <f t="shared" si="175"/>
        <v>2408.3517999999458</v>
      </c>
      <c r="O209" s="32"/>
      <c r="P209" s="32"/>
      <c r="Q209" s="32"/>
      <c r="R209" s="32"/>
      <c r="S209" s="32"/>
      <c r="T209" s="32"/>
      <c r="U209" s="32"/>
      <c r="V209" s="32"/>
      <c r="W209" s="32"/>
      <c r="X209" s="32"/>
      <c r="Y209" s="32"/>
      <c r="Z209" s="32"/>
      <c r="AA209" s="32"/>
      <c r="AB209" s="32"/>
      <c r="AC209" s="32"/>
      <c r="AD209" s="32"/>
      <c r="AE209" s="32"/>
      <c r="AF209" s="32"/>
      <c r="AG209" s="32"/>
      <c r="AH209" s="127">
        <f t="shared" si="182"/>
        <v>2408.3517999999654</v>
      </c>
      <c r="AI209" s="128">
        <f t="shared" si="177"/>
        <v>-1.9554136088117957E-11</v>
      </c>
      <c r="AJ209" s="129">
        <f t="shared" si="178"/>
        <v>0</v>
      </c>
    </row>
    <row r="210" spans="1:39" s="142" customFormat="1" x14ac:dyDescent="0.25">
      <c r="A210" s="133">
        <f t="shared" si="183"/>
        <v>45358</v>
      </c>
      <c r="B210" s="110" t="s">
        <v>99</v>
      </c>
      <c r="C210" s="45" t="s">
        <v>8</v>
      </c>
      <c r="D210" s="46" t="s">
        <v>16</v>
      </c>
      <c r="E210" s="134"/>
      <c r="F210" s="135">
        <v>333.8</v>
      </c>
      <c r="G210" s="134"/>
      <c r="H210" s="135"/>
      <c r="I210" s="134">
        <f t="shared" si="172"/>
        <v>0</v>
      </c>
      <c r="J210" s="135">
        <f t="shared" si="173"/>
        <v>333.8</v>
      </c>
      <c r="K210" s="47">
        <f t="shared" ref="K210:L210" si="188">K209</f>
        <v>983.8</v>
      </c>
      <c r="L210" s="47">
        <f t="shared" si="188"/>
        <v>36918.61</v>
      </c>
      <c r="M210" s="136">
        <f t="shared" si="174"/>
        <v>328392.44</v>
      </c>
      <c r="N210" s="137">
        <f t="shared" si="175"/>
        <v>2879.0602000000072</v>
      </c>
      <c r="O210" s="138"/>
      <c r="P210" s="138"/>
      <c r="Q210" s="138"/>
      <c r="R210" s="138"/>
      <c r="S210" s="138"/>
      <c r="T210" s="138"/>
      <c r="U210" s="138"/>
      <c r="V210" s="138"/>
      <c r="W210" s="138"/>
      <c r="X210" s="138"/>
      <c r="Y210" s="138"/>
      <c r="Z210" s="138"/>
      <c r="AA210" s="138"/>
      <c r="AB210" s="138"/>
      <c r="AC210" s="138"/>
      <c r="AD210" s="138"/>
      <c r="AE210" s="138"/>
      <c r="AF210" s="138"/>
      <c r="AG210" s="138"/>
      <c r="AH210" s="139">
        <f t="shared" si="182"/>
        <v>842.59419999998795</v>
      </c>
      <c r="AI210" s="140">
        <f t="shared" si="177"/>
        <v>2036.4660000000192</v>
      </c>
      <c r="AJ210" s="141">
        <f t="shared" si="178"/>
        <v>0</v>
      </c>
    </row>
    <row r="211" spans="1:39" x14ac:dyDescent="0.25">
      <c r="A211" s="119">
        <v>45359</v>
      </c>
      <c r="B211" s="109" t="s">
        <v>99</v>
      </c>
      <c r="C211" s="6" t="s">
        <v>5</v>
      </c>
      <c r="D211" s="7" t="s">
        <v>6</v>
      </c>
      <c r="E211" s="120">
        <v>6359603</v>
      </c>
      <c r="F211" s="130"/>
      <c r="G211" s="120"/>
      <c r="H211" s="130"/>
      <c r="I211" s="120">
        <f t="shared" ref="I211:I219" si="189">E211+G211</f>
        <v>6359603</v>
      </c>
      <c r="J211" s="130">
        <f t="shared" ref="J211:J219" si="190">F211+H211</f>
        <v>0</v>
      </c>
      <c r="K211" s="42">
        <f>VLOOKUP($A211+1,MarketData!$D:$ZZ,MATCH(K$1,MarketData!$D$1:$ZZ$1,0))</f>
        <v>983.8</v>
      </c>
      <c r="L211" s="42">
        <f>VLOOKUP($A211,MarketData!$D:$ZZ,MATCH(L$1,MarketData!$D$1:$ZZ$1,0))</f>
        <v>36927.49</v>
      </c>
      <c r="M211" s="131">
        <f t="shared" ref="M211:M219" si="191">I211+J211*K211</f>
        <v>6359603</v>
      </c>
      <c r="N211" s="126">
        <f t="shared" si="175"/>
        <v>0</v>
      </c>
      <c r="O211" s="32"/>
      <c r="P211" s="32"/>
      <c r="Q211" s="32"/>
      <c r="R211" s="32"/>
      <c r="S211" s="32"/>
      <c r="T211" s="32"/>
      <c r="U211" s="32"/>
      <c r="V211" s="32"/>
      <c r="W211" s="32"/>
      <c r="X211" s="32"/>
      <c r="Y211" s="32"/>
      <c r="Z211" s="32"/>
      <c r="AA211" s="32"/>
      <c r="AB211" s="32"/>
      <c r="AC211" s="32"/>
      <c r="AD211" s="32"/>
      <c r="AE211" s="32"/>
      <c r="AF211" s="32"/>
      <c r="AG211" s="32"/>
      <c r="AH211" s="127">
        <f>J211*(K211-K203)</f>
        <v>0</v>
      </c>
      <c r="AI211" s="128">
        <f t="shared" si="177"/>
        <v>0</v>
      </c>
      <c r="AJ211" s="129">
        <f t="shared" si="178"/>
        <v>0</v>
      </c>
    </row>
    <row r="212" spans="1:39" x14ac:dyDescent="0.25">
      <c r="A212" s="119">
        <f>A211</f>
        <v>45359</v>
      </c>
      <c r="B212" s="109" t="s">
        <v>99</v>
      </c>
      <c r="C212" s="6" t="s">
        <v>5</v>
      </c>
      <c r="D212" s="7" t="s">
        <v>26</v>
      </c>
      <c r="E212" s="120">
        <v>9558959</v>
      </c>
      <c r="F212" s="130">
        <v>8000</v>
      </c>
      <c r="G212" s="122">
        <v>-10000000</v>
      </c>
      <c r="H212" s="123">
        <v>-8000</v>
      </c>
      <c r="I212" s="120">
        <f>E212+G212</f>
        <v>-441041</v>
      </c>
      <c r="J212" s="130">
        <f t="shared" si="190"/>
        <v>0</v>
      </c>
      <c r="K212" s="8">
        <f>K211</f>
        <v>983.8</v>
      </c>
      <c r="L212" s="8">
        <f>L211</f>
        <v>36927.49</v>
      </c>
      <c r="M212" s="131">
        <f>I212+J212*K212</f>
        <v>-441041</v>
      </c>
      <c r="N212" s="126">
        <f t="shared" si="175"/>
        <v>-52633</v>
      </c>
      <c r="O212" s="32"/>
      <c r="P212" s="32"/>
      <c r="Q212" s="32"/>
      <c r="R212" s="32"/>
      <c r="S212" s="32"/>
      <c r="T212" s="32"/>
      <c r="U212" s="32">
        <v>-30500</v>
      </c>
      <c r="V212" s="32"/>
      <c r="W212" s="32">
        <f>-8090-8770</f>
        <v>-16860</v>
      </c>
      <c r="X212" s="32"/>
      <c r="Y212" s="32"/>
      <c r="Z212" s="32">
        <v>-5273</v>
      </c>
      <c r="AA212" s="32"/>
      <c r="AB212" s="32"/>
      <c r="AC212" s="32"/>
      <c r="AD212" s="32"/>
      <c r="AE212" s="32"/>
      <c r="AF212" s="32"/>
      <c r="AG212" s="32"/>
      <c r="AH212" s="127">
        <f>J212*(K212-K204)</f>
        <v>0</v>
      </c>
      <c r="AI212" s="128">
        <f t="shared" si="177"/>
        <v>0</v>
      </c>
      <c r="AJ212" s="129">
        <f t="shared" si="178"/>
        <v>0</v>
      </c>
    </row>
    <row r="213" spans="1:39" x14ac:dyDescent="0.25">
      <c r="A213" s="119">
        <f>A212</f>
        <v>45359</v>
      </c>
      <c r="B213" s="109" t="s">
        <v>99</v>
      </c>
      <c r="C213" s="6" t="s">
        <v>5</v>
      </c>
      <c r="D213" s="7" t="s">
        <v>80</v>
      </c>
      <c r="E213" s="120">
        <v>15000000</v>
      </c>
      <c r="F213" s="130"/>
      <c r="G213" s="122">
        <v>-15000000</v>
      </c>
      <c r="H213" s="123"/>
      <c r="I213" s="120">
        <f t="shared" si="189"/>
        <v>0</v>
      </c>
      <c r="J213" s="130">
        <f t="shared" si="190"/>
        <v>0</v>
      </c>
      <c r="K213" s="8">
        <f>K212</f>
        <v>983.8</v>
      </c>
      <c r="L213" s="8">
        <f>L212</f>
        <v>36927.49</v>
      </c>
      <c r="M213" s="131">
        <f t="shared" si="191"/>
        <v>0</v>
      </c>
      <c r="N213" s="126">
        <f t="shared" si="175"/>
        <v>0</v>
      </c>
      <c r="O213" s="32"/>
      <c r="P213" s="32"/>
      <c r="Q213" s="32"/>
      <c r="R213" s="32"/>
      <c r="S213" s="32"/>
      <c r="T213" s="32"/>
      <c r="U213" s="32"/>
      <c r="V213" s="32"/>
      <c r="W213" s="32"/>
      <c r="X213" s="32"/>
      <c r="Y213" s="32"/>
      <c r="Z213" s="32"/>
      <c r="AA213" s="32"/>
      <c r="AB213" s="32"/>
      <c r="AC213" s="32"/>
      <c r="AD213" s="32"/>
      <c r="AE213" s="32"/>
      <c r="AF213" s="32"/>
      <c r="AG213" s="32"/>
      <c r="AH213" s="127">
        <f>J213*(K213-K205)</f>
        <v>0</v>
      </c>
      <c r="AI213" s="128">
        <f t="shared" si="177"/>
        <v>0</v>
      </c>
      <c r="AJ213" s="129">
        <f t="shared" si="178"/>
        <v>0</v>
      </c>
    </row>
    <row r="214" spans="1:39" x14ac:dyDescent="0.25">
      <c r="A214" s="119">
        <f>A212</f>
        <v>45359</v>
      </c>
      <c r="B214" s="109" t="s">
        <v>99</v>
      </c>
      <c r="C214" s="6" t="s">
        <v>9</v>
      </c>
      <c r="D214" s="7" t="s">
        <v>12</v>
      </c>
      <c r="E214" s="120">
        <v>5916857</v>
      </c>
      <c r="F214" s="130"/>
      <c r="G214" s="122"/>
      <c r="H214" s="123"/>
      <c r="I214" s="120">
        <f t="shared" si="189"/>
        <v>5916857</v>
      </c>
      <c r="J214" s="130">
        <f t="shared" si="190"/>
        <v>0</v>
      </c>
      <c r="K214" s="8">
        <f t="shared" ref="K214:L214" si="192">K212</f>
        <v>983.8</v>
      </c>
      <c r="L214" s="8">
        <f t="shared" si="192"/>
        <v>36927.49</v>
      </c>
      <c r="M214" s="131">
        <f t="shared" si="191"/>
        <v>5916857</v>
      </c>
      <c r="N214" s="126">
        <f t="shared" si="175"/>
        <v>0</v>
      </c>
      <c r="O214" s="32"/>
      <c r="P214" s="32"/>
      <c r="Q214" s="32"/>
      <c r="R214" s="32"/>
      <c r="S214" s="32"/>
      <c r="T214" s="32"/>
      <c r="U214" s="32"/>
      <c r="V214" s="32"/>
      <c r="W214" s="32"/>
      <c r="X214" s="32"/>
      <c r="Y214" s="32"/>
      <c r="Z214" s="32"/>
      <c r="AA214" s="32"/>
      <c r="AB214" s="32"/>
      <c r="AC214" s="32"/>
      <c r="AD214" s="32"/>
      <c r="AE214" s="32"/>
      <c r="AF214" s="32"/>
      <c r="AG214" s="32"/>
      <c r="AH214" s="127">
        <f t="shared" ref="AH214:AH219" si="193">J205*(K214-K205)</f>
        <v>0</v>
      </c>
      <c r="AI214" s="128">
        <f t="shared" si="177"/>
        <v>0</v>
      </c>
      <c r="AJ214" s="129">
        <f t="shared" si="178"/>
        <v>0</v>
      </c>
    </row>
    <row r="215" spans="1:39" x14ac:dyDescent="0.25">
      <c r="A215" s="119">
        <f t="shared" ref="A215:A219" si="194">A214</f>
        <v>45359</v>
      </c>
      <c r="B215" s="109" t="s">
        <v>99</v>
      </c>
      <c r="C215" s="6" t="s">
        <v>9</v>
      </c>
      <c r="D215" s="7" t="s">
        <v>15</v>
      </c>
      <c r="E215" s="120">
        <v>2138159</v>
      </c>
      <c r="F215" s="130"/>
      <c r="G215" s="122"/>
      <c r="H215" s="123"/>
      <c r="I215" s="120">
        <f t="shared" si="189"/>
        <v>2138159</v>
      </c>
      <c r="J215" s="130">
        <f t="shared" si="190"/>
        <v>0</v>
      </c>
      <c r="K215" s="8">
        <f t="shared" ref="K215:L216" si="195">K214</f>
        <v>983.8</v>
      </c>
      <c r="L215" s="8">
        <f t="shared" si="195"/>
        <v>36927.49</v>
      </c>
      <c r="M215" s="131">
        <f t="shared" si="191"/>
        <v>2138159</v>
      </c>
      <c r="N215" s="126">
        <f t="shared" si="175"/>
        <v>0</v>
      </c>
      <c r="O215" s="32"/>
      <c r="P215" s="32"/>
      <c r="Q215" s="32"/>
      <c r="R215" s="32"/>
      <c r="S215" s="32"/>
      <c r="T215" s="32"/>
      <c r="U215" s="32"/>
      <c r="V215" s="32"/>
      <c r="W215" s="32"/>
      <c r="X215" s="32"/>
      <c r="Y215" s="32"/>
      <c r="Z215" s="32"/>
      <c r="AA215" s="32"/>
      <c r="AB215" s="32"/>
      <c r="AC215" s="32"/>
      <c r="AD215" s="32"/>
      <c r="AE215" s="32"/>
      <c r="AF215" s="32"/>
      <c r="AG215" s="32"/>
      <c r="AH215" s="127">
        <f t="shared" si="193"/>
        <v>0</v>
      </c>
      <c r="AI215" s="128">
        <f t="shared" si="177"/>
        <v>0</v>
      </c>
      <c r="AJ215" s="129">
        <f t="shared" si="178"/>
        <v>0</v>
      </c>
      <c r="AM215" s="119"/>
    </row>
    <row r="216" spans="1:39" x14ac:dyDescent="0.25">
      <c r="A216" s="119">
        <f t="shared" si="194"/>
        <v>45359</v>
      </c>
      <c r="B216" s="109" t="s">
        <v>99</v>
      </c>
      <c r="C216" s="6" t="s">
        <v>9</v>
      </c>
      <c r="D216" s="7" t="s">
        <v>11</v>
      </c>
      <c r="E216" s="120">
        <v>714745</v>
      </c>
      <c r="F216" s="130"/>
      <c r="G216" s="122"/>
      <c r="H216" s="123"/>
      <c r="I216" s="120">
        <f t="shared" si="189"/>
        <v>714745</v>
      </c>
      <c r="J216" s="130">
        <f t="shared" si="190"/>
        <v>0</v>
      </c>
      <c r="K216" s="8">
        <f t="shared" si="195"/>
        <v>983.8</v>
      </c>
      <c r="L216" s="8">
        <f>L215</f>
        <v>36927.49</v>
      </c>
      <c r="M216" s="131">
        <f t="shared" si="191"/>
        <v>714745</v>
      </c>
      <c r="N216" s="126">
        <f t="shared" si="175"/>
        <v>0</v>
      </c>
      <c r="O216" s="32"/>
      <c r="P216" s="32"/>
      <c r="Q216" s="32"/>
      <c r="R216" s="32"/>
      <c r="S216" s="32"/>
      <c r="T216" s="32"/>
      <c r="U216" s="32"/>
      <c r="V216" s="32"/>
      <c r="W216" s="32"/>
      <c r="X216" s="32"/>
      <c r="Y216" s="32"/>
      <c r="Z216" s="32"/>
      <c r="AA216" s="32"/>
      <c r="AB216" s="32"/>
      <c r="AC216" s="32"/>
      <c r="AD216" s="32"/>
      <c r="AE216" s="32"/>
      <c r="AF216" s="32"/>
      <c r="AG216" s="32"/>
      <c r="AH216" s="127">
        <f t="shared" si="193"/>
        <v>0</v>
      </c>
      <c r="AI216" s="128">
        <f t="shared" si="177"/>
        <v>0</v>
      </c>
      <c r="AJ216" s="129">
        <f t="shared" si="178"/>
        <v>0</v>
      </c>
    </row>
    <row r="217" spans="1:39" x14ac:dyDescent="0.25">
      <c r="A217" s="119">
        <f t="shared" si="194"/>
        <v>45359</v>
      </c>
      <c r="B217" s="109" t="s">
        <v>99</v>
      </c>
      <c r="C217" s="6" t="s">
        <v>9</v>
      </c>
      <c r="D217" s="7" t="s">
        <v>10</v>
      </c>
      <c r="E217" s="120"/>
      <c r="F217" s="130">
        <f>215.78+102.72+0.24</f>
        <v>318.74</v>
      </c>
      <c r="G217" s="122"/>
      <c r="H217" s="123"/>
      <c r="I217" s="120">
        <f t="shared" si="189"/>
        <v>0</v>
      </c>
      <c r="J217" s="130">
        <f t="shared" si="190"/>
        <v>318.74</v>
      </c>
      <c r="K217" s="8">
        <f t="shared" ref="K217:L217" si="196">K216</f>
        <v>983.8</v>
      </c>
      <c r="L217" s="8">
        <f t="shared" si="196"/>
        <v>36927.49</v>
      </c>
      <c r="M217" s="131">
        <f t="shared" si="191"/>
        <v>313576.41200000001</v>
      </c>
      <c r="N217" s="126">
        <f t="shared" si="175"/>
        <v>0</v>
      </c>
      <c r="O217" s="32"/>
      <c r="P217" s="32"/>
      <c r="Q217" s="32"/>
      <c r="R217" s="32"/>
      <c r="S217" s="32"/>
      <c r="T217" s="32"/>
      <c r="U217" s="32"/>
      <c r="V217" s="32"/>
      <c r="W217" s="32"/>
      <c r="X217" s="32"/>
      <c r="Y217" s="32"/>
      <c r="Z217" s="32"/>
      <c r="AA217" s="32"/>
      <c r="AB217" s="32"/>
      <c r="AC217" s="32"/>
      <c r="AD217" s="32"/>
      <c r="AE217" s="32"/>
      <c r="AF217" s="32"/>
      <c r="AG217" s="32"/>
      <c r="AH217" s="127">
        <f t="shared" si="193"/>
        <v>0</v>
      </c>
      <c r="AI217" s="128">
        <f t="shared" si="177"/>
        <v>0</v>
      </c>
      <c r="AJ217" s="129">
        <f t="shared" si="178"/>
        <v>0</v>
      </c>
    </row>
    <row r="218" spans="1:39" x14ac:dyDescent="0.25">
      <c r="A218" s="119">
        <f t="shared" si="194"/>
        <v>45359</v>
      </c>
      <c r="B218" s="109" t="s">
        <v>99</v>
      </c>
      <c r="C218" s="6" t="s">
        <v>7</v>
      </c>
      <c r="D218" s="7" t="s">
        <v>16</v>
      </c>
      <c r="E218" s="120"/>
      <c r="F218" s="130">
        <v>948.17</v>
      </c>
      <c r="G218" s="122"/>
      <c r="H218" s="123"/>
      <c r="I218" s="120">
        <f t="shared" si="189"/>
        <v>0</v>
      </c>
      <c r="J218" s="130">
        <f t="shared" si="190"/>
        <v>948.17</v>
      </c>
      <c r="K218" s="8">
        <f t="shared" ref="K218:L218" si="197">K217</f>
        <v>983.8</v>
      </c>
      <c r="L218" s="8">
        <f t="shared" si="197"/>
        <v>36927.49</v>
      </c>
      <c r="M218" s="131">
        <f t="shared" si="191"/>
        <v>932809.64599999995</v>
      </c>
      <c r="N218" s="126">
        <f t="shared" si="175"/>
        <v>0</v>
      </c>
      <c r="O218" s="32"/>
      <c r="P218" s="32"/>
      <c r="Q218" s="32"/>
      <c r="R218" s="32"/>
      <c r="S218" s="32"/>
      <c r="T218" s="32"/>
      <c r="U218" s="32"/>
      <c r="V218" s="32"/>
      <c r="W218" s="32"/>
      <c r="X218" s="32"/>
      <c r="Y218" s="32"/>
      <c r="Z218" s="32"/>
      <c r="AA218" s="32"/>
      <c r="AB218" s="32"/>
      <c r="AC218" s="32"/>
      <c r="AD218" s="32"/>
      <c r="AE218" s="32"/>
      <c r="AF218" s="32"/>
      <c r="AG218" s="32"/>
      <c r="AH218" s="127">
        <f t="shared" si="193"/>
        <v>0</v>
      </c>
      <c r="AI218" s="128">
        <f t="shared" si="177"/>
        <v>0</v>
      </c>
      <c r="AJ218" s="129">
        <f t="shared" si="178"/>
        <v>0</v>
      </c>
    </row>
    <row r="219" spans="1:39" s="142" customFormat="1" x14ac:dyDescent="0.25">
      <c r="A219" s="133">
        <f t="shared" si="194"/>
        <v>45359</v>
      </c>
      <c r="B219" s="110" t="s">
        <v>99</v>
      </c>
      <c r="C219" s="45" t="s">
        <v>8</v>
      </c>
      <c r="D219" s="46" t="s">
        <v>16</v>
      </c>
      <c r="E219" s="134"/>
      <c r="F219" s="135">
        <v>345</v>
      </c>
      <c r="G219" s="134"/>
      <c r="H219" s="135"/>
      <c r="I219" s="134">
        <f t="shared" si="189"/>
        <v>0</v>
      </c>
      <c r="J219" s="135">
        <f t="shared" si="190"/>
        <v>345</v>
      </c>
      <c r="K219" s="47">
        <f t="shared" ref="K219:L219" si="198">K218</f>
        <v>983.8</v>
      </c>
      <c r="L219" s="47">
        <f t="shared" si="198"/>
        <v>36927.49</v>
      </c>
      <c r="M219" s="136">
        <f t="shared" si="191"/>
        <v>339411</v>
      </c>
      <c r="N219" s="137">
        <f t="shared" si="175"/>
        <v>11018.559999999998</v>
      </c>
      <c r="O219" s="138"/>
      <c r="P219" s="138"/>
      <c r="Q219" s="138"/>
      <c r="R219" s="138"/>
      <c r="S219" s="138"/>
      <c r="T219" s="138"/>
      <c r="U219" s="138"/>
      <c r="V219" s="138"/>
      <c r="W219" s="138"/>
      <c r="X219" s="138"/>
      <c r="Y219" s="138"/>
      <c r="Z219" s="138"/>
      <c r="AA219" s="138"/>
      <c r="AB219" s="138"/>
      <c r="AC219" s="138"/>
      <c r="AD219" s="138"/>
      <c r="AE219" s="138"/>
      <c r="AF219" s="138"/>
      <c r="AG219" s="138"/>
      <c r="AH219" s="139">
        <f t="shared" si="193"/>
        <v>0</v>
      </c>
      <c r="AI219" s="140">
        <f t="shared" si="177"/>
        <v>11018.559999999998</v>
      </c>
      <c r="AJ219" s="141">
        <f t="shared" si="178"/>
        <v>0</v>
      </c>
    </row>
    <row r="220" spans="1:39" x14ac:dyDescent="0.25">
      <c r="A220" s="119">
        <v>45362</v>
      </c>
      <c r="B220" s="109" t="s">
        <v>99</v>
      </c>
      <c r="C220" s="6" t="s">
        <v>5</v>
      </c>
      <c r="D220" s="7" t="s">
        <v>6</v>
      </c>
      <c r="E220" s="120">
        <v>6303111</v>
      </c>
      <c r="F220" s="130"/>
      <c r="G220" s="120"/>
      <c r="H220" s="130"/>
      <c r="I220" s="120">
        <f t="shared" ref="I220" si="199">E220+G220</f>
        <v>6303111</v>
      </c>
      <c r="J220" s="130">
        <f t="shared" ref="J220:J228" si="200">F220+H220</f>
        <v>0</v>
      </c>
      <c r="K220" s="42">
        <f>VLOOKUP($A220+1,MarketData!$D:$ZZ,MATCH(K$1,MarketData!$D$1:$ZZ$1,0))</f>
        <v>966.29</v>
      </c>
      <c r="L220" s="42">
        <f>VLOOKUP($A220,MarketData!$D:$ZZ,MATCH(L$1,MarketData!$D$1:$ZZ$1,0))</f>
        <v>36950.639999999999</v>
      </c>
      <c r="M220" s="131">
        <f t="shared" ref="M220" si="201">I220+J220*K220</f>
        <v>6303111</v>
      </c>
      <c r="N220" s="126">
        <f t="shared" si="175"/>
        <v>-56492</v>
      </c>
      <c r="O220" s="32"/>
      <c r="P220" s="32"/>
      <c r="Q220" s="32"/>
      <c r="R220" s="32">
        <v>-56492</v>
      </c>
      <c r="S220" s="32"/>
      <c r="T220" s="32"/>
      <c r="U220" s="32"/>
      <c r="V220" s="32"/>
      <c r="W220" s="32"/>
      <c r="X220" s="32"/>
      <c r="Y220" s="32"/>
      <c r="Z220" s="32"/>
      <c r="AA220" s="32"/>
      <c r="AB220" s="32"/>
      <c r="AC220" s="32"/>
      <c r="AD220" s="32"/>
      <c r="AE220" s="32"/>
      <c r="AF220" s="32"/>
      <c r="AG220" s="32"/>
      <c r="AH220" s="127">
        <f>J220*(K220-K212)</f>
        <v>0</v>
      </c>
      <c r="AI220" s="128">
        <f t="shared" si="177"/>
        <v>0</v>
      </c>
      <c r="AJ220" s="129">
        <f t="shared" si="178"/>
        <v>0</v>
      </c>
    </row>
    <row r="221" spans="1:39" x14ac:dyDescent="0.25">
      <c r="A221" s="119">
        <f>A220</f>
        <v>45362</v>
      </c>
      <c r="B221" s="109" t="s">
        <v>99</v>
      </c>
      <c r="C221" s="6" t="s">
        <v>5</v>
      </c>
      <c r="D221" s="7" t="s">
        <v>26</v>
      </c>
      <c r="E221" s="120">
        <v>9369899</v>
      </c>
      <c r="F221" s="130">
        <v>8000</v>
      </c>
      <c r="G221" s="122">
        <v>-10000000</v>
      </c>
      <c r="H221" s="123">
        <v>-8000</v>
      </c>
      <c r="I221" s="120">
        <f>E221+G221</f>
        <v>-630101</v>
      </c>
      <c r="J221" s="130">
        <f t="shared" si="200"/>
        <v>0</v>
      </c>
      <c r="K221" s="8">
        <f>K220</f>
        <v>966.29</v>
      </c>
      <c r="L221" s="8">
        <f>L220</f>
        <v>36950.639999999999</v>
      </c>
      <c r="M221" s="131">
        <f>I221+J221*K221</f>
        <v>-630101</v>
      </c>
      <c r="N221" s="126">
        <f t="shared" si="175"/>
        <v>-189060</v>
      </c>
      <c r="O221" s="32"/>
      <c r="P221" s="32"/>
      <c r="Q221" s="32"/>
      <c r="R221" s="32"/>
      <c r="S221" s="32"/>
      <c r="T221" s="32">
        <v>-42232</v>
      </c>
      <c r="U221" s="32">
        <f>-23890-32030-5470-24330-31750</f>
        <v>-117470</v>
      </c>
      <c r="V221" s="32"/>
      <c r="W221" s="32"/>
      <c r="X221" s="32"/>
      <c r="Y221" s="32"/>
      <c r="Z221" s="32">
        <f>-7696-6441</f>
        <v>-14137</v>
      </c>
      <c r="AA221" s="32">
        <v>-15221</v>
      </c>
      <c r="AB221" s="32"/>
      <c r="AC221" s="32"/>
      <c r="AD221" s="32"/>
      <c r="AE221" s="32"/>
      <c r="AF221" s="32"/>
      <c r="AG221" s="32"/>
      <c r="AH221" s="127">
        <f>J221*(K221-K213)</f>
        <v>0</v>
      </c>
      <c r="AI221" s="128">
        <f t="shared" si="177"/>
        <v>0</v>
      </c>
      <c r="AJ221" s="129">
        <f t="shared" si="178"/>
        <v>0</v>
      </c>
    </row>
    <row r="222" spans="1:39" x14ac:dyDescent="0.25">
      <c r="A222" s="119">
        <f>A221</f>
        <v>45362</v>
      </c>
      <c r="B222" s="109" t="s">
        <v>99</v>
      </c>
      <c r="C222" s="6" t="s">
        <v>5</v>
      </c>
      <c r="D222" s="7" t="s">
        <v>80</v>
      </c>
      <c r="E222" s="120">
        <v>14996830</v>
      </c>
      <c r="F222" s="130"/>
      <c r="G222" s="122">
        <v>-15000000</v>
      </c>
      <c r="H222" s="123"/>
      <c r="I222" s="120">
        <f t="shared" ref="I222:I229" si="202">E222+G222</f>
        <v>-3170</v>
      </c>
      <c r="J222" s="130">
        <f t="shared" si="200"/>
        <v>0</v>
      </c>
      <c r="K222" s="8">
        <f>K221</f>
        <v>966.29</v>
      </c>
      <c r="L222" s="8">
        <f>L221</f>
        <v>36950.639999999999</v>
      </c>
      <c r="M222" s="131">
        <f t="shared" ref="M222:M229" si="203">I222+J222*K222</f>
        <v>-3170</v>
      </c>
      <c r="N222" s="126">
        <f t="shared" si="175"/>
        <v>-3170</v>
      </c>
      <c r="O222" s="32"/>
      <c r="P222" s="32"/>
      <c r="Q222" s="32"/>
      <c r="R222" s="32"/>
      <c r="S222" s="32"/>
      <c r="T222" s="32"/>
      <c r="U222" s="32"/>
      <c r="V222" s="32"/>
      <c r="W222" s="32">
        <f>-990-2180</f>
        <v>-3170</v>
      </c>
      <c r="X222" s="32"/>
      <c r="Y222" s="32"/>
      <c r="Z222" s="32"/>
      <c r="AA222" s="32"/>
      <c r="AB222" s="32"/>
      <c r="AC222" s="32"/>
      <c r="AD222" s="32"/>
      <c r="AE222" s="32"/>
      <c r="AF222" s="32"/>
      <c r="AG222" s="32"/>
      <c r="AH222" s="127">
        <f>J222*(K222-K214)</f>
        <v>0</v>
      </c>
      <c r="AI222" s="128">
        <f t="shared" si="177"/>
        <v>0</v>
      </c>
      <c r="AJ222" s="129">
        <f t="shared" si="178"/>
        <v>0</v>
      </c>
    </row>
    <row r="223" spans="1:39" x14ac:dyDescent="0.25">
      <c r="A223" s="119">
        <f>A221</f>
        <v>45362</v>
      </c>
      <c r="B223" s="109" t="s">
        <v>99</v>
      </c>
      <c r="C223" s="6" t="s">
        <v>9</v>
      </c>
      <c r="D223" s="7" t="s">
        <v>12</v>
      </c>
      <c r="E223" s="120">
        <v>5921632</v>
      </c>
      <c r="F223" s="130"/>
      <c r="G223" s="122"/>
      <c r="H223" s="123"/>
      <c r="I223" s="120">
        <f t="shared" si="202"/>
        <v>5921632</v>
      </c>
      <c r="J223" s="130">
        <f t="shared" si="200"/>
        <v>0</v>
      </c>
      <c r="K223" s="8">
        <f t="shared" ref="K223:L223" si="204">K221</f>
        <v>966.29</v>
      </c>
      <c r="L223" s="8">
        <f t="shared" si="204"/>
        <v>36950.639999999999</v>
      </c>
      <c r="M223" s="131">
        <f t="shared" si="203"/>
        <v>5921632</v>
      </c>
      <c r="N223" s="126">
        <f t="shared" si="175"/>
        <v>4775</v>
      </c>
      <c r="O223" s="32"/>
      <c r="P223" s="32"/>
      <c r="Q223" s="32"/>
      <c r="R223" s="32"/>
      <c r="S223" s="32"/>
      <c r="T223" s="32"/>
      <c r="U223" s="32"/>
      <c r="V223" s="32"/>
      <c r="W223" s="32"/>
      <c r="X223" s="32"/>
      <c r="Y223" s="32"/>
      <c r="Z223" s="32"/>
      <c r="AA223" s="32"/>
      <c r="AB223" s="32"/>
      <c r="AC223" s="32"/>
      <c r="AD223" s="32"/>
      <c r="AE223" s="32"/>
      <c r="AF223" s="32"/>
      <c r="AG223" s="32"/>
      <c r="AH223" s="127">
        <f t="shared" ref="AH223:AH228" si="205">J214*(K223-K214)</f>
        <v>0</v>
      </c>
      <c r="AI223" s="128">
        <f t="shared" si="177"/>
        <v>4775</v>
      </c>
      <c r="AJ223" s="129">
        <f t="shared" si="178"/>
        <v>0</v>
      </c>
    </row>
    <row r="224" spans="1:39" x14ac:dyDescent="0.25">
      <c r="A224" s="119">
        <f t="shared" ref="A224:A228" si="206">A223</f>
        <v>45362</v>
      </c>
      <c r="B224" s="109" t="s">
        <v>99</v>
      </c>
      <c r="C224" s="6" t="s">
        <v>9</v>
      </c>
      <c r="D224" s="7" t="s">
        <v>15</v>
      </c>
      <c r="E224" s="120">
        <v>2072991</v>
      </c>
      <c r="F224" s="130"/>
      <c r="G224" s="122"/>
      <c r="H224" s="123"/>
      <c r="I224" s="120">
        <f t="shared" si="202"/>
        <v>2072991</v>
      </c>
      <c r="J224" s="130">
        <f t="shared" si="200"/>
        <v>0</v>
      </c>
      <c r="K224" s="8">
        <f t="shared" ref="K224:L224" si="207">K223</f>
        <v>966.29</v>
      </c>
      <c r="L224" s="8">
        <f t="shared" si="207"/>
        <v>36950.639999999999</v>
      </c>
      <c r="M224" s="131">
        <f t="shared" si="203"/>
        <v>2072991</v>
      </c>
      <c r="N224" s="126">
        <f t="shared" si="175"/>
        <v>-65168</v>
      </c>
      <c r="O224" s="32"/>
      <c r="P224" s="32"/>
      <c r="Q224" s="32"/>
      <c r="R224" s="32"/>
      <c r="S224" s="32"/>
      <c r="T224" s="32"/>
      <c r="U224" s="32"/>
      <c r="V224" s="32"/>
      <c r="W224" s="32"/>
      <c r="X224" s="32"/>
      <c r="Y224" s="32"/>
      <c r="Z224" s="32"/>
      <c r="AA224" s="32"/>
      <c r="AB224" s="32"/>
      <c r="AC224" s="32"/>
      <c r="AD224" s="32"/>
      <c r="AE224" s="32"/>
      <c r="AF224" s="32"/>
      <c r="AG224" s="32"/>
      <c r="AH224" s="127">
        <f t="shared" si="205"/>
        <v>0</v>
      </c>
      <c r="AI224" s="128">
        <f t="shared" si="177"/>
        <v>-65168</v>
      </c>
      <c r="AJ224" s="129">
        <f t="shared" si="178"/>
        <v>0</v>
      </c>
      <c r="AM224" s="119"/>
    </row>
    <row r="225" spans="1:39" x14ac:dyDescent="0.25">
      <c r="A225" s="119">
        <f t="shared" si="206"/>
        <v>45362</v>
      </c>
      <c r="B225" s="109" t="s">
        <v>99</v>
      </c>
      <c r="C225" s="6" t="s">
        <v>9</v>
      </c>
      <c r="D225" s="7" t="s">
        <v>11</v>
      </c>
      <c r="E225" s="120">
        <v>703810</v>
      </c>
      <c r="F225" s="130"/>
      <c r="G225" s="122"/>
      <c r="H225" s="123"/>
      <c r="I225" s="120">
        <f t="shared" si="202"/>
        <v>703810</v>
      </c>
      <c r="J225" s="130">
        <f t="shared" si="200"/>
        <v>0</v>
      </c>
      <c r="K225" s="8">
        <f t="shared" ref="K225" si="208">K224</f>
        <v>966.29</v>
      </c>
      <c r="L225" s="8">
        <f>L224</f>
        <v>36950.639999999999</v>
      </c>
      <c r="M225" s="131">
        <f t="shared" si="203"/>
        <v>703810</v>
      </c>
      <c r="N225" s="126">
        <f t="shared" si="175"/>
        <v>-10935</v>
      </c>
      <c r="O225" s="32"/>
      <c r="P225" s="32"/>
      <c r="Q225" s="32"/>
      <c r="R225" s="32"/>
      <c r="S225" s="32"/>
      <c r="T225" s="32"/>
      <c r="U225" s="32"/>
      <c r="V225" s="32"/>
      <c r="W225" s="32"/>
      <c r="X225" s="32"/>
      <c r="Y225" s="32"/>
      <c r="Z225" s="32"/>
      <c r="AA225" s="32"/>
      <c r="AB225" s="32"/>
      <c r="AC225" s="32"/>
      <c r="AD225" s="32"/>
      <c r="AE225" s="32"/>
      <c r="AF225" s="32"/>
      <c r="AG225" s="32"/>
      <c r="AH225" s="127">
        <f t="shared" si="205"/>
        <v>0</v>
      </c>
      <c r="AI225" s="128">
        <f t="shared" si="177"/>
        <v>-10935</v>
      </c>
      <c r="AJ225" s="129">
        <f t="shared" si="178"/>
        <v>0</v>
      </c>
    </row>
    <row r="226" spans="1:39" x14ac:dyDescent="0.25">
      <c r="A226" s="119">
        <f t="shared" si="206"/>
        <v>45362</v>
      </c>
      <c r="B226" s="109" t="s">
        <v>99</v>
      </c>
      <c r="C226" s="6" t="s">
        <v>9</v>
      </c>
      <c r="D226" s="7" t="s">
        <v>10</v>
      </c>
      <c r="E226" s="120"/>
      <c r="F226" s="130">
        <f>214.29+105.86+0.24</f>
        <v>320.39</v>
      </c>
      <c r="G226" s="122"/>
      <c r="H226" s="123"/>
      <c r="I226" s="120">
        <f t="shared" si="202"/>
        <v>0</v>
      </c>
      <c r="J226" s="130">
        <f t="shared" si="200"/>
        <v>320.39</v>
      </c>
      <c r="K226" s="8">
        <f t="shared" ref="K226:L226" si="209">K225</f>
        <v>966.29</v>
      </c>
      <c r="L226" s="8">
        <f t="shared" si="209"/>
        <v>36950.639999999999</v>
      </c>
      <c r="M226" s="131">
        <f t="shared" si="203"/>
        <v>309589.6531</v>
      </c>
      <c r="N226" s="126">
        <f t="shared" si="175"/>
        <v>-3986.7589000000153</v>
      </c>
      <c r="O226" s="32"/>
      <c r="P226" s="32"/>
      <c r="Q226" s="32"/>
      <c r="R226" s="32"/>
      <c r="S226" s="32"/>
      <c r="T226" s="32"/>
      <c r="U226" s="32"/>
      <c r="V226" s="32"/>
      <c r="W226" s="32"/>
      <c r="X226" s="32"/>
      <c r="Y226" s="32"/>
      <c r="Z226" s="32"/>
      <c r="AA226" s="32"/>
      <c r="AB226" s="32"/>
      <c r="AC226" s="32"/>
      <c r="AD226" s="32"/>
      <c r="AE226" s="32"/>
      <c r="AF226" s="32"/>
      <c r="AG226" s="32"/>
      <c r="AH226" s="127">
        <f t="shared" si="205"/>
        <v>-5581.1373999999969</v>
      </c>
      <c r="AI226" s="128">
        <f t="shared" si="177"/>
        <v>1594.3784999999816</v>
      </c>
      <c r="AJ226" s="129">
        <f t="shared" si="178"/>
        <v>0</v>
      </c>
    </row>
    <row r="227" spans="1:39" x14ac:dyDescent="0.25">
      <c r="A227" s="119">
        <f t="shared" si="206"/>
        <v>45362</v>
      </c>
      <c r="B227" s="109" t="s">
        <v>99</v>
      </c>
      <c r="C227" s="6" t="s">
        <v>7</v>
      </c>
      <c r="D227" s="7" t="s">
        <v>16</v>
      </c>
      <c r="E227" s="120"/>
      <c r="F227" s="130">
        <v>963.79</v>
      </c>
      <c r="G227" s="122"/>
      <c r="H227" s="123"/>
      <c r="I227" s="120">
        <f t="shared" si="202"/>
        <v>0</v>
      </c>
      <c r="J227" s="130">
        <f t="shared" si="200"/>
        <v>963.79</v>
      </c>
      <c r="K227" s="8">
        <f t="shared" ref="K227:L227" si="210">K226</f>
        <v>966.29</v>
      </c>
      <c r="L227" s="8">
        <f t="shared" si="210"/>
        <v>36950.639999999999</v>
      </c>
      <c r="M227" s="131">
        <f t="shared" si="203"/>
        <v>931300.63909999991</v>
      </c>
      <c r="N227" s="126">
        <f t="shared" si="175"/>
        <v>-1509.0069000000367</v>
      </c>
      <c r="O227" s="32"/>
      <c r="P227" s="32"/>
      <c r="Q227" s="32"/>
      <c r="R227" s="32"/>
      <c r="S227" s="32"/>
      <c r="T227" s="32"/>
      <c r="U227" s="32"/>
      <c r="V227" s="32"/>
      <c r="W227" s="32"/>
      <c r="X227" s="32"/>
      <c r="Y227" s="32"/>
      <c r="Z227" s="32"/>
      <c r="AA227" s="32"/>
      <c r="AB227" s="32"/>
      <c r="AC227" s="32"/>
      <c r="AD227" s="32"/>
      <c r="AE227" s="32"/>
      <c r="AF227" s="32"/>
      <c r="AG227" s="32"/>
      <c r="AH227" s="127">
        <f t="shared" si="205"/>
        <v>-16602.456699999992</v>
      </c>
      <c r="AI227" s="128">
        <f t="shared" si="177"/>
        <v>15093.449799999955</v>
      </c>
      <c r="AJ227" s="129">
        <f t="shared" si="178"/>
        <v>0</v>
      </c>
    </row>
    <row r="228" spans="1:39" s="142" customFormat="1" x14ac:dyDescent="0.25">
      <c r="A228" s="133">
        <f t="shared" si="206"/>
        <v>45362</v>
      </c>
      <c r="B228" s="110" t="s">
        <v>99</v>
      </c>
      <c r="C228" s="45" t="s">
        <v>8</v>
      </c>
      <c r="D228" s="46" t="s">
        <v>16</v>
      </c>
      <c r="E228" s="134"/>
      <c r="F228" s="135">
        <v>447.23</v>
      </c>
      <c r="G228" s="134"/>
      <c r="H228" s="135"/>
      <c r="I228" s="134">
        <f t="shared" si="202"/>
        <v>0</v>
      </c>
      <c r="J228" s="135">
        <f t="shared" si="200"/>
        <v>447.23</v>
      </c>
      <c r="K228" s="47">
        <f t="shared" ref="K228:L228" si="211">K227</f>
        <v>966.29</v>
      </c>
      <c r="L228" s="47">
        <f t="shared" si="211"/>
        <v>36950.639999999999</v>
      </c>
      <c r="M228" s="136">
        <f t="shared" si="203"/>
        <v>432153.87670000002</v>
      </c>
      <c r="N228" s="137">
        <f t="shared" si="175"/>
        <v>92742.876700000023</v>
      </c>
      <c r="O228" s="138"/>
      <c r="P228" s="138"/>
      <c r="Q228" s="138"/>
      <c r="R228" s="138"/>
      <c r="S228" s="138"/>
      <c r="T228" s="138"/>
      <c r="U228" s="138"/>
      <c r="V228" s="138"/>
      <c r="W228" s="138"/>
      <c r="X228" s="138"/>
      <c r="Y228" s="138"/>
      <c r="Z228" s="138"/>
      <c r="AA228" s="138"/>
      <c r="AB228" s="138"/>
      <c r="AC228" s="138"/>
      <c r="AD228" s="138"/>
      <c r="AE228" s="138"/>
      <c r="AF228" s="138"/>
      <c r="AG228" s="138"/>
      <c r="AH228" s="139">
        <f t="shared" si="205"/>
        <v>-6040.9499999999971</v>
      </c>
      <c r="AI228" s="140">
        <f t="shared" si="177"/>
        <v>98783.82670000002</v>
      </c>
      <c r="AJ228" s="141">
        <f t="shared" si="178"/>
        <v>0</v>
      </c>
    </row>
    <row r="229" spans="1:39" x14ac:dyDescent="0.25">
      <c r="A229" s="119">
        <v>45363</v>
      </c>
      <c r="B229" s="109" t="s">
        <v>99</v>
      </c>
      <c r="C229" s="6" t="s">
        <v>5</v>
      </c>
      <c r="D229" s="7" t="s">
        <v>6</v>
      </c>
      <c r="E229" s="120">
        <v>6287486</v>
      </c>
      <c r="F229" s="130"/>
      <c r="G229" s="120"/>
      <c r="H229" s="130"/>
      <c r="I229" s="120">
        <f t="shared" si="202"/>
        <v>6287486</v>
      </c>
      <c r="J229" s="130">
        <f t="shared" ref="J229:J237" si="212">F229+H229</f>
        <v>0</v>
      </c>
      <c r="K229" s="42">
        <f>VLOOKUP($A229+1,MarketData!$D:$ZZ,MATCH(K$1,MarketData!$D$1:$ZZ$1,0))</f>
        <v>965.18</v>
      </c>
      <c r="L229" s="42">
        <f>VLOOKUP($A229,MarketData!$D:$ZZ,MATCH(L$1,MarketData!$D$1:$ZZ$1,0))</f>
        <v>36957.769999999997</v>
      </c>
      <c r="M229" s="131">
        <f t="shared" si="203"/>
        <v>6287486</v>
      </c>
      <c r="N229" s="126">
        <f t="shared" si="175"/>
        <v>-15625</v>
      </c>
      <c r="O229" s="32"/>
      <c r="P229" s="32"/>
      <c r="Q229" s="32"/>
      <c r="R229" s="32"/>
      <c r="S229" s="32"/>
      <c r="T229" s="32"/>
      <c r="U229" s="32"/>
      <c r="V229" s="32">
        <v>-15625</v>
      </c>
      <c r="W229" s="32"/>
      <c r="X229" s="32"/>
      <c r="Y229" s="32"/>
      <c r="Z229" s="32"/>
      <c r="AA229" s="32"/>
      <c r="AB229" s="32"/>
      <c r="AC229" s="32"/>
      <c r="AD229" s="32"/>
      <c r="AE229" s="32"/>
      <c r="AF229" s="32"/>
      <c r="AG229" s="32"/>
      <c r="AH229" s="127">
        <f>J229*(K229-K221)</f>
        <v>0</v>
      </c>
      <c r="AI229" s="128">
        <f t="shared" si="177"/>
        <v>0</v>
      </c>
      <c r="AJ229" s="129">
        <f t="shared" si="178"/>
        <v>0</v>
      </c>
    </row>
    <row r="230" spans="1:39" x14ac:dyDescent="0.25">
      <c r="A230" s="119">
        <f>A231</f>
        <v>45363</v>
      </c>
      <c r="B230" s="109" t="s">
        <v>99</v>
      </c>
      <c r="C230" s="6" t="s">
        <v>5</v>
      </c>
      <c r="D230" s="7" t="s">
        <v>80</v>
      </c>
      <c r="E230" s="120">
        <v>14985450</v>
      </c>
      <c r="F230" s="130"/>
      <c r="G230" s="122">
        <v>-15000000</v>
      </c>
      <c r="H230" s="123"/>
      <c r="I230" s="120">
        <f>E230+G230</f>
        <v>-14550</v>
      </c>
      <c r="J230" s="130">
        <f>F230+H230</f>
        <v>0</v>
      </c>
      <c r="K230" s="8">
        <f>K231</f>
        <v>965.18</v>
      </c>
      <c r="L230" s="8">
        <f>L231</f>
        <v>36957.769999999997</v>
      </c>
      <c r="M230" s="131">
        <f>I230+J230*K230</f>
        <v>-14550</v>
      </c>
      <c r="N230" s="126">
        <f t="shared" si="175"/>
        <v>-11380</v>
      </c>
      <c r="O230" s="32"/>
      <c r="P230" s="32"/>
      <c r="Q230" s="32"/>
      <c r="R230" s="32"/>
      <c r="S230" s="32"/>
      <c r="T230" s="32"/>
      <c r="U230" s="32"/>
      <c r="V230" s="32"/>
      <c r="W230" s="32">
        <v>-1390</v>
      </c>
      <c r="X230" s="32"/>
      <c r="Y230" s="32"/>
      <c r="Z230" s="32"/>
      <c r="AA230" s="32"/>
      <c r="AB230" s="32">
        <v>-9990</v>
      </c>
      <c r="AC230" s="32"/>
      <c r="AD230" s="32"/>
      <c r="AE230" s="32"/>
      <c r="AF230" s="32"/>
      <c r="AG230" s="32"/>
      <c r="AH230" s="127">
        <f>J230*(K230-K223)</f>
        <v>0</v>
      </c>
      <c r="AI230" s="128">
        <f t="shared" si="177"/>
        <v>0</v>
      </c>
      <c r="AJ230" s="129">
        <f t="shared" si="178"/>
        <v>0</v>
      </c>
    </row>
    <row r="231" spans="1:39" x14ac:dyDescent="0.25">
      <c r="A231" s="119">
        <f>A229</f>
        <v>45363</v>
      </c>
      <c r="B231" s="109" t="s">
        <v>99</v>
      </c>
      <c r="C231" s="6" t="s">
        <v>5</v>
      </c>
      <c r="D231" s="7" t="s">
        <v>26</v>
      </c>
      <c r="E231" s="120">
        <v>9363395</v>
      </c>
      <c r="F231" s="130">
        <v>8000</v>
      </c>
      <c r="G231" s="122">
        <v>-10000000</v>
      </c>
      <c r="H231" s="123">
        <v>-8000</v>
      </c>
      <c r="I231" s="120">
        <f>E231+G231</f>
        <v>-636605</v>
      </c>
      <c r="J231" s="130">
        <f t="shared" si="212"/>
        <v>0</v>
      </c>
      <c r="K231" s="8">
        <f>K229</f>
        <v>965.18</v>
      </c>
      <c r="L231" s="8">
        <f>L229</f>
        <v>36957.769999999997</v>
      </c>
      <c r="M231" s="131">
        <f>I231+J231*K231</f>
        <v>-636605</v>
      </c>
      <c r="N231" s="126">
        <f t="shared" si="175"/>
        <v>-6504</v>
      </c>
      <c r="O231" s="32"/>
      <c r="P231" s="32"/>
      <c r="Q231" s="32"/>
      <c r="R231" s="32"/>
      <c r="S231" s="32"/>
      <c r="T231" s="32"/>
      <c r="U231" s="32"/>
      <c r="V231" s="32"/>
      <c r="W231" s="32">
        <v>-1190</v>
      </c>
      <c r="X231" s="32"/>
      <c r="Y231" s="32"/>
      <c r="Z231" s="32">
        <v>-5314</v>
      </c>
      <c r="AA231" s="32"/>
      <c r="AB231" s="32"/>
      <c r="AC231" s="32"/>
      <c r="AD231" s="32"/>
      <c r="AE231" s="32"/>
      <c r="AF231" s="32"/>
      <c r="AG231" s="32"/>
      <c r="AH231" s="127">
        <f>J231*(K231-K222)</f>
        <v>0</v>
      </c>
      <c r="AI231" s="128">
        <f t="shared" si="177"/>
        <v>0</v>
      </c>
      <c r="AJ231" s="129">
        <f t="shared" si="178"/>
        <v>0</v>
      </c>
    </row>
    <row r="232" spans="1:39" x14ac:dyDescent="0.25">
      <c r="A232" s="119">
        <f>A231</f>
        <v>45363</v>
      </c>
      <c r="B232" s="109" t="s">
        <v>99</v>
      </c>
      <c r="C232" s="6" t="s">
        <v>9</v>
      </c>
      <c r="D232" s="7" t="s">
        <v>12</v>
      </c>
      <c r="E232" s="120">
        <v>5922981</v>
      </c>
      <c r="F232" s="130"/>
      <c r="G232" s="122"/>
      <c r="H232" s="123"/>
      <c r="I232" s="120">
        <f t="shared" ref="I232:I238" si="213">E232+G232</f>
        <v>5922981</v>
      </c>
      <c r="J232" s="130">
        <f t="shared" si="212"/>
        <v>0</v>
      </c>
      <c r="K232" s="8">
        <f>K231</f>
        <v>965.18</v>
      </c>
      <c r="L232" s="8">
        <f>L231</f>
        <v>36957.769999999997</v>
      </c>
      <c r="M232" s="131">
        <f t="shared" ref="M232:M238" si="214">I232+J232*K232</f>
        <v>5922981</v>
      </c>
      <c r="N232" s="126">
        <f t="shared" si="175"/>
        <v>1349</v>
      </c>
      <c r="O232" s="32"/>
      <c r="P232" s="32"/>
      <c r="Q232" s="32"/>
      <c r="R232" s="32"/>
      <c r="S232" s="32"/>
      <c r="T232" s="32"/>
      <c r="U232" s="32"/>
      <c r="V232" s="32"/>
      <c r="W232" s="32"/>
      <c r="X232" s="32"/>
      <c r="Y232" s="32"/>
      <c r="Z232" s="32"/>
      <c r="AA232" s="32"/>
      <c r="AB232" s="32"/>
      <c r="AC232" s="32"/>
      <c r="AD232" s="32"/>
      <c r="AE232" s="32"/>
      <c r="AF232" s="32"/>
      <c r="AG232" s="32"/>
      <c r="AH232" s="127">
        <f t="shared" ref="AH232:AH237" si="215">J223*(K232-K223)</f>
        <v>0</v>
      </c>
      <c r="AI232" s="128">
        <f t="shared" si="177"/>
        <v>1349</v>
      </c>
      <c r="AJ232" s="129">
        <f t="shared" si="178"/>
        <v>0</v>
      </c>
    </row>
    <row r="233" spans="1:39" x14ac:dyDescent="0.25">
      <c r="A233" s="119">
        <f t="shared" ref="A233:A237" si="216">A232</f>
        <v>45363</v>
      </c>
      <c r="B233" s="109" t="s">
        <v>99</v>
      </c>
      <c r="C233" s="6" t="s">
        <v>9</v>
      </c>
      <c r="D233" s="7" t="s">
        <v>15</v>
      </c>
      <c r="E233" s="120">
        <v>2094080</v>
      </c>
      <c r="F233" s="130"/>
      <c r="G233" s="122"/>
      <c r="H233" s="123"/>
      <c r="I233" s="120">
        <f t="shared" si="213"/>
        <v>2094080</v>
      </c>
      <c r="J233" s="130">
        <f t="shared" si="212"/>
        <v>0</v>
      </c>
      <c r="K233" s="8">
        <f t="shared" ref="K233:L234" si="217">K232</f>
        <v>965.18</v>
      </c>
      <c r="L233" s="8">
        <f t="shared" si="217"/>
        <v>36957.769999999997</v>
      </c>
      <c r="M233" s="131">
        <f t="shared" si="214"/>
        <v>2094080</v>
      </c>
      <c r="N233" s="126">
        <f t="shared" si="175"/>
        <v>21089</v>
      </c>
      <c r="O233" s="32"/>
      <c r="P233" s="32"/>
      <c r="Q233" s="32"/>
      <c r="R233" s="32"/>
      <c r="S233" s="32"/>
      <c r="T233" s="32"/>
      <c r="U233" s="32"/>
      <c r="V233" s="32"/>
      <c r="W233" s="32"/>
      <c r="X233" s="32"/>
      <c r="Y233" s="32"/>
      <c r="Z233" s="32"/>
      <c r="AA233" s="32"/>
      <c r="AB233" s="32"/>
      <c r="AC233" s="32"/>
      <c r="AD233" s="32"/>
      <c r="AE233" s="32"/>
      <c r="AF233" s="32"/>
      <c r="AG233" s="32"/>
      <c r="AH233" s="127">
        <f t="shared" si="215"/>
        <v>0</v>
      </c>
      <c r="AI233" s="128">
        <f t="shared" si="177"/>
        <v>21089</v>
      </c>
      <c r="AJ233" s="129">
        <f t="shared" si="178"/>
        <v>0</v>
      </c>
      <c r="AM233" s="119"/>
    </row>
    <row r="234" spans="1:39" x14ac:dyDescent="0.25">
      <c r="A234" s="119">
        <f t="shared" si="216"/>
        <v>45363</v>
      </c>
      <c r="B234" s="109" t="s">
        <v>99</v>
      </c>
      <c r="C234" s="6" t="s">
        <v>9</v>
      </c>
      <c r="D234" s="7" t="s">
        <v>11</v>
      </c>
      <c r="E234" s="120">
        <v>708051</v>
      </c>
      <c r="F234" s="130"/>
      <c r="G234" s="122"/>
      <c r="H234" s="123"/>
      <c r="I234" s="120">
        <f t="shared" si="213"/>
        <v>708051</v>
      </c>
      <c r="J234" s="130">
        <f t="shared" si="212"/>
        <v>0</v>
      </c>
      <c r="K234" s="8">
        <f t="shared" si="217"/>
        <v>965.18</v>
      </c>
      <c r="L234" s="8">
        <f>L233</f>
        <v>36957.769999999997</v>
      </c>
      <c r="M234" s="131">
        <f t="shared" si="214"/>
        <v>708051</v>
      </c>
      <c r="N234" s="126">
        <f t="shared" si="175"/>
        <v>4241</v>
      </c>
      <c r="O234" s="32"/>
      <c r="P234" s="32"/>
      <c r="Q234" s="32"/>
      <c r="R234" s="32"/>
      <c r="S234" s="32"/>
      <c r="T234" s="32"/>
      <c r="U234" s="32"/>
      <c r="V234" s="32"/>
      <c r="W234" s="32"/>
      <c r="X234" s="32"/>
      <c r="Y234" s="32"/>
      <c r="Z234" s="32"/>
      <c r="AA234" s="32"/>
      <c r="AB234" s="32"/>
      <c r="AC234" s="32"/>
      <c r="AD234" s="32"/>
      <c r="AE234" s="32"/>
      <c r="AF234" s="32"/>
      <c r="AG234" s="32"/>
      <c r="AH234" s="127">
        <f t="shared" si="215"/>
        <v>0</v>
      </c>
      <c r="AI234" s="128">
        <f t="shared" si="177"/>
        <v>4241</v>
      </c>
      <c r="AJ234" s="129">
        <f t="shared" si="178"/>
        <v>0</v>
      </c>
    </row>
    <row r="235" spans="1:39" x14ac:dyDescent="0.25">
      <c r="A235" s="119">
        <f t="shared" si="216"/>
        <v>45363</v>
      </c>
      <c r="B235" s="109" t="s">
        <v>99</v>
      </c>
      <c r="C235" s="6" t="s">
        <v>9</v>
      </c>
      <c r="D235" s="7" t="s">
        <v>10</v>
      </c>
      <c r="E235" s="120"/>
      <c r="F235" s="130">
        <f>215.73+108.47+0.24</f>
        <v>324.44</v>
      </c>
      <c r="G235" s="122"/>
      <c r="H235" s="123"/>
      <c r="I235" s="120">
        <f t="shared" si="213"/>
        <v>0</v>
      </c>
      <c r="J235" s="130">
        <f t="shared" si="212"/>
        <v>324.44</v>
      </c>
      <c r="K235" s="8">
        <f t="shared" ref="K235:L235" si="218">K234</f>
        <v>965.18</v>
      </c>
      <c r="L235" s="8">
        <f t="shared" si="218"/>
        <v>36957.769999999997</v>
      </c>
      <c r="M235" s="131">
        <f t="shared" si="214"/>
        <v>313142.99919999996</v>
      </c>
      <c r="N235" s="126">
        <f t="shared" si="175"/>
        <v>3553.3460999999661</v>
      </c>
      <c r="O235" s="32"/>
      <c r="P235" s="32"/>
      <c r="Q235" s="32"/>
      <c r="R235" s="32"/>
      <c r="S235" s="32"/>
      <c r="T235" s="32"/>
      <c r="U235" s="32"/>
      <c r="V235" s="32"/>
      <c r="W235" s="32"/>
      <c r="X235" s="32"/>
      <c r="Y235" s="32"/>
      <c r="Z235" s="32"/>
      <c r="AA235" s="32"/>
      <c r="AB235" s="32"/>
      <c r="AC235" s="32"/>
      <c r="AD235" s="32"/>
      <c r="AE235" s="32"/>
      <c r="AF235" s="32"/>
      <c r="AG235" s="32"/>
      <c r="AH235" s="127">
        <f t="shared" si="215"/>
        <v>-355.63290000000438</v>
      </c>
      <c r="AI235" s="128">
        <f t="shared" si="177"/>
        <v>3908.9789999999703</v>
      </c>
      <c r="AJ235" s="129">
        <f t="shared" si="178"/>
        <v>0</v>
      </c>
    </row>
    <row r="236" spans="1:39" x14ac:dyDescent="0.25">
      <c r="A236" s="119">
        <f t="shared" si="216"/>
        <v>45363</v>
      </c>
      <c r="B236" s="109" t="s">
        <v>99</v>
      </c>
      <c r="C236" s="6" t="s">
        <v>7</v>
      </c>
      <c r="D236" s="7" t="s">
        <v>16</v>
      </c>
      <c r="E236" s="120"/>
      <c r="F236" s="130">
        <v>963.79</v>
      </c>
      <c r="G236" s="122"/>
      <c r="H236" s="123"/>
      <c r="I236" s="120">
        <f t="shared" si="213"/>
        <v>0</v>
      </c>
      <c r="J236" s="130">
        <f t="shared" si="212"/>
        <v>963.79</v>
      </c>
      <c r="K236" s="8">
        <f t="shared" ref="K236:L236" si="219">K235</f>
        <v>965.18</v>
      </c>
      <c r="L236" s="8">
        <f t="shared" si="219"/>
        <v>36957.769999999997</v>
      </c>
      <c r="M236" s="131">
        <f t="shared" si="214"/>
        <v>930230.83219999995</v>
      </c>
      <c r="N236" s="126">
        <f t="shared" si="175"/>
        <v>-1069.8068999999668</v>
      </c>
      <c r="O236" s="32"/>
      <c r="P236" s="32"/>
      <c r="Q236" s="32"/>
      <c r="R236" s="32"/>
      <c r="S236" s="32"/>
      <c r="T236" s="32"/>
      <c r="U236" s="32"/>
      <c r="V236" s="32"/>
      <c r="W236" s="32"/>
      <c r="X236" s="32"/>
      <c r="Y236" s="32"/>
      <c r="Z236" s="32"/>
      <c r="AA236" s="32"/>
      <c r="AB236" s="32"/>
      <c r="AC236" s="32"/>
      <c r="AD236" s="32"/>
      <c r="AE236" s="32"/>
      <c r="AF236" s="32"/>
      <c r="AG236" s="32"/>
      <c r="AH236" s="127">
        <f t="shared" si="215"/>
        <v>-1069.806900000013</v>
      </c>
      <c r="AI236" s="128">
        <f t="shared" si="177"/>
        <v>4.6156856114976108E-11</v>
      </c>
      <c r="AJ236" s="129">
        <f t="shared" si="178"/>
        <v>0</v>
      </c>
    </row>
    <row r="237" spans="1:39" s="142" customFormat="1" x14ac:dyDescent="0.25">
      <c r="A237" s="133">
        <f t="shared" si="216"/>
        <v>45363</v>
      </c>
      <c r="B237" s="110" t="s">
        <v>99</v>
      </c>
      <c r="C237" s="45" t="s">
        <v>8</v>
      </c>
      <c r="D237" s="46" t="s">
        <v>16</v>
      </c>
      <c r="E237" s="134"/>
      <c r="F237" s="135">
        <v>462.58</v>
      </c>
      <c r="G237" s="134"/>
      <c r="H237" s="135"/>
      <c r="I237" s="134">
        <f t="shared" si="213"/>
        <v>0</v>
      </c>
      <c r="J237" s="135">
        <f t="shared" si="212"/>
        <v>462.58</v>
      </c>
      <c r="K237" s="47">
        <f t="shared" ref="K237:L237" si="220">K236</f>
        <v>965.18</v>
      </c>
      <c r="L237" s="47">
        <f t="shared" si="220"/>
        <v>36957.769999999997</v>
      </c>
      <c r="M237" s="136">
        <f t="shared" si="214"/>
        <v>446472.96439999994</v>
      </c>
      <c r="N237" s="137">
        <f t="shared" si="175"/>
        <v>14319.087699999916</v>
      </c>
      <c r="O237" s="138"/>
      <c r="P237" s="138"/>
      <c r="Q237" s="138"/>
      <c r="R237" s="138"/>
      <c r="S237" s="138"/>
      <c r="T237" s="138"/>
      <c r="U237" s="138"/>
      <c r="V237" s="138"/>
      <c r="W237" s="138"/>
      <c r="X237" s="138"/>
      <c r="Y237" s="138"/>
      <c r="Z237" s="138"/>
      <c r="AA237" s="138"/>
      <c r="AB237" s="138"/>
      <c r="AC237" s="138"/>
      <c r="AD237" s="138"/>
      <c r="AE237" s="138"/>
      <c r="AF237" s="138"/>
      <c r="AG237" s="138"/>
      <c r="AH237" s="139">
        <f t="shared" si="215"/>
        <v>-496.42530000000613</v>
      </c>
      <c r="AI237" s="140">
        <f t="shared" si="177"/>
        <v>14815.512999999923</v>
      </c>
      <c r="AJ237" s="141">
        <f t="shared" si="178"/>
        <v>0</v>
      </c>
    </row>
    <row r="238" spans="1:39" x14ac:dyDescent="0.25">
      <c r="A238" s="119">
        <v>45364</v>
      </c>
      <c r="B238" s="109" t="s">
        <v>99</v>
      </c>
      <c r="C238" s="6" t="s">
        <v>5</v>
      </c>
      <c r="D238" s="7" t="s">
        <v>6</v>
      </c>
      <c r="E238" s="120">
        <f>6269316-80000</f>
        <v>6189316</v>
      </c>
      <c r="F238" s="130"/>
      <c r="G238" s="120"/>
      <c r="H238" s="130"/>
      <c r="I238" s="120">
        <f t="shared" si="213"/>
        <v>6189316</v>
      </c>
      <c r="J238" s="130">
        <f t="shared" ref="J238" si="221">F238+H238</f>
        <v>0</v>
      </c>
      <c r="K238" s="42">
        <f>VLOOKUP($A238+1,MarketData!$D:$ZZ,MATCH(K$1,MarketData!$D$1:$ZZ$1,0))</f>
        <v>948.88</v>
      </c>
      <c r="L238" s="42">
        <f>VLOOKUP($A238,MarketData!$D:$ZZ,MATCH(L$1,MarketData!$D$1:$ZZ$1,0))</f>
        <v>36964.9</v>
      </c>
      <c r="M238" s="131">
        <f t="shared" si="214"/>
        <v>6189316</v>
      </c>
      <c r="N238" s="126">
        <f t="shared" si="175"/>
        <v>-98170</v>
      </c>
      <c r="O238" s="32"/>
      <c r="P238" s="32"/>
      <c r="Q238" s="32">
        <v>-3170</v>
      </c>
      <c r="R238" s="32"/>
      <c r="S238" s="32">
        <v>-80000</v>
      </c>
      <c r="T238" s="32"/>
      <c r="U238" s="32"/>
      <c r="V238" s="32"/>
      <c r="W238" s="32"/>
      <c r="X238" s="32"/>
      <c r="Y238" s="32"/>
      <c r="Z238" s="32"/>
      <c r="AA238" s="32">
        <v>-15000</v>
      </c>
      <c r="AB238" s="32"/>
      <c r="AC238" s="32"/>
      <c r="AD238" s="32"/>
      <c r="AE238" s="32"/>
      <c r="AF238" s="32"/>
      <c r="AG238" s="32"/>
      <c r="AH238" s="127">
        <f>J238*(K238-K230)</f>
        <v>0</v>
      </c>
      <c r="AI238" s="128">
        <f t="shared" si="177"/>
        <v>0</v>
      </c>
      <c r="AJ238" s="129">
        <f t="shared" si="178"/>
        <v>0</v>
      </c>
    </row>
    <row r="239" spans="1:39" x14ac:dyDescent="0.25">
      <c r="A239" s="119">
        <f>A240</f>
        <v>45364</v>
      </c>
      <c r="B239" s="109" t="s">
        <v>99</v>
      </c>
      <c r="C239" s="6" t="s">
        <v>5</v>
      </c>
      <c r="D239" s="7" t="s">
        <v>80</v>
      </c>
      <c r="E239" s="120">
        <v>14983840</v>
      </c>
      <c r="F239" s="130"/>
      <c r="G239" s="122">
        <v>-15000000</v>
      </c>
      <c r="H239" s="123"/>
      <c r="I239" s="120">
        <f>E239+G239</f>
        <v>-16160</v>
      </c>
      <c r="J239" s="130">
        <f>F239+H239</f>
        <v>0</v>
      </c>
      <c r="K239" s="8">
        <f>K240</f>
        <v>948.88</v>
      </c>
      <c r="L239" s="8">
        <f>L240</f>
        <v>36964.9</v>
      </c>
      <c r="M239" s="131">
        <f>I239+J239*K239</f>
        <v>-16160</v>
      </c>
      <c r="N239" s="126">
        <f t="shared" si="175"/>
        <v>-1610</v>
      </c>
      <c r="O239" s="32"/>
      <c r="P239" s="32"/>
      <c r="Q239" s="32">
        <v>3170</v>
      </c>
      <c r="R239" s="32"/>
      <c r="S239" s="32"/>
      <c r="T239" s="32"/>
      <c r="U239" s="32"/>
      <c r="V239" s="32"/>
      <c r="W239" s="32">
        <v>-4780</v>
      </c>
      <c r="X239" s="32"/>
      <c r="Y239" s="32"/>
      <c r="Z239" s="32"/>
      <c r="AA239" s="32"/>
      <c r="AB239" s="32"/>
      <c r="AC239" s="32"/>
      <c r="AD239" s="32"/>
      <c r="AE239" s="32"/>
      <c r="AF239" s="32"/>
      <c r="AG239" s="32"/>
      <c r="AH239" s="127">
        <f>J239*(K239-K232)</f>
        <v>0</v>
      </c>
      <c r="AI239" s="128">
        <f t="shared" si="177"/>
        <v>0</v>
      </c>
      <c r="AJ239" s="129">
        <f t="shared" si="178"/>
        <v>0</v>
      </c>
    </row>
    <row r="240" spans="1:39" x14ac:dyDescent="0.25">
      <c r="A240" s="119">
        <f>A238</f>
        <v>45364</v>
      </c>
      <c r="B240" s="109" t="s">
        <v>99</v>
      </c>
      <c r="C240" s="6" t="s">
        <v>5</v>
      </c>
      <c r="D240" s="7" t="s">
        <v>26</v>
      </c>
      <c r="E240" s="120">
        <v>9317135</v>
      </c>
      <c r="F240" s="130">
        <v>7990</v>
      </c>
      <c r="G240" s="122">
        <v>-10000000</v>
      </c>
      <c r="H240" s="123">
        <v>-8000</v>
      </c>
      <c r="I240" s="120">
        <f>E240+G240</f>
        <v>-682865</v>
      </c>
      <c r="J240" s="130">
        <f t="shared" ref="J240:J247" si="222">F240+H240</f>
        <v>-10</v>
      </c>
      <c r="K240" s="8">
        <f>K238</f>
        <v>948.88</v>
      </c>
      <c r="L240" s="8">
        <f>L238</f>
        <v>36964.9</v>
      </c>
      <c r="M240" s="131">
        <f>I240+J240*K240</f>
        <v>-692353.8</v>
      </c>
      <c r="N240" s="126">
        <f t="shared" si="175"/>
        <v>-55748.800000000047</v>
      </c>
      <c r="O240" s="32"/>
      <c r="P240" s="32"/>
      <c r="Q240" s="32"/>
      <c r="R240" s="32"/>
      <c r="S240" s="32"/>
      <c r="T240" s="32"/>
      <c r="U240" s="32"/>
      <c r="V240" s="32">
        <v>-46260</v>
      </c>
      <c r="W240" s="32"/>
      <c r="X240" s="32"/>
      <c r="Y240" s="32"/>
      <c r="Z240" s="32"/>
      <c r="AA240" s="32">
        <f>(-10*K240)+0</f>
        <v>-9488.7999999999993</v>
      </c>
      <c r="AB240" s="32"/>
      <c r="AC240" s="32"/>
      <c r="AD240" s="32"/>
      <c r="AE240" s="32"/>
      <c r="AF240" s="32"/>
      <c r="AG240" s="32"/>
      <c r="AH240" s="127">
        <f>J240*(K240-K231)</f>
        <v>162.99999999999955</v>
      </c>
      <c r="AI240" s="128">
        <f t="shared" si="177"/>
        <v>0</v>
      </c>
      <c r="AJ240" s="129">
        <f t="shared" si="178"/>
        <v>-163.00000000004366</v>
      </c>
    </row>
    <row r="241" spans="1:39" x14ac:dyDescent="0.25">
      <c r="A241" s="119">
        <f>A240</f>
        <v>45364</v>
      </c>
      <c r="B241" s="109" t="s">
        <v>99</v>
      </c>
      <c r="C241" s="6" t="s">
        <v>9</v>
      </c>
      <c r="D241" s="7" t="s">
        <v>12</v>
      </c>
      <c r="E241" s="120">
        <v>5924197</v>
      </c>
      <c r="F241" s="130"/>
      <c r="G241" s="122"/>
      <c r="H241" s="123"/>
      <c r="I241" s="120">
        <f t="shared" ref="I241:I247" si="223">E241+G241</f>
        <v>5924197</v>
      </c>
      <c r="J241" s="130">
        <f t="shared" si="222"/>
        <v>0</v>
      </c>
      <c r="K241" s="8">
        <f>K240</f>
        <v>948.88</v>
      </c>
      <c r="L241" s="8">
        <f>L240</f>
        <v>36964.9</v>
      </c>
      <c r="M241" s="131">
        <f t="shared" ref="M241:M247" si="224">I241+J241*K241</f>
        <v>5924197</v>
      </c>
      <c r="N241" s="126">
        <f t="shared" si="175"/>
        <v>1216</v>
      </c>
      <c r="O241" s="32"/>
      <c r="P241" s="32"/>
      <c r="Q241" s="32"/>
      <c r="R241" s="32"/>
      <c r="S241" s="32"/>
      <c r="T241" s="32"/>
      <c r="U241" s="32"/>
      <c r="V241" s="32"/>
      <c r="W241" s="32"/>
      <c r="X241" s="32"/>
      <c r="Y241" s="32"/>
      <c r="Z241" s="32"/>
      <c r="AA241" s="32"/>
      <c r="AB241" s="32"/>
      <c r="AC241" s="32"/>
      <c r="AD241" s="32"/>
      <c r="AE241" s="32"/>
      <c r="AF241" s="32"/>
      <c r="AG241" s="32"/>
      <c r="AH241" s="127">
        <f t="shared" ref="AH241:AH246" si="225">J232*(K241-K232)</f>
        <v>0</v>
      </c>
      <c r="AI241" s="128">
        <f t="shared" si="177"/>
        <v>1216</v>
      </c>
      <c r="AJ241" s="129">
        <f t="shared" si="178"/>
        <v>0</v>
      </c>
    </row>
    <row r="242" spans="1:39" x14ac:dyDescent="0.25">
      <c r="A242" s="119">
        <f t="shared" ref="A242:A246" si="226">A241</f>
        <v>45364</v>
      </c>
      <c r="B242" s="109" t="s">
        <v>99</v>
      </c>
      <c r="C242" s="6" t="s">
        <v>9</v>
      </c>
      <c r="D242" s="7" t="s">
        <v>15</v>
      </c>
      <c r="E242" s="120">
        <v>2048432</v>
      </c>
      <c r="F242" s="130"/>
      <c r="G242" s="122"/>
      <c r="H242" s="123"/>
      <c r="I242" s="120">
        <f t="shared" si="223"/>
        <v>2048432</v>
      </c>
      <c r="J242" s="130">
        <f t="shared" si="222"/>
        <v>0</v>
      </c>
      <c r="K242" s="8">
        <f t="shared" ref="K242:L242" si="227">K241</f>
        <v>948.88</v>
      </c>
      <c r="L242" s="8">
        <f t="shared" si="227"/>
        <v>36964.9</v>
      </c>
      <c r="M242" s="131">
        <f t="shared" si="224"/>
        <v>2048432</v>
      </c>
      <c r="N242" s="126">
        <f t="shared" si="175"/>
        <v>-45648</v>
      </c>
      <c r="O242" s="32"/>
      <c r="P242" s="32"/>
      <c r="Q242" s="32"/>
      <c r="R242" s="32"/>
      <c r="S242" s="32"/>
      <c r="T242" s="32"/>
      <c r="U242" s="32"/>
      <c r="V242" s="32"/>
      <c r="W242" s="32"/>
      <c r="X242" s="32"/>
      <c r="Y242" s="32"/>
      <c r="Z242" s="32"/>
      <c r="AA242" s="32"/>
      <c r="AB242" s="32"/>
      <c r="AC242" s="32"/>
      <c r="AD242" s="32"/>
      <c r="AE242" s="32"/>
      <c r="AF242" s="32"/>
      <c r="AG242" s="32"/>
      <c r="AH242" s="127">
        <f t="shared" si="225"/>
        <v>0</v>
      </c>
      <c r="AI242" s="128">
        <f t="shared" si="177"/>
        <v>-45648</v>
      </c>
      <c r="AJ242" s="129">
        <f t="shared" si="178"/>
        <v>0</v>
      </c>
      <c r="AM242" s="119"/>
    </row>
    <row r="243" spans="1:39" x14ac:dyDescent="0.25">
      <c r="A243" s="119">
        <f t="shared" si="226"/>
        <v>45364</v>
      </c>
      <c r="B243" s="109" t="s">
        <v>99</v>
      </c>
      <c r="C243" s="6" t="s">
        <v>9</v>
      </c>
      <c r="D243" s="7" t="s">
        <v>11</v>
      </c>
      <c r="E243" s="120">
        <v>699376</v>
      </c>
      <c r="F243" s="130"/>
      <c r="G243" s="122"/>
      <c r="H243" s="123"/>
      <c r="I243" s="120">
        <f t="shared" si="223"/>
        <v>699376</v>
      </c>
      <c r="J243" s="130">
        <f t="shared" si="222"/>
        <v>0</v>
      </c>
      <c r="K243" s="8">
        <f t="shared" ref="K243" si="228">K242</f>
        <v>948.88</v>
      </c>
      <c r="L243" s="8">
        <f>L242</f>
        <v>36964.9</v>
      </c>
      <c r="M243" s="131">
        <f t="shared" si="224"/>
        <v>699376</v>
      </c>
      <c r="N243" s="126">
        <f t="shared" si="175"/>
        <v>-8675</v>
      </c>
      <c r="O243" s="32"/>
      <c r="P243" s="32"/>
      <c r="Q243" s="32"/>
      <c r="R243" s="32"/>
      <c r="S243" s="32"/>
      <c r="T243" s="32"/>
      <c r="U243" s="32"/>
      <c r="V243" s="32"/>
      <c r="W243" s="32"/>
      <c r="X243" s="32"/>
      <c r="Y243" s="32"/>
      <c r="Z243" s="32"/>
      <c r="AA243" s="32"/>
      <c r="AB243" s="32"/>
      <c r="AC243" s="32"/>
      <c r="AD243" s="32"/>
      <c r="AE243" s="32"/>
      <c r="AF243" s="32"/>
      <c r="AG243" s="32"/>
      <c r="AH243" s="127">
        <f t="shared" si="225"/>
        <v>0</v>
      </c>
      <c r="AI243" s="128">
        <f t="shared" si="177"/>
        <v>-8675</v>
      </c>
      <c r="AJ243" s="129">
        <f t="shared" si="178"/>
        <v>0</v>
      </c>
    </row>
    <row r="244" spans="1:39" x14ac:dyDescent="0.25">
      <c r="A244" s="119">
        <f t="shared" si="226"/>
        <v>45364</v>
      </c>
      <c r="B244" s="109" t="s">
        <v>99</v>
      </c>
      <c r="C244" s="6" t="s">
        <v>9</v>
      </c>
      <c r="D244" s="7" t="s">
        <v>10</v>
      </c>
      <c r="E244" s="120"/>
      <c r="F244" s="130">
        <f>216.17+108.44+0.24</f>
        <v>324.85000000000002</v>
      </c>
      <c r="G244" s="122"/>
      <c r="H244" s="123"/>
      <c r="I244" s="120">
        <f t="shared" si="223"/>
        <v>0</v>
      </c>
      <c r="J244" s="130">
        <f t="shared" si="222"/>
        <v>324.85000000000002</v>
      </c>
      <c r="K244" s="8">
        <f t="shared" ref="K244:L244" si="229">K243</f>
        <v>948.88</v>
      </c>
      <c r="L244" s="8">
        <f t="shared" si="229"/>
        <v>36964.9</v>
      </c>
      <c r="M244" s="131">
        <f t="shared" si="224"/>
        <v>308243.66800000001</v>
      </c>
      <c r="N244" s="126">
        <f t="shared" si="175"/>
        <v>-4899.3311999999569</v>
      </c>
      <c r="O244" s="32"/>
      <c r="P244" s="32"/>
      <c r="Q244" s="32"/>
      <c r="R244" s="32"/>
      <c r="S244" s="32"/>
      <c r="T244" s="32"/>
      <c r="U244" s="32"/>
      <c r="V244" s="32"/>
      <c r="W244" s="32"/>
      <c r="X244" s="32"/>
      <c r="Y244" s="32"/>
      <c r="Z244" s="32"/>
      <c r="AA244" s="32"/>
      <c r="AB244" s="32"/>
      <c r="AC244" s="32"/>
      <c r="AD244" s="32"/>
      <c r="AE244" s="32"/>
      <c r="AF244" s="32"/>
      <c r="AG244" s="32"/>
      <c r="AH244" s="127">
        <f t="shared" si="225"/>
        <v>-5288.3719999999848</v>
      </c>
      <c r="AI244" s="128">
        <f t="shared" si="177"/>
        <v>389.04080000002796</v>
      </c>
      <c r="AJ244" s="129">
        <f t="shared" si="178"/>
        <v>0</v>
      </c>
    </row>
    <row r="245" spans="1:39" x14ac:dyDescent="0.25">
      <c r="A245" s="119">
        <f t="shared" si="226"/>
        <v>45364</v>
      </c>
      <c r="B245" s="109" t="s">
        <v>99</v>
      </c>
      <c r="C245" s="6" t="s">
        <v>7</v>
      </c>
      <c r="D245" s="7" t="s">
        <v>16</v>
      </c>
      <c r="E245" s="120"/>
      <c r="F245" s="130">
        <v>939.35</v>
      </c>
      <c r="G245" s="122"/>
      <c r="H245" s="123"/>
      <c r="I245" s="120">
        <f t="shared" si="223"/>
        <v>0</v>
      </c>
      <c r="J245" s="130">
        <f t="shared" si="222"/>
        <v>939.35</v>
      </c>
      <c r="K245" s="8">
        <f t="shared" ref="K245:L245" si="230">K244</f>
        <v>948.88</v>
      </c>
      <c r="L245" s="8">
        <f t="shared" si="230"/>
        <v>36964.9</v>
      </c>
      <c r="M245" s="131">
        <f t="shared" si="224"/>
        <v>891330.42800000007</v>
      </c>
      <c r="N245" s="126">
        <f t="shared" si="175"/>
        <v>-38900.404199999874</v>
      </c>
      <c r="O245" s="32"/>
      <c r="P245" s="32"/>
      <c r="Q245" s="32"/>
      <c r="R245" s="32"/>
      <c r="S245" s="32"/>
      <c r="T245" s="32"/>
      <c r="U245" s="32"/>
      <c r="V245" s="32"/>
      <c r="W245" s="32"/>
      <c r="X245" s="32"/>
      <c r="Y245" s="32"/>
      <c r="Z245" s="32"/>
      <c r="AA245" s="32"/>
      <c r="AB245" s="32"/>
      <c r="AC245" s="32"/>
      <c r="AD245" s="32"/>
      <c r="AE245" s="32"/>
      <c r="AF245" s="32"/>
      <c r="AG245" s="32"/>
      <c r="AH245" s="127">
        <f t="shared" si="225"/>
        <v>-15709.776999999956</v>
      </c>
      <c r="AI245" s="128">
        <f t="shared" si="177"/>
        <v>-23190.627199999915</v>
      </c>
      <c r="AJ245" s="129">
        <f t="shared" si="178"/>
        <v>0</v>
      </c>
    </row>
    <row r="246" spans="1:39" s="142" customFormat="1" x14ac:dyDescent="0.25">
      <c r="A246" s="133">
        <f t="shared" si="226"/>
        <v>45364</v>
      </c>
      <c r="B246" s="110" t="s">
        <v>99</v>
      </c>
      <c r="C246" s="45" t="s">
        <v>8</v>
      </c>
      <c r="D246" s="46" t="s">
        <v>16</v>
      </c>
      <c r="E246" s="134"/>
      <c r="F246" s="135">
        <v>441.25</v>
      </c>
      <c r="G246" s="134"/>
      <c r="H246" s="135"/>
      <c r="I246" s="134">
        <f t="shared" si="223"/>
        <v>0</v>
      </c>
      <c r="J246" s="135">
        <f t="shared" si="222"/>
        <v>441.25</v>
      </c>
      <c r="K246" s="47">
        <f t="shared" ref="K246:L246" si="231">K245</f>
        <v>948.88</v>
      </c>
      <c r="L246" s="47">
        <f t="shared" si="231"/>
        <v>36964.9</v>
      </c>
      <c r="M246" s="136">
        <f t="shared" si="224"/>
        <v>418693.3</v>
      </c>
      <c r="N246" s="137">
        <f t="shared" si="175"/>
        <v>-27779.664399999951</v>
      </c>
      <c r="O246" s="138"/>
      <c r="P246" s="138"/>
      <c r="Q246" s="138"/>
      <c r="R246" s="138"/>
      <c r="S246" s="138"/>
      <c r="T246" s="138"/>
      <c r="U246" s="138"/>
      <c r="V246" s="138"/>
      <c r="W246" s="138"/>
      <c r="X246" s="138"/>
      <c r="Y246" s="138"/>
      <c r="Z246" s="138"/>
      <c r="AA246" s="138"/>
      <c r="AB246" s="138"/>
      <c r="AC246" s="138"/>
      <c r="AD246" s="138"/>
      <c r="AE246" s="138"/>
      <c r="AF246" s="138"/>
      <c r="AG246" s="138"/>
      <c r="AH246" s="139">
        <f t="shared" si="225"/>
        <v>-7540.0539999999783</v>
      </c>
      <c r="AI246" s="140">
        <f t="shared" si="177"/>
        <v>-20239.610399999972</v>
      </c>
      <c r="AJ246" s="141">
        <f t="shared" si="178"/>
        <v>0</v>
      </c>
    </row>
    <row r="247" spans="1:39" x14ac:dyDescent="0.25">
      <c r="A247" s="119">
        <v>45365</v>
      </c>
      <c r="B247" s="109" t="s">
        <v>99</v>
      </c>
      <c r="C247" s="6" t="s">
        <v>5</v>
      </c>
      <c r="D247" s="7" t="s">
        <v>6</v>
      </c>
      <c r="E247" s="120">
        <f>6269316-80000</f>
        <v>6189316</v>
      </c>
      <c r="F247" s="130"/>
      <c r="G247" s="120"/>
      <c r="H247" s="130"/>
      <c r="I247" s="120">
        <f t="shared" si="223"/>
        <v>6189316</v>
      </c>
      <c r="J247" s="130">
        <f t="shared" si="222"/>
        <v>0</v>
      </c>
      <c r="K247" s="42">
        <f>VLOOKUP($A247+1,MarketData!$D:$ZZ,MATCH(K$1,MarketData!$D$1:$ZZ$1,0))</f>
        <v>945.56</v>
      </c>
      <c r="L247" s="42">
        <f>VLOOKUP($A247,MarketData!$D:$ZZ,MATCH(L$1,MarketData!$D$1:$ZZ$1,0))</f>
        <v>36972.04</v>
      </c>
      <c r="M247" s="131">
        <f t="shared" si="224"/>
        <v>6189316</v>
      </c>
      <c r="N247" s="126">
        <f t="shared" si="175"/>
        <v>0</v>
      </c>
      <c r="O247" s="32"/>
      <c r="P247" s="32"/>
      <c r="Q247" s="32"/>
      <c r="R247" s="32"/>
      <c r="S247" s="32"/>
      <c r="T247" s="32"/>
      <c r="U247" s="32"/>
      <c r="V247" s="32"/>
      <c r="W247" s="32"/>
      <c r="X247" s="32"/>
      <c r="Y247" s="32"/>
      <c r="Z247" s="32"/>
      <c r="AA247" s="32"/>
      <c r="AB247" s="32"/>
      <c r="AC247" s="32"/>
      <c r="AD247" s="32"/>
      <c r="AE247" s="32"/>
      <c r="AF247" s="32"/>
      <c r="AG247" s="32"/>
      <c r="AH247" s="127">
        <f>J247*(K247-K239)</f>
        <v>0</v>
      </c>
      <c r="AI247" s="128">
        <f t="shared" si="177"/>
        <v>0</v>
      </c>
      <c r="AJ247" s="129">
        <f t="shared" si="178"/>
        <v>0</v>
      </c>
    </row>
    <row r="248" spans="1:39" x14ac:dyDescent="0.25">
      <c r="A248" s="119">
        <f>A249</f>
        <v>45365</v>
      </c>
      <c r="B248" s="109" t="s">
        <v>99</v>
      </c>
      <c r="C248" s="6" t="s">
        <v>5</v>
      </c>
      <c r="D248" s="7" t="s">
        <v>80</v>
      </c>
      <c r="E248" s="120">
        <v>14983840</v>
      </c>
      <c r="F248" s="130"/>
      <c r="G248" s="122">
        <v>-15000000</v>
      </c>
      <c r="H248" s="123"/>
      <c r="I248" s="120">
        <f>E248+G248</f>
        <v>-16160</v>
      </c>
      <c r="J248" s="130">
        <f>F248+H248</f>
        <v>0</v>
      </c>
      <c r="K248" s="8">
        <f>K249</f>
        <v>945.56</v>
      </c>
      <c r="L248" s="8">
        <f>L249</f>
        <v>36972.04</v>
      </c>
      <c r="M248" s="131">
        <f>I248+J248*K248</f>
        <v>-16160</v>
      </c>
      <c r="N248" s="126">
        <f t="shared" si="175"/>
        <v>0</v>
      </c>
      <c r="O248" s="32"/>
      <c r="P248" s="32"/>
      <c r="Q248" s="32"/>
      <c r="R248" s="32"/>
      <c r="S248" s="32"/>
      <c r="T248" s="32"/>
      <c r="U248" s="32"/>
      <c r="V248" s="32"/>
      <c r="W248" s="32"/>
      <c r="X248" s="32"/>
      <c r="Y248" s="32"/>
      <c r="Z248" s="32"/>
      <c r="AA248" s="32"/>
      <c r="AB248" s="32"/>
      <c r="AC248" s="32"/>
      <c r="AD248" s="32"/>
      <c r="AE248" s="32"/>
      <c r="AF248" s="32"/>
      <c r="AG248" s="32"/>
      <c r="AH248" s="127">
        <f>J248*(K248-K241)</f>
        <v>0</v>
      </c>
      <c r="AI248" s="128">
        <f t="shared" si="177"/>
        <v>0</v>
      </c>
      <c r="AJ248" s="129">
        <f t="shared" si="178"/>
        <v>0</v>
      </c>
    </row>
    <row r="249" spans="1:39" x14ac:dyDescent="0.25">
      <c r="A249" s="119">
        <f>A247</f>
        <v>45365</v>
      </c>
      <c r="B249" s="109" t="s">
        <v>99</v>
      </c>
      <c r="C249" s="6" t="s">
        <v>5</v>
      </c>
      <c r="D249" s="7" t="s">
        <v>26</v>
      </c>
      <c r="E249" s="120">
        <v>9288599</v>
      </c>
      <c r="F249" s="130">
        <v>7990</v>
      </c>
      <c r="G249" s="122">
        <v>-10000000</v>
      </c>
      <c r="H249" s="123">
        <v>-8000</v>
      </c>
      <c r="I249" s="120">
        <f>E249+G249</f>
        <v>-711401</v>
      </c>
      <c r="J249" s="130">
        <f t="shared" ref="J249:J256" si="232">F249+H249</f>
        <v>-10</v>
      </c>
      <c r="K249" s="8">
        <f>K247</f>
        <v>945.56</v>
      </c>
      <c r="L249" s="8">
        <f>L247</f>
        <v>36972.04</v>
      </c>
      <c r="M249" s="131">
        <f>I249+J249*K249</f>
        <v>-720856.6</v>
      </c>
      <c r="N249" s="126">
        <f t="shared" si="175"/>
        <v>-28502.79999999993</v>
      </c>
      <c r="O249" s="32"/>
      <c r="P249" s="32"/>
      <c r="Q249" s="32"/>
      <c r="R249" s="32">
        <v>-23756</v>
      </c>
      <c r="S249" s="32"/>
      <c r="T249" s="32"/>
      <c r="U249" s="32"/>
      <c r="V249" s="32"/>
      <c r="W249" s="32">
        <v>-4780</v>
      </c>
      <c r="X249" s="32"/>
      <c r="Y249" s="32"/>
      <c r="Z249" s="32"/>
      <c r="AA249" s="32"/>
      <c r="AB249" s="32"/>
      <c r="AC249" s="32"/>
      <c r="AD249" s="32"/>
      <c r="AE249" s="32"/>
      <c r="AF249" s="32"/>
      <c r="AG249" s="32"/>
      <c r="AH249" s="127">
        <f>J249*(K249-K240)</f>
        <v>33.2000000000005</v>
      </c>
      <c r="AI249" s="128">
        <f t="shared" si="177"/>
        <v>0</v>
      </c>
      <c r="AJ249" s="129">
        <f t="shared" si="178"/>
        <v>6.9121597334742546E-11</v>
      </c>
    </row>
    <row r="250" spans="1:39" x14ac:dyDescent="0.25">
      <c r="A250" s="119">
        <f>A249</f>
        <v>45365</v>
      </c>
      <c r="B250" s="109" t="s">
        <v>99</v>
      </c>
      <c r="C250" s="6" t="s">
        <v>9</v>
      </c>
      <c r="D250" s="7" t="s">
        <v>12</v>
      </c>
      <c r="E250" s="120">
        <v>5925383</v>
      </c>
      <c r="F250" s="130"/>
      <c r="G250" s="122"/>
      <c r="H250" s="123"/>
      <c r="I250" s="120">
        <f t="shared" ref="I250:I256" si="233">E250+G250</f>
        <v>5925383</v>
      </c>
      <c r="J250" s="130">
        <f t="shared" si="232"/>
        <v>0</v>
      </c>
      <c r="K250" s="8">
        <f>K249</f>
        <v>945.56</v>
      </c>
      <c r="L250" s="8">
        <f>L249</f>
        <v>36972.04</v>
      </c>
      <c r="M250" s="131">
        <f t="shared" ref="M250:M256" si="234">I250+J250*K250</f>
        <v>5925383</v>
      </c>
      <c r="N250" s="126">
        <f t="shared" si="175"/>
        <v>1186</v>
      </c>
      <c r="O250" s="32"/>
      <c r="P250" s="32"/>
      <c r="Q250" s="32"/>
      <c r="R250" s="32"/>
      <c r="S250" s="32"/>
      <c r="T250" s="32"/>
      <c r="U250" s="32"/>
      <c r="V250" s="32"/>
      <c r="W250" s="32"/>
      <c r="X250" s="32"/>
      <c r="Y250" s="32"/>
      <c r="Z250" s="32"/>
      <c r="AA250" s="32"/>
      <c r="AB250" s="32"/>
      <c r="AC250" s="32"/>
      <c r="AD250" s="32"/>
      <c r="AE250" s="32"/>
      <c r="AF250" s="32"/>
      <c r="AG250" s="32"/>
      <c r="AH250" s="127">
        <f t="shared" ref="AH250:AH255" si="235">J241*(K250-K241)</f>
        <v>0</v>
      </c>
      <c r="AI250" s="128">
        <f t="shared" si="177"/>
        <v>1186</v>
      </c>
      <c r="AJ250" s="129">
        <f t="shared" si="178"/>
        <v>0</v>
      </c>
    </row>
    <row r="251" spans="1:39" x14ac:dyDescent="0.25">
      <c r="A251" s="119">
        <f t="shared" ref="A251:A255" si="236">A250</f>
        <v>45365</v>
      </c>
      <c r="B251" s="109" t="s">
        <v>99</v>
      </c>
      <c r="C251" s="6" t="s">
        <v>9</v>
      </c>
      <c r="D251" s="7" t="s">
        <v>15</v>
      </c>
      <c r="E251" s="120">
        <v>2028998</v>
      </c>
      <c r="F251" s="130"/>
      <c r="G251" s="122"/>
      <c r="H251" s="123"/>
      <c r="I251" s="120">
        <f t="shared" si="233"/>
        <v>2028998</v>
      </c>
      <c r="J251" s="130">
        <f t="shared" si="232"/>
        <v>0</v>
      </c>
      <c r="K251" s="8">
        <f t="shared" ref="K251:L251" si="237">K250</f>
        <v>945.56</v>
      </c>
      <c r="L251" s="8">
        <f t="shared" si="237"/>
        <v>36972.04</v>
      </c>
      <c r="M251" s="131">
        <f t="shared" si="234"/>
        <v>2028998</v>
      </c>
      <c r="N251" s="126">
        <f t="shared" si="175"/>
        <v>-19434</v>
      </c>
      <c r="O251" s="32"/>
      <c r="P251" s="32"/>
      <c r="Q251" s="32"/>
      <c r="R251" s="32"/>
      <c r="S251" s="32"/>
      <c r="T251" s="32"/>
      <c r="U251" s="32"/>
      <c r="V251" s="32"/>
      <c r="W251" s="32"/>
      <c r="X251" s="32"/>
      <c r="Y251" s="32"/>
      <c r="Z251" s="32"/>
      <c r="AA251" s="32"/>
      <c r="AB251" s="32"/>
      <c r="AC251" s="32"/>
      <c r="AD251" s="32"/>
      <c r="AE251" s="32"/>
      <c r="AF251" s="32"/>
      <c r="AG251" s="32"/>
      <c r="AH251" s="127">
        <f t="shared" si="235"/>
        <v>0</v>
      </c>
      <c r="AI251" s="128">
        <f t="shared" si="177"/>
        <v>-19434</v>
      </c>
      <c r="AJ251" s="129">
        <f t="shared" si="178"/>
        <v>0</v>
      </c>
      <c r="AM251" s="119"/>
    </row>
    <row r="252" spans="1:39" x14ac:dyDescent="0.25">
      <c r="A252" s="119">
        <f t="shared" si="236"/>
        <v>45365</v>
      </c>
      <c r="B252" s="109" t="s">
        <v>99</v>
      </c>
      <c r="C252" s="6" t="s">
        <v>9</v>
      </c>
      <c r="D252" s="7" t="s">
        <v>11</v>
      </c>
      <c r="E252" s="120">
        <v>696410</v>
      </c>
      <c r="F252" s="130"/>
      <c r="G252" s="122"/>
      <c r="H252" s="123"/>
      <c r="I252" s="120">
        <f t="shared" si="233"/>
        <v>696410</v>
      </c>
      <c r="J252" s="130">
        <f t="shared" si="232"/>
        <v>0</v>
      </c>
      <c r="K252" s="8">
        <f t="shared" ref="K252" si="238">K251</f>
        <v>945.56</v>
      </c>
      <c r="L252" s="8">
        <f>L251</f>
        <v>36972.04</v>
      </c>
      <c r="M252" s="131">
        <f t="shared" si="234"/>
        <v>696410</v>
      </c>
      <c r="N252" s="126">
        <f t="shared" si="175"/>
        <v>-2966</v>
      </c>
      <c r="O252" s="32"/>
      <c r="P252" s="32"/>
      <c r="Q252" s="32"/>
      <c r="R252" s="32"/>
      <c r="S252" s="32"/>
      <c r="T252" s="32"/>
      <c r="U252" s="32"/>
      <c r="V252" s="32"/>
      <c r="W252" s="32"/>
      <c r="X252" s="32"/>
      <c r="Y252" s="32"/>
      <c r="Z252" s="32"/>
      <c r="AA252" s="32"/>
      <c r="AB252" s="32"/>
      <c r="AC252" s="32"/>
      <c r="AD252" s="32"/>
      <c r="AE252" s="32"/>
      <c r="AF252" s="32"/>
      <c r="AG252" s="32"/>
      <c r="AH252" s="127">
        <f t="shared" si="235"/>
        <v>0</v>
      </c>
      <c r="AI252" s="128">
        <f t="shared" si="177"/>
        <v>-2966</v>
      </c>
      <c r="AJ252" s="129">
        <f t="shared" si="178"/>
        <v>0</v>
      </c>
    </row>
    <row r="253" spans="1:39" x14ac:dyDescent="0.25">
      <c r="A253" s="119">
        <f t="shared" si="236"/>
        <v>45365</v>
      </c>
      <c r="B253" s="109" t="s">
        <v>99</v>
      </c>
      <c r="C253" s="6" t="s">
        <v>9</v>
      </c>
      <c r="D253" s="7" t="s">
        <v>10</v>
      </c>
      <c r="E253" s="120"/>
      <c r="F253" s="130">
        <f>215.28+106.87+0.24</f>
        <v>322.39</v>
      </c>
      <c r="G253" s="122"/>
      <c r="H253" s="123"/>
      <c r="I253" s="120">
        <f t="shared" si="233"/>
        <v>0</v>
      </c>
      <c r="J253" s="130">
        <f t="shared" si="232"/>
        <v>322.39</v>
      </c>
      <c r="K253" s="8">
        <f t="shared" ref="K253:L253" si="239">K252</f>
        <v>945.56</v>
      </c>
      <c r="L253" s="8">
        <f t="shared" si="239"/>
        <v>36972.04</v>
      </c>
      <c r="M253" s="131">
        <f t="shared" si="234"/>
        <v>304839.08839999995</v>
      </c>
      <c r="N253" s="126">
        <f t="shared" si="175"/>
        <v>-3404.5796000000555</v>
      </c>
      <c r="O253" s="32"/>
      <c r="P253" s="32"/>
      <c r="Q253" s="32"/>
      <c r="R253" s="32"/>
      <c r="S253" s="32"/>
      <c r="T253" s="32"/>
      <c r="U253" s="32"/>
      <c r="V253" s="32"/>
      <c r="W253" s="32"/>
      <c r="X253" s="32"/>
      <c r="Y253" s="32"/>
      <c r="Z253" s="32"/>
      <c r="AA253" s="32"/>
      <c r="AB253" s="32"/>
      <c r="AC253" s="32"/>
      <c r="AD253" s="32"/>
      <c r="AE253" s="32"/>
      <c r="AF253" s="32"/>
      <c r="AG253" s="32"/>
      <c r="AH253" s="127">
        <f t="shared" si="235"/>
        <v>-1078.5020000000163</v>
      </c>
      <c r="AI253" s="128">
        <f t="shared" si="177"/>
        <v>-2326.0776000000392</v>
      </c>
      <c r="AJ253" s="129">
        <f t="shared" si="178"/>
        <v>0</v>
      </c>
    </row>
    <row r="254" spans="1:39" x14ac:dyDescent="0.25">
      <c r="A254" s="119">
        <f t="shared" si="236"/>
        <v>45365</v>
      </c>
      <c r="B254" s="109" t="s">
        <v>99</v>
      </c>
      <c r="C254" s="6" t="s">
        <v>7</v>
      </c>
      <c r="D254" s="7" t="s">
        <v>16</v>
      </c>
      <c r="E254" s="120"/>
      <c r="F254" s="130">
        <v>939.35</v>
      </c>
      <c r="G254" s="122"/>
      <c r="H254" s="123"/>
      <c r="I254" s="120">
        <f t="shared" si="233"/>
        <v>0</v>
      </c>
      <c r="J254" s="130">
        <f t="shared" si="232"/>
        <v>939.35</v>
      </c>
      <c r="K254" s="8">
        <f t="shared" ref="K254:L254" si="240">K253</f>
        <v>945.56</v>
      </c>
      <c r="L254" s="8">
        <f t="shared" si="240"/>
        <v>36972.04</v>
      </c>
      <c r="M254" s="131">
        <f t="shared" si="234"/>
        <v>888211.78599999996</v>
      </c>
      <c r="N254" s="126">
        <f t="shared" si="175"/>
        <v>-3118.642000000109</v>
      </c>
      <c r="O254" s="32"/>
      <c r="P254" s="32"/>
      <c r="Q254" s="32"/>
      <c r="R254" s="32"/>
      <c r="S254" s="32"/>
      <c r="T254" s="32"/>
      <c r="U254" s="32"/>
      <c r="V254" s="32"/>
      <c r="W254" s="32"/>
      <c r="X254" s="32"/>
      <c r="Y254" s="32"/>
      <c r="Z254" s="32"/>
      <c r="AA254" s="32"/>
      <c r="AB254" s="32"/>
      <c r="AC254" s="32"/>
      <c r="AD254" s="32"/>
      <c r="AE254" s="32"/>
      <c r="AF254" s="32"/>
      <c r="AG254" s="32"/>
      <c r="AH254" s="127">
        <f t="shared" si="235"/>
        <v>-3118.6420000000471</v>
      </c>
      <c r="AI254" s="128">
        <f t="shared" si="177"/>
        <v>-6.184563972055912E-11</v>
      </c>
      <c r="AJ254" s="129">
        <f t="shared" si="178"/>
        <v>0</v>
      </c>
    </row>
    <row r="255" spans="1:39" s="142" customFormat="1" x14ac:dyDescent="0.25">
      <c r="A255" s="133">
        <f t="shared" si="236"/>
        <v>45365</v>
      </c>
      <c r="B255" s="110" t="s">
        <v>99</v>
      </c>
      <c r="C255" s="45" t="s">
        <v>8</v>
      </c>
      <c r="D255" s="46" t="s">
        <v>16</v>
      </c>
      <c r="E255" s="134"/>
      <c r="F255" s="135">
        <v>498.65</v>
      </c>
      <c r="G255" s="134"/>
      <c r="H255" s="135"/>
      <c r="I255" s="134">
        <f t="shared" si="233"/>
        <v>0</v>
      </c>
      <c r="J255" s="135">
        <f t="shared" si="232"/>
        <v>498.65</v>
      </c>
      <c r="K255" s="47">
        <f t="shared" ref="K255:L255" si="241">K254</f>
        <v>945.56</v>
      </c>
      <c r="L255" s="47">
        <f t="shared" si="241"/>
        <v>36972.04</v>
      </c>
      <c r="M255" s="136">
        <f t="shared" si="234"/>
        <v>471503.49399999995</v>
      </c>
      <c r="N255" s="137">
        <f t="shared" si="175"/>
        <v>52810.193999999959</v>
      </c>
      <c r="O255" s="138"/>
      <c r="P255" s="138"/>
      <c r="Q255" s="138"/>
      <c r="R255" s="138"/>
      <c r="S255" s="138"/>
      <c r="T255" s="138"/>
      <c r="U255" s="138"/>
      <c r="V255" s="138"/>
      <c r="W255" s="138"/>
      <c r="X255" s="138"/>
      <c r="Y255" s="138"/>
      <c r="Z255" s="138"/>
      <c r="AA255" s="138"/>
      <c r="AB255" s="138"/>
      <c r="AC255" s="138"/>
      <c r="AD255" s="138"/>
      <c r="AE255" s="138"/>
      <c r="AF255" s="138"/>
      <c r="AG255" s="138"/>
      <c r="AH255" s="139">
        <f t="shared" si="235"/>
        <v>-1464.9500000000221</v>
      </c>
      <c r="AI255" s="140">
        <f t="shared" si="177"/>
        <v>54275.143999999978</v>
      </c>
      <c r="AJ255" s="141">
        <f t="shared" si="178"/>
        <v>0</v>
      </c>
    </row>
    <row r="256" spans="1:39" x14ac:dyDescent="0.25">
      <c r="A256" s="119">
        <v>45369</v>
      </c>
      <c r="B256" s="109" t="s">
        <v>99</v>
      </c>
      <c r="C256" s="6" t="s">
        <v>5</v>
      </c>
      <c r="D256" s="7" t="s">
        <v>6</v>
      </c>
      <c r="E256" s="120">
        <v>5501755</v>
      </c>
      <c r="F256" s="130"/>
      <c r="G256" s="120"/>
      <c r="H256" s="130"/>
      <c r="I256" s="120">
        <f t="shared" si="233"/>
        <v>5501755</v>
      </c>
      <c r="J256" s="130">
        <f t="shared" si="232"/>
        <v>0</v>
      </c>
      <c r="K256" s="42">
        <f>VLOOKUP($A256+1,MarketData!$D:$ZZ,MATCH(K$1,MarketData!$D$1:$ZZ$1,0))</f>
        <v>945.11</v>
      </c>
      <c r="L256" s="42">
        <f>VLOOKUP($A256,MarketData!$D:$ZZ,MATCH(L$1,MarketData!$D$1:$ZZ$1,0))</f>
        <v>37000.58</v>
      </c>
      <c r="M256" s="131">
        <f t="shared" si="234"/>
        <v>5501755</v>
      </c>
      <c r="N256" s="126">
        <f t="shared" si="175"/>
        <v>-687561</v>
      </c>
      <c r="O256" s="32"/>
      <c r="P256" s="32"/>
      <c r="Q256" s="32">
        <f>-711401-16160</f>
        <v>-727561</v>
      </c>
      <c r="R256" s="32"/>
      <c r="S256" s="32"/>
      <c r="T256" s="32"/>
      <c r="U256" s="32"/>
      <c r="V256" s="32">
        <v>40000</v>
      </c>
      <c r="W256" s="32"/>
      <c r="X256" s="32"/>
      <c r="Y256" s="32"/>
      <c r="Z256" s="32"/>
      <c r="AA256" s="32"/>
      <c r="AB256" s="32"/>
      <c r="AC256" s="32"/>
      <c r="AD256" s="32"/>
      <c r="AE256" s="32"/>
      <c r="AF256" s="32"/>
      <c r="AG256" s="32"/>
      <c r="AH256" s="127">
        <f>J256*(K256-K248)</f>
        <v>0</v>
      </c>
      <c r="AI256" s="128">
        <f t="shared" si="177"/>
        <v>0</v>
      </c>
      <c r="AJ256" s="129">
        <f t="shared" si="178"/>
        <v>0</v>
      </c>
    </row>
    <row r="257" spans="1:39" x14ac:dyDescent="0.25">
      <c r="A257" s="119">
        <f>A258</f>
        <v>45369</v>
      </c>
      <c r="B257" s="109" t="s">
        <v>99</v>
      </c>
      <c r="C257" s="6" t="s">
        <v>5</v>
      </c>
      <c r="D257" s="7" t="s">
        <v>80</v>
      </c>
      <c r="E257" s="120">
        <v>15000000</v>
      </c>
      <c r="F257" s="130"/>
      <c r="G257" s="122">
        <v>-15000000</v>
      </c>
      <c r="H257" s="123"/>
      <c r="I257" s="120">
        <f>E257+G257</f>
        <v>0</v>
      </c>
      <c r="J257" s="130">
        <f>F257+H257</f>
        <v>0</v>
      </c>
      <c r="K257" s="8">
        <f>K258</f>
        <v>945.11</v>
      </c>
      <c r="L257" s="8">
        <f>L258</f>
        <v>37000.58</v>
      </c>
      <c r="M257" s="131">
        <f>I257+J257*K257</f>
        <v>0</v>
      </c>
      <c r="N257" s="126">
        <f t="shared" si="175"/>
        <v>16160</v>
      </c>
      <c r="O257" s="32"/>
      <c r="P257" s="32"/>
      <c r="Q257" s="32">
        <v>16160</v>
      </c>
      <c r="R257" s="32"/>
      <c r="S257" s="32"/>
      <c r="T257" s="32"/>
      <c r="U257" s="32"/>
      <c r="V257" s="32"/>
      <c r="W257" s="32"/>
      <c r="X257" s="32"/>
      <c r="Y257" s="32"/>
      <c r="Z257" s="32"/>
      <c r="AA257" s="32"/>
      <c r="AB257" s="32"/>
      <c r="AC257" s="32"/>
      <c r="AD257" s="32"/>
      <c r="AE257" s="32"/>
      <c r="AF257" s="32"/>
      <c r="AG257" s="32"/>
      <c r="AH257" s="127">
        <f>J257*(K257-K250)</f>
        <v>0</v>
      </c>
      <c r="AI257" s="128">
        <f t="shared" si="177"/>
        <v>0</v>
      </c>
      <c r="AJ257" s="129">
        <f t="shared" si="178"/>
        <v>0</v>
      </c>
    </row>
    <row r="258" spans="1:39" x14ac:dyDescent="0.25">
      <c r="A258" s="119">
        <f>A256</f>
        <v>45369</v>
      </c>
      <c r="B258" s="109" t="s">
        <v>99</v>
      </c>
      <c r="C258" s="6" t="s">
        <v>5</v>
      </c>
      <c r="D258" s="7" t="s">
        <v>26</v>
      </c>
      <c r="E258" s="120">
        <v>9761643</v>
      </c>
      <c r="F258" s="130">
        <v>7990</v>
      </c>
      <c r="G258" s="122">
        <v>-10000000</v>
      </c>
      <c r="H258" s="123">
        <v>-8000</v>
      </c>
      <c r="I258" s="120">
        <f>E258+G258</f>
        <v>-238357</v>
      </c>
      <c r="J258" s="130">
        <f t="shared" ref="J258:J265" si="242">F258+H258</f>
        <v>-10</v>
      </c>
      <c r="K258" s="8">
        <f>K256</f>
        <v>945.11</v>
      </c>
      <c r="L258" s="8">
        <f>L256</f>
        <v>37000.58</v>
      </c>
      <c r="M258" s="131">
        <f>I258+J258*K258</f>
        <v>-247808.1</v>
      </c>
      <c r="N258" s="126">
        <f t="shared" si="175"/>
        <v>473048.5</v>
      </c>
      <c r="O258" s="32"/>
      <c r="P258" s="32"/>
      <c r="Q258" s="32">
        <v>711401</v>
      </c>
      <c r="R258" s="32">
        <v>-28182</v>
      </c>
      <c r="S258" s="32"/>
      <c r="T258" s="32"/>
      <c r="U258" s="32">
        <f>-42700-8000-13880-22570</f>
        <v>-87150</v>
      </c>
      <c r="V258" s="32">
        <f>-36495-78320</f>
        <v>-114815</v>
      </c>
      <c r="W258" s="32">
        <f>-3030-1790-3390</f>
        <v>-8210</v>
      </c>
      <c r="X258" s="32"/>
      <c r="Y258" s="32"/>
      <c r="Z258" s="32"/>
      <c r="AA258" s="32"/>
      <c r="AB258" s="32"/>
      <c r="AC258" s="32"/>
      <c r="AD258" s="32"/>
      <c r="AE258" s="32"/>
      <c r="AF258" s="32"/>
      <c r="AG258" s="32"/>
      <c r="AH258" s="127">
        <f>J258*(K258-K249)</f>
        <v>4.4999999999993179</v>
      </c>
      <c r="AI258" s="128">
        <f t="shared" si="177"/>
        <v>0</v>
      </c>
      <c r="AJ258" s="129">
        <f t="shared" si="178"/>
        <v>0</v>
      </c>
    </row>
    <row r="259" spans="1:39" x14ac:dyDescent="0.25">
      <c r="A259" s="119">
        <f>A258</f>
        <v>45369</v>
      </c>
      <c r="B259" s="109" t="s">
        <v>99</v>
      </c>
      <c r="C259" s="6" t="s">
        <v>9</v>
      </c>
      <c r="D259" s="7" t="s">
        <v>12</v>
      </c>
      <c r="E259" s="120">
        <v>5930019</v>
      </c>
      <c r="F259" s="130"/>
      <c r="G259" s="122"/>
      <c r="H259" s="123"/>
      <c r="I259" s="120">
        <f t="shared" ref="I259:I265" si="243">E259+G259</f>
        <v>5930019</v>
      </c>
      <c r="J259" s="130">
        <f t="shared" si="242"/>
        <v>0</v>
      </c>
      <c r="K259" s="8">
        <f>K258</f>
        <v>945.11</v>
      </c>
      <c r="L259" s="8">
        <f>L258</f>
        <v>37000.58</v>
      </c>
      <c r="M259" s="131">
        <f t="shared" ref="M259:M265" si="244">I259+J259*K259</f>
        <v>5930019</v>
      </c>
      <c r="N259" s="126">
        <f t="shared" si="175"/>
        <v>4636</v>
      </c>
      <c r="O259" s="32"/>
      <c r="P259" s="32"/>
      <c r="Q259" s="32"/>
      <c r="R259" s="32"/>
      <c r="S259" s="32"/>
      <c r="T259" s="32"/>
      <c r="U259" s="32"/>
      <c r="V259" s="32"/>
      <c r="W259" s="32"/>
      <c r="X259" s="32"/>
      <c r="Y259" s="32"/>
      <c r="Z259" s="32"/>
      <c r="AA259" s="32"/>
      <c r="AB259" s="32"/>
      <c r="AC259" s="32"/>
      <c r="AD259" s="32"/>
      <c r="AE259" s="32"/>
      <c r="AF259" s="32"/>
      <c r="AG259" s="32"/>
      <c r="AH259" s="127">
        <f t="shared" ref="AH259:AH264" si="245">J250*(K259-K250)</f>
        <v>0</v>
      </c>
      <c r="AI259" s="128">
        <f t="shared" si="177"/>
        <v>4636</v>
      </c>
      <c r="AJ259" s="129">
        <f t="shared" si="178"/>
        <v>0</v>
      </c>
    </row>
    <row r="260" spans="1:39" x14ac:dyDescent="0.25">
      <c r="A260" s="119">
        <f t="shared" ref="A260:A264" si="246">A259</f>
        <v>45369</v>
      </c>
      <c r="B260" s="109" t="s">
        <v>99</v>
      </c>
      <c r="C260" s="6" t="s">
        <v>9</v>
      </c>
      <c r="D260" s="7" t="s">
        <v>15</v>
      </c>
      <c r="E260" s="120">
        <v>2024409</v>
      </c>
      <c r="F260" s="130"/>
      <c r="G260" s="122"/>
      <c r="H260" s="123"/>
      <c r="I260" s="120">
        <f t="shared" si="243"/>
        <v>2024409</v>
      </c>
      <c r="J260" s="130">
        <f t="shared" si="242"/>
        <v>0</v>
      </c>
      <c r="K260" s="8">
        <f t="shared" ref="K260:L261" si="247">K259</f>
        <v>945.11</v>
      </c>
      <c r="L260" s="8">
        <f t="shared" si="247"/>
        <v>37000.58</v>
      </c>
      <c r="M260" s="131">
        <f t="shared" si="244"/>
        <v>2024409</v>
      </c>
      <c r="N260" s="126">
        <f t="shared" si="175"/>
        <v>-4589</v>
      </c>
      <c r="O260" s="32"/>
      <c r="P260" s="32"/>
      <c r="Q260" s="32"/>
      <c r="R260" s="32"/>
      <c r="S260" s="32"/>
      <c r="T260" s="32"/>
      <c r="U260" s="32"/>
      <c r="V260" s="32"/>
      <c r="W260" s="32"/>
      <c r="X260" s="32"/>
      <c r="Y260" s="32"/>
      <c r="Z260" s="32"/>
      <c r="AA260" s="32"/>
      <c r="AB260" s="32"/>
      <c r="AC260" s="32"/>
      <c r="AD260" s="32"/>
      <c r="AE260" s="32"/>
      <c r="AF260" s="32"/>
      <c r="AG260" s="32"/>
      <c r="AH260" s="127">
        <f t="shared" si="245"/>
        <v>0</v>
      </c>
      <c r="AI260" s="128">
        <f t="shared" si="177"/>
        <v>-4589</v>
      </c>
      <c r="AJ260" s="129">
        <f t="shared" si="178"/>
        <v>0</v>
      </c>
      <c r="AM260" s="119"/>
    </row>
    <row r="261" spans="1:39" x14ac:dyDescent="0.25">
      <c r="A261" s="119">
        <f t="shared" si="246"/>
        <v>45369</v>
      </c>
      <c r="B261" s="109" t="s">
        <v>99</v>
      </c>
      <c r="C261" s="6" t="s">
        <v>9</v>
      </c>
      <c r="D261" s="7" t="s">
        <v>11</v>
      </c>
      <c r="E261" s="120">
        <v>694474</v>
      </c>
      <c r="F261" s="130"/>
      <c r="G261" s="122"/>
      <c r="H261" s="123"/>
      <c r="I261" s="120">
        <f t="shared" si="243"/>
        <v>694474</v>
      </c>
      <c r="J261" s="130">
        <f t="shared" si="242"/>
        <v>0</v>
      </c>
      <c r="K261" s="8">
        <f t="shared" si="247"/>
        <v>945.11</v>
      </c>
      <c r="L261" s="8">
        <f>L260</f>
        <v>37000.58</v>
      </c>
      <c r="M261" s="131">
        <f t="shared" si="244"/>
        <v>694474</v>
      </c>
      <c r="N261" s="126">
        <f t="shared" si="175"/>
        <v>-1936</v>
      </c>
      <c r="O261" s="32"/>
      <c r="P261" s="32"/>
      <c r="Q261" s="32"/>
      <c r="R261" s="32"/>
      <c r="S261" s="32"/>
      <c r="T261" s="32"/>
      <c r="U261" s="32"/>
      <c r="V261" s="32"/>
      <c r="W261" s="32"/>
      <c r="X261" s="32"/>
      <c r="Y261" s="32"/>
      <c r="Z261" s="32"/>
      <c r="AA261" s="32"/>
      <c r="AB261" s="32"/>
      <c r="AC261" s="32"/>
      <c r="AD261" s="32"/>
      <c r="AE261" s="32"/>
      <c r="AF261" s="32"/>
      <c r="AG261" s="32"/>
      <c r="AH261" s="127">
        <f t="shared" si="245"/>
        <v>0</v>
      </c>
      <c r="AI261" s="128">
        <f t="shared" si="177"/>
        <v>-1936</v>
      </c>
      <c r="AJ261" s="129">
        <f t="shared" si="178"/>
        <v>0</v>
      </c>
    </row>
    <row r="262" spans="1:39" x14ac:dyDescent="0.25">
      <c r="A262" s="119">
        <f t="shared" si="246"/>
        <v>45369</v>
      </c>
      <c r="B262" s="109" t="s">
        <v>99</v>
      </c>
      <c r="C262" s="6" t="s">
        <v>9</v>
      </c>
      <c r="D262" s="7" t="s">
        <v>10</v>
      </c>
      <c r="E262" s="120"/>
      <c r="F262" s="130">
        <f>215.1+107.78+24</f>
        <v>346.88</v>
      </c>
      <c r="G262" s="122"/>
      <c r="H262" s="123"/>
      <c r="I262" s="120">
        <f t="shared" si="243"/>
        <v>0</v>
      </c>
      <c r="J262" s="130">
        <f t="shared" si="242"/>
        <v>346.88</v>
      </c>
      <c r="K262" s="8">
        <f t="shared" ref="K262:L262" si="248">K261</f>
        <v>945.11</v>
      </c>
      <c r="L262" s="8">
        <f t="shared" si="248"/>
        <v>37000.58</v>
      </c>
      <c r="M262" s="131">
        <f t="shared" si="244"/>
        <v>327839.75679999997</v>
      </c>
      <c r="N262" s="126">
        <f t="shared" si="175"/>
        <v>23000.668400000024</v>
      </c>
      <c r="O262" s="32"/>
      <c r="P262" s="32"/>
      <c r="Q262" s="32"/>
      <c r="R262" s="32"/>
      <c r="S262" s="32"/>
      <c r="T262" s="32"/>
      <c r="U262" s="32"/>
      <c r="V262" s="32"/>
      <c r="W262" s="32"/>
      <c r="X262" s="32"/>
      <c r="Y262" s="32"/>
      <c r="Z262" s="32"/>
      <c r="AA262" s="32"/>
      <c r="AB262" s="32"/>
      <c r="AC262" s="32"/>
      <c r="AD262" s="32"/>
      <c r="AE262" s="32"/>
      <c r="AF262" s="32"/>
      <c r="AG262" s="32"/>
      <c r="AH262" s="127">
        <f t="shared" si="245"/>
        <v>-145.07549999997801</v>
      </c>
      <c r="AI262" s="128">
        <f t="shared" si="177"/>
        <v>23145.743900000001</v>
      </c>
      <c r="AJ262" s="129">
        <f t="shared" si="178"/>
        <v>0</v>
      </c>
    </row>
    <row r="263" spans="1:39" x14ac:dyDescent="0.25">
      <c r="A263" s="119">
        <f t="shared" si="246"/>
        <v>45369</v>
      </c>
      <c r="B263" s="109" t="s">
        <v>99</v>
      </c>
      <c r="C263" s="6" t="s">
        <v>7</v>
      </c>
      <c r="D263" s="7" t="s">
        <v>16</v>
      </c>
      <c r="E263" s="120"/>
      <c r="F263" s="130">
        <v>939.35</v>
      </c>
      <c r="G263" s="122"/>
      <c r="H263" s="123"/>
      <c r="I263" s="120">
        <f t="shared" si="243"/>
        <v>0</v>
      </c>
      <c r="J263" s="130">
        <f t="shared" si="242"/>
        <v>939.35</v>
      </c>
      <c r="K263" s="8">
        <f t="shared" ref="K263:L263" si="249">K262</f>
        <v>945.11</v>
      </c>
      <c r="L263" s="8">
        <f t="shared" si="249"/>
        <v>37000.58</v>
      </c>
      <c r="M263" s="131">
        <f t="shared" si="244"/>
        <v>887789.07850000006</v>
      </c>
      <c r="N263" s="126">
        <f t="shared" si="175"/>
        <v>-422.70749999990221</v>
      </c>
      <c r="O263" s="32"/>
      <c r="P263" s="32"/>
      <c r="Q263" s="32"/>
      <c r="R263" s="32"/>
      <c r="S263" s="32"/>
      <c r="T263" s="32"/>
      <c r="U263" s="32"/>
      <c r="V263" s="32"/>
      <c r="W263" s="32"/>
      <c r="X263" s="32"/>
      <c r="Y263" s="32"/>
      <c r="Z263" s="32"/>
      <c r="AA263" s="32"/>
      <c r="AB263" s="32"/>
      <c r="AC263" s="32"/>
      <c r="AD263" s="32"/>
      <c r="AE263" s="32"/>
      <c r="AF263" s="32"/>
      <c r="AG263" s="32"/>
      <c r="AH263" s="127">
        <f t="shared" si="245"/>
        <v>-422.70749999993592</v>
      </c>
      <c r="AI263" s="128">
        <f t="shared" si="177"/>
        <v>3.3708147384459153E-11</v>
      </c>
      <c r="AJ263" s="129">
        <f t="shared" si="178"/>
        <v>0</v>
      </c>
    </row>
    <row r="264" spans="1:39" s="142" customFormat="1" x14ac:dyDescent="0.25">
      <c r="A264" s="133">
        <f t="shared" si="246"/>
        <v>45369</v>
      </c>
      <c r="B264" s="110" t="s">
        <v>99</v>
      </c>
      <c r="C264" s="45" t="s">
        <v>8</v>
      </c>
      <c r="D264" s="46" t="s">
        <v>16</v>
      </c>
      <c r="E264" s="134"/>
      <c r="F264" s="135">
        <v>405.71</v>
      </c>
      <c r="G264" s="134"/>
      <c r="H264" s="135"/>
      <c r="I264" s="134">
        <f t="shared" si="243"/>
        <v>0</v>
      </c>
      <c r="J264" s="135">
        <f t="shared" si="242"/>
        <v>405.71</v>
      </c>
      <c r="K264" s="47">
        <f t="shared" ref="K264:L264" si="250">K263</f>
        <v>945.11</v>
      </c>
      <c r="L264" s="47">
        <f t="shared" si="250"/>
        <v>37000.58</v>
      </c>
      <c r="M264" s="136">
        <f t="shared" si="244"/>
        <v>383440.57809999998</v>
      </c>
      <c r="N264" s="137">
        <f t="shared" si="175"/>
        <v>-88062.915899999964</v>
      </c>
      <c r="O264" s="138"/>
      <c r="P264" s="138"/>
      <c r="Q264" s="138"/>
      <c r="R264" s="138"/>
      <c r="S264" s="138"/>
      <c r="T264" s="138"/>
      <c r="U264" s="138"/>
      <c r="V264" s="138"/>
      <c r="W264" s="138"/>
      <c r="X264" s="138"/>
      <c r="Y264" s="138"/>
      <c r="Z264" s="138"/>
      <c r="AA264" s="138"/>
      <c r="AB264" s="138"/>
      <c r="AC264" s="138"/>
      <c r="AD264" s="138"/>
      <c r="AE264" s="138"/>
      <c r="AF264" s="138"/>
      <c r="AG264" s="138"/>
      <c r="AH264" s="139">
        <f t="shared" si="245"/>
        <v>-224.39249999996596</v>
      </c>
      <c r="AI264" s="140">
        <f t="shared" si="177"/>
        <v>-87838.523399999991</v>
      </c>
      <c r="AJ264" s="141">
        <f t="shared" si="178"/>
        <v>0</v>
      </c>
    </row>
    <row r="265" spans="1:39" x14ac:dyDescent="0.25">
      <c r="A265" s="119">
        <v>45370</v>
      </c>
      <c r="B265" s="109" t="s">
        <v>99</v>
      </c>
      <c r="C265" s="6" t="s">
        <v>5</v>
      </c>
      <c r="D265" s="7" t="s">
        <v>6</v>
      </c>
      <c r="E265" s="120">
        <v>3485189</v>
      </c>
      <c r="F265" s="130"/>
      <c r="G265" s="120"/>
      <c r="H265" s="130"/>
      <c r="I265" s="120">
        <f t="shared" si="243"/>
        <v>3485189</v>
      </c>
      <c r="J265" s="130">
        <f t="shared" si="242"/>
        <v>0</v>
      </c>
      <c r="K265" s="42">
        <f>VLOOKUP($A265+1,MarketData!$D:$ZZ,MATCH(K$1,MarketData!$D$1:$ZZ$1,0))</f>
        <v>962.06</v>
      </c>
      <c r="L265" s="42">
        <f>VLOOKUP($A265,MarketData!$D:$ZZ,MATCH(L$1,MarketData!$D$1:$ZZ$1,0))</f>
        <v>37007.72</v>
      </c>
      <c r="M265" s="131">
        <f t="shared" si="244"/>
        <v>3485189</v>
      </c>
      <c r="N265" s="126">
        <f t="shared" si="175"/>
        <v>-2016566</v>
      </c>
      <c r="O265" s="32"/>
      <c r="P265" s="32"/>
      <c r="Q265" s="32">
        <v>-2000000</v>
      </c>
      <c r="R265" s="32"/>
      <c r="S265" s="32"/>
      <c r="T265" s="32"/>
      <c r="U265" s="32"/>
      <c r="V265" s="32">
        <v>-16566</v>
      </c>
      <c r="W265" s="32"/>
      <c r="X265" s="32"/>
      <c r="Y265" s="32"/>
      <c r="Z265" s="32"/>
      <c r="AA265" s="32"/>
      <c r="AB265" s="32"/>
      <c r="AC265" s="32"/>
      <c r="AD265" s="32"/>
      <c r="AE265" s="32"/>
      <c r="AF265" s="32"/>
      <c r="AG265" s="32"/>
      <c r="AH265" s="127">
        <f>J265*(K265-K257)</f>
        <v>0</v>
      </c>
      <c r="AI265" s="128">
        <f t="shared" si="177"/>
        <v>0</v>
      </c>
      <c r="AJ265" s="129">
        <f t="shared" si="178"/>
        <v>0</v>
      </c>
    </row>
    <row r="266" spans="1:39" x14ac:dyDescent="0.25">
      <c r="A266" s="119">
        <f>A267</f>
        <v>45370</v>
      </c>
      <c r="B266" s="109" t="s">
        <v>99</v>
      </c>
      <c r="C266" s="6" t="s">
        <v>5</v>
      </c>
      <c r="D266" s="7" t="s">
        <v>80</v>
      </c>
      <c r="E266" s="120">
        <v>15000000</v>
      </c>
      <c r="F266" s="130"/>
      <c r="G266" s="122">
        <v>-15000000</v>
      </c>
      <c r="H266" s="123"/>
      <c r="I266" s="120">
        <f>E266+G266</f>
        <v>0</v>
      </c>
      <c r="J266" s="130">
        <f>F266+H266</f>
        <v>0</v>
      </c>
      <c r="K266" s="8">
        <f>K267</f>
        <v>962.06</v>
      </c>
      <c r="L266" s="8">
        <f>L267</f>
        <v>37007.72</v>
      </c>
      <c r="M266" s="131">
        <f>I266+J266*K266</f>
        <v>0</v>
      </c>
      <c r="N266" s="126">
        <f t="shared" ref="N266:N274" si="251">M266-SUMIFS(Total,Cuenta,C266,Linea,D266,Fecha,INDEX(Fecha,MATCH(A266-1,Fecha,1)))</f>
        <v>0</v>
      </c>
      <c r="O266" s="32"/>
      <c r="P266" s="32"/>
      <c r="Q266" s="32"/>
      <c r="R266" s="32"/>
      <c r="S266" s="32"/>
      <c r="T266" s="32"/>
      <c r="U266" s="32"/>
      <c r="V266" s="32"/>
      <c r="W266" s="32"/>
      <c r="X266" s="32"/>
      <c r="Y266" s="32"/>
      <c r="Z266" s="32"/>
      <c r="AA266" s="32"/>
      <c r="AB266" s="32"/>
      <c r="AC266" s="32"/>
      <c r="AD266" s="32"/>
      <c r="AE266" s="32"/>
      <c r="AF266" s="32"/>
      <c r="AG266" s="32"/>
      <c r="AH266" s="127">
        <f>J266*(K266-K259)</f>
        <v>0</v>
      </c>
      <c r="AI266" s="128">
        <f t="shared" ref="AI266:AI293" si="252">(N266-AH266-Q266)*ISNUMBER(MATCH($D266,$AL:$AL,0))</f>
        <v>0</v>
      </c>
      <c r="AJ266" s="129">
        <f t="shared" ref="AJ266:AJ274" si="253">N266-SUM(O266:AI266)</f>
        <v>0</v>
      </c>
    </row>
    <row r="267" spans="1:39" x14ac:dyDescent="0.25">
      <c r="A267" s="119">
        <f>A265</f>
        <v>45370</v>
      </c>
      <c r="B267" s="109" t="s">
        <v>99</v>
      </c>
      <c r="C267" s="6" t="s">
        <v>5</v>
      </c>
      <c r="D267" s="7" t="s">
        <v>26</v>
      </c>
      <c r="E267" s="120">
        <v>9757073</v>
      </c>
      <c r="F267" s="130">
        <v>7990</v>
      </c>
      <c r="G267" s="122">
        <v>-10000000</v>
      </c>
      <c r="H267" s="123">
        <v>-8000</v>
      </c>
      <c r="I267" s="120">
        <f>E267+G267</f>
        <v>-242927</v>
      </c>
      <c r="J267" s="130">
        <f t="shared" ref="J267:J274" si="254">F267+H267</f>
        <v>-10</v>
      </c>
      <c r="K267" s="8">
        <f>K265</f>
        <v>962.06</v>
      </c>
      <c r="L267" s="8">
        <f>L265</f>
        <v>37007.72</v>
      </c>
      <c r="M267" s="131">
        <f>I267+J267*K267</f>
        <v>-252547.6</v>
      </c>
      <c r="N267" s="126">
        <f t="shared" si="251"/>
        <v>-4739.5</v>
      </c>
      <c r="O267" s="32"/>
      <c r="P267" s="32"/>
      <c r="Q267" s="32"/>
      <c r="R267" s="32"/>
      <c r="S267" s="32"/>
      <c r="T267" s="32"/>
      <c r="U267" s="32"/>
      <c r="V267" s="32"/>
      <c r="W267" s="32">
        <f>-2780-1790</f>
        <v>-4570</v>
      </c>
      <c r="X267" s="32"/>
      <c r="Y267" s="32"/>
      <c r="Z267" s="32"/>
      <c r="AA267" s="32"/>
      <c r="AB267" s="32"/>
      <c r="AC267" s="32"/>
      <c r="AD267" s="32"/>
      <c r="AE267" s="32"/>
      <c r="AF267" s="32"/>
      <c r="AG267" s="32"/>
      <c r="AH267" s="127">
        <f>J267*(K267-K258)</f>
        <v>-169.49999999999932</v>
      </c>
      <c r="AI267" s="128">
        <f t="shared" si="252"/>
        <v>0</v>
      </c>
      <c r="AJ267" s="129">
        <f t="shared" si="253"/>
        <v>0</v>
      </c>
    </row>
    <row r="268" spans="1:39" x14ac:dyDescent="0.25">
      <c r="A268" s="119">
        <f>A267</f>
        <v>45370</v>
      </c>
      <c r="B268" s="109" t="s">
        <v>99</v>
      </c>
      <c r="C268" s="6" t="s">
        <v>9</v>
      </c>
      <c r="D268" s="7" t="s">
        <v>12</v>
      </c>
      <c r="E268" s="120">
        <v>7931318</v>
      </c>
      <c r="F268" s="130"/>
      <c r="G268" s="122"/>
      <c r="H268" s="123"/>
      <c r="I268" s="120">
        <f t="shared" ref="I268:I274" si="255">E268+G268</f>
        <v>7931318</v>
      </c>
      <c r="J268" s="130">
        <f t="shared" si="254"/>
        <v>0</v>
      </c>
      <c r="K268" s="8">
        <f>K267</f>
        <v>962.06</v>
      </c>
      <c r="L268" s="8">
        <f>L267</f>
        <v>37007.72</v>
      </c>
      <c r="M268" s="131">
        <f t="shared" ref="M268:M274" si="256">I268+J268*K268</f>
        <v>7931318</v>
      </c>
      <c r="N268" s="126">
        <f t="shared" si="251"/>
        <v>2001299</v>
      </c>
      <c r="O268" s="32"/>
      <c r="P268" s="32"/>
      <c r="Q268" s="32">
        <v>2000000</v>
      </c>
      <c r="R268" s="32"/>
      <c r="S268" s="32"/>
      <c r="T268" s="32"/>
      <c r="U268" s="32"/>
      <c r="V268" s="32"/>
      <c r="W268" s="32"/>
      <c r="X268" s="32"/>
      <c r="Y268" s="32"/>
      <c r="Z268" s="32"/>
      <c r="AA268" s="32"/>
      <c r="AB268" s="32"/>
      <c r="AC268" s="32"/>
      <c r="AD268" s="32"/>
      <c r="AE268" s="32"/>
      <c r="AF268" s="32"/>
      <c r="AG268" s="32"/>
      <c r="AH268" s="127">
        <f t="shared" ref="AH268:AH273" si="257">J259*(K268-K259)</f>
        <v>0</v>
      </c>
      <c r="AI268" s="128">
        <f t="shared" si="252"/>
        <v>1299</v>
      </c>
      <c r="AJ268" s="129">
        <f t="shared" si="253"/>
        <v>0</v>
      </c>
    </row>
    <row r="269" spans="1:39" x14ac:dyDescent="0.25">
      <c r="A269" s="119">
        <f t="shared" ref="A269:A273" si="258">A268</f>
        <v>45370</v>
      </c>
      <c r="B269" s="109" t="s">
        <v>99</v>
      </c>
      <c r="C269" s="6" t="s">
        <v>9</v>
      </c>
      <c r="D269" s="7" t="s">
        <v>15</v>
      </c>
      <c r="E269" s="120">
        <v>2061537</v>
      </c>
      <c r="F269" s="130"/>
      <c r="G269" s="122"/>
      <c r="H269" s="123"/>
      <c r="I269" s="120">
        <f t="shared" si="255"/>
        <v>2061537</v>
      </c>
      <c r="J269" s="130">
        <f t="shared" si="254"/>
        <v>0</v>
      </c>
      <c r="K269" s="8">
        <f t="shared" ref="K269:L269" si="259">K268</f>
        <v>962.06</v>
      </c>
      <c r="L269" s="8">
        <f t="shared" si="259"/>
        <v>37007.72</v>
      </c>
      <c r="M269" s="131">
        <f t="shared" si="256"/>
        <v>2061537</v>
      </c>
      <c r="N269" s="126">
        <f t="shared" si="251"/>
        <v>37128</v>
      </c>
      <c r="O269" s="32"/>
      <c r="P269" s="32"/>
      <c r="Q269" s="32"/>
      <c r="R269" s="32"/>
      <c r="S269" s="32"/>
      <c r="T269" s="32"/>
      <c r="U269" s="32"/>
      <c r="V269" s="32"/>
      <c r="W269" s="32"/>
      <c r="X269" s="32"/>
      <c r="Y269" s="32"/>
      <c r="Z269" s="32"/>
      <c r="AA269" s="32"/>
      <c r="AB269" s="32"/>
      <c r="AC269" s="32"/>
      <c r="AD269" s="32"/>
      <c r="AE269" s="32"/>
      <c r="AF269" s="32"/>
      <c r="AG269" s="32"/>
      <c r="AH269" s="127">
        <f t="shared" si="257"/>
        <v>0</v>
      </c>
      <c r="AI269" s="128">
        <f t="shared" si="252"/>
        <v>37128</v>
      </c>
      <c r="AJ269" s="129">
        <f t="shared" si="253"/>
        <v>0</v>
      </c>
      <c r="AM269" s="119"/>
    </row>
    <row r="270" spans="1:39" x14ac:dyDescent="0.25">
      <c r="A270" s="119">
        <f t="shared" si="258"/>
        <v>45370</v>
      </c>
      <c r="B270" s="109" t="s">
        <v>99</v>
      </c>
      <c r="C270" s="6" t="s">
        <v>9</v>
      </c>
      <c r="D270" s="7" t="s">
        <v>11</v>
      </c>
      <c r="E270" s="120">
        <v>701187</v>
      </c>
      <c r="F270" s="130"/>
      <c r="G270" s="122"/>
      <c r="H270" s="123"/>
      <c r="I270" s="120">
        <f>E270+G270</f>
        <v>701187</v>
      </c>
      <c r="J270" s="130">
        <f t="shared" si="254"/>
        <v>0</v>
      </c>
      <c r="K270" s="8">
        <f t="shared" ref="K270" si="260">K269</f>
        <v>962.06</v>
      </c>
      <c r="L270" s="8">
        <f>L269</f>
        <v>37007.72</v>
      </c>
      <c r="M270" s="131">
        <f t="shared" si="256"/>
        <v>701187</v>
      </c>
      <c r="N270" s="126">
        <f t="shared" si="251"/>
        <v>6713</v>
      </c>
      <c r="O270" s="32"/>
      <c r="P270" s="32"/>
      <c r="Q270" s="32"/>
      <c r="R270" s="32"/>
      <c r="S270" s="32"/>
      <c r="T270" s="32"/>
      <c r="U270" s="32"/>
      <c r="V270" s="32"/>
      <c r="W270" s="32"/>
      <c r="X270" s="32"/>
      <c r="Y270" s="32"/>
      <c r="Z270" s="32"/>
      <c r="AA270" s="32"/>
      <c r="AB270" s="32"/>
      <c r="AC270" s="32"/>
      <c r="AD270" s="32"/>
      <c r="AE270" s="32"/>
      <c r="AF270" s="32"/>
      <c r="AG270" s="32"/>
      <c r="AH270" s="127">
        <f t="shared" si="257"/>
        <v>0</v>
      </c>
      <c r="AI270" s="128">
        <f t="shared" si="252"/>
        <v>6713</v>
      </c>
      <c r="AJ270" s="129">
        <f t="shared" si="253"/>
        <v>0</v>
      </c>
    </row>
    <row r="271" spans="1:39" x14ac:dyDescent="0.25">
      <c r="A271" s="119">
        <f t="shared" si="258"/>
        <v>45370</v>
      </c>
      <c r="B271" s="109" t="s">
        <v>99</v>
      </c>
      <c r="C271" s="6" t="s">
        <v>9</v>
      </c>
      <c r="D271" s="7" t="s">
        <v>10</v>
      </c>
      <c r="E271" s="120"/>
      <c r="F271" s="130">
        <f>215.5+105.91+0.24</f>
        <v>321.64999999999998</v>
      </c>
      <c r="G271" s="122"/>
      <c r="H271" s="123"/>
      <c r="I271" s="120">
        <f t="shared" si="255"/>
        <v>0</v>
      </c>
      <c r="J271" s="130">
        <f t="shared" si="254"/>
        <v>321.64999999999998</v>
      </c>
      <c r="K271" s="8">
        <f t="shared" ref="K271:L271" si="261">K270</f>
        <v>962.06</v>
      </c>
      <c r="L271" s="8">
        <f t="shared" si="261"/>
        <v>37007.72</v>
      </c>
      <c r="M271" s="131">
        <f t="shared" si="256"/>
        <v>309446.59899999999</v>
      </c>
      <c r="N271" s="126">
        <f t="shared" si="251"/>
        <v>-18393.157799999986</v>
      </c>
      <c r="O271" s="32"/>
      <c r="P271" s="32"/>
      <c r="Q271" s="32"/>
      <c r="R271" s="32"/>
      <c r="S271" s="32"/>
      <c r="T271" s="32"/>
      <c r="U271" s="32"/>
      <c r="V271" s="32"/>
      <c r="W271" s="32"/>
      <c r="X271" s="32"/>
      <c r="Y271" s="32"/>
      <c r="Z271" s="32"/>
      <c r="AA271" s="32"/>
      <c r="AB271" s="32"/>
      <c r="AC271" s="32"/>
      <c r="AD271" s="32"/>
      <c r="AE271" s="32"/>
      <c r="AF271" s="32"/>
      <c r="AG271" s="32"/>
      <c r="AH271" s="127">
        <f t="shared" si="257"/>
        <v>5879.6159999999763</v>
      </c>
      <c r="AI271" s="128">
        <f t="shared" si="252"/>
        <v>-24272.773799999963</v>
      </c>
      <c r="AJ271" s="129">
        <f t="shared" si="253"/>
        <v>0</v>
      </c>
    </row>
    <row r="272" spans="1:39" x14ac:dyDescent="0.25">
      <c r="A272" s="119">
        <f t="shared" si="258"/>
        <v>45370</v>
      </c>
      <c r="B272" s="109" t="s">
        <v>99</v>
      </c>
      <c r="C272" s="6" t="s">
        <v>7</v>
      </c>
      <c r="D272" s="7" t="s">
        <v>16</v>
      </c>
      <c r="E272" s="120"/>
      <c r="F272" s="130">
        <v>939.35</v>
      </c>
      <c r="G272" s="122"/>
      <c r="H272" s="123"/>
      <c r="I272" s="120">
        <f>E272+G272</f>
        <v>0</v>
      </c>
      <c r="J272" s="130">
        <f t="shared" si="254"/>
        <v>939.35</v>
      </c>
      <c r="K272" s="8">
        <f t="shared" ref="K272:L272" si="262">K271</f>
        <v>962.06</v>
      </c>
      <c r="L272" s="8">
        <f t="shared" si="262"/>
        <v>37007.72</v>
      </c>
      <c r="M272" s="131">
        <f t="shared" si="256"/>
        <v>903711.06099999999</v>
      </c>
      <c r="N272" s="126">
        <f t="shared" si="251"/>
        <v>15921.982499999925</v>
      </c>
      <c r="O272" s="32"/>
      <c r="P272" s="32"/>
      <c r="Q272" s="32"/>
      <c r="R272" s="32"/>
      <c r="S272" s="32"/>
      <c r="T272" s="32"/>
      <c r="U272" s="32"/>
      <c r="V272" s="32"/>
      <c r="W272" s="32"/>
      <c r="X272" s="32"/>
      <c r="Y272" s="32"/>
      <c r="Z272" s="32"/>
      <c r="AA272" s="32"/>
      <c r="AB272" s="32"/>
      <c r="AC272" s="32"/>
      <c r="AD272" s="32"/>
      <c r="AE272" s="32"/>
      <c r="AF272" s="32"/>
      <c r="AG272" s="32"/>
      <c r="AH272" s="127">
        <f t="shared" si="257"/>
        <v>15921.982499999936</v>
      </c>
      <c r="AI272" s="128">
        <f t="shared" si="252"/>
        <v>-1.0913936421275139E-11</v>
      </c>
      <c r="AJ272" s="129">
        <f t="shared" si="253"/>
        <v>0</v>
      </c>
    </row>
    <row r="273" spans="1:39" s="142" customFormat="1" x14ac:dyDescent="0.25">
      <c r="A273" s="133">
        <f t="shared" si="258"/>
        <v>45370</v>
      </c>
      <c r="B273" s="110" t="s">
        <v>99</v>
      </c>
      <c r="C273" s="45" t="s">
        <v>8</v>
      </c>
      <c r="D273" s="46" t="s">
        <v>16</v>
      </c>
      <c r="E273" s="134"/>
      <c r="F273" s="135">
        <v>348.39</v>
      </c>
      <c r="G273" s="134"/>
      <c r="H273" s="135"/>
      <c r="I273" s="134">
        <f t="shared" si="255"/>
        <v>0</v>
      </c>
      <c r="J273" s="135">
        <f t="shared" si="254"/>
        <v>348.39</v>
      </c>
      <c r="K273" s="47">
        <f t="shared" ref="K273:L273" si="263">K272</f>
        <v>962.06</v>
      </c>
      <c r="L273" s="47">
        <f t="shared" si="263"/>
        <v>37007.72</v>
      </c>
      <c r="M273" s="136">
        <f t="shared" si="256"/>
        <v>335172.08339999994</v>
      </c>
      <c r="N273" s="137">
        <f t="shared" si="251"/>
        <v>-48268.494700000039</v>
      </c>
      <c r="O273" s="138"/>
      <c r="P273" s="138"/>
      <c r="Q273" s="138"/>
      <c r="R273" s="138"/>
      <c r="S273" s="138"/>
      <c r="T273" s="138"/>
      <c r="U273" s="138"/>
      <c r="V273" s="138"/>
      <c r="W273" s="138"/>
      <c r="X273" s="138"/>
      <c r="Y273" s="138"/>
      <c r="Z273" s="138"/>
      <c r="AA273" s="138"/>
      <c r="AB273" s="138"/>
      <c r="AC273" s="138"/>
      <c r="AD273" s="138"/>
      <c r="AE273" s="138"/>
      <c r="AF273" s="138"/>
      <c r="AG273" s="138"/>
      <c r="AH273" s="139">
        <f t="shared" si="257"/>
        <v>6876.7844999999716</v>
      </c>
      <c r="AI273" s="140">
        <f t="shared" si="252"/>
        <v>-55145.279200000012</v>
      </c>
      <c r="AJ273" s="141">
        <f t="shared" si="253"/>
        <v>0</v>
      </c>
    </row>
    <row r="274" spans="1:39" x14ac:dyDescent="0.25">
      <c r="A274" s="119">
        <v>45371</v>
      </c>
      <c r="B274" s="109" t="s">
        <v>99</v>
      </c>
      <c r="C274" s="6" t="s">
        <v>5</v>
      </c>
      <c r="D274" s="7" t="s">
        <v>6</v>
      </c>
      <c r="E274" s="120">
        <v>3485189</v>
      </c>
      <c r="F274" s="130"/>
      <c r="G274" s="120"/>
      <c r="H274" s="130"/>
      <c r="I274" s="120">
        <f t="shared" si="255"/>
        <v>3485189</v>
      </c>
      <c r="J274" s="130">
        <f t="shared" si="254"/>
        <v>0</v>
      </c>
      <c r="K274" s="42">
        <f>VLOOKUP($A274+1,MarketData!$D:$ZZ,MATCH(K$1,MarketData!$D$1:$ZZ$1,0))</f>
        <v>975.91</v>
      </c>
      <c r="L274" s="42">
        <f>VLOOKUP($A274,MarketData!$D:$ZZ,MATCH(L$1,MarketData!$D$1:$ZZ$1,0))</f>
        <v>37014.870000000003</v>
      </c>
      <c r="M274" s="131">
        <f t="shared" si="256"/>
        <v>3485189</v>
      </c>
      <c r="N274" s="126">
        <f t="shared" si="251"/>
        <v>0</v>
      </c>
      <c r="O274" s="32"/>
      <c r="P274" s="32"/>
      <c r="Q274" s="32"/>
      <c r="R274" s="32"/>
      <c r="S274" s="32"/>
      <c r="T274" s="32"/>
      <c r="U274" s="32"/>
      <c r="V274" s="32"/>
      <c r="W274" s="32"/>
      <c r="X274" s="32"/>
      <c r="Y274" s="32"/>
      <c r="Z274" s="32"/>
      <c r="AA274" s="32"/>
      <c r="AB274" s="32"/>
      <c r="AC274" s="32"/>
      <c r="AD274" s="32"/>
      <c r="AE274" s="32"/>
      <c r="AF274" s="32"/>
      <c r="AG274" s="32"/>
      <c r="AH274" s="127">
        <f>J274*(K274-K265)</f>
        <v>0</v>
      </c>
      <c r="AI274" s="128">
        <f t="shared" si="252"/>
        <v>0</v>
      </c>
      <c r="AJ274" s="129">
        <f t="shared" si="253"/>
        <v>0</v>
      </c>
    </row>
    <row r="275" spans="1:39" x14ac:dyDescent="0.25">
      <c r="A275" s="119">
        <f>A276</f>
        <v>45371</v>
      </c>
      <c r="B275" s="109" t="s">
        <v>99</v>
      </c>
      <c r="C275" s="6" t="s">
        <v>5</v>
      </c>
      <c r="D275" s="7" t="s">
        <v>80</v>
      </c>
      <c r="E275" s="120">
        <v>15000000</v>
      </c>
      <c r="F275" s="130"/>
      <c r="G275" s="122">
        <v>-15000000</v>
      </c>
      <c r="H275" s="123"/>
      <c r="I275" s="120">
        <f>E275+G275</f>
        <v>0</v>
      </c>
      <c r="J275" s="130">
        <f>F275+H275</f>
        <v>0</v>
      </c>
      <c r="K275" s="8">
        <f>K276</f>
        <v>975.91</v>
      </c>
      <c r="L275" s="8">
        <f>L276</f>
        <v>37014.870000000003</v>
      </c>
      <c r="M275" s="131">
        <f>I275+J275*K275</f>
        <v>0</v>
      </c>
      <c r="N275" s="126">
        <f t="shared" ref="N275:N281" si="264">M275-SUMIFS(Total,Cuenta,C275,Linea,D275,Fecha,INDEX(Fecha,MATCH(A275-1,Fecha,1)))</f>
        <v>0</v>
      </c>
      <c r="O275" s="32"/>
      <c r="P275" s="32"/>
      <c r="Q275" s="32"/>
      <c r="R275" s="32"/>
      <c r="S275" s="32"/>
      <c r="T275" s="32"/>
      <c r="U275" s="32"/>
      <c r="V275" s="32"/>
      <c r="W275" s="32"/>
      <c r="X275" s="32"/>
      <c r="Y275" s="32"/>
      <c r="Z275" s="32"/>
      <c r="AA275" s="32"/>
      <c r="AB275" s="32"/>
      <c r="AC275" s="32"/>
      <c r="AD275" s="32"/>
      <c r="AE275" s="32"/>
      <c r="AF275" s="32"/>
      <c r="AG275" s="32"/>
      <c r="AH275" s="127">
        <f t="shared" ref="AH275:AH281" si="265">J275*(K275-K266)</f>
        <v>0</v>
      </c>
      <c r="AI275" s="128">
        <f t="shared" si="252"/>
        <v>0</v>
      </c>
      <c r="AJ275" s="129">
        <f t="shared" ref="AJ275:AJ281" si="266">N275-SUM(O275:AI275)</f>
        <v>0</v>
      </c>
    </row>
    <row r="276" spans="1:39" x14ac:dyDescent="0.25">
      <c r="A276" s="119">
        <f>A274</f>
        <v>45371</v>
      </c>
      <c r="B276" s="109" t="s">
        <v>99</v>
      </c>
      <c r="C276" s="6" t="s">
        <v>5</v>
      </c>
      <c r="D276" s="7" t="s">
        <v>26</v>
      </c>
      <c r="E276" s="120">
        <v>9753103</v>
      </c>
      <c r="F276" s="130">
        <v>7990</v>
      </c>
      <c r="G276" s="122">
        <v>-10000000</v>
      </c>
      <c r="H276" s="123">
        <v>-8000</v>
      </c>
      <c r="I276" s="120">
        <f>E276+G276</f>
        <v>-246897</v>
      </c>
      <c r="J276" s="130">
        <f t="shared" ref="J276:J281" si="267">F276+H276</f>
        <v>-10</v>
      </c>
      <c r="K276" s="8">
        <f>K274</f>
        <v>975.91</v>
      </c>
      <c r="L276" s="8">
        <f>L274</f>
        <v>37014.870000000003</v>
      </c>
      <c r="M276" s="131">
        <f>I276+J276*K276</f>
        <v>-256656.1</v>
      </c>
      <c r="N276" s="126">
        <f t="shared" si="264"/>
        <v>-4108.5</v>
      </c>
      <c r="O276" s="32"/>
      <c r="P276" s="32"/>
      <c r="Q276" s="32"/>
      <c r="R276" s="32"/>
      <c r="S276" s="32"/>
      <c r="T276" s="32"/>
      <c r="U276" s="32"/>
      <c r="V276" s="32"/>
      <c r="W276" s="32">
        <v>-3970</v>
      </c>
      <c r="X276" s="32"/>
      <c r="Y276" s="32"/>
      <c r="Z276" s="32"/>
      <c r="AA276" s="32"/>
      <c r="AB276" s="32"/>
      <c r="AC276" s="32"/>
      <c r="AD276" s="32"/>
      <c r="AE276" s="32"/>
      <c r="AF276" s="32"/>
      <c r="AG276" s="32"/>
      <c r="AH276" s="127">
        <f t="shared" si="265"/>
        <v>-138.50000000000023</v>
      </c>
      <c r="AI276" s="128">
        <f t="shared" si="252"/>
        <v>0</v>
      </c>
      <c r="AJ276" s="129">
        <f t="shared" si="266"/>
        <v>0</v>
      </c>
    </row>
    <row r="277" spans="1:39" x14ac:dyDescent="0.25">
      <c r="A277" s="119">
        <f>A276</f>
        <v>45371</v>
      </c>
      <c r="B277" s="109" t="s">
        <v>99</v>
      </c>
      <c r="C277" s="6" t="s">
        <v>9</v>
      </c>
      <c r="D277" s="7" t="s">
        <v>12</v>
      </c>
      <c r="E277" s="120">
        <v>7932503</v>
      </c>
      <c r="F277" s="130"/>
      <c r="G277" s="122"/>
      <c r="H277" s="123"/>
      <c r="I277" s="120">
        <f t="shared" ref="I277:I278" si="268">E277+G277</f>
        <v>7932503</v>
      </c>
      <c r="J277" s="130">
        <f t="shared" si="267"/>
        <v>0</v>
      </c>
      <c r="K277" s="8">
        <f>K276</f>
        <v>975.91</v>
      </c>
      <c r="L277" s="8">
        <f>L276</f>
        <v>37014.870000000003</v>
      </c>
      <c r="M277" s="131">
        <f t="shared" ref="M277:M281" si="269">I277+J277*K277</f>
        <v>7932503</v>
      </c>
      <c r="N277" s="126">
        <f t="shared" si="264"/>
        <v>1185</v>
      </c>
      <c r="O277" s="32"/>
      <c r="P277" s="32"/>
      <c r="Q277" s="32"/>
      <c r="R277" s="32"/>
      <c r="S277" s="32"/>
      <c r="T277" s="32"/>
      <c r="U277" s="32"/>
      <c r="V277" s="32"/>
      <c r="W277" s="32"/>
      <c r="X277" s="32"/>
      <c r="Y277" s="32"/>
      <c r="Z277" s="32"/>
      <c r="AA277" s="32"/>
      <c r="AB277" s="32"/>
      <c r="AC277" s="32"/>
      <c r="AD277" s="32"/>
      <c r="AE277" s="32"/>
      <c r="AF277" s="32"/>
      <c r="AG277" s="32"/>
      <c r="AH277" s="127">
        <f t="shared" si="265"/>
        <v>0</v>
      </c>
      <c r="AI277" s="128">
        <f t="shared" si="252"/>
        <v>1185</v>
      </c>
      <c r="AJ277" s="129">
        <f t="shared" si="266"/>
        <v>0</v>
      </c>
    </row>
    <row r="278" spans="1:39" x14ac:dyDescent="0.25">
      <c r="A278" s="119">
        <f t="shared" ref="A278:A281" si="270">A277</f>
        <v>45371</v>
      </c>
      <c r="B278" s="109" t="s">
        <v>99</v>
      </c>
      <c r="C278" s="6" t="s">
        <v>9</v>
      </c>
      <c r="D278" s="7" t="s">
        <v>15</v>
      </c>
      <c r="E278" s="120">
        <v>2111233</v>
      </c>
      <c r="F278" s="130"/>
      <c r="G278" s="122"/>
      <c r="H278" s="123"/>
      <c r="I278" s="120">
        <f t="shared" si="268"/>
        <v>2111233</v>
      </c>
      <c r="J278" s="130">
        <f t="shared" si="267"/>
        <v>0</v>
      </c>
      <c r="K278" s="8">
        <f t="shared" ref="K278:L279" si="271">K277</f>
        <v>975.91</v>
      </c>
      <c r="L278" s="8">
        <f t="shared" si="271"/>
        <v>37014.870000000003</v>
      </c>
      <c r="M278" s="131">
        <f t="shared" si="269"/>
        <v>2111233</v>
      </c>
      <c r="N278" s="126">
        <f t="shared" si="264"/>
        <v>49696</v>
      </c>
      <c r="O278" s="32"/>
      <c r="P278" s="32"/>
      <c r="Q278" s="32"/>
      <c r="R278" s="32"/>
      <c r="S278" s="32"/>
      <c r="T278" s="32"/>
      <c r="U278" s="32"/>
      <c r="V278" s="32"/>
      <c r="W278" s="32"/>
      <c r="X278" s="32"/>
      <c r="Y278" s="32"/>
      <c r="Z278" s="32"/>
      <c r="AA278" s="32"/>
      <c r="AB278" s="32"/>
      <c r="AC278" s="32"/>
      <c r="AD278" s="32"/>
      <c r="AE278" s="32"/>
      <c r="AF278" s="32"/>
      <c r="AG278" s="32"/>
      <c r="AH278" s="127">
        <f t="shared" si="265"/>
        <v>0</v>
      </c>
      <c r="AI278" s="128">
        <f t="shared" si="252"/>
        <v>49696</v>
      </c>
      <c r="AJ278" s="129">
        <f t="shared" si="266"/>
        <v>0</v>
      </c>
      <c r="AM278" s="119"/>
    </row>
    <row r="279" spans="1:39" x14ac:dyDescent="0.25">
      <c r="A279" s="119">
        <f t="shared" si="270"/>
        <v>45371</v>
      </c>
      <c r="B279" s="109" t="s">
        <v>99</v>
      </c>
      <c r="C279" s="6" t="s">
        <v>9</v>
      </c>
      <c r="D279" s="7" t="s">
        <v>11</v>
      </c>
      <c r="E279" s="120">
        <v>703951</v>
      </c>
      <c r="F279" s="130"/>
      <c r="G279" s="122"/>
      <c r="H279" s="123"/>
      <c r="I279" s="120">
        <f>E279+G279</f>
        <v>703951</v>
      </c>
      <c r="J279" s="130">
        <f t="shared" si="267"/>
        <v>0</v>
      </c>
      <c r="K279" s="8">
        <f t="shared" si="271"/>
        <v>975.91</v>
      </c>
      <c r="L279" s="8">
        <f>L278</f>
        <v>37014.870000000003</v>
      </c>
      <c r="M279" s="131">
        <f t="shared" si="269"/>
        <v>703951</v>
      </c>
      <c r="N279" s="126">
        <f t="shared" si="264"/>
        <v>2764</v>
      </c>
      <c r="O279" s="32"/>
      <c r="P279" s="32"/>
      <c r="Q279" s="32"/>
      <c r="R279" s="32"/>
      <c r="S279" s="32"/>
      <c r="T279" s="32"/>
      <c r="U279" s="32"/>
      <c r="V279" s="32"/>
      <c r="W279" s="32"/>
      <c r="X279" s="32"/>
      <c r="Y279" s="32"/>
      <c r="Z279" s="32"/>
      <c r="AA279" s="32"/>
      <c r="AB279" s="32"/>
      <c r="AC279" s="32"/>
      <c r="AD279" s="32"/>
      <c r="AE279" s="32"/>
      <c r="AF279" s="32"/>
      <c r="AG279" s="32"/>
      <c r="AH279" s="127">
        <f t="shared" si="265"/>
        <v>0</v>
      </c>
      <c r="AI279" s="128">
        <f t="shared" si="252"/>
        <v>2764</v>
      </c>
      <c r="AJ279" s="129">
        <f t="shared" si="266"/>
        <v>0</v>
      </c>
    </row>
    <row r="280" spans="1:39" x14ac:dyDescent="0.25">
      <c r="A280" s="119">
        <f t="shared" si="270"/>
        <v>45371</v>
      </c>
      <c r="B280" s="109" t="s">
        <v>99</v>
      </c>
      <c r="C280" s="6" t="s">
        <v>9</v>
      </c>
      <c r="D280" s="7" t="s">
        <v>10</v>
      </c>
      <c r="E280" s="120"/>
      <c r="F280" s="130">
        <f>218.04+107.15+0.25</f>
        <v>325.44</v>
      </c>
      <c r="G280" s="122"/>
      <c r="H280" s="123"/>
      <c r="I280" s="120">
        <f t="shared" ref="I280" si="272">E280+G280</f>
        <v>0</v>
      </c>
      <c r="J280" s="130">
        <f t="shared" si="267"/>
        <v>325.44</v>
      </c>
      <c r="K280" s="8">
        <f t="shared" ref="K280:L280" si="273">K279</f>
        <v>975.91</v>
      </c>
      <c r="L280" s="8">
        <f t="shared" si="273"/>
        <v>37014.870000000003</v>
      </c>
      <c r="M280" s="131">
        <f t="shared" si="269"/>
        <v>317600.15039999998</v>
      </c>
      <c r="N280" s="126">
        <f t="shared" si="264"/>
        <v>8153.5513999999966</v>
      </c>
      <c r="O280" s="32"/>
      <c r="P280" s="32"/>
      <c r="Q280" s="32"/>
      <c r="R280" s="32"/>
      <c r="S280" s="32"/>
      <c r="T280" s="32"/>
      <c r="U280" s="32"/>
      <c r="V280" s="32"/>
      <c r="W280" s="32"/>
      <c r="X280" s="32"/>
      <c r="Y280" s="32"/>
      <c r="Z280" s="32"/>
      <c r="AA280" s="32"/>
      <c r="AB280" s="32"/>
      <c r="AC280" s="32"/>
      <c r="AD280" s="32"/>
      <c r="AE280" s="32"/>
      <c r="AF280" s="32"/>
      <c r="AG280" s="32"/>
      <c r="AH280" s="127">
        <f t="shared" si="265"/>
        <v>4507.3440000000073</v>
      </c>
      <c r="AI280" s="128">
        <f t="shared" si="252"/>
        <v>3646.2073999999893</v>
      </c>
      <c r="AJ280" s="129">
        <f t="shared" si="266"/>
        <v>0</v>
      </c>
    </row>
    <row r="281" spans="1:39" x14ac:dyDescent="0.25">
      <c r="A281" s="119">
        <f t="shared" si="270"/>
        <v>45371</v>
      </c>
      <c r="B281" s="109" t="s">
        <v>99</v>
      </c>
      <c r="C281" s="6" t="s">
        <v>7</v>
      </c>
      <c r="D281" s="7" t="s">
        <v>16</v>
      </c>
      <c r="E281" s="120"/>
      <c r="F281" s="130">
        <v>939.35</v>
      </c>
      <c r="G281" s="122"/>
      <c r="H281" s="123"/>
      <c r="I281" s="120">
        <f>E281+G281</f>
        <v>0</v>
      </c>
      <c r="J281" s="130">
        <f t="shared" si="267"/>
        <v>939.35</v>
      </c>
      <c r="K281" s="8">
        <f t="shared" ref="K281:L281" si="274">K280</f>
        <v>975.91</v>
      </c>
      <c r="L281" s="8">
        <f t="shared" si="274"/>
        <v>37014.870000000003</v>
      </c>
      <c r="M281" s="131">
        <f t="shared" si="269"/>
        <v>916721.05850000004</v>
      </c>
      <c r="N281" s="126">
        <f t="shared" si="264"/>
        <v>13009.997500000056</v>
      </c>
      <c r="O281" s="32"/>
      <c r="P281" s="32"/>
      <c r="Q281" s="32"/>
      <c r="R281" s="32"/>
      <c r="S281" s="32"/>
      <c r="T281" s="32"/>
      <c r="U281" s="32"/>
      <c r="V281" s="32"/>
      <c r="W281" s="32"/>
      <c r="X281" s="32"/>
      <c r="Y281" s="32"/>
      <c r="Z281" s="32"/>
      <c r="AA281" s="32"/>
      <c r="AB281" s="32"/>
      <c r="AC281" s="32"/>
      <c r="AD281" s="32"/>
      <c r="AE281" s="32"/>
      <c r="AF281" s="32"/>
      <c r="AG281" s="32"/>
      <c r="AH281" s="127">
        <f t="shared" si="265"/>
        <v>13009.997500000021</v>
      </c>
      <c r="AI281" s="128">
        <f t="shared" si="252"/>
        <v>3.4560798667371273E-11</v>
      </c>
      <c r="AJ281" s="129">
        <f t="shared" si="266"/>
        <v>0</v>
      </c>
    </row>
    <row r="282" spans="1:39" x14ac:dyDescent="0.25">
      <c r="A282" s="119">
        <f t="shared" ref="A282" si="275">A279</f>
        <v>45371</v>
      </c>
      <c r="B282" s="109" t="s">
        <v>99</v>
      </c>
      <c r="C282" s="6" t="s">
        <v>8</v>
      </c>
      <c r="D282" s="7" t="s">
        <v>16</v>
      </c>
      <c r="E282" s="120"/>
      <c r="F282" s="130">
        <v>385.9</v>
      </c>
      <c r="G282" s="122"/>
      <c r="H282" s="123"/>
      <c r="I282" s="120">
        <f t="shared" ref="I282" si="276">E282+G282</f>
        <v>0</v>
      </c>
      <c r="J282" s="130">
        <f t="shared" ref="J282" si="277">F282+H282</f>
        <v>385.9</v>
      </c>
      <c r="K282" s="8">
        <f t="shared" ref="K282:L282" si="278">K279</f>
        <v>975.91</v>
      </c>
      <c r="L282" s="8">
        <f t="shared" si="278"/>
        <v>37014.870000000003</v>
      </c>
      <c r="M282" s="131">
        <f t="shared" ref="M282" si="279">I282+J282*K282</f>
        <v>376603.66899999999</v>
      </c>
      <c r="N282" s="126">
        <f t="shared" ref="N282" si="280">M282-SUMIFS(Total,Cuenta,C282,Linea,D282,Fecha,INDEX(Fecha,MATCH(A282-1,Fecha,1)))</f>
        <v>41431.585600000049</v>
      </c>
      <c r="O282" s="32"/>
      <c r="P282" s="32"/>
      <c r="Q282" s="32"/>
      <c r="R282" s="32"/>
      <c r="S282" s="32"/>
      <c r="T282" s="32"/>
      <c r="U282" s="32"/>
      <c r="V282" s="32"/>
      <c r="W282" s="32"/>
      <c r="X282" s="32"/>
      <c r="Y282" s="32"/>
      <c r="Z282" s="32"/>
      <c r="AA282" s="32"/>
      <c r="AB282" s="32"/>
      <c r="AC282" s="32"/>
      <c r="AD282" s="32"/>
      <c r="AE282" s="32"/>
      <c r="AF282" s="32"/>
      <c r="AG282" s="32"/>
      <c r="AH282" s="127">
        <f>J282*(K282-K273)</f>
        <v>5344.7150000000083</v>
      </c>
      <c r="AI282" s="128">
        <f t="shared" si="252"/>
        <v>36086.870600000038</v>
      </c>
      <c r="AJ282" s="129">
        <f t="shared" ref="AJ282" si="281">N282-SUM(O282:AI282)</f>
        <v>0</v>
      </c>
    </row>
    <row r="283" spans="1:39" s="142" customFormat="1" x14ac:dyDescent="0.25">
      <c r="A283" s="133">
        <f>A281</f>
        <v>45371</v>
      </c>
      <c r="B283" s="110" t="s">
        <v>101</v>
      </c>
      <c r="C283" s="45" t="s">
        <v>100</v>
      </c>
      <c r="D283" s="46" t="s">
        <v>6</v>
      </c>
      <c r="E283" s="134">
        <v>9614136</v>
      </c>
      <c r="F283" s="135"/>
      <c r="G283" s="134"/>
      <c r="H283" s="135"/>
      <c r="I283" s="134">
        <f t="shared" ref="I283:I284" si="282">E283+G283</f>
        <v>9614136</v>
      </c>
      <c r="J283" s="135">
        <f t="shared" ref="J283:J284" si="283">F283+H283</f>
        <v>0</v>
      </c>
      <c r="K283" s="47">
        <f>K281</f>
        <v>975.91</v>
      </c>
      <c r="L283" s="47">
        <f>L281</f>
        <v>37014.870000000003</v>
      </c>
      <c r="M283" s="136">
        <f t="shared" ref="M283:M284" si="284">I283+J283*K283</f>
        <v>9614136</v>
      </c>
      <c r="N283" s="137">
        <v>0</v>
      </c>
      <c r="O283" s="138"/>
      <c r="P283" s="138"/>
      <c r="Q283" s="138"/>
      <c r="R283" s="138"/>
      <c r="S283" s="138"/>
      <c r="T283" s="138"/>
      <c r="U283" s="138"/>
      <c r="V283" s="138"/>
      <c r="W283" s="138"/>
      <c r="X283" s="138"/>
      <c r="Y283" s="138"/>
      <c r="Z283" s="138"/>
      <c r="AA283" s="138"/>
      <c r="AB283" s="138"/>
      <c r="AC283" s="138"/>
      <c r="AD283" s="138"/>
      <c r="AE283" s="138"/>
      <c r="AF283" s="138"/>
      <c r="AG283" s="138"/>
      <c r="AH283" s="139">
        <f>J283*(K283-K274)</f>
        <v>0</v>
      </c>
      <c r="AI283" s="140">
        <f t="shared" si="252"/>
        <v>0</v>
      </c>
      <c r="AJ283" s="141">
        <f>N283-SUM(O283:AI283)</f>
        <v>0</v>
      </c>
    </row>
    <row r="284" spans="1:39" x14ac:dyDescent="0.25">
      <c r="A284" s="119">
        <v>45373</v>
      </c>
      <c r="B284" s="109" t="s">
        <v>99</v>
      </c>
      <c r="C284" s="6" t="s">
        <v>5</v>
      </c>
      <c r="D284" s="7" t="s">
        <v>6</v>
      </c>
      <c r="E284" s="120">
        <v>5879273</v>
      </c>
      <c r="F284" s="130"/>
      <c r="G284" s="120"/>
      <c r="H284" s="130"/>
      <c r="I284" s="120">
        <f t="shared" si="282"/>
        <v>5879273</v>
      </c>
      <c r="J284" s="130">
        <f t="shared" si="283"/>
        <v>0</v>
      </c>
      <c r="K284" s="42">
        <f>VLOOKUP($A284+1,MarketData!$D:$ZZ,MATCH(K$1,MarketData!$D$1:$ZZ$1,0))</f>
        <v>971.54</v>
      </c>
      <c r="L284" s="42">
        <f>VLOOKUP($A284,MarketData!$D:$ZZ,MATCH(L$1,MarketData!$D$1:$ZZ$1,0))</f>
        <v>37029.160000000003</v>
      </c>
      <c r="M284" s="131">
        <f t="shared" si="284"/>
        <v>5879273</v>
      </c>
      <c r="N284" s="126">
        <f t="shared" ref="N284:N293" si="285">M284-SUMIFS(Total,Cuenta,C284,Linea,D284,Fecha,INDEX(Fecha,MATCH(A284-1,Fecha,1)))</f>
        <v>2394084</v>
      </c>
      <c r="O284" s="32">
        <v>2005916</v>
      </c>
      <c r="P284" s="32"/>
      <c r="Q284" s="32">
        <f>-336917-9915</f>
        <v>-346832</v>
      </c>
      <c r="R284" s="32"/>
      <c r="S284" s="32">
        <v>80000</v>
      </c>
      <c r="T284" s="32"/>
      <c r="U284" s="32"/>
      <c r="V284" s="32"/>
      <c r="W284" s="32"/>
      <c r="X284" s="32"/>
      <c r="Y284" s="32"/>
      <c r="Z284" s="32"/>
      <c r="AA284" s="32"/>
      <c r="AB284" s="32"/>
      <c r="AC284" s="32"/>
      <c r="AD284" s="32">
        <v>655000</v>
      </c>
      <c r="AE284" s="32"/>
      <c r="AF284" s="32"/>
      <c r="AG284" s="32"/>
      <c r="AH284" s="127">
        <f>J284*(K284-K275)</f>
        <v>0</v>
      </c>
      <c r="AI284" s="128">
        <f t="shared" si="252"/>
        <v>0</v>
      </c>
      <c r="AJ284" s="129">
        <f t="shared" ref="AJ284:AJ291" si="286">N284-SUM(O284:AI284)</f>
        <v>0</v>
      </c>
    </row>
    <row r="285" spans="1:39" x14ac:dyDescent="0.25">
      <c r="A285" s="119">
        <f>A286</f>
        <v>45373</v>
      </c>
      <c r="B285" s="109" t="s">
        <v>99</v>
      </c>
      <c r="C285" s="6" t="s">
        <v>5</v>
      </c>
      <c r="D285" s="7" t="s">
        <v>80</v>
      </c>
      <c r="E285" s="120">
        <v>15000000</v>
      </c>
      <c r="F285" s="130"/>
      <c r="G285" s="122">
        <v>-15000000</v>
      </c>
      <c r="H285" s="123"/>
      <c r="I285" s="120">
        <f>E285+G285</f>
        <v>0</v>
      </c>
      <c r="J285" s="130">
        <f>F285+H285</f>
        <v>0</v>
      </c>
      <c r="K285" s="8">
        <f>K286</f>
        <v>971.54</v>
      </c>
      <c r="L285" s="8">
        <f>L286</f>
        <v>37029.160000000003</v>
      </c>
      <c r="M285" s="131">
        <f>I285+J285*K285</f>
        <v>0</v>
      </c>
      <c r="N285" s="126">
        <f t="shared" si="285"/>
        <v>0</v>
      </c>
      <c r="O285" s="32"/>
      <c r="P285" s="32"/>
      <c r="Q285" s="32"/>
      <c r="R285" s="32"/>
      <c r="S285" s="32"/>
      <c r="T285" s="32"/>
      <c r="U285" s="32"/>
      <c r="V285" s="32"/>
      <c r="W285" s="32"/>
      <c r="X285" s="32"/>
      <c r="Y285" s="32"/>
      <c r="Z285" s="32"/>
      <c r="AA285" s="32"/>
      <c r="AB285" s="32"/>
      <c r="AC285" s="32"/>
      <c r="AD285" s="32"/>
      <c r="AE285" s="32"/>
      <c r="AF285" s="32"/>
      <c r="AG285" s="32"/>
      <c r="AH285" s="127">
        <f t="shared" ref="AH285:AH291" si="287">J285*(K285-K276)</f>
        <v>0</v>
      </c>
      <c r="AI285" s="128">
        <f t="shared" si="252"/>
        <v>0</v>
      </c>
      <c r="AJ285" s="129">
        <f t="shared" si="286"/>
        <v>0</v>
      </c>
    </row>
    <row r="286" spans="1:39" x14ac:dyDescent="0.25">
      <c r="A286" s="119">
        <f>A284</f>
        <v>45373</v>
      </c>
      <c r="B286" s="109" t="s">
        <v>99</v>
      </c>
      <c r="C286" s="6" t="s">
        <v>5</v>
      </c>
      <c r="D286" s="7" t="s">
        <v>26</v>
      </c>
      <c r="E286" s="120">
        <v>9928531</v>
      </c>
      <c r="F286" s="130">
        <v>7361.93</v>
      </c>
      <c r="G286" s="122">
        <v>-10000000</v>
      </c>
      <c r="H286" s="123">
        <v>-8000</v>
      </c>
      <c r="I286" s="120">
        <f>E286+G286</f>
        <v>-71469</v>
      </c>
      <c r="J286" s="130">
        <f t="shared" ref="J286:J294" si="288">F286+H286</f>
        <v>-638.06999999999971</v>
      </c>
      <c r="K286" s="8">
        <f>K284</f>
        <v>971.54</v>
      </c>
      <c r="L286" s="8">
        <f>L284</f>
        <v>37029.160000000003</v>
      </c>
      <c r="M286" s="131">
        <f>I286+J286*K286</f>
        <v>-691379.52779999969</v>
      </c>
      <c r="N286" s="126">
        <f t="shared" si="285"/>
        <v>-434723.42779999971</v>
      </c>
      <c r="O286" s="32"/>
      <c r="P286" s="32"/>
      <c r="Q286" s="32">
        <f>336917+10*K286</f>
        <v>346632.4</v>
      </c>
      <c r="R286" s="32"/>
      <c r="S286" s="32"/>
      <c r="T286" s="32"/>
      <c r="U286" s="32">
        <f>-41400-45750</f>
        <v>-87150</v>
      </c>
      <c r="V286" s="32">
        <v>-18689</v>
      </c>
      <c r="W286" s="32">
        <f>-2180-1790-1790-9230-1790-5240</f>
        <v>-22020</v>
      </c>
      <c r="X286" s="32"/>
      <c r="Y286" s="32"/>
      <c r="Z286" s="32"/>
      <c r="AA286" s="32"/>
      <c r="AB286" s="32">
        <v>-37600</v>
      </c>
      <c r="AC286" s="32"/>
      <c r="AD286" s="32">
        <f>-638.07*K286</f>
        <v>-619910.52780000004</v>
      </c>
      <c r="AE286" s="32"/>
      <c r="AF286" s="32"/>
      <c r="AG286" s="32"/>
      <c r="AH286" s="127">
        <f t="shared" si="287"/>
        <v>2788.3659000000016</v>
      </c>
      <c r="AI286" s="128">
        <f t="shared" si="252"/>
        <v>0</v>
      </c>
      <c r="AJ286" s="129">
        <f t="shared" si="286"/>
        <v>1225.3341000003275</v>
      </c>
    </row>
    <row r="287" spans="1:39" x14ac:dyDescent="0.25">
      <c r="A287" s="119">
        <f>A286</f>
        <v>45373</v>
      </c>
      <c r="B287" s="109" t="s">
        <v>99</v>
      </c>
      <c r="C287" s="6" t="s">
        <v>9</v>
      </c>
      <c r="D287" s="7" t="s">
        <v>12</v>
      </c>
      <c r="E287" s="120">
        <v>7932503</v>
      </c>
      <c r="F287" s="130"/>
      <c r="G287" s="122"/>
      <c r="H287" s="123"/>
      <c r="I287" s="120">
        <f t="shared" ref="I287:I288" si="289">E287+G287</f>
        <v>7932503</v>
      </c>
      <c r="J287" s="130">
        <f t="shared" si="288"/>
        <v>0</v>
      </c>
      <c r="K287" s="8">
        <f>K286</f>
        <v>971.54</v>
      </c>
      <c r="L287" s="8">
        <f>L286</f>
        <v>37029.160000000003</v>
      </c>
      <c r="M287" s="131">
        <f t="shared" ref="M287:M294" si="290">I287+J287*K287</f>
        <v>7932503</v>
      </c>
      <c r="N287" s="126">
        <f t="shared" si="285"/>
        <v>0</v>
      </c>
      <c r="O287" s="32"/>
      <c r="P287" s="32"/>
      <c r="Q287" s="32"/>
      <c r="R287" s="32"/>
      <c r="S287" s="32"/>
      <c r="T287" s="32"/>
      <c r="U287" s="32"/>
      <c r="V287" s="32"/>
      <c r="W287" s="32"/>
      <c r="X287" s="32"/>
      <c r="Y287" s="32"/>
      <c r="Z287" s="32"/>
      <c r="AA287" s="32"/>
      <c r="AB287" s="32"/>
      <c r="AC287" s="32"/>
      <c r="AD287" s="32"/>
      <c r="AE287" s="32"/>
      <c r="AF287" s="32"/>
      <c r="AG287" s="32"/>
      <c r="AH287" s="127">
        <f t="shared" si="287"/>
        <v>0</v>
      </c>
      <c r="AI287" s="128">
        <f t="shared" si="252"/>
        <v>0</v>
      </c>
      <c r="AJ287" s="129">
        <f t="shared" si="286"/>
        <v>0</v>
      </c>
    </row>
    <row r="288" spans="1:39" x14ac:dyDescent="0.25">
      <c r="A288" s="119">
        <f t="shared" ref="A288:A291" si="291">A287</f>
        <v>45373</v>
      </c>
      <c r="B288" s="109" t="s">
        <v>99</v>
      </c>
      <c r="C288" s="6" t="s">
        <v>9</v>
      </c>
      <c r="D288" s="7" t="s">
        <v>15</v>
      </c>
      <c r="E288" s="120">
        <v>2111233</v>
      </c>
      <c r="F288" s="130"/>
      <c r="G288" s="122"/>
      <c r="H288" s="123"/>
      <c r="I288" s="120">
        <f t="shared" si="289"/>
        <v>2111233</v>
      </c>
      <c r="J288" s="130">
        <f t="shared" si="288"/>
        <v>0</v>
      </c>
      <c r="K288" s="8">
        <f t="shared" ref="K288:L288" si="292">K287</f>
        <v>971.54</v>
      </c>
      <c r="L288" s="8">
        <f t="shared" si="292"/>
        <v>37029.160000000003</v>
      </c>
      <c r="M288" s="131">
        <f t="shared" si="290"/>
        <v>2111233</v>
      </c>
      <c r="N288" s="126">
        <f t="shared" si="285"/>
        <v>0</v>
      </c>
      <c r="O288" s="32"/>
      <c r="P288" s="32"/>
      <c r="Q288" s="32"/>
      <c r="R288" s="32"/>
      <c r="S288" s="32"/>
      <c r="T288" s="32"/>
      <c r="U288" s="32"/>
      <c r="V288" s="32"/>
      <c r="W288" s="32"/>
      <c r="X288" s="32"/>
      <c r="Y288" s="32"/>
      <c r="Z288" s="32"/>
      <c r="AA288" s="32"/>
      <c r="AB288" s="32"/>
      <c r="AC288" s="32"/>
      <c r="AD288" s="32"/>
      <c r="AE288" s="32"/>
      <c r="AF288" s="32"/>
      <c r="AG288" s="32"/>
      <c r="AH288" s="127">
        <f t="shared" si="287"/>
        <v>0</v>
      </c>
      <c r="AI288" s="128">
        <f t="shared" si="252"/>
        <v>0</v>
      </c>
      <c r="AJ288" s="129">
        <f t="shared" si="286"/>
        <v>0</v>
      </c>
      <c r="AM288" s="119"/>
    </row>
    <row r="289" spans="1:39" x14ac:dyDescent="0.25">
      <c r="A289" s="119">
        <f t="shared" si="291"/>
        <v>45373</v>
      </c>
      <c r="B289" s="109" t="s">
        <v>99</v>
      </c>
      <c r="C289" s="6" t="s">
        <v>9</v>
      </c>
      <c r="D289" s="7" t="s">
        <v>11</v>
      </c>
      <c r="E289" s="120">
        <v>703951</v>
      </c>
      <c r="F289" s="130"/>
      <c r="G289" s="122"/>
      <c r="H289" s="123"/>
      <c r="I289" s="120">
        <f>E289+G289</f>
        <v>703951</v>
      </c>
      <c r="J289" s="130">
        <f t="shared" si="288"/>
        <v>0</v>
      </c>
      <c r="K289" s="8">
        <f t="shared" ref="K289" si="293">K288</f>
        <v>971.54</v>
      </c>
      <c r="L289" s="8">
        <f>L288</f>
        <v>37029.160000000003</v>
      </c>
      <c r="M289" s="131">
        <f t="shared" si="290"/>
        <v>703951</v>
      </c>
      <c r="N289" s="126">
        <f t="shared" si="285"/>
        <v>0</v>
      </c>
      <c r="O289" s="32"/>
      <c r="P289" s="32"/>
      <c r="Q289" s="32"/>
      <c r="R289" s="32"/>
      <c r="S289" s="32"/>
      <c r="T289" s="32"/>
      <c r="U289" s="32"/>
      <c r="V289" s="32"/>
      <c r="W289" s="32"/>
      <c r="X289" s="32"/>
      <c r="Y289" s="32"/>
      <c r="Z289" s="32"/>
      <c r="AA289" s="32"/>
      <c r="AB289" s="32"/>
      <c r="AC289" s="32"/>
      <c r="AD289" s="32"/>
      <c r="AE289" s="32"/>
      <c r="AF289" s="32"/>
      <c r="AG289" s="32"/>
      <c r="AH289" s="127">
        <f t="shared" si="287"/>
        <v>0</v>
      </c>
      <c r="AI289" s="128">
        <f t="shared" si="252"/>
        <v>0</v>
      </c>
      <c r="AJ289" s="129">
        <f t="shared" si="286"/>
        <v>0</v>
      </c>
    </row>
    <row r="290" spans="1:39" x14ac:dyDescent="0.25">
      <c r="A290" s="119">
        <f t="shared" si="291"/>
        <v>45373</v>
      </c>
      <c r="B290" s="109" t="s">
        <v>99</v>
      </c>
      <c r="C290" s="6" t="s">
        <v>9</v>
      </c>
      <c r="D290" s="7" t="s">
        <v>10</v>
      </c>
      <c r="E290" s="120"/>
      <c r="F290" s="130">
        <f>218.04+107.15+0.25</f>
        <v>325.44</v>
      </c>
      <c r="G290" s="122"/>
      <c r="H290" s="123"/>
      <c r="I290" s="120">
        <f t="shared" ref="I290" si="294">E290+G290</f>
        <v>0</v>
      </c>
      <c r="J290" s="130">
        <f t="shared" si="288"/>
        <v>325.44</v>
      </c>
      <c r="K290" s="8">
        <f t="shared" ref="K290:L290" si="295">K289</f>
        <v>971.54</v>
      </c>
      <c r="L290" s="8">
        <f t="shared" si="295"/>
        <v>37029.160000000003</v>
      </c>
      <c r="M290" s="131">
        <f t="shared" si="290"/>
        <v>316177.97759999998</v>
      </c>
      <c r="N290" s="126">
        <f t="shared" si="285"/>
        <v>-1422.1728000000003</v>
      </c>
      <c r="O290" s="32"/>
      <c r="P290" s="32"/>
      <c r="Q290" s="32"/>
      <c r="R290" s="32"/>
      <c r="S290" s="32"/>
      <c r="T290" s="32"/>
      <c r="U290" s="32"/>
      <c r="V290" s="32"/>
      <c r="W290" s="32"/>
      <c r="X290" s="32"/>
      <c r="Y290" s="32"/>
      <c r="Z290" s="32"/>
      <c r="AA290" s="32"/>
      <c r="AB290" s="32"/>
      <c r="AC290" s="32"/>
      <c r="AD290" s="32"/>
      <c r="AE290" s="32"/>
      <c r="AF290" s="32"/>
      <c r="AG290" s="32"/>
      <c r="AH290" s="127">
        <f t="shared" si="287"/>
        <v>-1422.1728000000014</v>
      </c>
      <c r="AI290" s="128">
        <f t="shared" si="252"/>
        <v>1.1368683772161603E-12</v>
      </c>
      <c r="AJ290" s="129">
        <f t="shared" si="286"/>
        <v>0</v>
      </c>
    </row>
    <row r="291" spans="1:39" x14ac:dyDescent="0.25">
      <c r="A291" s="119">
        <f t="shared" si="291"/>
        <v>45373</v>
      </c>
      <c r="B291" s="109" t="s">
        <v>99</v>
      </c>
      <c r="C291" s="6" t="s">
        <v>7</v>
      </c>
      <c r="D291" s="7" t="s">
        <v>16</v>
      </c>
      <c r="E291" s="120"/>
      <c r="F291" s="130">
        <v>939.35</v>
      </c>
      <c r="G291" s="122"/>
      <c r="H291" s="123"/>
      <c r="I291" s="120">
        <f>E291+G291</f>
        <v>0</v>
      </c>
      <c r="J291" s="130">
        <f t="shared" si="288"/>
        <v>939.35</v>
      </c>
      <c r="K291" s="8">
        <f t="shared" ref="K291:L291" si="296">K290</f>
        <v>971.54</v>
      </c>
      <c r="L291" s="8">
        <f t="shared" si="296"/>
        <v>37029.160000000003</v>
      </c>
      <c r="M291" s="131">
        <f t="shared" si="290"/>
        <v>912616.09900000005</v>
      </c>
      <c r="N291" s="126">
        <f t="shared" si="285"/>
        <v>-4104.9594999999972</v>
      </c>
      <c r="O291" s="32"/>
      <c r="P291" s="32"/>
      <c r="Q291" s="32"/>
      <c r="R291" s="32"/>
      <c r="S291" s="32"/>
      <c r="T291" s="32"/>
      <c r="U291" s="32"/>
      <c r="V291" s="32"/>
      <c r="W291" s="32"/>
      <c r="X291" s="32"/>
      <c r="Y291" s="32"/>
      <c r="Z291" s="32"/>
      <c r="AA291" s="32"/>
      <c r="AB291" s="32"/>
      <c r="AC291" s="32"/>
      <c r="AD291" s="32"/>
      <c r="AE291" s="32"/>
      <c r="AF291" s="32"/>
      <c r="AG291" s="32"/>
      <c r="AH291" s="127">
        <f t="shared" si="287"/>
        <v>-4104.9595000000045</v>
      </c>
      <c r="AI291" s="128">
        <f t="shared" si="252"/>
        <v>7.2759576141834259E-12</v>
      </c>
      <c r="AJ291" s="129">
        <f t="shared" si="286"/>
        <v>0</v>
      </c>
    </row>
    <row r="292" spans="1:39" x14ac:dyDescent="0.25">
      <c r="A292" s="119">
        <f t="shared" ref="A292" si="297">A289</f>
        <v>45373</v>
      </c>
      <c r="B292" s="109" t="s">
        <v>99</v>
      </c>
      <c r="C292" s="6" t="s">
        <v>8</v>
      </c>
      <c r="D292" s="7" t="s">
        <v>16</v>
      </c>
      <c r="E292" s="120"/>
      <c r="F292" s="130">
        <v>385.9</v>
      </c>
      <c r="G292" s="122"/>
      <c r="H292" s="123"/>
      <c r="I292" s="120">
        <f t="shared" ref="I292:I294" si="298">E292+G292</f>
        <v>0</v>
      </c>
      <c r="J292" s="130">
        <f t="shared" si="288"/>
        <v>385.9</v>
      </c>
      <c r="K292" s="8">
        <f t="shared" ref="K292:L292" si="299">K289</f>
        <v>971.54</v>
      </c>
      <c r="L292" s="8">
        <f t="shared" si="299"/>
        <v>37029.160000000003</v>
      </c>
      <c r="M292" s="131">
        <f t="shared" si="290"/>
        <v>374917.28599999996</v>
      </c>
      <c r="N292" s="126">
        <f t="shared" si="285"/>
        <v>-1686.3830000000307</v>
      </c>
      <c r="O292" s="32"/>
      <c r="P292" s="32"/>
      <c r="Q292" s="32"/>
      <c r="R292" s="32"/>
      <c r="S292" s="32"/>
      <c r="T292" s="32"/>
      <c r="U292" s="32"/>
      <c r="V292" s="32"/>
      <c r="W292" s="32"/>
      <c r="X292" s="32"/>
      <c r="Y292" s="32"/>
      <c r="Z292" s="32"/>
      <c r="AA292" s="32"/>
      <c r="AB292" s="32"/>
      <c r="AC292" s="32"/>
      <c r="AD292" s="32"/>
      <c r="AE292" s="32"/>
      <c r="AF292" s="32"/>
      <c r="AG292" s="32"/>
      <c r="AH292" s="127">
        <f>J292*(K292-K283)</f>
        <v>-1686.3830000000016</v>
      </c>
      <c r="AI292" s="128">
        <f t="shared" si="252"/>
        <v>-2.9103830456733704E-11</v>
      </c>
      <c r="AJ292" s="129">
        <f t="shared" ref="AJ292" si="300">N292-SUM(O292:AI292)</f>
        <v>0</v>
      </c>
    </row>
    <row r="293" spans="1:39" s="142" customFormat="1" x14ac:dyDescent="0.25">
      <c r="A293" s="133">
        <f>A291</f>
        <v>45373</v>
      </c>
      <c r="B293" s="110" t="s">
        <v>101</v>
      </c>
      <c r="C293" s="45" t="s">
        <v>100</v>
      </c>
      <c r="D293" s="46" t="s">
        <v>6</v>
      </c>
      <c r="E293" s="134">
        <v>9614136</v>
      </c>
      <c r="F293" s="135"/>
      <c r="G293" s="134"/>
      <c r="H293" s="135"/>
      <c r="I293" s="134">
        <f t="shared" si="298"/>
        <v>9614136</v>
      </c>
      <c r="J293" s="135">
        <f t="shared" si="288"/>
        <v>0</v>
      </c>
      <c r="K293" s="47">
        <f>K291</f>
        <v>971.54</v>
      </c>
      <c r="L293" s="47">
        <f>L291</f>
        <v>37029.160000000003</v>
      </c>
      <c r="M293" s="136">
        <f t="shared" si="290"/>
        <v>9614136</v>
      </c>
      <c r="N293" s="137">
        <f t="shared" si="285"/>
        <v>0</v>
      </c>
      <c r="O293" s="138"/>
      <c r="P293" s="138"/>
      <c r="Q293" s="138"/>
      <c r="R293" s="138"/>
      <c r="S293" s="138"/>
      <c r="T293" s="138"/>
      <c r="U293" s="138"/>
      <c r="V293" s="138"/>
      <c r="W293" s="138"/>
      <c r="X293" s="138"/>
      <c r="Y293" s="138"/>
      <c r="Z293" s="138"/>
      <c r="AA293" s="138"/>
      <c r="AB293" s="138"/>
      <c r="AC293" s="138"/>
      <c r="AD293" s="138"/>
      <c r="AE293" s="138"/>
      <c r="AF293" s="138"/>
      <c r="AG293" s="138"/>
      <c r="AH293" s="139">
        <f>J293*(K293-K284)</f>
        <v>0</v>
      </c>
      <c r="AI293" s="140">
        <f t="shared" si="252"/>
        <v>0</v>
      </c>
      <c r="AJ293" s="141">
        <f>N293-SUM(O293:AI293)</f>
        <v>0</v>
      </c>
    </row>
    <row r="294" spans="1:39" x14ac:dyDescent="0.25">
      <c r="A294" s="119">
        <v>45374</v>
      </c>
      <c r="B294" s="109" t="s">
        <v>99</v>
      </c>
      <c r="C294" s="6" t="s">
        <v>5</v>
      </c>
      <c r="D294" s="7" t="s">
        <v>6</v>
      </c>
      <c r="E294" s="120">
        <v>5879273</v>
      </c>
      <c r="F294" s="130"/>
      <c r="G294" s="120"/>
      <c r="H294" s="130"/>
      <c r="I294" s="120">
        <f t="shared" si="298"/>
        <v>5879273</v>
      </c>
      <c r="J294" s="130">
        <f t="shared" si="288"/>
        <v>0</v>
      </c>
      <c r="K294" s="42">
        <f>VLOOKUP($A294+1,MarketData!$D:$ZZ,MATCH(K$1,MarketData!$D$1:$ZZ$1,0))</f>
        <v>971.54</v>
      </c>
      <c r="L294" s="42">
        <f>VLOOKUP($A294,MarketData!$D:$ZZ,MATCH(L$1,MarketData!$D$1:$ZZ$1,0))</f>
        <v>37036.300000000003</v>
      </c>
      <c r="M294" s="131">
        <f t="shared" si="290"/>
        <v>5879273</v>
      </c>
      <c r="N294" s="126">
        <f>M294-SUMIFS(Total,Cuenta,C294,Linea,D294,Fecha,INDEX(Fecha,MATCH(A294-1,Fecha,1)))</f>
        <v>0</v>
      </c>
      <c r="O294" s="32"/>
      <c r="P294" s="32"/>
      <c r="Q294" s="32"/>
      <c r="R294" s="32"/>
      <c r="S294" s="32"/>
      <c r="T294" s="32"/>
      <c r="U294" s="32"/>
      <c r="V294" s="32"/>
      <c r="W294" s="32"/>
      <c r="X294" s="32"/>
      <c r="Y294" s="32"/>
      <c r="Z294" s="32"/>
      <c r="AA294" s="32"/>
      <c r="AB294" s="32"/>
      <c r="AC294" s="32"/>
      <c r="AD294" s="32"/>
      <c r="AE294" s="32"/>
      <c r="AF294" s="32"/>
      <c r="AG294" s="32"/>
      <c r="AH294" s="127">
        <f>J294*(K294-K285)</f>
        <v>0</v>
      </c>
      <c r="AI294" s="128">
        <f t="shared" ref="AI294:AI303" si="301">(N294-AH294-Q294)*ISNUMBER(MATCH($D294,$AL:$AL,0))</f>
        <v>0</v>
      </c>
      <c r="AJ294" s="129">
        <f t="shared" ref="AJ294:AJ302" si="302">N294-SUM(O294:AI294)</f>
        <v>0</v>
      </c>
    </row>
    <row r="295" spans="1:39" x14ac:dyDescent="0.25">
      <c r="A295" s="119">
        <f>A296</f>
        <v>45374</v>
      </c>
      <c r="B295" s="109" t="s">
        <v>99</v>
      </c>
      <c r="C295" s="6" t="s">
        <v>5</v>
      </c>
      <c r="D295" s="7" t="s">
        <v>80</v>
      </c>
      <c r="E295" s="120">
        <v>15000000</v>
      </c>
      <c r="F295" s="130"/>
      <c r="G295" s="122">
        <v>-15000000</v>
      </c>
      <c r="H295" s="123"/>
      <c r="I295" s="120">
        <f>E295+G295</f>
        <v>0</v>
      </c>
      <c r="J295" s="130">
        <f>F295+H295</f>
        <v>0</v>
      </c>
      <c r="K295" s="8">
        <f>K296</f>
        <v>971.54</v>
      </c>
      <c r="L295" s="8">
        <f>L296</f>
        <v>37036.300000000003</v>
      </c>
      <c r="M295" s="131">
        <f>I295+J295*K295</f>
        <v>0</v>
      </c>
      <c r="N295" s="126">
        <f t="shared" ref="N295:N303" si="303">M295-SUMIFS(Total,Cuenta,C295,Linea,D295,Fecha,INDEX(Fecha,MATCH(A295-1,Fecha,1)))</f>
        <v>0</v>
      </c>
      <c r="O295" s="32"/>
      <c r="P295" s="32"/>
      <c r="Q295" s="32"/>
      <c r="R295" s="32"/>
      <c r="S295" s="32"/>
      <c r="T295" s="32"/>
      <c r="U295" s="32"/>
      <c r="V295" s="32"/>
      <c r="W295" s="32"/>
      <c r="X295" s="32"/>
      <c r="Y295" s="32"/>
      <c r="Z295" s="32"/>
      <c r="AA295" s="32"/>
      <c r="AB295" s="32"/>
      <c r="AC295" s="32"/>
      <c r="AD295" s="32"/>
      <c r="AE295" s="32"/>
      <c r="AF295" s="32"/>
      <c r="AG295" s="32"/>
      <c r="AH295" s="127">
        <f t="shared" ref="AH295:AH301" si="304">J295*(K295-K286)</f>
        <v>0</v>
      </c>
      <c r="AI295" s="128">
        <f t="shared" si="301"/>
        <v>0</v>
      </c>
      <c r="AJ295" s="129">
        <f t="shared" si="302"/>
        <v>0</v>
      </c>
    </row>
    <row r="296" spans="1:39" x14ac:dyDescent="0.25">
      <c r="A296" s="119">
        <f>A294</f>
        <v>45374</v>
      </c>
      <c r="B296" s="109" t="s">
        <v>99</v>
      </c>
      <c r="C296" s="6" t="s">
        <v>5</v>
      </c>
      <c r="D296" s="7" t="s">
        <v>26</v>
      </c>
      <c r="E296" s="120">
        <v>9917150</v>
      </c>
      <c r="F296" s="130">
        <v>7361.93</v>
      </c>
      <c r="G296" s="122">
        <v>-10000000</v>
      </c>
      <c r="H296" s="123">
        <v>-8000</v>
      </c>
      <c r="I296" s="120">
        <f>E296+G296</f>
        <v>-82850</v>
      </c>
      <c r="J296" s="130">
        <f t="shared" ref="J296:J304" si="305">F296+H296</f>
        <v>-638.06999999999971</v>
      </c>
      <c r="K296" s="8">
        <f>K294</f>
        <v>971.54</v>
      </c>
      <c r="L296" s="8">
        <f>L294</f>
        <v>37036.300000000003</v>
      </c>
      <c r="M296" s="131">
        <f>I296+J296*K296</f>
        <v>-702760.52779999969</v>
      </c>
      <c r="N296" s="126">
        <f t="shared" si="303"/>
        <v>-11381</v>
      </c>
      <c r="O296" s="32"/>
      <c r="P296" s="32"/>
      <c r="Q296" s="32"/>
      <c r="R296" s="32"/>
      <c r="S296" s="32"/>
      <c r="T296" s="32"/>
      <c r="U296" s="32"/>
      <c r="V296" s="32"/>
      <c r="W296" s="32"/>
      <c r="X296" s="32"/>
      <c r="Y296" s="32"/>
      <c r="Z296" s="32">
        <v>-11381</v>
      </c>
      <c r="AA296" s="32"/>
      <c r="AB296" s="32"/>
      <c r="AC296" s="32"/>
      <c r="AD296" s="32"/>
      <c r="AE296" s="32"/>
      <c r="AF296" s="32"/>
      <c r="AG296" s="32"/>
      <c r="AH296" s="127">
        <f t="shared" si="304"/>
        <v>0</v>
      </c>
      <c r="AI296" s="128">
        <f t="shared" si="301"/>
        <v>0</v>
      </c>
      <c r="AJ296" s="129">
        <f t="shared" si="302"/>
        <v>0</v>
      </c>
    </row>
    <row r="297" spans="1:39" x14ac:dyDescent="0.25">
      <c r="A297" s="119">
        <f>A296</f>
        <v>45374</v>
      </c>
      <c r="B297" s="109" t="s">
        <v>99</v>
      </c>
      <c r="C297" s="6" t="s">
        <v>9</v>
      </c>
      <c r="D297" s="7" t="s">
        <v>12</v>
      </c>
      <c r="E297" s="120">
        <v>7935556</v>
      </c>
      <c r="F297" s="130"/>
      <c r="G297" s="122"/>
      <c r="H297" s="123"/>
      <c r="I297" s="120">
        <f t="shared" ref="I297:I298" si="306">E297+G297</f>
        <v>7935556</v>
      </c>
      <c r="J297" s="130">
        <f t="shared" si="305"/>
        <v>0</v>
      </c>
      <c r="K297" s="8">
        <f>K296</f>
        <v>971.54</v>
      </c>
      <c r="L297" s="8">
        <f>L296</f>
        <v>37036.300000000003</v>
      </c>
      <c r="M297" s="131">
        <f t="shared" ref="M297:M304" si="307">I297+J297*K297</f>
        <v>7935556</v>
      </c>
      <c r="N297" s="126">
        <f t="shared" si="303"/>
        <v>3053</v>
      </c>
      <c r="O297" s="32"/>
      <c r="P297" s="32"/>
      <c r="Q297" s="32"/>
      <c r="R297" s="32"/>
      <c r="S297" s="32"/>
      <c r="T297" s="32"/>
      <c r="U297" s="32"/>
      <c r="V297" s="32"/>
      <c r="W297" s="32"/>
      <c r="X297" s="32"/>
      <c r="Y297" s="32"/>
      <c r="Z297" s="32"/>
      <c r="AA297" s="32"/>
      <c r="AB297" s="32"/>
      <c r="AC297" s="32"/>
      <c r="AD297" s="32"/>
      <c r="AE297" s="32"/>
      <c r="AF297" s="32"/>
      <c r="AG297" s="32"/>
      <c r="AH297" s="127">
        <f t="shared" si="304"/>
        <v>0</v>
      </c>
      <c r="AI297" s="128">
        <f t="shared" si="301"/>
        <v>3053</v>
      </c>
      <c r="AJ297" s="129">
        <f t="shared" si="302"/>
        <v>0</v>
      </c>
    </row>
    <row r="298" spans="1:39" x14ac:dyDescent="0.25">
      <c r="A298" s="119">
        <f t="shared" ref="A298:A301" si="308">A297</f>
        <v>45374</v>
      </c>
      <c r="B298" s="109" t="s">
        <v>99</v>
      </c>
      <c r="C298" s="6" t="s">
        <v>9</v>
      </c>
      <c r="D298" s="7" t="s">
        <v>15</v>
      </c>
      <c r="E298" s="120">
        <v>2131876</v>
      </c>
      <c r="F298" s="130"/>
      <c r="G298" s="122"/>
      <c r="H298" s="123"/>
      <c r="I298" s="120">
        <f t="shared" si="306"/>
        <v>2131876</v>
      </c>
      <c r="J298" s="130">
        <f t="shared" si="305"/>
        <v>0</v>
      </c>
      <c r="K298" s="8">
        <f t="shared" ref="K298:L299" si="309">K297</f>
        <v>971.54</v>
      </c>
      <c r="L298" s="8">
        <f t="shared" si="309"/>
        <v>37036.300000000003</v>
      </c>
      <c r="M298" s="131">
        <f t="shared" si="307"/>
        <v>2131876</v>
      </c>
      <c r="N298" s="126">
        <f t="shared" si="303"/>
        <v>20643</v>
      </c>
      <c r="O298" s="32"/>
      <c r="P298" s="32"/>
      <c r="Q298" s="32"/>
      <c r="R298" s="32"/>
      <c r="S298" s="32"/>
      <c r="T298" s="32"/>
      <c r="U298" s="32"/>
      <c r="V298" s="32"/>
      <c r="W298" s="32"/>
      <c r="X298" s="32"/>
      <c r="Y298" s="32"/>
      <c r="Z298" s="32"/>
      <c r="AA298" s="32"/>
      <c r="AB298" s="32"/>
      <c r="AC298" s="32"/>
      <c r="AD298" s="32"/>
      <c r="AE298" s="32"/>
      <c r="AF298" s="32"/>
      <c r="AG298" s="32"/>
      <c r="AH298" s="127">
        <f t="shared" si="304"/>
        <v>0</v>
      </c>
      <c r="AI298" s="128">
        <f t="shared" si="301"/>
        <v>20643</v>
      </c>
      <c r="AJ298" s="129">
        <f t="shared" si="302"/>
        <v>0</v>
      </c>
      <c r="AM298" s="119"/>
    </row>
    <row r="299" spans="1:39" x14ac:dyDescent="0.25">
      <c r="A299" s="119">
        <f t="shared" si="308"/>
        <v>45374</v>
      </c>
      <c r="B299" s="109" t="s">
        <v>99</v>
      </c>
      <c r="C299" s="6" t="s">
        <v>9</v>
      </c>
      <c r="D299" s="7" t="s">
        <v>11</v>
      </c>
      <c r="E299" s="120">
        <v>714138</v>
      </c>
      <c r="F299" s="130"/>
      <c r="G299" s="122"/>
      <c r="H299" s="123"/>
      <c r="I299" s="120">
        <f>E299+G299</f>
        <v>714138</v>
      </c>
      <c r="J299" s="130">
        <f t="shared" si="305"/>
        <v>0</v>
      </c>
      <c r="K299" s="8">
        <f t="shared" si="309"/>
        <v>971.54</v>
      </c>
      <c r="L299" s="8">
        <f>L298</f>
        <v>37036.300000000003</v>
      </c>
      <c r="M299" s="131">
        <f t="shared" si="307"/>
        <v>714138</v>
      </c>
      <c r="N299" s="126">
        <f t="shared" si="303"/>
        <v>10187</v>
      </c>
      <c r="O299" s="32"/>
      <c r="P299" s="32"/>
      <c r="Q299" s="32"/>
      <c r="R299" s="32"/>
      <c r="S299" s="32"/>
      <c r="T299" s="32"/>
      <c r="U299" s="32"/>
      <c r="V299" s="32"/>
      <c r="W299" s="32"/>
      <c r="X299" s="32"/>
      <c r="Y299" s="32"/>
      <c r="Z299" s="32"/>
      <c r="AA299" s="32"/>
      <c r="AB299" s="32"/>
      <c r="AC299" s="32"/>
      <c r="AD299" s="32"/>
      <c r="AE299" s="32"/>
      <c r="AF299" s="32"/>
      <c r="AG299" s="32"/>
      <c r="AH299" s="127">
        <f t="shared" si="304"/>
        <v>0</v>
      </c>
      <c r="AI299" s="128">
        <f t="shared" si="301"/>
        <v>10187</v>
      </c>
      <c r="AJ299" s="129">
        <f t="shared" si="302"/>
        <v>0</v>
      </c>
    </row>
    <row r="300" spans="1:39" x14ac:dyDescent="0.25">
      <c r="A300" s="119">
        <f t="shared" si="308"/>
        <v>45374</v>
      </c>
      <c r="B300" s="109" t="s">
        <v>99</v>
      </c>
      <c r="C300" s="6" t="s">
        <v>9</v>
      </c>
      <c r="D300" s="7" t="s">
        <v>10</v>
      </c>
      <c r="E300" s="120"/>
      <c r="F300" s="130">
        <f>218+105.12+0.25</f>
        <v>323.37</v>
      </c>
      <c r="G300" s="122"/>
      <c r="H300" s="123"/>
      <c r="I300" s="120">
        <f t="shared" ref="I300" si="310">E300+G300</f>
        <v>0</v>
      </c>
      <c r="J300" s="130">
        <f t="shared" si="305"/>
        <v>323.37</v>
      </c>
      <c r="K300" s="8">
        <f t="shared" ref="K300:L300" si="311">K299</f>
        <v>971.54</v>
      </c>
      <c r="L300" s="8">
        <f t="shared" si="311"/>
        <v>37036.300000000003</v>
      </c>
      <c r="M300" s="131">
        <f t="shared" si="307"/>
        <v>314166.8898</v>
      </c>
      <c r="N300" s="126">
        <f t="shared" si="303"/>
        <v>-2011.0877999999793</v>
      </c>
      <c r="O300" s="32"/>
      <c r="P300" s="32"/>
      <c r="Q300" s="32"/>
      <c r="R300" s="32"/>
      <c r="S300" s="32"/>
      <c r="T300" s="32"/>
      <c r="U300" s="32"/>
      <c r="V300" s="32"/>
      <c r="W300" s="32"/>
      <c r="X300" s="32"/>
      <c r="Y300" s="32"/>
      <c r="Z300" s="32"/>
      <c r="AA300" s="32"/>
      <c r="AB300" s="32"/>
      <c r="AC300" s="32"/>
      <c r="AD300" s="32"/>
      <c r="AE300" s="32"/>
      <c r="AF300" s="32"/>
      <c r="AG300" s="32"/>
      <c r="AH300" s="127">
        <f t="shared" si="304"/>
        <v>0</v>
      </c>
      <c r="AI300" s="128">
        <f t="shared" si="301"/>
        <v>-2011.0877999999793</v>
      </c>
      <c r="AJ300" s="129">
        <f t="shared" si="302"/>
        <v>0</v>
      </c>
    </row>
    <row r="301" spans="1:39" x14ac:dyDescent="0.25">
      <c r="A301" s="119">
        <f t="shared" si="308"/>
        <v>45374</v>
      </c>
      <c r="B301" s="109" t="s">
        <v>99</v>
      </c>
      <c r="C301" s="6" t="s">
        <v>7</v>
      </c>
      <c r="D301" s="7" t="s">
        <v>16</v>
      </c>
      <c r="E301" s="120"/>
      <c r="F301" s="130">
        <v>939.35</v>
      </c>
      <c r="G301" s="122"/>
      <c r="H301" s="123"/>
      <c r="I301" s="120">
        <f>E301+G301</f>
        <v>0</v>
      </c>
      <c r="J301" s="130">
        <f t="shared" si="305"/>
        <v>939.35</v>
      </c>
      <c r="K301" s="8">
        <f t="shared" ref="K301:L301" si="312">K300</f>
        <v>971.54</v>
      </c>
      <c r="L301" s="8">
        <f t="shared" si="312"/>
        <v>37036.300000000003</v>
      </c>
      <c r="M301" s="131">
        <f t="shared" si="307"/>
        <v>912616.09900000005</v>
      </c>
      <c r="N301" s="126">
        <f t="shared" si="303"/>
        <v>0</v>
      </c>
      <c r="O301" s="32"/>
      <c r="P301" s="32"/>
      <c r="Q301" s="32"/>
      <c r="R301" s="32"/>
      <c r="S301" s="32"/>
      <c r="T301" s="32"/>
      <c r="U301" s="32"/>
      <c r="V301" s="32"/>
      <c r="W301" s="32"/>
      <c r="X301" s="32"/>
      <c r="Y301" s="32"/>
      <c r="Z301" s="32"/>
      <c r="AA301" s="32"/>
      <c r="AB301" s="32"/>
      <c r="AC301" s="32"/>
      <c r="AD301" s="32"/>
      <c r="AE301" s="32"/>
      <c r="AF301" s="32"/>
      <c r="AG301" s="32"/>
      <c r="AH301" s="127">
        <f t="shared" si="304"/>
        <v>0</v>
      </c>
      <c r="AI301" s="128">
        <f t="shared" si="301"/>
        <v>0</v>
      </c>
      <c r="AJ301" s="129">
        <f t="shared" si="302"/>
        <v>0</v>
      </c>
    </row>
    <row r="302" spans="1:39" x14ac:dyDescent="0.25">
      <c r="A302" s="119">
        <f t="shared" ref="A302" si="313">A299</f>
        <v>45374</v>
      </c>
      <c r="B302" s="109" t="s">
        <v>99</v>
      </c>
      <c r="C302" s="6" t="s">
        <v>8</v>
      </c>
      <c r="D302" s="7" t="s">
        <v>16</v>
      </c>
      <c r="E302" s="120"/>
      <c r="F302" s="130">
        <v>390</v>
      </c>
      <c r="G302" s="122"/>
      <c r="H302" s="123"/>
      <c r="I302" s="120">
        <f t="shared" ref="I302:I304" si="314">E302+G302</f>
        <v>0</v>
      </c>
      <c r="J302" s="130">
        <f t="shared" si="305"/>
        <v>390</v>
      </c>
      <c r="K302" s="8">
        <f t="shared" ref="K302:L302" si="315">K299</f>
        <v>971.54</v>
      </c>
      <c r="L302" s="8">
        <f t="shared" si="315"/>
        <v>37036.300000000003</v>
      </c>
      <c r="M302" s="131">
        <f t="shared" si="307"/>
        <v>378900.6</v>
      </c>
      <c r="N302" s="126">
        <f t="shared" si="303"/>
        <v>3983.314000000013</v>
      </c>
      <c r="O302" s="32"/>
      <c r="P302" s="32"/>
      <c r="Q302" s="32"/>
      <c r="R302" s="32"/>
      <c r="S302" s="32"/>
      <c r="T302" s="32"/>
      <c r="U302" s="32"/>
      <c r="V302" s="32"/>
      <c r="W302" s="32"/>
      <c r="X302" s="32"/>
      <c r="Y302" s="32"/>
      <c r="Z302" s="32"/>
      <c r="AA302" s="32"/>
      <c r="AB302" s="32"/>
      <c r="AC302" s="32"/>
      <c r="AD302" s="32"/>
      <c r="AE302" s="32"/>
      <c r="AF302" s="32"/>
      <c r="AG302" s="32"/>
      <c r="AH302" s="127">
        <f>J302*(K302-K293)</f>
        <v>0</v>
      </c>
      <c r="AI302" s="128">
        <f t="shared" si="301"/>
        <v>3983.314000000013</v>
      </c>
      <c r="AJ302" s="129">
        <f t="shared" si="302"/>
        <v>0</v>
      </c>
    </row>
    <row r="303" spans="1:39" s="142" customFormat="1" x14ac:dyDescent="0.25">
      <c r="A303" s="133">
        <f>A301</f>
        <v>45374</v>
      </c>
      <c r="B303" s="110" t="s">
        <v>101</v>
      </c>
      <c r="C303" s="45" t="s">
        <v>100</v>
      </c>
      <c r="D303" s="46" t="s">
        <v>6</v>
      </c>
      <c r="E303" s="134">
        <v>9614136</v>
      </c>
      <c r="F303" s="135"/>
      <c r="G303" s="134"/>
      <c r="H303" s="135"/>
      <c r="I303" s="134">
        <f t="shared" si="314"/>
        <v>9614136</v>
      </c>
      <c r="J303" s="135">
        <f t="shared" si="305"/>
        <v>0</v>
      </c>
      <c r="K303" s="47">
        <f>K301</f>
        <v>971.54</v>
      </c>
      <c r="L303" s="47">
        <f>L301</f>
        <v>37036.300000000003</v>
      </c>
      <c r="M303" s="136">
        <f t="shared" si="307"/>
        <v>9614136</v>
      </c>
      <c r="N303" s="137">
        <f t="shared" si="303"/>
        <v>0</v>
      </c>
      <c r="O303" s="138"/>
      <c r="P303" s="138"/>
      <c r="Q303" s="138"/>
      <c r="R303" s="138"/>
      <c r="S303" s="138"/>
      <c r="T303" s="138"/>
      <c r="U303" s="138"/>
      <c r="V303" s="138"/>
      <c r="W303" s="138"/>
      <c r="X303" s="138"/>
      <c r="Y303" s="138"/>
      <c r="Z303" s="138"/>
      <c r="AA303" s="138"/>
      <c r="AB303" s="138"/>
      <c r="AC303" s="138"/>
      <c r="AD303" s="138"/>
      <c r="AE303" s="138"/>
      <c r="AF303" s="138"/>
      <c r="AG303" s="138"/>
      <c r="AH303" s="139">
        <f>J303*(K303-K294)</f>
        <v>0</v>
      </c>
      <c r="AI303" s="140">
        <f t="shared" si="301"/>
        <v>0</v>
      </c>
      <c r="AJ303" s="141">
        <f>N303-SUM(O303:AI303)</f>
        <v>0</v>
      </c>
    </row>
    <row r="304" spans="1:39" x14ac:dyDescent="0.25">
      <c r="A304" s="119">
        <v>45375</v>
      </c>
      <c r="B304" s="109" t="s">
        <v>99</v>
      </c>
      <c r="C304" s="6" t="s">
        <v>5</v>
      </c>
      <c r="D304" s="7" t="s">
        <v>6</v>
      </c>
      <c r="E304" s="120">
        <v>5879273</v>
      </c>
      <c r="F304" s="130"/>
      <c r="G304" s="120"/>
      <c r="H304" s="130"/>
      <c r="I304" s="120">
        <f t="shared" si="314"/>
        <v>5879273</v>
      </c>
      <c r="J304" s="130">
        <f t="shared" si="305"/>
        <v>0</v>
      </c>
      <c r="K304" s="42">
        <f>VLOOKUP($A304+1,MarketData!$D:$ZZ,MATCH(K$1,MarketData!$D$1:$ZZ$1,0))</f>
        <v>980.24</v>
      </c>
      <c r="L304" s="42">
        <f>VLOOKUP($A304,MarketData!$D:$ZZ,MATCH(L$1,MarketData!$D$1:$ZZ$1,0))</f>
        <v>37043.449999999997</v>
      </c>
      <c r="M304" s="131">
        <f t="shared" si="307"/>
        <v>5879273</v>
      </c>
      <c r="N304" s="126">
        <f>M304-SUMIFS(Total,Cuenta,C304,Linea,D304,Fecha,INDEX(Fecha,MATCH(A304-1,Fecha,1)))</f>
        <v>0</v>
      </c>
      <c r="O304" s="32"/>
      <c r="P304" s="32"/>
      <c r="Q304" s="32"/>
      <c r="R304" s="32"/>
      <c r="S304" s="32"/>
      <c r="T304" s="32"/>
      <c r="U304" s="32"/>
      <c r="V304" s="32"/>
      <c r="W304" s="32"/>
      <c r="X304" s="32"/>
      <c r="Y304" s="32"/>
      <c r="Z304" s="32"/>
      <c r="AA304" s="32"/>
      <c r="AB304" s="32"/>
      <c r="AC304" s="32"/>
      <c r="AD304" s="32"/>
      <c r="AE304" s="32"/>
      <c r="AF304" s="32"/>
      <c r="AG304" s="32"/>
      <c r="AH304" s="127">
        <f>J304*(K304-K295)</f>
        <v>0</v>
      </c>
      <c r="AI304" s="128">
        <f t="shared" ref="AI304:AI313" si="316">(N304-AH304-Q304)*ISNUMBER(MATCH($D304,$AL:$AL,0))</f>
        <v>0</v>
      </c>
      <c r="AJ304" s="129">
        <f t="shared" ref="AJ304:AJ312" si="317">N304-SUM(O304:AI304)</f>
        <v>0</v>
      </c>
    </row>
    <row r="305" spans="1:39" x14ac:dyDescent="0.25">
      <c r="A305" s="119">
        <f>A306</f>
        <v>45375</v>
      </c>
      <c r="B305" s="109" t="s">
        <v>99</v>
      </c>
      <c r="C305" s="6" t="s">
        <v>5</v>
      </c>
      <c r="D305" s="7" t="s">
        <v>80</v>
      </c>
      <c r="E305" s="120">
        <v>15000000</v>
      </c>
      <c r="F305" s="130"/>
      <c r="G305" s="122">
        <v>-15000000</v>
      </c>
      <c r="H305" s="123"/>
      <c r="I305" s="120">
        <f>E305+G305</f>
        <v>0</v>
      </c>
      <c r="J305" s="130">
        <f>F305+H305</f>
        <v>0</v>
      </c>
      <c r="K305" s="8">
        <f>K306</f>
        <v>980.24</v>
      </c>
      <c r="L305" s="8">
        <f>L306</f>
        <v>37043.449999999997</v>
      </c>
      <c r="M305" s="131">
        <f>I305+J305*K305</f>
        <v>0</v>
      </c>
      <c r="N305" s="126">
        <f t="shared" ref="N305:N313" si="318">M305-SUMIFS(Total,Cuenta,C305,Linea,D305,Fecha,INDEX(Fecha,MATCH(A305-1,Fecha,1)))</f>
        <v>0</v>
      </c>
      <c r="O305" s="32"/>
      <c r="P305" s="32"/>
      <c r="Q305" s="32"/>
      <c r="R305" s="32"/>
      <c r="S305" s="32"/>
      <c r="T305" s="32"/>
      <c r="U305" s="32"/>
      <c r="V305" s="32"/>
      <c r="W305" s="32"/>
      <c r="X305" s="32"/>
      <c r="Y305" s="32"/>
      <c r="Z305" s="32"/>
      <c r="AA305" s="32"/>
      <c r="AB305" s="32"/>
      <c r="AC305" s="32"/>
      <c r="AD305" s="32"/>
      <c r="AE305" s="32"/>
      <c r="AF305" s="32"/>
      <c r="AG305" s="32"/>
      <c r="AH305" s="127">
        <f t="shared" ref="AH305:AH311" si="319">J305*(K305-K296)</f>
        <v>0</v>
      </c>
      <c r="AI305" s="128">
        <f t="shared" si="316"/>
        <v>0</v>
      </c>
      <c r="AJ305" s="129">
        <f t="shared" si="317"/>
        <v>0</v>
      </c>
    </row>
    <row r="306" spans="1:39" x14ac:dyDescent="0.25">
      <c r="A306" s="119">
        <f>A304</f>
        <v>45375</v>
      </c>
      <c r="B306" s="109" t="s">
        <v>99</v>
      </c>
      <c r="C306" s="6" t="s">
        <v>5</v>
      </c>
      <c r="D306" s="7" t="s">
        <v>26</v>
      </c>
      <c r="E306" s="120">
        <v>9790382</v>
      </c>
      <c r="F306" s="130">
        <v>7361.93</v>
      </c>
      <c r="G306" s="122">
        <v>-10000000</v>
      </c>
      <c r="H306" s="123">
        <v>-8000</v>
      </c>
      <c r="I306" s="120">
        <f>E306+G306</f>
        <v>-209618</v>
      </c>
      <c r="J306" s="130">
        <f t="shared" ref="J306:J314" si="320">F306+H306</f>
        <v>-638.06999999999971</v>
      </c>
      <c r="K306" s="8">
        <f>K304</f>
        <v>980.24</v>
      </c>
      <c r="L306" s="8">
        <f>L304</f>
        <v>37043.449999999997</v>
      </c>
      <c r="M306" s="131">
        <f>I306+J306*K306</f>
        <v>-835079.73679999972</v>
      </c>
      <c r="N306" s="126">
        <f t="shared" si="318"/>
        <v>-132319.20900000003</v>
      </c>
      <c r="O306" s="32"/>
      <c r="P306" s="32"/>
      <c r="Q306" s="32"/>
      <c r="R306" s="32"/>
      <c r="S306" s="32"/>
      <c r="T306" s="32">
        <v>-126768</v>
      </c>
      <c r="U306" s="32"/>
      <c r="V306" s="32"/>
      <c r="W306" s="32"/>
      <c r="X306" s="32"/>
      <c r="Y306" s="32"/>
      <c r="Z306" s="32"/>
      <c r="AA306" s="32"/>
      <c r="AB306" s="32"/>
      <c r="AC306" s="32"/>
      <c r="AD306" s="32"/>
      <c r="AE306" s="32"/>
      <c r="AF306" s="32"/>
      <c r="AG306" s="32"/>
      <c r="AH306" s="127">
        <f t="shared" si="319"/>
        <v>-5551.2090000000262</v>
      </c>
      <c r="AI306" s="128">
        <f t="shared" si="316"/>
        <v>0</v>
      </c>
      <c r="AJ306" s="129">
        <f t="shared" si="317"/>
        <v>0</v>
      </c>
    </row>
    <row r="307" spans="1:39" x14ac:dyDescent="0.25">
      <c r="A307" s="119">
        <f>A306</f>
        <v>45375</v>
      </c>
      <c r="B307" s="109" t="s">
        <v>99</v>
      </c>
      <c r="C307" s="6" t="s">
        <v>9</v>
      </c>
      <c r="D307" s="7" t="s">
        <v>12</v>
      </c>
      <c r="E307" s="120">
        <v>7935556</v>
      </c>
      <c r="F307" s="130"/>
      <c r="G307" s="122"/>
      <c r="H307" s="123"/>
      <c r="I307" s="120">
        <f t="shared" ref="I307:I308" si="321">E307+G307</f>
        <v>7935556</v>
      </c>
      <c r="J307" s="130">
        <f t="shared" si="320"/>
        <v>0</v>
      </c>
      <c r="K307" s="8">
        <f>K306</f>
        <v>980.24</v>
      </c>
      <c r="L307" s="8">
        <f>L306</f>
        <v>37043.449999999997</v>
      </c>
      <c r="M307" s="131">
        <f t="shared" ref="M307:M314" si="322">I307+J307*K307</f>
        <v>7935556</v>
      </c>
      <c r="N307" s="126">
        <f t="shared" si="318"/>
        <v>0</v>
      </c>
      <c r="O307" s="32"/>
      <c r="P307" s="32"/>
      <c r="Q307" s="32"/>
      <c r="R307" s="32"/>
      <c r="S307" s="32"/>
      <c r="T307" s="32"/>
      <c r="U307" s="32"/>
      <c r="V307" s="32"/>
      <c r="W307" s="32"/>
      <c r="X307" s="32"/>
      <c r="Y307" s="32"/>
      <c r="Z307" s="32"/>
      <c r="AA307" s="32"/>
      <c r="AB307" s="32"/>
      <c r="AC307" s="32"/>
      <c r="AD307" s="32"/>
      <c r="AE307" s="32"/>
      <c r="AF307" s="32"/>
      <c r="AG307" s="32"/>
      <c r="AH307" s="127">
        <f t="shared" si="319"/>
        <v>0</v>
      </c>
      <c r="AI307" s="128">
        <f t="shared" si="316"/>
        <v>0</v>
      </c>
      <c r="AJ307" s="129">
        <f t="shared" si="317"/>
        <v>0</v>
      </c>
    </row>
    <row r="308" spans="1:39" x14ac:dyDescent="0.25">
      <c r="A308" s="119">
        <f t="shared" ref="A308:A311" si="323">A307</f>
        <v>45375</v>
      </c>
      <c r="B308" s="109" t="s">
        <v>99</v>
      </c>
      <c r="C308" s="6" t="s">
        <v>9</v>
      </c>
      <c r="D308" s="7" t="s">
        <v>15</v>
      </c>
      <c r="E308" s="120">
        <v>2131876</v>
      </c>
      <c r="F308" s="130"/>
      <c r="G308" s="122"/>
      <c r="H308" s="123"/>
      <c r="I308" s="120">
        <f t="shared" si="321"/>
        <v>2131876</v>
      </c>
      <c r="J308" s="130">
        <f t="shared" si="320"/>
        <v>0</v>
      </c>
      <c r="K308" s="8">
        <f t="shared" ref="K308:L308" si="324">K307</f>
        <v>980.24</v>
      </c>
      <c r="L308" s="8">
        <f t="shared" si="324"/>
        <v>37043.449999999997</v>
      </c>
      <c r="M308" s="131">
        <f t="shared" si="322"/>
        <v>2131876</v>
      </c>
      <c r="N308" s="126">
        <f t="shared" si="318"/>
        <v>0</v>
      </c>
      <c r="O308" s="32"/>
      <c r="P308" s="32"/>
      <c r="Q308" s="32"/>
      <c r="R308" s="32"/>
      <c r="S308" s="32"/>
      <c r="T308" s="32"/>
      <c r="U308" s="32"/>
      <c r="V308" s="32"/>
      <c r="W308" s="32"/>
      <c r="X308" s="32"/>
      <c r="Y308" s="32"/>
      <c r="Z308" s="32"/>
      <c r="AA308" s="32"/>
      <c r="AB308" s="32"/>
      <c r="AC308" s="32"/>
      <c r="AD308" s="32"/>
      <c r="AE308" s="32"/>
      <c r="AF308" s="32"/>
      <c r="AG308" s="32"/>
      <c r="AH308" s="127">
        <f t="shared" si="319"/>
        <v>0</v>
      </c>
      <c r="AI308" s="128">
        <f t="shared" si="316"/>
        <v>0</v>
      </c>
      <c r="AJ308" s="129">
        <f t="shared" si="317"/>
        <v>0</v>
      </c>
      <c r="AM308" s="119"/>
    </row>
    <row r="309" spans="1:39" x14ac:dyDescent="0.25">
      <c r="A309" s="119">
        <f t="shared" si="323"/>
        <v>45375</v>
      </c>
      <c r="B309" s="109" t="s">
        <v>99</v>
      </c>
      <c r="C309" s="6" t="s">
        <v>9</v>
      </c>
      <c r="D309" s="7" t="s">
        <v>11</v>
      </c>
      <c r="E309" s="120">
        <v>714138</v>
      </c>
      <c r="F309" s="130"/>
      <c r="G309" s="122"/>
      <c r="H309" s="123"/>
      <c r="I309" s="120">
        <f>E309+G309</f>
        <v>714138</v>
      </c>
      <c r="J309" s="130">
        <f t="shared" si="320"/>
        <v>0</v>
      </c>
      <c r="K309" s="8">
        <f t="shared" ref="K309" si="325">K308</f>
        <v>980.24</v>
      </c>
      <c r="L309" s="8">
        <f>L308</f>
        <v>37043.449999999997</v>
      </c>
      <c r="M309" s="131">
        <f t="shared" si="322"/>
        <v>714138</v>
      </c>
      <c r="N309" s="126">
        <f t="shared" si="318"/>
        <v>0</v>
      </c>
      <c r="O309" s="32"/>
      <c r="P309" s="32"/>
      <c r="Q309" s="32"/>
      <c r="R309" s="32"/>
      <c r="S309" s="32"/>
      <c r="T309" s="32"/>
      <c r="U309" s="32"/>
      <c r="V309" s="32"/>
      <c r="W309" s="32"/>
      <c r="X309" s="32"/>
      <c r="Y309" s="32"/>
      <c r="Z309" s="32"/>
      <c r="AA309" s="32"/>
      <c r="AB309" s="32"/>
      <c r="AC309" s="32"/>
      <c r="AD309" s="32"/>
      <c r="AE309" s="32"/>
      <c r="AF309" s="32"/>
      <c r="AG309" s="32"/>
      <c r="AH309" s="127">
        <f t="shared" si="319"/>
        <v>0</v>
      </c>
      <c r="AI309" s="128">
        <f t="shared" si="316"/>
        <v>0</v>
      </c>
      <c r="AJ309" s="129">
        <f t="shared" si="317"/>
        <v>0</v>
      </c>
    </row>
    <row r="310" spans="1:39" x14ac:dyDescent="0.25">
      <c r="A310" s="119">
        <f t="shared" si="323"/>
        <v>45375</v>
      </c>
      <c r="B310" s="109" t="s">
        <v>99</v>
      </c>
      <c r="C310" s="6" t="s">
        <v>9</v>
      </c>
      <c r="D310" s="7" t="s">
        <v>10</v>
      </c>
      <c r="E310" s="120"/>
      <c r="F310" s="130">
        <f>218+105.12+0.25</f>
        <v>323.37</v>
      </c>
      <c r="G310" s="122"/>
      <c r="H310" s="123"/>
      <c r="I310" s="120">
        <f t="shared" ref="I310" si="326">E310+G310</f>
        <v>0</v>
      </c>
      <c r="J310" s="130">
        <f t="shared" si="320"/>
        <v>323.37</v>
      </c>
      <c r="K310" s="8">
        <f t="shared" ref="K310:L310" si="327">K309</f>
        <v>980.24</v>
      </c>
      <c r="L310" s="8">
        <f t="shared" si="327"/>
        <v>37043.449999999997</v>
      </c>
      <c r="M310" s="131">
        <f t="shared" si="322"/>
        <v>316980.20880000002</v>
      </c>
      <c r="N310" s="126">
        <f t="shared" si="318"/>
        <v>2813.3190000000177</v>
      </c>
      <c r="O310" s="32"/>
      <c r="P310" s="32"/>
      <c r="Q310" s="32"/>
      <c r="R310" s="32"/>
      <c r="S310" s="32"/>
      <c r="T310" s="32"/>
      <c r="U310" s="32"/>
      <c r="V310" s="32"/>
      <c r="W310" s="32"/>
      <c r="X310" s="32"/>
      <c r="Y310" s="32"/>
      <c r="Z310" s="32"/>
      <c r="AA310" s="32"/>
      <c r="AB310" s="32"/>
      <c r="AC310" s="32"/>
      <c r="AD310" s="32"/>
      <c r="AE310" s="32"/>
      <c r="AF310" s="32"/>
      <c r="AG310" s="32"/>
      <c r="AH310" s="127">
        <f t="shared" si="319"/>
        <v>2813.319000000015</v>
      </c>
      <c r="AI310" s="128">
        <f t="shared" si="316"/>
        <v>2.7284841053187847E-12</v>
      </c>
      <c r="AJ310" s="129">
        <f t="shared" si="317"/>
        <v>0</v>
      </c>
    </row>
    <row r="311" spans="1:39" x14ac:dyDescent="0.25">
      <c r="A311" s="119">
        <f t="shared" si="323"/>
        <v>45375</v>
      </c>
      <c r="B311" s="109" t="s">
        <v>99</v>
      </c>
      <c r="C311" s="6" t="s">
        <v>7</v>
      </c>
      <c r="D311" s="7" t="s">
        <v>16</v>
      </c>
      <c r="E311" s="120"/>
      <c r="F311" s="130">
        <v>939.35</v>
      </c>
      <c r="G311" s="122"/>
      <c r="H311" s="123"/>
      <c r="I311" s="120">
        <f>E311+G311</f>
        <v>0</v>
      </c>
      <c r="J311" s="130">
        <f t="shared" si="320"/>
        <v>939.35</v>
      </c>
      <c r="K311" s="8">
        <f t="shared" ref="K311:L311" si="328">K310</f>
        <v>980.24</v>
      </c>
      <c r="L311" s="8">
        <f t="shared" si="328"/>
        <v>37043.449999999997</v>
      </c>
      <c r="M311" s="131">
        <f t="shared" si="322"/>
        <v>920788.44400000002</v>
      </c>
      <c r="N311" s="126">
        <f t="shared" si="318"/>
        <v>8172.3449999999721</v>
      </c>
      <c r="O311" s="32"/>
      <c r="P311" s="32"/>
      <c r="Q311" s="32"/>
      <c r="R311" s="32"/>
      <c r="S311" s="32"/>
      <c r="T311" s="32"/>
      <c r="U311" s="32"/>
      <c r="V311" s="32"/>
      <c r="W311" s="32"/>
      <c r="X311" s="32"/>
      <c r="Y311" s="32"/>
      <c r="Z311" s="32"/>
      <c r="AA311" s="32"/>
      <c r="AB311" s="32"/>
      <c r="AC311" s="32"/>
      <c r="AD311" s="32"/>
      <c r="AE311" s="32"/>
      <c r="AF311" s="32"/>
      <c r="AG311" s="32"/>
      <c r="AH311" s="127">
        <f t="shared" si="319"/>
        <v>8172.345000000043</v>
      </c>
      <c r="AI311" s="128">
        <f t="shared" si="316"/>
        <v>-7.0940586738288403E-11</v>
      </c>
      <c r="AJ311" s="129">
        <f t="shared" si="317"/>
        <v>0</v>
      </c>
    </row>
    <row r="312" spans="1:39" x14ac:dyDescent="0.25">
      <c r="A312" s="119">
        <f t="shared" ref="A312" si="329">A309</f>
        <v>45375</v>
      </c>
      <c r="B312" s="109" t="s">
        <v>99</v>
      </c>
      <c r="C312" s="6" t="s">
        <v>8</v>
      </c>
      <c r="D312" s="7" t="s">
        <v>16</v>
      </c>
      <c r="E312" s="120"/>
      <c r="F312" s="130">
        <v>392.43</v>
      </c>
      <c r="G312" s="122"/>
      <c r="H312" s="123"/>
      <c r="I312" s="120">
        <f t="shared" ref="I312:I314" si="330">E312+G312</f>
        <v>0</v>
      </c>
      <c r="J312" s="130">
        <f t="shared" si="320"/>
        <v>392.43</v>
      </c>
      <c r="K312" s="8">
        <f t="shared" ref="K312:L312" si="331">K309</f>
        <v>980.24</v>
      </c>
      <c r="L312" s="8">
        <f t="shared" si="331"/>
        <v>37043.449999999997</v>
      </c>
      <c r="M312" s="131">
        <f t="shared" si="322"/>
        <v>384675.58319999999</v>
      </c>
      <c r="N312" s="126">
        <f t="shared" si="318"/>
        <v>5774.983200000017</v>
      </c>
      <c r="O312" s="32"/>
      <c r="P312" s="32"/>
      <c r="Q312" s="32"/>
      <c r="R312" s="32"/>
      <c r="S312" s="32"/>
      <c r="T312" s="32"/>
      <c r="U312" s="32"/>
      <c r="V312" s="32"/>
      <c r="W312" s="32"/>
      <c r="X312" s="32"/>
      <c r="Y312" s="32"/>
      <c r="Z312" s="32"/>
      <c r="AA312" s="32"/>
      <c r="AB312" s="32"/>
      <c r="AC312" s="32"/>
      <c r="AD312" s="32"/>
      <c r="AE312" s="32"/>
      <c r="AF312" s="32"/>
      <c r="AG312" s="32"/>
      <c r="AH312" s="127">
        <f>J312*(K312-K303)</f>
        <v>3414.1410000000178</v>
      </c>
      <c r="AI312" s="128">
        <f t="shared" si="316"/>
        <v>2360.8421999999991</v>
      </c>
      <c r="AJ312" s="129">
        <f t="shared" si="317"/>
        <v>0</v>
      </c>
    </row>
    <row r="313" spans="1:39" s="142" customFormat="1" x14ac:dyDescent="0.25">
      <c r="A313" s="133">
        <f>A311</f>
        <v>45375</v>
      </c>
      <c r="B313" s="110" t="s">
        <v>101</v>
      </c>
      <c r="C313" s="45" t="s">
        <v>100</v>
      </c>
      <c r="D313" s="46" t="s">
        <v>6</v>
      </c>
      <c r="E313" s="134">
        <v>9614136</v>
      </c>
      <c r="F313" s="135"/>
      <c r="G313" s="134"/>
      <c r="H313" s="135"/>
      <c r="I313" s="134">
        <f t="shared" si="330"/>
        <v>9614136</v>
      </c>
      <c r="J313" s="135">
        <f t="shared" si="320"/>
        <v>0</v>
      </c>
      <c r="K313" s="47">
        <f>K311</f>
        <v>980.24</v>
      </c>
      <c r="L313" s="47">
        <f>L311</f>
        <v>37043.449999999997</v>
      </c>
      <c r="M313" s="136">
        <f t="shared" si="322"/>
        <v>9614136</v>
      </c>
      <c r="N313" s="137">
        <f t="shared" si="318"/>
        <v>0</v>
      </c>
      <c r="O313" s="138"/>
      <c r="P313" s="138"/>
      <c r="Q313" s="138"/>
      <c r="R313" s="138"/>
      <c r="S313" s="138"/>
      <c r="T313" s="138"/>
      <c r="U313" s="138"/>
      <c r="V313" s="138"/>
      <c r="W313" s="138"/>
      <c r="X313" s="138"/>
      <c r="Y313" s="138"/>
      <c r="Z313" s="138"/>
      <c r="AA313" s="138"/>
      <c r="AB313" s="138"/>
      <c r="AC313" s="138"/>
      <c r="AD313" s="138"/>
      <c r="AE313" s="138"/>
      <c r="AF313" s="138"/>
      <c r="AG313" s="138"/>
      <c r="AH313" s="139">
        <f>J313*(K313-K304)</f>
        <v>0</v>
      </c>
      <c r="AI313" s="140">
        <f t="shared" si="316"/>
        <v>0</v>
      </c>
      <c r="AJ313" s="141">
        <f>N313-SUM(O313:AI313)</f>
        <v>0</v>
      </c>
    </row>
    <row r="314" spans="1:39" x14ac:dyDescent="0.25">
      <c r="A314" s="119">
        <v>45378</v>
      </c>
      <c r="B314" s="109" t="s">
        <v>99</v>
      </c>
      <c r="C314" s="6" t="s">
        <v>5</v>
      </c>
      <c r="D314" s="7" t="s">
        <v>6</v>
      </c>
      <c r="E314" s="120">
        <v>5860352</v>
      </c>
      <c r="F314" s="130"/>
      <c r="G314" s="120"/>
      <c r="H314" s="130"/>
      <c r="I314" s="120">
        <f t="shared" si="330"/>
        <v>5860352</v>
      </c>
      <c r="J314" s="130">
        <f t="shared" si="320"/>
        <v>0</v>
      </c>
      <c r="K314" s="42">
        <f>VLOOKUP($A314+1,MarketData!$D:$ZZ,MATCH(K$1,MarketData!$D$1:$ZZ$1,0))</f>
        <v>982.38</v>
      </c>
      <c r="L314" s="42">
        <f>VLOOKUP($A314,MarketData!$D:$ZZ,MATCH(L$1,MarketData!$D$1:$ZZ$1,0))</f>
        <v>37064.9</v>
      </c>
      <c r="M314" s="131">
        <f t="shared" si="322"/>
        <v>5860352</v>
      </c>
      <c r="N314" s="126">
        <f>M314-SUMIFS(Total,Cuenta,C314,Linea,D314,Fecha,INDEX(Fecha,MATCH(A314-1,Fecha,1)))</f>
        <v>-18921</v>
      </c>
      <c r="O314" s="32"/>
      <c r="P314" s="32"/>
      <c r="Q314" s="32"/>
      <c r="R314" s="32"/>
      <c r="S314" s="32"/>
      <c r="T314" s="32"/>
      <c r="U314" s="32"/>
      <c r="V314" s="32">
        <f>-14000+27600</f>
        <v>13600</v>
      </c>
      <c r="W314" s="32"/>
      <c r="X314" s="32"/>
      <c r="Y314" s="32"/>
      <c r="Z314" s="32"/>
      <c r="AA314" s="32">
        <f>-12531-4990</f>
        <v>-17521</v>
      </c>
      <c r="AB314" s="32">
        <v>-15000</v>
      </c>
      <c r="AC314" s="32"/>
      <c r="AD314" s="32"/>
      <c r="AE314" s="32"/>
      <c r="AF314" s="32"/>
      <c r="AG314" s="32"/>
      <c r="AH314" s="127">
        <f>J314*(K314-K305)</f>
        <v>0</v>
      </c>
      <c r="AI314" s="128">
        <f t="shared" ref="AI314:AI323" si="332">(N314-AH314-Q314)*ISNUMBER(MATCH($D314,$AL:$AL,0))</f>
        <v>0</v>
      </c>
      <c r="AJ314" s="129">
        <f t="shared" ref="AJ314:AJ322" si="333">N314-SUM(O314:AI314)</f>
        <v>0</v>
      </c>
    </row>
    <row r="315" spans="1:39" x14ac:dyDescent="0.25">
      <c r="A315" s="119">
        <f>A316</f>
        <v>45378</v>
      </c>
      <c r="B315" s="109" t="s">
        <v>99</v>
      </c>
      <c r="C315" s="6" t="s">
        <v>5</v>
      </c>
      <c r="D315" s="7" t="s">
        <v>80</v>
      </c>
      <c r="E315" s="120">
        <v>15000000</v>
      </c>
      <c r="F315" s="130"/>
      <c r="G315" s="122">
        <v>-15000000</v>
      </c>
      <c r="H315" s="123"/>
      <c r="I315" s="120">
        <f>E315+G315</f>
        <v>0</v>
      </c>
      <c r="J315" s="130">
        <f>F315+H315</f>
        <v>0</v>
      </c>
      <c r="K315" s="8">
        <f>K316</f>
        <v>982.38</v>
      </c>
      <c r="L315" s="8">
        <f>L316</f>
        <v>37064.9</v>
      </c>
      <c r="M315" s="131">
        <f>I315+J315*K315</f>
        <v>0</v>
      </c>
      <c r="N315" s="126">
        <f t="shared" ref="N315:N323" si="334">M315-SUMIFS(Total,Cuenta,C315,Linea,D315,Fecha,INDEX(Fecha,MATCH(A315-1,Fecha,1)))</f>
        <v>0</v>
      </c>
      <c r="O315" s="32"/>
      <c r="P315" s="32"/>
      <c r="Q315" s="32"/>
      <c r="R315" s="32"/>
      <c r="S315" s="32"/>
      <c r="T315" s="32"/>
      <c r="U315" s="32"/>
      <c r="V315" s="32"/>
      <c r="W315" s="32"/>
      <c r="X315" s="32"/>
      <c r="Y315" s="32"/>
      <c r="Z315" s="32"/>
      <c r="AA315" s="32"/>
      <c r="AB315" s="32"/>
      <c r="AC315" s="32"/>
      <c r="AD315" s="32"/>
      <c r="AE315" s="32"/>
      <c r="AF315" s="32"/>
      <c r="AG315" s="32"/>
      <c r="AH315" s="127">
        <f t="shared" ref="AH315:AH321" si="335">J315*(K315-K306)</f>
        <v>0</v>
      </c>
      <c r="AI315" s="128">
        <f t="shared" si="332"/>
        <v>0</v>
      </c>
      <c r="AJ315" s="129">
        <f t="shared" si="333"/>
        <v>0</v>
      </c>
    </row>
    <row r="316" spans="1:39" x14ac:dyDescent="0.25">
      <c r="A316" s="119">
        <f>A314</f>
        <v>45378</v>
      </c>
      <c r="B316" s="109" t="s">
        <v>99</v>
      </c>
      <c r="C316" s="6" t="s">
        <v>5</v>
      </c>
      <c r="D316" s="7" t="s">
        <v>26</v>
      </c>
      <c r="E316" s="120">
        <v>9722086</v>
      </c>
      <c r="F316" s="130">
        <v>7361.93</v>
      </c>
      <c r="G316" s="122">
        <v>-10000000</v>
      </c>
      <c r="H316" s="123">
        <v>-8000</v>
      </c>
      <c r="I316" s="120">
        <f>E316+G316</f>
        <v>-277914</v>
      </c>
      <c r="J316" s="130">
        <f t="shared" ref="J316:J324" si="336">F316+H316</f>
        <v>-638.06999999999971</v>
      </c>
      <c r="K316" s="8">
        <f>K314</f>
        <v>982.38</v>
      </c>
      <c r="L316" s="8">
        <f>L314</f>
        <v>37064.9</v>
      </c>
      <c r="M316" s="131">
        <f>I316+J316*K316</f>
        <v>-904741.20659999968</v>
      </c>
      <c r="N316" s="126">
        <f t="shared" si="334"/>
        <v>-69661.469799999963</v>
      </c>
      <c r="O316" s="32"/>
      <c r="P316" s="32"/>
      <c r="Q316" s="32"/>
      <c r="R316" s="32"/>
      <c r="S316" s="32"/>
      <c r="T316" s="32"/>
      <c r="U316" s="32">
        <f>-8210-33490</f>
        <v>-41700</v>
      </c>
      <c r="V316" s="32"/>
      <c r="W316" s="32">
        <f>-3680-1590-5780-1790-1290</f>
        <v>-14130</v>
      </c>
      <c r="X316" s="32"/>
      <c r="Y316" s="32"/>
      <c r="Z316" s="32">
        <f>-5107-7359</f>
        <v>-12466</v>
      </c>
      <c r="AA316" s="32"/>
      <c r="AB316" s="32"/>
      <c r="AC316" s="32"/>
      <c r="AD316" s="32"/>
      <c r="AE316" s="32"/>
      <c r="AF316" s="32"/>
      <c r="AG316" s="32"/>
      <c r="AH316" s="127">
        <f t="shared" si="335"/>
        <v>-1365.4697999999908</v>
      </c>
      <c r="AI316" s="128">
        <f t="shared" si="332"/>
        <v>0</v>
      </c>
      <c r="AJ316" s="129">
        <f t="shared" si="333"/>
        <v>0</v>
      </c>
    </row>
    <row r="317" spans="1:39" x14ac:dyDescent="0.25">
      <c r="A317" s="119">
        <f>A316</f>
        <v>45378</v>
      </c>
      <c r="B317" s="109" t="s">
        <v>99</v>
      </c>
      <c r="C317" s="6" t="s">
        <v>9</v>
      </c>
      <c r="D317" s="7" t="s">
        <v>12</v>
      </c>
      <c r="E317" s="120">
        <v>7943744</v>
      </c>
      <c r="F317" s="130"/>
      <c r="G317" s="122"/>
      <c r="H317" s="123"/>
      <c r="I317" s="120">
        <f t="shared" ref="I317:I318" si="337">E317+G317</f>
        <v>7943744</v>
      </c>
      <c r="J317" s="130">
        <f t="shared" si="336"/>
        <v>0</v>
      </c>
      <c r="K317" s="8">
        <f>K316</f>
        <v>982.38</v>
      </c>
      <c r="L317" s="8">
        <f>L316</f>
        <v>37064.9</v>
      </c>
      <c r="M317" s="131">
        <f t="shared" ref="M317:M324" si="338">I317+J317*K317</f>
        <v>7943744</v>
      </c>
      <c r="N317" s="126">
        <f t="shared" si="334"/>
        <v>8188</v>
      </c>
      <c r="O317" s="32"/>
      <c r="P317" s="32"/>
      <c r="Q317" s="32"/>
      <c r="R317" s="32"/>
      <c r="S317" s="32"/>
      <c r="T317" s="32"/>
      <c r="U317" s="32"/>
      <c r="V317" s="32"/>
      <c r="W317" s="32"/>
      <c r="X317" s="32"/>
      <c r="Y317" s="32"/>
      <c r="Z317" s="32"/>
      <c r="AA317" s="32"/>
      <c r="AB317" s="32"/>
      <c r="AC317" s="32"/>
      <c r="AD317" s="32"/>
      <c r="AE317" s="32"/>
      <c r="AF317" s="32"/>
      <c r="AG317" s="32"/>
      <c r="AH317" s="127">
        <f t="shared" si="335"/>
        <v>0</v>
      </c>
      <c r="AI317" s="128">
        <f t="shared" si="332"/>
        <v>8188</v>
      </c>
      <c r="AJ317" s="129">
        <f t="shared" si="333"/>
        <v>0</v>
      </c>
    </row>
    <row r="318" spans="1:39" x14ac:dyDescent="0.25">
      <c r="A318" s="119">
        <f t="shared" ref="A318:A321" si="339">A317</f>
        <v>45378</v>
      </c>
      <c r="B318" s="109" t="s">
        <v>99</v>
      </c>
      <c r="C318" s="6" t="s">
        <v>9</v>
      </c>
      <c r="D318" s="7" t="s">
        <v>15</v>
      </c>
      <c r="E318" s="120">
        <v>2139132</v>
      </c>
      <c r="F318" s="130"/>
      <c r="G318" s="122"/>
      <c r="H318" s="123"/>
      <c r="I318" s="120">
        <f t="shared" si="337"/>
        <v>2139132</v>
      </c>
      <c r="J318" s="130">
        <f t="shared" si="336"/>
        <v>0</v>
      </c>
      <c r="K318" s="8">
        <f t="shared" ref="K318:L319" si="340">K317</f>
        <v>982.38</v>
      </c>
      <c r="L318" s="8">
        <f t="shared" si="340"/>
        <v>37064.9</v>
      </c>
      <c r="M318" s="131">
        <f t="shared" si="338"/>
        <v>2139132</v>
      </c>
      <c r="N318" s="126">
        <f t="shared" si="334"/>
        <v>7256</v>
      </c>
      <c r="O318" s="32"/>
      <c r="P318" s="32"/>
      <c r="Q318" s="32"/>
      <c r="R318" s="32"/>
      <c r="S318" s="32"/>
      <c r="T318" s="32"/>
      <c r="U318" s="32"/>
      <c r="V318" s="32"/>
      <c r="W318" s="32"/>
      <c r="X318" s="32"/>
      <c r="Y318" s="32"/>
      <c r="Z318" s="32"/>
      <c r="AA318" s="32"/>
      <c r="AB318" s="32"/>
      <c r="AC318" s="32"/>
      <c r="AD318" s="32"/>
      <c r="AE318" s="32"/>
      <c r="AF318" s="32"/>
      <c r="AG318" s="32"/>
      <c r="AH318" s="127">
        <f t="shared" si="335"/>
        <v>0</v>
      </c>
      <c r="AI318" s="128">
        <f t="shared" si="332"/>
        <v>7256</v>
      </c>
      <c r="AJ318" s="129">
        <f t="shared" si="333"/>
        <v>0</v>
      </c>
      <c r="AM318" s="119"/>
    </row>
    <row r="319" spans="1:39" x14ac:dyDescent="0.25">
      <c r="A319" s="119">
        <f t="shared" si="339"/>
        <v>45378</v>
      </c>
      <c r="B319" s="109" t="s">
        <v>99</v>
      </c>
      <c r="C319" s="6" t="s">
        <v>9</v>
      </c>
      <c r="D319" s="7" t="s">
        <v>11</v>
      </c>
      <c r="E319" s="120">
        <v>715107</v>
      </c>
      <c r="F319" s="130"/>
      <c r="G319" s="122"/>
      <c r="H319" s="123"/>
      <c r="I319" s="120">
        <f>E319+G319</f>
        <v>715107</v>
      </c>
      <c r="J319" s="130">
        <f t="shared" si="336"/>
        <v>0</v>
      </c>
      <c r="K319" s="8">
        <f t="shared" si="340"/>
        <v>982.38</v>
      </c>
      <c r="L319" s="8">
        <f>L318</f>
        <v>37064.9</v>
      </c>
      <c r="M319" s="131">
        <f t="shared" si="338"/>
        <v>715107</v>
      </c>
      <c r="N319" s="126">
        <f t="shared" si="334"/>
        <v>969</v>
      </c>
      <c r="O319" s="32"/>
      <c r="P319" s="32"/>
      <c r="Q319" s="32"/>
      <c r="R319" s="32"/>
      <c r="S319" s="32"/>
      <c r="T319" s="32"/>
      <c r="U319" s="32"/>
      <c r="V319" s="32"/>
      <c r="W319" s="32"/>
      <c r="X319" s="32"/>
      <c r="Y319" s="32"/>
      <c r="Z319" s="32"/>
      <c r="AA319" s="32"/>
      <c r="AB319" s="32"/>
      <c r="AC319" s="32"/>
      <c r="AD319" s="32"/>
      <c r="AE319" s="32"/>
      <c r="AF319" s="32"/>
      <c r="AG319" s="32"/>
      <c r="AH319" s="127">
        <f t="shared" si="335"/>
        <v>0</v>
      </c>
      <c r="AI319" s="128">
        <f t="shared" si="332"/>
        <v>969</v>
      </c>
      <c r="AJ319" s="129">
        <f t="shared" si="333"/>
        <v>0</v>
      </c>
    </row>
    <row r="320" spans="1:39" x14ac:dyDescent="0.25">
      <c r="A320" s="119">
        <f t="shared" si="339"/>
        <v>45378</v>
      </c>
      <c r="B320" s="109" t="s">
        <v>99</v>
      </c>
      <c r="C320" s="6" t="s">
        <v>9</v>
      </c>
      <c r="D320" s="7" t="s">
        <v>10</v>
      </c>
      <c r="E320" s="120"/>
      <c r="F320" s="130">
        <v>324.2</v>
      </c>
      <c r="G320" s="122"/>
      <c r="H320" s="123"/>
      <c r="I320" s="120">
        <f t="shared" ref="I320" si="341">E320+G320</f>
        <v>0</v>
      </c>
      <c r="J320" s="130">
        <f t="shared" si="336"/>
        <v>324.2</v>
      </c>
      <c r="K320" s="8">
        <f t="shared" ref="K320:L320" si="342">K319</f>
        <v>982.38</v>
      </c>
      <c r="L320" s="8">
        <f t="shared" si="342"/>
        <v>37064.9</v>
      </c>
      <c r="M320" s="131">
        <f t="shared" si="338"/>
        <v>318487.59599999996</v>
      </c>
      <c r="N320" s="126">
        <f t="shared" si="334"/>
        <v>1507.3871999999392</v>
      </c>
      <c r="O320" s="32"/>
      <c r="P320" s="32"/>
      <c r="Q320" s="32"/>
      <c r="R320" s="32"/>
      <c r="S320" s="32"/>
      <c r="T320" s="32"/>
      <c r="U320" s="32"/>
      <c r="V320" s="32"/>
      <c r="W320" s="32"/>
      <c r="X320" s="32"/>
      <c r="Y320" s="32"/>
      <c r="Z320" s="32"/>
      <c r="AA320" s="32"/>
      <c r="AB320" s="32"/>
      <c r="AC320" s="32"/>
      <c r="AD320" s="32"/>
      <c r="AE320" s="32"/>
      <c r="AF320" s="32"/>
      <c r="AG320" s="32"/>
      <c r="AH320" s="127">
        <f t="shared" si="335"/>
        <v>693.78799999999558</v>
      </c>
      <c r="AI320" s="128">
        <f t="shared" si="332"/>
        <v>813.59919999994361</v>
      </c>
      <c r="AJ320" s="129">
        <f t="shared" si="333"/>
        <v>0</v>
      </c>
    </row>
    <row r="321" spans="1:39" x14ac:dyDescent="0.25">
      <c r="A321" s="119">
        <f t="shared" si="339"/>
        <v>45378</v>
      </c>
      <c r="B321" s="109" t="s">
        <v>99</v>
      </c>
      <c r="C321" s="6" t="s">
        <v>7</v>
      </c>
      <c r="D321" s="7" t="s">
        <v>16</v>
      </c>
      <c r="E321" s="120"/>
      <c r="F321" s="130">
        <v>939.35</v>
      </c>
      <c r="G321" s="122"/>
      <c r="H321" s="123"/>
      <c r="I321" s="120">
        <f>E321+G321</f>
        <v>0</v>
      </c>
      <c r="J321" s="130">
        <f t="shared" si="336"/>
        <v>939.35</v>
      </c>
      <c r="K321" s="8">
        <f t="shared" ref="K321:L321" si="343">K320</f>
        <v>982.38</v>
      </c>
      <c r="L321" s="8">
        <f t="shared" si="343"/>
        <v>37064.9</v>
      </c>
      <c r="M321" s="131">
        <f t="shared" si="338"/>
        <v>922798.65300000005</v>
      </c>
      <c r="N321" s="126">
        <f t="shared" si="334"/>
        <v>2010.2090000000317</v>
      </c>
      <c r="O321" s="32"/>
      <c r="P321" s="32"/>
      <c r="Q321" s="32"/>
      <c r="R321" s="32"/>
      <c r="S321" s="32"/>
      <c r="T321" s="32"/>
      <c r="U321" s="32"/>
      <c r="V321" s="32"/>
      <c r="W321" s="32"/>
      <c r="X321" s="32"/>
      <c r="Y321" s="32"/>
      <c r="Z321" s="32"/>
      <c r="AA321" s="32"/>
      <c r="AB321" s="32"/>
      <c r="AC321" s="32"/>
      <c r="AD321" s="32"/>
      <c r="AE321" s="32"/>
      <c r="AF321" s="32"/>
      <c r="AG321" s="32"/>
      <c r="AH321" s="127">
        <f t="shared" si="335"/>
        <v>2010.2089999999873</v>
      </c>
      <c r="AI321" s="128">
        <f t="shared" si="332"/>
        <v>4.4337866711430252E-11</v>
      </c>
      <c r="AJ321" s="129">
        <f t="shared" si="333"/>
        <v>0</v>
      </c>
    </row>
    <row r="322" spans="1:39" x14ac:dyDescent="0.25">
      <c r="A322" s="119">
        <f t="shared" ref="A322" si="344">A319</f>
        <v>45378</v>
      </c>
      <c r="B322" s="109" t="s">
        <v>99</v>
      </c>
      <c r="C322" s="6" t="s">
        <v>8</v>
      </c>
      <c r="D322" s="7" t="s">
        <v>16</v>
      </c>
      <c r="E322" s="120"/>
      <c r="F322" s="130">
        <v>381.1</v>
      </c>
      <c r="G322" s="122"/>
      <c r="H322" s="123"/>
      <c r="I322" s="120">
        <f t="shared" ref="I322:I324" si="345">E322+G322</f>
        <v>0</v>
      </c>
      <c r="J322" s="130">
        <f t="shared" si="336"/>
        <v>381.1</v>
      </c>
      <c r="K322" s="8">
        <f t="shared" ref="K322:L322" si="346">K319</f>
        <v>982.38</v>
      </c>
      <c r="L322" s="8">
        <f t="shared" si="346"/>
        <v>37064.9</v>
      </c>
      <c r="M322" s="131">
        <f t="shared" si="338"/>
        <v>374385.01800000004</v>
      </c>
      <c r="N322" s="126">
        <f t="shared" si="334"/>
        <v>-10290.565199999954</v>
      </c>
      <c r="O322" s="32"/>
      <c r="P322" s="32"/>
      <c r="Q322" s="32"/>
      <c r="R322" s="32"/>
      <c r="S322" s="32"/>
      <c r="T322" s="32"/>
      <c r="U322" s="32"/>
      <c r="V322" s="32"/>
      <c r="W322" s="32"/>
      <c r="X322" s="32"/>
      <c r="Y322" s="32"/>
      <c r="Z322" s="32"/>
      <c r="AA322" s="32"/>
      <c r="AB322" s="32"/>
      <c r="AC322" s="32"/>
      <c r="AD322" s="32"/>
      <c r="AE322" s="32"/>
      <c r="AF322" s="32"/>
      <c r="AG322" s="32"/>
      <c r="AH322" s="127">
        <f>J322*(K322-K313)</f>
        <v>815.55399999999486</v>
      </c>
      <c r="AI322" s="128">
        <f t="shared" si="332"/>
        <v>-11106.119199999948</v>
      </c>
      <c r="AJ322" s="129">
        <f t="shared" si="333"/>
        <v>0</v>
      </c>
    </row>
    <row r="323" spans="1:39" s="142" customFormat="1" x14ac:dyDescent="0.25">
      <c r="A323" s="133">
        <f>A321</f>
        <v>45378</v>
      </c>
      <c r="B323" s="110" t="s">
        <v>101</v>
      </c>
      <c r="C323" s="45" t="s">
        <v>100</v>
      </c>
      <c r="D323" s="46" t="s">
        <v>6</v>
      </c>
      <c r="E323" s="134">
        <v>9614136</v>
      </c>
      <c r="F323" s="135"/>
      <c r="G323" s="134"/>
      <c r="H323" s="135"/>
      <c r="I323" s="134">
        <f t="shared" si="345"/>
        <v>9614136</v>
      </c>
      <c r="J323" s="135">
        <f t="shared" si="336"/>
        <v>0</v>
      </c>
      <c r="K323" s="47">
        <f>K321</f>
        <v>982.38</v>
      </c>
      <c r="L323" s="47">
        <f>L321</f>
        <v>37064.9</v>
      </c>
      <c r="M323" s="136">
        <f t="shared" si="338"/>
        <v>9614136</v>
      </c>
      <c r="N323" s="137">
        <f t="shared" si="334"/>
        <v>0</v>
      </c>
      <c r="O323" s="138"/>
      <c r="P323" s="138"/>
      <c r="Q323" s="138"/>
      <c r="R323" s="138"/>
      <c r="S323" s="138"/>
      <c r="T323" s="138"/>
      <c r="U323" s="138"/>
      <c r="V323" s="138"/>
      <c r="W323" s="138"/>
      <c r="X323" s="138"/>
      <c r="Y323" s="138"/>
      <c r="Z323" s="138"/>
      <c r="AA323" s="138"/>
      <c r="AB323" s="138"/>
      <c r="AC323" s="138"/>
      <c r="AD323" s="138"/>
      <c r="AE323" s="138"/>
      <c r="AF323" s="138"/>
      <c r="AG323" s="138"/>
      <c r="AH323" s="139">
        <f>J323*(K323-K314)</f>
        <v>0</v>
      </c>
      <c r="AI323" s="140">
        <f t="shared" si="332"/>
        <v>0</v>
      </c>
      <c r="AJ323" s="141">
        <f>N323-SUM(O323:AI323)</f>
        <v>0</v>
      </c>
    </row>
    <row r="324" spans="1:39" x14ac:dyDescent="0.25">
      <c r="A324" s="119">
        <v>45379</v>
      </c>
      <c r="B324" s="109" t="s">
        <v>99</v>
      </c>
      <c r="C324" s="6" t="s">
        <v>5</v>
      </c>
      <c r="D324" s="7" t="s">
        <v>6</v>
      </c>
      <c r="E324" s="120">
        <v>5860352</v>
      </c>
      <c r="F324" s="130"/>
      <c r="G324" s="120"/>
      <c r="H324" s="130"/>
      <c r="I324" s="120">
        <f t="shared" si="345"/>
        <v>5860352</v>
      </c>
      <c r="J324" s="130">
        <f t="shared" si="336"/>
        <v>0</v>
      </c>
      <c r="K324" s="42">
        <f>VLOOKUP($A324+1,MarketData!$D:$ZZ,MATCH(K$1,MarketData!$D$1:$ZZ$1,0))</f>
        <v>982.38</v>
      </c>
      <c r="L324" s="42">
        <f>VLOOKUP($A324,MarketData!$D:$ZZ,MATCH(L$1,MarketData!$D$1:$ZZ$1,0))</f>
        <v>37072.050000000003</v>
      </c>
      <c r="M324" s="131">
        <f t="shared" si="338"/>
        <v>5860352</v>
      </c>
      <c r="N324" s="126">
        <f>M324-SUMIFS(Total,Cuenta,C324,Linea,D324,Fecha,INDEX(Fecha,MATCH(A324-1,Fecha,1)))</f>
        <v>0</v>
      </c>
      <c r="O324" s="32"/>
      <c r="P324" s="32"/>
      <c r="Q324" s="32"/>
      <c r="R324" s="32"/>
      <c r="S324" s="32"/>
      <c r="T324" s="32"/>
      <c r="U324" s="32"/>
      <c r="V324" s="32"/>
      <c r="W324" s="32"/>
      <c r="X324" s="32"/>
      <c r="Y324" s="32"/>
      <c r="Z324" s="32"/>
      <c r="AA324" s="32"/>
      <c r="AB324" s="32"/>
      <c r="AC324" s="32"/>
      <c r="AD324" s="32"/>
      <c r="AE324" s="32"/>
      <c r="AF324" s="32"/>
      <c r="AG324" s="32"/>
      <c r="AH324" s="127">
        <f>J324*(K324-K315)</f>
        <v>0</v>
      </c>
      <c r="AI324" s="128">
        <f t="shared" ref="AI324:AI333" si="347">(N324-AH324-Q324)*ISNUMBER(MATCH($D324,$AL:$AL,0))</f>
        <v>0</v>
      </c>
      <c r="AJ324" s="129">
        <f t="shared" ref="AJ324:AJ332" si="348">N324-SUM(O324:AI324)</f>
        <v>0</v>
      </c>
    </row>
    <row r="325" spans="1:39" x14ac:dyDescent="0.25">
      <c r="A325" s="119">
        <f>A326</f>
        <v>45379</v>
      </c>
      <c r="B325" s="109" t="s">
        <v>99</v>
      </c>
      <c r="C325" s="6" t="s">
        <v>5</v>
      </c>
      <c r="D325" s="7" t="s">
        <v>80</v>
      </c>
      <c r="E325" s="120">
        <v>15000000</v>
      </c>
      <c r="F325" s="130"/>
      <c r="G325" s="122">
        <v>-15000000</v>
      </c>
      <c r="H325" s="123"/>
      <c r="I325" s="120">
        <f>E325+G325</f>
        <v>0</v>
      </c>
      <c r="J325" s="130">
        <f>F325+H325</f>
        <v>0</v>
      </c>
      <c r="K325" s="8">
        <f>K326</f>
        <v>982.38</v>
      </c>
      <c r="L325" s="8">
        <f>L326</f>
        <v>37072.050000000003</v>
      </c>
      <c r="M325" s="131">
        <f>I325+J325*K325</f>
        <v>0</v>
      </c>
      <c r="N325" s="126">
        <f t="shared" ref="N325:N333" si="349">M325-SUMIFS(Total,Cuenta,C325,Linea,D325,Fecha,INDEX(Fecha,MATCH(A325-1,Fecha,1)))</f>
        <v>0</v>
      </c>
      <c r="O325" s="32"/>
      <c r="P325" s="32"/>
      <c r="Q325" s="32"/>
      <c r="R325" s="32"/>
      <c r="S325" s="32"/>
      <c r="T325" s="32"/>
      <c r="U325" s="32"/>
      <c r="V325" s="32"/>
      <c r="W325" s="32"/>
      <c r="X325" s="32"/>
      <c r="Y325" s="32"/>
      <c r="Z325" s="32"/>
      <c r="AA325" s="32"/>
      <c r="AB325" s="32"/>
      <c r="AC325" s="32"/>
      <c r="AD325" s="32"/>
      <c r="AE325" s="32"/>
      <c r="AF325" s="32"/>
      <c r="AG325" s="32"/>
      <c r="AH325" s="127">
        <f t="shared" ref="AH325:AH331" si="350">J325*(K325-K316)</f>
        <v>0</v>
      </c>
      <c r="AI325" s="128">
        <f t="shared" si="347"/>
        <v>0</v>
      </c>
      <c r="AJ325" s="129">
        <f t="shared" si="348"/>
        <v>0</v>
      </c>
    </row>
    <row r="326" spans="1:39" x14ac:dyDescent="0.25">
      <c r="A326" s="119">
        <f>A324</f>
        <v>45379</v>
      </c>
      <c r="B326" s="109" t="s">
        <v>99</v>
      </c>
      <c r="C326" s="6" t="s">
        <v>5</v>
      </c>
      <c r="D326" s="7" t="s">
        <v>26</v>
      </c>
      <c r="E326" s="120">
        <v>9719206</v>
      </c>
      <c r="F326" s="130">
        <v>7361.93</v>
      </c>
      <c r="G326" s="122">
        <v>-10000000</v>
      </c>
      <c r="H326" s="123">
        <v>-8000</v>
      </c>
      <c r="I326" s="120">
        <f>E326+G326</f>
        <v>-280794</v>
      </c>
      <c r="J326" s="130">
        <f t="shared" ref="J326:J334" si="351">F326+H326</f>
        <v>-638.06999999999971</v>
      </c>
      <c r="K326" s="8">
        <f>K324</f>
        <v>982.38</v>
      </c>
      <c r="L326" s="8">
        <f>L324</f>
        <v>37072.050000000003</v>
      </c>
      <c r="M326" s="131">
        <f>I326+J326*K326</f>
        <v>-907621.20659999968</v>
      </c>
      <c r="N326" s="126">
        <f t="shared" si="349"/>
        <v>-2880</v>
      </c>
      <c r="O326" s="32"/>
      <c r="P326" s="32"/>
      <c r="Q326" s="32"/>
      <c r="R326" s="32"/>
      <c r="S326" s="32"/>
      <c r="T326" s="32"/>
      <c r="U326" s="32"/>
      <c r="V326" s="32"/>
      <c r="W326" s="32">
        <v>-2880</v>
      </c>
      <c r="X326" s="32"/>
      <c r="Y326" s="32"/>
      <c r="Z326" s="32"/>
      <c r="AA326" s="32"/>
      <c r="AB326" s="32"/>
      <c r="AC326" s="32"/>
      <c r="AD326" s="32"/>
      <c r="AE326" s="32"/>
      <c r="AF326" s="32"/>
      <c r="AG326" s="32"/>
      <c r="AH326" s="127">
        <f t="shared" si="350"/>
        <v>0</v>
      </c>
      <c r="AI326" s="128">
        <f t="shared" si="347"/>
        <v>0</v>
      </c>
      <c r="AJ326" s="129">
        <f t="shared" si="348"/>
        <v>0</v>
      </c>
    </row>
    <row r="327" spans="1:39" x14ac:dyDescent="0.25">
      <c r="A327" s="119">
        <f>A326</f>
        <v>45379</v>
      </c>
      <c r="B327" s="109" t="s">
        <v>99</v>
      </c>
      <c r="C327" s="6" t="s">
        <v>9</v>
      </c>
      <c r="D327" s="7" t="s">
        <v>12</v>
      </c>
      <c r="E327" s="120">
        <v>7944999</v>
      </c>
      <c r="F327" s="130"/>
      <c r="G327" s="122"/>
      <c r="H327" s="123"/>
      <c r="I327" s="120">
        <f t="shared" ref="I327:I328" si="352">E327+G327</f>
        <v>7944999</v>
      </c>
      <c r="J327" s="130">
        <f t="shared" si="351"/>
        <v>0</v>
      </c>
      <c r="K327" s="8">
        <f>K326</f>
        <v>982.38</v>
      </c>
      <c r="L327" s="8">
        <f>L326</f>
        <v>37072.050000000003</v>
      </c>
      <c r="M327" s="131">
        <f t="shared" ref="M327:M334" si="353">I327+J327*K327</f>
        <v>7944999</v>
      </c>
      <c r="N327" s="126">
        <f t="shared" si="349"/>
        <v>1255</v>
      </c>
      <c r="O327" s="32"/>
      <c r="P327" s="32"/>
      <c r="Q327" s="32"/>
      <c r="R327" s="32"/>
      <c r="S327" s="32"/>
      <c r="T327" s="32"/>
      <c r="U327" s="32"/>
      <c r="V327" s="32"/>
      <c r="W327" s="32"/>
      <c r="X327" s="32"/>
      <c r="Y327" s="32"/>
      <c r="Z327" s="32"/>
      <c r="AA327" s="32"/>
      <c r="AB327" s="32"/>
      <c r="AC327" s="32"/>
      <c r="AD327" s="32"/>
      <c r="AE327" s="32"/>
      <c r="AF327" s="32"/>
      <c r="AG327" s="32"/>
      <c r="AH327" s="127">
        <f t="shared" si="350"/>
        <v>0</v>
      </c>
      <c r="AI327" s="128">
        <f t="shared" si="347"/>
        <v>1255</v>
      </c>
      <c r="AJ327" s="129">
        <f t="shared" si="348"/>
        <v>0</v>
      </c>
    </row>
    <row r="328" spans="1:39" x14ac:dyDescent="0.25">
      <c r="A328" s="119">
        <f t="shared" ref="A328:A331" si="354">A327</f>
        <v>45379</v>
      </c>
      <c r="B328" s="109" t="s">
        <v>99</v>
      </c>
      <c r="C328" s="6" t="s">
        <v>9</v>
      </c>
      <c r="D328" s="7" t="s">
        <v>15</v>
      </c>
      <c r="E328" s="120">
        <v>2140185</v>
      </c>
      <c r="F328" s="130"/>
      <c r="G328" s="122"/>
      <c r="H328" s="123"/>
      <c r="I328" s="120">
        <f t="shared" si="352"/>
        <v>2140185</v>
      </c>
      <c r="J328" s="130">
        <f t="shared" si="351"/>
        <v>0</v>
      </c>
      <c r="K328" s="8">
        <f t="shared" ref="K328:L328" si="355">K327</f>
        <v>982.38</v>
      </c>
      <c r="L328" s="8">
        <f t="shared" si="355"/>
        <v>37072.050000000003</v>
      </c>
      <c r="M328" s="131">
        <f t="shared" si="353"/>
        <v>2140185</v>
      </c>
      <c r="N328" s="126">
        <f t="shared" si="349"/>
        <v>1053</v>
      </c>
      <c r="O328" s="32"/>
      <c r="P328" s="32"/>
      <c r="Q328" s="32"/>
      <c r="R328" s="32"/>
      <c r="S328" s="32"/>
      <c r="T328" s="32"/>
      <c r="U328" s="32"/>
      <c r="V328" s="32"/>
      <c r="W328" s="32"/>
      <c r="X328" s="32"/>
      <c r="Y328" s="32"/>
      <c r="Z328" s="32"/>
      <c r="AA328" s="32"/>
      <c r="AB328" s="32"/>
      <c r="AC328" s="32"/>
      <c r="AD328" s="32"/>
      <c r="AE328" s="32"/>
      <c r="AF328" s="32"/>
      <c r="AG328" s="32"/>
      <c r="AH328" s="127">
        <f t="shared" si="350"/>
        <v>0</v>
      </c>
      <c r="AI328" s="128">
        <f t="shared" si="347"/>
        <v>1053</v>
      </c>
      <c r="AJ328" s="129">
        <f t="shared" si="348"/>
        <v>0</v>
      </c>
      <c r="AM328" s="119"/>
    </row>
    <row r="329" spans="1:39" x14ac:dyDescent="0.25">
      <c r="A329" s="119">
        <f t="shared" si="354"/>
        <v>45379</v>
      </c>
      <c r="B329" s="109" t="s">
        <v>99</v>
      </c>
      <c r="C329" s="6" t="s">
        <v>9</v>
      </c>
      <c r="D329" s="7" t="s">
        <v>11</v>
      </c>
      <c r="E329" s="120">
        <v>715318</v>
      </c>
      <c r="F329" s="130"/>
      <c r="G329" s="122"/>
      <c r="H329" s="123"/>
      <c r="I329" s="120">
        <f>E329+G329</f>
        <v>715318</v>
      </c>
      <c r="J329" s="130">
        <f t="shared" si="351"/>
        <v>0</v>
      </c>
      <c r="K329" s="8">
        <f t="shared" ref="K329" si="356">K328</f>
        <v>982.38</v>
      </c>
      <c r="L329" s="8">
        <f>L328</f>
        <v>37072.050000000003</v>
      </c>
      <c r="M329" s="131">
        <f t="shared" si="353"/>
        <v>715318</v>
      </c>
      <c r="N329" s="126">
        <f t="shared" si="349"/>
        <v>211</v>
      </c>
      <c r="O329" s="32"/>
      <c r="P329" s="32"/>
      <c r="Q329" s="32"/>
      <c r="R329" s="32"/>
      <c r="S329" s="32"/>
      <c r="T329" s="32"/>
      <c r="U329" s="32"/>
      <c r="V329" s="32"/>
      <c r="W329" s="32"/>
      <c r="X329" s="32"/>
      <c r="Y329" s="32"/>
      <c r="Z329" s="32"/>
      <c r="AA329" s="32"/>
      <c r="AB329" s="32"/>
      <c r="AC329" s="32"/>
      <c r="AD329" s="32"/>
      <c r="AE329" s="32"/>
      <c r="AF329" s="32"/>
      <c r="AG329" s="32"/>
      <c r="AH329" s="127">
        <f t="shared" si="350"/>
        <v>0</v>
      </c>
      <c r="AI329" s="128">
        <f t="shared" si="347"/>
        <v>211</v>
      </c>
      <c r="AJ329" s="129">
        <f t="shared" si="348"/>
        <v>0</v>
      </c>
    </row>
    <row r="330" spans="1:39" x14ac:dyDescent="0.25">
      <c r="A330" s="119">
        <f t="shared" si="354"/>
        <v>45379</v>
      </c>
      <c r="B330" s="109" t="s">
        <v>99</v>
      </c>
      <c r="C330" s="6" t="s">
        <v>9</v>
      </c>
      <c r="D330" s="7" t="s">
        <v>10</v>
      </c>
      <c r="E330" s="120"/>
      <c r="F330" s="130">
        <v>325.36</v>
      </c>
      <c r="G330" s="122"/>
      <c r="H330" s="123"/>
      <c r="I330" s="120">
        <f t="shared" ref="I330" si="357">E330+G330</f>
        <v>0</v>
      </c>
      <c r="J330" s="130">
        <f t="shared" si="351"/>
        <v>325.36</v>
      </c>
      <c r="K330" s="8">
        <f t="shared" ref="K330:L330" si="358">K329</f>
        <v>982.38</v>
      </c>
      <c r="L330" s="8">
        <f t="shared" si="358"/>
        <v>37072.050000000003</v>
      </c>
      <c r="M330" s="131">
        <f t="shared" si="353"/>
        <v>319627.1568</v>
      </c>
      <c r="N330" s="126">
        <f t="shared" si="349"/>
        <v>1139.5608000000357</v>
      </c>
      <c r="O330" s="32"/>
      <c r="P330" s="32"/>
      <c r="Q330" s="32"/>
      <c r="R330" s="32"/>
      <c r="S330" s="32"/>
      <c r="T330" s="32"/>
      <c r="U330" s="32"/>
      <c r="V330" s="32"/>
      <c r="W330" s="32"/>
      <c r="X330" s="32"/>
      <c r="Y330" s="32"/>
      <c r="Z330" s="32"/>
      <c r="AA330" s="32"/>
      <c r="AB330" s="32"/>
      <c r="AC330" s="32"/>
      <c r="AD330" s="32"/>
      <c r="AE330" s="32"/>
      <c r="AF330" s="32"/>
      <c r="AG330" s="32"/>
      <c r="AH330" s="127">
        <f t="shared" si="350"/>
        <v>0</v>
      </c>
      <c r="AI330" s="128">
        <f t="shared" si="347"/>
        <v>1139.5608000000357</v>
      </c>
      <c r="AJ330" s="129">
        <f t="shared" si="348"/>
        <v>0</v>
      </c>
    </row>
    <row r="331" spans="1:39" x14ac:dyDescent="0.25">
      <c r="A331" s="119">
        <f t="shared" si="354"/>
        <v>45379</v>
      </c>
      <c r="B331" s="109" t="s">
        <v>99</v>
      </c>
      <c r="C331" s="6" t="s">
        <v>7</v>
      </c>
      <c r="D331" s="7" t="s">
        <v>16</v>
      </c>
      <c r="E331" s="120"/>
      <c r="F331" s="130">
        <v>939.35</v>
      </c>
      <c r="G331" s="122"/>
      <c r="H331" s="123"/>
      <c r="I331" s="120">
        <f>E331+G331</f>
        <v>0</v>
      </c>
      <c r="J331" s="130">
        <f t="shared" si="351"/>
        <v>939.35</v>
      </c>
      <c r="K331" s="8">
        <f t="shared" ref="K331:L331" si="359">K330</f>
        <v>982.38</v>
      </c>
      <c r="L331" s="8">
        <f t="shared" si="359"/>
        <v>37072.050000000003</v>
      </c>
      <c r="M331" s="131">
        <f t="shared" si="353"/>
        <v>922798.65300000005</v>
      </c>
      <c r="N331" s="126">
        <f t="shared" si="349"/>
        <v>0</v>
      </c>
      <c r="O331" s="32"/>
      <c r="P331" s="32"/>
      <c r="Q331" s="32"/>
      <c r="R331" s="32"/>
      <c r="S331" s="32"/>
      <c r="T331" s="32"/>
      <c r="U331" s="32"/>
      <c r="V331" s="32"/>
      <c r="W331" s="32"/>
      <c r="X331" s="32"/>
      <c r="Y331" s="32"/>
      <c r="Z331" s="32"/>
      <c r="AA331" s="32"/>
      <c r="AB331" s="32"/>
      <c r="AC331" s="32"/>
      <c r="AD331" s="32"/>
      <c r="AE331" s="32"/>
      <c r="AF331" s="32"/>
      <c r="AG331" s="32"/>
      <c r="AH331" s="127">
        <f t="shared" si="350"/>
        <v>0</v>
      </c>
      <c r="AI331" s="128">
        <f t="shared" si="347"/>
        <v>0</v>
      </c>
      <c r="AJ331" s="129">
        <f t="shared" si="348"/>
        <v>0</v>
      </c>
    </row>
    <row r="332" spans="1:39" x14ac:dyDescent="0.25">
      <c r="A332" s="119">
        <f t="shared" ref="A332" si="360">A329</f>
        <v>45379</v>
      </c>
      <c r="B332" s="109" t="s">
        <v>99</v>
      </c>
      <c r="C332" s="6" t="s">
        <v>8</v>
      </c>
      <c r="D332" s="7" t="s">
        <v>16</v>
      </c>
      <c r="E332" s="120"/>
      <c r="F332" s="130">
        <v>381.1</v>
      </c>
      <c r="G332" s="122"/>
      <c r="H332" s="123"/>
      <c r="I332" s="120">
        <f t="shared" ref="I332:I334" si="361">E332+G332</f>
        <v>0</v>
      </c>
      <c r="J332" s="130">
        <f t="shared" si="351"/>
        <v>381.1</v>
      </c>
      <c r="K332" s="8">
        <f t="shared" ref="K332:L332" si="362">K329</f>
        <v>982.38</v>
      </c>
      <c r="L332" s="8">
        <f t="shared" si="362"/>
        <v>37072.050000000003</v>
      </c>
      <c r="M332" s="131">
        <f t="shared" si="353"/>
        <v>374385.01800000004</v>
      </c>
      <c r="N332" s="126">
        <f t="shared" si="349"/>
        <v>0</v>
      </c>
      <c r="O332" s="32"/>
      <c r="P332" s="32"/>
      <c r="Q332" s="32"/>
      <c r="R332" s="32"/>
      <c r="S332" s="32"/>
      <c r="T332" s="32"/>
      <c r="U332" s="32"/>
      <c r="V332" s="32"/>
      <c r="W332" s="32"/>
      <c r="X332" s="32"/>
      <c r="Y332" s="32"/>
      <c r="Z332" s="32"/>
      <c r="AA332" s="32"/>
      <c r="AB332" s="32"/>
      <c r="AC332" s="32"/>
      <c r="AD332" s="32"/>
      <c r="AE332" s="32"/>
      <c r="AF332" s="32"/>
      <c r="AG332" s="32"/>
      <c r="AH332" s="127">
        <f>J332*(K332-K323)</f>
        <v>0</v>
      </c>
      <c r="AI332" s="128">
        <f t="shared" si="347"/>
        <v>0</v>
      </c>
      <c r="AJ332" s="129">
        <f t="shared" si="348"/>
        <v>0</v>
      </c>
    </row>
    <row r="333" spans="1:39" s="142" customFormat="1" x14ac:dyDescent="0.25">
      <c r="A333" s="133">
        <f>A331</f>
        <v>45379</v>
      </c>
      <c r="B333" s="110" t="s">
        <v>101</v>
      </c>
      <c r="C333" s="45" t="s">
        <v>100</v>
      </c>
      <c r="D333" s="46" t="s">
        <v>6</v>
      </c>
      <c r="E333" s="134">
        <v>9614136</v>
      </c>
      <c r="F333" s="135"/>
      <c r="G333" s="134"/>
      <c r="H333" s="135"/>
      <c r="I333" s="134">
        <f t="shared" si="361"/>
        <v>9614136</v>
      </c>
      <c r="J333" s="135">
        <f t="shared" si="351"/>
        <v>0</v>
      </c>
      <c r="K333" s="47">
        <f>K331</f>
        <v>982.38</v>
      </c>
      <c r="L333" s="47">
        <f>L331</f>
        <v>37072.050000000003</v>
      </c>
      <c r="M333" s="136">
        <f t="shared" si="353"/>
        <v>9614136</v>
      </c>
      <c r="N333" s="137">
        <f t="shared" si="349"/>
        <v>0</v>
      </c>
      <c r="O333" s="138"/>
      <c r="P333" s="138"/>
      <c r="Q333" s="138"/>
      <c r="R333" s="138"/>
      <c r="S333" s="138"/>
      <c r="T333" s="138"/>
      <c r="U333" s="138"/>
      <c r="V333" s="138"/>
      <c r="W333" s="138"/>
      <c r="X333" s="138"/>
      <c r="Y333" s="138"/>
      <c r="Z333" s="138"/>
      <c r="AA333" s="138"/>
      <c r="AB333" s="138"/>
      <c r="AC333" s="138"/>
      <c r="AD333" s="138"/>
      <c r="AE333" s="138"/>
      <c r="AF333" s="138"/>
      <c r="AG333" s="138"/>
      <c r="AH333" s="139">
        <f>J333*(K333-K324)</f>
        <v>0</v>
      </c>
      <c r="AI333" s="140">
        <f t="shared" si="347"/>
        <v>0</v>
      </c>
      <c r="AJ333" s="141">
        <f>N333-SUM(O333:AI333)</f>
        <v>0</v>
      </c>
    </row>
    <row r="334" spans="1:39" x14ac:dyDescent="0.25">
      <c r="A334" s="119">
        <v>45381</v>
      </c>
      <c r="B334" s="109" t="s">
        <v>99</v>
      </c>
      <c r="C334" s="6" t="s">
        <v>5</v>
      </c>
      <c r="D334" s="7" t="s">
        <v>6</v>
      </c>
      <c r="E334" s="120">
        <v>4918617</v>
      </c>
      <c r="F334" s="130"/>
      <c r="G334" s="120"/>
      <c r="H334" s="130"/>
      <c r="I334" s="120">
        <f t="shared" si="361"/>
        <v>4918617</v>
      </c>
      <c r="J334" s="130">
        <f t="shared" si="351"/>
        <v>0</v>
      </c>
      <c r="K334" s="42">
        <f>VLOOKUP($A334+1,MarketData!$D:$ZZ,MATCH(K$1,MarketData!$D$1:$ZZ$1,0))</f>
        <v>982.38</v>
      </c>
      <c r="L334" s="42">
        <f>VLOOKUP($A334,MarketData!$D:$ZZ,MATCH(L$1,MarketData!$D$1:$ZZ$1,0))</f>
        <v>37086.36</v>
      </c>
      <c r="M334" s="131">
        <f t="shared" si="353"/>
        <v>4918617</v>
      </c>
      <c r="N334" s="126">
        <f>M334-SUMIFS(Total,Cuenta,C334,Linea,D334,Fecha,INDEX(Fecha,MATCH(A334-1,Fecha,1)))</f>
        <v>-941735</v>
      </c>
      <c r="O334" s="32"/>
      <c r="P334" s="32"/>
      <c r="Q334" s="32">
        <f>-277914-660821</f>
        <v>-938735</v>
      </c>
      <c r="R334" s="32"/>
      <c r="S334" s="32"/>
      <c r="T334" s="32"/>
      <c r="U334" s="32"/>
      <c r="V334" s="32">
        <f>-3000</f>
        <v>-3000</v>
      </c>
      <c r="W334" s="32"/>
      <c r="X334" s="32"/>
      <c r="Y334" s="32"/>
      <c r="Z334" s="32"/>
      <c r="AA334" s="32"/>
      <c r="AB334" s="32"/>
      <c r="AC334" s="32"/>
      <c r="AD334" s="32"/>
      <c r="AE334" s="32"/>
      <c r="AF334" s="32"/>
      <c r="AG334" s="32"/>
      <c r="AH334" s="127">
        <f>J334*(K334-K325)</f>
        <v>0</v>
      </c>
      <c r="AI334" s="128">
        <f t="shared" ref="AI334:AI343" si="363">(N334-AH334-Q334)*ISNUMBER(MATCH($D334,$AL:$AL,0))</f>
        <v>0</v>
      </c>
      <c r="AJ334" s="129">
        <f t="shared" ref="AJ334:AJ342" si="364">N334-SUM(O334:AI334)</f>
        <v>0</v>
      </c>
    </row>
    <row r="335" spans="1:39" x14ac:dyDescent="0.25">
      <c r="A335" s="119">
        <f>A336</f>
        <v>45381</v>
      </c>
      <c r="B335" s="109" t="s">
        <v>99</v>
      </c>
      <c r="C335" s="6" t="s">
        <v>5</v>
      </c>
      <c r="D335" s="7" t="s">
        <v>80</v>
      </c>
      <c r="E335" s="120">
        <v>15000000</v>
      </c>
      <c r="F335" s="130"/>
      <c r="G335" s="122">
        <v>-15000000</v>
      </c>
      <c r="H335" s="123"/>
      <c r="I335" s="120">
        <f>E335+G335</f>
        <v>0</v>
      </c>
      <c r="J335" s="130">
        <f>F335+H335</f>
        <v>0</v>
      </c>
      <c r="K335" s="8">
        <f>K336</f>
        <v>982.38</v>
      </c>
      <c r="L335" s="8">
        <f>L336</f>
        <v>37086.36</v>
      </c>
      <c r="M335" s="131">
        <f>I335+J335*K335</f>
        <v>0</v>
      </c>
      <c r="N335" s="126">
        <f t="shared" ref="N335:N343" si="365">M335-SUMIFS(Total,Cuenta,C335,Linea,D335,Fecha,INDEX(Fecha,MATCH(A335-1,Fecha,1)))</f>
        <v>0</v>
      </c>
      <c r="O335" s="32"/>
      <c r="P335" s="32"/>
      <c r="Q335" s="32"/>
      <c r="R335" s="32"/>
      <c r="S335" s="32"/>
      <c r="T335" s="32"/>
      <c r="U335" s="32"/>
      <c r="V335" s="32"/>
      <c r="W335" s="32"/>
      <c r="X335" s="32"/>
      <c r="Y335" s="32"/>
      <c r="Z335" s="32"/>
      <c r="AA335" s="32"/>
      <c r="AB335" s="32"/>
      <c r="AC335" s="32"/>
      <c r="AD335" s="32"/>
      <c r="AE335" s="32"/>
      <c r="AF335" s="32"/>
      <c r="AG335" s="32"/>
      <c r="AH335" s="127">
        <f t="shared" ref="AH335:AH341" si="366">J335*(K335-K326)</f>
        <v>0</v>
      </c>
      <c r="AI335" s="128">
        <f t="shared" si="363"/>
        <v>0</v>
      </c>
      <c r="AJ335" s="129">
        <f t="shared" si="364"/>
        <v>0</v>
      </c>
    </row>
    <row r="336" spans="1:39" x14ac:dyDescent="0.25">
      <c r="A336" s="119">
        <f>A334</f>
        <v>45381</v>
      </c>
      <c r="B336" s="109" t="s">
        <v>99</v>
      </c>
      <c r="C336" s="6" t="s">
        <v>5</v>
      </c>
      <c r="D336" s="7" t="s">
        <v>26</v>
      </c>
      <c r="E336" s="120">
        <f>9855084-5140</f>
        <v>9849944</v>
      </c>
      <c r="F336" s="130">
        <v>8000</v>
      </c>
      <c r="G336" s="122">
        <v>-10000000</v>
      </c>
      <c r="H336" s="123">
        <v>-8000</v>
      </c>
      <c r="I336" s="120">
        <f>E336+G336</f>
        <v>-150056</v>
      </c>
      <c r="J336" s="130">
        <f t="shared" ref="J336:J344" si="367">F336+H336</f>
        <v>0</v>
      </c>
      <c r="K336" s="8">
        <f>K334</f>
        <v>982.38</v>
      </c>
      <c r="L336" s="8">
        <f>L334</f>
        <v>37086.36</v>
      </c>
      <c r="M336" s="131">
        <f>I336+J336*K336</f>
        <v>-150056</v>
      </c>
      <c r="N336" s="126">
        <f t="shared" si="365"/>
        <v>757565.20659999968</v>
      </c>
      <c r="O336" s="32"/>
      <c r="P336" s="32"/>
      <c r="Q336" s="32">
        <f>277914+K336*668.07</f>
        <v>934212.60660000006</v>
      </c>
      <c r="R336" s="32"/>
      <c r="S336" s="32"/>
      <c r="T336" s="32"/>
      <c r="U336" s="32">
        <v>-29690</v>
      </c>
      <c r="V336" s="32">
        <v>-16540</v>
      </c>
      <c r="W336" s="32"/>
      <c r="X336" s="32"/>
      <c r="Y336" s="32"/>
      <c r="Z336" s="32">
        <f>-12934-14910-6803-7169</f>
        <v>-41816</v>
      </c>
      <c r="AA336" s="32">
        <f>-53990-10*K336-20*K336</f>
        <v>-83461.399999999994</v>
      </c>
      <c r="AB336" s="32">
        <v>-5140</v>
      </c>
      <c r="AC336" s="32"/>
      <c r="AD336" s="32"/>
      <c r="AE336" s="32"/>
      <c r="AF336" s="32"/>
      <c r="AG336" s="32"/>
      <c r="AH336" s="127">
        <f t="shared" si="366"/>
        <v>0</v>
      </c>
      <c r="AI336" s="128">
        <f t="shared" si="363"/>
        <v>0</v>
      </c>
      <c r="AJ336" s="129">
        <f t="shared" si="364"/>
        <v>0</v>
      </c>
    </row>
    <row r="337" spans="1:39" x14ac:dyDescent="0.25">
      <c r="A337" s="119">
        <f>A336</f>
        <v>45381</v>
      </c>
      <c r="B337" s="109" t="s">
        <v>99</v>
      </c>
      <c r="C337" s="6" t="s">
        <v>9</v>
      </c>
      <c r="D337" s="7" t="s">
        <v>12</v>
      </c>
      <c r="E337" s="120">
        <v>7944999</v>
      </c>
      <c r="F337" s="130"/>
      <c r="G337" s="122"/>
      <c r="H337" s="123"/>
      <c r="I337" s="120">
        <f t="shared" ref="I337:I338" si="368">E337+G337</f>
        <v>7944999</v>
      </c>
      <c r="J337" s="130">
        <f t="shared" si="367"/>
        <v>0</v>
      </c>
      <c r="K337" s="8">
        <f>K336</f>
        <v>982.38</v>
      </c>
      <c r="L337" s="8">
        <f>L336</f>
        <v>37086.36</v>
      </c>
      <c r="M337" s="131">
        <f t="shared" ref="M337:M344" si="369">I337+J337*K337</f>
        <v>7944999</v>
      </c>
      <c r="N337" s="126">
        <f t="shared" si="365"/>
        <v>0</v>
      </c>
      <c r="O337" s="32"/>
      <c r="P337" s="32"/>
      <c r="Q337" s="32"/>
      <c r="R337" s="32"/>
      <c r="S337" s="32"/>
      <c r="T337" s="32"/>
      <c r="U337" s="32"/>
      <c r="V337" s="32"/>
      <c r="W337" s="32"/>
      <c r="X337" s="32"/>
      <c r="Y337" s="32"/>
      <c r="Z337" s="32"/>
      <c r="AA337" s="32"/>
      <c r="AB337" s="32"/>
      <c r="AC337" s="32"/>
      <c r="AD337" s="32"/>
      <c r="AE337" s="32"/>
      <c r="AF337" s="32"/>
      <c r="AG337" s="32"/>
      <c r="AH337" s="127">
        <f t="shared" si="366"/>
        <v>0</v>
      </c>
      <c r="AI337" s="128">
        <f t="shared" si="363"/>
        <v>0</v>
      </c>
      <c r="AJ337" s="129">
        <f t="shared" si="364"/>
        <v>0</v>
      </c>
    </row>
    <row r="338" spans="1:39" x14ac:dyDescent="0.25">
      <c r="A338" s="119">
        <f t="shared" ref="A338:A341" si="370">A337</f>
        <v>45381</v>
      </c>
      <c r="B338" s="109" t="s">
        <v>99</v>
      </c>
      <c r="C338" s="6" t="s">
        <v>9</v>
      </c>
      <c r="D338" s="7" t="s">
        <v>15</v>
      </c>
      <c r="E338" s="120">
        <v>2140185</v>
      </c>
      <c r="F338" s="130"/>
      <c r="G338" s="122"/>
      <c r="H338" s="123"/>
      <c r="I338" s="120">
        <f t="shared" si="368"/>
        <v>2140185</v>
      </c>
      <c r="J338" s="130">
        <f t="shared" si="367"/>
        <v>0</v>
      </c>
      <c r="K338" s="8">
        <f t="shared" ref="K338:L339" si="371">K337</f>
        <v>982.38</v>
      </c>
      <c r="L338" s="8">
        <f t="shared" si="371"/>
        <v>37086.36</v>
      </c>
      <c r="M338" s="131">
        <f t="shared" si="369"/>
        <v>2140185</v>
      </c>
      <c r="N338" s="126">
        <f t="shared" si="365"/>
        <v>0</v>
      </c>
      <c r="O338" s="32"/>
      <c r="P338" s="32"/>
      <c r="Q338" s="32"/>
      <c r="R338" s="32"/>
      <c r="S338" s="32"/>
      <c r="T338" s="32"/>
      <c r="U338" s="32"/>
      <c r="V338" s="32"/>
      <c r="W338" s="32"/>
      <c r="X338" s="32"/>
      <c r="Y338" s="32"/>
      <c r="Z338" s="32"/>
      <c r="AA338" s="32"/>
      <c r="AB338" s="32"/>
      <c r="AC338" s="32"/>
      <c r="AD338" s="32"/>
      <c r="AE338" s="32"/>
      <c r="AF338" s="32"/>
      <c r="AG338" s="32"/>
      <c r="AH338" s="127">
        <f t="shared" si="366"/>
        <v>0</v>
      </c>
      <c r="AI338" s="128">
        <f t="shared" si="363"/>
        <v>0</v>
      </c>
      <c r="AJ338" s="129">
        <f t="shared" si="364"/>
        <v>0</v>
      </c>
      <c r="AM338" s="119"/>
    </row>
    <row r="339" spans="1:39" x14ac:dyDescent="0.25">
      <c r="A339" s="119">
        <f t="shared" si="370"/>
        <v>45381</v>
      </c>
      <c r="B339" s="109" t="s">
        <v>99</v>
      </c>
      <c r="C339" s="6" t="s">
        <v>9</v>
      </c>
      <c r="D339" s="7" t="s">
        <v>11</v>
      </c>
      <c r="E339" s="120">
        <v>715318</v>
      </c>
      <c r="F339" s="130"/>
      <c r="G339" s="122"/>
      <c r="H339" s="123"/>
      <c r="I339" s="120">
        <f>E339+G339</f>
        <v>715318</v>
      </c>
      <c r="J339" s="130">
        <f t="shared" si="367"/>
        <v>0</v>
      </c>
      <c r="K339" s="8">
        <f t="shared" si="371"/>
        <v>982.38</v>
      </c>
      <c r="L339" s="8">
        <f>L338</f>
        <v>37086.36</v>
      </c>
      <c r="M339" s="131">
        <f t="shared" si="369"/>
        <v>715318</v>
      </c>
      <c r="N339" s="126">
        <f t="shared" si="365"/>
        <v>0</v>
      </c>
      <c r="O339" s="32"/>
      <c r="P339" s="32"/>
      <c r="Q339" s="32"/>
      <c r="R339" s="32"/>
      <c r="S339" s="32"/>
      <c r="T339" s="32"/>
      <c r="U339" s="32"/>
      <c r="V339" s="32"/>
      <c r="W339" s="32"/>
      <c r="X339" s="32"/>
      <c r="Y339" s="32"/>
      <c r="Z339" s="32"/>
      <c r="AA339" s="32"/>
      <c r="AB339" s="32"/>
      <c r="AC339" s="32"/>
      <c r="AD339" s="32"/>
      <c r="AE339" s="32"/>
      <c r="AF339" s="32"/>
      <c r="AG339" s="32"/>
      <c r="AH339" s="127">
        <f t="shared" si="366"/>
        <v>0</v>
      </c>
      <c r="AI339" s="128">
        <f t="shared" si="363"/>
        <v>0</v>
      </c>
      <c r="AJ339" s="129">
        <f t="shared" si="364"/>
        <v>0</v>
      </c>
    </row>
    <row r="340" spans="1:39" x14ac:dyDescent="0.25">
      <c r="A340" s="119">
        <f t="shared" si="370"/>
        <v>45381</v>
      </c>
      <c r="B340" s="109" t="s">
        <v>99</v>
      </c>
      <c r="C340" s="6" t="s">
        <v>9</v>
      </c>
      <c r="D340" s="7" t="s">
        <v>10</v>
      </c>
      <c r="E340" s="120"/>
      <c r="F340" s="130">
        <v>325.36</v>
      </c>
      <c r="G340" s="122"/>
      <c r="H340" s="123"/>
      <c r="I340" s="120">
        <f t="shared" ref="I340" si="372">E340+G340</f>
        <v>0</v>
      </c>
      <c r="J340" s="130">
        <f t="shared" si="367"/>
        <v>325.36</v>
      </c>
      <c r="K340" s="8">
        <f t="shared" ref="K340:L340" si="373">K339</f>
        <v>982.38</v>
      </c>
      <c r="L340" s="8">
        <f t="shared" si="373"/>
        <v>37086.36</v>
      </c>
      <c r="M340" s="131">
        <f t="shared" si="369"/>
        <v>319627.1568</v>
      </c>
      <c r="N340" s="126">
        <f t="shared" si="365"/>
        <v>0</v>
      </c>
      <c r="O340" s="32"/>
      <c r="P340" s="32"/>
      <c r="Q340" s="32"/>
      <c r="R340" s="32"/>
      <c r="S340" s="32"/>
      <c r="T340" s="32"/>
      <c r="U340" s="32"/>
      <c r="V340" s="32"/>
      <c r="W340" s="32"/>
      <c r="X340" s="32"/>
      <c r="Y340" s="32"/>
      <c r="Z340" s="32"/>
      <c r="AA340" s="32"/>
      <c r="AB340" s="32"/>
      <c r="AC340" s="32"/>
      <c r="AD340" s="32"/>
      <c r="AE340" s="32"/>
      <c r="AF340" s="32"/>
      <c r="AG340" s="32"/>
      <c r="AH340" s="127">
        <f t="shared" si="366"/>
        <v>0</v>
      </c>
      <c r="AI340" s="128">
        <f t="shared" si="363"/>
        <v>0</v>
      </c>
      <c r="AJ340" s="129">
        <f t="shared" si="364"/>
        <v>0</v>
      </c>
    </row>
    <row r="341" spans="1:39" x14ac:dyDescent="0.25">
      <c r="A341" s="119">
        <f t="shared" si="370"/>
        <v>45381</v>
      </c>
      <c r="B341" s="109" t="s">
        <v>99</v>
      </c>
      <c r="C341" s="6" t="s">
        <v>7</v>
      </c>
      <c r="D341" s="7" t="s">
        <v>16</v>
      </c>
      <c r="E341" s="120"/>
      <c r="F341" s="130">
        <v>939.35</v>
      </c>
      <c r="G341" s="122"/>
      <c r="H341" s="123"/>
      <c r="I341" s="120">
        <f>E341+G341</f>
        <v>0</v>
      </c>
      <c r="J341" s="130">
        <f t="shared" si="367"/>
        <v>939.35</v>
      </c>
      <c r="K341" s="8">
        <f t="shared" ref="K341:L341" si="374">K340</f>
        <v>982.38</v>
      </c>
      <c r="L341" s="8">
        <f t="shared" si="374"/>
        <v>37086.36</v>
      </c>
      <c r="M341" s="131">
        <f t="shared" si="369"/>
        <v>922798.65300000005</v>
      </c>
      <c r="N341" s="126">
        <f t="shared" si="365"/>
        <v>0</v>
      </c>
      <c r="O341" s="32"/>
      <c r="P341" s="32"/>
      <c r="Q341" s="32"/>
      <c r="R341" s="32"/>
      <c r="S341" s="32"/>
      <c r="T341" s="32"/>
      <c r="U341" s="32"/>
      <c r="V341" s="32"/>
      <c r="W341" s="32"/>
      <c r="X341" s="32"/>
      <c r="Y341" s="32"/>
      <c r="Z341" s="32"/>
      <c r="AA341" s="32"/>
      <c r="AB341" s="32"/>
      <c r="AC341" s="32"/>
      <c r="AD341" s="32"/>
      <c r="AE341" s="32"/>
      <c r="AF341" s="32"/>
      <c r="AG341" s="32"/>
      <c r="AH341" s="127">
        <f t="shared" si="366"/>
        <v>0</v>
      </c>
      <c r="AI341" s="128">
        <f t="shared" si="363"/>
        <v>0</v>
      </c>
      <c r="AJ341" s="129">
        <f t="shared" si="364"/>
        <v>0</v>
      </c>
    </row>
    <row r="342" spans="1:39" x14ac:dyDescent="0.25">
      <c r="A342" s="119">
        <f t="shared" ref="A342" si="375">A339</f>
        <v>45381</v>
      </c>
      <c r="B342" s="109" t="s">
        <v>99</v>
      </c>
      <c r="C342" s="6" t="s">
        <v>8</v>
      </c>
      <c r="D342" s="7" t="s">
        <v>16</v>
      </c>
      <c r="E342" s="120"/>
      <c r="F342" s="130">
        <v>381.1</v>
      </c>
      <c r="G342" s="122"/>
      <c r="H342" s="123"/>
      <c r="I342" s="120">
        <f t="shared" ref="I342:I344" si="376">E342+G342</f>
        <v>0</v>
      </c>
      <c r="J342" s="130">
        <f t="shared" si="367"/>
        <v>381.1</v>
      </c>
      <c r="K342" s="8">
        <f t="shared" ref="K342:L342" si="377">K339</f>
        <v>982.38</v>
      </c>
      <c r="L342" s="8">
        <f t="shared" si="377"/>
        <v>37086.36</v>
      </c>
      <c r="M342" s="131">
        <f t="shared" si="369"/>
        <v>374385.01800000004</v>
      </c>
      <c r="N342" s="126">
        <f t="shared" si="365"/>
        <v>0</v>
      </c>
      <c r="O342" s="32"/>
      <c r="P342" s="32"/>
      <c r="Q342" s="32"/>
      <c r="R342" s="32"/>
      <c r="S342" s="32"/>
      <c r="T342" s="32"/>
      <c r="U342" s="32"/>
      <c r="V342" s="32"/>
      <c r="W342" s="32"/>
      <c r="X342" s="32"/>
      <c r="Y342" s="32"/>
      <c r="Z342" s="32"/>
      <c r="AA342" s="32"/>
      <c r="AB342" s="32"/>
      <c r="AC342" s="32"/>
      <c r="AD342" s="32"/>
      <c r="AE342" s="32"/>
      <c r="AF342" s="32"/>
      <c r="AG342" s="32"/>
      <c r="AH342" s="127">
        <f>J342*(K342-K333)</f>
        <v>0</v>
      </c>
      <c r="AI342" s="128">
        <f t="shared" si="363"/>
        <v>0</v>
      </c>
      <c r="AJ342" s="129">
        <f t="shared" si="364"/>
        <v>0</v>
      </c>
    </row>
    <row r="343" spans="1:39" s="142" customFormat="1" x14ac:dyDescent="0.25">
      <c r="A343" s="133">
        <f>A341</f>
        <v>45381</v>
      </c>
      <c r="B343" s="110" t="s">
        <v>101</v>
      </c>
      <c r="C343" s="45" t="s">
        <v>100</v>
      </c>
      <c r="D343" s="46" t="s">
        <v>6</v>
      </c>
      <c r="E343" s="134">
        <v>10412224</v>
      </c>
      <c r="F343" s="135"/>
      <c r="G343" s="134"/>
      <c r="H343" s="135"/>
      <c r="I343" s="134">
        <f t="shared" si="376"/>
        <v>10412224</v>
      </c>
      <c r="J343" s="135">
        <f t="shared" si="367"/>
        <v>0</v>
      </c>
      <c r="K343" s="47">
        <f>K341</f>
        <v>982.38</v>
      </c>
      <c r="L343" s="47">
        <f>L341</f>
        <v>37086.36</v>
      </c>
      <c r="M343" s="136">
        <f t="shared" si="369"/>
        <v>10412224</v>
      </c>
      <c r="N343" s="137">
        <f t="shared" si="365"/>
        <v>798088</v>
      </c>
      <c r="O343" s="138">
        <v>900000</v>
      </c>
      <c r="P343" s="138"/>
      <c r="Q343" s="138"/>
      <c r="R343" s="138"/>
      <c r="S343" s="138">
        <v>-20000</v>
      </c>
      <c r="T343" s="138">
        <v>-20000</v>
      </c>
      <c r="U343" s="138">
        <v>-30000</v>
      </c>
      <c r="V343" s="138">
        <f>-20000-4000</f>
        <v>-24000</v>
      </c>
      <c r="W343" s="138"/>
      <c r="X343" s="138"/>
      <c r="Y343" s="138"/>
      <c r="Z343" s="138"/>
      <c r="AA343" s="138"/>
      <c r="AB343" s="138">
        <v>-8000</v>
      </c>
      <c r="AC343" s="138"/>
      <c r="AD343" s="138"/>
      <c r="AE343" s="138"/>
      <c r="AF343" s="138"/>
      <c r="AG343" s="138"/>
      <c r="AH343" s="139">
        <f>J343*(K343-K334)</f>
        <v>0</v>
      </c>
      <c r="AI343" s="140">
        <f t="shared" si="363"/>
        <v>0</v>
      </c>
      <c r="AJ343" s="141">
        <f>N343-SUM(O343:AI343)</f>
        <v>88</v>
      </c>
    </row>
    <row r="344" spans="1:39" x14ac:dyDescent="0.25">
      <c r="A344" s="119">
        <v>45383</v>
      </c>
      <c r="B344" s="109" t="s">
        <v>99</v>
      </c>
      <c r="C344" s="6" t="s">
        <v>5</v>
      </c>
      <c r="D344" s="7" t="s">
        <v>6</v>
      </c>
      <c r="E344" s="120">
        <v>4403983</v>
      </c>
      <c r="F344" s="130"/>
      <c r="G344" s="120"/>
      <c r="H344" s="130">
        <v>0.66</v>
      </c>
      <c r="I344" s="120">
        <f t="shared" si="376"/>
        <v>4403983</v>
      </c>
      <c r="J344" s="130">
        <f t="shared" si="367"/>
        <v>0.66</v>
      </c>
      <c r="K344" s="42">
        <f>VLOOKUP($A344+1,MarketData!$D:$ZZ,MATCH(K$1,MarketData!$D$1:$ZZ$1,0))</f>
        <v>982.59</v>
      </c>
      <c r="L344" s="42">
        <f>VLOOKUP($A344,MarketData!$D:$ZZ,MATCH(L$1,MarketData!$D$1:$ZZ$1,0))</f>
        <v>37100.68</v>
      </c>
      <c r="M344" s="131">
        <f t="shared" si="369"/>
        <v>4404631.5093999999</v>
      </c>
      <c r="N344" s="126">
        <f>M344-SUMIFS(Total,Cuenta,C344,Linea,D344,Fecha,INDEX(Fecha,MATCH(A344-1,Fecha,1)))</f>
        <v>-513985.49060000014</v>
      </c>
      <c r="O344" s="32"/>
      <c r="P344" s="32"/>
      <c r="Q344" s="32">
        <v>648</v>
      </c>
      <c r="R344" s="32">
        <v>-514634</v>
      </c>
      <c r="S344" s="32"/>
      <c r="T344" s="32"/>
      <c r="U344" s="32"/>
      <c r="V344" s="32"/>
      <c r="W344" s="32"/>
      <c r="X344" s="32"/>
      <c r="Y344" s="32"/>
      <c r="Z344" s="32"/>
      <c r="AA344" s="32"/>
      <c r="AB344" s="32"/>
      <c r="AC344" s="32"/>
      <c r="AD344" s="32"/>
      <c r="AE344" s="32"/>
      <c r="AF344" s="32"/>
      <c r="AG344" s="32"/>
      <c r="AH344" s="127">
        <f>J344*(K344-K335)</f>
        <v>0.13860000000002401</v>
      </c>
      <c r="AI344" s="128">
        <f t="shared" ref="AI344:AI353" si="378">(N344-AH344-Q344)*ISNUMBER(MATCH($D344,$AL:$AL,0))</f>
        <v>0</v>
      </c>
      <c r="AJ344" s="129">
        <f t="shared" ref="AJ344:AJ352" si="379">N344-SUM(O344:AI344)</f>
        <v>0.37079999985871837</v>
      </c>
    </row>
    <row r="345" spans="1:39" x14ac:dyDescent="0.25">
      <c r="A345" s="119">
        <f>A346</f>
        <v>45383</v>
      </c>
      <c r="B345" s="109" t="s">
        <v>99</v>
      </c>
      <c r="C345" s="6" t="s">
        <v>5</v>
      </c>
      <c r="D345" s="7" t="s">
        <v>80</v>
      </c>
      <c r="E345" s="120">
        <v>15000000</v>
      </c>
      <c r="F345" s="130"/>
      <c r="G345" s="122">
        <v>-15000000</v>
      </c>
      <c r="H345" s="123"/>
      <c r="I345" s="120">
        <f>E345+G345</f>
        <v>0</v>
      </c>
      <c r="J345" s="130">
        <f>F345+H345</f>
        <v>0</v>
      </c>
      <c r="K345" s="8">
        <f>K346</f>
        <v>982.59</v>
      </c>
      <c r="L345" s="8">
        <f>L346</f>
        <v>37100.68</v>
      </c>
      <c r="M345" s="131">
        <f>I345+J345*K345</f>
        <v>0</v>
      </c>
      <c r="N345" s="126">
        <f t="shared" ref="N345:N353" si="380">M345-SUMIFS(Total,Cuenta,C345,Linea,D345,Fecha,INDEX(Fecha,MATCH(A345-1,Fecha,1)))</f>
        <v>0</v>
      </c>
      <c r="O345" s="32"/>
      <c r="P345" s="32"/>
      <c r="Q345" s="32"/>
      <c r="R345" s="32"/>
      <c r="S345" s="32"/>
      <c r="T345" s="32"/>
      <c r="U345" s="32"/>
      <c r="V345" s="32"/>
      <c r="W345" s="32"/>
      <c r="X345" s="32"/>
      <c r="Y345" s="32"/>
      <c r="Z345" s="32"/>
      <c r="AA345" s="32"/>
      <c r="AB345" s="32"/>
      <c r="AC345" s="32"/>
      <c r="AD345" s="32"/>
      <c r="AE345" s="32"/>
      <c r="AF345" s="32"/>
      <c r="AG345" s="32"/>
      <c r="AH345" s="127">
        <f t="shared" ref="AH345:AH351" si="381">J345*(K345-K336)</f>
        <v>0</v>
      </c>
      <c r="AI345" s="128">
        <f t="shared" si="378"/>
        <v>0</v>
      </c>
      <c r="AJ345" s="129">
        <f t="shared" si="379"/>
        <v>0</v>
      </c>
    </row>
    <row r="346" spans="1:39" x14ac:dyDescent="0.25">
      <c r="A346" s="119">
        <f>A344</f>
        <v>45383</v>
      </c>
      <c r="B346" s="109" t="s">
        <v>99</v>
      </c>
      <c r="C346" s="6" t="s">
        <v>5</v>
      </c>
      <c r="D346" s="7" t="s">
        <v>26</v>
      </c>
      <c r="E346" s="120">
        <v>9747680</v>
      </c>
      <c r="F346" s="130">
        <v>7995.35</v>
      </c>
      <c r="G346" s="122">
        <v>-10000000</v>
      </c>
      <c r="H346" s="123">
        <v>-8000</v>
      </c>
      <c r="I346" s="120">
        <f>E346+G346</f>
        <v>-252320</v>
      </c>
      <c r="J346" s="130">
        <f t="shared" ref="J346:J354" si="382">F346+H346</f>
        <v>-4.6499999999996362</v>
      </c>
      <c r="K346" s="8">
        <f>K344</f>
        <v>982.59</v>
      </c>
      <c r="L346" s="8">
        <f>L344</f>
        <v>37100.68</v>
      </c>
      <c r="M346" s="131">
        <f>I346+J346*K346</f>
        <v>-256889.04349999965</v>
      </c>
      <c r="N346" s="126">
        <f t="shared" si="380"/>
        <v>-106833.04349999965</v>
      </c>
      <c r="O346" s="32"/>
      <c r="P346" s="32"/>
      <c r="Q346" s="32"/>
      <c r="R346" s="32">
        <v>-41953</v>
      </c>
      <c r="S346" s="32"/>
      <c r="T346" s="32"/>
      <c r="U346" s="32">
        <f>-45650-12590</f>
        <v>-58240</v>
      </c>
      <c r="V346" s="32"/>
      <c r="W346" s="32">
        <f>-1290-1790</f>
        <v>-3080</v>
      </c>
      <c r="X346" s="32"/>
      <c r="Y346" s="32"/>
      <c r="Z346" s="32"/>
      <c r="AA346" s="32">
        <f>-4.65*K346</f>
        <v>-4569.0435000000007</v>
      </c>
      <c r="AB346" s="32"/>
      <c r="AC346" s="32"/>
      <c r="AD346" s="32"/>
      <c r="AE346" s="32"/>
      <c r="AF346" s="32"/>
      <c r="AG346" s="32"/>
      <c r="AH346" s="127">
        <f t="shared" si="381"/>
        <v>-0.97650000000009274</v>
      </c>
      <c r="AI346" s="128">
        <f t="shared" si="378"/>
        <v>0</v>
      </c>
      <c r="AJ346" s="129">
        <f t="shared" si="379"/>
        <v>1009.9765000003536</v>
      </c>
    </row>
    <row r="347" spans="1:39" x14ac:dyDescent="0.25">
      <c r="A347" s="119">
        <f>A346</f>
        <v>45383</v>
      </c>
      <c r="B347" s="109" t="s">
        <v>99</v>
      </c>
      <c r="C347" s="6" t="s">
        <v>9</v>
      </c>
      <c r="D347" s="7" t="s">
        <v>12</v>
      </c>
      <c r="E347" s="120">
        <f>7951240+1021</f>
        <v>7952261</v>
      </c>
      <c r="F347" s="130"/>
      <c r="G347" s="122"/>
      <c r="H347" s="123"/>
      <c r="I347" s="120">
        <f t="shared" ref="I347:I348" si="383">E347+G347</f>
        <v>7952261</v>
      </c>
      <c r="J347" s="130">
        <f t="shared" si="382"/>
        <v>0</v>
      </c>
      <c r="K347" s="8">
        <f>K346</f>
        <v>982.59</v>
      </c>
      <c r="L347" s="8">
        <f>L346</f>
        <v>37100.68</v>
      </c>
      <c r="M347" s="131">
        <f t="shared" ref="M347:M354" si="384">I347+J347*K347</f>
        <v>7952261</v>
      </c>
      <c r="N347" s="126">
        <f t="shared" si="380"/>
        <v>7262</v>
      </c>
      <c r="O347" s="32"/>
      <c r="P347" s="32"/>
      <c r="Q347" s="32">
        <v>1021</v>
      </c>
      <c r="R347" s="32"/>
      <c r="S347" s="32"/>
      <c r="T347" s="32"/>
      <c r="U347" s="32"/>
      <c r="V347" s="32"/>
      <c r="W347" s="32"/>
      <c r="X347" s="32"/>
      <c r="Y347" s="32"/>
      <c r="Z347" s="32"/>
      <c r="AA347" s="32"/>
      <c r="AB347" s="32"/>
      <c r="AC347" s="32"/>
      <c r="AD347" s="32"/>
      <c r="AE347" s="32"/>
      <c r="AF347" s="32"/>
      <c r="AG347" s="32"/>
      <c r="AH347" s="127">
        <f t="shared" si="381"/>
        <v>0</v>
      </c>
      <c r="AI347" s="128">
        <f t="shared" si="378"/>
        <v>6241</v>
      </c>
      <c r="AJ347" s="129">
        <f t="shared" si="379"/>
        <v>0</v>
      </c>
    </row>
    <row r="348" spans="1:39" x14ac:dyDescent="0.25">
      <c r="A348" s="119">
        <f t="shared" ref="A348:A351" si="385">A347</f>
        <v>45383</v>
      </c>
      <c r="B348" s="109" t="s">
        <v>99</v>
      </c>
      <c r="C348" s="6" t="s">
        <v>9</v>
      </c>
      <c r="D348" s="7" t="s">
        <v>15</v>
      </c>
      <c r="E348" s="120">
        <v>2141005</v>
      </c>
      <c r="F348" s="130"/>
      <c r="G348" s="122"/>
      <c r="H348" s="123"/>
      <c r="I348" s="120">
        <f t="shared" si="383"/>
        <v>2141005</v>
      </c>
      <c r="J348" s="130">
        <f t="shared" si="382"/>
        <v>0</v>
      </c>
      <c r="K348" s="8">
        <f t="shared" ref="K348:L348" si="386">K347</f>
        <v>982.59</v>
      </c>
      <c r="L348" s="8">
        <f t="shared" si="386"/>
        <v>37100.68</v>
      </c>
      <c r="M348" s="131">
        <f t="shared" si="384"/>
        <v>2141005</v>
      </c>
      <c r="N348" s="126">
        <f t="shared" si="380"/>
        <v>820</v>
      </c>
      <c r="O348" s="32"/>
      <c r="P348" s="32"/>
      <c r="Q348" s="32"/>
      <c r="R348" s="32"/>
      <c r="S348" s="32"/>
      <c r="T348" s="32"/>
      <c r="U348" s="32"/>
      <c r="V348" s="32"/>
      <c r="W348" s="32"/>
      <c r="X348" s="32"/>
      <c r="Y348" s="32"/>
      <c r="Z348" s="32"/>
      <c r="AA348" s="32"/>
      <c r="AB348" s="32"/>
      <c r="AC348" s="32"/>
      <c r="AD348" s="32"/>
      <c r="AE348" s="32"/>
      <c r="AF348" s="32"/>
      <c r="AG348" s="32"/>
      <c r="AH348" s="127">
        <f t="shared" si="381"/>
        <v>0</v>
      </c>
      <c r="AI348" s="128">
        <f t="shared" si="378"/>
        <v>820</v>
      </c>
      <c r="AJ348" s="129">
        <f t="shared" si="379"/>
        <v>0</v>
      </c>
      <c r="AM348" s="119"/>
    </row>
    <row r="349" spans="1:39" x14ac:dyDescent="0.25">
      <c r="A349" s="119">
        <f t="shared" si="385"/>
        <v>45383</v>
      </c>
      <c r="B349" s="109" t="s">
        <v>99</v>
      </c>
      <c r="C349" s="6" t="s">
        <v>9</v>
      </c>
      <c r="D349" s="7" t="s">
        <v>11</v>
      </c>
      <c r="E349" s="120">
        <v>716174</v>
      </c>
      <c r="F349" s="130"/>
      <c r="G349" s="122"/>
      <c r="H349" s="123"/>
      <c r="I349" s="120">
        <f>E349+G349</f>
        <v>716174</v>
      </c>
      <c r="J349" s="130">
        <f t="shared" si="382"/>
        <v>0</v>
      </c>
      <c r="K349" s="8">
        <f t="shared" ref="K349" si="387">K348</f>
        <v>982.59</v>
      </c>
      <c r="L349" s="8">
        <f>L348</f>
        <v>37100.68</v>
      </c>
      <c r="M349" s="131">
        <f t="shared" si="384"/>
        <v>716174</v>
      </c>
      <c r="N349" s="126">
        <f t="shared" si="380"/>
        <v>856</v>
      </c>
      <c r="O349" s="32"/>
      <c r="P349" s="32"/>
      <c r="Q349" s="32"/>
      <c r="R349" s="32"/>
      <c r="S349" s="32"/>
      <c r="T349" s="32"/>
      <c r="U349" s="32"/>
      <c r="V349" s="32"/>
      <c r="W349" s="32"/>
      <c r="X349" s="32"/>
      <c r="Y349" s="32"/>
      <c r="Z349" s="32"/>
      <c r="AA349" s="32"/>
      <c r="AB349" s="32"/>
      <c r="AC349" s="32"/>
      <c r="AD349" s="32"/>
      <c r="AE349" s="32"/>
      <c r="AF349" s="32"/>
      <c r="AG349" s="32"/>
      <c r="AH349" s="127">
        <f t="shared" si="381"/>
        <v>0</v>
      </c>
      <c r="AI349" s="128">
        <f t="shared" si="378"/>
        <v>856</v>
      </c>
      <c r="AJ349" s="129">
        <f t="shared" si="379"/>
        <v>0</v>
      </c>
    </row>
    <row r="350" spans="1:39" x14ac:dyDescent="0.25">
      <c r="A350" s="119">
        <f t="shared" si="385"/>
        <v>45383</v>
      </c>
      <c r="B350" s="109" t="s">
        <v>99</v>
      </c>
      <c r="C350" s="6" t="s">
        <v>9</v>
      </c>
      <c r="D350" s="7" t="s">
        <v>10</v>
      </c>
      <c r="E350" s="120"/>
      <c r="F350" s="130">
        <f>218.3+107.3+0.25</f>
        <v>325.85000000000002</v>
      </c>
      <c r="G350" s="122"/>
      <c r="H350" s="123"/>
      <c r="I350" s="120">
        <f t="shared" ref="I350" si="388">E350+G350</f>
        <v>0</v>
      </c>
      <c r="J350" s="130">
        <f t="shared" si="382"/>
        <v>325.85000000000002</v>
      </c>
      <c r="K350" s="8">
        <f t="shared" ref="K350:L350" si="389">K349</f>
        <v>982.59</v>
      </c>
      <c r="L350" s="8">
        <f t="shared" si="389"/>
        <v>37100.68</v>
      </c>
      <c r="M350" s="131">
        <f t="shared" si="384"/>
        <v>320176.95150000002</v>
      </c>
      <c r="N350" s="126">
        <f t="shared" si="380"/>
        <v>549.79470000002766</v>
      </c>
      <c r="O350" s="32"/>
      <c r="P350" s="32"/>
      <c r="Q350" s="32"/>
      <c r="R350" s="32"/>
      <c r="S350" s="32"/>
      <c r="T350" s="32"/>
      <c r="U350" s="32"/>
      <c r="V350" s="32"/>
      <c r="W350" s="32"/>
      <c r="X350" s="32"/>
      <c r="Y350" s="32"/>
      <c r="Z350" s="32"/>
      <c r="AA350" s="32"/>
      <c r="AB350" s="32"/>
      <c r="AC350" s="32"/>
      <c r="AD350" s="32"/>
      <c r="AE350" s="32"/>
      <c r="AF350" s="32"/>
      <c r="AG350" s="32"/>
      <c r="AH350" s="127">
        <f t="shared" si="381"/>
        <v>68.428500000011866</v>
      </c>
      <c r="AI350" s="128">
        <f t="shared" si="378"/>
        <v>481.36620000001579</v>
      </c>
      <c r="AJ350" s="129">
        <f t="shared" si="379"/>
        <v>0</v>
      </c>
    </row>
    <row r="351" spans="1:39" x14ac:dyDescent="0.25">
      <c r="A351" s="119">
        <f t="shared" si="385"/>
        <v>45383</v>
      </c>
      <c r="B351" s="109" t="s">
        <v>99</v>
      </c>
      <c r="C351" s="6" t="s">
        <v>7</v>
      </c>
      <c r="D351" s="7" t="s">
        <v>16</v>
      </c>
      <c r="E351" s="120"/>
      <c r="F351" s="130">
        <v>939.35</v>
      </c>
      <c r="G351" s="122"/>
      <c r="H351" s="123"/>
      <c r="I351" s="120">
        <f>E351+G351</f>
        <v>0</v>
      </c>
      <c r="J351" s="130">
        <f t="shared" si="382"/>
        <v>939.35</v>
      </c>
      <c r="K351" s="8">
        <f t="shared" ref="K351:L351" si="390">K350</f>
        <v>982.59</v>
      </c>
      <c r="L351" s="8">
        <f t="shared" si="390"/>
        <v>37100.68</v>
      </c>
      <c r="M351" s="131">
        <f t="shared" si="384"/>
        <v>922995.91650000005</v>
      </c>
      <c r="N351" s="126">
        <f t="shared" si="380"/>
        <v>197.26350000000093</v>
      </c>
      <c r="O351" s="32"/>
      <c r="P351" s="32"/>
      <c r="Q351" s="32"/>
      <c r="R351" s="32"/>
      <c r="S351" s="32"/>
      <c r="T351" s="32"/>
      <c r="U351" s="32"/>
      <c r="V351" s="32"/>
      <c r="W351" s="32"/>
      <c r="X351" s="32"/>
      <c r="Y351" s="32"/>
      <c r="Z351" s="32"/>
      <c r="AA351" s="32"/>
      <c r="AB351" s="32"/>
      <c r="AC351" s="32"/>
      <c r="AD351" s="32"/>
      <c r="AE351" s="32"/>
      <c r="AF351" s="32"/>
      <c r="AG351" s="32"/>
      <c r="AH351" s="127">
        <f t="shared" si="381"/>
        <v>197.26350000003418</v>
      </c>
      <c r="AI351" s="128">
        <f t="shared" si="378"/>
        <v>-3.3253400033572689E-11</v>
      </c>
      <c r="AJ351" s="129">
        <f t="shared" si="379"/>
        <v>0</v>
      </c>
    </row>
    <row r="352" spans="1:39" x14ac:dyDescent="0.25">
      <c r="A352" s="119">
        <f t="shared" ref="A352" si="391">A349</f>
        <v>45383</v>
      </c>
      <c r="B352" s="109" t="s">
        <v>99</v>
      </c>
      <c r="C352" s="6" t="s">
        <v>8</v>
      </c>
      <c r="D352" s="7" t="s">
        <v>16</v>
      </c>
      <c r="E352" s="120"/>
      <c r="F352" s="130">
        <v>346.66</v>
      </c>
      <c r="G352" s="122"/>
      <c r="H352" s="123"/>
      <c r="I352" s="120">
        <f t="shared" ref="I352:I354" si="392">E352+G352</f>
        <v>0</v>
      </c>
      <c r="J352" s="130">
        <f t="shared" si="382"/>
        <v>346.66</v>
      </c>
      <c r="K352" s="8">
        <f t="shared" ref="K352:L352" si="393">K349</f>
        <v>982.59</v>
      </c>
      <c r="L352" s="8">
        <f t="shared" si="393"/>
        <v>37100.68</v>
      </c>
      <c r="M352" s="131">
        <f t="shared" si="384"/>
        <v>340624.64940000005</v>
      </c>
      <c r="N352" s="126">
        <f t="shared" si="380"/>
        <v>-33760.368599999987</v>
      </c>
      <c r="O352" s="32"/>
      <c r="P352" s="32"/>
      <c r="Q352" s="32"/>
      <c r="R352" s="32"/>
      <c r="S352" s="32"/>
      <c r="T352" s="32"/>
      <c r="U352" s="32"/>
      <c r="V352" s="32"/>
      <c r="W352" s="32"/>
      <c r="X352" s="32"/>
      <c r="Y352" s="32"/>
      <c r="Z352" s="32"/>
      <c r="AA352" s="32"/>
      <c r="AB352" s="32"/>
      <c r="AC352" s="32"/>
      <c r="AD352" s="32"/>
      <c r="AE352" s="32"/>
      <c r="AF352" s="32"/>
      <c r="AG352" s="32"/>
      <c r="AH352" s="127">
        <f>J352*(K352-K343)</f>
        <v>72.798600000012613</v>
      </c>
      <c r="AI352" s="128">
        <f t="shared" si="378"/>
        <v>-33833.167199999996</v>
      </c>
      <c r="AJ352" s="129">
        <f t="shared" si="379"/>
        <v>0</v>
      </c>
    </row>
    <row r="353" spans="1:39" s="142" customFormat="1" x14ac:dyDescent="0.25">
      <c r="A353" s="133">
        <f>A351</f>
        <v>45383</v>
      </c>
      <c r="B353" s="110" t="s">
        <v>101</v>
      </c>
      <c r="C353" s="45" t="s">
        <v>100</v>
      </c>
      <c r="D353" s="46" t="s">
        <v>6</v>
      </c>
      <c r="E353" s="134">
        <v>10412224</v>
      </c>
      <c r="F353" s="135"/>
      <c r="G353" s="134"/>
      <c r="H353" s="135"/>
      <c r="I353" s="134">
        <f t="shared" si="392"/>
        <v>10412224</v>
      </c>
      <c r="J353" s="135">
        <f t="shared" si="382"/>
        <v>0</v>
      </c>
      <c r="K353" s="47">
        <f>K351</f>
        <v>982.59</v>
      </c>
      <c r="L353" s="47">
        <f>L351</f>
        <v>37100.68</v>
      </c>
      <c r="M353" s="136">
        <f t="shared" si="384"/>
        <v>10412224</v>
      </c>
      <c r="N353" s="137">
        <f t="shared" si="380"/>
        <v>0</v>
      </c>
      <c r="O353" s="138"/>
      <c r="P353" s="138"/>
      <c r="Q353" s="138"/>
      <c r="R353" s="138"/>
      <c r="S353" s="138"/>
      <c r="T353" s="138"/>
      <c r="U353" s="138"/>
      <c r="V353" s="138"/>
      <c r="W353" s="138"/>
      <c r="X353" s="138"/>
      <c r="Y353" s="138"/>
      <c r="Z353" s="138"/>
      <c r="AA353" s="138"/>
      <c r="AB353" s="138"/>
      <c r="AC353" s="138"/>
      <c r="AD353" s="138"/>
      <c r="AE353" s="138"/>
      <c r="AF353" s="138"/>
      <c r="AG353" s="138"/>
      <c r="AH353" s="139">
        <f>J353*(K353-K344)</f>
        <v>0</v>
      </c>
      <c r="AI353" s="140">
        <f t="shared" si="378"/>
        <v>0</v>
      </c>
      <c r="AJ353" s="141">
        <f>N353-SUM(O353:AI353)</f>
        <v>0</v>
      </c>
    </row>
    <row r="354" spans="1:39" x14ac:dyDescent="0.25">
      <c r="A354" s="119">
        <v>45384</v>
      </c>
      <c r="B354" s="109" t="s">
        <v>99</v>
      </c>
      <c r="C354" s="6" t="s">
        <v>5</v>
      </c>
      <c r="D354" s="7" t="s">
        <v>6</v>
      </c>
      <c r="E354" s="120">
        <v>4403983</v>
      </c>
      <c r="F354" s="130"/>
      <c r="G354" s="120"/>
      <c r="H354" s="130">
        <v>0.66</v>
      </c>
      <c r="I354" s="120">
        <f t="shared" si="392"/>
        <v>4403983</v>
      </c>
      <c r="J354" s="130">
        <f t="shared" si="382"/>
        <v>0.66</v>
      </c>
      <c r="K354" s="42">
        <f>VLOOKUP($A354+1,MarketData!$D:$ZZ,MATCH(K$1,MarketData!$D$1:$ZZ$1,0))</f>
        <v>979.96</v>
      </c>
      <c r="L354" s="42">
        <f>VLOOKUP($A354,MarketData!$D:$ZZ,MATCH(L$1,MarketData!$D$1:$ZZ$1,0))</f>
        <v>37107.839999999997</v>
      </c>
      <c r="M354" s="131">
        <f t="shared" si="384"/>
        <v>4404629.7736</v>
      </c>
      <c r="N354" s="126">
        <f>M354-SUMIFS(Total,Cuenta,C354,Linea,D354,Fecha,INDEX(Fecha,MATCH(A354-1,Fecha,1)))</f>
        <v>-1.7357999999076128</v>
      </c>
      <c r="O354" s="32"/>
      <c r="P354" s="32"/>
      <c r="Q354" s="32"/>
      <c r="R354" s="32"/>
      <c r="S354" s="32"/>
      <c r="T354" s="32"/>
      <c r="U354" s="32"/>
      <c r="V354" s="32"/>
      <c r="W354" s="32"/>
      <c r="X354" s="32"/>
      <c r="Y354" s="32"/>
      <c r="Z354" s="32"/>
      <c r="AA354" s="32"/>
      <c r="AB354" s="32"/>
      <c r="AC354" s="32"/>
      <c r="AD354" s="32"/>
      <c r="AE354" s="32"/>
      <c r="AF354" s="32"/>
      <c r="AG354" s="32"/>
      <c r="AH354" s="127">
        <f>J354*(K354-K345)</f>
        <v>-1.7357999999999971</v>
      </c>
      <c r="AI354" s="128">
        <f t="shared" ref="AI354:AI363" si="394">(N354-AH354-Q354)*ISNUMBER(MATCH($D354,$AL:$AL,0))</f>
        <v>0</v>
      </c>
      <c r="AJ354" s="129">
        <f t="shared" ref="AJ354:AJ362" si="395">N354-SUM(O354:AI354)</f>
        <v>9.2384322414318376E-11</v>
      </c>
    </row>
    <row r="355" spans="1:39" x14ac:dyDescent="0.25">
      <c r="A355" s="119">
        <f>A356</f>
        <v>45384</v>
      </c>
      <c r="B355" s="109" t="s">
        <v>99</v>
      </c>
      <c r="C355" s="6" t="s">
        <v>5</v>
      </c>
      <c r="D355" s="7" t="s">
        <v>80</v>
      </c>
      <c r="E355" s="120">
        <v>15000000</v>
      </c>
      <c r="F355" s="130"/>
      <c r="G355" s="122">
        <v>-15000000</v>
      </c>
      <c r="H355" s="123"/>
      <c r="I355" s="120">
        <f>E355+G355</f>
        <v>0</v>
      </c>
      <c r="J355" s="130">
        <f>F355+H355</f>
        <v>0</v>
      </c>
      <c r="K355" s="8">
        <f>K356</f>
        <v>979.96</v>
      </c>
      <c r="L355" s="8">
        <f>L356</f>
        <v>37107.839999999997</v>
      </c>
      <c r="M355" s="131">
        <f>I355+J355*K355</f>
        <v>0</v>
      </c>
      <c r="N355" s="126">
        <f t="shared" ref="N355:N363" si="396">M355-SUMIFS(Total,Cuenta,C355,Linea,D355,Fecha,INDEX(Fecha,MATCH(A355-1,Fecha,1)))</f>
        <v>0</v>
      </c>
      <c r="O355" s="32"/>
      <c r="P355" s="32"/>
      <c r="Q355" s="32"/>
      <c r="R355" s="32"/>
      <c r="S355" s="32"/>
      <c r="T355" s="32"/>
      <c r="U355" s="32"/>
      <c r="V355" s="32"/>
      <c r="W355" s="32"/>
      <c r="X355" s="32"/>
      <c r="Y355" s="32"/>
      <c r="Z355" s="32"/>
      <c r="AA355" s="32"/>
      <c r="AB355" s="32"/>
      <c r="AC355" s="32"/>
      <c r="AD355" s="32"/>
      <c r="AE355" s="32"/>
      <c r="AF355" s="32"/>
      <c r="AG355" s="32"/>
      <c r="AH355" s="127">
        <f t="shared" ref="AH355:AH361" si="397">J355*(K355-K346)</f>
        <v>0</v>
      </c>
      <c r="AI355" s="128">
        <f t="shared" si="394"/>
        <v>0</v>
      </c>
      <c r="AJ355" s="129">
        <f t="shared" si="395"/>
        <v>0</v>
      </c>
    </row>
    <row r="356" spans="1:39" x14ac:dyDescent="0.25">
      <c r="A356" s="119">
        <f>A354</f>
        <v>45384</v>
      </c>
      <c r="B356" s="109" t="s">
        <v>99</v>
      </c>
      <c r="C356" s="6" t="s">
        <v>5</v>
      </c>
      <c r="D356" s="7" t="s">
        <v>26</v>
      </c>
      <c r="E356" s="120">
        <v>9561558</v>
      </c>
      <c r="F356" s="130">
        <v>7995.35</v>
      </c>
      <c r="G356" s="122">
        <v>-10000000</v>
      </c>
      <c r="H356" s="123">
        <v>-8000</v>
      </c>
      <c r="I356" s="120">
        <f>E356+G356</f>
        <v>-438442</v>
      </c>
      <c r="J356" s="130">
        <f t="shared" ref="J356:J364" si="398">F356+H356</f>
        <v>-4.6499999999996362</v>
      </c>
      <c r="K356" s="8">
        <f>K354</f>
        <v>979.96</v>
      </c>
      <c r="L356" s="8">
        <f>L354</f>
        <v>37107.839999999997</v>
      </c>
      <c r="M356" s="131">
        <f>I356+J356*K356</f>
        <v>-442998.81399999966</v>
      </c>
      <c r="N356" s="126">
        <f t="shared" si="396"/>
        <v>-186109.77050000001</v>
      </c>
      <c r="O356" s="32"/>
      <c r="P356" s="32"/>
      <c r="Q356" s="32"/>
      <c r="R356" s="32"/>
      <c r="S356" s="32">
        <f>-16142-45671-10790-19109-22730-65360</f>
        <v>-179802</v>
      </c>
      <c r="T356" s="32"/>
      <c r="U356" s="32"/>
      <c r="V356" s="32"/>
      <c r="W356" s="32">
        <f>-1790-4530</f>
        <v>-6320</v>
      </c>
      <c r="X356" s="32"/>
      <c r="Y356" s="32"/>
      <c r="Z356" s="32"/>
      <c r="AA356" s="32"/>
      <c r="AB356" s="32"/>
      <c r="AC356" s="32"/>
      <c r="AD356" s="32"/>
      <c r="AE356" s="32"/>
      <c r="AF356" s="32"/>
      <c r="AG356" s="32"/>
      <c r="AH356" s="127">
        <f t="shared" si="397"/>
        <v>12.229499999999023</v>
      </c>
      <c r="AI356" s="128">
        <f t="shared" si="394"/>
        <v>0</v>
      </c>
      <c r="AJ356" s="129">
        <f t="shared" si="395"/>
        <v>0</v>
      </c>
    </row>
    <row r="357" spans="1:39" x14ac:dyDescent="0.25">
      <c r="A357" s="119">
        <f>A356</f>
        <v>45384</v>
      </c>
      <c r="B357" s="109" t="s">
        <v>99</v>
      </c>
      <c r="C357" s="6" t="s">
        <v>9</v>
      </c>
      <c r="D357" s="7" t="s">
        <v>12</v>
      </c>
      <c r="E357" s="120">
        <v>7954431</v>
      </c>
      <c r="F357" s="130"/>
      <c r="G357" s="122"/>
      <c r="H357" s="123"/>
      <c r="I357" s="120">
        <f t="shared" ref="I357:I358" si="399">E357+G357</f>
        <v>7954431</v>
      </c>
      <c r="J357" s="130">
        <f t="shared" si="398"/>
        <v>0</v>
      </c>
      <c r="K357" s="8">
        <f>K356</f>
        <v>979.96</v>
      </c>
      <c r="L357" s="8">
        <f>L356</f>
        <v>37107.839999999997</v>
      </c>
      <c r="M357" s="131">
        <f t="shared" ref="M357:M364" si="400">I357+J357*K357</f>
        <v>7954431</v>
      </c>
      <c r="N357" s="126">
        <f t="shared" si="396"/>
        <v>2170</v>
      </c>
      <c r="O357" s="32"/>
      <c r="P357" s="32"/>
      <c r="Q357" s="32"/>
      <c r="R357" s="32"/>
      <c r="S357" s="32"/>
      <c r="T357" s="32"/>
      <c r="U357" s="32"/>
      <c r="V357" s="32"/>
      <c r="W357" s="32"/>
      <c r="X357" s="32"/>
      <c r="Y357" s="32"/>
      <c r="Z357" s="32"/>
      <c r="AA357" s="32"/>
      <c r="AB357" s="32"/>
      <c r="AC357" s="32"/>
      <c r="AD357" s="32"/>
      <c r="AE357" s="32"/>
      <c r="AF357" s="32"/>
      <c r="AG357" s="32"/>
      <c r="AH357" s="127">
        <f t="shared" si="397"/>
        <v>0</v>
      </c>
      <c r="AI357" s="128">
        <f t="shared" si="394"/>
        <v>2170</v>
      </c>
      <c r="AJ357" s="129">
        <f t="shared" si="395"/>
        <v>0</v>
      </c>
    </row>
    <row r="358" spans="1:39" x14ac:dyDescent="0.25">
      <c r="A358" s="119">
        <f t="shared" ref="A358:A361" si="401">A357</f>
        <v>45384</v>
      </c>
      <c r="B358" s="109" t="s">
        <v>99</v>
      </c>
      <c r="C358" s="6" t="s">
        <v>9</v>
      </c>
      <c r="D358" s="7" t="s">
        <v>15</v>
      </c>
      <c r="E358" s="120">
        <v>2115739</v>
      </c>
      <c r="F358" s="130"/>
      <c r="G358" s="122"/>
      <c r="H358" s="123"/>
      <c r="I358" s="120">
        <f t="shared" si="399"/>
        <v>2115739</v>
      </c>
      <c r="J358" s="130">
        <f t="shared" si="398"/>
        <v>0</v>
      </c>
      <c r="K358" s="8">
        <f t="shared" ref="K358:L359" si="402">K357</f>
        <v>979.96</v>
      </c>
      <c r="L358" s="8">
        <f t="shared" si="402"/>
        <v>37107.839999999997</v>
      </c>
      <c r="M358" s="131">
        <f t="shared" si="400"/>
        <v>2115739</v>
      </c>
      <c r="N358" s="126">
        <f t="shared" si="396"/>
        <v>-25266</v>
      </c>
      <c r="O358" s="32"/>
      <c r="P358" s="32"/>
      <c r="Q358" s="32"/>
      <c r="R358" s="32"/>
      <c r="S358" s="32"/>
      <c r="T358" s="32"/>
      <c r="U358" s="32"/>
      <c r="V358" s="32"/>
      <c r="W358" s="32"/>
      <c r="X358" s="32"/>
      <c r="Y358" s="32"/>
      <c r="Z358" s="32"/>
      <c r="AA358" s="32"/>
      <c r="AB358" s="32"/>
      <c r="AC358" s="32"/>
      <c r="AD358" s="32"/>
      <c r="AE358" s="32"/>
      <c r="AF358" s="32"/>
      <c r="AG358" s="32"/>
      <c r="AH358" s="127">
        <f t="shared" si="397"/>
        <v>0</v>
      </c>
      <c r="AI358" s="128">
        <f t="shared" si="394"/>
        <v>-25266</v>
      </c>
      <c r="AJ358" s="129">
        <f t="shared" si="395"/>
        <v>0</v>
      </c>
      <c r="AM358" s="119"/>
    </row>
    <row r="359" spans="1:39" x14ac:dyDescent="0.25">
      <c r="A359" s="119">
        <f t="shared" si="401"/>
        <v>45384</v>
      </c>
      <c r="B359" s="109" t="s">
        <v>99</v>
      </c>
      <c r="C359" s="6" t="s">
        <v>9</v>
      </c>
      <c r="D359" s="7" t="s">
        <v>11</v>
      </c>
      <c r="E359" s="120">
        <v>711587</v>
      </c>
      <c r="F359" s="130"/>
      <c r="G359" s="122"/>
      <c r="H359" s="123"/>
      <c r="I359" s="120">
        <f>E359+G359</f>
        <v>711587</v>
      </c>
      <c r="J359" s="130">
        <f t="shared" si="398"/>
        <v>0</v>
      </c>
      <c r="K359" s="8">
        <f t="shared" si="402"/>
        <v>979.96</v>
      </c>
      <c r="L359" s="8">
        <f>L358</f>
        <v>37107.839999999997</v>
      </c>
      <c r="M359" s="131">
        <f t="shared" si="400"/>
        <v>711587</v>
      </c>
      <c r="N359" s="126">
        <f t="shared" si="396"/>
        <v>-4587</v>
      </c>
      <c r="O359" s="32"/>
      <c r="P359" s="32"/>
      <c r="Q359" s="32"/>
      <c r="R359" s="32"/>
      <c r="S359" s="32"/>
      <c r="T359" s="32"/>
      <c r="U359" s="32"/>
      <c r="V359" s="32"/>
      <c r="W359" s="32"/>
      <c r="X359" s="32"/>
      <c r="Y359" s="32"/>
      <c r="Z359" s="32"/>
      <c r="AA359" s="32"/>
      <c r="AB359" s="32"/>
      <c r="AC359" s="32"/>
      <c r="AD359" s="32"/>
      <c r="AE359" s="32"/>
      <c r="AF359" s="32"/>
      <c r="AG359" s="32"/>
      <c r="AH359" s="127">
        <f t="shared" si="397"/>
        <v>0</v>
      </c>
      <c r="AI359" s="128">
        <f t="shared" si="394"/>
        <v>-4587</v>
      </c>
      <c r="AJ359" s="129">
        <f t="shared" si="395"/>
        <v>0</v>
      </c>
    </row>
    <row r="360" spans="1:39" x14ac:dyDescent="0.25">
      <c r="A360" s="119">
        <f t="shared" si="401"/>
        <v>45384</v>
      </c>
      <c r="B360" s="109" t="s">
        <v>99</v>
      </c>
      <c r="C360" s="6" t="s">
        <v>9</v>
      </c>
      <c r="D360" s="7" t="s">
        <v>10</v>
      </c>
      <c r="E360" s="120"/>
      <c r="F360" s="130">
        <f>217+107.7+0.25</f>
        <v>324.95</v>
      </c>
      <c r="G360" s="122"/>
      <c r="H360" s="123"/>
      <c r="I360" s="120">
        <f t="shared" ref="I360" si="403">E360+G360</f>
        <v>0</v>
      </c>
      <c r="J360" s="130">
        <f t="shared" si="398"/>
        <v>324.95</v>
      </c>
      <c r="K360" s="8">
        <f t="shared" ref="K360:L360" si="404">K359</f>
        <v>979.96</v>
      </c>
      <c r="L360" s="8">
        <f t="shared" si="404"/>
        <v>37107.839999999997</v>
      </c>
      <c r="M360" s="131">
        <f t="shared" si="400"/>
        <v>318438.00199999998</v>
      </c>
      <c r="N360" s="126">
        <f t="shared" si="396"/>
        <v>-1738.9495000000461</v>
      </c>
      <c r="O360" s="32"/>
      <c r="P360" s="32"/>
      <c r="Q360" s="32"/>
      <c r="R360" s="32"/>
      <c r="S360" s="32"/>
      <c r="T360" s="32"/>
      <c r="U360" s="32"/>
      <c r="V360" s="32"/>
      <c r="W360" s="32"/>
      <c r="X360" s="32"/>
      <c r="Y360" s="32"/>
      <c r="Z360" s="32"/>
      <c r="AA360" s="32"/>
      <c r="AB360" s="32"/>
      <c r="AC360" s="32"/>
      <c r="AD360" s="32"/>
      <c r="AE360" s="32"/>
      <c r="AF360" s="32"/>
      <c r="AG360" s="32"/>
      <c r="AH360" s="127">
        <f t="shared" si="397"/>
        <v>-854.61849999999845</v>
      </c>
      <c r="AI360" s="128">
        <f t="shared" si="394"/>
        <v>-884.33100000004765</v>
      </c>
      <c r="AJ360" s="129">
        <f t="shared" si="395"/>
        <v>0</v>
      </c>
    </row>
    <row r="361" spans="1:39" x14ac:dyDescent="0.25">
      <c r="A361" s="119">
        <f t="shared" si="401"/>
        <v>45384</v>
      </c>
      <c r="B361" s="109" t="s">
        <v>99</v>
      </c>
      <c r="C361" s="6" t="s">
        <v>7</v>
      </c>
      <c r="D361" s="7" t="s">
        <v>16</v>
      </c>
      <c r="E361" s="120"/>
      <c r="F361" s="130">
        <v>939.35</v>
      </c>
      <c r="G361" s="122"/>
      <c r="H361" s="123"/>
      <c r="I361" s="120">
        <f>E361+G361</f>
        <v>0</v>
      </c>
      <c r="J361" s="130">
        <f t="shared" si="398"/>
        <v>939.35</v>
      </c>
      <c r="K361" s="8">
        <f t="shared" ref="K361:L361" si="405">K360</f>
        <v>979.96</v>
      </c>
      <c r="L361" s="8">
        <f t="shared" si="405"/>
        <v>37107.839999999997</v>
      </c>
      <c r="M361" s="131">
        <f t="shared" si="400"/>
        <v>920525.42600000009</v>
      </c>
      <c r="N361" s="126">
        <f t="shared" si="396"/>
        <v>-2470.4904999999562</v>
      </c>
      <c r="O361" s="32"/>
      <c r="P361" s="32"/>
      <c r="Q361" s="32"/>
      <c r="R361" s="32"/>
      <c r="S361" s="32"/>
      <c r="T361" s="32"/>
      <c r="U361" s="32"/>
      <c r="V361" s="32"/>
      <c r="W361" s="32"/>
      <c r="X361" s="32"/>
      <c r="Y361" s="32"/>
      <c r="Z361" s="32"/>
      <c r="AA361" s="32"/>
      <c r="AB361" s="32"/>
      <c r="AC361" s="32"/>
      <c r="AD361" s="32"/>
      <c r="AE361" s="32"/>
      <c r="AF361" s="32"/>
      <c r="AG361" s="32"/>
      <c r="AH361" s="127">
        <f t="shared" si="397"/>
        <v>-2470.4904999999958</v>
      </c>
      <c r="AI361" s="128">
        <f t="shared" si="394"/>
        <v>3.9563019527122378E-11</v>
      </c>
      <c r="AJ361" s="129">
        <f t="shared" si="395"/>
        <v>0</v>
      </c>
    </row>
    <row r="362" spans="1:39" x14ac:dyDescent="0.25">
      <c r="A362" s="119">
        <f t="shared" ref="A362" si="406">A359</f>
        <v>45384</v>
      </c>
      <c r="B362" s="109" t="s">
        <v>99</v>
      </c>
      <c r="C362" s="6" t="s">
        <v>8</v>
      </c>
      <c r="D362" s="7" t="s">
        <v>16</v>
      </c>
      <c r="E362" s="120"/>
      <c r="F362" s="130">
        <v>318.66000000000003</v>
      </c>
      <c r="G362" s="122"/>
      <c r="H362" s="123"/>
      <c r="I362" s="120">
        <f t="shared" ref="I362:I364" si="407">E362+G362</f>
        <v>0</v>
      </c>
      <c r="J362" s="130">
        <f t="shared" si="398"/>
        <v>318.66000000000003</v>
      </c>
      <c r="K362" s="8">
        <f t="shared" ref="K362:L362" si="408">K359</f>
        <v>979.96</v>
      </c>
      <c r="L362" s="8">
        <f t="shared" si="408"/>
        <v>37107.839999999997</v>
      </c>
      <c r="M362" s="131">
        <f t="shared" si="400"/>
        <v>312274.05360000004</v>
      </c>
      <c r="N362" s="126">
        <f t="shared" si="396"/>
        <v>-28350.59580000001</v>
      </c>
      <c r="O362" s="32"/>
      <c r="P362" s="32"/>
      <c r="Q362" s="32"/>
      <c r="R362" s="32"/>
      <c r="S362" s="32"/>
      <c r="T362" s="32"/>
      <c r="U362" s="32"/>
      <c r="V362" s="32"/>
      <c r="W362" s="32"/>
      <c r="X362" s="32"/>
      <c r="Y362" s="32"/>
      <c r="Z362" s="32"/>
      <c r="AA362" s="32"/>
      <c r="AB362" s="32"/>
      <c r="AC362" s="32"/>
      <c r="AD362" s="32"/>
      <c r="AE362" s="32"/>
      <c r="AF362" s="32"/>
      <c r="AG362" s="32"/>
      <c r="AH362" s="127">
        <f>J362*(K362-K353)</f>
        <v>-838.07579999999859</v>
      </c>
      <c r="AI362" s="128">
        <f t="shared" si="394"/>
        <v>-27512.520000000011</v>
      </c>
      <c r="AJ362" s="129">
        <f t="shared" si="395"/>
        <v>0</v>
      </c>
    </row>
    <row r="363" spans="1:39" s="142" customFormat="1" x14ac:dyDescent="0.25">
      <c r="A363" s="133">
        <f>A361</f>
        <v>45384</v>
      </c>
      <c r="B363" s="110" t="s">
        <v>101</v>
      </c>
      <c r="C363" s="45" t="s">
        <v>100</v>
      </c>
      <c r="D363" s="46" t="s">
        <v>6</v>
      </c>
      <c r="E363" s="134">
        <v>10412224</v>
      </c>
      <c r="F363" s="135"/>
      <c r="G363" s="134"/>
      <c r="H363" s="135"/>
      <c r="I363" s="134">
        <f t="shared" si="407"/>
        <v>10412224</v>
      </c>
      <c r="J363" s="135">
        <f t="shared" si="398"/>
        <v>0</v>
      </c>
      <c r="K363" s="47">
        <f>K361</f>
        <v>979.96</v>
      </c>
      <c r="L363" s="47">
        <f>L361</f>
        <v>37107.839999999997</v>
      </c>
      <c r="M363" s="136">
        <f t="shared" si="400"/>
        <v>10412224</v>
      </c>
      <c r="N363" s="137">
        <f t="shared" si="396"/>
        <v>0</v>
      </c>
      <c r="O363" s="138"/>
      <c r="P363" s="138"/>
      <c r="Q363" s="138"/>
      <c r="R363" s="138"/>
      <c r="S363" s="138"/>
      <c r="T363" s="138"/>
      <c r="U363" s="138"/>
      <c r="V363" s="138"/>
      <c r="W363" s="138"/>
      <c r="X363" s="138"/>
      <c r="Y363" s="138"/>
      <c r="Z363" s="138"/>
      <c r="AA363" s="138"/>
      <c r="AB363" s="138"/>
      <c r="AC363" s="138"/>
      <c r="AD363" s="138"/>
      <c r="AE363" s="138"/>
      <c r="AF363" s="138"/>
      <c r="AG363" s="138"/>
      <c r="AH363" s="139">
        <f>J363*(K363-K354)</f>
        <v>0</v>
      </c>
      <c r="AI363" s="140">
        <f t="shared" si="394"/>
        <v>0</v>
      </c>
      <c r="AJ363" s="141">
        <f>N363-SUM(O363:AI363)</f>
        <v>0</v>
      </c>
    </row>
    <row r="364" spans="1:39" x14ac:dyDescent="0.25">
      <c r="A364" s="119">
        <v>45386</v>
      </c>
      <c r="B364" s="109" t="s">
        <v>99</v>
      </c>
      <c r="C364" s="6" t="s">
        <v>5</v>
      </c>
      <c r="D364" s="7" t="s">
        <v>6</v>
      </c>
      <c r="E364" s="120">
        <v>4019721</v>
      </c>
      <c r="F364" s="130"/>
      <c r="G364" s="120"/>
      <c r="H364" s="130">
        <v>0.66</v>
      </c>
      <c r="I364" s="120">
        <f t="shared" si="407"/>
        <v>4019721</v>
      </c>
      <c r="J364" s="130">
        <f t="shared" si="398"/>
        <v>0.66</v>
      </c>
      <c r="K364" s="42">
        <f>VLOOKUP($A364+1,MarketData!$D:$ZZ,MATCH(K$1,MarketData!$D$1:$ZZ$1,0))</f>
        <v>942.72</v>
      </c>
      <c r="L364" s="42">
        <f>VLOOKUP($A364,MarketData!$D:$ZZ,MATCH(L$1,MarketData!$D$1:$ZZ$1,0))</f>
        <v>37122.160000000003</v>
      </c>
      <c r="M364" s="131">
        <f t="shared" si="400"/>
        <v>4020343.1952</v>
      </c>
      <c r="N364" s="126">
        <f>M364-SUMIFS(Total,Cuenta,C364,Linea,D364,Fecha,INDEX(Fecha,MATCH(A364-1,Fecha,1)))</f>
        <v>-384286.5784</v>
      </c>
      <c r="O364" s="32"/>
      <c r="P364" s="32"/>
      <c r="Q364" s="32">
        <f>-379837-4425</f>
        <v>-384262</v>
      </c>
      <c r="R364" s="32"/>
      <c r="S364" s="32"/>
      <c r="T364" s="32"/>
      <c r="U364" s="32"/>
      <c r="V364" s="32"/>
      <c r="W364" s="32"/>
      <c r="X364" s="32"/>
      <c r="Y364" s="32"/>
      <c r="Z364" s="32"/>
      <c r="AA364" s="32"/>
      <c r="AB364" s="32"/>
      <c r="AC364" s="32"/>
      <c r="AD364" s="32"/>
      <c r="AE364" s="32"/>
      <c r="AF364" s="32"/>
      <c r="AG364" s="32"/>
      <c r="AH364" s="127">
        <f>J364*(K364-K355)</f>
        <v>-24.578400000000006</v>
      </c>
      <c r="AI364" s="128">
        <f t="shared" ref="AI364:AI373" si="409">(N364-AH364-Q364)*ISNUMBER(MATCH($D364,$AL:$AL,0))</f>
        <v>0</v>
      </c>
      <c r="AJ364" s="129">
        <f t="shared" ref="AJ364:AJ372" si="410">N364-SUM(O364:AI364)</f>
        <v>0</v>
      </c>
    </row>
    <row r="365" spans="1:39" x14ac:dyDescent="0.25">
      <c r="A365" s="119">
        <f>A366</f>
        <v>45386</v>
      </c>
      <c r="B365" s="109" t="s">
        <v>99</v>
      </c>
      <c r="C365" s="6" t="s">
        <v>5</v>
      </c>
      <c r="D365" s="7" t="s">
        <v>80</v>
      </c>
      <c r="E365" s="120">
        <v>15000000</v>
      </c>
      <c r="F365" s="130"/>
      <c r="G365" s="122">
        <v>-15000000</v>
      </c>
      <c r="H365" s="123"/>
      <c r="I365" s="120">
        <f>E365+G365</f>
        <v>0</v>
      </c>
      <c r="J365" s="130">
        <f>F365+H365</f>
        <v>0</v>
      </c>
      <c r="K365" s="8">
        <f>K366</f>
        <v>942.72</v>
      </c>
      <c r="L365" s="8">
        <f>L366</f>
        <v>37122.160000000003</v>
      </c>
      <c r="M365" s="131">
        <f>I365+J365*K365</f>
        <v>0</v>
      </c>
      <c r="N365" s="126">
        <f t="shared" ref="N365:N373" si="411">M365-SUMIFS(Total,Cuenta,C365,Linea,D365,Fecha,INDEX(Fecha,MATCH(A365-1,Fecha,1)))</f>
        <v>0</v>
      </c>
      <c r="O365" s="32"/>
      <c r="P365" s="32"/>
      <c r="Q365" s="32"/>
      <c r="R365" s="32"/>
      <c r="S365" s="32"/>
      <c r="T365" s="32"/>
      <c r="U365" s="32"/>
      <c r="V365" s="32"/>
      <c r="W365" s="32"/>
      <c r="X365" s="32"/>
      <c r="Y365" s="32"/>
      <c r="Z365" s="32"/>
      <c r="AA365" s="32"/>
      <c r="AB365" s="32"/>
      <c r="AC365" s="32"/>
      <c r="AD365" s="32"/>
      <c r="AE365" s="32"/>
      <c r="AF365" s="32"/>
      <c r="AG365" s="32"/>
      <c r="AH365" s="127">
        <f t="shared" ref="AH365:AH371" si="412">J365*(K365-K356)</f>
        <v>0</v>
      </c>
      <c r="AI365" s="128">
        <f t="shared" si="409"/>
        <v>0</v>
      </c>
      <c r="AJ365" s="129">
        <f t="shared" si="410"/>
        <v>0</v>
      </c>
    </row>
    <row r="366" spans="1:39" x14ac:dyDescent="0.25">
      <c r="A366" s="119">
        <f>A364</f>
        <v>45386</v>
      </c>
      <c r="B366" s="109" t="s">
        <v>99</v>
      </c>
      <c r="C366" s="6" t="s">
        <v>5</v>
      </c>
      <c r="D366" s="7" t="s">
        <v>26</v>
      </c>
      <c r="E366" s="120">
        <v>9959060</v>
      </c>
      <c r="F366" s="130">
        <v>8000</v>
      </c>
      <c r="G366" s="122">
        <v>-10000000</v>
      </c>
      <c r="H366" s="123">
        <v>-8000</v>
      </c>
      <c r="I366" s="120">
        <f>E366+G366</f>
        <v>-40940</v>
      </c>
      <c r="J366" s="130">
        <f t="shared" ref="J366:J374" si="413">F366+H366</f>
        <v>0</v>
      </c>
      <c r="K366" s="8">
        <f>K364</f>
        <v>942.72</v>
      </c>
      <c r="L366" s="8">
        <f>L364</f>
        <v>37122.160000000003</v>
      </c>
      <c r="M366" s="131">
        <f>I366+J366*K366</f>
        <v>-40940</v>
      </c>
      <c r="N366" s="126">
        <f t="shared" si="411"/>
        <v>402058.81399999966</v>
      </c>
      <c r="O366" s="32"/>
      <c r="P366" s="32"/>
      <c r="Q366" s="32">
        <f>379837+4.75*K366</f>
        <v>384314.92</v>
      </c>
      <c r="R366" s="32"/>
      <c r="S366" s="32">
        <v>45671</v>
      </c>
      <c r="T366" s="32"/>
      <c r="U366" s="32">
        <v>-26176</v>
      </c>
      <c r="V366" s="32"/>
      <c r="W366" s="32">
        <f>-3140-1590</f>
        <v>-4730</v>
      </c>
      <c r="X366" s="32"/>
      <c r="Y366" s="32"/>
      <c r="Z366" s="32"/>
      <c r="AA366" s="32"/>
      <c r="AB366" s="32"/>
      <c r="AC366" s="32"/>
      <c r="AD366" s="32"/>
      <c r="AE366" s="32"/>
      <c r="AF366" s="32"/>
      <c r="AG366" s="32"/>
      <c r="AH366" s="127">
        <f t="shared" si="412"/>
        <v>0</v>
      </c>
      <c r="AI366" s="128">
        <f t="shared" si="409"/>
        <v>0</v>
      </c>
      <c r="AJ366" s="129">
        <f t="shared" si="410"/>
        <v>2978.8939999996801</v>
      </c>
    </row>
    <row r="367" spans="1:39" x14ac:dyDescent="0.25">
      <c r="A367" s="119">
        <f>A366</f>
        <v>45386</v>
      </c>
      <c r="B367" s="109" t="s">
        <v>99</v>
      </c>
      <c r="C367" s="6" t="s">
        <v>9</v>
      </c>
      <c r="D367" s="7" t="s">
        <v>12</v>
      </c>
      <c r="E367" s="120">
        <v>7957431</v>
      </c>
      <c r="F367" s="130"/>
      <c r="G367" s="122"/>
      <c r="H367" s="123"/>
      <c r="I367" s="120">
        <f t="shared" ref="I367:I368" si="414">E367+G367</f>
        <v>7957431</v>
      </c>
      <c r="J367" s="130">
        <f t="shared" si="413"/>
        <v>0</v>
      </c>
      <c r="K367" s="8">
        <f>K366</f>
        <v>942.72</v>
      </c>
      <c r="L367" s="8">
        <f>L366</f>
        <v>37122.160000000003</v>
      </c>
      <c r="M367" s="131">
        <f t="shared" ref="M367:M374" si="415">I367+J367*K367</f>
        <v>7957431</v>
      </c>
      <c r="N367" s="126">
        <f t="shared" si="411"/>
        <v>3000</v>
      </c>
      <c r="O367" s="32"/>
      <c r="P367" s="32"/>
      <c r="Q367" s="32"/>
      <c r="R367" s="32"/>
      <c r="S367" s="32"/>
      <c r="T367" s="32"/>
      <c r="U367" s="32"/>
      <c r="V367" s="32"/>
      <c r="W367" s="32"/>
      <c r="X367" s="32"/>
      <c r="Y367" s="32"/>
      <c r="Z367" s="32"/>
      <c r="AA367" s="32"/>
      <c r="AB367" s="32"/>
      <c r="AC367" s="32"/>
      <c r="AD367" s="32"/>
      <c r="AE367" s="32"/>
      <c r="AF367" s="32"/>
      <c r="AG367" s="32"/>
      <c r="AH367" s="127">
        <f t="shared" si="412"/>
        <v>0</v>
      </c>
      <c r="AI367" s="128">
        <f t="shared" si="409"/>
        <v>3000</v>
      </c>
      <c r="AJ367" s="129">
        <f t="shared" si="410"/>
        <v>0</v>
      </c>
    </row>
    <row r="368" spans="1:39" x14ac:dyDescent="0.25">
      <c r="A368" s="119">
        <f t="shared" ref="A368:A371" si="416">A367</f>
        <v>45386</v>
      </c>
      <c r="B368" s="109" t="s">
        <v>99</v>
      </c>
      <c r="C368" s="6" t="s">
        <v>9</v>
      </c>
      <c r="D368" s="7" t="s">
        <v>15</v>
      </c>
      <c r="E368" s="120">
        <v>2027852</v>
      </c>
      <c r="F368" s="130"/>
      <c r="G368" s="122"/>
      <c r="H368" s="123"/>
      <c r="I368" s="120">
        <f t="shared" si="414"/>
        <v>2027852</v>
      </c>
      <c r="J368" s="130">
        <f t="shared" si="413"/>
        <v>0</v>
      </c>
      <c r="K368" s="8">
        <f t="shared" ref="K368:L368" si="417">K367</f>
        <v>942.72</v>
      </c>
      <c r="L368" s="8">
        <f t="shared" si="417"/>
        <v>37122.160000000003</v>
      </c>
      <c r="M368" s="131">
        <f t="shared" si="415"/>
        <v>2027852</v>
      </c>
      <c r="N368" s="126">
        <f t="shared" si="411"/>
        <v>-87887</v>
      </c>
      <c r="O368" s="32"/>
      <c r="P368" s="32"/>
      <c r="Q368" s="32"/>
      <c r="R368" s="32"/>
      <c r="S368" s="32"/>
      <c r="T368" s="32"/>
      <c r="U368" s="32"/>
      <c r="V368" s="32"/>
      <c r="W368" s="32"/>
      <c r="X368" s="32"/>
      <c r="Y368" s="32"/>
      <c r="Z368" s="32"/>
      <c r="AA368" s="32"/>
      <c r="AB368" s="32"/>
      <c r="AC368" s="32"/>
      <c r="AD368" s="32"/>
      <c r="AE368" s="32"/>
      <c r="AF368" s="32"/>
      <c r="AG368" s="32"/>
      <c r="AH368" s="127">
        <f t="shared" si="412"/>
        <v>0</v>
      </c>
      <c r="AI368" s="128">
        <f t="shared" si="409"/>
        <v>-87887</v>
      </c>
      <c r="AJ368" s="129">
        <f t="shared" si="410"/>
        <v>0</v>
      </c>
      <c r="AM368" s="119"/>
    </row>
    <row r="369" spans="1:39" x14ac:dyDescent="0.25">
      <c r="A369" s="119">
        <f t="shared" si="416"/>
        <v>45386</v>
      </c>
      <c r="B369" s="109" t="s">
        <v>99</v>
      </c>
      <c r="C369" s="6" t="s">
        <v>9</v>
      </c>
      <c r="D369" s="7" t="s">
        <v>11</v>
      </c>
      <c r="E369" s="120">
        <v>695939</v>
      </c>
      <c r="F369" s="130"/>
      <c r="G369" s="122"/>
      <c r="H369" s="123"/>
      <c r="I369" s="120">
        <f>E369+G369</f>
        <v>695939</v>
      </c>
      <c r="J369" s="130">
        <f t="shared" si="413"/>
        <v>0</v>
      </c>
      <c r="K369" s="8">
        <f t="shared" ref="K369" si="418">K368</f>
        <v>942.72</v>
      </c>
      <c r="L369" s="8">
        <f>L368</f>
        <v>37122.160000000003</v>
      </c>
      <c r="M369" s="131">
        <f t="shared" si="415"/>
        <v>695939</v>
      </c>
      <c r="N369" s="126">
        <f t="shared" si="411"/>
        <v>-15648</v>
      </c>
      <c r="O369" s="32"/>
      <c r="P369" s="32"/>
      <c r="Q369" s="32"/>
      <c r="R369" s="32"/>
      <c r="S369" s="32"/>
      <c r="T369" s="32"/>
      <c r="U369" s="32"/>
      <c r="V369" s="32"/>
      <c r="W369" s="32"/>
      <c r="X369" s="32"/>
      <c r="Y369" s="32"/>
      <c r="Z369" s="32"/>
      <c r="AA369" s="32"/>
      <c r="AB369" s="32"/>
      <c r="AC369" s="32"/>
      <c r="AD369" s="32"/>
      <c r="AE369" s="32"/>
      <c r="AF369" s="32"/>
      <c r="AG369" s="32"/>
      <c r="AH369" s="127">
        <f t="shared" si="412"/>
        <v>0</v>
      </c>
      <c r="AI369" s="128">
        <f t="shared" si="409"/>
        <v>-15648</v>
      </c>
      <c r="AJ369" s="129">
        <f t="shared" si="410"/>
        <v>0</v>
      </c>
    </row>
    <row r="370" spans="1:39" x14ac:dyDescent="0.25">
      <c r="A370" s="119">
        <f t="shared" si="416"/>
        <v>45386</v>
      </c>
      <c r="B370" s="109" t="s">
        <v>99</v>
      </c>
      <c r="C370" s="6" t="s">
        <v>9</v>
      </c>
      <c r="D370" s="7" t="s">
        <v>10</v>
      </c>
      <c r="E370" s="120"/>
      <c r="F370" s="130">
        <f>215.79+106.9+0.24</f>
        <v>322.93</v>
      </c>
      <c r="G370" s="122"/>
      <c r="H370" s="123"/>
      <c r="I370" s="120">
        <f t="shared" ref="I370" si="419">E370+G370</f>
        <v>0</v>
      </c>
      <c r="J370" s="130">
        <f t="shared" si="413"/>
        <v>322.93</v>
      </c>
      <c r="K370" s="8">
        <f t="shared" ref="K370:L370" si="420">K369</f>
        <v>942.72</v>
      </c>
      <c r="L370" s="8">
        <f t="shared" si="420"/>
        <v>37122.160000000003</v>
      </c>
      <c r="M370" s="131">
        <f t="shared" si="415"/>
        <v>304432.56959999999</v>
      </c>
      <c r="N370" s="126">
        <f t="shared" si="411"/>
        <v>-14005.432399999991</v>
      </c>
      <c r="O370" s="32"/>
      <c r="P370" s="32"/>
      <c r="Q370" s="32"/>
      <c r="R370" s="32"/>
      <c r="S370" s="32"/>
      <c r="T370" s="32"/>
      <c r="U370" s="32"/>
      <c r="V370" s="32"/>
      <c r="W370" s="32"/>
      <c r="X370" s="32"/>
      <c r="Y370" s="32"/>
      <c r="Z370" s="32"/>
      <c r="AA370" s="32"/>
      <c r="AB370" s="32"/>
      <c r="AC370" s="32"/>
      <c r="AD370" s="32"/>
      <c r="AE370" s="32"/>
      <c r="AF370" s="32"/>
      <c r="AG370" s="32"/>
      <c r="AH370" s="127">
        <f t="shared" si="412"/>
        <v>-12025.913200000003</v>
      </c>
      <c r="AI370" s="128">
        <f t="shared" si="409"/>
        <v>-1979.5191999999879</v>
      </c>
      <c r="AJ370" s="129">
        <f t="shared" si="410"/>
        <v>0</v>
      </c>
    </row>
    <row r="371" spans="1:39" x14ac:dyDescent="0.25">
      <c r="A371" s="119">
        <f t="shared" si="416"/>
        <v>45386</v>
      </c>
      <c r="B371" s="109" t="s">
        <v>99</v>
      </c>
      <c r="C371" s="6" t="s">
        <v>7</v>
      </c>
      <c r="D371" s="7" t="s">
        <v>16</v>
      </c>
      <c r="E371" s="120"/>
      <c r="F371" s="130">
        <v>939.35</v>
      </c>
      <c r="G371" s="122"/>
      <c r="H371" s="123"/>
      <c r="I371" s="120">
        <f>E371+G371</f>
        <v>0</v>
      </c>
      <c r="J371" s="130">
        <f t="shared" si="413"/>
        <v>939.35</v>
      </c>
      <c r="K371" s="8">
        <f t="shared" ref="K371:L371" si="421">K370</f>
        <v>942.72</v>
      </c>
      <c r="L371" s="8">
        <f t="shared" si="421"/>
        <v>37122.160000000003</v>
      </c>
      <c r="M371" s="131">
        <f t="shared" si="415"/>
        <v>885544.03200000001</v>
      </c>
      <c r="N371" s="126">
        <f t="shared" si="411"/>
        <v>-34981.394000000088</v>
      </c>
      <c r="O371" s="32"/>
      <c r="P371" s="32"/>
      <c r="Q371" s="32"/>
      <c r="R371" s="32"/>
      <c r="S371" s="32"/>
      <c r="T371" s="32"/>
      <c r="U371" s="32"/>
      <c r="V371" s="32"/>
      <c r="W371" s="32"/>
      <c r="X371" s="32"/>
      <c r="Y371" s="32"/>
      <c r="Z371" s="32"/>
      <c r="AA371" s="32"/>
      <c r="AB371" s="32"/>
      <c r="AC371" s="32"/>
      <c r="AD371" s="32"/>
      <c r="AE371" s="32"/>
      <c r="AF371" s="32"/>
      <c r="AG371" s="32"/>
      <c r="AH371" s="127">
        <f t="shared" si="412"/>
        <v>-34981.394000000008</v>
      </c>
      <c r="AI371" s="128">
        <f t="shared" si="409"/>
        <v>-8.0035533756017685E-11</v>
      </c>
      <c r="AJ371" s="129">
        <f t="shared" si="410"/>
        <v>0</v>
      </c>
    </row>
    <row r="372" spans="1:39" x14ac:dyDescent="0.25">
      <c r="A372" s="119">
        <f t="shared" ref="A372" si="422">A369</f>
        <v>45386</v>
      </c>
      <c r="B372" s="109" t="s">
        <v>99</v>
      </c>
      <c r="C372" s="6" t="s">
        <v>8</v>
      </c>
      <c r="D372" s="7" t="s">
        <v>16</v>
      </c>
      <c r="E372" s="120"/>
      <c r="F372" s="130">
        <v>355.74</v>
      </c>
      <c r="G372" s="122"/>
      <c r="H372" s="123"/>
      <c r="I372" s="120">
        <f t="shared" ref="I372:I374" si="423">E372+G372</f>
        <v>0</v>
      </c>
      <c r="J372" s="130">
        <f t="shared" si="413"/>
        <v>355.74</v>
      </c>
      <c r="K372" s="8">
        <f t="shared" ref="K372:L372" si="424">K369</f>
        <v>942.72</v>
      </c>
      <c r="L372" s="8">
        <f t="shared" si="424"/>
        <v>37122.160000000003</v>
      </c>
      <c r="M372" s="131">
        <f t="shared" si="415"/>
        <v>335363.21280000004</v>
      </c>
      <c r="N372" s="126">
        <f t="shared" si="411"/>
        <v>23089.159199999995</v>
      </c>
      <c r="O372" s="32"/>
      <c r="P372" s="32"/>
      <c r="Q372" s="32"/>
      <c r="R372" s="32"/>
      <c r="S372" s="32"/>
      <c r="T372" s="32"/>
      <c r="U372" s="32"/>
      <c r="V372" s="32"/>
      <c r="W372" s="32"/>
      <c r="X372" s="32"/>
      <c r="Y372" s="32"/>
      <c r="Z372" s="32"/>
      <c r="AA372" s="32"/>
      <c r="AB372" s="32"/>
      <c r="AC372" s="32"/>
      <c r="AD372" s="32"/>
      <c r="AE372" s="32"/>
      <c r="AF372" s="32"/>
      <c r="AG372" s="32"/>
      <c r="AH372" s="127">
        <f>J372*(K372-K363)</f>
        <v>-13247.757600000004</v>
      </c>
      <c r="AI372" s="128">
        <f t="shared" si="409"/>
        <v>36336.916799999999</v>
      </c>
      <c r="AJ372" s="129">
        <f t="shared" si="410"/>
        <v>0</v>
      </c>
    </row>
    <row r="373" spans="1:39" s="142" customFormat="1" x14ac:dyDescent="0.25">
      <c r="A373" s="133">
        <f>A371</f>
        <v>45386</v>
      </c>
      <c r="B373" s="110" t="s">
        <v>101</v>
      </c>
      <c r="C373" s="45" t="s">
        <v>100</v>
      </c>
      <c r="D373" s="46" t="s">
        <v>6</v>
      </c>
      <c r="E373" s="134">
        <v>10412224</v>
      </c>
      <c r="F373" s="135"/>
      <c r="G373" s="134"/>
      <c r="H373" s="135"/>
      <c r="I373" s="134">
        <f t="shared" si="423"/>
        <v>10412224</v>
      </c>
      <c r="J373" s="135">
        <f t="shared" si="413"/>
        <v>0</v>
      </c>
      <c r="K373" s="47">
        <f>K371</f>
        <v>942.72</v>
      </c>
      <c r="L373" s="47">
        <f>L371</f>
        <v>37122.160000000003</v>
      </c>
      <c r="M373" s="136">
        <f t="shared" si="415"/>
        <v>10412224</v>
      </c>
      <c r="N373" s="137">
        <f t="shared" si="411"/>
        <v>0</v>
      </c>
      <c r="O373" s="138"/>
      <c r="P373" s="138"/>
      <c r="Q373" s="138"/>
      <c r="R373" s="138"/>
      <c r="S373" s="138"/>
      <c r="T373" s="138"/>
      <c r="U373" s="138"/>
      <c r="V373" s="138"/>
      <c r="W373" s="138"/>
      <c r="X373" s="138"/>
      <c r="Y373" s="138"/>
      <c r="Z373" s="138"/>
      <c r="AA373" s="138"/>
      <c r="AB373" s="138"/>
      <c r="AC373" s="138"/>
      <c r="AD373" s="138"/>
      <c r="AE373" s="138"/>
      <c r="AF373" s="138"/>
      <c r="AG373" s="138"/>
      <c r="AH373" s="139">
        <f>J373*(K373-K364)</f>
        <v>0</v>
      </c>
      <c r="AI373" s="140">
        <f t="shared" si="409"/>
        <v>0</v>
      </c>
      <c r="AJ373" s="141">
        <f>N373-SUM(O373:AI373)</f>
        <v>0</v>
      </c>
    </row>
    <row r="374" spans="1:39" x14ac:dyDescent="0.25">
      <c r="A374" s="119">
        <v>45388</v>
      </c>
      <c r="B374" s="109" t="s">
        <v>99</v>
      </c>
      <c r="C374" s="6" t="s">
        <v>5</v>
      </c>
      <c r="D374" s="7" t="s">
        <v>6</v>
      </c>
      <c r="E374" s="120">
        <v>4001535</v>
      </c>
      <c r="F374" s="130"/>
      <c r="G374" s="120"/>
      <c r="H374" s="130">
        <v>0.66</v>
      </c>
      <c r="I374" s="120">
        <f t="shared" si="423"/>
        <v>4001535</v>
      </c>
      <c r="J374" s="130">
        <f t="shared" si="413"/>
        <v>0.66</v>
      </c>
      <c r="K374" s="42">
        <f>VLOOKUP($A374+1,MarketData!$D:$ZZ,MATCH(K$1,MarketData!$D$1:$ZZ$1,0))</f>
        <v>942.72</v>
      </c>
      <c r="L374" s="42">
        <f>VLOOKUP($A374,MarketData!$D:$ZZ,MATCH(L$1,MarketData!$D$1:$ZZ$1,0))</f>
        <v>37136.49</v>
      </c>
      <c r="M374" s="131">
        <f t="shared" si="415"/>
        <v>4002157.1952</v>
      </c>
      <c r="N374" s="126">
        <f>M374-SUMIFS(Total,Cuenta,C374,Linea,D374,Fecha,INDEX(Fecha,MATCH(A374-1,Fecha,1)))</f>
        <v>-18186</v>
      </c>
      <c r="O374" s="32"/>
      <c r="P374" s="32"/>
      <c r="Q374" s="32"/>
      <c r="R374" s="32"/>
      <c r="S374" s="32"/>
      <c r="T374" s="32"/>
      <c r="U374" s="32"/>
      <c r="V374" s="32"/>
      <c r="W374" s="32"/>
      <c r="X374" s="32"/>
      <c r="Y374" s="32">
        <v>-18186</v>
      </c>
      <c r="Z374" s="32"/>
      <c r="AA374" s="32"/>
      <c r="AB374" s="32"/>
      <c r="AC374" s="32"/>
      <c r="AD374" s="32"/>
      <c r="AE374" s="32"/>
      <c r="AF374" s="32"/>
      <c r="AG374" s="32"/>
      <c r="AH374" s="127">
        <f>J374*(K374-K365)</f>
        <v>0</v>
      </c>
      <c r="AI374" s="128">
        <f t="shared" ref="AI374:AI383" si="425">(N374-AH374-Q374)*ISNUMBER(MATCH($D374,$AL:$AL,0))</f>
        <v>0</v>
      </c>
      <c r="AJ374" s="129">
        <f t="shared" ref="AJ374:AJ382" si="426">N374-SUM(O374:AI374)</f>
        <v>0</v>
      </c>
    </row>
    <row r="375" spans="1:39" x14ac:dyDescent="0.25">
      <c r="A375" s="119">
        <f>A376</f>
        <v>45388</v>
      </c>
      <c r="B375" s="109" t="s">
        <v>99</v>
      </c>
      <c r="C375" s="6" t="s">
        <v>5</v>
      </c>
      <c r="D375" s="7" t="s">
        <v>80</v>
      </c>
      <c r="E375" s="120">
        <v>14996860</v>
      </c>
      <c r="F375" s="130"/>
      <c r="G375" s="122">
        <v>-15000000</v>
      </c>
      <c r="H375" s="123"/>
      <c r="I375" s="120">
        <f>E375+G375</f>
        <v>-3140</v>
      </c>
      <c r="J375" s="130">
        <f>F375+H375</f>
        <v>0</v>
      </c>
      <c r="K375" s="8">
        <f>K376</f>
        <v>942.72</v>
      </c>
      <c r="L375" s="8">
        <f>L376</f>
        <v>37136.49</v>
      </c>
      <c r="M375" s="131">
        <f>I375+J375*K375</f>
        <v>-3140</v>
      </c>
      <c r="N375" s="126">
        <f t="shared" ref="N375:N383" si="427">M375-SUMIFS(Total,Cuenta,C375,Linea,D375,Fecha,INDEX(Fecha,MATCH(A375-1,Fecha,1)))</f>
        <v>-3140</v>
      </c>
      <c r="O375" s="32"/>
      <c r="P375" s="32"/>
      <c r="Q375" s="32"/>
      <c r="R375" s="32"/>
      <c r="S375" s="32"/>
      <c r="T375" s="32"/>
      <c r="U375" s="32"/>
      <c r="V375" s="32"/>
      <c r="W375" s="32">
        <v>-3140</v>
      </c>
      <c r="X375" s="32"/>
      <c r="Y375" s="32"/>
      <c r="Z375" s="32"/>
      <c r="AA375" s="32"/>
      <c r="AB375" s="32"/>
      <c r="AC375" s="32"/>
      <c r="AD375" s="32"/>
      <c r="AE375" s="32"/>
      <c r="AF375" s="32"/>
      <c r="AG375" s="32"/>
      <c r="AH375" s="127">
        <f t="shared" ref="AH375:AH381" si="428">J375*(K375-K366)</f>
        <v>0</v>
      </c>
      <c r="AI375" s="128">
        <f t="shared" si="425"/>
        <v>0</v>
      </c>
      <c r="AJ375" s="129">
        <f t="shared" si="426"/>
        <v>0</v>
      </c>
    </row>
    <row r="376" spans="1:39" x14ac:dyDescent="0.25">
      <c r="A376" s="119">
        <f>A374</f>
        <v>45388</v>
      </c>
      <c r="B376" s="109" t="s">
        <v>99</v>
      </c>
      <c r="C376" s="6" t="s">
        <v>5</v>
      </c>
      <c r="D376" s="7" t="s">
        <v>26</v>
      </c>
      <c r="E376" s="120">
        <f>9978412-33000</f>
        <v>9945412</v>
      </c>
      <c r="F376" s="130">
        <v>8000</v>
      </c>
      <c r="G376" s="122">
        <v>-10000000</v>
      </c>
      <c r="H376" s="123">
        <v>-8000</v>
      </c>
      <c r="I376" s="120">
        <f>E376+G376</f>
        <v>-54588</v>
      </c>
      <c r="J376" s="130">
        <f t="shared" ref="J376:J383" si="429">F376+H376</f>
        <v>0</v>
      </c>
      <c r="K376" s="8">
        <f>K374</f>
        <v>942.72</v>
      </c>
      <c r="L376" s="8">
        <f>L374</f>
        <v>37136.49</v>
      </c>
      <c r="M376" s="131">
        <f>I376+J376*K376</f>
        <v>-54588</v>
      </c>
      <c r="N376" s="126">
        <f t="shared" si="427"/>
        <v>-13648</v>
      </c>
      <c r="O376" s="32"/>
      <c r="P376" s="32"/>
      <c r="Q376" s="32"/>
      <c r="R376" s="32"/>
      <c r="S376" s="32">
        <v>65360</v>
      </c>
      <c r="T376" s="32"/>
      <c r="U376" s="32">
        <v>-33000</v>
      </c>
      <c r="V376" s="32"/>
      <c r="W376" s="32">
        <v>-1590</v>
      </c>
      <c r="X376" s="32">
        <v>-24310</v>
      </c>
      <c r="Y376" s="32"/>
      <c r="Z376" s="32">
        <f>-7601-5333-7174</f>
        <v>-20108</v>
      </c>
      <c r="AA376" s="32"/>
      <c r="AB376" s="32"/>
      <c r="AC376" s="32"/>
      <c r="AD376" s="32"/>
      <c r="AE376" s="32"/>
      <c r="AF376" s="32"/>
      <c r="AG376" s="32"/>
      <c r="AH376" s="127">
        <f t="shared" si="428"/>
        <v>0</v>
      </c>
      <c r="AI376" s="128">
        <f t="shared" si="425"/>
        <v>0</v>
      </c>
      <c r="AJ376" s="129">
        <f t="shared" si="426"/>
        <v>0</v>
      </c>
    </row>
    <row r="377" spans="1:39" x14ac:dyDescent="0.25">
      <c r="A377" s="119">
        <f>A376</f>
        <v>45388</v>
      </c>
      <c r="B377" s="109" t="s">
        <v>99</v>
      </c>
      <c r="C377" s="6" t="s">
        <v>9</v>
      </c>
      <c r="D377" s="7" t="s">
        <v>12</v>
      </c>
      <c r="E377" s="120">
        <v>7959014</v>
      </c>
      <c r="F377" s="130"/>
      <c r="G377" s="122"/>
      <c r="H377" s="123"/>
      <c r="I377" s="120">
        <f t="shared" ref="I377:I378" si="430">E377+G377</f>
        <v>7959014</v>
      </c>
      <c r="J377" s="130">
        <f t="shared" si="429"/>
        <v>0</v>
      </c>
      <c r="K377" s="8">
        <f>K376</f>
        <v>942.72</v>
      </c>
      <c r="L377" s="8">
        <f>L376</f>
        <v>37136.49</v>
      </c>
      <c r="M377" s="131">
        <f t="shared" ref="M377:M383" si="431">I377+J377*K377</f>
        <v>7959014</v>
      </c>
      <c r="N377" s="126">
        <f t="shared" si="427"/>
        <v>1583</v>
      </c>
      <c r="O377" s="32"/>
      <c r="P377" s="32"/>
      <c r="Q377" s="32"/>
      <c r="R377" s="32"/>
      <c r="S377" s="32"/>
      <c r="T377" s="32"/>
      <c r="U377" s="32"/>
      <c r="V377" s="32"/>
      <c r="W377" s="32"/>
      <c r="X377" s="32"/>
      <c r="Y377" s="32"/>
      <c r="Z377" s="32"/>
      <c r="AA377" s="32"/>
      <c r="AB377" s="32"/>
      <c r="AC377" s="32"/>
      <c r="AD377" s="32"/>
      <c r="AE377" s="32"/>
      <c r="AF377" s="32"/>
      <c r="AG377" s="32"/>
      <c r="AH377" s="127">
        <f t="shared" si="428"/>
        <v>0</v>
      </c>
      <c r="AI377" s="128">
        <f t="shared" si="425"/>
        <v>1583</v>
      </c>
      <c r="AJ377" s="129">
        <f t="shared" si="426"/>
        <v>0</v>
      </c>
    </row>
    <row r="378" spans="1:39" x14ac:dyDescent="0.25">
      <c r="A378" s="119">
        <f t="shared" ref="A378:A381" si="432">A377</f>
        <v>45388</v>
      </c>
      <c r="B378" s="109" t="s">
        <v>99</v>
      </c>
      <c r="C378" s="6" t="s">
        <v>9</v>
      </c>
      <c r="D378" s="7" t="s">
        <v>15</v>
      </c>
      <c r="E378" s="120">
        <v>2050102</v>
      </c>
      <c r="F378" s="130"/>
      <c r="G378" s="122"/>
      <c r="H378" s="123"/>
      <c r="I378" s="120">
        <f t="shared" si="430"/>
        <v>2050102</v>
      </c>
      <c r="J378" s="130">
        <f t="shared" si="429"/>
        <v>0</v>
      </c>
      <c r="K378" s="8">
        <f t="shared" ref="K378:L379" si="433">K377</f>
        <v>942.72</v>
      </c>
      <c r="L378" s="8">
        <f t="shared" si="433"/>
        <v>37136.49</v>
      </c>
      <c r="M378" s="131">
        <f t="shared" si="431"/>
        <v>2050102</v>
      </c>
      <c r="N378" s="126">
        <f t="shared" si="427"/>
        <v>22250</v>
      </c>
      <c r="O378" s="32"/>
      <c r="P378" s="32"/>
      <c r="Q378" s="32"/>
      <c r="R378" s="32"/>
      <c r="S378" s="32"/>
      <c r="T378" s="32"/>
      <c r="U378" s="32"/>
      <c r="V378" s="32"/>
      <c r="W378" s="32"/>
      <c r="X378" s="32"/>
      <c r="Y378" s="32"/>
      <c r="Z378" s="32"/>
      <c r="AA378" s="32"/>
      <c r="AB378" s="32"/>
      <c r="AC378" s="32"/>
      <c r="AD378" s="32"/>
      <c r="AE378" s="32"/>
      <c r="AF378" s="32"/>
      <c r="AG378" s="32"/>
      <c r="AH378" s="127">
        <f t="shared" si="428"/>
        <v>0</v>
      </c>
      <c r="AI378" s="128">
        <f t="shared" si="425"/>
        <v>22250</v>
      </c>
      <c r="AJ378" s="129">
        <f t="shared" si="426"/>
        <v>0</v>
      </c>
      <c r="AM378" s="119"/>
    </row>
    <row r="379" spans="1:39" x14ac:dyDescent="0.25">
      <c r="A379" s="119">
        <f t="shared" si="432"/>
        <v>45388</v>
      </c>
      <c r="B379" s="109" t="s">
        <v>99</v>
      </c>
      <c r="C379" s="6" t="s">
        <v>9</v>
      </c>
      <c r="D379" s="7" t="s">
        <v>11</v>
      </c>
      <c r="E379" s="120">
        <v>700158</v>
      </c>
      <c r="F379" s="130"/>
      <c r="G379" s="122"/>
      <c r="H379" s="123"/>
      <c r="I379" s="120">
        <f>E379+G379</f>
        <v>700158</v>
      </c>
      <c r="J379" s="130">
        <f t="shared" si="429"/>
        <v>0</v>
      </c>
      <c r="K379" s="8">
        <f t="shared" si="433"/>
        <v>942.72</v>
      </c>
      <c r="L379" s="8">
        <f>L378</f>
        <v>37136.49</v>
      </c>
      <c r="M379" s="131">
        <f t="shared" si="431"/>
        <v>700158</v>
      </c>
      <c r="N379" s="126">
        <f t="shared" si="427"/>
        <v>4219</v>
      </c>
      <c r="O379" s="32"/>
      <c r="P379" s="32"/>
      <c r="Q379" s="32"/>
      <c r="R379" s="32"/>
      <c r="S379" s="32"/>
      <c r="T379" s="32"/>
      <c r="U379" s="32"/>
      <c r="V379" s="32"/>
      <c r="W379" s="32"/>
      <c r="X379" s="32"/>
      <c r="Y379" s="32"/>
      <c r="Z379" s="32"/>
      <c r="AA379" s="32"/>
      <c r="AB379" s="32"/>
      <c r="AC379" s="32"/>
      <c r="AD379" s="32"/>
      <c r="AE379" s="32"/>
      <c r="AF379" s="32"/>
      <c r="AG379" s="32"/>
      <c r="AH379" s="127">
        <f t="shared" si="428"/>
        <v>0</v>
      </c>
      <c r="AI379" s="128">
        <f t="shared" si="425"/>
        <v>4219</v>
      </c>
      <c r="AJ379" s="129">
        <f t="shared" si="426"/>
        <v>0</v>
      </c>
    </row>
    <row r="380" spans="1:39" x14ac:dyDescent="0.25">
      <c r="A380" s="119">
        <f t="shared" si="432"/>
        <v>45388</v>
      </c>
      <c r="B380" s="109" t="s">
        <v>99</v>
      </c>
      <c r="C380" s="6" t="s">
        <v>9</v>
      </c>
      <c r="D380" s="7" t="s">
        <v>10</v>
      </c>
      <c r="E380" s="120"/>
      <c r="F380" s="130">
        <f>217.03+106.23+0.25</f>
        <v>323.51</v>
      </c>
      <c r="G380" s="122"/>
      <c r="H380" s="123"/>
      <c r="I380" s="120">
        <f t="shared" ref="I380" si="434">E380+G380</f>
        <v>0</v>
      </c>
      <c r="J380" s="130">
        <f t="shared" si="429"/>
        <v>323.51</v>
      </c>
      <c r="K380" s="8">
        <f t="shared" ref="K380:L380" si="435">K379</f>
        <v>942.72</v>
      </c>
      <c r="L380" s="8">
        <f t="shared" si="435"/>
        <v>37136.49</v>
      </c>
      <c r="M380" s="131">
        <f t="shared" si="431"/>
        <v>304979.34720000002</v>
      </c>
      <c r="N380" s="126">
        <f t="shared" si="427"/>
        <v>546.77760000003036</v>
      </c>
      <c r="O380" s="32"/>
      <c r="P380" s="32"/>
      <c r="Q380" s="32"/>
      <c r="R380" s="32"/>
      <c r="S380" s="32"/>
      <c r="T380" s="32"/>
      <c r="U380" s="32"/>
      <c r="V380" s="32"/>
      <c r="W380" s="32"/>
      <c r="X380" s="32"/>
      <c r="Y380" s="32"/>
      <c r="Z380" s="32"/>
      <c r="AA380" s="32"/>
      <c r="AB380" s="32"/>
      <c r="AC380" s="32"/>
      <c r="AD380" s="32"/>
      <c r="AE380" s="32"/>
      <c r="AF380" s="32"/>
      <c r="AG380" s="32"/>
      <c r="AH380" s="127">
        <f t="shared" si="428"/>
        <v>0</v>
      </c>
      <c r="AI380" s="128">
        <f t="shared" si="425"/>
        <v>546.77760000003036</v>
      </c>
      <c r="AJ380" s="129">
        <f t="shared" si="426"/>
        <v>0</v>
      </c>
    </row>
    <row r="381" spans="1:39" x14ac:dyDescent="0.25">
      <c r="A381" s="119">
        <f t="shared" si="432"/>
        <v>45388</v>
      </c>
      <c r="B381" s="109" t="s">
        <v>99</v>
      </c>
      <c r="C381" s="6" t="s">
        <v>7</v>
      </c>
      <c r="D381" s="7" t="s">
        <v>16</v>
      </c>
      <c r="E381" s="120"/>
      <c r="F381" s="130">
        <v>939.28</v>
      </c>
      <c r="G381" s="122"/>
      <c r="H381" s="123"/>
      <c r="I381" s="120">
        <f>E381+G381</f>
        <v>0</v>
      </c>
      <c r="J381" s="130">
        <f t="shared" si="429"/>
        <v>939.28</v>
      </c>
      <c r="K381" s="8">
        <f t="shared" ref="K381:L381" si="436">K380</f>
        <v>942.72</v>
      </c>
      <c r="L381" s="8">
        <f t="shared" si="436"/>
        <v>37136.49</v>
      </c>
      <c r="M381" s="131">
        <f t="shared" si="431"/>
        <v>885478.0416</v>
      </c>
      <c r="N381" s="126">
        <f t="shared" si="427"/>
        <v>-65.990400000009686</v>
      </c>
      <c r="O381" s="32"/>
      <c r="P381" s="32"/>
      <c r="Q381" s="32"/>
      <c r="R381" s="32"/>
      <c r="S381" s="32"/>
      <c r="T381" s="32"/>
      <c r="U381" s="32"/>
      <c r="V381" s="32"/>
      <c r="W381" s="32"/>
      <c r="X381" s="32"/>
      <c r="Y381" s="32"/>
      <c r="Z381" s="32"/>
      <c r="AA381" s="32"/>
      <c r="AB381" s="32"/>
      <c r="AC381" s="32"/>
      <c r="AD381" s="32"/>
      <c r="AE381" s="32"/>
      <c r="AF381" s="32"/>
      <c r="AG381" s="32"/>
      <c r="AH381" s="127">
        <f t="shared" si="428"/>
        <v>0</v>
      </c>
      <c r="AI381" s="128">
        <f t="shared" si="425"/>
        <v>-65.990400000009686</v>
      </c>
      <c r="AJ381" s="129">
        <f t="shared" si="426"/>
        <v>0</v>
      </c>
    </row>
    <row r="382" spans="1:39" x14ac:dyDescent="0.25">
      <c r="A382" s="119">
        <f t="shared" ref="A382" si="437">A379</f>
        <v>45388</v>
      </c>
      <c r="B382" s="109" t="s">
        <v>99</v>
      </c>
      <c r="C382" s="6" t="s">
        <v>8</v>
      </c>
      <c r="D382" s="7" t="s">
        <v>16</v>
      </c>
      <c r="E382" s="120"/>
      <c r="F382" s="130">
        <v>362.15</v>
      </c>
      <c r="G382" s="122"/>
      <c r="H382" s="123"/>
      <c r="I382" s="120">
        <f t="shared" ref="I382:I383" si="438">E382+G382</f>
        <v>0</v>
      </c>
      <c r="J382" s="130">
        <f t="shared" si="429"/>
        <v>362.15</v>
      </c>
      <c r="K382" s="8">
        <f t="shared" ref="K382:L382" si="439">K379</f>
        <v>942.72</v>
      </c>
      <c r="L382" s="8">
        <f t="shared" si="439"/>
        <v>37136.49</v>
      </c>
      <c r="M382" s="131">
        <f t="shared" si="431"/>
        <v>341406.04800000001</v>
      </c>
      <c r="N382" s="126">
        <f t="shared" si="427"/>
        <v>6042.8351999999722</v>
      </c>
      <c r="O382" s="32"/>
      <c r="P382" s="32"/>
      <c r="Q382" s="32"/>
      <c r="R382" s="32"/>
      <c r="S382" s="32"/>
      <c r="T382" s="32"/>
      <c r="U382" s="32"/>
      <c r="V382" s="32"/>
      <c r="W382" s="32"/>
      <c r="X382" s="32"/>
      <c r="Y382" s="32"/>
      <c r="Z382" s="32"/>
      <c r="AA382" s="32"/>
      <c r="AB382" s="32"/>
      <c r="AC382" s="32"/>
      <c r="AD382" s="32"/>
      <c r="AE382" s="32"/>
      <c r="AF382" s="32"/>
      <c r="AG382" s="32"/>
      <c r="AH382" s="127">
        <f>J382*(K382-K373)</f>
        <v>0</v>
      </c>
      <c r="AI382" s="128">
        <f t="shared" si="425"/>
        <v>6042.8351999999722</v>
      </c>
      <c r="AJ382" s="129">
        <f t="shared" si="426"/>
        <v>0</v>
      </c>
    </row>
    <row r="383" spans="1:39" s="142" customFormat="1" x14ac:dyDescent="0.25">
      <c r="A383" s="133">
        <f>A381</f>
        <v>45388</v>
      </c>
      <c r="B383" s="110" t="s">
        <v>101</v>
      </c>
      <c r="C383" s="45" t="s">
        <v>100</v>
      </c>
      <c r="D383" s="46" t="s">
        <v>6</v>
      </c>
      <c r="E383" s="134">
        <v>10412224</v>
      </c>
      <c r="F383" s="135"/>
      <c r="G383" s="134"/>
      <c r="H383" s="135"/>
      <c r="I383" s="134">
        <f t="shared" si="438"/>
        <v>10412224</v>
      </c>
      <c r="J383" s="135">
        <f t="shared" si="429"/>
        <v>0</v>
      </c>
      <c r="K383" s="47">
        <f>K381</f>
        <v>942.72</v>
      </c>
      <c r="L383" s="47">
        <f>L381</f>
        <v>37136.49</v>
      </c>
      <c r="M383" s="136">
        <f t="shared" si="431"/>
        <v>10412224</v>
      </c>
      <c r="N383" s="137">
        <f t="shared" si="427"/>
        <v>0</v>
      </c>
      <c r="O383" s="138"/>
      <c r="P383" s="138"/>
      <c r="Q383" s="138"/>
      <c r="R383" s="138"/>
      <c r="S383" s="138"/>
      <c r="T383" s="138"/>
      <c r="U383" s="138"/>
      <c r="V383" s="138"/>
      <c r="W383" s="138"/>
      <c r="X383" s="138"/>
      <c r="Y383" s="138"/>
      <c r="Z383" s="138"/>
      <c r="AA383" s="138"/>
      <c r="AB383" s="138"/>
      <c r="AC383" s="138"/>
      <c r="AD383" s="138"/>
      <c r="AE383" s="138"/>
      <c r="AF383" s="138"/>
      <c r="AG383" s="138"/>
      <c r="AH383" s="139">
        <f>J383*(K383-K374)</f>
        <v>0</v>
      </c>
      <c r="AI383" s="140">
        <f t="shared" si="425"/>
        <v>0</v>
      </c>
      <c r="AJ383" s="141">
        <f>N383-SUM(O383:AI383)</f>
        <v>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E7175-2DC9-4096-AF37-5E01AA8D7ECB}">
  <sheetPr codeName="Sheet1">
    <tabColor theme="8" tint="-0.249977111117893"/>
  </sheetPr>
  <dimension ref="A1:V6955"/>
  <sheetViews>
    <sheetView showGridLines="0" topLeftCell="A46" zoomScale="80" zoomScaleNormal="80" workbookViewId="0">
      <selection activeCell="B2" sqref="B2"/>
    </sheetView>
  </sheetViews>
  <sheetFormatPr defaultRowHeight="15" x14ac:dyDescent="0.25"/>
  <cols>
    <col min="1" max="1" width="10.85546875" bestFit="1" customWidth="1"/>
    <col min="2" max="2" width="11.28515625" bestFit="1" customWidth="1"/>
    <col min="4" max="4" width="11.28515625" style="28" bestFit="1" customWidth="1"/>
    <col min="5" max="5" width="9.28515625" style="30" bestFit="1" customWidth="1"/>
    <col min="6" max="6" width="9.5703125" style="12" bestFit="1" customWidth="1"/>
    <col min="7" max="7" width="12.7109375" style="12" bestFit="1" customWidth="1"/>
    <col min="8" max="8" width="10.140625" style="12" bestFit="1" customWidth="1"/>
    <col min="9" max="9" width="13.42578125" style="30" bestFit="1" customWidth="1"/>
    <col min="10" max="10" width="12" style="30" customWidth="1"/>
    <col min="11" max="11" width="10.28515625" style="12" bestFit="1" customWidth="1"/>
    <col min="12" max="12" width="12.28515625" style="12" bestFit="1" customWidth="1"/>
    <col min="13" max="13" width="12.42578125" style="12" bestFit="1" customWidth="1"/>
    <col min="14" max="14" width="10.85546875" style="30" bestFit="1" customWidth="1"/>
    <col min="15" max="15" width="13.5703125" style="30" bestFit="1" customWidth="1"/>
    <col min="16" max="16" width="5.140625" style="10" bestFit="1" customWidth="1"/>
    <col min="17" max="18" width="12" style="10" customWidth="1"/>
    <col min="19" max="19" width="12" customWidth="1"/>
    <col min="20" max="22" width="12" style="10" customWidth="1"/>
  </cols>
  <sheetData>
    <row r="1" spans="1:22" x14ac:dyDescent="0.25">
      <c r="A1" s="11" t="s">
        <v>27</v>
      </c>
      <c r="B1" s="9">
        <v>45292</v>
      </c>
      <c r="D1" s="27" t="s">
        <v>29</v>
      </c>
      <c r="E1" s="29" t="s">
        <v>70</v>
      </c>
      <c r="F1" s="26" t="s">
        <v>61</v>
      </c>
      <c r="G1" s="26" t="s">
        <v>62</v>
      </c>
      <c r="H1" s="26" t="s">
        <v>63</v>
      </c>
      <c r="I1" s="29" t="s">
        <v>64</v>
      </c>
      <c r="J1" s="29" t="s">
        <v>65</v>
      </c>
      <c r="K1" s="26" t="s">
        <v>66</v>
      </c>
      <c r="L1" s="26" t="s">
        <v>67</v>
      </c>
      <c r="M1" s="26" t="s">
        <v>71</v>
      </c>
      <c r="N1" s="29" t="s">
        <v>69</v>
      </c>
      <c r="O1" s="29" t="s">
        <v>68</v>
      </c>
      <c r="P1" s="2" t="s">
        <v>60</v>
      </c>
      <c r="Q1" s="2"/>
      <c r="R1" s="2"/>
      <c r="S1" s="2"/>
      <c r="T1" s="2"/>
      <c r="U1" s="2"/>
      <c r="V1" s="2"/>
    </row>
    <row r="2" spans="1:22" x14ac:dyDescent="0.25">
      <c r="A2" s="11" t="s">
        <v>28</v>
      </c>
      <c r="B2" s="9">
        <f ca="1">TODAY()+5</f>
        <v>45393</v>
      </c>
      <c r="D2" s="28">
        <v>45292</v>
      </c>
      <c r="E2" s="30">
        <v>871.86468505859375</v>
      </c>
      <c r="N2" s="30">
        <v>36797.64</v>
      </c>
      <c r="S2" s="1"/>
    </row>
    <row r="3" spans="1:22" x14ac:dyDescent="0.25">
      <c r="D3" s="28">
        <v>45293</v>
      </c>
      <c r="E3" s="30">
        <v>872.65399169921875</v>
      </c>
      <c r="F3" s="12">
        <v>4742.830078125</v>
      </c>
      <c r="G3" s="12">
        <v>37715.0390625</v>
      </c>
      <c r="H3" s="12">
        <v>14765.9404296875</v>
      </c>
      <c r="I3" s="30">
        <v>131.91000366210938</v>
      </c>
      <c r="J3" s="30">
        <v>74.510002136230469</v>
      </c>
      <c r="K3" s="12">
        <v>7721.5</v>
      </c>
      <c r="M3" s="12">
        <v>16788.55078125</v>
      </c>
      <c r="N3" s="30">
        <v>36805.919999999998</v>
      </c>
      <c r="O3" s="30">
        <v>877.12</v>
      </c>
      <c r="P3" s="10">
        <v>8.25</v>
      </c>
      <c r="S3" s="1"/>
    </row>
    <row r="4" spans="1:22" x14ac:dyDescent="0.25">
      <c r="D4" s="28">
        <v>45294</v>
      </c>
      <c r="E4" s="30">
        <v>883.82000732421875</v>
      </c>
      <c r="F4" s="12">
        <v>4704.81005859375</v>
      </c>
      <c r="G4" s="12">
        <v>37430.19140625</v>
      </c>
      <c r="H4" s="12">
        <v>14592.2099609375</v>
      </c>
      <c r="I4" s="30">
        <v>130.85000610351563</v>
      </c>
      <c r="J4" s="30">
        <v>73.949996948242188</v>
      </c>
      <c r="K4" s="12">
        <v>7682.2998046875</v>
      </c>
      <c r="M4" s="12">
        <v>16646.41015625</v>
      </c>
      <c r="N4" s="30">
        <v>36814.21</v>
      </c>
      <c r="O4" s="30">
        <v>880.92</v>
      </c>
      <c r="P4" s="10">
        <v>8.25</v>
      </c>
      <c r="S4" s="1"/>
    </row>
    <row r="5" spans="1:22" x14ac:dyDescent="0.25">
      <c r="D5" s="28">
        <v>45295</v>
      </c>
      <c r="E5" s="30">
        <v>881.72998046875</v>
      </c>
      <c r="F5" s="12">
        <v>4688.68017578125</v>
      </c>
      <c r="G5" s="12">
        <v>37440.33984375</v>
      </c>
      <c r="H5" s="12">
        <v>14510.2998046875</v>
      </c>
      <c r="I5" s="30">
        <v>130.69999694824219</v>
      </c>
      <c r="J5" s="30">
        <v>74.120002746582031</v>
      </c>
      <c r="K5" s="12">
        <v>7723.10009765625</v>
      </c>
      <c r="L5" s="12">
        <v>33288.2890625</v>
      </c>
      <c r="M5" s="12">
        <v>16645.98046875</v>
      </c>
      <c r="N5" s="30">
        <v>36822.49</v>
      </c>
      <c r="O5" s="30">
        <v>884.39</v>
      </c>
      <c r="P5" s="10">
        <v>8.25</v>
      </c>
      <c r="S5" s="1"/>
    </row>
    <row r="6" spans="1:22" x14ac:dyDescent="0.25">
      <c r="A6" s="1"/>
      <c r="D6" s="28">
        <v>45296</v>
      </c>
      <c r="E6" s="30">
        <v>886.97998046875</v>
      </c>
      <c r="F6" s="12">
        <v>4697.240234375</v>
      </c>
      <c r="G6" s="12">
        <v>37466.109375</v>
      </c>
      <c r="H6" s="12">
        <v>14524.0703125</v>
      </c>
      <c r="I6" s="30">
        <v>130.86000061035156</v>
      </c>
      <c r="J6" s="30">
        <v>74.169998168945313</v>
      </c>
      <c r="K6" s="12">
        <v>7689.60009765625</v>
      </c>
      <c r="L6" s="12">
        <v>33377.421875</v>
      </c>
      <c r="M6" s="12">
        <v>16535.330078125</v>
      </c>
      <c r="N6" s="30">
        <v>36830.78</v>
      </c>
      <c r="O6" s="30">
        <v>884.45</v>
      </c>
      <c r="P6" s="10">
        <v>8.25</v>
      </c>
      <c r="S6" s="1"/>
    </row>
    <row r="7" spans="1:22" x14ac:dyDescent="0.25">
      <c r="A7" s="1"/>
      <c r="D7" s="28">
        <v>45297</v>
      </c>
      <c r="E7" s="30">
        <v>886.97998046875</v>
      </c>
      <c r="F7" s="12">
        <v>4697.240234375</v>
      </c>
      <c r="G7" s="12">
        <v>37466.109375</v>
      </c>
      <c r="H7" s="12">
        <v>14524.0703125</v>
      </c>
      <c r="I7" s="30">
        <v>130.86000061035156</v>
      </c>
      <c r="J7" s="30">
        <v>74.169998168945313</v>
      </c>
      <c r="K7" s="12">
        <v>7689.60009765625</v>
      </c>
      <c r="L7" s="12">
        <v>33377.421875</v>
      </c>
      <c r="M7" s="12">
        <v>16535.330078125</v>
      </c>
      <c r="N7" s="30">
        <v>36839.07</v>
      </c>
      <c r="O7" s="30">
        <v>884.45</v>
      </c>
      <c r="P7" s="10">
        <v>8.25</v>
      </c>
      <c r="S7" s="1"/>
    </row>
    <row r="8" spans="1:22" x14ac:dyDescent="0.25">
      <c r="A8" s="1"/>
      <c r="D8" s="28">
        <v>45298</v>
      </c>
      <c r="E8" s="30">
        <v>886.97998046875</v>
      </c>
      <c r="F8" s="12">
        <v>4697.240234375</v>
      </c>
      <c r="G8" s="12">
        <v>37466.109375</v>
      </c>
      <c r="H8" s="12">
        <v>14524.0703125</v>
      </c>
      <c r="I8" s="30">
        <v>130.86000061035156</v>
      </c>
      <c r="J8" s="30">
        <v>74.169998168945313</v>
      </c>
      <c r="K8" s="12">
        <v>7689.60009765625</v>
      </c>
      <c r="L8" s="12">
        <v>33377.421875</v>
      </c>
      <c r="M8" s="12">
        <v>16535.330078125</v>
      </c>
      <c r="N8" s="30">
        <v>36847.360000000001</v>
      </c>
      <c r="O8" s="30">
        <v>884.45</v>
      </c>
      <c r="P8" s="10">
        <v>8.25</v>
      </c>
      <c r="S8" s="1"/>
    </row>
    <row r="9" spans="1:22" x14ac:dyDescent="0.25">
      <c r="A9" s="1"/>
      <c r="D9" s="28">
        <v>45299</v>
      </c>
      <c r="E9" s="30">
        <v>877.2498779296875</v>
      </c>
      <c r="F9" s="12">
        <v>4763.5400390625</v>
      </c>
      <c r="G9" s="12">
        <v>37683.01171875</v>
      </c>
      <c r="H9" s="12">
        <v>14843.76953125</v>
      </c>
      <c r="I9" s="30">
        <v>132.58999633789063</v>
      </c>
      <c r="J9" s="30">
        <v>74.959999084472656</v>
      </c>
      <c r="K9" s="12">
        <v>7694.2001953125</v>
      </c>
      <c r="L9" s="12">
        <v>33377.421875</v>
      </c>
      <c r="M9" s="12">
        <v>16224.4501953125</v>
      </c>
      <c r="N9" s="30">
        <v>36855.65</v>
      </c>
      <c r="O9" s="30">
        <v>893.07</v>
      </c>
      <c r="P9" s="10">
        <v>8.25</v>
      </c>
      <c r="S9" s="1"/>
    </row>
    <row r="10" spans="1:22" x14ac:dyDescent="0.25">
      <c r="A10" s="1"/>
      <c r="D10" s="28">
        <v>45300</v>
      </c>
      <c r="E10" s="30">
        <v>903.5</v>
      </c>
      <c r="F10" s="12">
        <v>4756.5</v>
      </c>
      <c r="G10" s="12">
        <v>37525.16015625</v>
      </c>
      <c r="H10" s="12">
        <v>14857.7099609375</v>
      </c>
      <c r="I10" s="30">
        <v>132.05999755859375</v>
      </c>
      <c r="J10" s="30">
        <v>74.290000915527344</v>
      </c>
      <c r="K10" s="12">
        <v>7684</v>
      </c>
      <c r="L10" s="12">
        <v>33763.1796875</v>
      </c>
      <c r="M10" s="12">
        <v>16190.01953125</v>
      </c>
      <c r="N10" s="30">
        <v>36863.94</v>
      </c>
      <c r="O10" s="30">
        <v>901.31</v>
      </c>
      <c r="P10" s="10">
        <v>8.25</v>
      </c>
      <c r="S10" s="1"/>
    </row>
    <row r="11" spans="1:22" x14ac:dyDescent="0.25">
      <c r="A11" s="1"/>
      <c r="D11" s="28">
        <v>45301</v>
      </c>
      <c r="E11" s="30">
        <v>917.6500244140625</v>
      </c>
      <c r="F11" s="12">
        <v>4783.4501953125</v>
      </c>
      <c r="G11" s="12">
        <v>37695.73046875</v>
      </c>
      <c r="H11" s="12">
        <v>14969.650390625</v>
      </c>
      <c r="I11" s="30">
        <v>132.83000183105469</v>
      </c>
      <c r="J11" s="30">
        <v>74.769996643066406</v>
      </c>
      <c r="K11" s="12">
        <v>7651.7998046875</v>
      </c>
      <c r="L11" s="12">
        <v>34441.71875</v>
      </c>
      <c r="M11" s="12">
        <v>16097.2802734375</v>
      </c>
      <c r="N11" s="30">
        <v>36857.980000000003</v>
      </c>
      <c r="O11" s="30">
        <v>914.71</v>
      </c>
      <c r="P11" s="10">
        <v>8.25</v>
      </c>
      <c r="S11" s="1"/>
    </row>
    <row r="12" spans="1:22" x14ac:dyDescent="0.25">
      <c r="A12" s="1"/>
      <c r="D12" s="28">
        <v>45302</v>
      </c>
      <c r="E12" s="30">
        <v>916.19000244140625</v>
      </c>
      <c r="F12" s="12">
        <v>4780.240234375</v>
      </c>
      <c r="G12" s="12">
        <v>37711.01953125</v>
      </c>
      <c r="H12" s="12">
        <v>14970.1904296875</v>
      </c>
      <c r="I12" s="30">
        <v>132.82000732421875</v>
      </c>
      <c r="J12" s="30">
        <v>74.760002136230469</v>
      </c>
      <c r="K12" s="12">
        <v>7576.60009765625</v>
      </c>
      <c r="L12" s="12">
        <v>35049.859375</v>
      </c>
      <c r="M12" s="12">
        <v>16302.0400390625</v>
      </c>
      <c r="N12" s="30">
        <v>36852.019999999997</v>
      </c>
      <c r="O12" s="30">
        <v>919.07</v>
      </c>
      <c r="P12" s="10">
        <v>8.25</v>
      </c>
      <c r="S12" s="1"/>
    </row>
    <row r="13" spans="1:22" x14ac:dyDescent="0.25">
      <c r="A13" s="1"/>
      <c r="D13" s="28">
        <v>45303</v>
      </c>
      <c r="E13" s="30">
        <v>913.469970703125</v>
      </c>
      <c r="F13" s="12">
        <v>4783.830078125</v>
      </c>
      <c r="G13" s="12">
        <v>37592.98046875</v>
      </c>
      <c r="H13" s="12">
        <v>14972.759765625</v>
      </c>
      <c r="I13" s="30">
        <v>132.92999267578125</v>
      </c>
      <c r="J13" s="30">
        <v>75.069999694824219</v>
      </c>
      <c r="K13" s="12">
        <v>7624.89990234375</v>
      </c>
      <c r="L13" s="12">
        <v>35577.109375</v>
      </c>
      <c r="M13" s="12">
        <v>16244.580078125</v>
      </c>
      <c r="N13" s="30">
        <v>36846.06</v>
      </c>
      <c r="O13" s="30">
        <v>911.37</v>
      </c>
      <c r="P13" s="10">
        <v>8.25</v>
      </c>
      <c r="S13" s="1"/>
    </row>
    <row r="14" spans="1:22" x14ac:dyDescent="0.25">
      <c r="A14" s="1"/>
      <c r="D14" s="28">
        <v>45304</v>
      </c>
      <c r="E14" s="30">
        <v>913.469970703125</v>
      </c>
      <c r="F14" s="12">
        <v>4783.830078125</v>
      </c>
      <c r="G14" s="12">
        <v>37592.98046875</v>
      </c>
      <c r="H14" s="12">
        <v>14972.759765625</v>
      </c>
      <c r="I14" s="30">
        <v>132.92999267578125</v>
      </c>
      <c r="J14" s="30">
        <v>75.069999694824219</v>
      </c>
      <c r="K14" s="12">
        <v>7624.89990234375</v>
      </c>
      <c r="L14" s="12">
        <v>35577.109375</v>
      </c>
      <c r="M14" s="12">
        <v>16244.580078125</v>
      </c>
      <c r="N14" s="30">
        <v>36840.1</v>
      </c>
      <c r="O14" s="30">
        <v>911.37</v>
      </c>
      <c r="P14" s="10">
        <v>8.25</v>
      </c>
      <c r="S14" s="1"/>
    </row>
    <row r="15" spans="1:22" x14ac:dyDescent="0.25">
      <c r="A15" s="1"/>
      <c r="D15" s="28">
        <v>45305</v>
      </c>
      <c r="E15" s="30">
        <v>913.469970703125</v>
      </c>
      <c r="F15" s="12">
        <v>4783.830078125</v>
      </c>
      <c r="G15" s="12">
        <v>37592.98046875</v>
      </c>
      <c r="H15" s="12">
        <v>14972.759765625</v>
      </c>
      <c r="I15" s="30">
        <v>132.92999267578125</v>
      </c>
      <c r="J15" s="30">
        <v>75.069999694824219</v>
      </c>
      <c r="K15" s="12">
        <v>7624.89990234375</v>
      </c>
      <c r="L15" s="12">
        <v>35577.109375</v>
      </c>
      <c r="M15" s="12">
        <v>16244.580078125</v>
      </c>
      <c r="N15" s="30">
        <v>36834.15</v>
      </c>
      <c r="O15" s="30">
        <v>911.37</v>
      </c>
      <c r="P15" s="10">
        <v>8.25</v>
      </c>
      <c r="S15" s="1"/>
    </row>
    <row r="16" spans="1:22" x14ac:dyDescent="0.25">
      <c r="D16" s="28">
        <v>45306</v>
      </c>
      <c r="E16" s="30">
        <v>895.76397705078125</v>
      </c>
      <c r="F16" s="12">
        <v>4783.830078125</v>
      </c>
      <c r="G16" s="12">
        <v>37592.98046875</v>
      </c>
      <c r="H16" s="12">
        <v>14972.759765625</v>
      </c>
      <c r="I16" s="30">
        <v>132.92999267578125</v>
      </c>
      <c r="J16" s="30">
        <v>75.069999694824219</v>
      </c>
      <c r="K16" s="12">
        <v>7594.89990234375</v>
      </c>
      <c r="L16" s="12">
        <v>35901.7890625</v>
      </c>
      <c r="M16" s="12">
        <v>16216.330078125</v>
      </c>
      <c r="N16" s="30">
        <v>36828.19</v>
      </c>
      <c r="O16" s="30">
        <v>908.67</v>
      </c>
      <c r="P16" s="10">
        <v>8.25</v>
      </c>
      <c r="S16" s="1"/>
    </row>
    <row r="17" spans="4:19" x14ac:dyDescent="0.25">
      <c r="D17" s="28">
        <v>45307</v>
      </c>
      <c r="E17" s="30">
        <v>910.1400146484375</v>
      </c>
      <c r="F17" s="12">
        <v>4765.97998046875</v>
      </c>
      <c r="G17" s="12">
        <v>37361.12109375</v>
      </c>
      <c r="H17" s="12">
        <v>14944.349609375</v>
      </c>
      <c r="I17" s="30">
        <v>132.00999450683594</v>
      </c>
      <c r="J17" s="30">
        <v>73.80999755859375</v>
      </c>
      <c r="K17" s="12">
        <v>7558.2998046875</v>
      </c>
      <c r="L17" s="12">
        <v>35619.1796875</v>
      </c>
      <c r="M17" s="12">
        <v>15865.919921875</v>
      </c>
      <c r="N17" s="30">
        <v>36822.239999999998</v>
      </c>
      <c r="O17" s="30">
        <v>912.02</v>
      </c>
      <c r="P17" s="10">
        <v>8.25</v>
      </c>
      <c r="S17" s="1"/>
    </row>
    <row r="18" spans="4:19" x14ac:dyDescent="0.25">
      <c r="D18" s="28">
        <v>45308</v>
      </c>
      <c r="E18" s="30">
        <v>922.28997802734375</v>
      </c>
      <c r="F18" s="12">
        <v>4739.2099609375</v>
      </c>
      <c r="G18" s="12">
        <v>37266.671875</v>
      </c>
      <c r="H18" s="12">
        <v>14855.6201171875</v>
      </c>
      <c r="I18" s="30">
        <v>131.14999389648438</v>
      </c>
      <c r="J18" s="30">
        <v>73.110000610351563</v>
      </c>
      <c r="K18" s="12">
        <v>7446.2998046875</v>
      </c>
      <c r="L18" s="12">
        <v>35477.75</v>
      </c>
      <c r="M18" s="12">
        <v>15276.900390625</v>
      </c>
      <c r="N18" s="30">
        <v>36816.29</v>
      </c>
      <c r="O18" s="30">
        <v>922.06</v>
      </c>
      <c r="P18" s="10">
        <v>8.25</v>
      </c>
      <c r="S18" s="1"/>
    </row>
    <row r="19" spans="4:19" x14ac:dyDescent="0.25">
      <c r="D19" s="28">
        <v>45309</v>
      </c>
      <c r="E19" s="30">
        <v>921.20001220703125</v>
      </c>
      <c r="F19" s="12">
        <v>4780.93994140625</v>
      </c>
      <c r="G19" s="12">
        <v>37468.609375</v>
      </c>
      <c r="H19" s="12">
        <v>15055.650390625</v>
      </c>
      <c r="I19" s="30">
        <v>132.25</v>
      </c>
      <c r="J19" s="30">
        <v>73.760002136230469</v>
      </c>
      <c r="K19" s="12">
        <v>7459.10009765625</v>
      </c>
      <c r="L19" s="12">
        <v>35466.171875</v>
      </c>
      <c r="M19" s="12">
        <v>15391.7900390625</v>
      </c>
      <c r="N19" s="30">
        <v>36810.33</v>
      </c>
      <c r="O19" s="30">
        <v>926.77</v>
      </c>
      <c r="P19" s="10">
        <v>8.25</v>
      </c>
      <c r="S19" s="1"/>
    </row>
    <row r="20" spans="4:19" x14ac:dyDescent="0.25">
      <c r="D20" s="28">
        <v>45310</v>
      </c>
      <c r="E20" s="30">
        <v>919.59002685546875</v>
      </c>
      <c r="F20" s="12">
        <v>4839.81005859375</v>
      </c>
      <c r="G20" s="12">
        <v>37863.80078125</v>
      </c>
      <c r="H20" s="12">
        <v>15310.9697265625</v>
      </c>
      <c r="I20" s="30">
        <v>133.6300048828125</v>
      </c>
      <c r="J20" s="30">
        <v>73.930000305175781</v>
      </c>
      <c r="K20" s="12">
        <v>7461.89990234375</v>
      </c>
      <c r="L20" s="12">
        <v>35963.26953125</v>
      </c>
      <c r="M20" s="12">
        <v>15308.6904296875</v>
      </c>
      <c r="N20" s="30">
        <v>36804.379999999997</v>
      </c>
      <c r="O20" s="30">
        <v>918.62</v>
      </c>
      <c r="P20" s="10">
        <v>8.25</v>
      </c>
      <c r="S20" s="1"/>
    </row>
    <row r="21" spans="4:19" x14ac:dyDescent="0.25">
      <c r="D21" s="28">
        <v>45311</v>
      </c>
      <c r="E21" s="30">
        <v>919.59002685546875</v>
      </c>
      <c r="F21" s="12">
        <v>4839.81005859375</v>
      </c>
      <c r="G21" s="12">
        <v>37863.80078125</v>
      </c>
      <c r="H21" s="12">
        <v>15310.9697265625</v>
      </c>
      <c r="I21" s="30">
        <v>133.6300048828125</v>
      </c>
      <c r="J21" s="30">
        <v>73.930000305175781</v>
      </c>
      <c r="K21" s="12">
        <v>7461.89990234375</v>
      </c>
      <c r="L21" s="12">
        <v>35963.26953125</v>
      </c>
      <c r="M21" s="12">
        <v>15308.6904296875</v>
      </c>
      <c r="N21" s="30">
        <v>36798.43</v>
      </c>
      <c r="O21" s="30">
        <v>918.62</v>
      </c>
      <c r="P21" s="10">
        <v>8.25</v>
      </c>
      <c r="S21" s="1"/>
    </row>
    <row r="22" spans="4:19" x14ac:dyDescent="0.25">
      <c r="D22" s="28">
        <v>45312</v>
      </c>
      <c r="E22" s="30">
        <v>919.59002685546875</v>
      </c>
      <c r="F22" s="12">
        <v>4839.81005859375</v>
      </c>
      <c r="G22" s="12">
        <v>37863.80078125</v>
      </c>
      <c r="H22" s="12">
        <v>15310.9697265625</v>
      </c>
      <c r="I22" s="30">
        <v>133.6300048828125</v>
      </c>
      <c r="J22" s="30">
        <v>73.930000305175781</v>
      </c>
      <c r="K22" s="12">
        <v>7461.89990234375</v>
      </c>
      <c r="L22" s="12">
        <v>35963.26953125</v>
      </c>
      <c r="M22" s="12">
        <v>15308.6904296875</v>
      </c>
      <c r="N22" s="30">
        <v>36792.480000000003</v>
      </c>
      <c r="O22" s="30">
        <v>918.62</v>
      </c>
      <c r="P22" s="10">
        <v>8.25</v>
      </c>
      <c r="S22" s="1"/>
    </row>
    <row r="23" spans="4:19" x14ac:dyDescent="0.25">
      <c r="D23" s="28">
        <v>45313</v>
      </c>
      <c r="E23" s="30">
        <v>896.90521240234375</v>
      </c>
      <c r="F23" s="12">
        <v>4850.43017578125</v>
      </c>
      <c r="G23" s="12">
        <v>38001.80859375</v>
      </c>
      <c r="H23" s="12">
        <v>15360.2900390625</v>
      </c>
      <c r="I23" s="30">
        <v>133.94000244140625</v>
      </c>
      <c r="J23" s="30">
        <v>74.160003662109375</v>
      </c>
      <c r="K23" s="12">
        <v>7487.7001953125</v>
      </c>
      <c r="L23" s="12">
        <v>36546.94921875</v>
      </c>
      <c r="M23" s="12">
        <v>14961.1796875</v>
      </c>
      <c r="N23" s="30">
        <v>36786.53</v>
      </c>
      <c r="O23" s="30">
        <v>910.73</v>
      </c>
      <c r="P23" s="10">
        <v>8.25</v>
      </c>
      <c r="S23" s="1"/>
    </row>
    <row r="24" spans="4:19" x14ac:dyDescent="0.25">
      <c r="D24" s="28">
        <v>45314</v>
      </c>
      <c r="E24" s="30">
        <v>909.30999755859375</v>
      </c>
      <c r="F24" s="12">
        <v>4864.60009765625</v>
      </c>
      <c r="G24" s="12">
        <v>37905.44921875</v>
      </c>
      <c r="H24" s="12">
        <v>15425.9404296875</v>
      </c>
      <c r="I24" s="30">
        <v>134.11000061035156</v>
      </c>
      <c r="J24" s="30">
        <v>73.949996948242188</v>
      </c>
      <c r="K24" s="12">
        <v>7485.7001953125</v>
      </c>
      <c r="L24" s="12">
        <v>36517.5703125</v>
      </c>
      <c r="M24" s="12">
        <v>15353.98046875</v>
      </c>
      <c r="N24" s="30">
        <v>36780.58</v>
      </c>
      <c r="O24" s="30">
        <v>905.63</v>
      </c>
      <c r="P24" s="10">
        <v>8.25</v>
      </c>
      <c r="S24" s="1"/>
    </row>
    <row r="25" spans="4:19" x14ac:dyDescent="0.25">
      <c r="D25" s="28">
        <v>45315</v>
      </c>
      <c r="E25" s="30">
        <v>911.989990234375</v>
      </c>
      <c r="F25" s="12">
        <v>4868.5498046875</v>
      </c>
      <c r="G25" s="12">
        <v>37806.390625</v>
      </c>
      <c r="H25" s="12">
        <v>15481.919921875</v>
      </c>
      <c r="I25" s="30">
        <v>134.41999816894531</v>
      </c>
      <c r="J25" s="30">
        <v>74.510002136230469</v>
      </c>
      <c r="K25" s="12">
        <v>7527.7001953125</v>
      </c>
      <c r="L25" s="12">
        <v>36226.48046875</v>
      </c>
      <c r="M25" s="12">
        <v>15899.8701171875</v>
      </c>
      <c r="N25" s="30">
        <v>36774.639999999999</v>
      </c>
      <c r="O25" s="30">
        <v>908.87</v>
      </c>
      <c r="P25" s="10">
        <v>8.25</v>
      </c>
      <c r="S25" s="1"/>
    </row>
    <row r="26" spans="4:19" x14ac:dyDescent="0.25">
      <c r="D26" s="28">
        <v>45316</v>
      </c>
      <c r="E26" s="30">
        <v>910.33001708984375</v>
      </c>
      <c r="F26" s="12">
        <v>4894.16015625</v>
      </c>
      <c r="G26" s="12">
        <v>38049.12890625</v>
      </c>
      <c r="H26" s="12">
        <v>15510.5</v>
      </c>
      <c r="I26" s="30">
        <v>134.94999694824219</v>
      </c>
      <c r="J26" s="30">
        <v>74.720001220703125</v>
      </c>
      <c r="K26" s="12">
        <v>7529.7001953125</v>
      </c>
      <c r="L26" s="12">
        <v>36236.46875</v>
      </c>
      <c r="M26" s="12">
        <v>16211.9599609375</v>
      </c>
      <c r="N26" s="30">
        <v>36768.69</v>
      </c>
      <c r="O26" s="30">
        <v>908.51</v>
      </c>
      <c r="P26" s="10">
        <v>8.25</v>
      </c>
      <c r="S26" s="1"/>
    </row>
    <row r="27" spans="4:19" x14ac:dyDescent="0.25">
      <c r="D27" s="28">
        <v>45317</v>
      </c>
      <c r="E27" s="30">
        <v>909.3699951171875</v>
      </c>
      <c r="F27" s="12">
        <v>4890.97021484375</v>
      </c>
      <c r="G27" s="12">
        <v>38109.4296875</v>
      </c>
      <c r="H27" s="12">
        <v>15455.3603515625</v>
      </c>
      <c r="I27" s="30">
        <v>135.07000732421875</v>
      </c>
      <c r="J27" s="30">
        <v>75.050003051757813</v>
      </c>
      <c r="K27" s="12">
        <v>7635.10009765625</v>
      </c>
      <c r="L27" s="12">
        <v>35751.0703125</v>
      </c>
      <c r="M27" s="12">
        <v>15952.23046875</v>
      </c>
      <c r="N27" s="30">
        <v>36762.75</v>
      </c>
      <c r="O27" s="30">
        <v>910.97</v>
      </c>
      <c r="P27" s="10">
        <v>8.25</v>
      </c>
      <c r="S27" s="1"/>
    </row>
    <row r="28" spans="4:19" x14ac:dyDescent="0.25">
      <c r="D28" s="28">
        <v>45318</v>
      </c>
      <c r="E28" s="30">
        <v>909.3699951171875</v>
      </c>
      <c r="F28" s="12">
        <v>4890.97021484375</v>
      </c>
      <c r="G28" s="12">
        <v>38109.4296875</v>
      </c>
      <c r="H28" s="12">
        <v>15455.3603515625</v>
      </c>
      <c r="I28" s="30">
        <v>135.07000732421875</v>
      </c>
      <c r="J28" s="30">
        <v>75.050003051757813</v>
      </c>
      <c r="K28" s="12">
        <v>7635.10009765625</v>
      </c>
      <c r="L28" s="12">
        <v>35751.0703125</v>
      </c>
      <c r="M28" s="12">
        <v>15952.23046875</v>
      </c>
      <c r="N28" s="30">
        <v>36756.800000000003</v>
      </c>
      <c r="O28" s="30">
        <v>910.97</v>
      </c>
      <c r="P28" s="10">
        <v>8.25</v>
      </c>
      <c r="S28" s="1"/>
    </row>
    <row r="29" spans="4:19" x14ac:dyDescent="0.25">
      <c r="D29" s="28">
        <v>45319</v>
      </c>
      <c r="E29" s="30">
        <v>909.3699951171875</v>
      </c>
      <c r="F29" s="12">
        <v>4890.97021484375</v>
      </c>
      <c r="G29" s="12">
        <v>38109.4296875</v>
      </c>
      <c r="H29" s="12">
        <v>15455.3603515625</v>
      </c>
      <c r="I29" s="30">
        <v>135.07000732421875</v>
      </c>
      <c r="J29" s="30">
        <v>75.050003051757813</v>
      </c>
      <c r="K29" s="12">
        <v>7635.10009765625</v>
      </c>
      <c r="L29" s="12">
        <v>35751.0703125</v>
      </c>
      <c r="M29" s="12">
        <v>15952.23046875</v>
      </c>
      <c r="N29" s="30">
        <v>36750.86</v>
      </c>
      <c r="O29" s="30">
        <v>910.97</v>
      </c>
      <c r="P29" s="10">
        <v>8.25</v>
      </c>
      <c r="S29" s="1"/>
    </row>
    <row r="30" spans="4:19" x14ac:dyDescent="0.25">
      <c r="D30" s="28">
        <v>45320</v>
      </c>
      <c r="E30" s="30">
        <v>894.8502197265625</v>
      </c>
      <c r="F30" s="12">
        <v>4927.93017578125</v>
      </c>
      <c r="G30" s="12">
        <v>38333.44921875</v>
      </c>
      <c r="H30" s="12">
        <v>15628.0400390625</v>
      </c>
      <c r="I30" s="30">
        <v>136.11000061035156</v>
      </c>
      <c r="J30" s="30">
        <v>75.489997863769531</v>
      </c>
      <c r="K30" s="12">
        <v>7632.7001953125</v>
      </c>
      <c r="L30" s="12">
        <v>36026.94140625</v>
      </c>
      <c r="M30" s="12">
        <v>16077.240234375</v>
      </c>
      <c r="N30" s="30">
        <v>36744.92</v>
      </c>
      <c r="O30" s="30">
        <v>916.16</v>
      </c>
      <c r="P30" s="10">
        <v>8.25</v>
      </c>
      <c r="S30" s="1"/>
    </row>
    <row r="31" spans="4:19" x14ac:dyDescent="0.25">
      <c r="D31" s="28">
        <v>45321</v>
      </c>
      <c r="E31" s="30">
        <v>929.77001953125</v>
      </c>
      <c r="F31" s="12">
        <v>4924.97021484375</v>
      </c>
      <c r="G31" s="12">
        <v>38467.30859375</v>
      </c>
      <c r="H31" s="12">
        <v>15509.900390625</v>
      </c>
      <c r="I31" s="30">
        <v>135.99000549316406</v>
      </c>
      <c r="J31" s="30">
        <v>75.389999389648438</v>
      </c>
      <c r="K31" s="12">
        <v>7666.2998046875</v>
      </c>
      <c r="L31" s="12">
        <v>36065.859375</v>
      </c>
      <c r="M31" s="12">
        <v>15703.4501953125</v>
      </c>
      <c r="N31" s="30">
        <v>36738.980000000003</v>
      </c>
      <c r="O31" s="30">
        <v>927.63</v>
      </c>
      <c r="P31" s="10">
        <v>8.25</v>
      </c>
      <c r="S31" s="1"/>
    </row>
    <row r="32" spans="4:19" x14ac:dyDescent="0.25">
      <c r="D32" s="28">
        <v>45322</v>
      </c>
      <c r="E32" s="30">
        <v>932.1500244140625</v>
      </c>
      <c r="F32" s="12">
        <v>4845.64990234375</v>
      </c>
      <c r="G32" s="12">
        <v>38150.30078125</v>
      </c>
      <c r="H32" s="12">
        <v>15164.009765625</v>
      </c>
      <c r="I32" s="30">
        <v>134.19999694824219</v>
      </c>
      <c r="J32" s="30">
        <v>75.010002136230469</v>
      </c>
      <c r="K32" s="12">
        <v>7630.60009765625</v>
      </c>
      <c r="L32" s="12">
        <v>36286.7109375</v>
      </c>
      <c r="M32" s="12">
        <v>15485.0703125</v>
      </c>
      <c r="N32" s="30">
        <v>36733.040000000001</v>
      </c>
      <c r="O32" s="30">
        <v>932.66</v>
      </c>
      <c r="P32" s="10">
        <v>8.25</v>
      </c>
      <c r="S32" s="1"/>
    </row>
    <row r="33" spans="4:19" x14ac:dyDescent="0.25">
      <c r="D33" s="28">
        <v>45323</v>
      </c>
      <c r="E33" s="30">
        <v>930.280029296875</v>
      </c>
      <c r="F33" s="12">
        <v>4906.18994140625</v>
      </c>
      <c r="G33" s="12">
        <v>38519.83984375</v>
      </c>
      <c r="H33" s="12">
        <v>15361.6396484375</v>
      </c>
      <c r="I33" s="30">
        <v>135.75</v>
      </c>
      <c r="J33" s="30">
        <v>75.75</v>
      </c>
      <c r="K33" s="12">
        <v>7622.2001953125</v>
      </c>
      <c r="L33" s="12">
        <v>36011.4609375</v>
      </c>
      <c r="M33" s="12">
        <v>15566.2099609375</v>
      </c>
      <c r="N33" s="30">
        <v>36727.1</v>
      </c>
      <c r="O33" s="30">
        <v>932.26</v>
      </c>
      <c r="P33" s="10">
        <v>7.25</v>
      </c>
      <c r="S33" s="1"/>
    </row>
    <row r="34" spans="4:19" x14ac:dyDescent="0.25">
      <c r="D34" s="28">
        <v>45324</v>
      </c>
      <c r="E34" s="30">
        <v>931.57000732421875</v>
      </c>
      <c r="F34" s="12">
        <v>4958.60986328125</v>
      </c>
      <c r="G34" s="12">
        <v>38654.421875</v>
      </c>
      <c r="H34" s="12">
        <v>15628.9501953125</v>
      </c>
      <c r="I34" s="30">
        <v>136.44999694824219</v>
      </c>
      <c r="J34" s="30">
        <v>75.150001525878906</v>
      </c>
      <c r="K34" s="12">
        <v>7615.5</v>
      </c>
      <c r="L34" s="12">
        <v>36158.01953125</v>
      </c>
      <c r="M34" s="12">
        <v>15533.5595703125</v>
      </c>
      <c r="N34" s="30">
        <v>36721.160000000003</v>
      </c>
      <c r="O34" s="30">
        <v>936.01</v>
      </c>
      <c r="P34" s="10">
        <v>7.25</v>
      </c>
      <c r="S34" s="1"/>
    </row>
    <row r="35" spans="4:19" x14ac:dyDescent="0.25">
      <c r="D35" s="28">
        <v>45325</v>
      </c>
      <c r="E35" s="30">
        <v>931.57000732421875</v>
      </c>
      <c r="F35" s="12">
        <v>4958.60986328125</v>
      </c>
      <c r="G35" s="12">
        <v>38654.421875</v>
      </c>
      <c r="H35" s="12">
        <v>15628.9501953125</v>
      </c>
      <c r="I35" s="30">
        <v>136.44999694824219</v>
      </c>
      <c r="J35" s="30">
        <v>75.150001525878906</v>
      </c>
      <c r="K35" s="12">
        <v>7615.5</v>
      </c>
      <c r="L35" s="12">
        <v>36158.01953125</v>
      </c>
      <c r="M35" s="12">
        <v>15533.5595703125</v>
      </c>
      <c r="N35" s="30">
        <v>36715.22</v>
      </c>
      <c r="O35" s="30">
        <v>936.01</v>
      </c>
      <c r="P35" s="10">
        <v>7.25</v>
      </c>
      <c r="S35" s="1"/>
    </row>
    <row r="36" spans="4:19" x14ac:dyDescent="0.25">
      <c r="D36" s="28">
        <v>45326</v>
      </c>
      <c r="E36" s="30">
        <v>931.57000732421875</v>
      </c>
      <c r="F36" s="12">
        <v>4958.60986328125</v>
      </c>
      <c r="G36" s="12">
        <v>38654.421875</v>
      </c>
      <c r="H36" s="12">
        <v>15628.9501953125</v>
      </c>
      <c r="I36" s="30">
        <v>136.44999694824219</v>
      </c>
      <c r="J36" s="30">
        <v>75.150001525878906</v>
      </c>
      <c r="K36" s="12">
        <v>7615.5</v>
      </c>
      <c r="L36" s="12">
        <v>36158.01953125</v>
      </c>
      <c r="M36" s="12">
        <v>15533.5595703125</v>
      </c>
      <c r="N36" s="30">
        <v>36709.29</v>
      </c>
      <c r="O36" s="30">
        <v>936.01</v>
      </c>
      <c r="P36" s="10">
        <v>7.25</v>
      </c>
      <c r="S36" s="1"/>
    </row>
    <row r="37" spans="4:19" x14ac:dyDescent="0.25">
      <c r="D37" s="28">
        <v>45327</v>
      </c>
      <c r="E37" s="30">
        <v>927.764404296875</v>
      </c>
      <c r="F37" s="12">
        <v>4942.81005859375</v>
      </c>
      <c r="G37" s="12">
        <v>38380.12109375</v>
      </c>
      <c r="H37" s="12">
        <v>15597.6796875</v>
      </c>
      <c r="I37" s="30">
        <v>135.83999633789063</v>
      </c>
      <c r="J37" s="30">
        <v>74.75</v>
      </c>
      <c r="K37" s="12">
        <v>7612.89990234375</v>
      </c>
      <c r="L37" s="12">
        <v>36354.16015625</v>
      </c>
      <c r="M37" s="12">
        <v>15510.009765625</v>
      </c>
      <c r="N37" s="30">
        <v>36703.35</v>
      </c>
      <c r="O37" s="30">
        <v>943.84</v>
      </c>
      <c r="P37" s="10">
        <v>7.25</v>
      </c>
      <c r="S37" s="1"/>
    </row>
    <row r="38" spans="4:19" x14ac:dyDescent="0.25">
      <c r="D38" s="28">
        <v>45328</v>
      </c>
      <c r="E38" s="30">
        <v>953.739990234375</v>
      </c>
      <c r="F38" s="12">
        <v>4954.22998046875</v>
      </c>
      <c r="G38" s="12">
        <v>38521.359375</v>
      </c>
      <c r="H38" s="12">
        <v>15609</v>
      </c>
      <c r="I38" s="30">
        <v>136.3699951171875</v>
      </c>
      <c r="J38" s="30">
        <v>75.209999084472656</v>
      </c>
      <c r="K38" s="12">
        <v>7681</v>
      </c>
      <c r="L38" s="12">
        <v>36160.66015625</v>
      </c>
      <c r="M38" s="12">
        <v>16136.8701171875</v>
      </c>
      <c r="N38" s="30">
        <v>36697.42</v>
      </c>
      <c r="O38" s="30">
        <v>955.73</v>
      </c>
      <c r="P38" s="10">
        <v>7.25</v>
      </c>
      <c r="S38" s="1"/>
    </row>
    <row r="39" spans="4:19" x14ac:dyDescent="0.25">
      <c r="D39" s="28">
        <v>45329</v>
      </c>
      <c r="E39" s="30">
        <v>947.5999755859375</v>
      </c>
      <c r="F39" s="12">
        <v>4995.06005859375</v>
      </c>
      <c r="G39" s="12">
        <v>38677.359375</v>
      </c>
      <c r="H39" s="12">
        <v>15756.6396484375</v>
      </c>
      <c r="I39" s="30">
        <v>137.14999389648438</v>
      </c>
      <c r="J39" s="30">
        <v>75.169998168945313</v>
      </c>
      <c r="K39" s="12">
        <v>7628.7998046875</v>
      </c>
      <c r="L39" s="12">
        <v>36119.921875</v>
      </c>
      <c r="M39" s="12">
        <v>16081.8896484375</v>
      </c>
      <c r="N39" s="30">
        <v>36691.480000000003</v>
      </c>
      <c r="O39" s="30">
        <v>949.81</v>
      </c>
      <c r="P39" s="10">
        <v>7.25</v>
      </c>
      <c r="S39" s="1"/>
    </row>
    <row r="40" spans="4:19" x14ac:dyDescent="0.25">
      <c r="D40" s="28">
        <v>45330</v>
      </c>
      <c r="E40" s="30">
        <v>953.0999755859375</v>
      </c>
      <c r="F40" s="12">
        <v>4997.91015625</v>
      </c>
      <c r="G40" s="12">
        <v>38726.328125</v>
      </c>
      <c r="H40" s="12">
        <v>15793.7099609375</v>
      </c>
      <c r="I40" s="30">
        <v>137.22999572753906</v>
      </c>
      <c r="J40" s="30">
        <v>75.040000915527344</v>
      </c>
      <c r="K40" s="12">
        <v>7595.5</v>
      </c>
      <c r="L40" s="12">
        <v>36863.28125</v>
      </c>
      <c r="M40" s="12">
        <v>15878.0703125</v>
      </c>
      <c r="N40" s="30">
        <v>36685.550000000003</v>
      </c>
      <c r="O40" s="30">
        <v>947.9</v>
      </c>
      <c r="P40" s="10">
        <v>7.25</v>
      </c>
      <c r="S40" s="1"/>
    </row>
    <row r="41" spans="4:19" x14ac:dyDescent="0.25">
      <c r="D41" s="28">
        <v>45331</v>
      </c>
      <c r="E41" s="30">
        <v>965.41998291015625</v>
      </c>
      <c r="F41" s="12">
        <v>5026.60986328125</v>
      </c>
      <c r="G41" s="12">
        <v>38671.69140625</v>
      </c>
      <c r="H41" s="12">
        <v>15990.66015625</v>
      </c>
      <c r="I41" s="30">
        <v>137.89999389648438</v>
      </c>
      <c r="J41" s="30">
        <v>75.300003051757813</v>
      </c>
      <c r="K41" s="12">
        <v>7572.60009765625</v>
      </c>
      <c r="L41" s="12">
        <v>36897.421875</v>
      </c>
      <c r="M41" s="12">
        <v>15746.580078125</v>
      </c>
      <c r="N41" s="30">
        <v>36679.620000000003</v>
      </c>
      <c r="O41" s="30">
        <v>957.86</v>
      </c>
      <c r="P41" s="10">
        <v>7.25</v>
      </c>
      <c r="S41" s="1"/>
    </row>
    <row r="42" spans="4:19" x14ac:dyDescent="0.25">
      <c r="D42" s="28">
        <v>45332</v>
      </c>
      <c r="E42" s="30">
        <v>965.41998291015625</v>
      </c>
      <c r="F42" s="12">
        <v>5026.60986328125</v>
      </c>
      <c r="G42" s="12">
        <v>38671.69140625</v>
      </c>
      <c r="H42" s="12">
        <v>15990.66015625</v>
      </c>
      <c r="I42" s="30">
        <v>137.89999389648438</v>
      </c>
      <c r="J42" s="30">
        <v>75.300003051757813</v>
      </c>
      <c r="K42" s="12">
        <v>7572.60009765625</v>
      </c>
      <c r="L42" s="12">
        <v>36897.421875</v>
      </c>
      <c r="M42" s="12">
        <v>15746.580078125</v>
      </c>
      <c r="N42" s="30">
        <v>36688.44</v>
      </c>
      <c r="O42" s="30">
        <v>957.86</v>
      </c>
      <c r="P42" s="10">
        <v>7.25</v>
      </c>
      <c r="S42" s="1"/>
    </row>
    <row r="43" spans="4:19" x14ac:dyDescent="0.25">
      <c r="D43" s="28">
        <v>45333</v>
      </c>
      <c r="E43" s="30">
        <v>965.41998291015625</v>
      </c>
      <c r="F43" s="12">
        <v>5026.60986328125</v>
      </c>
      <c r="G43" s="12">
        <v>38671.69140625</v>
      </c>
      <c r="H43" s="12">
        <v>15990.66015625</v>
      </c>
      <c r="I43" s="30">
        <v>137.89999389648438</v>
      </c>
      <c r="J43" s="30">
        <v>75.300003051757813</v>
      </c>
      <c r="K43" s="12">
        <v>7572.60009765625</v>
      </c>
      <c r="L43" s="12">
        <v>36897.421875</v>
      </c>
      <c r="M43" s="12">
        <v>15746.580078125</v>
      </c>
      <c r="N43" s="30">
        <v>36697.269999999997</v>
      </c>
      <c r="O43" s="30">
        <v>957.86</v>
      </c>
      <c r="P43" s="10">
        <v>7.25</v>
      </c>
      <c r="S43" s="1"/>
    </row>
    <row r="44" spans="4:19" x14ac:dyDescent="0.25">
      <c r="D44" s="28">
        <v>45334</v>
      </c>
      <c r="E44" s="30">
        <v>956.61083984375</v>
      </c>
      <c r="F44" s="12">
        <v>5021.83984375</v>
      </c>
      <c r="G44" s="12">
        <v>38797.37890625</v>
      </c>
      <c r="H44" s="12">
        <v>15942.5498046875</v>
      </c>
      <c r="I44" s="30">
        <v>138</v>
      </c>
      <c r="J44" s="30">
        <v>75.430000305175781</v>
      </c>
      <c r="K44" s="12">
        <v>7573.7001953125</v>
      </c>
      <c r="L44" s="12">
        <v>36897.421875</v>
      </c>
      <c r="M44" s="12">
        <v>15746.580078125</v>
      </c>
      <c r="N44" s="30">
        <v>36706.1</v>
      </c>
      <c r="O44" s="30">
        <v>968.73</v>
      </c>
      <c r="P44" s="10">
        <v>7.25</v>
      </c>
      <c r="S44" s="1"/>
    </row>
    <row r="45" spans="4:19" x14ac:dyDescent="0.25">
      <c r="D45" s="28">
        <v>45335</v>
      </c>
      <c r="E45" s="30">
        <v>970.469970703125</v>
      </c>
      <c r="F45" s="12">
        <v>4953.169921875</v>
      </c>
      <c r="G45" s="12">
        <v>38272.75</v>
      </c>
      <c r="H45" s="12">
        <v>15655.599609375</v>
      </c>
      <c r="I45" s="30">
        <v>135.92999267578125</v>
      </c>
      <c r="J45" s="30">
        <v>74.269996643066406</v>
      </c>
      <c r="K45" s="12">
        <v>7512.2998046875</v>
      </c>
      <c r="L45" s="12">
        <v>37963.96875</v>
      </c>
      <c r="M45" s="12">
        <v>15746.580078125</v>
      </c>
      <c r="N45" s="30">
        <v>36714.93</v>
      </c>
      <c r="O45" s="30">
        <v>972.22</v>
      </c>
      <c r="P45" s="10">
        <v>7.25</v>
      </c>
      <c r="S45" s="1"/>
    </row>
    <row r="46" spans="4:19" x14ac:dyDescent="0.25">
      <c r="D46" s="28">
        <v>45336</v>
      </c>
      <c r="E46" s="30">
        <v>969.8800048828125</v>
      </c>
      <c r="F46" s="12">
        <v>5000.6201171875</v>
      </c>
      <c r="G46" s="12">
        <v>38424.26953125</v>
      </c>
      <c r="H46" s="12">
        <v>15859.150390625</v>
      </c>
      <c r="I46" s="30">
        <v>137.3800048828125</v>
      </c>
      <c r="J46" s="30">
        <v>75.099998474121094</v>
      </c>
      <c r="K46" s="12">
        <v>7568.39990234375</v>
      </c>
      <c r="L46" s="12">
        <v>37703.3203125</v>
      </c>
      <c r="M46" s="12">
        <v>15879.3798828125</v>
      </c>
      <c r="N46" s="30">
        <v>36723.760000000002</v>
      </c>
      <c r="O46" s="30">
        <v>971.56</v>
      </c>
      <c r="P46" s="10">
        <v>7.25</v>
      </c>
      <c r="S46" s="1"/>
    </row>
    <row r="47" spans="4:19" x14ac:dyDescent="0.25">
      <c r="D47" s="28">
        <v>45337</v>
      </c>
      <c r="E47" s="30">
        <v>957.33001708984375</v>
      </c>
      <c r="F47" s="12">
        <v>5029.72998046875</v>
      </c>
      <c r="G47" s="12">
        <v>38773.12109375</v>
      </c>
      <c r="H47" s="12">
        <v>15906.169921875</v>
      </c>
      <c r="I47" s="30">
        <v>138.55000305175781</v>
      </c>
      <c r="J47" s="30">
        <v>75.949996948242188</v>
      </c>
      <c r="K47" s="12">
        <v>7597.5</v>
      </c>
      <c r="L47" s="12">
        <v>38157.94140625</v>
      </c>
      <c r="M47" s="12">
        <v>15944.6298828125</v>
      </c>
      <c r="N47" s="30">
        <v>36732.6</v>
      </c>
      <c r="O47" s="30">
        <v>959.86</v>
      </c>
      <c r="P47" s="10">
        <v>7.25</v>
      </c>
      <c r="S47" s="1"/>
    </row>
    <row r="48" spans="4:19" x14ac:dyDescent="0.25">
      <c r="D48" s="28">
        <v>45338</v>
      </c>
      <c r="E48" s="30">
        <v>967.19000244140625</v>
      </c>
      <c r="F48" s="12">
        <v>5005.56982421875</v>
      </c>
      <c r="G48" s="12">
        <v>38627.98828125</v>
      </c>
      <c r="H48" s="12">
        <v>15775.650390625</v>
      </c>
      <c r="I48" s="30">
        <v>138.03999328613281</v>
      </c>
      <c r="J48" s="30">
        <v>76.069999694824219</v>
      </c>
      <c r="K48" s="12">
        <v>7711.7001953125</v>
      </c>
      <c r="L48" s="12">
        <v>38487.23828125</v>
      </c>
      <c r="M48" s="12">
        <v>16339.9599609375</v>
      </c>
      <c r="N48" s="30">
        <v>36741.43</v>
      </c>
      <c r="O48" s="30">
        <v>961.94</v>
      </c>
      <c r="P48" s="10">
        <v>7.25</v>
      </c>
      <c r="S48" s="1"/>
    </row>
    <row r="49" spans="4:19" x14ac:dyDescent="0.25">
      <c r="D49" s="28">
        <v>45339</v>
      </c>
      <c r="E49" s="30">
        <v>967.19000244140625</v>
      </c>
      <c r="F49" s="12">
        <v>5005.56982421875</v>
      </c>
      <c r="G49" s="12">
        <v>38627.98828125</v>
      </c>
      <c r="H49" s="12">
        <v>15775.650390625</v>
      </c>
      <c r="I49" s="30">
        <v>138.03999328613281</v>
      </c>
      <c r="J49" s="30">
        <v>76.069999694824219</v>
      </c>
      <c r="K49" s="12">
        <v>7711.7001953125</v>
      </c>
      <c r="L49" s="12">
        <v>38487.23828125</v>
      </c>
      <c r="M49" s="12">
        <v>16339.9599609375</v>
      </c>
      <c r="N49" s="30">
        <v>36750.269999999997</v>
      </c>
      <c r="O49" s="30">
        <v>961.94</v>
      </c>
      <c r="P49" s="10">
        <v>7.25</v>
      </c>
      <c r="S49" s="1"/>
    </row>
    <row r="50" spans="4:19" x14ac:dyDescent="0.25">
      <c r="D50" s="28">
        <v>45340</v>
      </c>
      <c r="E50" s="30">
        <v>967.19000244140625</v>
      </c>
      <c r="F50" s="12">
        <v>5005.56982421875</v>
      </c>
      <c r="G50" s="12">
        <v>38627.98828125</v>
      </c>
      <c r="H50" s="12">
        <v>15775.650390625</v>
      </c>
      <c r="I50" s="30">
        <v>138.03999328613281</v>
      </c>
      <c r="J50" s="30">
        <v>76.069999694824219</v>
      </c>
      <c r="K50" s="12">
        <v>7711.7001953125</v>
      </c>
      <c r="L50" s="12">
        <v>38487.23828125</v>
      </c>
      <c r="M50" s="12">
        <v>16339.9599609375</v>
      </c>
      <c r="N50" s="30">
        <v>36759.11</v>
      </c>
      <c r="O50" s="30">
        <v>961.94</v>
      </c>
      <c r="P50" s="10">
        <v>7.25</v>
      </c>
      <c r="S50" s="1"/>
    </row>
    <row r="51" spans="4:19" x14ac:dyDescent="0.25">
      <c r="D51" s="28">
        <v>45341</v>
      </c>
      <c r="E51" s="30">
        <v>951.20391845703125</v>
      </c>
      <c r="F51" s="12">
        <v>5005.56982421875</v>
      </c>
      <c r="G51" s="12">
        <v>38627.98828125</v>
      </c>
      <c r="H51" s="12">
        <v>15775.650390625</v>
      </c>
      <c r="I51" s="30">
        <v>138.03999328613281</v>
      </c>
      <c r="J51" s="30">
        <v>76.069999694824219</v>
      </c>
      <c r="K51" s="12">
        <v>7728.5</v>
      </c>
      <c r="L51" s="12">
        <v>38470.37890625</v>
      </c>
      <c r="M51" s="12">
        <v>16155.6103515625</v>
      </c>
      <c r="N51" s="30">
        <v>36767.949999999997</v>
      </c>
      <c r="O51" s="30">
        <v>969.04</v>
      </c>
      <c r="P51" s="10">
        <v>7.25</v>
      </c>
      <c r="S51" s="1"/>
    </row>
    <row r="52" spans="4:19" x14ac:dyDescent="0.25">
      <c r="D52" s="28">
        <v>45342</v>
      </c>
      <c r="E52" s="30">
        <v>964.5</v>
      </c>
      <c r="F52" s="12">
        <v>4975.509765625</v>
      </c>
      <c r="G52" s="12">
        <v>38563.80078125</v>
      </c>
      <c r="H52" s="12">
        <v>15630.7802734375</v>
      </c>
      <c r="I52" s="30">
        <v>137.61000061035156</v>
      </c>
      <c r="J52" s="30">
        <v>76.379997253417969</v>
      </c>
      <c r="K52" s="12">
        <v>7719.2001953125</v>
      </c>
      <c r="L52" s="12">
        <v>38363.609375</v>
      </c>
      <c r="M52" s="12">
        <v>16247.509765625</v>
      </c>
      <c r="N52" s="30">
        <v>36776.800000000003</v>
      </c>
      <c r="O52" s="30">
        <v>966.23</v>
      </c>
      <c r="P52" s="10">
        <v>7.25</v>
      </c>
      <c r="S52" s="1"/>
    </row>
    <row r="53" spans="4:19" x14ac:dyDescent="0.25">
      <c r="D53" s="28">
        <v>45343</v>
      </c>
      <c r="E53" s="30">
        <v>962.0999755859375</v>
      </c>
      <c r="F53" s="12">
        <v>4981.7998046875</v>
      </c>
      <c r="G53" s="12">
        <v>38612.23828125</v>
      </c>
      <c r="H53" s="12">
        <v>15580.8701171875</v>
      </c>
      <c r="I53" s="30">
        <v>137.69999694824219</v>
      </c>
      <c r="J53" s="30">
        <v>76.44000244140625</v>
      </c>
      <c r="K53" s="12">
        <v>7662.5</v>
      </c>
      <c r="L53" s="12">
        <v>38262.16015625</v>
      </c>
      <c r="M53" s="12">
        <v>16503.099609375</v>
      </c>
      <c r="N53" s="30">
        <v>36785.65</v>
      </c>
      <c r="O53" s="30">
        <v>963.68</v>
      </c>
      <c r="P53" s="10">
        <v>7.25</v>
      </c>
      <c r="S53" s="1"/>
    </row>
    <row r="54" spans="4:19" x14ac:dyDescent="0.25">
      <c r="D54" s="28">
        <v>45344</v>
      </c>
      <c r="E54" s="30">
        <v>969.17999267578125</v>
      </c>
      <c r="F54" s="12">
        <v>5087.02978515625</v>
      </c>
      <c r="G54" s="12">
        <v>39069.109375</v>
      </c>
      <c r="H54" s="12">
        <v>16041.6201171875</v>
      </c>
      <c r="I54" s="30">
        <v>140.17999267578125</v>
      </c>
      <c r="J54" s="30">
        <v>77.300003051757813</v>
      </c>
      <c r="K54" s="12">
        <v>7684.5</v>
      </c>
      <c r="L54" s="12">
        <v>39098.6796875</v>
      </c>
      <c r="M54" s="12">
        <v>16742.94921875</v>
      </c>
      <c r="N54" s="30">
        <v>36794.5</v>
      </c>
      <c r="O54" s="30">
        <v>967.52</v>
      </c>
      <c r="P54" s="10">
        <v>7.25</v>
      </c>
      <c r="S54" s="1"/>
    </row>
    <row r="55" spans="4:19" x14ac:dyDescent="0.25">
      <c r="D55" s="28">
        <v>45345</v>
      </c>
      <c r="E55" s="30">
        <v>978.469970703125</v>
      </c>
      <c r="F55" s="12">
        <v>5088.7998046875</v>
      </c>
      <c r="G55" s="12">
        <v>39131.53125</v>
      </c>
      <c r="H55" s="12">
        <v>15996.8203125</v>
      </c>
      <c r="I55" s="30">
        <v>140.33000183105469</v>
      </c>
      <c r="J55" s="30">
        <v>77.400001525878906</v>
      </c>
      <c r="K55" s="12">
        <v>7706.2998046875</v>
      </c>
      <c r="L55" s="12">
        <v>39098.6796875</v>
      </c>
      <c r="M55" s="12">
        <v>16725.859375</v>
      </c>
      <c r="N55" s="30">
        <v>36803.35</v>
      </c>
      <c r="O55" s="30">
        <v>972.77</v>
      </c>
      <c r="P55" s="10">
        <v>7.25</v>
      </c>
      <c r="S55" s="1"/>
    </row>
    <row r="56" spans="4:19" x14ac:dyDescent="0.25">
      <c r="D56" s="28">
        <v>45346</v>
      </c>
      <c r="E56" s="30">
        <v>978.469970703125</v>
      </c>
      <c r="F56" s="12">
        <v>5088.7998046875</v>
      </c>
      <c r="G56" s="12">
        <v>39131.53125</v>
      </c>
      <c r="H56" s="12">
        <v>15996.8203125</v>
      </c>
      <c r="I56" s="30">
        <v>140.33000183105469</v>
      </c>
      <c r="J56" s="30">
        <v>77.400001525878906</v>
      </c>
      <c r="K56" s="12">
        <v>7706.2998046875</v>
      </c>
      <c r="L56" s="12">
        <v>39098.6796875</v>
      </c>
      <c r="M56" s="12">
        <v>16725.859375</v>
      </c>
      <c r="N56" s="30">
        <v>36812.199999999997</v>
      </c>
      <c r="O56" s="30">
        <v>972.77</v>
      </c>
      <c r="P56" s="10">
        <v>7.25</v>
      </c>
      <c r="S56" s="1"/>
    </row>
    <row r="57" spans="4:19" x14ac:dyDescent="0.25">
      <c r="D57" s="28">
        <v>45347</v>
      </c>
      <c r="E57" s="30">
        <v>978.469970703125</v>
      </c>
      <c r="F57" s="12">
        <v>5088.7998046875</v>
      </c>
      <c r="G57" s="12">
        <v>39131.53125</v>
      </c>
      <c r="H57" s="12">
        <v>15996.8203125</v>
      </c>
      <c r="I57" s="30">
        <v>140.33000183105469</v>
      </c>
      <c r="J57" s="30">
        <v>77.400001525878906</v>
      </c>
      <c r="K57" s="12">
        <v>7706.2998046875</v>
      </c>
      <c r="L57" s="12">
        <v>39098.6796875</v>
      </c>
      <c r="M57" s="12">
        <v>16725.859375</v>
      </c>
      <c r="N57" s="30">
        <v>36821.06</v>
      </c>
      <c r="O57" s="30">
        <v>972.77</v>
      </c>
      <c r="P57" s="10">
        <v>7.25</v>
      </c>
      <c r="S57" s="1"/>
    </row>
    <row r="58" spans="4:19" x14ac:dyDescent="0.25">
      <c r="D58" s="28">
        <v>45348</v>
      </c>
      <c r="E58" s="30">
        <v>965.7730712890625</v>
      </c>
      <c r="F58" s="12">
        <v>5069.52978515625</v>
      </c>
      <c r="G58" s="12">
        <v>39069.23046875</v>
      </c>
      <c r="H58" s="12">
        <v>15976.25</v>
      </c>
      <c r="I58" s="30">
        <v>139.78999328613281</v>
      </c>
      <c r="J58" s="30">
        <v>77.290000915527344</v>
      </c>
      <c r="K58" s="12">
        <v>7684.2998046875</v>
      </c>
      <c r="L58" s="12">
        <v>39233.7109375</v>
      </c>
      <c r="M58" s="12">
        <v>16634.740234375</v>
      </c>
      <c r="N58" s="30">
        <v>36829.919999999998</v>
      </c>
      <c r="O58" s="30">
        <v>983.76</v>
      </c>
      <c r="P58" s="10">
        <v>7.25</v>
      </c>
      <c r="S58" s="1"/>
    </row>
    <row r="59" spans="4:19" x14ac:dyDescent="0.25">
      <c r="D59" s="28">
        <v>45349</v>
      </c>
      <c r="E59" s="30">
        <v>986.54998779296875</v>
      </c>
      <c r="F59" s="12">
        <v>5078.18017578125</v>
      </c>
      <c r="G59" s="12">
        <v>38972.41015625</v>
      </c>
      <c r="H59" s="12">
        <v>16035.2998046875</v>
      </c>
      <c r="I59" s="30">
        <v>140.14999389648438</v>
      </c>
      <c r="J59" s="30">
        <v>77.5</v>
      </c>
      <c r="K59" s="12">
        <v>7683</v>
      </c>
      <c r="L59" s="12">
        <v>39239.51953125</v>
      </c>
      <c r="M59" s="12">
        <v>16790.80078125</v>
      </c>
      <c r="N59" s="30">
        <v>36838.78</v>
      </c>
      <c r="O59" s="30">
        <v>986.85</v>
      </c>
      <c r="P59" s="10">
        <v>7.25</v>
      </c>
      <c r="S59" s="1"/>
    </row>
    <row r="60" spans="4:19" x14ac:dyDescent="0.25">
      <c r="D60" s="28">
        <v>45350</v>
      </c>
      <c r="E60" s="30">
        <v>980.97998046875</v>
      </c>
      <c r="F60" s="12">
        <v>5069.759765625</v>
      </c>
      <c r="G60" s="12">
        <v>38949.01953125</v>
      </c>
      <c r="H60" s="12">
        <v>15947.740234375</v>
      </c>
      <c r="I60" s="30">
        <v>139.71000671386719</v>
      </c>
      <c r="J60" s="30">
        <v>77.050003051757813</v>
      </c>
      <c r="K60" s="12">
        <v>7625</v>
      </c>
      <c r="L60" s="12">
        <v>39208.03125</v>
      </c>
      <c r="M60" s="12">
        <v>16536.849609375</v>
      </c>
      <c r="N60" s="30">
        <v>36847.64</v>
      </c>
      <c r="O60" s="30">
        <v>984.53</v>
      </c>
      <c r="P60" s="10">
        <v>7.25</v>
      </c>
      <c r="S60" s="1"/>
    </row>
    <row r="61" spans="4:19" x14ac:dyDescent="0.25">
      <c r="D61" s="28">
        <v>45351</v>
      </c>
      <c r="E61" s="30">
        <v>978.6400146484375</v>
      </c>
      <c r="F61" s="12">
        <v>5096.27001953125</v>
      </c>
      <c r="G61" s="12">
        <v>38996.390625</v>
      </c>
      <c r="H61" s="12">
        <v>16091.919921875</v>
      </c>
      <c r="I61" s="30">
        <v>140.27999877929688</v>
      </c>
      <c r="J61" s="30">
        <v>77.25</v>
      </c>
      <c r="K61" s="12">
        <v>7630</v>
      </c>
      <c r="L61" s="12">
        <v>39166.19140625</v>
      </c>
      <c r="M61" s="12">
        <v>16511.439453125</v>
      </c>
      <c r="N61" s="30">
        <v>36856.5</v>
      </c>
      <c r="O61" s="30">
        <v>980.19</v>
      </c>
      <c r="P61" s="10">
        <v>7.25</v>
      </c>
      <c r="S61" s="1"/>
    </row>
    <row r="62" spans="4:19" x14ac:dyDescent="0.25">
      <c r="D62" s="28">
        <v>45352</v>
      </c>
      <c r="E62" s="30">
        <v>966.280029296875</v>
      </c>
      <c r="F62" s="12">
        <v>5137.080078125</v>
      </c>
      <c r="G62" s="12">
        <v>39087.37890625</v>
      </c>
      <c r="H62" s="12">
        <v>16274.9404296875</v>
      </c>
      <c r="I62" s="30">
        <v>141.53999328613281</v>
      </c>
      <c r="J62" s="30">
        <v>78</v>
      </c>
      <c r="K62" s="12">
        <v>7682.5</v>
      </c>
      <c r="L62" s="12">
        <v>39910.8203125</v>
      </c>
      <c r="M62" s="12">
        <v>16589.439453125</v>
      </c>
      <c r="N62" s="30">
        <v>36865.370000000003</v>
      </c>
      <c r="O62" s="30">
        <v>969.91</v>
      </c>
      <c r="P62" s="10">
        <v>7.25</v>
      </c>
      <c r="S62" s="1"/>
    </row>
    <row r="63" spans="4:19" x14ac:dyDescent="0.25">
      <c r="D63" s="28">
        <v>45353</v>
      </c>
      <c r="E63" s="30">
        <v>966.280029296875</v>
      </c>
      <c r="F63" s="12">
        <v>5137.080078125</v>
      </c>
      <c r="G63" s="12">
        <v>39087.37890625</v>
      </c>
      <c r="H63" s="12">
        <v>16274.9404296875</v>
      </c>
      <c r="I63" s="30">
        <v>141.53999328613281</v>
      </c>
      <c r="J63" s="30">
        <v>78</v>
      </c>
      <c r="K63" s="12">
        <v>7682.5</v>
      </c>
      <c r="L63" s="12">
        <v>39910.8203125</v>
      </c>
      <c r="M63" s="12">
        <v>16589.439453125</v>
      </c>
      <c r="N63" s="30">
        <v>36874.239999999998</v>
      </c>
      <c r="O63" s="30">
        <v>969.91</v>
      </c>
      <c r="P63" s="10">
        <v>7.25</v>
      </c>
      <c r="S63" s="1"/>
    </row>
    <row r="64" spans="4:19" x14ac:dyDescent="0.25">
      <c r="D64" s="28">
        <v>45354</v>
      </c>
      <c r="E64" s="30">
        <v>966.280029296875</v>
      </c>
      <c r="F64" s="12">
        <v>5137.080078125</v>
      </c>
      <c r="G64" s="12">
        <v>39087.37890625</v>
      </c>
      <c r="H64" s="12">
        <v>16274.9404296875</v>
      </c>
      <c r="I64" s="30">
        <v>141.53999328613281</v>
      </c>
      <c r="J64" s="30">
        <v>78</v>
      </c>
      <c r="K64" s="12">
        <v>7682.5</v>
      </c>
      <c r="L64" s="12">
        <v>39910.8203125</v>
      </c>
      <c r="M64" s="12">
        <v>16589.439453125</v>
      </c>
      <c r="N64" s="30">
        <v>36883.11</v>
      </c>
      <c r="O64" s="30">
        <v>969.91</v>
      </c>
      <c r="P64" s="10">
        <v>7.25</v>
      </c>
      <c r="S64" s="1"/>
    </row>
    <row r="65" spans="4:19" x14ac:dyDescent="0.25">
      <c r="D65" s="28">
        <v>45355</v>
      </c>
      <c r="E65" s="30">
        <v>945.72760009765625</v>
      </c>
      <c r="F65" s="12">
        <v>5130.9501953125</v>
      </c>
      <c r="G65" s="12">
        <v>38989.828125</v>
      </c>
      <c r="H65" s="12">
        <v>16207.509765625</v>
      </c>
      <c r="I65" s="30">
        <v>141.3699951171875</v>
      </c>
      <c r="J65" s="30">
        <v>77.800003051757813</v>
      </c>
      <c r="K65" s="12">
        <v>7640.2998046875</v>
      </c>
      <c r="L65" s="12">
        <v>40109.23046875</v>
      </c>
      <c r="M65" s="12">
        <v>16595.970703125</v>
      </c>
      <c r="N65" s="30">
        <v>36891.980000000003</v>
      </c>
      <c r="O65" s="30">
        <v>966.41</v>
      </c>
      <c r="P65" s="10">
        <v>7.25</v>
      </c>
      <c r="S65" s="1"/>
    </row>
    <row r="66" spans="4:19" x14ac:dyDescent="0.25">
      <c r="D66" s="28">
        <v>45356</v>
      </c>
      <c r="E66" s="30">
        <v>973.8800048828125</v>
      </c>
      <c r="F66" s="12">
        <v>5078.64990234375</v>
      </c>
      <c r="G66" s="12">
        <v>38585.19140625</v>
      </c>
      <c r="H66" s="12">
        <v>15939.58984375</v>
      </c>
      <c r="I66" s="30">
        <v>140.27000427246094</v>
      </c>
      <c r="J66" s="30">
        <v>77.660003662109375</v>
      </c>
      <c r="K66" s="12">
        <v>7646.2001953125</v>
      </c>
      <c r="L66" s="12">
        <v>40097.62890625</v>
      </c>
      <c r="M66" s="12">
        <v>16162.6396484375</v>
      </c>
      <c r="N66" s="30">
        <v>36900.86</v>
      </c>
      <c r="O66" s="30">
        <v>971.92</v>
      </c>
      <c r="P66" s="10">
        <v>7.25</v>
      </c>
      <c r="S66" s="1"/>
    </row>
    <row r="67" spans="4:19" x14ac:dyDescent="0.25">
      <c r="D67" s="28">
        <v>45357</v>
      </c>
      <c r="E67" s="30">
        <v>976.989990234375</v>
      </c>
      <c r="F67" s="12">
        <v>5104.759765625</v>
      </c>
      <c r="G67" s="12">
        <v>38661.05078125</v>
      </c>
      <c r="H67" s="12">
        <v>16031.5400390625</v>
      </c>
      <c r="I67" s="30">
        <v>141.32000732421875</v>
      </c>
      <c r="J67" s="30">
        <v>78.580001831054688</v>
      </c>
      <c r="K67" s="12">
        <v>7679.2998046875</v>
      </c>
      <c r="L67" s="12">
        <v>40090.78125</v>
      </c>
      <c r="M67" s="12">
        <v>16438.08984375</v>
      </c>
      <c r="N67" s="30">
        <v>36909.730000000003</v>
      </c>
      <c r="O67" s="30">
        <v>976.36</v>
      </c>
      <c r="P67" s="10">
        <v>7.25</v>
      </c>
      <c r="S67" s="1"/>
    </row>
    <row r="68" spans="4:19" x14ac:dyDescent="0.25">
      <c r="D68" s="28">
        <v>45358</v>
      </c>
      <c r="E68" s="30">
        <v>985.1500244140625</v>
      </c>
      <c r="F68" s="12">
        <v>5157.35986328125</v>
      </c>
      <c r="G68" s="12">
        <v>38791.3515625</v>
      </c>
      <c r="H68" s="12">
        <v>16273.3798828125</v>
      </c>
      <c r="I68" s="30">
        <v>142.83999633789063</v>
      </c>
      <c r="J68" s="30">
        <v>79.510002136230469</v>
      </c>
      <c r="K68" s="12">
        <v>7692.5</v>
      </c>
      <c r="L68" s="12">
        <v>39598.7109375</v>
      </c>
      <c r="M68" s="12">
        <v>16229.7802734375</v>
      </c>
      <c r="N68" s="30">
        <v>36918.61</v>
      </c>
      <c r="O68" s="30">
        <v>981.26</v>
      </c>
      <c r="P68" s="10">
        <v>7.25</v>
      </c>
      <c r="S68" s="1"/>
    </row>
    <row r="69" spans="4:19" x14ac:dyDescent="0.25">
      <c r="D69" s="28">
        <v>45359</v>
      </c>
      <c r="E69" s="30">
        <v>980.53997802734375</v>
      </c>
      <c r="F69" s="12">
        <v>5123.68994140625</v>
      </c>
      <c r="G69" s="12">
        <v>38722.69140625</v>
      </c>
      <c r="H69" s="12">
        <v>16085.1103515625</v>
      </c>
      <c r="I69" s="30">
        <v>142.08000183105469</v>
      </c>
      <c r="J69" s="30">
        <v>79.25</v>
      </c>
      <c r="K69" s="12">
        <v>7659.7001953125</v>
      </c>
      <c r="L69" s="12">
        <v>39688.94140625</v>
      </c>
      <c r="M69" s="12">
        <v>16353.3896484375</v>
      </c>
      <c r="N69" s="30">
        <v>36927.49</v>
      </c>
      <c r="O69" s="30">
        <v>983.8</v>
      </c>
      <c r="P69" s="10">
        <v>7.25</v>
      </c>
      <c r="S69" s="1"/>
    </row>
    <row r="70" spans="4:19" x14ac:dyDescent="0.25">
      <c r="D70" s="28">
        <v>45360</v>
      </c>
      <c r="E70" s="30">
        <v>980.53997802734375</v>
      </c>
      <c r="F70" s="12">
        <v>5123.68994140625</v>
      </c>
      <c r="G70" s="12">
        <v>38722.69140625</v>
      </c>
      <c r="H70" s="12">
        <v>16085.1103515625</v>
      </c>
      <c r="I70" s="30">
        <v>142.08000183105469</v>
      </c>
      <c r="J70" s="30">
        <v>79.25</v>
      </c>
      <c r="K70" s="12">
        <v>7659.7001953125</v>
      </c>
      <c r="L70" s="12">
        <v>39688.94140625</v>
      </c>
      <c r="M70" s="12">
        <v>16353.3896484375</v>
      </c>
      <c r="N70" s="30">
        <v>36936.379999999997</v>
      </c>
      <c r="O70" s="30">
        <v>983.8</v>
      </c>
      <c r="P70" s="10">
        <v>7.25</v>
      </c>
      <c r="S70" s="1"/>
    </row>
    <row r="71" spans="4:19" x14ac:dyDescent="0.25">
      <c r="D71" s="28">
        <v>45361</v>
      </c>
      <c r="E71" s="30">
        <v>980.53997802734375</v>
      </c>
      <c r="F71" s="12">
        <v>5123.68994140625</v>
      </c>
      <c r="G71" s="12">
        <v>38722.69140625</v>
      </c>
      <c r="H71" s="12">
        <v>16085.1103515625</v>
      </c>
      <c r="I71" s="30">
        <v>142.08000183105469</v>
      </c>
      <c r="J71" s="30">
        <v>79.25</v>
      </c>
      <c r="K71" s="12">
        <v>7659.7001953125</v>
      </c>
      <c r="L71" s="12">
        <v>39688.94140625</v>
      </c>
      <c r="M71" s="12">
        <v>16353.3896484375</v>
      </c>
      <c r="N71" s="30">
        <v>36943.51</v>
      </c>
      <c r="O71" s="30">
        <v>983.8</v>
      </c>
      <c r="P71" s="10">
        <v>7.25</v>
      </c>
      <c r="S71" s="1"/>
    </row>
    <row r="72" spans="4:19" x14ac:dyDescent="0.25">
      <c r="D72" s="28">
        <v>45362</v>
      </c>
      <c r="E72" s="30">
        <v>953.61566162109375</v>
      </c>
      <c r="F72" s="12">
        <v>5117.93994140625</v>
      </c>
      <c r="G72" s="12">
        <v>38769.66015625</v>
      </c>
      <c r="H72" s="12">
        <v>16019.26953125</v>
      </c>
      <c r="I72" s="30">
        <v>141.66999816894531</v>
      </c>
      <c r="J72" s="30">
        <v>78.800003051757813</v>
      </c>
      <c r="K72" s="12">
        <v>7669.2001953125</v>
      </c>
      <c r="L72" s="12">
        <v>38820.48828125</v>
      </c>
      <c r="M72" s="12">
        <v>16587.5703125</v>
      </c>
      <c r="N72" s="30">
        <v>36950.639999999999</v>
      </c>
      <c r="O72" s="30">
        <v>964.95</v>
      </c>
      <c r="P72" s="10">
        <v>7.25</v>
      </c>
      <c r="S72" s="1"/>
    </row>
    <row r="73" spans="4:19" x14ac:dyDescent="0.25">
      <c r="D73" s="28">
        <v>45363</v>
      </c>
      <c r="E73" s="30">
        <v>965.8800048828125</v>
      </c>
      <c r="F73" s="12">
        <v>5175.27001953125</v>
      </c>
      <c r="G73" s="12">
        <v>39005.48828125</v>
      </c>
      <c r="H73" s="12">
        <v>16265.6396484375</v>
      </c>
      <c r="I73" s="30">
        <v>143.16000366210938</v>
      </c>
      <c r="J73" s="30">
        <v>79.430000305175781</v>
      </c>
      <c r="K73" s="12">
        <v>7747.7998046875</v>
      </c>
      <c r="L73" s="12">
        <v>38797.51171875</v>
      </c>
      <c r="M73" s="12">
        <v>17093.5</v>
      </c>
      <c r="N73" s="30">
        <v>36957.769999999997</v>
      </c>
      <c r="O73" s="30">
        <v>966.29</v>
      </c>
      <c r="P73" s="10">
        <v>7.25</v>
      </c>
      <c r="S73" s="1"/>
    </row>
    <row r="74" spans="4:19" x14ac:dyDescent="0.25">
      <c r="D74" s="28">
        <v>45364</v>
      </c>
      <c r="E74" s="30">
        <v>950.760009765625</v>
      </c>
      <c r="F74" s="12">
        <v>5165.31005859375</v>
      </c>
      <c r="G74" s="12">
        <v>39043.3203125</v>
      </c>
      <c r="H74" s="12">
        <v>16177.76953125</v>
      </c>
      <c r="I74" s="30">
        <v>143.02999877929688</v>
      </c>
      <c r="J74" s="30">
        <v>79.44000244140625</v>
      </c>
      <c r="K74" s="12">
        <v>7772.2001953125</v>
      </c>
      <c r="L74" s="12">
        <v>38695.96875</v>
      </c>
      <c r="M74" s="12">
        <v>17082.109375</v>
      </c>
      <c r="N74" s="30">
        <v>36964.9</v>
      </c>
      <c r="O74" s="30">
        <v>965.18</v>
      </c>
      <c r="P74" s="10">
        <v>7.25</v>
      </c>
      <c r="S74" s="1"/>
    </row>
    <row r="75" spans="4:19" x14ac:dyDescent="0.25">
      <c r="D75" s="28">
        <v>45365</v>
      </c>
      <c r="E75" s="30">
        <v>945.3699951171875</v>
      </c>
      <c r="F75" s="12">
        <v>5150.47998046875</v>
      </c>
      <c r="G75" s="12">
        <v>38905.66015625</v>
      </c>
      <c r="H75" s="12">
        <v>16128.5302734375</v>
      </c>
      <c r="I75" s="30">
        <v>142.39999389648438</v>
      </c>
      <c r="J75" s="30">
        <v>78.860000610351563</v>
      </c>
      <c r="K75" s="12">
        <v>7743.2001953125</v>
      </c>
      <c r="L75" s="12">
        <v>38807.37890625</v>
      </c>
      <c r="M75" s="12">
        <v>16961.66015625</v>
      </c>
      <c r="N75" s="30">
        <v>36972.04</v>
      </c>
      <c r="O75" s="30">
        <v>948.88</v>
      </c>
      <c r="P75" s="10">
        <v>7.25</v>
      </c>
      <c r="S75" s="1"/>
    </row>
    <row r="76" spans="4:19" x14ac:dyDescent="0.25">
      <c r="D76" s="28">
        <v>45366</v>
      </c>
      <c r="E76" s="30">
        <v>941.32000732421875</v>
      </c>
      <c r="F76" s="12">
        <v>5117.08984375</v>
      </c>
      <c r="G76" s="12">
        <v>38714.76953125</v>
      </c>
      <c r="H76" s="12">
        <v>15973.169921875</v>
      </c>
      <c r="I76" s="30">
        <v>141.74000549316406</v>
      </c>
      <c r="J76" s="30">
        <v>78.889999389648438</v>
      </c>
      <c r="K76" s="12">
        <v>7727.39990234375</v>
      </c>
      <c r="L76" s="12">
        <v>38707.640625</v>
      </c>
      <c r="M76" s="12">
        <v>16720.890625</v>
      </c>
      <c r="N76" s="30">
        <v>36979.17</v>
      </c>
      <c r="O76" s="30">
        <v>945.56</v>
      </c>
      <c r="P76" s="10">
        <v>7.25</v>
      </c>
      <c r="S76" s="1"/>
    </row>
    <row r="77" spans="4:19" x14ac:dyDescent="0.25">
      <c r="D77" s="28">
        <v>45367</v>
      </c>
      <c r="E77" s="30">
        <v>941.32000732421875</v>
      </c>
      <c r="F77" s="12">
        <v>5117.08984375</v>
      </c>
      <c r="G77" s="12">
        <v>38714.76953125</v>
      </c>
      <c r="H77" s="12">
        <v>15973.169921875</v>
      </c>
      <c r="I77" s="30">
        <v>141.74000549316406</v>
      </c>
      <c r="J77" s="30">
        <v>78.889999389648438</v>
      </c>
      <c r="K77" s="12">
        <v>7727.39990234375</v>
      </c>
      <c r="L77" s="12">
        <v>38707.640625</v>
      </c>
      <c r="M77" s="12">
        <v>16720.890625</v>
      </c>
      <c r="N77" s="30">
        <v>36986.31</v>
      </c>
      <c r="O77" s="30">
        <v>945.56</v>
      </c>
      <c r="P77" s="10">
        <v>7.25</v>
      </c>
      <c r="S77" s="1"/>
    </row>
    <row r="78" spans="4:19" x14ac:dyDescent="0.25">
      <c r="D78" s="28">
        <v>45368</v>
      </c>
      <c r="E78" s="30">
        <v>941.32000732421875</v>
      </c>
      <c r="F78" s="12">
        <v>5117.08984375</v>
      </c>
      <c r="G78" s="12">
        <v>38714.76953125</v>
      </c>
      <c r="H78" s="12">
        <v>15973.169921875</v>
      </c>
      <c r="I78" s="30">
        <v>141.74000549316406</v>
      </c>
      <c r="J78" s="30">
        <v>78.889999389648438</v>
      </c>
      <c r="K78" s="12">
        <v>7727.39990234375</v>
      </c>
      <c r="L78" s="12">
        <v>38707.640625</v>
      </c>
      <c r="M78" s="12">
        <v>16720.890625</v>
      </c>
      <c r="N78" s="30">
        <v>36993.440000000002</v>
      </c>
      <c r="O78" s="30">
        <v>945.56</v>
      </c>
      <c r="P78" s="10">
        <v>7.25</v>
      </c>
      <c r="S78" s="1"/>
    </row>
    <row r="79" spans="4:19" x14ac:dyDescent="0.25">
      <c r="D79" s="28">
        <v>45369</v>
      </c>
      <c r="E79" s="30">
        <v>925.23187255859375</v>
      </c>
      <c r="F79" s="12">
        <v>5149.419921875</v>
      </c>
      <c r="G79" s="12">
        <v>38790.4296875</v>
      </c>
      <c r="H79" s="12">
        <v>16103.4501953125</v>
      </c>
      <c r="I79" s="30">
        <v>142.16999816894531</v>
      </c>
      <c r="J79" s="30">
        <v>78.870002746582031</v>
      </c>
      <c r="K79" s="12">
        <v>7722.60009765625</v>
      </c>
      <c r="L79" s="12">
        <v>39740.44140625</v>
      </c>
      <c r="M79" s="12">
        <v>16737.119140625</v>
      </c>
      <c r="N79" s="30">
        <v>37000.58</v>
      </c>
      <c r="O79" s="30">
        <v>941.42</v>
      </c>
      <c r="P79" s="10">
        <v>7.25</v>
      </c>
      <c r="S79" s="1"/>
    </row>
    <row r="80" spans="4:19" x14ac:dyDescent="0.25">
      <c r="D80" s="28">
        <v>45370</v>
      </c>
      <c r="E80" s="30">
        <v>946.40997314453125</v>
      </c>
      <c r="F80" s="12">
        <v>5178.509765625</v>
      </c>
      <c r="G80" s="12">
        <v>39110.76171875</v>
      </c>
      <c r="H80" s="12">
        <v>16166.7900390625</v>
      </c>
      <c r="I80" s="30">
        <v>142.8699951171875</v>
      </c>
      <c r="J80" s="30">
        <v>79.010002136230469</v>
      </c>
      <c r="K80" s="12">
        <v>7738.2998046875</v>
      </c>
      <c r="L80" s="12">
        <v>40003.6015625</v>
      </c>
      <c r="M80" s="12">
        <v>16529.48046875</v>
      </c>
      <c r="N80" s="30">
        <v>37007.72</v>
      </c>
      <c r="O80" s="30">
        <v>945.11</v>
      </c>
      <c r="P80" s="10">
        <v>7.25</v>
      </c>
      <c r="S80" s="1"/>
    </row>
    <row r="81" spans="4:19" x14ac:dyDescent="0.25">
      <c r="D81" s="28">
        <v>45371</v>
      </c>
      <c r="E81" s="30">
        <v>965.8699951171875</v>
      </c>
      <c r="F81" s="12">
        <v>5224.6201171875</v>
      </c>
      <c r="G81" s="12">
        <v>39512.12890625</v>
      </c>
      <c r="H81" s="12">
        <v>16369.41015625</v>
      </c>
      <c r="I81" s="30">
        <v>144.21000671386719</v>
      </c>
      <c r="J81" s="30">
        <v>79.849998474121094</v>
      </c>
      <c r="K81" s="12">
        <v>7737.39990234375</v>
      </c>
      <c r="L81" s="12">
        <v>40003.6015625</v>
      </c>
      <c r="M81" s="12">
        <v>16543.0703125</v>
      </c>
      <c r="N81" s="30">
        <v>37014.870000000003</v>
      </c>
      <c r="O81" s="30">
        <v>962.06</v>
      </c>
      <c r="P81" s="10">
        <v>7.25</v>
      </c>
      <c r="S81" s="1"/>
    </row>
    <row r="82" spans="4:19" x14ac:dyDescent="0.25">
      <c r="D82" s="28">
        <v>45372</v>
      </c>
      <c r="E82" s="30">
        <v>962.510009765625</v>
      </c>
      <c r="F82" s="12">
        <v>5241.52978515625</v>
      </c>
      <c r="G82" s="12">
        <v>39781.37109375</v>
      </c>
      <c r="H82" s="12">
        <v>16401.83984375</v>
      </c>
      <c r="I82" s="30">
        <v>144.66999816894531</v>
      </c>
      <c r="J82" s="30">
        <v>79.80999755859375</v>
      </c>
      <c r="K82" s="12">
        <v>7882.60009765625</v>
      </c>
      <c r="L82" s="12">
        <v>40815.66015625</v>
      </c>
      <c r="M82" s="12">
        <v>16863.099609375</v>
      </c>
      <c r="N82" s="30">
        <v>37022.01</v>
      </c>
      <c r="O82" s="30">
        <v>975.91</v>
      </c>
      <c r="P82" s="10">
        <v>7.25</v>
      </c>
      <c r="S82" s="1"/>
    </row>
    <row r="83" spans="4:19" x14ac:dyDescent="0.25">
      <c r="D83" s="28">
        <v>45373</v>
      </c>
      <c r="E83" s="30">
        <v>968.6300048828125</v>
      </c>
      <c r="F83" s="12">
        <v>5234.18017578125</v>
      </c>
      <c r="G83" s="12">
        <v>39475.8984375</v>
      </c>
      <c r="H83" s="12">
        <v>16428.8203125</v>
      </c>
      <c r="I83" s="30">
        <v>144.39999389648438</v>
      </c>
      <c r="J83" s="30">
        <v>79.639999389648438</v>
      </c>
      <c r="K83" s="12">
        <v>7930.89990234375</v>
      </c>
      <c r="L83" s="12">
        <v>40888.4296875</v>
      </c>
      <c r="M83" s="12">
        <v>16499.470703125</v>
      </c>
      <c r="N83" s="30">
        <v>37029.160000000003</v>
      </c>
      <c r="O83" s="30">
        <v>971.54</v>
      </c>
      <c r="P83" s="10">
        <v>7.25</v>
      </c>
      <c r="S83" s="1"/>
    </row>
    <row r="84" spans="4:19" x14ac:dyDescent="0.25">
      <c r="D84" s="28">
        <v>45374</v>
      </c>
      <c r="E84" s="30">
        <v>968.6300048828125</v>
      </c>
      <c r="F84" s="12">
        <v>5234.18017578125</v>
      </c>
      <c r="G84" s="12">
        <v>39475.8984375</v>
      </c>
      <c r="H84" s="12">
        <v>16428.8203125</v>
      </c>
      <c r="I84" s="30">
        <v>144.39999389648438</v>
      </c>
      <c r="J84" s="30">
        <v>79.639999389648438</v>
      </c>
      <c r="K84" s="12">
        <v>7930.89990234375</v>
      </c>
      <c r="L84" s="12">
        <v>40888.4296875</v>
      </c>
      <c r="M84" s="12">
        <v>16499.470703125</v>
      </c>
      <c r="N84" s="30">
        <v>37036.300000000003</v>
      </c>
      <c r="O84" s="30">
        <v>971.54</v>
      </c>
      <c r="P84" s="10">
        <v>7.25</v>
      </c>
      <c r="S84" s="1"/>
    </row>
    <row r="85" spans="4:19" x14ac:dyDescent="0.25">
      <c r="D85" s="28">
        <v>45375</v>
      </c>
      <c r="E85" s="30">
        <v>968.6300048828125</v>
      </c>
      <c r="F85" s="12">
        <v>5234.18017578125</v>
      </c>
      <c r="G85" s="12">
        <v>39475.8984375</v>
      </c>
      <c r="H85" s="12">
        <v>16428.8203125</v>
      </c>
      <c r="I85" s="30">
        <v>144.39999389648438</v>
      </c>
      <c r="J85" s="30">
        <v>79.639999389648438</v>
      </c>
      <c r="K85" s="12">
        <v>7930.89990234375</v>
      </c>
      <c r="L85" s="12">
        <v>40888.4296875</v>
      </c>
      <c r="M85" s="12">
        <v>16499.470703125</v>
      </c>
      <c r="N85" s="30">
        <v>37043.449999999997</v>
      </c>
      <c r="O85" s="30">
        <v>971.54</v>
      </c>
      <c r="P85" s="10">
        <v>7.25</v>
      </c>
      <c r="S85" s="1"/>
    </row>
    <row r="86" spans="4:19" x14ac:dyDescent="0.25">
      <c r="D86" s="28">
        <v>45376</v>
      </c>
      <c r="E86" s="30">
        <v>964.06646728515625</v>
      </c>
      <c r="F86" s="12">
        <v>5218.18994140625</v>
      </c>
      <c r="G86" s="12">
        <v>39313.640625</v>
      </c>
      <c r="H86" s="12">
        <v>16384.470703125</v>
      </c>
      <c r="I86" s="30">
        <v>144</v>
      </c>
      <c r="J86" s="30">
        <v>79.470001220703125</v>
      </c>
      <c r="K86" s="12">
        <v>7917.60009765625</v>
      </c>
      <c r="L86" s="12">
        <v>40414.12109375</v>
      </c>
      <c r="M86" s="12">
        <v>16473.640625</v>
      </c>
      <c r="N86" s="30">
        <v>37050.6</v>
      </c>
      <c r="O86" s="30">
        <v>980.24</v>
      </c>
      <c r="P86" s="10">
        <v>7.25</v>
      </c>
      <c r="S86" s="1"/>
    </row>
    <row r="87" spans="4:19" x14ac:dyDescent="0.25">
      <c r="D87" s="28">
        <v>45377</v>
      </c>
      <c r="E87" s="30">
        <v>977.8800048828125</v>
      </c>
      <c r="F87" s="12">
        <v>5203.580078125</v>
      </c>
      <c r="G87" s="12">
        <v>39282.328125</v>
      </c>
      <c r="H87" s="12">
        <v>16315.7001953125</v>
      </c>
      <c r="I87" s="30">
        <v>143.80999755859375</v>
      </c>
      <c r="J87" s="30">
        <v>79.55999755859375</v>
      </c>
      <c r="K87" s="12">
        <v>7931</v>
      </c>
      <c r="L87" s="12">
        <v>40398.03125</v>
      </c>
      <c r="M87" s="12">
        <v>16618.3203125</v>
      </c>
      <c r="N87" s="30">
        <v>37057.75</v>
      </c>
      <c r="O87" s="30">
        <v>977.76</v>
      </c>
      <c r="P87" s="10">
        <v>7.25</v>
      </c>
      <c r="S87" s="1"/>
    </row>
    <row r="88" spans="4:19" x14ac:dyDescent="0.25">
      <c r="D88" s="28">
        <v>45378</v>
      </c>
      <c r="E88" s="30">
        <v>981.530029296875</v>
      </c>
      <c r="F88" s="12">
        <v>5248.490234375</v>
      </c>
      <c r="G88" s="12">
        <v>39760.078125</v>
      </c>
      <c r="H88" s="12">
        <v>16399.51953125</v>
      </c>
      <c r="I88" s="30">
        <v>144.91000366210938</v>
      </c>
      <c r="J88" s="30">
        <v>80.040000915527344</v>
      </c>
      <c r="K88" s="12">
        <v>7932</v>
      </c>
      <c r="L88" s="12">
        <v>40762.73046875</v>
      </c>
      <c r="M88" s="12">
        <v>16392.83984375</v>
      </c>
      <c r="N88" s="30">
        <v>37064.9</v>
      </c>
      <c r="O88" s="30">
        <v>981.71</v>
      </c>
      <c r="P88" s="10">
        <v>7.25</v>
      </c>
      <c r="S88" s="1"/>
    </row>
    <row r="89" spans="4:19" x14ac:dyDescent="0.25">
      <c r="D89" s="28">
        <v>45379</v>
      </c>
      <c r="E89" s="30">
        <v>979.3900146484375</v>
      </c>
      <c r="F89" s="12">
        <v>5254.35009765625</v>
      </c>
      <c r="G89" s="12">
        <v>39807.37109375</v>
      </c>
      <c r="H89" s="12">
        <v>16379.4599609375</v>
      </c>
      <c r="I89" s="30">
        <v>144.91000366210938</v>
      </c>
      <c r="J89" s="30">
        <v>79.860000610351563</v>
      </c>
      <c r="K89" s="12">
        <v>7952.60009765625</v>
      </c>
      <c r="L89" s="12">
        <v>40168.0703125</v>
      </c>
      <c r="M89" s="12">
        <v>16541.419921875</v>
      </c>
      <c r="N89" s="30">
        <v>37072.050000000003</v>
      </c>
      <c r="O89" s="30">
        <v>982.38</v>
      </c>
      <c r="P89" s="10">
        <v>7.25</v>
      </c>
      <c r="S89" s="1"/>
    </row>
    <row r="90" spans="4:19" x14ac:dyDescent="0.25">
      <c r="D90" s="28">
        <v>45380</v>
      </c>
      <c r="E90" s="30">
        <v>980.46002197265625</v>
      </c>
      <c r="F90" s="12">
        <v>5254.35009765625</v>
      </c>
      <c r="G90" s="12">
        <v>39807.37109375</v>
      </c>
      <c r="H90" s="12">
        <v>16379.4599609375</v>
      </c>
      <c r="I90" s="30">
        <v>144.91000366210938</v>
      </c>
      <c r="J90" s="30">
        <v>79.860000610351563</v>
      </c>
      <c r="K90" s="12">
        <v>7952.60009765625</v>
      </c>
      <c r="L90" s="12">
        <v>40369.44140625</v>
      </c>
      <c r="M90" s="12">
        <v>16541.419921875</v>
      </c>
      <c r="N90" s="30">
        <v>37079.21</v>
      </c>
      <c r="O90" s="30">
        <v>982.38</v>
      </c>
      <c r="P90" s="10">
        <v>7.25</v>
      </c>
      <c r="S90" s="1"/>
    </row>
    <row r="91" spans="4:19" x14ac:dyDescent="0.25">
      <c r="D91" s="28">
        <v>45381</v>
      </c>
      <c r="E91" s="30">
        <v>980.46002197265625</v>
      </c>
      <c r="F91" s="12">
        <v>5254.35009765625</v>
      </c>
      <c r="G91" s="12">
        <v>39807.37109375</v>
      </c>
      <c r="H91" s="12">
        <v>16379.4599609375</v>
      </c>
      <c r="I91" s="30">
        <v>144.91000366210938</v>
      </c>
      <c r="J91" s="30">
        <v>79.860000610351563</v>
      </c>
      <c r="K91" s="12">
        <v>7952.60009765625</v>
      </c>
      <c r="L91" s="12">
        <v>40369.44140625</v>
      </c>
      <c r="M91" s="12">
        <v>16541.419921875</v>
      </c>
      <c r="N91" s="30">
        <v>37086.36</v>
      </c>
      <c r="O91" s="30">
        <v>982.38</v>
      </c>
      <c r="P91" s="10">
        <v>7.25</v>
      </c>
      <c r="S91" s="1"/>
    </row>
    <row r="92" spans="4:19" x14ac:dyDescent="0.25">
      <c r="D92" s="28">
        <v>45382</v>
      </c>
      <c r="E92" s="30">
        <v>980.46002197265625</v>
      </c>
      <c r="F92" s="12">
        <v>5254.35009765625</v>
      </c>
      <c r="G92" s="12">
        <v>39807.37109375</v>
      </c>
      <c r="H92" s="12">
        <v>16379.4599609375</v>
      </c>
      <c r="I92" s="30">
        <v>144.91000366210938</v>
      </c>
      <c r="J92" s="30">
        <v>79.860000610351563</v>
      </c>
      <c r="K92" s="12">
        <v>7952.60009765625</v>
      </c>
      <c r="L92" s="12">
        <v>40369.44140625</v>
      </c>
      <c r="M92" s="12">
        <v>16541.419921875</v>
      </c>
      <c r="N92" s="30">
        <v>37093.519999999997</v>
      </c>
      <c r="O92" s="30">
        <v>982.38</v>
      </c>
      <c r="P92" s="10">
        <v>7.25</v>
      </c>
      <c r="S92" s="1"/>
    </row>
    <row r="93" spans="4:19" x14ac:dyDescent="0.25">
      <c r="D93" s="28">
        <v>45383</v>
      </c>
      <c r="E93" s="30">
        <v>979.27001953125</v>
      </c>
      <c r="F93" s="12">
        <v>5243.77001953125</v>
      </c>
      <c r="G93" s="12">
        <v>39566.8515625</v>
      </c>
      <c r="H93" s="12">
        <v>16396.830078125</v>
      </c>
      <c r="I93" s="30">
        <v>144.5</v>
      </c>
      <c r="J93" s="30">
        <v>79.519996643066406</v>
      </c>
      <c r="K93" s="12">
        <v>7952.60009765625</v>
      </c>
      <c r="L93" s="12">
        <v>39803.08984375</v>
      </c>
      <c r="M93" s="12">
        <v>16541.419921875</v>
      </c>
      <c r="N93" s="30">
        <v>37100.68</v>
      </c>
      <c r="O93" s="30">
        <v>981.71</v>
      </c>
      <c r="P93" s="10">
        <v>7.25</v>
      </c>
      <c r="S93" s="1"/>
    </row>
    <row r="94" spans="4:19" x14ac:dyDescent="0.25">
      <c r="D94" s="28">
        <v>45384</v>
      </c>
      <c r="E94" s="30">
        <v>984.97998046875</v>
      </c>
      <c r="F94" s="12">
        <v>5205.81005859375</v>
      </c>
      <c r="G94" s="12">
        <v>39170.23828125</v>
      </c>
      <c r="H94" s="12">
        <v>16240.4501953125</v>
      </c>
      <c r="I94" s="30">
        <v>143.5</v>
      </c>
      <c r="J94" s="30">
        <v>78.959999084472656</v>
      </c>
      <c r="K94" s="12">
        <v>7935.10009765625</v>
      </c>
      <c r="L94" s="12">
        <v>39838.91015625</v>
      </c>
      <c r="M94" s="12">
        <v>16931.51953125</v>
      </c>
      <c r="N94" s="30">
        <v>37107.839999999997</v>
      </c>
      <c r="O94" s="30">
        <v>982.59</v>
      </c>
      <c r="P94" s="10">
        <v>7.25</v>
      </c>
      <c r="S94" s="1"/>
    </row>
    <row r="95" spans="4:19" x14ac:dyDescent="0.25">
      <c r="D95" s="28">
        <v>45385</v>
      </c>
      <c r="E95" s="30">
        <v>975.57000732421875</v>
      </c>
      <c r="F95" s="12">
        <v>5211.490234375</v>
      </c>
      <c r="G95" s="12">
        <v>39127.140625</v>
      </c>
      <c r="H95" s="12">
        <v>16277.4599609375</v>
      </c>
      <c r="I95" s="30">
        <v>143.92999267578125</v>
      </c>
      <c r="J95" s="30">
        <v>79.400001525878906</v>
      </c>
      <c r="K95" s="12">
        <v>7937.39990234375</v>
      </c>
      <c r="L95" s="12">
        <v>39451.8515625</v>
      </c>
      <c r="M95" s="12">
        <v>16725.099609375</v>
      </c>
      <c r="N95" s="30">
        <v>37115</v>
      </c>
      <c r="O95" s="30">
        <v>979.96</v>
      </c>
      <c r="P95" s="10">
        <v>6.5</v>
      </c>
      <c r="S95" s="1"/>
    </row>
    <row r="96" spans="4:19" x14ac:dyDescent="0.25">
      <c r="D96" s="28">
        <v>45386</v>
      </c>
      <c r="E96" s="30">
        <v>954.3900146484375</v>
      </c>
      <c r="F96" s="12">
        <v>5147.2099609375</v>
      </c>
      <c r="G96" s="12">
        <v>38596.98046875</v>
      </c>
      <c r="H96" s="12">
        <v>16049.080078125</v>
      </c>
      <c r="I96" s="30">
        <v>142.30000305175781</v>
      </c>
      <c r="J96" s="30">
        <v>78.720001220703125</v>
      </c>
      <c r="K96" s="12">
        <v>7975.89990234375</v>
      </c>
      <c r="L96" s="12">
        <v>39773.140625</v>
      </c>
      <c r="M96" s="12">
        <v>16725.099609375</v>
      </c>
      <c r="N96" s="30">
        <v>37122.160000000003</v>
      </c>
      <c r="O96" s="30">
        <v>962.83</v>
      </c>
      <c r="P96" s="10">
        <v>6.5</v>
      </c>
      <c r="S96" s="1"/>
    </row>
    <row r="97" spans="4:19" x14ac:dyDescent="0.25">
      <c r="D97" s="28">
        <v>45387</v>
      </c>
      <c r="E97" s="30">
        <v>940.29998779296875</v>
      </c>
      <c r="F97" s="12">
        <v>5204.33984375</v>
      </c>
      <c r="G97" s="12">
        <v>38904.0390625</v>
      </c>
      <c r="H97" s="12">
        <v>16248.51953125</v>
      </c>
      <c r="I97" s="30">
        <v>143.55999755859375</v>
      </c>
      <c r="J97" s="30">
        <v>78.970001220703125</v>
      </c>
      <c r="K97" s="12">
        <v>7911.2001953125</v>
      </c>
      <c r="L97" s="12">
        <v>38992.078125</v>
      </c>
      <c r="M97" s="12">
        <v>16723.919921875</v>
      </c>
      <c r="N97" s="30">
        <v>37129.33</v>
      </c>
      <c r="O97" s="30">
        <v>942.72</v>
      </c>
      <c r="P97" s="10">
        <v>6.5</v>
      </c>
      <c r="S97" s="1"/>
    </row>
    <row r="98" spans="4:19" x14ac:dyDescent="0.25">
      <c r="D98" s="28">
        <v>45388</v>
      </c>
      <c r="E98" s="30">
        <v>948.1500244140625</v>
      </c>
      <c r="N98" s="30">
        <v>37136.49</v>
      </c>
      <c r="O98" s="30">
        <v>942.72</v>
      </c>
      <c r="P98" s="10">
        <v>6.5</v>
      </c>
      <c r="S98" s="1"/>
    </row>
    <row r="99" spans="4:19" x14ac:dyDescent="0.25">
      <c r="D99" s="28">
        <v>45389</v>
      </c>
      <c r="N99" s="30">
        <v>37143.660000000003</v>
      </c>
      <c r="O99" s="30">
        <v>942.72</v>
      </c>
      <c r="P99" s="10">
        <v>6.5</v>
      </c>
      <c r="S99" s="1"/>
    </row>
    <row r="100" spans="4:19" x14ac:dyDescent="0.25">
      <c r="D100" s="28">
        <v>45390</v>
      </c>
      <c r="N100" s="30">
        <v>37150.83</v>
      </c>
      <c r="O100" s="30">
        <v>948.92</v>
      </c>
      <c r="P100" s="10">
        <v>6.5</v>
      </c>
      <c r="S100" s="1"/>
    </row>
    <row r="101" spans="4:19" x14ac:dyDescent="0.25">
      <c r="D101" s="28">
        <v>45391</v>
      </c>
      <c r="N101" s="30">
        <v>37158</v>
      </c>
      <c r="S101" s="1"/>
    </row>
    <row r="102" spans="4:19" x14ac:dyDescent="0.25">
      <c r="S102" s="1"/>
    </row>
    <row r="103" spans="4:19" x14ac:dyDescent="0.25">
      <c r="S103" s="1"/>
    </row>
    <row r="104" spans="4:19" x14ac:dyDescent="0.25">
      <c r="S104" s="1"/>
    </row>
    <row r="105" spans="4:19" x14ac:dyDescent="0.25">
      <c r="S105" s="1"/>
    </row>
    <row r="106" spans="4:19" x14ac:dyDescent="0.25">
      <c r="S106" s="1"/>
    </row>
    <row r="107" spans="4:19" x14ac:dyDescent="0.25">
      <c r="S107" s="1"/>
    </row>
    <row r="108" spans="4:19" x14ac:dyDescent="0.25">
      <c r="S108" s="1"/>
    </row>
    <row r="109" spans="4:19" x14ac:dyDescent="0.25">
      <c r="S109" s="1"/>
    </row>
    <row r="110" spans="4:19" x14ac:dyDescent="0.25">
      <c r="S110" s="1"/>
    </row>
    <row r="111" spans="4:19" x14ac:dyDescent="0.25">
      <c r="S111" s="1"/>
    </row>
    <row r="112" spans="4:19" x14ac:dyDescent="0.25">
      <c r="S112" s="1"/>
    </row>
    <row r="113" spans="19:19" x14ac:dyDescent="0.25">
      <c r="S113" s="1"/>
    </row>
    <row r="114" spans="19:19" x14ac:dyDescent="0.25">
      <c r="S114" s="1"/>
    </row>
    <row r="115" spans="19:19" x14ac:dyDescent="0.25">
      <c r="S115" s="1"/>
    </row>
    <row r="116" spans="19:19" x14ac:dyDescent="0.25">
      <c r="S116" s="1"/>
    </row>
    <row r="117" spans="19:19" x14ac:dyDescent="0.25">
      <c r="S117" s="1"/>
    </row>
    <row r="118" spans="19:19" x14ac:dyDescent="0.25">
      <c r="S118" s="1"/>
    </row>
    <row r="119" spans="19:19" x14ac:dyDescent="0.25">
      <c r="S119" s="1"/>
    </row>
    <row r="120" spans="19:19" x14ac:dyDescent="0.25">
      <c r="S120" s="1"/>
    </row>
    <row r="121" spans="19:19" x14ac:dyDescent="0.25">
      <c r="S121" s="1"/>
    </row>
    <row r="122" spans="19:19" x14ac:dyDescent="0.25">
      <c r="S122" s="1"/>
    </row>
    <row r="123" spans="19:19" x14ac:dyDescent="0.25">
      <c r="S123" s="1"/>
    </row>
    <row r="124" spans="19:19" x14ac:dyDescent="0.25">
      <c r="S124" s="1"/>
    </row>
    <row r="125" spans="19:19" x14ac:dyDescent="0.25">
      <c r="S125" s="1"/>
    </row>
    <row r="126" spans="19:19" x14ac:dyDescent="0.25">
      <c r="S126" s="1"/>
    </row>
    <row r="127" spans="19:19" x14ac:dyDescent="0.25">
      <c r="S127" s="1"/>
    </row>
    <row r="128" spans="19:19" x14ac:dyDescent="0.25">
      <c r="S128" s="1"/>
    </row>
    <row r="129" spans="19:19" x14ac:dyDescent="0.25">
      <c r="S129" s="1"/>
    </row>
    <row r="130" spans="19:19" x14ac:dyDescent="0.25">
      <c r="S130" s="1"/>
    </row>
    <row r="131" spans="19:19" x14ac:dyDescent="0.25">
      <c r="S131" s="1"/>
    </row>
    <row r="132" spans="19:19" x14ac:dyDescent="0.25">
      <c r="S132" s="1"/>
    </row>
    <row r="133" spans="19:19" x14ac:dyDescent="0.25">
      <c r="S133" s="1"/>
    </row>
    <row r="134" spans="19:19" x14ac:dyDescent="0.25">
      <c r="S134" s="1"/>
    </row>
    <row r="135" spans="19:19" x14ac:dyDescent="0.25">
      <c r="S135" s="1"/>
    </row>
    <row r="136" spans="19:19" x14ac:dyDescent="0.25">
      <c r="S136" s="1"/>
    </row>
    <row r="137" spans="19:19" x14ac:dyDescent="0.25">
      <c r="S137" s="1"/>
    </row>
    <row r="138" spans="19:19" x14ac:dyDescent="0.25">
      <c r="S138" s="1"/>
    </row>
    <row r="139" spans="19:19" x14ac:dyDescent="0.25">
      <c r="S139" s="1"/>
    </row>
    <row r="140" spans="19:19" x14ac:dyDescent="0.25">
      <c r="S140" s="1"/>
    </row>
    <row r="141" spans="19:19" x14ac:dyDescent="0.25">
      <c r="S141" s="1"/>
    </row>
    <row r="142" spans="19:19" x14ac:dyDescent="0.25">
      <c r="S142" s="1"/>
    </row>
    <row r="143" spans="19:19" x14ac:dyDescent="0.25">
      <c r="S143" s="1"/>
    </row>
    <row r="144" spans="19:19" x14ac:dyDescent="0.25">
      <c r="S144" s="1"/>
    </row>
    <row r="145" spans="19:19" x14ac:dyDescent="0.25">
      <c r="S145" s="1"/>
    </row>
    <row r="146" spans="19:19" x14ac:dyDescent="0.25">
      <c r="S146" s="1"/>
    </row>
    <row r="147" spans="19:19" x14ac:dyDescent="0.25">
      <c r="S147" s="1"/>
    </row>
    <row r="148" spans="19:19" x14ac:dyDescent="0.25">
      <c r="S148" s="1"/>
    </row>
    <row r="149" spans="19:19" x14ac:dyDescent="0.25">
      <c r="S149" s="1"/>
    </row>
    <row r="150" spans="19:19" x14ac:dyDescent="0.25">
      <c r="S150" s="1"/>
    </row>
    <row r="151" spans="19:19" x14ac:dyDescent="0.25">
      <c r="S151" s="1"/>
    </row>
    <row r="152" spans="19:19" x14ac:dyDescent="0.25">
      <c r="S152" s="1"/>
    </row>
    <row r="153" spans="19:19" x14ac:dyDescent="0.25">
      <c r="S153" s="1"/>
    </row>
    <row r="154" spans="19:19" x14ac:dyDescent="0.25">
      <c r="S154" s="1"/>
    </row>
    <row r="155" spans="19:19" x14ac:dyDescent="0.25">
      <c r="S155" s="1"/>
    </row>
    <row r="156" spans="19:19" x14ac:dyDescent="0.25">
      <c r="S156" s="1"/>
    </row>
    <row r="157" spans="19:19" x14ac:dyDescent="0.25">
      <c r="S157" s="1"/>
    </row>
    <row r="158" spans="19:19" x14ac:dyDescent="0.25">
      <c r="S158" s="1"/>
    </row>
    <row r="159" spans="19:19" x14ac:dyDescent="0.25">
      <c r="S159" s="1"/>
    </row>
    <row r="160" spans="19:19" x14ac:dyDescent="0.25">
      <c r="S160" s="1"/>
    </row>
    <row r="161" spans="19:19" x14ac:dyDescent="0.25">
      <c r="S161" s="1"/>
    </row>
    <row r="162" spans="19:19" x14ac:dyDescent="0.25">
      <c r="S162" s="1"/>
    </row>
    <row r="163" spans="19:19" x14ac:dyDescent="0.25">
      <c r="S163" s="1"/>
    </row>
    <row r="164" spans="19:19" x14ac:dyDescent="0.25">
      <c r="S164" s="1"/>
    </row>
    <row r="165" spans="19:19" x14ac:dyDescent="0.25">
      <c r="S165" s="1"/>
    </row>
    <row r="166" spans="19:19" x14ac:dyDescent="0.25">
      <c r="S166" s="1"/>
    </row>
    <row r="167" spans="19:19" x14ac:dyDescent="0.25">
      <c r="S167" s="1"/>
    </row>
    <row r="168" spans="19:19" x14ac:dyDescent="0.25">
      <c r="S168" s="1"/>
    </row>
    <row r="169" spans="19:19" x14ac:dyDescent="0.25">
      <c r="S169" s="1"/>
    </row>
    <row r="170" spans="19:19" x14ac:dyDescent="0.25">
      <c r="S170" s="1"/>
    </row>
    <row r="171" spans="19:19" x14ac:dyDescent="0.25">
      <c r="S171" s="1"/>
    </row>
    <row r="172" spans="19:19" x14ac:dyDescent="0.25">
      <c r="S172" s="1"/>
    </row>
    <row r="173" spans="19:19" x14ac:dyDescent="0.25">
      <c r="S173" s="1"/>
    </row>
    <row r="174" spans="19:19" x14ac:dyDescent="0.25">
      <c r="S174" s="1"/>
    </row>
    <row r="175" spans="19:19" x14ac:dyDescent="0.25">
      <c r="S175" s="1"/>
    </row>
    <row r="176" spans="19:19" x14ac:dyDescent="0.25">
      <c r="S176" s="1"/>
    </row>
    <row r="177" spans="19:19" x14ac:dyDescent="0.25">
      <c r="S177" s="1"/>
    </row>
    <row r="178" spans="19:19" x14ac:dyDescent="0.25">
      <c r="S178" s="1"/>
    </row>
    <row r="179" spans="19:19" x14ac:dyDescent="0.25">
      <c r="S179" s="1"/>
    </row>
    <row r="180" spans="19:19" x14ac:dyDescent="0.25">
      <c r="S180" s="1"/>
    </row>
    <row r="181" spans="19:19" x14ac:dyDescent="0.25">
      <c r="S181" s="1"/>
    </row>
    <row r="182" spans="19:19" x14ac:dyDescent="0.25">
      <c r="S182" s="1"/>
    </row>
    <row r="183" spans="19:19" x14ac:dyDescent="0.25">
      <c r="S183" s="1"/>
    </row>
    <row r="184" spans="19:19" x14ac:dyDescent="0.25">
      <c r="S184" s="1"/>
    </row>
    <row r="185" spans="19:19" x14ac:dyDescent="0.25">
      <c r="S185" s="1"/>
    </row>
    <row r="186" spans="19:19" x14ac:dyDescent="0.25">
      <c r="S186" s="1"/>
    </row>
    <row r="187" spans="19:19" x14ac:dyDescent="0.25">
      <c r="S187" s="1"/>
    </row>
    <row r="188" spans="19:19" x14ac:dyDescent="0.25">
      <c r="S188" s="1"/>
    </row>
    <row r="189" spans="19:19" x14ac:dyDescent="0.25">
      <c r="S189" s="1"/>
    </row>
    <row r="190" spans="19:19" x14ac:dyDescent="0.25">
      <c r="S190" s="1"/>
    </row>
    <row r="191" spans="19:19" x14ac:dyDescent="0.25">
      <c r="S191" s="1"/>
    </row>
    <row r="192" spans="19:19" x14ac:dyDescent="0.25">
      <c r="S192" s="1"/>
    </row>
    <row r="193" spans="19:19" x14ac:dyDescent="0.25">
      <c r="S193" s="1"/>
    </row>
    <row r="194" spans="19:19" x14ac:dyDescent="0.25">
      <c r="S194" s="1"/>
    </row>
    <row r="195" spans="19:19" x14ac:dyDescent="0.25">
      <c r="S195" s="1"/>
    </row>
    <row r="196" spans="19:19" x14ac:dyDescent="0.25">
      <c r="S196" s="1"/>
    </row>
    <row r="197" spans="19:19" x14ac:dyDescent="0.25">
      <c r="S197" s="1"/>
    </row>
    <row r="198" spans="19:19" x14ac:dyDescent="0.25">
      <c r="S198" s="1"/>
    </row>
    <row r="199" spans="19:19" x14ac:dyDescent="0.25">
      <c r="S199" s="1"/>
    </row>
    <row r="200" spans="19:19" x14ac:dyDescent="0.25">
      <c r="S200" s="1"/>
    </row>
    <row r="201" spans="19:19" x14ac:dyDescent="0.25">
      <c r="S201" s="1"/>
    </row>
    <row r="202" spans="19:19" x14ac:dyDescent="0.25">
      <c r="S202" s="1"/>
    </row>
    <row r="203" spans="19:19" x14ac:dyDescent="0.25">
      <c r="S203" s="1"/>
    </row>
    <row r="204" spans="19:19" x14ac:dyDescent="0.25">
      <c r="S204" s="1"/>
    </row>
    <row r="205" spans="19:19" x14ac:dyDescent="0.25">
      <c r="S205" s="1"/>
    </row>
    <row r="206" spans="19:19" x14ac:dyDescent="0.25">
      <c r="S206" s="1"/>
    </row>
    <row r="207" spans="19:19" x14ac:dyDescent="0.25">
      <c r="S207" s="1"/>
    </row>
    <row r="208" spans="19:19" x14ac:dyDescent="0.25">
      <c r="S208" s="1"/>
    </row>
    <row r="209" spans="19:19" x14ac:dyDescent="0.25">
      <c r="S209" s="1"/>
    </row>
    <row r="210" spans="19:19" x14ac:dyDescent="0.25">
      <c r="S210" s="1"/>
    </row>
    <row r="211" spans="19:19" x14ac:dyDescent="0.25">
      <c r="S211" s="1"/>
    </row>
    <row r="212" spans="19:19" x14ac:dyDescent="0.25">
      <c r="S212" s="1"/>
    </row>
    <row r="213" spans="19:19" x14ac:dyDescent="0.25">
      <c r="S213" s="1"/>
    </row>
    <row r="214" spans="19:19" x14ac:dyDescent="0.25">
      <c r="S214" s="1"/>
    </row>
    <row r="215" spans="19:19" x14ac:dyDescent="0.25">
      <c r="S215" s="1"/>
    </row>
    <row r="216" spans="19:19" x14ac:dyDescent="0.25">
      <c r="S216" s="1"/>
    </row>
    <row r="217" spans="19:19" x14ac:dyDescent="0.25">
      <c r="S217" s="1"/>
    </row>
    <row r="218" spans="19:19" x14ac:dyDescent="0.25">
      <c r="S218" s="1"/>
    </row>
    <row r="219" spans="19:19" x14ac:dyDescent="0.25">
      <c r="S219" s="1"/>
    </row>
    <row r="220" spans="19:19" x14ac:dyDescent="0.25">
      <c r="S220" s="1"/>
    </row>
    <row r="221" spans="19:19" x14ac:dyDescent="0.25">
      <c r="S221" s="1"/>
    </row>
    <row r="222" spans="19:19" x14ac:dyDescent="0.25">
      <c r="S222" s="1"/>
    </row>
    <row r="223" spans="19:19" x14ac:dyDescent="0.25">
      <c r="S223" s="1"/>
    </row>
    <row r="224" spans="19:19" x14ac:dyDescent="0.25">
      <c r="S224" s="1"/>
    </row>
    <row r="225" spans="19:19" x14ac:dyDescent="0.25">
      <c r="S225" s="1"/>
    </row>
    <row r="226" spans="19:19" x14ac:dyDescent="0.25">
      <c r="S226" s="1"/>
    </row>
    <row r="227" spans="19:19" x14ac:dyDescent="0.25">
      <c r="S227" s="1"/>
    </row>
    <row r="228" spans="19:19" x14ac:dyDescent="0.25">
      <c r="S228" s="1"/>
    </row>
    <row r="229" spans="19:19" x14ac:dyDescent="0.25">
      <c r="S229" s="1"/>
    </row>
    <row r="230" spans="19:19" x14ac:dyDescent="0.25">
      <c r="S230" s="1"/>
    </row>
    <row r="231" spans="19:19" x14ac:dyDescent="0.25">
      <c r="S231" s="1"/>
    </row>
    <row r="232" spans="19:19" x14ac:dyDescent="0.25">
      <c r="S232" s="1"/>
    </row>
    <row r="233" spans="19:19" x14ac:dyDescent="0.25">
      <c r="S233" s="1"/>
    </row>
    <row r="234" spans="19:19" x14ac:dyDescent="0.25">
      <c r="S234" s="1"/>
    </row>
    <row r="235" spans="19:19" x14ac:dyDescent="0.25">
      <c r="S235" s="1"/>
    </row>
    <row r="236" spans="19:19" x14ac:dyDescent="0.25">
      <c r="S236" s="1"/>
    </row>
    <row r="237" spans="19:19" x14ac:dyDescent="0.25">
      <c r="S237" s="1"/>
    </row>
    <row r="238" spans="19:19" x14ac:dyDescent="0.25">
      <c r="S238" s="1"/>
    </row>
    <row r="239" spans="19:19" x14ac:dyDescent="0.25">
      <c r="S239" s="1"/>
    </row>
    <row r="240" spans="19:19" x14ac:dyDescent="0.25">
      <c r="S240" s="1"/>
    </row>
    <row r="241" spans="19:19" x14ac:dyDescent="0.25">
      <c r="S241" s="1"/>
    </row>
    <row r="242" spans="19:19" x14ac:dyDescent="0.25">
      <c r="S242" s="1"/>
    </row>
    <row r="243" spans="19:19" x14ac:dyDescent="0.25">
      <c r="S243" s="1"/>
    </row>
    <row r="244" spans="19:19" x14ac:dyDescent="0.25">
      <c r="S244" s="1"/>
    </row>
    <row r="245" spans="19:19" x14ac:dyDescent="0.25">
      <c r="S245" s="1"/>
    </row>
    <row r="246" spans="19:19" x14ac:dyDescent="0.25">
      <c r="S246" s="1"/>
    </row>
    <row r="247" spans="19:19" x14ac:dyDescent="0.25">
      <c r="S247" s="1"/>
    </row>
    <row r="248" spans="19:19" x14ac:dyDescent="0.25">
      <c r="S248" s="1"/>
    </row>
    <row r="249" spans="19:19" x14ac:dyDescent="0.25">
      <c r="S249" s="1"/>
    </row>
    <row r="250" spans="19:19" x14ac:dyDescent="0.25">
      <c r="S250" s="1"/>
    </row>
    <row r="251" spans="19:19" x14ac:dyDescent="0.25">
      <c r="S251" s="1"/>
    </row>
    <row r="252" spans="19:19" x14ac:dyDescent="0.25">
      <c r="S252" s="1"/>
    </row>
    <row r="253" spans="19:19" x14ac:dyDescent="0.25">
      <c r="S253" s="1"/>
    </row>
    <row r="254" spans="19:19" x14ac:dyDescent="0.25">
      <c r="S254" s="1"/>
    </row>
    <row r="255" spans="19:19" x14ac:dyDescent="0.25">
      <c r="S255" s="1"/>
    </row>
    <row r="256" spans="19:19" x14ac:dyDescent="0.25">
      <c r="S256" s="1"/>
    </row>
    <row r="257" spans="19:19" x14ac:dyDescent="0.25">
      <c r="S257" s="1"/>
    </row>
    <row r="258" spans="19:19" x14ac:dyDescent="0.25">
      <c r="S258" s="1"/>
    </row>
    <row r="259" spans="19:19" x14ac:dyDescent="0.25">
      <c r="S259" s="1"/>
    </row>
    <row r="260" spans="19:19" x14ac:dyDescent="0.25">
      <c r="S260" s="1"/>
    </row>
    <row r="261" spans="19:19" x14ac:dyDescent="0.25">
      <c r="S261" s="1"/>
    </row>
    <row r="262" spans="19:19" x14ac:dyDescent="0.25">
      <c r="S262" s="1"/>
    </row>
    <row r="263" spans="19:19" x14ac:dyDescent="0.25">
      <c r="S263" s="1"/>
    </row>
    <row r="264" spans="19:19" x14ac:dyDescent="0.25">
      <c r="S264" s="1"/>
    </row>
    <row r="265" spans="19:19" x14ac:dyDescent="0.25">
      <c r="S265" s="1"/>
    </row>
    <row r="266" spans="19:19" x14ac:dyDescent="0.25">
      <c r="S266" s="1"/>
    </row>
    <row r="267" spans="19:19" x14ac:dyDescent="0.25">
      <c r="S267" s="1"/>
    </row>
    <row r="268" spans="19:19" x14ac:dyDescent="0.25">
      <c r="S268" s="1"/>
    </row>
    <row r="269" spans="19:19" x14ac:dyDescent="0.25">
      <c r="S269" s="1"/>
    </row>
    <row r="270" spans="19:19" x14ac:dyDescent="0.25">
      <c r="S270" s="1"/>
    </row>
    <row r="271" spans="19:19" x14ac:dyDescent="0.25">
      <c r="S271" s="1"/>
    </row>
    <row r="272" spans="19:19" x14ac:dyDescent="0.25">
      <c r="S272" s="1"/>
    </row>
    <row r="273" spans="19:19" x14ac:dyDescent="0.25">
      <c r="S273" s="1"/>
    </row>
    <row r="274" spans="19:19" x14ac:dyDescent="0.25">
      <c r="S274" s="1"/>
    </row>
    <row r="275" spans="19:19" x14ac:dyDescent="0.25">
      <c r="S275" s="1"/>
    </row>
    <row r="276" spans="19:19" x14ac:dyDescent="0.25">
      <c r="S276" s="1"/>
    </row>
    <row r="277" spans="19:19" x14ac:dyDescent="0.25">
      <c r="S277" s="1"/>
    </row>
    <row r="278" spans="19:19" x14ac:dyDescent="0.25">
      <c r="S278" s="1"/>
    </row>
    <row r="279" spans="19:19" x14ac:dyDescent="0.25">
      <c r="S279" s="1"/>
    </row>
    <row r="280" spans="19:19" x14ac:dyDescent="0.25">
      <c r="S280" s="1"/>
    </row>
    <row r="281" spans="19:19" x14ac:dyDescent="0.25">
      <c r="S281" s="1"/>
    </row>
    <row r="282" spans="19:19" x14ac:dyDescent="0.25">
      <c r="S282" s="1"/>
    </row>
    <row r="283" spans="19:19" x14ac:dyDescent="0.25">
      <c r="S283" s="1"/>
    </row>
    <row r="284" spans="19:19" x14ac:dyDescent="0.25">
      <c r="S284" s="1"/>
    </row>
    <row r="285" spans="19:19" x14ac:dyDescent="0.25">
      <c r="S285" s="1"/>
    </row>
    <row r="286" spans="19:19" x14ac:dyDescent="0.25">
      <c r="S286" s="1"/>
    </row>
    <row r="287" spans="19:19" x14ac:dyDescent="0.25">
      <c r="S287" s="1"/>
    </row>
    <row r="288" spans="19:19" x14ac:dyDescent="0.25">
      <c r="S288" s="1"/>
    </row>
    <row r="289" spans="19:19" x14ac:dyDescent="0.25">
      <c r="S289" s="1"/>
    </row>
    <row r="290" spans="19:19" x14ac:dyDescent="0.25">
      <c r="S290" s="1"/>
    </row>
    <row r="291" spans="19:19" x14ac:dyDescent="0.25">
      <c r="S291" s="1"/>
    </row>
    <row r="292" spans="19:19" x14ac:dyDescent="0.25">
      <c r="S292" s="1"/>
    </row>
    <row r="293" spans="19:19" x14ac:dyDescent="0.25">
      <c r="S293" s="1"/>
    </row>
    <row r="294" spans="19:19" x14ac:dyDescent="0.25">
      <c r="S294" s="1"/>
    </row>
    <row r="295" spans="19:19" x14ac:dyDescent="0.25">
      <c r="S295" s="1"/>
    </row>
    <row r="296" spans="19:19" x14ac:dyDescent="0.25">
      <c r="S296" s="1"/>
    </row>
    <row r="297" spans="19:19" x14ac:dyDescent="0.25">
      <c r="S297" s="1"/>
    </row>
    <row r="298" spans="19:19" x14ac:dyDescent="0.25">
      <c r="S298" s="1"/>
    </row>
    <row r="299" spans="19:19" x14ac:dyDescent="0.25">
      <c r="S299" s="1"/>
    </row>
    <row r="300" spans="19:19" x14ac:dyDescent="0.25">
      <c r="S300" s="1"/>
    </row>
    <row r="301" spans="19:19" x14ac:dyDescent="0.25">
      <c r="S301" s="1"/>
    </row>
    <row r="302" spans="19:19" x14ac:dyDescent="0.25">
      <c r="S302" s="1"/>
    </row>
    <row r="303" spans="19:19" x14ac:dyDescent="0.25">
      <c r="S303" s="1"/>
    </row>
    <row r="304" spans="19:19" x14ac:dyDescent="0.25">
      <c r="S304" s="1"/>
    </row>
    <row r="305" spans="19:19" x14ac:dyDescent="0.25">
      <c r="S305" s="1"/>
    </row>
    <row r="306" spans="19:19" x14ac:dyDescent="0.25">
      <c r="S306" s="1"/>
    </row>
    <row r="307" spans="19:19" x14ac:dyDescent="0.25">
      <c r="S307" s="1"/>
    </row>
    <row r="308" spans="19:19" x14ac:dyDescent="0.25">
      <c r="S308" s="1"/>
    </row>
    <row r="309" spans="19:19" x14ac:dyDescent="0.25">
      <c r="S309" s="1"/>
    </row>
    <row r="310" spans="19:19" x14ac:dyDescent="0.25">
      <c r="S310" s="1"/>
    </row>
    <row r="311" spans="19:19" x14ac:dyDescent="0.25">
      <c r="S311" s="1"/>
    </row>
    <row r="312" spans="19:19" x14ac:dyDescent="0.25">
      <c r="S312" s="1"/>
    </row>
    <row r="313" spans="19:19" x14ac:dyDescent="0.25">
      <c r="S313" s="1"/>
    </row>
    <row r="314" spans="19:19" x14ac:dyDescent="0.25">
      <c r="S314" s="1"/>
    </row>
    <row r="315" spans="19:19" x14ac:dyDescent="0.25">
      <c r="S315" s="1"/>
    </row>
    <row r="316" spans="19:19" x14ac:dyDescent="0.25">
      <c r="S316" s="1"/>
    </row>
    <row r="317" spans="19:19" x14ac:dyDescent="0.25">
      <c r="S317" s="1"/>
    </row>
    <row r="318" spans="19:19" x14ac:dyDescent="0.25">
      <c r="S318" s="1"/>
    </row>
    <row r="319" spans="19:19" x14ac:dyDescent="0.25">
      <c r="S319" s="1"/>
    </row>
    <row r="320" spans="19:19" x14ac:dyDescent="0.25">
      <c r="S320" s="1"/>
    </row>
    <row r="321" spans="19:19" x14ac:dyDescent="0.25">
      <c r="S321" s="1"/>
    </row>
    <row r="322" spans="19:19" x14ac:dyDescent="0.25">
      <c r="S322" s="1"/>
    </row>
    <row r="323" spans="19:19" x14ac:dyDescent="0.25">
      <c r="S323" s="1"/>
    </row>
    <row r="324" spans="19:19" x14ac:dyDescent="0.25">
      <c r="S324" s="1"/>
    </row>
    <row r="325" spans="19:19" x14ac:dyDescent="0.25">
      <c r="S325" s="1"/>
    </row>
    <row r="326" spans="19:19" x14ac:dyDescent="0.25">
      <c r="S326" s="1"/>
    </row>
    <row r="327" spans="19:19" x14ac:dyDescent="0.25">
      <c r="S327" s="1"/>
    </row>
    <row r="328" spans="19:19" x14ac:dyDescent="0.25">
      <c r="S328" s="1"/>
    </row>
    <row r="329" spans="19:19" x14ac:dyDescent="0.25">
      <c r="S329" s="1"/>
    </row>
    <row r="330" spans="19:19" x14ac:dyDescent="0.25">
      <c r="S330" s="1"/>
    </row>
    <row r="331" spans="19:19" x14ac:dyDescent="0.25">
      <c r="S331" s="1"/>
    </row>
    <row r="332" spans="19:19" x14ac:dyDescent="0.25">
      <c r="S332" s="1"/>
    </row>
    <row r="333" spans="19:19" x14ac:dyDescent="0.25">
      <c r="S333" s="1"/>
    </row>
    <row r="334" spans="19:19" x14ac:dyDescent="0.25">
      <c r="S334" s="1"/>
    </row>
    <row r="335" spans="19:19" x14ac:dyDescent="0.25">
      <c r="S335" s="1"/>
    </row>
    <row r="336" spans="19:19" x14ac:dyDescent="0.25">
      <c r="S336" s="1"/>
    </row>
    <row r="337" spans="19:19" x14ac:dyDescent="0.25">
      <c r="S337" s="1"/>
    </row>
    <row r="338" spans="19:19" x14ac:dyDescent="0.25">
      <c r="S338" s="1"/>
    </row>
    <row r="339" spans="19:19" x14ac:dyDescent="0.25">
      <c r="S339" s="1"/>
    </row>
    <row r="340" spans="19:19" x14ac:dyDescent="0.25">
      <c r="S340" s="1"/>
    </row>
    <row r="341" spans="19:19" x14ac:dyDescent="0.25">
      <c r="S341" s="1"/>
    </row>
    <row r="342" spans="19:19" x14ac:dyDescent="0.25">
      <c r="S342" s="1"/>
    </row>
    <row r="343" spans="19:19" x14ac:dyDescent="0.25">
      <c r="S343" s="1"/>
    </row>
    <row r="344" spans="19:19" x14ac:dyDescent="0.25">
      <c r="S344" s="1"/>
    </row>
    <row r="345" spans="19:19" x14ac:dyDescent="0.25">
      <c r="S345" s="1"/>
    </row>
    <row r="346" spans="19:19" x14ac:dyDescent="0.25">
      <c r="S346" s="1"/>
    </row>
    <row r="347" spans="19:19" x14ac:dyDescent="0.25">
      <c r="S347" s="1"/>
    </row>
    <row r="348" spans="19:19" x14ac:dyDescent="0.25">
      <c r="S348" s="1"/>
    </row>
    <row r="349" spans="19:19" x14ac:dyDescent="0.25">
      <c r="S349" s="1"/>
    </row>
    <row r="350" spans="19:19" x14ac:dyDescent="0.25">
      <c r="S350" s="1"/>
    </row>
    <row r="351" spans="19:19" x14ac:dyDescent="0.25">
      <c r="S351" s="1"/>
    </row>
    <row r="352" spans="19:19" x14ac:dyDescent="0.25">
      <c r="S352" s="1"/>
    </row>
    <row r="353" spans="19:19" x14ac:dyDescent="0.25">
      <c r="S353" s="1"/>
    </row>
    <row r="354" spans="19:19" x14ac:dyDescent="0.25">
      <c r="S354" s="1"/>
    </row>
    <row r="355" spans="19:19" x14ac:dyDescent="0.25">
      <c r="S355" s="1"/>
    </row>
    <row r="356" spans="19:19" x14ac:dyDescent="0.25">
      <c r="S356" s="1"/>
    </row>
    <row r="357" spans="19:19" x14ac:dyDescent="0.25">
      <c r="S357" s="1"/>
    </row>
    <row r="358" spans="19:19" x14ac:dyDescent="0.25">
      <c r="S358" s="1"/>
    </row>
    <row r="359" spans="19:19" x14ac:dyDescent="0.25">
      <c r="S359" s="1"/>
    </row>
    <row r="360" spans="19:19" x14ac:dyDescent="0.25">
      <c r="S360" s="1"/>
    </row>
    <row r="361" spans="19:19" x14ac:dyDescent="0.25">
      <c r="S361" s="1"/>
    </row>
    <row r="362" spans="19:19" x14ac:dyDescent="0.25">
      <c r="S362" s="1"/>
    </row>
    <row r="363" spans="19:19" x14ac:dyDescent="0.25">
      <c r="S363" s="1"/>
    </row>
    <row r="364" spans="19:19" x14ac:dyDescent="0.25">
      <c r="S364" s="1"/>
    </row>
    <row r="365" spans="19:19" x14ac:dyDescent="0.25">
      <c r="S365" s="1"/>
    </row>
    <row r="366" spans="19:19" x14ac:dyDescent="0.25">
      <c r="S366" s="1"/>
    </row>
    <row r="367" spans="19:19" x14ac:dyDescent="0.25">
      <c r="S367" s="1"/>
    </row>
    <row r="368" spans="19:19" x14ac:dyDescent="0.25">
      <c r="S368" s="1"/>
    </row>
    <row r="369" spans="19:19" x14ac:dyDescent="0.25">
      <c r="S369" s="1"/>
    </row>
    <row r="370" spans="19:19" x14ac:dyDescent="0.25">
      <c r="S370" s="1"/>
    </row>
    <row r="371" spans="19:19" x14ac:dyDescent="0.25">
      <c r="S371" s="1"/>
    </row>
    <row r="372" spans="19:19" x14ac:dyDescent="0.25">
      <c r="S372" s="1"/>
    </row>
    <row r="373" spans="19:19" x14ac:dyDescent="0.25">
      <c r="S373" s="1"/>
    </row>
    <row r="374" spans="19:19" x14ac:dyDescent="0.25">
      <c r="S374" s="1"/>
    </row>
    <row r="375" spans="19:19" x14ac:dyDescent="0.25">
      <c r="S375" s="1"/>
    </row>
    <row r="376" spans="19:19" x14ac:dyDescent="0.25">
      <c r="S376" s="1"/>
    </row>
    <row r="377" spans="19:19" x14ac:dyDescent="0.25">
      <c r="S377" s="1"/>
    </row>
    <row r="378" spans="19:19" x14ac:dyDescent="0.25">
      <c r="S378" s="1"/>
    </row>
    <row r="379" spans="19:19" x14ac:dyDescent="0.25">
      <c r="S379" s="1"/>
    </row>
    <row r="380" spans="19:19" x14ac:dyDescent="0.25">
      <c r="S380" s="1"/>
    </row>
    <row r="381" spans="19:19" x14ac:dyDescent="0.25">
      <c r="S381" s="1"/>
    </row>
    <row r="382" spans="19:19" x14ac:dyDescent="0.25">
      <c r="S382" s="1"/>
    </row>
    <row r="383" spans="19:19" x14ac:dyDescent="0.25">
      <c r="S383" s="1"/>
    </row>
    <row r="384" spans="19:19" x14ac:dyDescent="0.25">
      <c r="S384" s="1"/>
    </row>
    <row r="385" spans="19:19" x14ac:dyDescent="0.25">
      <c r="S385" s="1"/>
    </row>
    <row r="386" spans="19:19" x14ac:dyDescent="0.25">
      <c r="S386" s="1"/>
    </row>
    <row r="387" spans="19:19" x14ac:dyDescent="0.25">
      <c r="S387" s="1"/>
    </row>
    <row r="388" spans="19:19" x14ac:dyDescent="0.25">
      <c r="S388" s="1"/>
    </row>
    <row r="389" spans="19:19" x14ac:dyDescent="0.25">
      <c r="S389" s="1"/>
    </row>
    <row r="390" spans="19:19" x14ac:dyDescent="0.25">
      <c r="S390" s="1"/>
    </row>
    <row r="391" spans="19:19" x14ac:dyDescent="0.25">
      <c r="S391" s="1"/>
    </row>
    <row r="392" spans="19:19" x14ac:dyDescent="0.25">
      <c r="S392" s="1"/>
    </row>
    <row r="393" spans="19:19" x14ac:dyDescent="0.25">
      <c r="S393" s="1"/>
    </row>
    <row r="394" spans="19:19" x14ac:dyDescent="0.25">
      <c r="S394" s="1"/>
    </row>
    <row r="395" spans="19:19" x14ac:dyDescent="0.25">
      <c r="S395" s="1"/>
    </row>
    <row r="396" spans="19:19" x14ac:dyDescent="0.25">
      <c r="S396" s="1"/>
    </row>
    <row r="397" spans="19:19" x14ac:dyDescent="0.25">
      <c r="S397" s="1"/>
    </row>
    <row r="398" spans="19:19" x14ac:dyDescent="0.25">
      <c r="S398" s="1"/>
    </row>
    <row r="399" spans="19:19" x14ac:dyDescent="0.25">
      <c r="S399" s="1"/>
    </row>
    <row r="400" spans="19:19" x14ac:dyDescent="0.25">
      <c r="S400" s="1"/>
    </row>
    <row r="401" spans="19:19" x14ac:dyDescent="0.25">
      <c r="S401" s="1"/>
    </row>
    <row r="402" spans="19:19" x14ac:dyDescent="0.25">
      <c r="S402" s="1"/>
    </row>
    <row r="403" spans="19:19" x14ac:dyDescent="0.25">
      <c r="S403" s="1"/>
    </row>
    <row r="404" spans="19:19" x14ac:dyDescent="0.25">
      <c r="S404" s="1"/>
    </row>
    <row r="405" spans="19:19" x14ac:dyDescent="0.25">
      <c r="S405" s="1"/>
    </row>
    <row r="406" spans="19:19" x14ac:dyDescent="0.25">
      <c r="S406" s="1"/>
    </row>
    <row r="407" spans="19:19" x14ac:dyDescent="0.25">
      <c r="S407" s="1"/>
    </row>
    <row r="408" spans="19:19" x14ac:dyDescent="0.25">
      <c r="S408" s="1"/>
    </row>
    <row r="409" spans="19:19" x14ac:dyDescent="0.25">
      <c r="S409" s="1"/>
    </row>
    <row r="410" spans="19:19" x14ac:dyDescent="0.25">
      <c r="S410" s="1"/>
    </row>
    <row r="411" spans="19:19" x14ac:dyDescent="0.25">
      <c r="S411" s="1"/>
    </row>
    <row r="412" spans="19:19" x14ac:dyDescent="0.25">
      <c r="S412" s="1"/>
    </row>
    <row r="413" spans="19:19" x14ac:dyDescent="0.25">
      <c r="S413" s="1"/>
    </row>
    <row r="414" spans="19:19" x14ac:dyDescent="0.25">
      <c r="S414" s="1"/>
    </row>
    <row r="415" spans="19:19" x14ac:dyDescent="0.25">
      <c r="S415" s="1"/>
    </row>
    <row r="416" spans="19:19" x14ac:dyDescent="0.25">
      <c r="S416" s="1"/>
    </row>
    <row r="417" spans="19:19" x14ac:dyDescent="0.25">
      <c r="S417" s="1"/>
    </row>
    <row r="418" spans="19:19" x14ac:dyDescent="0.25">
      <c r="S418" s="1"/>
    </row>
    <row r="419" spans="19:19" x14ac:dyDescent="0.25">
      <c r="S419" s="1"/>
    </row>
    <row r="420" spans="19:19" x14ac:dyDescent="0.25">
      <c r="S420" s="1"/>
    </row>
    <row r="421" spans="19:19" x14ac:dyDescent="0.25">
      <c r="S421" s="1"/>
    </row>
    <row r="422" spans="19:19" x14ac:dyDescent="0.25">
      <c r="S422" s="1"/>
    </row>
    <row r="423" spans="19:19" x14ac:dyDescent="0.25">
      <c r="S423" s="1"/>
    </row>
    <row r="424" spans="19:19" x14ac:dyDescent="0.25">
      <c r="S424" s="1"/>
    </row>
    <row r="425" spans="19:19" x14ac:dyDescent="0.25">
      <c r="S425" s="1"/>
    </row>
    <row r="426" spans="19:19" x14ac:dyDescent="0.25">
      <c r="S426" s="1"/>
    </row>
    <row r="427" spans="19:19" x14ac:dyDescent="0.25">
      <c r="S427" s="1"/>
    </row>
    <row r="428" spans="19:19" x14ac:dyDescent="0.25">
      <c r="S428" s="1"/>
    </row>
    <row r="429" spans="19:19" x14ac:dyDescent="0.25">
      <c r="S429" s="1"/>
    </row>
    <row r="430" spans="19:19" x14ac:dyDescent="0.25">
      <c r="S430" s="1"/>
    </row>
    <row r="431" spans="19:19" x14ac:dyDescent="0.25">
      <c r="S431" s="1"/>
    </row>
    <row r="432" spans="19:19" x14ac:dyDescent="0.25">
      <c r="S432" s="1"/>
    </row>
    <row r="433" spans="19:19" x14ac:dyDescent="0.25">
      <c r="S433" s="1"/>
    </row>
    <row r="434" spans="19:19" x14ac:dyDescent="0.25">
      <c r="S434" s="1"/>
    </row>
    <row r="435" spans="19:19" x14ac:dyDescent="0.25">
      <c r="S435" s="1"/>
    </row>
    <row r="436" spans="19:19" x14ac:dyDescent="0.25">
      <c r="S436" s="1"/>
    </row>
    <row r="437" spans="19:19" x14ac:dyDescent="0.25">
      <c r="S437" s="1"/>
    </row>
    <row r="438" spans="19:19" x14ac:dyDescent="0.25">
      <c r="S438" s="1"/>
    </row>
    <row r="439" spans="19:19" x14ac:dyDescent="0.25">
      <c r="S439" s="1"/>
    </row>
    <row r="440" spans="19:19" x14ac:dyDescent="0.25">
      <c r="S440" s="1"/>
    </row>
    <row r="441" spans="19:19" x14ac:dyDescent="0.25">
      <c r="S441" s="1"/>
    </row>
    <row r="442" spans="19:19" x14ac:dyDescent="0.25">
      <c r="S442" s="1"/>
    </row>
    <row r="443" spans="19:19" x14ac:dyDescent="0.25">
      <c r="S443" s="1"/>
    </row>
    <row r="444" spans="19:19" x14ac:dyDescent="0.25">
      <c r="S444" s="1"/>
    </row>
    <row r="445" spans="19:19" x14ac:dyDescent="0.25">
      <c r="S445" s="1"/>
    </row>
    <row r="446" spans="19:19" x14ac:dyDescent="0.25">
      <c r="S446" s="1"/>
    </row>
    <row r="447" spans="19:19" x14ac:dyDescent="0.25">
      <c r="S447" s="1"/>
    </row>
    <row r="448" spans="19:19" x14ac:dyDescent="0.25">
      <c r="S448" s="1"/>
    </row>
    <row r="449" spans="19:19" x14ac:dyDescent="0.25">
      <c r="S449" s="1"/>
    </row>
    <row r="450" spans="19:19" x14ac:dyDescent="0.25">
      <c r="S450" s="1"/>
    </row>
    <row r="451" spans="19:19" x14ac:dyDescent="0.25">
      <c r="S451" s="1"/>
    </row>
    <row r="452" spans="19:19" x14ac:dyDescent="0.25">
      <c r="S452" s="1"/>
    </row>
    <row r="453" spans="19:19" x14ac:dyDescent="0.25">
      <c r="S453" s="1"/>
    </row>
    <row r="454" spans="19:19" x14ac:dyDescent="0.25">
      <c r="S454" s="1"/>
    </row>
    <row r="455" spans="19:19" x14ac:dyDescent="0.25">
      <c r="S455" s="1"/>
    </row>
    <row r="456" spans="19:19" x14ac:dyDescent="0.25">
      <c r="S456" s="1"/>
    </row>
    <row r="457" spans="19:19" x14ac:dyDescent="0.25">
      <c r="S457" s="1"/>
    </row>
    <row r="458" spans="19:19" x14ac:dyDescent="0.25">
      <c r="S458" s="1"/>
    </row>
    <row r="459" spans="19:19" x14ac:dyDescent="0.25">
      <c r="S459" s="1"/>
    </row>
    <row r="460" spans="19:19" x14ac:dyDescent="0.25">
      <c r="S460" s="1"/>
    </row>
    <row r="461" spans="19:19" x14ac:dyDescent="0.25">
      <c r="S461" s="1"/>
    </row>
    <row r="462" spans="19:19" x14ac:dyDescent="0.25">
      <c r="S462" s="1"/>
    </row>
    <row r="463" spans="19:19" x14ac:dyDescent="0.25">
      <c r="S463" s="1"/>
    </row>
    <row r="464" spans="19:19" x14ac:dyDescent="0.25">
      <c r="S464" s="1"/>
    </row>
    <row r="465" spans="19:19" x14ac:dyDescent="0.25">
      <c r="S465" s="1"/>
    </row>
    <row r="466" spans="19:19" x14ac:dyDescent="0.25">
      <c r="S466" s="1"/>
    </row>
    <row r="467" spans="19:19" x14ac:dyDescent="0.25">
      <c r="S467" s="1"/>
    </row>
    <row r="468" spans="19:19" x14ac:dyDescent="0.25">
      <c r="S468" s="1"/>
    </row>
    <row r="469" spans="19:19" x14ac:dyDescent="0.25">
      <c r="S469" s="1"/>
    </row>
    <row r="470" spans="19:19" x14ac:dyDescent="0.25">
      <c r="S470" s="1"/>
    </row>
    <row r="471" spans="19:19" x14ac:dyDescent="0.25">
      <c r="S471" s="1"/>
    </row>
    <row r="472" spans="19:19" x14ac:dyDescent="0.25">
      <c r="S472" s="1"/>
    </row>
    <row r="473" spans="19:19" x14ac:dyDescent="0.25">
      <c r="S473" s="1"/>
    </row>
    <row r="474" spans="19:19" x14ac:dyDescent="0.25">
      <c r="S474" s="1"/>
    </row>
    <row r="475" spans="19:19" x14ac:dyDescent="0.25">
      <c r="S475" s="1"/>
    </row>
    <row r="476" spans="19:19" x14ac:dyDescent="0.25">
      <c r="S476" s="1"/>
    </row>
    <row r="477" spans="19:19" x14ac:dyDescent="0.25">
      <c r="S477" s="1"/>
    </row>
    <row r="478" spans="19:19" x14ac:dyDescent="0.25">
      <c r="S478" s="1"/>
    </row>
    <row r="479" spans="19:19" x14ac:dyDescent="0.25">
      <c r="S479" s="1"/>
    </row>
    <row r="480" spans="19:19" x14ac:dyDescent="0.25">
      <c r="S480" s="1"/>
    </row>
    <row r="481" spans="19:19" x14ac:dyDescent="0.25">
      <c r="S481" s="1"/>
    </row>
    <row r="482" spans="19:19" x14ac:dyDescent="0.25">
      <c r="S482" s="1"/>
    </row>
    <row r="483" spans="19:19" x14ac:dyDescent="0.25">
      <c r="S483" s="1"/>
    </row>
    <row r="484" spans="19:19" x14ac:dyDescent="0.25">
      <c r="S484" s="1"/>
    </row>
    <row r="485" spans="19:19" x14ac:dyDescent="0.25">
      <c r="S485" s="1"/>
    </row>
    <row r="486" spans="19:19" x14ac:dyDescent="0.25">
      <c r="S486" s="1"/>
    </row>
    <row r="487" spans="19:19" x14ac:dyDescent="0.25">
      <c r="S487" s="1"/>
    </row>
    <row r="488" spans="19:19" x14ac:dyDescent="0.25">
      <c r="S488" s="1"/>
    </row>
    <row r="489" spans="19:19" x14ac:dyDescent="0.25">
      <c r="S489" s="1"/>
    </row>
    <row r="490" spans="19:19" x14ac:dyDescent="0.25">
      <c r="S490" s="1"/>
    </row>
    <row r="491" spans="19:19" x14ac:dyDescent="0.25">
      <c r="S491" s="1"/>
    </row>
    <row r="492" spans="19:19" x14ac:dyDescent="0.25">
      <c r="S492" s="1"/>
    </row>
    <row r="493" spans="19:19" x14ac:dyDescent="0.25">
      <c r="S493" s="1"/>
    </row>
    <row r="494" spans="19:19" x14ac:dyDescent="0.25">
      <c r="S494" s="1"/>
    </row>
    <row r="495" spans="19:19" x14ac:dyDescent="0.25">
      <c r="S495" s="1"/>
    </row>
    <row r="496" spans="19:19" x14ac:dyDescent="0.25">
      <c r="S496" s="1"/>
    </row>
    <row r="497" spans="19:19" x14ac:dyDescent="0.25">
      <c r="S497" s="1"/>
    </row>
    <row r="498" spans="19:19" x14ac:dyDescent="0.25">
      <c r="S498" s="1"/>
    </row>
    <row r="499" spans="19:19" x14ac:dyDescent="0.25">
      <c r="S499" s="1"/>
    </row>
    <row r="500" spans="19:19" x14ac:dyDescent="0.25">
      <c r="S500" s="1"/>
    </row>
    <row r="501" spans="19:19" x14ac:dyDescent="0.25">
      <c r="S501" s="1"/>
    </row>
    <row r="502" spans="19:19" x14ac:dyDescent="0.25">
      <c r="S502" s="1"/>
    </row>
    <row r="503" spans="19:19" x14ac:dyDescent="0.25">
      <c r="S503" s="1"/>
    </row>
    <row r="504" spans="19:19" x14ac:dyDescent="0.25">
      <c r="S504" s="1"/>
    </row>
    <row r="505" spans="19:19" x14ac:dyDescent="0.25">
      <c r="S505" s="1"/>
    </row>
    <row r="506" spans="19:19" x14ac:dyDescent="0.25">
      <c r="S506" s="1"/>
    </row>
    <row r="507" spans="19:19" x14ac:dyDescent="0.25">
      <c r="S507" s="1"/>
    </row>
    <row r="508" spans="19:19" x14ac:dyDescent="0.25">
      <c r="S508" s="1"/>
    </row>
    <row r="509" spans="19:19" x14ac:dyDescent="0.25">
      <c r="S509" s="1"/>
    </row>
    <row r="510" spans="19:19" x14ac:dyDescent="0.25">
      <c r="S510" s="1"/>
    </row>
    <row r="511" spans="19:19" x14ac:dyDescent="0.25">
      <c r="S511" s="1"/>
    </row>
    <row r="512" spans="19:19" x14ac:dyDescent="0.25">
      <c r="S512" s="1"/>
    </row>
    <row r="513" spans="19:19" x14ac:dyDescent="0.25">
      <c r="S513" s="1"/>
    </row>
    <row r="514" spans="19:19" x14ac:dyDescent="0.25">
      <c r="S514" s="1"/>
    </row>
    <row r="515" spans="19:19" x14ac:dyDescent="0.25">
      <c r="S515" s="1"/>
    </row>
    <row r="516" spans="19:19" x14ac:dyDescent="0.25">
      <c r="S516" s="1"/>
    </row>
    <row r="517" spans="19:19" x14ac:dyDescent="0.25">
      <c r="S517" s="1"/>
    </row>
    <row r="518" spans="19:19" x14ac:dyDescent="0.25">
      <c r="S518" s="1"/>
    </row>
    <row r="519" spans="19:19" x14ac:dyDescent="0.25">
      <c r="S519" s="1"/>
    </row>
    <row r="520" spans="19:19" x14ac:dyDescent="0.25">
      <c r="S520" s="1"/>
    </row>
    <row r="521" spans="19:19" x14ac:dyDescent="0.25">
      <c r="S521" s="1"/>
    </row>
    <row r="522" spans="19:19" x14ac:dyDescent="0.25">
      <c r="S522" s="1"/>
    </row>
    <row r="523" spans="19:19" x14ac:dyDescent="0.25">
      <c r="S523" s="1"/>
    </row>
    <row r="524" spans="19:19" x14ac:dyDescent="0.25">
      <c r="S524" s="1"/>
    </row>
    <row r="525" spans="19:19" x14ac:dyDescent="0.25">
      <c r="S525" s="1"/>
    </row>
    <row r="526" spans="19:19" x14ac:dyDescent="0.25">
      <c r="S526" s="1"/>
    </row>
    <row r="527" spans="19:19" x14ac:dyDescent="0.25">
      <c r="S527" s="1"/>
    </row>
    <row r="528" spans="19:19" x14ac:dyDescent="0.25">
      <c r="S528" s="1"/>
    </row>
    <row r="529" spans="19:19" x14ac:dyDescent="0.25">
      <c r="S529" s="1"/>
    </row>
    <row r="530" spans="19:19" x14ac:dyDescent="0.25">
      <c r="S530" s="1"/>
    </row>
    <row r="531" spans="19:19" x14ac:dyDescent="0.25">
      <c r="S531" s="1"/>
    </row>
    <row r="532" spans="19:19" x14ac:dyDescent="0.25">
      <c r="S532" s="1"/>
    </row>
    <row r="533" spans="19:19" x14ac:dyDescent="0.25">
      <c r="S533" s="1"/>
    </row>
    <row r="534" spans="19:19" x14ac:dyDescent="0.25">
      <c r="S534" s="1"/>
    </row>
    <row r="535" spans="19:19" x14ac:dyDescent="0.25">
      <c r="S535" s="1"/>
    </row>
    <row r="536" spans="19:19" x14ac:dyDescent="0.25">
      <c r="S536" s="1"/>
    </row>
    <row r="537" spans="19:19" x14ac:dyDescent="0.25">
      <c r="S537" s="1"/>
    </row>
    <row r="538" spans="19:19" x14ac:dyDescent="0.25">
      <c r="S538" s="1"/>
    </row>
    <row r="539" spans="19:19" x14ac:dyDescent="0.25">
      <c r="S539" s="1"/>
    </row>
    <row r="540" spans="19:19" x14ac:dyDescent="0.25">
      <c r="S540" s="1"/>
    </row>
    <row r="541" spans="19:19" x14ac:dyDescent="0.25">
      <c r="S541" s="1"/>
    </row>
    <row r="542" spans="19:19" x14ac:dyDescent="0.25">
      <c r="S542" s="1"/>
    </row>
    <row r="543" spans="19:19" x14ac:dyDescent="0.25">
      <c r="S543" s="1"/>
    </row>
    <row r="544" spans="19:19" x14ac:dyDescent="0.25">
      <c r="S544" s="1"/>
    </row>
    <row r="545" spans="19:19" x14ac:dyDescent="0.25">
      <c r="S545" s="1"/>
    </row>
    <row r="546" spans="19:19" x14ac:dyDescent="0.25">
      <c r="S546" s="1"/>
    </row>
    <row r="547" spans="19:19" x14ac:dyDescent="0.25">
      <c r="S547" s="1"/>
    </row>
    <row r="548" spans="19:19" x14ac:dyDescent="0.25">
      <c r="S548" s="1"/>
    </row>
    <row r="549" spans="19:19" x14ac:dyDescent="0.25">
      <c r="S549" s="1"/>
    </row>
    <row r="550" spans="19:19" x14ac:dyDescent="0.25">
      <c r="S550" s="1"/>
    </row>
    <row r="551" spans="19:19" x14ac:dyDescent="0.25">
      <c r="S551" s="1"/>
    </row>
    <row r="552" spans="19:19" x14ac:dyDescent="0.25">
      <c r="S552" s="1"/>
    </row>
    <row r="553" spans="19:19" x14ac:dyDescent="0.25">
      <c r="S553" s="1"/>
    </row>
    <row r="554" spans="19:19" x14ac:dyDescent="0.25">
      <c r="S554" s="1"/>
    </row>
    <row r="555" spans="19:19" x14ac:dyDescent="0.25">
      <c r="S555" s="1"/>
    </row>
    <row r="556" spans="19:19" x14ac:dyDescent="0.25">
      <c r="S556" s="1"/>
    </row>
    <row r="557" spans="19:19" x14ac:dyDescent="0.25">
      <c r="S557" s="1"/>
    </row>
    <row r="558" spans="19:19" x14ac:dyDescent="0.25">
      <c r="S558" s="1"/>
    </row>
    <row r="559" spans="19:19" x14ac:dyDescent="0.25">
      <c r="S559" s="1"/>
    </row>
    <row r="560" spans="19:19" x14ac:dyDescent="0.25">
      <c r="S560" s="1"/>
    </row>
    <row r="561" spans="19:19" x14ac:dyDescent="0.25">
      <c r="S561" s="1"/>
    </row>
    <row r="562" spans="19:19" x14ac:dyDescent="0.25">
      <c r="S562" s="1"/>
    </row>
    <row r="563" spans="19:19" x14ac:dyDescent="0.25">
      <c r="S563" s="1"/>
    </row>
    <row r="564" spans="19:19" x14ac:dyDescent="0.25">
      <c r="S564" s="1"/>
    </row>
    <row r="565" spans="19:19" x14ac:dyDescent="0.25">
      <c r="S565" s="1"/>
    </row>
    <row r="566" spans="19:19" x14ac:dyDescent="0.25">
      <c r="S566" s="1"/>
    </row>
    <row r="567" spans="19:19" x14ac:dyDescent="0.25">
      <c r="S567" s="1"/>
    </row>
    <row r="568" spans="19:19" x14ac:dyDescent="0.25">
      <c r="S568" s="1"/>
    </row>
    <row r="569" spans="19:19" x14ac:dyDescent="0.25">
      <c r="S569" s="1"/>
    </row>
    <row r="570" spans="19:19" x14ac:dyDescent="0.25">
      <c r="S570" s="1"/>
    </row>
    <row r="571" spans="19:19" x14ac:dyDescent="0.25">
      <c r="S571" s="1"/>
    </row>
    <row r="572" spans="19:19" x14ac:dyDescent="0.25">
      <c r="S572" s="1"/>
    </row>
    <row r="573" spans="19:19" x14ac:dyDescent="0.25">
      <c r="S573" s="1"/>
    </row>
    <row r="574" spans="19:19" x14ac:dyDescent="0.25">
      <c r="S574" s="1"/>
    </row>
    <row r="575" spans="19:19" x14ac:dyDescent="0.25">
      <c r="S575" s="1"/>
    </row>
    <row r="576" spans="19:19" x14ac:dyDescent="0.25">
      <c r="S576" s="1"/>
    </row>
    <row r="577" spans="19:19" x14ac:dyDescent="0.25">
      <c r="S577" s="1"/>
    </row>
    <row r="578" spans="19:19" x14ac:dyDescent="0.25">
      <c r="S578" s="1"/>
    </row>
    <row r="579" spans="19:19" x14ac:dyDescent="0.25">
      <c r="S579" s="1"/>
    </row>
    <row r="580" spans="19:19" x14ac:dyDescent="0.25">
      <c r="S580" s="1"/>
    </row>
    <row r="581" spans="19:19" x14ac:dyDescent="0.25">
      <c r="S581" s="1"/>
    </row>
    <row r="582" spans="19:19" x14ac:dyDescent="0.25">
      <c r="S582" s="1"/>
    </row>
    <row r="583" spans="19:19" x14ac:dyDescent="0.25">
      <c r="S583" s="1"/>
    </row>
    <row r="584" spans="19:19" x14ac:dyDescent="0.25">
      <c r="S584" s="1"/>
    </row>
    <row r="585" spans="19:19" x14ac:dyDescent="0.25">
      <c r="S585" s="1"/>
    </row>
    <row r="586" spans="19:19" x14ac:dyDescent="0.25">
      <c r="S586" s="1"/>
    </row>
    <row r="587" spans="19:19" x14ac:dyDescent="0.25">
      <c r="S587" s="1"/>
    </row>
    <row r="588" spans="19:19" x14ac:dyDescent="0.25">
      <c r="S588" s="1"/>
    </row>
    <row r="589" spans="19:19" x14ac:dyDescent="0.25">
      <c r="S589" s="1"/>
    </row>
    <row r="590" spans="19:19" x14ac:dyDescent="0.25">
      <c r="S590" s="1"/>
    </row>
    <row r="591" spans="19:19" x14ac:dyDescent="0.25">
      <c r="S591" s="1"/>
    </row>
    <row r="592" spans="19:19" x14ac:dyDescent="0.25">
      <c r="S592" s="1"/>
    </row>
    <row r="593" spans="19:19" x14ac:dyDescent="0.25">
      <c r="S593" s="1"/>
    </row>
    <row r="594" spans="19:19" x14ac:dyDescent="0.25">
      <c r="S594" s="1"/>
    </row>
    <row r="595" spans="19:19" x14ac:dyDescent="0.25">
      <c r="S595" s="1"/>
    </row>
    <row r="596" spans="19:19" x14ac:dyDescent="0.25">
      <c r="S596" s="1"/>
    </row>
    <row r="597" spans="19:19" x14ac:dyDescent="0.25">
      <c r="S597" s="1"/>
    </row>
    <row r="598" spans="19:19" x14ac:dyDescent="0.25">
      <c r="S598" s="1"/>
    </row>
    <row r="599" spans="19:19" x14ac:dyDescent="0.25">
      <c r="S599" s="1"/>
    </row>
    <row r="600" spans="19:19" x14ac:dyDescent="0.25">
      <c r="S600" s="1"/>
    </row>
    <row r="601" spans="19:19" x14ac:dyDescent="0.25">
      <c r="S601" s="1"/>
    </row>
    <row r="602" spans="19:19" x14ac:dyDescent="0.25">
      <c r="S602" s="1"/>
    </row>
    <row r="603" spans="19:19" x14ac:dyDescent="0.25">
      <c r="S603" s="1"/>
    </row>
    <row r="604" spans="19:19" x14ac:dyDescent="0.25">
      <c r="S604" s="1"/>
    </row>
    <row r="605" spans="19:19" x14ac:dyDescent="0.25">
      <c r="S605" s="1"/>
    </row>
    <row r="606" spans="19:19" x14ac:dyDescent="0.25">
      <c r="S606" s="1"/>
    </row>
    <row r="607" spans="19:19" x14ac:dyDescent="0.25">
      <c r="S607" s="1"/>
    </row>
    <row r="608" spans="19:19" x14ac:dyDescent="0.25">
      <c r="S608" s="1"/>
    </row>
    <row r="609" spans="19:19" x14ac:dyDescent="0.25">
      <c r="S609" s="1"/>
    </row>
    <row r="610" spans="19:19" x14ac:dyDescent="0.25">
      <c r="S610" s="1"/>
    </row>
    <row r="611" spans="19:19" x14ac:dyDescent="0.25">
      <c r="S611" s="1"/>
    </row>
    <row r="612" spans="19:19" x14ac:dyDescent="0.25">
      <c r="S612" s="1"/>
    </row>
    <row r="613" spans="19:19" x14ac:dyDescent="0.25">
      <c r="S613" s="1"/>
    </row>
    <row r="614" spans="19:19" x14ac:dyDescent="0.25">
      <c r="S614" s="1"/>
    </row>
    <row r="615" spans="19:19" x14ac:dyDescent="0.25">
      <c r="S615" s="1"/>
    </row>
    <row r="616" spans="19:19" x14ac:dyDescent="0.25">
      <c r="S616" s="1"/>
    </row>
    <row r="617" spans="19:19" x14ac:dyDescent="0.25">
      <c r="S617" s="1"/>
    </row>
    <row r="618" spans="19:19" x14ac:dyDescent="0.25">
      <c r="S618" s="1"/>
    </row>
    <row r="619" spans="19:19" x14ac:dyDescent="0.25">
      <c r="S619" s="1"/>
    </row>
    <row r="620" spans="19:19" x14ac:dyDescent="0.25">
      <c r="S620" s="1"/>
    </row>
    <row r="621" spans="19:19" x14ac:dyDescent="0.25">
      <c r="S621" s="1"/>
    </row>
    <row r="622" spans="19:19" x14ac:dyDescent="0.25">
      <c r="S622" s="1"/>
    </row>
    <row r="623" spans="19:19" x14ac:dyDescent="0.25">
      <c r="S623" s="1"/>
    </row>
    <row r="624" spans="19:19" x14ac:dyDescent="0.25">
      <c r="S624" s="1"/>
    </row>
    <row r="625" spans="19:19" x14ac:dyDescent="0.25">
      <c r="S625" s="1"/>
    </row>
    <row r="626" spans="19:19" x14ac:dyDescent="0.25">
      <c r="S626" s="1"/>
    </row>
    <row r="627" spans="19:19" x14ac:dyDescent="0.25">
      <c r="S627" s="1"/>
    </row>
    <row r="628" spans="19:19" x14ac:dyDescent="0.25">
      <c r="S628" s="1"/>
    </row>
    <row r="629" spans="19:19" x14ac:dyDescent="0.25">
      <c r="S629" s="1"/>
    </row>
    <row r="630" spans="19:19" x14ac:dyDescent="0.25">
      <c r="S630" s="1"/>
    </row>
    <row r="631" spans="19:19" x14ac:dyDescent="0.25">
      <c r="S631" s="1"/>
    </row>
    <row r="632" spans="19:19" x14ac:dyDescent="0.25">
      <c r="S632" s="1"/>
    </row>
    <row r="633" spans="19:19" x14ac:dyDescent="0.25">
      <c r="S633" s="1"/>
    </row>
    <row r="634" spans="19:19" x14ac:dyDescent="0.25">
      <c r="S634" s="1"/>
    </row>
    <row r="635" spans="19:19" x14ac:dyDescent="0.25">
      <c r="S635" s="1"/>
    </row>
    <row r="636" spans="19:19" x14ac:dyDescent="0.25">
      <c r="S636" s="1"/>
    </row>
    <row r="637" spans="19:19" x14ac:dyDescent="0.25">
      <c r="S637" s="1"/>
    </row>
    <row r="638" spans="19:19" x14ac:dyDescent="0.25">
      <c r="S638" s="1"/>
    </row>
    <row r="639" spans="19:19" x14ac:dyDescent="0.25">
      <c r="S639" s="1"/>
    </row>
    <row r="640" spans="19:19" x14ac:dyDescent="0.25">
      <c r="S640" s="1"/>
    </row>
    <row r="641" spans="19:19" x14ac:dyDescent="0.25">
      <c r="S641" s="1"/>
    </row>
    <row r="642" spans="19:19" x14ac:dyDescent="0.25">
      <c r="S642" s="1"/>
    </row>
    <row r="643" spans="19:19" x14ac:dyDescent="0.25">
      <c r="S643" s="1"/>
    </row>
    <row r="644" spans="19:19" x14ac:dyDescent="0.25">
      <c r="S644" s="1"/>
    </row>
    <row r="645" spans="19:19" x14ac:dyDescent="0.25">
      <c r="S645" s="1"/>
    </row>
    <row r="646" spans="19:19" x14ac:dyDescent="0.25">
      <c r="S646" s="1"/>
    </row>
    <row r="647" spans="19:19" x14ac:dyDescent="0.25">
      <c r="S647" s="1"/>
    </row>
    <row r="648" spans="19:19" x14ac:dyDescent="0.25">
      <c r="S648" s="1"/>
    </row>
    <row r="649" spans="19:19" x14ac:dyDescent="0.25">
      <c r="S649" s="1"/>
    </row>
    <row r="650" spans="19:19" x14ac:dyDescent="0.25">
      <c r="S650" s="1"/>
    </row>
    <row r="651" spans="19:19" x14ac:dyDescent="0.25">
      <c r="S651" s="1"/>
    </row>
    <row r="652" spans="19:19" x14ac:dyDescent="0.25">
      <c r="S652" s="1"/>
    </row>
    <row r="653" spans="19:19" x14ac:dyDescent="0.25">
      <c r="S653" s="1"/>
    </row>
    <row r="654" spans="19:19" x14ac:dyDescent="0.25">
      <c r="S654" s="1"/>
    </row>
    <row r="655" spans="19:19" x14ac:dyDescent="0.25">
      <c r="S655" s="1"/>
    </row>
    <row r="656" spans="19:19" x14ac:dyDescent="0.25">
      <c r="S656" s="1"/>
    </row>
    <row r="657" spans="19:19" x14ac:dyDescent="0.25">
      <c r="S657" s="1"/>
    </row>
    <row r="658" spans="19:19" x14ac:dyDescent="0.25">
      <c r="S658" s="1"/>
    </row>
    <row r="659" spans="19:19" x14ac:dyDescent="0.25">
      <c r="S659" s="1"/>
    </row>
    <row r="660" spans="19:19" x14ac:dyDescent="0.25">
      <c r="S660" s="1"/>
    </row>
    <row r="661" spans="19:19" x14ac:dyDescent="0.25">
      <c r="S661" s="1"/>
    </row>
    <row r="662" spans="19:19" x14ac:dyDescent="0.25">
      <c r="S662" s="1"/>
    </row>
    <row r="663" spans="19:19" x14ac:dyDescent="0.25">
      <c r="S663" s="1"/>
    </row>
    <row r="664" spans="19:19" x14ac:dyDescent="0.25">
      <c r="S664" s="1"/>
    </row>
    <row r="665" spans="19:19" x14ac:dyDescent="0.25">
      <c r="S665" s="1"/>
    </row>
    <row r="666" spans="19:19" x14ac:dyDescent="0.25">
      <c r="S666" s="1"/>
    </row>
    <row r="667" spans="19:19" x14ac:dyDescent="0.25">
      <c r="S667" s="1"/>
    </row>
    <row r="668" spans="19:19" x14ac:dyDescent="0.25">
      <c r="S668" s="1"/>
    </row>
    <row r="669" spans="19:19" x14ac:dyDescent="0.25">
      <c r="S669" s="1"/>
    </row>
    <row r="670" spans="19:19" x14ac:dyDescent="0.25">
      <c r="S670" s="1"/>
    </row>
    <row r="671" spans="19:19" x14ac:dyDescent="0.25">
      <c r="S671" s="1"/>
    </row>
    <row r="672" spans="19:19" x14ac:dyDescent="0.25">
      <c r="S672" s="1"/>
    </row>
    <row r="673" spans="19:19" x14ac:dyDescent="0.25">
      <c r="S673" s="1"/>
    </row>
    <row r="674" spans="19:19" x14ac:dyDescent="0.25">
      <c r="S674" s="1"/>
    </row>
    <row r="675" spans="19:19" x14ac:dyDescent="0.25">
      <c r="S675" s="1"/>
    </row>
    <row r="676" spans="19:19" x14ac:dyDescent="0.25">
      <c r="S676" s="1"/>
    </row>
    <row r="677" spans="19:19" x14ac:dyDescent="0.25">
      <c r="S677" s="1"/>
    </row>
    <row r="678" spans="19:19" x14ac:dyDescent="0.25">
      <c r="S678" s="1"/>
    </row>
    <row r="679" spans="19:19" x14ac:dyDescent="0.25">
      <c r="S679" s="1"/>
    </row>
    <row r="680" spans="19:19" x14ac:dyDescent="0.25">
      <c r="S680" s="1"/>
    </row>
    <row r="681" spans="19:19" x14ac:dyDescent="0.25">
      <c r="S681" s="1"/>
    </row>
    <row r="682" spans="19:19" x14ac:dyDescent="0.25">
      <c r="S682" s="1"/>
    </row>
    <row r="683" spans="19:19" x14ac:dyDescent="0.25">
      <c r="S683" s="1"/>
    </row>
    <row r="684" spans="19:19" x14ac:dyDescent="0.25">
      <c r="S684" s="1"/>
    </row>
    <row r="685" spans="19:19" x14ac:dyDescent="0.25">
      <c r="S685" s="1"/>
    </row>
    <row r="686" spans="19:19" x14ac:dyDescent="0.25">
      <c r="S686" s="1"/>
    </row>
    <row r="687" spans="19:19" x14ac:dyDescent="0.25">
      <c r="S687" s="1"/>
    </row>
    <row r="688" spans="19:19" x14ac:dyDescent="0.25">
      <c r="S688" s="1"/>
    </row>
    <row r="689" spans="19:19" x14ac:dyDescent="0.25">
      <c r="S689" s="1"/>
    </row>
    <row r="690" spans="19:19" x14ac:dyDescent="0.25">
      <c r="S690" s="1"/>
    </row>
    <row r="691" spans="19:19" x14ac:dyDescent="0.25">
      <c r="S691" s="1"/>
    </row>
    <row r="692" spans="19:19" x14ac:dyDescent="0.25">
      <c r="S692" s="1"/>
    </row>
    <row r="693" spans="19:19" x14ac:dyDescent="0.25">
      <c r="S693" s="1"/>
    </row>
    <row r="694" spans="19:19" x14ac:dyDescent="0.25">
      <c r="S694" s="1"/>
    </row>
    <row r="695" spans="19:19" x14ac:dyDescent="0.25">
      <c r="S695" s="1"/>
    </row>
    <row r="696" spans="19:19" x14ac:dyDescent="0.25">
      <c r="S696" s="1"/>
    </row>
    <row r="697" spans="19:19" x14ac:dyDescent="0.25">
      <c r="S697" s="1"/>
    </row>
    <row r="698" spans="19:19" x14ac:dyDescent="0.25">
      <c r="S698" s="1"/>
    </row>
    <row r="699" spans="19:19" x14ac:dyDescent="0.25">
      <c r="S699" s="1"/>
    </row>
    <row r="700" spans="19:19" x14ac:dyDescent="0.25">
      <c r="S700" s="1"/>
    </row>
    <row r="701" spans="19:19" x14ac:dyDescent="0.25">
      <c r="S701" s="1"/>
    </row>
    <row r="702" spans="19:19" x14ac:dyDescent="0.25">
      <c r="S702" s="1"/>
    </row>
    <row r="703" spans="19:19" x14ac:dyDescent="0.25">
      <c r="S703" s="1"/>
    </row>
    <row r="704" spans="19:19" x14ac:dyDescent="0.25">
      <c r="S704" s="1"/>
    </row>
    <row r="705" spans="19:19" x14ac:dyDescent="0.25">
      <c r="S705" s="1"/>
    </row>
    <row r="706" spans="19:19" x14ac:dyDescent="0.25">
      <c r="S706" s="1"/>
    </row>
    <row r="707" spans="19:19" x14ac:dyDescent="0.25">
      <c r="S707" s="1"/>
    </row>
    <row r="708" spans="19:19" x14ac:dyDescent="0.25">
      <c r="S708" s="1"/>
    </row>
    <row r="709" spans="19:19" x14ac:dyDescent="0.25">
      <c r="S709" s="1"/>
    </row>
    <row r="710" spans="19:19" x14ac:dyDescent="0.25">
      <c r="S710" s="1"/>
    </row>
    <row r="711" spans="19:19" x14ac:dyDescent="0.25">
      <c r="S711" s="1"/>
    </row>
    <row r="712" spans="19:19" x14ac:dyDescent="0.25">
      <c r="S712" s="1"/>
    </row>
    <row r="713" spans="19:19" x14ac:dyDescent="0.25">
      <c r="S713" s="1"/>
    </row>
    <row r="714" spans="19:19" x14ac:dyDescent="0.25">
      <c r="S714" s="1"/>
    </row>
    <row r="715" spans="19:19" x14ac:dyDescent="0.25">
      <c r="S715" s="1"/>
    </row>
    <row r="716" spans="19:19" x14ac:dyDescent="0.25">
      <c r="S716" s="1"/>
    </row>
    <row r="717" spans="19:19" x14ac:dyDescent="0.25">
      <c r="S717" s="1"/>
    </row>
    <row r="718" spans="19:19" x14ac:dyDescent="0.25">
      <c r="S718" s="1"/>
    </row>
    <row r="719" spans="19:19" x14ac:dyDescent="0.25">
      <c r="S719" s="1"/>
    </row>
    <row r="720" spans="19:19" x14ac:dyDescent="0.25">
      <c r="S720" s="1"/>
    </row>
    <row r="721" spans="19:19" x14ac:dyDescent="0.25">
      <c r="S721" s="1"/>
    </row>
    <row r="722" spans="19:19" x14ac:dyDescent="0.25">
      <c r="S722" s="1"/>
    </row>
    <row r="723" spans="19:19" x14ac:dyDescent="0.25">
      <c r="S723" s="1"/>
    </row>
    <row r="724" spans="19:19" x14ac:dyDescent="0.25">
      <c r="S724" s="1"/>
    </row>
    <row r="725" spans="19:19" x14ac:dyDescent="0.25">
      <c r="S725" s="1"/>
    </row>
    <row r="726" spans="19:19" x14ac:dyDescent="0.25">
      <c r="S726" s="1"/>
    </row>
    <row r="727" spans="19:19" x14ac:dyDescent="0.25">
      <c r="S727" s="1"/>
    </row>
    <row r="728" spans="19:19" x14ac:dyDescent="0.25">
      <c r="S728" s="1"/>
    </row>
    <row r="729" spans="19:19" x14ac:dyDescent="0.25">
      <c r="S729" s="1"/>
    </row>
    <row r="730" spans="19:19" x14ac:dyDescent="0.25">
      <c r="S730" s="1"/>
    </row>
    <row r="731" spans="19:19" x14ac:dyDescent="0.25">
      <c r="S731" s="1"/>
    </row>
    <row r="732" spans="19:19" x14ac:dyDescent="0.25">
      <c r="S732" s="1"/>
    </row>
    <row r="733" spans="19:19" x14ac:dyDescent="0.25">
      <c r="S733" s="1"/>
    </row>
    <row r="734" spans="19:19" x14ac:dyDescent="0.25">
      <c r="S734" s="1"/>
    </row>
    <row r="735" spans="19:19" x14ac:dyDescent="0.25">
      <c r="S735" s="1"/>
    </row>
    <row r="736" spans="19:19" x14ac:dyDescent="0.25">
      <c r="S736" s="1"/>
    </row>
    <row r="737" spans="19:19" x14ac:dyDescent="0.25">
      <c r="S737" s="1"/>
    </row>
    <row r="738" spans="19:19" x14ac:dyDescent="0.25">
      <c r="S738" s="1"/>
    </row>
    <row r="739" spans="19:19" x14ac:dyDescent="0.25">
      <c r="S739" s="1"/>
    </row>
    <row r="740" spans="19:19" x14ac:dyDescent="0.25">
      <c r="S740" s="1"/>
    </row>
    <row r="741" spans="19:19" x14ac:dyDescent="0.25">
      <c r="S741" s="1"/>
    </row>
    <row r="742" spans="19:19" x14ac:dyDescent="0.25">
      <c r="S742" s="1"/>
    </row>
    <row r="743" spans="19:19" x14ac:dyDescent="0.25">
      <c r="S743" s="1"/>
    </row>
    <row r="744" spans="19:19" x14ac:dyDescent="0.25">
      <c r="S744" s="1"/>
    </row>
    <row r="745" spans="19:19" x14ac:dyDescent="0.25">
      <c r="S745" s="1"/>
    </row>
    <row r="746" spans="19:19" x14ac:dyDescent="0.25">
      <c r="S746" s="1"/>
    </row>
    <row r="747" spans="19:19" x14ac:dyDescent="0.25">
      <c r="S747" s="1"/>
    </row>
    <row r="748" spans="19:19" x14ac:dyDescent="0.25">
      <c r="S748" s="1"/>
    </row>
    <row r="749" spans="19:19" x14ac:dyDescent="0.25">
      <c r="S749" s="1"/>
    </row>
    <row r="750" spans="19:19" x14ac:dyDescent="0.25">
      <c r="S750" s="1"/>
    </row>
    <row r="751" spans="19:19" x14ac:dyDescent="0.25">
      <c r="S751" s="1"/>
    </row>
    <row r="752" spans="19:19" x14ac:dyDescent="0.25">
      <c r="S752" s="1"/>
    </row>
    <row r="753" spans="19:19" x14ac:dyDescent="0.25">
      <c r="S753" s="1"/>
    </row>
    <row r="754" spans="19:19" x14ac:dyDescent="0.25">
      <c r="S754" s="1"/>
    </row>
    <row r="755" spans="19:19" x14ac:dyDescent="0.25">
      <c r="S755" s="1"/>
    </row>
    <row r="756" spans="19:19" x14ac:dyDescent="0.25">
      <c r="S756" s="1"/>
    </row>
    <row r="757" spans="19:19" x14ac:dyDescent="0.25">
      <c r="S757" s="1"/>
    </row>
    <row r="758" spans="19:19" x14ac:dyDescent="0.25">
      <c r="S758" s="1"/>
    </row>
    <row r="759" spans="19:19" x14ac:dyDescent="0.25">
      <c r="S759" s="1"/>
    </row>
    <row r="760" spans="19:19" x14ac:dyDescent="0.25">
      <c r="S760" s="1"/>
    </row>
    <row r="761" spans="19:19" x14ac:dyDescent="0.25">
      <c r="S761" s="1"/>
    </row>
    <row r="762" spans="19:19" x14ac:dyDescent="0.25">
      <c r="S762" s="1"/>
    </row>
    <row r="763" spans="19:19" x14ac:dyDescent="0.25">
      <c r="S763" s="1"/>
    </row>
    <row r="764" spans="19:19" x14ac:dyDescent="0.25">
      <c r="S764" s="1"/>
    </row>
    <row r="765" spans="19:19" x14ac:dyDescent="0.25">
      <c r="S765" s="1"/>
    </row>
    <row r="766" spans="19:19" x14ac:dyDescent="0.25">
      <c r="S766" s="1"/>
    </row>
    <row r="767" spans="19:19" x14ac:dyDescent="0.25">
      <c r="S767" s="1"/>
    </row>
    <row r="768" spans="19:19" x14ac:dyDescent="0.25">
      <c r="S768" s="1"/>
    </row>
    <row r="769" spans="19:19" x14ac:dyDescent="0.25">
      <c r="S769" s="1"/>
    </row>
    <row r="770" spans="19:19" x14ac:dyDescent="0.25">
      <c r="S770" s="1"/>
    </row>
    <row r="771" spans="19:19" x14ac:dyDescent="0.25">
      <c r="S771" s="1"/>
    </row>
    <row r="772" spans="19:19" x14ac:dyDescent="0.25">
      <c r="S772" s="1"/>
    </row>
    <row r="773" spans="19:19" x14ac:dyDescent="0.25">
      <c r="S773" s="1"/>
    </row>
    <row r="774" spans="19:19" x14ac:dyDescent="0.25">
      <c r="S774" s="1"/>
    </row>
    <row r="775" spans="19:19" x14ac:dyDescent="0.25">
      <c r="S775" s="1"/>
    </row>
    <row r="776" spans="19:19" x14ac:dyDescent="0.25">
      <c r="S776" s="1"/>
    </row>
    <row r="777" spans="19:19" x14ac:dyDescent="0.25">
      <c r="S777" s="1"/>
    </row>
    <row r="778" spans="19:19" x14ac:dyDescent="0.25">
      <c r="S778" s="1"/>
    </row>
    <row r="779" spans="19:19" x14ac:dyDescent="0.25">
      <c r="S779" s="1"/>
    </row>
    <row r="780" spans="19:19" x14ac:dyDescent="0.25">
      <c r="S780" s="1"/>
    </row>
    <row r="781" spans="19:19" x14ac:dyDescent="0.25">
      <c r="S781" s="1"/>
    </row>
    <row r="782" spans="19:19" x14ac:dyDescent="0.25">
      <c r="S782" s="1"/>
    </row>
    <row r="783" spans="19:19" x14ac:dyDescent="0.25">
      <c r="S783" s="1"/>
    </row>
    <row r="784" spans="19:19" x14ac:dyDescent="0.25">
      <c r="S784" s="1"/>
    </row>
    <row r="785" spans="19:19" x14ac:dyDescent="0.25">
      <c r="S785" s="1"/>
    </row>
    <row r="786" spans="19:19" x14ac:dyDescent="0.25">
      <c r="S786" s="1"/>
    </row>
    <row r="787" spans="19:19" x14ac:dyDescent="0.25">
      <c r="S787" s="1"/>
    </row>
    <row r="788" spans="19:19" x14ac:dyDescent="0.25">
      <c r="S788" s="1"/>
    </row>
    <row r="789" spans="19:19" x14ac:dyDescent="0.25">
      <c r="S789" s="1"/>
    </row>
    <row r="790" spans="19:19" x14ac:dyDescent="0.25">
      <c r="S790" s="1"/>
    </row>
    <row r="791" spans="19:19" x14ac:dyDescent="0.25">
      <c r="S791" s="1"/>
    </row>
    <row r="792" spans="19:19" x14ac:dyDescent="0.25">
      <c r="S792" s="1"/>
    </row>
    <row r="793" spans="19:19" x14ac:dyDescent="0.25">
      <c r="S793" s="1"/>
    </row>
    <row r="794" spans="19:19" x14ac:dyDescent="0.25">
      <c r="S794" s="1"/>
    </row>
    <row r="795" spans="19:19" x14ac:dyDescent="0.25">
      <c r="S795" s="1"/>
    </row>
    <row r="796" spans="19:19" x14ac:dyDescent="0.25">
      <c r="S796" s="1"/>
    </row>
    <row r="797" spans="19:19" x14ac:dyDescent="0.25">
      <c r="S797" s="1"/>
    </row>
    <row r="798" spans="19:19" x14ac:dyDescent="0.25">
      <c r="S798" s="1"/>
    </row>
    <row r="799" spans="19:19" x14ac:dyDescent="0.25">
      <c r="S799" s="1"/>
    </row>
    <row r="800" spans="19:19" x14ac:dyDescent="0.25">
      <c r="S800" s="1"/>
    </row>
    <row r="801" spans="19:19" x14ac:dyDescent="0.25">
      <c r="S801" s="1"/>
    </row>
    <row r="802" spans="19:19" x14ac:dyDescent="0.25">
      <c r="S802" s="1"/>
    </row>
    <row r="803" spans="19:19" x14ac:dyDescent="0.25">
      <c r="S803" s="1"/>
    </row>
    <row r="804" spans="19:19" x14ac:dyDescent="0.25">
      <c r="S804" s="1"/>
    </row>
    <row r="805" spans="19:19" x14ac:dyDescent="0.25">
      <c r="S805" s="1"/>
    </row>
    <row r="806" spans="19:19" x14ac:dyDescent="0.25">
      <c r="S806" s="1"/>
    </row>
    <row r="807" spans="19:19" x14ac:dyDescent="0.25">
      <c r="S807" s="1"/>
    </row>
    <row r="808" spans="19:19" x14ac:dyDescent="0.25">
      <c r="S808" s="1"/>
    </row>
    <row r="809" spans="19:19" x14ac:dyDescent="0.25">
      <c r="S809" s="1"/>
    </row>
    <row r="810" spans="19:19" x14ac:dyDescent="0.25">
      <c r="S810" s="1"/>
    </row>
    <row r="811" spans="19:19" x14ac:dyDescent="0.25">
      <c r="S811" s="1"/>
    </row>
    <row r="812" spans="19:19" x14ac:dyDescent="0.25">
      <c r="S812" s="1"/>
    </row>
    <row r="813" spans="19:19" x14ac:dyDescent="0.25">
      <c r="S813" s="1"/>
    </row>
    <row r="814" spans="19:19" x14ac:dyDescent="0.25">
      <c r="S814" s="1"/>
    </row>
    <row r="815" spans="19:19" x14ac:dyDescent="0.25">
      <c r="S815" s="1"/>
    </row>
    <row r="816" spans="19:19" x14ac:dyDescent="0.25">
      <c r="S816" s="1"/>
    </row>
    <row r="817" spans="19:19" x14ac:dyDescent="0.25">
      <c r="S817" s="1"/>
    </row>
    <row r="818" spans="19:19" x14ac:dyDescent="0.25">
      <c r="S818" s="1"/>
    </row>
    <row r="819" spans="19:19" x14ac:dyDescent="0.25">
      <c r="S819" s="1"/>
    </row>
    <row r="820" spans="19:19" x14ac:dyDescent="0.25">
      <c r="S820" s="1"/>
    </row>
    <row r="821" spans="19:19" x14ac:dyDescent="0.25">
      <c r="S821" s="1"/>
    </row>
    <row r="822" spans="19:19" x14ac:dyDescent="0.25">
      <c r="S822" s="1"/>
    </row>
    <row r="823" spans="19:19" x14ac:dyDescent="0.25">
      <c r="S823" s="1"/>
    </row>
    <row r="824" spans="19:19" x14ac:dyDescent="0.25">
      <c r="S824" s="1"/>
    </row>
    <row r="825" spans="19:19" x14ac:dyDescent="0.25">
      <c r="S825" s="1"/>
    </row>
    <row r="826" spans="19:19" x14ac:dyDescent="0.25">
      <c r="S826" s="1"/>
    </row>
    <row r="827" spans="19:19" x14ac:dyDescent="0.25">
      <c r="S827" s="1"/>
    </row>
    <row r="828" spans="19:19" x14ac:dyDescent="0.25">
      <c r="S828" s="1"/>
    </row>
    <row r="829" spans="19:19" x14ac:dyDescent="0.25">
      <c r="S829" s="1"/>
    </row>
    <row r="830" spans="19:19" x14ac:dyDescent="0.25">
      <c r="S830" s="1"/>
    </row>
    <row r="831" spans="19:19" x14ac:dyDescent="0.25">
      <c r="S831" s="1"/>
    </row>
    <row r="832" spans="19:19" x14ac:dyDescent="0.25">
      <c r="S832" s="1"/>
    </row>
    <row r="833" spans="19:19" x14ac:dyDescent="0.25">
      <c r="S833" s="1"/>
    </row>
    <row r="834" spans="19:19" x14ac:dyDescent="0.25">
      <c r="S834" s="1"/>
    </row>
    <row r="835" spans="19:19" x14ac:dyDescent="0.25">
      <c r="S835" s="1"/>
    </row>
    <row r="836" spans="19:19" x14ac:dyDescent="0.25">
      <c r="S836" s="1"/>
    </row>
    <row r="837" spans="19:19" x14ac:dyDescent="0.25">
      <c r="S837" s="1"/>
    </row>
    <row r="838" spans="19:19" x14ac:dyDescent="0.25">
      <c r="S838" s="1"/>
    </row>
    <row r="839" spans="19:19" x14ac:dyDescent="0.25">
      <c r="S839" s="1"/>
    </row>
    <row r="840" spans="19:19" x14ac:dyDescent="0.25">
      <c r="S840" s="1"/>
    </row>
    <row r="841" spans="19:19" x14ac:dyDescent="0.25">
      <c r="S841" s="1"/>
    </row>
    <row r="842" spans="19:19" x14ac:dyDescent="0.25">
      <c r="S842" s="1"/>
    </row>
    <row r="843" spans="19:19" x14ac:dyDescent="0.25">
      <c r="S843" s="1"/>
    </row>
    <row r="844" spans="19:19" x14ac:dyDescent="0.25">
      <c r="S844" s="1"/>
    </row>
    <row r="845" spans="19:19" x14ac:dyDescent="0.25">
      <c r="S845" s="1"/>
    </row>
    <row r="846" spans="19:19" x14ac:dyDescent="0.25">
      <c r="S846" s="1"/>
    </row>
    <row r="847" spans="19:19" x14ac:dyDescent="0.25">
      <c r="S847" s="1"/>
    </row>
    <row r="848" spans="19:19" x14ac:dyDescent="0.25">
      <c r="S848" s="1"/>
    </row>
    <row r="849" spans="19:19" x14ac:dyDescent="0.25">
      <c r="S849" s="1"/>
    </row>
    <row r="850" spans="19:19" x14ac:dyDescent="0.25">
      <c r="S850" s="1"/>
    </row>
    <row r="851" spans="19:19" x14ac:dyDescent="0.25">
      <c r="S851" s="1"/>
    </row>
    <row r="852" spans="19:19" x14ac:dyDescent="0.25">
      <c r="S852" s="1"/>
    </row>
    <row r="853" spans="19:19" x14ac:dyDescent="0.25">
      <c r="S853" s="1"/>
    </row>
    <row r="854" spans="19:19" x14ac:dyDescent="0.25">
      <c r="S854" s="1"/>
    </row>
    <row r="855" spans="19:19" x14ac:dyDescent="0.25">
      <c r="S855" s="1"/>
    </row>
    <row r="856" spans="19:19" x14ac:dyDescent="0.25">
      <c r="S856" s="1"/>
    </row>
    <row r="857" spans="19:19" x14ac:dyDescent="0.25">
      <c r="S857" s="1"/>
    </row>
    <row r="858" spans="19:19" x14ac:dyDescent="0.25">
      <c r="S858" s="1"/>
    </row>
    <row r="859" spans="19:19" x14ac:dyDescent="0.25">
      <c r="S859" s="1"/>
    </row>
    <row r="860" spans="19:19" x14ac:dyDescent="0.25">
      <c r="S860" s="1"/>
    </row>
    <row r="861" spans="19:19" x14ac:dyDescent="0.25">
      <c r="S861" s="1"/>
    </row>
    <row r="862" spans="19:19" x14ac:dyDescent="0.25">
      <c r="S862" s="1"/>
    </row>
    <row r="863" spans="19:19" x14ac:dyDescent="0.25">
      <c r="S863" s="1"/>
    </row>
    <row r="864" spans="19:19" x14ac:dyDescent="0.25">
      <c r="S864" s="1"/>
    </row>
    <row r="865" spans="19:19" x14ac:dyDescent="0.25">
      <c r="S865" s="1"/>
    </row>
    <row r="866" spans="19:19" x14ac:dyDescent="0.25">
      <c r="S866" s="1"/>
    </row>
    <row r="867" spans="19:19" x14ac:dyDescent="0.25">
      <c r="S867" s="1"/>
    </row>
    <row r="868" spans="19:19" x14ac:dyDescent="0.25">
      <c r="S868" s="1"/>
    </row>
    <row r="869" spans="19:19" x14ac:dyDescent="0.25">
      <c r="S869" s="1"/>
    </row>
    <row r="870" spans="19:19" x14ac:dyDescent="0.25">
      <c r="S870" s="1"/>
    </row>
    <row r="871" spans="19:19" x14ac:dyDescent="0.25">
      <c r="S871" s="1"/>
    </row>
    <row r="872" spans="19:19" x14ac:dyDescent="0.25">
      <c r="S872" s="1"/>
    </row>
    <row r="873" spans="19:19" x14ac:dyDescent="0.25">
      <c r="S873" s="1"/>
    </row>
    <row r="874" spans="19:19" x14ac:dyDescent="0.25">
      <c r="S874" s="1"/>
    </row>
    <row r="875" spans="19:19" x14ac:dyDescent="0.25">
      <c r="S875" s="1"/>
    </row>
    <row r="876" spans="19:19" x14ac:dyDescent="0.25">
      <c r="S876" s="1"/>
    </row>
    <row r="877" spans="19:19" x14ac:dyDescent="0.25">
      <c r="S877" s="1"/>
    </row>
    <row r="878" spans="19:19" x14ac:dyDescent="0.25">
      <c r="S878" s="1"/>
    </row>
    <row r="879" spans="19:19" x14ac:dyDescent="0.25">
      <c r="S879" s="1"/>
    </row>
    <row r="880" spans="19:19" x14ac:dyDescent="0.25">
      <c r="S880" s="1"/>
    </row>
    <row r="881" spans="19:19" x14ac:dyDescent="0.25">
      <c r="S881" s="1"/>
    </row>
    <row r="882" spans="19:19" x14ac:dyDescent="0.25">
      <c r="S882" s="1"/>
    </row>
    <row r="883" spans="19:19" x14ac:dyDescent="0.25">
      <c r="S883" s="1"/>
    </row>
    <row r="884" spans="19:19" x14ac:dyDescent="0.25">
      <c r="S884" s="1"/>
    </row>
    <row r="885" spans="19:19" x14ac:dyDescent="0.25">
      <c r="S885" s="1"/>
    </row>
    <row r="886" spans="19:19" x14ac:dyDescent="0.25">
      <c r="S886" s="1"/>
    </row>
    <row r="887" spans="19:19" x14ac:dyDescent="0.25">
      <c r="S887" s="1"/>
    </row>
    <row r="888" spans="19:19" x14ac:dyDescent="0.25">
      <c r="S888" s="1"/>
    </row>
    <row r="889" spans="19:19" x14ac:dyDescent="0.25">
      <c r="S889" s="1"/>
    </row>
    <row r="890" spans="19:19" x14ac:dyDescent="0.25">
      <c r="S890" s="1"/>
    </row>
    <row r="891" spans="19:19" x14ac:dyDescent="0.25">
      <c r="S891" s="1"/>
    </row>
    <row r="892" spans="19:19" x14ac:dyDescent="0.25">
      <c r="S892" s="1"/>
    </row>
    <row r="893" spans="19:19" x14ac:dyDescent="0.25">
      <c r="S893" s="1"/>
    </row>
    <row r="894" spans="19:19" x14ac:dyDescent="0.25">
      <c r="S894" s="1"/>
    </row>
    <row r="895" spans="19:19" x14ac:dyDescent="0.25">
      <c r="S895" s="1"/>
    </row>
    <row r="896" spans="19:19" x14ac:dyDescent="0.25">
      <c r="S896" s="1"/>
    </row>
    <row r="897" spans="19:19" x14ac:dyDescent="0.25">
      <c r="S897" s="1"/>
    </row>
    <row r="898" spans="19:19" x14ac:dyDescent="0.25">
      <c r="S898" s="1"/>
    </row>
    <row r="899" spans="19:19" x14ac:dyDescent="0.25">
      <c r="S899" s="1"/>
    </row>
    <row r="900" spans="19:19" x14ac:dyDescent="0.25">
      <c r="S900" s="1"/>
    </row>
    <row r="901" spans="19:19" x14ac:dyDescent="0.25">
      <c r="S901" s="1"/>
    </row>
    <row r="902" spans="19:19" x14ac:dyDescent="0.25">
      <c r="S902" s="1"/>
    </row>
    <row r="903" spans="19:19" x14ac:dyDescent="0.25">
      <c r="S903" s="1"/>
    </row>
    <row r="904" spans="19:19" x14ac:dyDescent="0.25">
      <c r="S904" s="1"/>
    </row>
    <row r="905" spans="19:19" x14ac:dyDescent="0.25">
      <c r="S905" s="1"/>
    </row>
    <row r="906" spans="19:19" x14ac:dyDescent="0.25">
      <c r="S906" s="1"/>
    </row>
    <row r="907" spans="19:19" x14ac:dyDescent="0.25">
      <c r="S907" s="1"/>
    </row>
    <row r="908" spans="19:19" x14ac:dyDescent="0.25">
      <c r="S908" s="1"/>
    </row>
    <row r="909" spans="19:19" x14ac:dyDescent="0.25">
      <c r="S909" s="1"/>
    </row>
    <row r="910" spans="19:19" x14ac:dyDescent="0.25">
      <c r="S910" s="1"/>
    </row>
    <row r="911" spans="19:19" x14ac:dyDescent="0.25">
      <c r="S911" s="1"/>
    </row>
    <row r="912" spans="19:19" x14ac:dyDescent="0.25">
      <c r="S912" s="1"/>
    </row>
    <row r="913" spans="19:19" x14ac:dyDescent="0.25">
      <c r="S913" s="1"/>
    </row>
    <row r="914" spans="19:19" x14ac:dyDescent="0.25">
      <c r="S914" s="1"/>
    </row>
    <row r="915" spans="19:19" x14ac:dyDescent="0.25">
      <c r="S915" s="1"/>
    </row>
    <row r="916" spans="19:19" x14ac:dyDescent="0.25">
      <c r="S916" s="1"/>
    </row>
    <row r="917" spans="19:19" x14ac:dyDescent="0.25">
      <c r="S917" s="1"/>
    </row>
    <row r="918" spans="19:19" x14ac:dyDescent="0.25">
      <c r="S918" s="1"/>
    </row>
    <row r="919" spans="19:19" x14ac:dyDescent="0.25">
      <c r="S919" s="1"/>
    </row>
    <row r="920" spans="19:19" x14ac:dyDescent="0.25">
      <c r="S920" s="1"/>
    </row>
    <row r="921" spans="19:19" x14ac:dyDescent="0.25">
      <c r="S921" s="1"/>
    </row>
    <row r="922" spans="19:19" x14ac:dyDescent="0.25">
      <c r="S922" s="1"/>
    </row>
    <row r="923" spans="19:19" x14ac:dyDescent="0.25">
      <c r="S923" s="1"/>
    </row>
    <row r="924" spans="19:19" x14ac:dyDescent="0.25">
      <c r="S924" s="1"/>
    </row>
    <row r="925" spans="19:19" x14ac:dyDescent="0.25">
      <c r="S925" s="1"/>
    </row>
    <row r="926" spans="19:19" x14ac:dyDescent="0.25">
      <c r="S926" s="1"/>
    </row>
    <row r="927" spans="19:19" x14ac:dyDescent="0.25">
      <c r="S927" s="1"/>
    </row>
    <row r="928" spans="19:19" x14ac:dyDescent="0.25">
      <c r="S928" s="1"/>
    </row>
    <row r="929" spans="19:19" x14ac:dyDescent="0.25">
      <c r="S929" s="1"/>
    </row>
    <row r="930" spans="19:19" x14ac:dyDescent="0.25">
      <c r="S930" s="1"/>
    </row>
    <row r="931" spans="19:19" x14ac:dyDescent="0.25">
      <c r="S931" s="1"/>
    </row>
    <row r="932" spans="19:19" x14ac:dyDescent="0.25">
      <c r="S932" s="1"/>
    </row>
    <row r="933" spans="19:19" x14ac:dyDescent="0.25">
      <c r="S933" s="1"/>
    </row>
    <row r="934" spans="19:19" x14ac:dyDescent="0.25">
      <c r="S934" s="1"/>
    </row>
    <row r="935" spans="19:19" x14ac:dyDescent="0.25">
      <c r="S935" s="1"/>
    </row>
    <row r="936" spans="19:19" x14ac:dyDescent="0.25">
      <c r="S936" s="1"/>
    </row>
    <row r="937" spans="19:19" x14ac:dyDescent="0.25">
      <c r="S937" s="1"/>
    </row>
    <row r="938" spans="19:19" x14ac:dyDescent="0.25">
      <c r="S938" s="1"/>
    </row>
    <row r="939" spans="19:19" x14ac:dyDescent="0.25">
      <c r="S939" s="1"/>
    </row>
    <row r="940" spans="19:19" x14ac:dyDescent="0.25">
      <c r="S940" s="1"/>
    </row>
    <row r="941" spans="19:19" x14ac:dyDescent="0.25">
      <c r="S941" s="1"/>
    </row>
    <row r="942" spans="19:19" x14ac:dyDescent="0.25">
      <c r="S942" s="1"/>
    </row>
    <row r="943" spans="19:19" x14ac:dyDescent="0.25">
      <c r="S943" s="1"/>
    </row>
    <row r="944" spans="19:19" x14ac:dyDescent="0.25">
      <c r="S944" s="1"/>
    </row>
    <row r="945" spans="19:19" x14ac:dyDescent="0.25">
      <c r="S945" s="1"/>
    </row>
    <row r="946" spans="19:19" x14ac:dyDescent="0.25">
      <c r="S946" s="1"/>
    </row>
    <row r="947" spans="19:19" x14ac:dyDescent="0.25">
      <c r="S947" s="1"/>
    </row>
    <row r="948" spans="19:19" x14ac:dyDescent="0.25">
      <c r="S948" s="1"/>
    </row>
    <row r="949" spans="19:19" x14ac:dyDescent="0.25">
      <c r="S949" s="1"/>
    </row>
    <row r="950" spans="19:19" x14ac:dyDescent="0.25">
      <c r="S950" s="1"/>
    </row>
    <row r="951" spans="19:19" x14ac:dyDescent="0.25">
      <c r="S951" s="1"/>
    </row>
    <row r="952" spans="19:19" x14ac:dyDescent="0.25">
      <c r="S952" s="1"/>
    </row>
    <row r="953" spans="19:19" x14ac:dyDescent="0.25">
      <c r="S953" s="1"/>
    </row>
    <row r="954" spans="19:19" x14ac:dyDescent="0.25">
      <c r="S954" s="1"/>
    </row>
    <row r="955" spans="19:19" x14ac:dyDescent="0.25">
      <c r="S955" s="1"/>
    </row>
    <row r="956" spans="19:19" x14ac:dyDescent="0.25">
      <c r="S956" s="1"/>
    </row>
    <row r="957" spans="19:19" x14ac:dyDescent="0.25">
      <c r="S957" s="1"/>
    </row>
    <row r="958" spans="19:19" x14ac:dyDescent="0.25">
      <c r="S958" s="1"/>
    </row>
    <row r="959" spans="19:19" x14ac:dyDescent="0.25">
      <c r="S959" s="1"/>
    </row>
    <row r="960" spans="19:19" x14ac:dyDescent="0.25">
      <c r="S960" s="1"/>
    </row>
    <row r="961" spans="19:19" x14ac:dyDescent="0.25">
      <c r="S961" s="1"/>
    </row>
    <row r="962" spans="19:19" x14ac:dyDescent="0.25">
      <c r="S962" s="1"/>
    </row>
    <row r="963" spans="19:19" x14ac:dyDescent="0.25">
      <c r="S963" s="1"/>
    </row>
    <row r="964" spans="19:19" x14ac:dyDescent="0.25">
      <c r="S964" s="1"/>
    </row>
    <row r="965" spans="19:19" x14ac:dyDescent="0.25">
      <c r="S965" s="1"/>
    </row>
    <row r="966" spans="19:19" x14ac:dyDescent="0.25">
      <c r="S966" s="1"/>
    </row>
    <row r="967" spans="19:19" x14ac:dyDescent="0.25">
      <c r="S967" s="1"/>
    </row>
    <row r="968" spans="19:19" x14ac:dyDescent="0.25">
      <c r="S968" s="1"/>
    </row>
    <row r="969" spans="19:19" x14ac:dyDescent="0.25">
      <c r="S969" s="1"/>
    </row>
    <row r="970" spans="19:19" x14ac:dyDescent="0.25">
      <c r="S970" s="1"/>
    </row>
    <row r="971" spans="19:19" x14ac:dyDescent="0.25">
      <c r="S971" s="1"/>
    </row>
    <row r="972" spans="19:19" x14ac:dyDescent="0.25">
      <c r="S972" s="1"/>
    </row>
    <row r="973" spans="19:19" x14ac:dyDescent="0.25">
      <c r="S973" s="1"/>
    </row>
    <row r="974" spans="19:19" x14ac:dyDescent="0.25">
      <c r="S974" s="1"/>
    </row>
    <row r="975" spans="19:19" x14ac:dyDescent="0.25">
      <c r="S975" s="1"/>
    </row>
    <row r="976" spans="19:19" x14ac:dyDescent="0.25">
      <c r="S976" s="1"/>
    </row>
    <row r="977" spans="19:19" x14ac:dyDescent="0.25">
      <c r="S977" s="1"/>
    </row>
    <row r="978" spans="19:19" x14ac:dyDescent="0.25">
      <c r="S978" s="1"/>
    </row>
    <row r="979" spans="19:19" x14ac:dyDescent="0.25">
      <c r="S979" s="1"/>
    </row>
    <row r="980" spans="19:19" x14ac:dyDescent="0.25">
      <c r="S980" s="1"/>
    </row>
    <row r="981" spans="19:19" x14ac:dyDescent="0.25">
      <c r="S981" s="1"/>
    </row>
    <row r="982" spans="19:19" x14ac:dyDescent="0.25">
      <c r="S982" s="1"/>
    </row>
    <row r="983" spans="19:19" x14ac:dyDescent="0.25">
      <c r="S983" s="1"/>
    </row>
    <row r="984" spans="19:19" x14ac:dyDescent="0.25">
      <c r="S984" s="1"/>
    </row>
    <row r="985" spans="19:19" x14ac:dyDescent="0.25">
      <c r="S985" s="1"/>
    </row>
    <row r="986" spans="19:19" x14ac:dyDescent="0.25">
      <c r="S986" s="1"/>
    </row>
    <row r="987" spans="19:19" x14ac:dyDescent="0.25">
      <c r="S987" s="1"/>
    </row>
    <row r="988" spans="19:19" x14ac:dyDescent="0.25">
      <c r="S988" s="1"/>
    </row>
    <row r="989" spans="19:19" x14ac:dyDescent="0.25">
      <c r="S989" s="1"/>
    </row>
    <row r="990" spans="19:19" x14ac:dyDescent="0.25">
      <c r="S990" s="1"/>
    </row>
    <row r="991" spans="19:19" x14ac:dyDescent="0.25">
      <c r="S991" s="1"/>
    </row>
    <row r="992" spans="19:19" x14ac:dyDescent="0.25">
      <c r="S992" s="1"/>
    </row>
    <row r="993" spans="19:19" x14ac:dyDescent="0.25">
      <c r="S993" s="1"/>
    </row>
    <row r="994" spans="19:19" x14ac:dyDescent="0.25">
      <c r="S994" s="1"/>
    </row>
    <row r="995" spans="19:19" x14ac:dyDescent="0.25">
      <c r="S995" s="1"/>
    </row>
    <row r="996" spans="19:19" x14ac:dyDescent="0.25">
      <c r="S996" s="1"/>
    </row>
    <row r="997" spans="19:19" x14ac:dyDescent="0.25">
      <c r="S997" s="1"/>
    </row>
    <row r="998" spans="19:19" x14ac:dyDescent="0.25">
      <c r="S998" s="1"/>
    </row>
    <row r="999" spans="19:19" x14ac:dyDescent="0.25">
      <c r="S999" s="1"/>
    </row>
    <row r="1000" spans="19:19" x14ac:dyDescent="0.25">
      <c r="S1000" s="1"/>
    </row>
    <row r="1001" spans="19:19" x14ac:dyDescent="0.25">
      <c r="S1001" s="1"/>
    </row>
    <row r="1002" spans="19:19" x14ac:dyDescent="0.25">
      <c r="S1002" s="1"/>
    </row>
    <row r="1003" spans="19:19" x14ac:dyDescent="0.25">
      <c r="S1003" s="1"/>
    </row>
    <row r="1004" spans="19:19" x14ac:dyDescent="0.25">
      <c r="S1004" s="1"/>
    </row>
    <row r="1005" spans="19:19" x14ac:dyDescent="0.25">
      <c r="S1005" s="1"/>
    </row>
    <row r="1006" spans="19:19" x14ac:dyDescent="0.25">
      <c r="S1006" s="1"/>
    </row>
    <row r="1007" spans="19:19" x14ac:dyDescent="0.25">
      <c r="S1007" s="1"/>
    </row>
    <row r="1008" spans="19:19" x14ac:dyDescent="0.25">
      <c r="S1008" s="1"/>
    </row>
    <row r="1009" spans="19:19" x14ac:dyDescent="0.25">
      <c r="S1009" s="1"/>
    </row>
    <row r="1010" spans="19:19" x14ac:dyDescent="0.25">
      <c r="S1010" s="1"/>
    </row>
    <row r="1011" spans="19:19" x14ac:dyDescent="0.25">
      <c r="S1011" s="1"/>
    </row>
    <row r="1012" spans="19:19" x14ac:dyDescent="0.25">
      <c r="S1012" s="1"/>
    </row>
    <row r="1013" spans="19:19" x14ac:dyDescent="0.25">
      <c r="S1013" s="1"/>
    </row>
    <row r="1014" spans="19:19" x14ac:dyDescent="0.25">
      <c r="S1014" s="1"/>
    </row>
    <row r="1015" spans="19:19" x14ac:dyDescent="0.25">
      <c r="S1015" s="1"/>
    </row>
    <row r="1016" spans="19:19" x14ac:dyDescent="0.25">
      <c r="S1016" s="1"/>
    </row>
    <row r="1017" spans="19:19" x14ac:dyDescent="0.25">
      <c r="S1017" s="1"/>
    </row>
    <row r="1018" spans="19:19" x14ac:dyDescent="0.25">
      <c r="S1018" s="1"/>
    </row>
    <row r="1019" spans="19:19" x14ac:dyDescent="0.25">
      <c r="S1019" s="1"/>
    </row>
    <row r="1020" spans="19:19" x14ac:dyDescent="0.25">
      <c r="S1020" s="1"/>
    </row>
    <row r="1021" spans="19:19" x14ac:dyDescent="0.25">
      <c r="S1021" s="1"/>
    </row>
    <row r="1022" spans="19:19" x14ac:dyDescent="0.25">
      <c r="S1022" s="1"/>
    </row>
    <row r="1023" spans="19:19" x14ac:dyDescent="0.25">
      <c r="S1023" s="1"/>
    </row>
    <row r="1024" spans="19:19" x14ac:dyDescent="0.25">
      <c r="S1024" s="1"/>
    </row>
    <row r="1025" spans="19:19" x14ac:dyDescent="0.25">
      <c r="S1025" s="1"/>
    </row>
    <row r="1026" spans="19:19" x14ac:dyDescent="0.25">
      <c r="S1026" s="1"/>
    </row>
    <row r="1027" spans="19:19" x14ac:dyDescent="0.25">
      <c r="S1027" s="1"/>
    </row>
    <row r="1028" spans="19:19" x14ac:dyDescent="0.25">
      <c r="S1028" s="1"/>
    </row>
    <row r="1029" spans="19:19" x14ac:dyDescent="0.25">
      <c r="S1029" s="1"/>
    </row>
    <row r="1030" spans="19:19" x14ac:dyDescent="0.25">
      <c r="S1030" s="1"/>
    </row>
    <row r="1031" spans="19:19" x14ac:dyDescent="0.25">
      <c r="S1031" s="1"/>
    </row>
    <row r="1032" spans="19:19" x14ac:dyDescent="0.25">
      <c r="S1032" s="1"/>
    </row>
    <row r="1033" spans="19:19" x14ac:dyDescent="0.25">
      <c r="S1033" s="1"/>
    </row>
    <row r="1034" spans="19:19" x14ac:dyDescent="0.25">
      <c r="S1034" s="1"/>
    </row>
    <row r="1035" spans="19:19" x14ac:dyDescent="0.25">
      <c r="S1035" s="1"/>
    </row>
    <row r="1036" spans="19:19" x14ac:dyDescent="0.25">
      <c r="S1036" s="1"/>
    </row>
    <row r="1037" spans="19:19" x14ac:dyDescent="0.25">
      <c r="S1037" s="1"/>
    </row>
    <row r="1038" spans="19:19" x14ac:dyDescent="0.25">
      <c r="S1038" s="1"/>
    </row>
    <row r="1039" spans="19:19" x14ac:dyDescent="0.25">
      <c r="S1039" s="1"/>
    </row>
    <row r="1040" spans="19:19" x14ac:dyDescent="0.25">
      <c r="S1040" s="1"/>
    </row>
    <row r="1041" spans="19:19" x14ac:dyDescent="0.25">
      <c r="S1041" s="1"/>
    </row>
    <row r="1042" spans="19:19" x14ac:dyDescent="0.25">
      <c r="S1042" s="1"/>
    </row>
    <row r="1043" spans="19:19" x14ac:dyDescent="0.25">
      <c r="S1043" s="1"/>
    </row>
    <row r="1044" spans="19:19" x14ac:dyDescent="0.25">
      <c r="S1044" s="1"/>
    </row>
    <row r="1045" spans="19:19" x14ac:dyDescent="0.25">
      <c r="S1045" s="1"/>
    </row>
    <row r="1046" spans="19:19" x14ac:dyDescent="0.25">
      <c r="S1046" s="1"/>
    </row>
    <row r="1047" spans="19:19" x14ac:dyDescent="0.25">
      <c r="S1047" s="1"/>
    </row>
    <row r="1048" spans="19:19" x14ac:dyDescent="0.25">
      <c r="S1048" s="1"/>
    </row>
    <row r="1049" spans="19:19" x14ac:dyDescent="0.25">
      <c r="S1049" s="1"/>
    </row>
    <row r="1050" spans="19:19" x14ac:dyDescent="0.25">
      <c r="S1050" s="1"/>
    </row>
    <row r="1051" spans="19:19" x14ac:dyDescent="0.25">
      <c r="S1051" s="1"/>
    </row>
    <row r="1052" spans="19:19" x14ac:dyDescent="0.25">
      <c r="S1052" s="1"/>
    </row>
    <row r="1053" spans="19:19" x14ac:dyDescent="0.25">
      <c r="S1053" s="1"/>
    </row>
    <row r="1054" spans="19:19" x14ac:dyDescent="0.25">
      <c r="S1054" s="1"/>
    </row>
    <row r="1055" spans="19:19" x14ac:dyDescent="0.25">
      <c r="S1055" s="1"/>
    </row>
    <row r="1056" spans="19:19" x14ac:dyDescent="0.25">
      <c r="S1056" s="1"/>
    </row>
    <row r="1057" spans="19:19" x14ac:dyDescent="0.25">
      <c r="S1057" s="1"/>
    </row>
    <row r="1058" spans="19:19" x14ac:dyDescent="0.25">
      <c r="S1058" s="1"/>
    </row>
    <row r="1059" spans="19:19" x14ac:dyDescent="0.25">
      <c r="S1059" s="1"/>
    </row>
    <row r="1060" spans="19:19" x14ac:dyDescent="0.25">
      <c r="S1060" s="1"/>
    </row>
    <row r="1061" spans="19:19" x14ac:dyDescent="0.25">
      <c r="S1061" s="1"/>
    </row>
    <row r="1062" spans="19:19" x14ac:dyDescent="0.25">
      <c r="S1062" s="1"/>
    </row>
    <row r="1063" spans="19:19" x14ac:dyDescent="0.25">
      <c r="S1063" s="1"/>
    </row>
    <row r="1064" spans="19:19" x14ac:dyDescent="0.25">
      <c r="S1064" s="1"/>
    </row>
    <row r="1065" spans="19:19" x14ac:dyDescent="0.25">
      <c r="S1065" s="1"/>
    </row>
    <row r="1066" spans="19:19" x14ac:dyDescent="0.25">
      <c r="S1066" s="1"/>
    </row>
    <row r="1067" spans="19:19" x14ac:dyDescent="0.25">
      <c r="S1067" s="1"/>
    </row>
    <row r="1068" spans="19:19" x14ac:dyDescent="0.25">
      <c r="S1068" s="1"/>
    </row>
    <row r="1069" spans="19:19" x14ac:dyDescent="0.25">
      <c r="S1069" s="1"/>
    </row>
    <row r="1070" spans="19:19" x14ac:dyDescent="0.25">
      <c r="S1070" s="1"/>
    </row>
    <row r="1071" spans="19:19" x14ac:dyDescent="0.25">
      <c r="S1071" s="1"/>
    </row>
    <row r="1072" spans="19:19" x14ac:dyDescent="0.25">
      <c r="S1072" s="1"/>
    </row>
    <row r="1073" spans="19:19" x14ac:dyDescent="0.25">
      <c r="S1073" s="1"/>
    </row>
    <row r="1074" spans="19:19" x14ac:dyDescent="0.25">
      <c r="S1074" s="1"/>
    </row>
    <row r="1075" spans="19:19" x14ac:dyDescent="0.25">
      <c r="S1075" s="1"/>
    </row>
    <row r="1076" spans="19:19" x14ac:dyDescent="0.25">
      <c r="S1076" s="1"/>
    </row>
    <row r="1077" spans="19:19" x14ac:dyDescent="0.25">
      <c r="S1077" s="1"/>
    </row>
    <row r="1078" spans="19:19" x14ac:dyDescent="0.25">
      <c r="S1078" s="1"/>
    </row>
    <row r="1079" spans="19:19" x14ac:dyDescent="0.25">
      <c r="S1079" s="1"/>
    </row>
    <row r="1080" spans="19:19" x14ac:dyDescent="0.25">
      <c r="S1080" s="1"/>
    </row>
    <row r="1081" spans="19:19" x14ac:dyDescent="0.25">
      <c r="S1081" s="1"/>
    </row>
    <row r="1082" spans="19:19" x14ac:dyDescent="0.25">
      <c r="S1082" s="1"/>
    </row>
    <row r="1083" spans="19:19" x14ac:dyDescent="0.25">
      <c r="S1083" s="1"/>
    </row>
    <row r="1084" spans="19:19" x14ac:dyDescent="0.25">
      <c r="S1084" s="1"/>
    </row>
    <row r="1085" spans="19:19" x14ac:dyDescent="0.25">
      <c r="S1085" s="1"/>
    </row>
    <row r="1086" spans="19:19" x14ac:dyDescent="0.25">
      <c r="S1086" s="1"/>
    </row>
    <row r="1087" spans="19:19" x14ac:dyDescent="0.25">
      <c r="S1087" s="1"/>
    </row>
    <row r="1088" spans="19:19" x14ac:dyDescent="0.25">
      <c r="S1088" s="1"/>
    </row>
    <row r="1089" spans="19:19" x14ac:dyDescent="0.25">
      <c r="S1089" s="1"/>
    </row>
    <row r="1090" spans="19:19" x14ac:dyDescent="0.25">
      <c r="S1090" s="1"/>
    </row>
    <row r="1091" spans="19:19" x14ac:dyDescent="0.25">
      <c r="S1091" s="1"/>
    </row>
    <row r="1092" spans="19:19" x14ac:dyDescent="0.25">
      <c r="S1092" s="1"/>
    </row>
    <row r="1093" spans="19:19" x14ac:dyDescent="0.25">
      <c r="S1093" s="1"/>
    </row>
    <row r="1094" spans="19:19" x14ac:dyDescent="0.25">
      <c r="S1094" s="1"/>
    </row>
    <row r="1095" spans="19:19" x14ac:dyDescent="0.25">
      <c r="S1095" s="1"/>
    </row>
    <row r="1096" spans="19:19" x14ac:dyDescent="0.25">
      <c r="S1096" s="1"/>
    </row>
    <row r="1097" spans="19:19" x14ac:dyDescent="0.25">
      <c r="S1097" s="1"/>
    </row>
    <row r="1098" spans="19:19" x14ac:dyDescent="0.25">
      <c r="S1098" s="1"/>
    </row>
    <row r="1099" spans="19:19" x14ac:dyDescent="0.25">
      <c r="S1099" s="1"/>
    </row>
    <row r="1100" spans="19:19" x14ac:dyDescent="0.25">
      <c r="S1100" s="1"/>
    </row>
    <row r="1101" spans="19:19" x14ac:dyDescent="0.25">
      <c r="S1101" s="1"/>
    </row>
    <row r="1102" spans="19:19" x14ac:dyDescent="0.25">
      <c r="S1102" s="1"/>
    </row>
    <row r="1103" spans="19:19" x14ac:dyDescent="0.25">
      <c r="S1103" s="1"/>
    </row>
    <row r="1104" spans="19:19" x14ac:dyDescent="0.25">
      <c r="S1104" s="1"/>
    </row>
    <row r="1105" spans="19:19" x14ac:dyDescent="0.25">
      <c r="S1105" s="1"/>
    </row>
    <row r="1106" spans="19:19" x14ac:dyDescent="0.25">
      <c r="S1106" s="1"/>
    </row>
    <row r="1107" spans="19:19" x14ac:dyDescent="0.25">
      <c r="S1107" s="1"/>
    </row>
    <row r="1108" spans="19:19" x14ac:dyDescent="0.25">
      <c r="S1108" s="1"/>
    </row>
    <row r="1109" spans="19:19" x14ac:dyDescent="0.25">
      <c r="S1109" s="1"/>
    </row>
    <row r="1110" spans="19:19" x14ac:dyDescent="0.25">
      <c r="S1110" s="1"/>
    </row>
    <row r="1111" spans="19:19" x14ac:dyDescent="0.25">
      <c r="S1111" s="1"/>
    </row>
    <row r="1112" spans="19:19" x14ac:dyDescent="0.25">
      <c r="S1112" s="1"/>
    </row>
    <row r="1113" spans="19:19" x14ac:dyDescent="0.25">
      <c r="S1113" s="1"/>
    </row>
    <row r="1114" spans="19:19" x14ac:dyDescent="0.25">
      <c r="S1114" s="1"/>
    </row>
    <row r="1115" spans="19:19" x14ac:dyDescent="0.25">
      <c r="S1115" s="1"/>
    </row>
    <row r="1116" spans="19:19" x14ac:dyDescent="0.25">
      <c r="S1116" s="1"/>
    </row>
    <row r="1117" spans="19:19" x14ac:dyDescent="0.25">
      <c r="S1117" s="1"/>
    </row>
    <row r="1118" spans="19:19" x14ac:dyDescent="0.25">
      <c r="S1118" s="1"/>
    </row>
    <row r="1119" spans="19:19" x14ac:dyDescent="0.25">
      <c r="S1119" s="1"/>
    </row>
    <row r="1120" spans="19:19" x14ac:dyDescent="0.25">
      <c r="S1120" s="1"/>
    </row>
    <row r="1121" spans="19:19" x14ac:dyDescent="0.25">
      <c r="S1121" s="1"/>
    </row>
    <row r="1122" spans="19:19" x14ac:dyDescent="0.25">
      <c r="S1122" s="1"/>
    </row>
    <row r="1123" spans="19:19" x14ac:dyDescent="0.25">
      <c r="S1123" s="1"/>
    </row>
    <row r="1124" spans="19:19" x14ac:dyDescent="0.25">
      <c r="S1124" s="1"/>
    </row>
    <row r="1125" spans="19:19" x14ac:dyDescent="0.25">
      <c r="S1125" s="1"/>
    </row>
    <row r="1126" spans="19:19" x14ac:dyDescent="0.25">
      <c r="S1126" s="1"/>
    </row>
    <row r="1127" spans="19:19" x14ac:dyDescent="0.25">
      <c r="S1127" s="1"/>
    </row>
    <row r="1128" spans="19:19" x14ac:dyDescent="0.25">
      <c r="S1128" s="1"/>
    </row>
    <row r="1129" spans="19:19" x14ac:dyDescent="0.25">
      <c r="S1129" s="1"/>
    </row>
    <row r="1130" spans="19:19" x14ac:dyDescent="0.25">
      <c r="S1130" s="1"/>
    </row>
    <row r="1131" spans="19:19" x14ac:dyDescent="0.25">
      <c r="S1131" s="1"/>
    </row>
    <row r="1132" spans="19:19" x14ac:dyDescent="0.25">
      <c r="S1132" s="1"/>
    </row>
    <row r="1133" spans="19:19" x14ac:dyDescent="0.25">
      <c r="S1133" s="1"/>
    </row>
    <row r="1134" spans="19:19" x14ac:dyDescent="0.25">
      <c r="S1134" s="1"/>
    </row>
    <row r="1135" spans="19:19" x14ac:dyDescent="0.25">
      <c r="S1135" s="1"/>
    </row>
    <row r="1136" spans="19:19" x14ac:dyDescent="0.25">
      <c r="S1136" s="1"/>
    </row>
    <row r="1137" spans="19:19" x14ac:dyDescent="0.25">
      <c r="S1137" s="1"/>
    </row>
    <row r="1138" spans="19:19" x14ac:dyDescent="0.25">
      <c r="S1138" s="1"/>
    </row>
    <row r="1139" spans="19:19" x14ac:dyDescent="0.25">
      <c r="S1139" s="1"/>
    </row>
    <row r="1140" spans="19:19" x14ac:dyDescent="0.25">
      <c r="S1140" s="1"/>
    </row>
    <row r="1141" spans="19:19" x14ac:dyDescent="0.25">
      <c r="S1141" s="1"/>
    </row>
    <row r="1142" spans="19:19" x14ac:dyDescent="0.25">
      <c r="S1142" s="1"/>
    </row>
    <row r="1143" spans="19:19" x14ac:dyDescent="0.25">
      <c r="S1143" s="1"/>
    </row>
    <row r="1144" spans="19:19" x14ac:dyDescent="0.25">
      <c r="S1144" s="1"/>
    </row>
    <row r="1145" spans="19:19" x14ac:dyDescent="0.25">
      <c r="S1145" s="1"/>
    </row>
    <row r="1146" spans="19:19" x14ac:dyDescent="0.25">
      <c r="S1146" s="1"/>
    </row>
    <row r="1147" spans="19:19" x14ac:dyDescent="0.25">
      <c r="S1147" s="1"/>
    </row>
    <row r="1148" spans="19:19" x14ac:dyDescent="0.25">
      <c r="S1148" s="1"/>
    </row>
    <row r="1149" spans="19:19" x14ac:dyDescent="0.25">
      <c r="S1149" s="1"/>
    </row>
    <row r="1150" spans="19:19" x14ac:dyDescent="0.25">
      <c r="S1150" s="1"/>
    </row>
    <row r="1151" spans="19:19" x14ac:dyDescent="0.25">
      <c r="S1151" s="1"/>
    </row>
    <row r="1152" spans="19:19" x14ac:dyDescent="0.25">
      <c r="S1152" s="1"/>
    </row>
    <row r="1153" spans="19:19" x14ac:dyDescent="0.25">
      <c r="S1153" s="1"/>
    </row>
    <row r="1154" spans="19:19" x14ac:dyDescent="0.25">
      <c r="S1154" s="1"/>
    </row>
    <row r="1155" spans="19:19" x14ac:dyDescent="0.25">
      <c r="S1155" s="1"/>
    </row>
    <row r="1156" spans="19:19" x14ac:dyDescent="0.25">
      <c r="S1156" s="1"/>
    </row>
    <row r="1157" spans="19:19" x14ac:dyDescent="0.25">
      <c r="S1157" s="1"/>
    </row>
    <row r="1158" spans="19:19" x14ac:dyDescent="0.25">
      <c r="S1158" s="1"/>
    </row>
    <row r="1159" spans="19:19" x14ac:dyDescent="0.25">
      <c r="S1159" s="1"/>
    </row>
    <row r="1160" spans="19:19" x14ac:dyDescent="0.25">
      <c r="S1160" s="1"/>
    </row>
    <row r="1161" spans="19:19" x14ac:dyDescent="0.25">
      <c r="S1161" s="1"/>
    </row>
    <row r="1162" spans="19:19" x14ac:dyDescent="0.25">
      <c r="S1162" s="1"/>
    </row>
    <row r="1163" spans="19:19" x14ac:dyDescent="0.25">
      <c r="S1163" s="1"/>
    </row>
    <row r="1164" spans="19:19" x14ac:dyDescent="0.25">
      <c r="S1164" s="1"/>
    </row>
    <row r="1165" spans="19:19" x14ac:dyDescent="0.25">
      <c r="S1165" s="1"/>
    </row>
    <row r="1166" spans="19:19" x14ac:dyDescent="0.25">
      <c r="S1166" s="1"/>
    </row>
    <row r="1167" spans="19:19" x14ac:dyDescent="0.25">
      <c r="S1167" s="1"/>
    </row>
    <row r="1168" spans="19:19" x14ac:dyDescent="0.25">
      <c r="S1168" s="1"/>
    </row>
    <row r="1169" spans="19:19" x14ac:dyDescent="0.25">
      <c r="S1169" s="1"/>
    </row>
    <row r="1170" spans="19:19" x14ac:dyDescent="0.25">
      <c r="S1170" s="1"/>
    </row>
    <row r="1171" spans="19:19" x14ac:dyDescent="0.25">
      <c r="S1171" s="1"/>
    </row>
    <row r="1172" spans="19:19" x14ac:dyDescent="0.25">
      <c r="S1172" s="1"/>
    </row>
    <row r="1173" spans="19:19" x14ac:dyDescent="0.25">
      <c r="S1173" s="1"/>
    </row>
    <row r="1174" spans="19:19" x14ac:dyDescent="0.25">
      <c r="S1174" s="1"/>
    </row>
    <row r="1175" spans="19:19" x14ac:dyDescent="0.25">
      <c r="S1175" s="1"/>
    </row>
    <row r="1176" spans="19:19" x14ac:dyDescent="0.25">
      <c r="S1176" s="1"/>
    </row>
    <row r="1177" spans="19:19" x14ac:dyDescent="0.25">
      <c r="S1177" s="1"/>
    </row>
    <row r="1178" spans="19:19" x14ac:dyDescent="0.25">
      <c r="S1178" s="1"/>
    </row>
    <row r="1179" spans="19:19" x14ac:dyDescent="0.25">
      <c r="S1179" s="1"/>
    </row>
    <row r="1180" spans="19:19" x14ac:dyDescent="0.25">
      <c r="S1180" s="1"/>
    </row>
    <row r="1181" spans="19:19" x14ac:dyDescent="0.25">
      <c r="S1181" s="1"/>
    </row>
    <row r="1182" spans="19:19" x14ac:dyDescent="0.25">
      <c r="S1182" s="1"/>
    </row>
    <row r="1183" spans="19:19" x14ac:dyDescent="0.25">
      <c r="S1183" s="1"/>
    </row>
    <row r="1184" spans="19:19" x14ac:dyDescent="0.25">
      <c r="S1184" s="1"/>
    </row>
    <row r="1185" spans="19:19" x14ac:dyDescent="0.25">
      <c r="S1185" s="1"/>
    </row>
    <row r="1186" spans="19:19" x14ac:dyDescent="0.25">
      <c r="S1186" s="1"/>
    </row>
    <row r="1187" spans="19:19" x14ac:dyDescent="0.25">
      <c r="S1187" s="1"/>
    </row>
    <row r="1188" spans="19:19" x14ac:dyDescent="0.25">
      <c r="S1188" s="1"/>
    </row>
    <row r="1189" spans="19:19" x14ac:dyDescent="0.25">
      <c r="S1189" s="1"/>
    </row>
    <row r="1190" spans="19:19" x14ac:dyDescent="0.25">
      <c r="S1190" s="1"/>
    </row>
    <row r="1191" spans="19:19" x14ac:dyDescent="0.25">
      <c r="S1191" s="1"/>
    </row>
    <row r="1192" spans="19:19" x14ac:dyDescent="0.25">
      <c r="S1192" s="1"/>
    </row>
    <row r="1193" spans="19:19" x14ac:dyDescent="0.25">
      <c r="S1193" s="1"/>
    </row>
    <row r="1194" spans="19:19" x14ac:dyDescent="0.25">
      <c r="S1194" s="1"/>
    </row>
    <row r="1195" spans="19:19" x14ac:dyDescent="0.25">
      <c r="S1195" s="1"/>
    </row>
    <row r="1196" spans="19:19" x14ac:dyDescent="0.25">
      <c r="S1196" s="1"/>
    </row>
    <row r="1197" spans="19:19" x14ac:dyDescent="0.25">
      <c r="S1197" s="1"/>
    </row>
    <row r="1198" spans="19:19" x14ac:dyDescent="0.25">
      <c r="S1198" s="1"/>
    </row>
    <row r="1199" spans="19:19" x14ac:dyDescent="0.25">
      <c r="S1199" s="1"/>
    </row>
    <row r="1200" spans="19:19" x14ac:dyDescent="0.25">
      <c r="S1200" s="1"/>
    </row>
    <row r="1201" spans="19:19" x14ac:dyDescent="0.25">
      <c r="S1201" s="1"/>
    </row>
    <row r="1202" spans="19:19" x14ac:dyDescent="0.25">
      <c r="S1202" s="1"/>
    </row>
    <row r="1203" spans="19:19" x14ac:dyDescent="0.25">
      <c r="S1203" s="1"/>
    </row>
    <row r="1204" spans="19:19" x14ac:dyDescent="0.25">
      <c r="S1204" s="1"/>
    </row>
    <row r="1205" spans="19:19" x14ac:dyDescent="0.25">
      <c r="S1205" s="1"/>
    </row>
    <row r="1206" spans="19:19" x14ac:dyDescent="0.25">
      <c r="S1206" s="1"/>
    </row>
    <row r="1207" spans="19:19" x14ac:dyDescent="0.25">
      <c r="S1207" s="1"/>
    </row>
    <row r="1208" spans="19:19" x14ac:dyDescent="0.25">
      <c r="S1208" s="1"/>
    </row>
    <row r="1209" spans="19:19" x14ac:dyDescent="0.25">
      <c r="S1209" s="1"/>
    </row>
    <row r="1210" spans="19:19" x14ac:dyDescent="0.25">
      <c r="S1210" s="1"/>
    </row>
    <row r="1211" spans="19:19" x14ac:dyDescent="0.25">
      <c r="S1211" s="1"/>
    </row>
    <row r="1212" spans="19:19" x14ac:dyDescent="0.25">
      <c r="S1212" s="1"/>
    </row>
    <row r="1213" spans="19:19" x14ac:dyDescent="0.25">
      <c r="S1213" s="1"/>
    </row>
    <row r="1214" spans="19:19" x14ac:dyDescent="0.25">
      <c r="S1214" s="1"/>
    </row>
    <row r="1215" spans="19:19" x14ac:dyDescent="0.25">
      <c r="S1215" s="1"/>
    </row>
    <row r="1216" spans="19:19" x14ac:dyDescent="0.25">
      <c r="S1216" s="1"/>
    </row>
    <row r="1217" spans="19:19" x14ac:dyDescent="0.25">
      <c r="S1217" s="1"/>
    </row>
    <row r="1218" spans="19:19" x14ac:dyDescent="0.25">
      <c r="S1218" s="1"/>
    </row>
    <row r="1219" spans="19:19" x14ac:dyDescent="0.25">
      <c r="S1219" s="1"/>
    </row>
    <row r="1220" spans="19:19" x14ac:dyDescent="0.25">
      <c r="S1220" s="1"/>
    </row>
    <row r="1221" spans="19:19" x14ac:dyDescent="0.25">
      <c r="S1221" s="1"/>
    </row>
    <row r="1222" spans="19:19" x14ac:dyDescent="0.25">
      <c r="S1222" s="1"/>
    </row>
    <row r="1223" spans="19:19" x14ac:dyDescent="0.25">
      <c r="S1223" s="1"/>
    </row>
    <row r="1224" spans="19:19" x14ac:dyDescent="0.25">
      <c r="S1224" s="1"/>
    </row>
    <row r="1225" spans="19:19" x14ac:dyDescent="0.25">
      <c r="S1225" s="1"/>
    </row>
    <row r="1226" spans="19:19" x14ac:dyDescent="0.25">
      <c r="S1226" s="1"/>
    </row>
    <row r="1227" spans="19:19" x14ac:dyDescent="0.25">
      <c r="S1227" s="1"/>
    </row>
    <row r="1228" spans="19:19" x14ac:dyDescent="0.25">
      <c r="S1228" s="1"/>
    </row>
    <row r="1229" spans="19:19" x14ac:dyDescent="0.25">
      <c r="S1229" s="1"/>
    </row>
    <row r="1230" spans="19:19" x14ac:dyDescent="0.25">
      <c r="S1230" s="1"/>
    </row>
    <row r="1231" spans="19:19" x14ac:dyDescent="0.25">
      <c r="S1231" s="1"/>
    </row>
    <row r="1232" spans="19:19" x14ac:dyDescent="0.25">
      <c r="S1232" s="1"/>
    </row>
    <row r="1233" spans="19:19" x14ac:dyDescent="0.25">
      <c r="S1233" s="1"/>
    </row>
    <row r="1234" spans="19:19" x14ac:dyDescent="0.25">
      <c r="S1234" s="1"/>
    </row>
    <row r="1235" spans="19:19" x14ac:dyDescent="0.25">
      <c r="S1235" s="1"/>
    </row>
    <row r="1236" spans="19:19" x14ac:dyDescent="0.25">
      <c r="S1236" s="1"/>
    </row>
    <row r="1237" spans="19:19" x14ac:dyDescent="0.25">
      <c r="S1237" s="1"/>
    </row>
    <row r="1238" spans="19:19" x14ac:dyDescent="0.25">
      <c r="S1238" s="1"/>
    </row>
    <row r="1239" spans="19:19" x14ac:dyDescent="0.25">
      <c r="S1239" s="1"/>
    </row>
    <row r="1240" spans="19:19" x14ac:dyDescent="0.25">
      <c r="S1240" s="1"/>
    </row>
    <row r="1241" spans="19:19" x14ac:dyDescent="0.25">
      <c r="S1241" s="1"/>
    </row>
    <row r="1242" spans="19:19" x14ac:dyDescent="0.25">
      <c r="S1242" s="1"/>
    </row>
    <row r="1243" spans="19:19" x14ac:dyDescent="0.25">
      <c r="S1243" s="1"/>
    </row>
    <row r="1244" spans="19:19" x14ac:dyDescent="0.25">
      <c r="S1244" s="1"/>
    </row>
    <row r="1245" spans="19:19" x14ac:dyDescent="0.25">
      <c r="S1245" s="1"/>
    </row>
    <row r="1246" spans="19:19" x14ac:dyDescent="0.25">
      <c r="S1246" s="1"/>
    </row>
    <row r="1247" spans="19:19" x14ac:dyDescent="0.25">
      <c r="S1247" s="1"/>
    </row>
    <row r="1248" spans="19:19" x14ac:dyDescent="0.25">
      <c r="S1248" s="1"/>
    </row>
    <row r="1249" spans="19:19" x14ac:dyDescent="0.25">
      <c r="S1249" s="1"/>
    </row>
    <row r="1250" spans="19:19" x14ac:dyDescent="0.25">
      <c r="S1250" s="1"/>
    </row>
    <row r="1251" spans="19:19" x14ac:dyDescent="0.25">
      <c r="S1251" s="1"/>
    </row>
    <row r="1252" spans="19:19" x14ac:dyDescent="0.25">
      <c r="S1252" s="1"/>
    </row>
    <row r="1253" spans="19:19" x14ac:dyDescent="0.25">
      <c r="S1253" s="1"/>
    </row>
    <row r="1254" spans="19:19" x14ac:dyDescent="0.25">
      <c r="S1254" s="1"/>
    </row>
    <row r="1255" spans="19:19" x14ac:dyDescent="0.25">
      <c r="S1255" s="1"/>
    </row>
    <row r="1256" spans="19:19" x14ac:dyDescent="0.25">
      <c r="S1256" s="1"/>
    </row>
    <row r="1257" spans="19:19" x14ac:dyDescent="0.25">
      <c r="S1257" s="1"/>
    </row>
    <row r="1258" spans="19:19" x14ac:dyDescent="0.25">
      <c r="S1258" s="1"/>
    </row>
    <row r="1259" spans="19:19" x14ac:dyDescent="0.25">
      <c r="S1259" s="1"/>
    </row>
    <row r="1260" spans="19:19" x14ac:dyDescent="0.25">
      <c r="S1260" s="1"/>
    </row>
    <row r="1261" spans="19:19" x14ac:dyDescent="0.25">
      <c r="S1261" s="1"/>
    </row>
    <row r="1262" spans="19:19" x14ac:dyDescent="0.25">
      <c r="S1262" s="1"/>
    </row>
    <row r="1263" spans="19:19" x14ac:dyDescent="0.25">
      <c r="S1263" s="1"/>
    </row>
    <row r="1264" spans="19:19" x14ac:dyDescent="0.25">
      <c r="S1264" s="1"/>
    </row>
    <row r="1265" spans="19:19" x14ac:dyDescent="0.25">
      <c r="S1265" s="1"/>
    </row>
    <row r="1266" spans="19:19" x14ac:dyDescent="0.25">
      <c r="S1266" s="1"/>
    </row>
    <row r="1267" spans="19:19" x14ac:dyDescent="0.25">
      <c r="S1267" s="1"/>
    </row>
    <row r="1268" spans="19:19" x14ac:dyDescent="0.25">
      <c r="S1268" s="1"/>
    </row>
    <row r="1269" spans="19:19" x14ac:dyDescent="0.25">
      <c r="S1269" s="1"/>
    </row>
    <row r="1270" spans="19:19" x14ac:dyDescent="0.25">
      <c r="S1270" s="1"/>
    </row>
    <row r="1271" spans="19:19" x14ac:dyDescent="0.25">
      <c r="S1271" s="1"/>
    </row>
    <row r="1272" spans="19:19" x14ac:dyDescent="0.25">
      <c r="S1272" s="1"/>
    </row>
    <row r="1273" spans="19:19" x14ac:dyDescent="0.25">
      <c r="S1273" s="1"/>
    </row>
    <row r="1274" spans="19:19" x14ac:dyDescent="0.25">
      <c r="S1274" s="1"/>
    </row>
    <row r="1275" spans="19:19" x14ac:dyDescent="0.25">
      <c r="S1275" s="1"/>
    </row>
    <row r="1276" spans="19:19" x14ac:dyDescent="0.25">
      <c r="S1276" s="1"/>
    </row>
    <row r="1277" spans="19:19" x14ac:dyDescent="0.25">
      <c r="S1277" s="1"/>
    </row>
    <row r="1278" spans="19:19" x14ac:dyDescent="0.25">
      <c r="S1278" s="1"/>
    </row>
    <row r="1279" spans="19:19" x14ac:dyDescent="0.25">
      <c r="S1279" s="1"/>
    </row>
    <row r="1280" spans="19:19" x14ac:dyDescent="0.25">
      <c r="S1280" s="1"/>
    </row>
    <row r="1281" spans="19:19" x14ac:dyDescent="0.25">
      <c r="S1281" s="1"/>
    </row>
    <row r="1282" spans="19:19" x14ac:dyDescent="0.25">
      <c r="S1282" s="1"/>
    </row>
    <row r="1283" spans="19:19" x14ac:dyDescent="0.25">
      <c r="S1283" s="1"/>
    </row>
    <row r="1284" spans="19:19" x14ac:dyDescent="0.25">
      <c r="S1284" s="1"/>
    </row>
    <row r="1285" spans="19:19" x14ac:dyDescent="0.25">
      <c r="S1285" s="1"/>
    </row>
    <row r="1286" spans="19:19" x14ac:dyDescent="0.25">
      <c r="S1286" s="1"/>
    </row>
    <row r="1287" spans="19:19" x14ac:dyDescent="0.25">
      <c r="S1287" s="1"/>
    </row>
    <row r="1288" spans="19:19" x14ac:dyDescent="0.25">
      <c r="S1288" s="1"/>
    </row>
    <row r="1289" spans="19:19" x14ac:dyDescent="0.25">
      <c r="S1289" s="1"/>
    </row>
    <row r="1290" spans="19:19" x14ac:dyDescent="0.25">
      <c r="S1290" s="1"/>
    </row>
    <row r="1291" spans="19:19" x14ac:dyDescent="0.25">
      <c r="S1291" s="1"/>
    </row>
    <row r="1292" spans="19:19" x14ac:dyDescent="0.25">
      <c r="S1292" s="1"/>
    </row>
    <row r="1293" spans="19:19" x14ac:dyDescent="0.25">
      <c r="S1293" s="1"/>
    </row>
    <row r="1294" spans="19:19" x14ac:dyDescent="0.25">
      <c r="S1294" s="1"/>
    </row>
    <row r="1295" spans="19:19" x14ac:dyDescent="0.25">
      <c r="S1295" s="1"/>
    </row>
    <row r="1296" spans="19:19" x14ac:dyDescent="0.25">
      <c r="S1296" s="1"/>
    </row>
    <row r="1297" spans="19:19" x14ac:dyDescent="0.25">
      <c r="S1297" s="1"/>
    </row>
    <row r="1298" spans="19:19" x14ac:dyDescent="0.25">
      <c r="S1298" s="1"/>
    </row>
    <row r="1299" spans="19:19" x14ac:dyDescent="0.25">
      <c r="S1299" s="1"/>
    </row>
    <row r="1300" spans="19:19" x14ac:dyDescent="0.25">
      <c r="S1300" s="1"/>
    </row>
    <row r="1301" spans="19:19" x14ac:dyDescent="0.25">
      <c r="S1301" s="1"/>
    </row>
    <row r="1302" spans="19:19" x14ac:dyDescent="0.25">
      <c r="S1302" s="1"/>
    </row>
    <row r="1303" spans="19:19" x14ac:dyDescent="0.25">
      <c r="S1303" s="1"/>
    </row>
    <row r="1304" spans="19:19" x14ac:dyDescent="0.25">
      <c r="S1304" s="1"/>
    </row>
    <row r="1305" spans="19:19" x14ac:dyDescent="0.25">
      <c r="S1305" s="1"/>
    </row>
    <row r="1306" spans="19:19" x14ac:dyDescent="0.25">
      <c r="S1306" s="1"/>
    </row>
    <row r="1307" spans="19:19" x14ac:dyDescent="0.25">
      <c r="S1307" s="1"/>
    </row>
    <row r="1308" spans="19:19" x14ac:dyDescent="0.25">
      <c r="S1308" s="1"/>
    </row>
    <row r="1309" spans="19:19" x14ac:dyDescent="0.25">
      <c r="S1309" s="1"/>
    </row>
    <row r="1310" spans="19:19" x14ac:dyDescent="0.25">
      <c r="S1310" s="1"/>
    </row>
    <row r="1311" spans="19:19" x14ac:dyDescent="0.25">
      <c r="S1311" s="1"/>
    </row>
    <row r="1312" spans="19:19" x14ac:dyDescent="0.25">
      <c r="S1312" s="1"/>
    </row>
    <row r="1313" spans="19:19" x14ac:dyDescent="0.25">
      <c r="S1313" s="1"/>
    </row>
    <row r="1314" spans="19:19" x14ac:dyDescent="0.25">
      <c r="S1314" s="1"/>
    </row>
    <row r="1315" spans="19:19" x14ac:dyDescent="0.25">
      <c r="S1315" s="1"/>
    </row>
    <row r="1316" spans="19:19" x14ac:dyDescent="0.25">
      <c r="S1316" s="1"/>
    </row>
    <row r="1317" spans="19:19" x14ac:dyDescent="0.25">
      <c r="S1317" s="1"/>
    </row>
    <row r="1318" spans="19:19" x14ac:dyDescent="0.25">
      <c r="S1318" s="1"/>
    </row>
    <row r="1319" spans="19:19" x14ac:dyDescent="0.25">
      <c r="S1319" s="1"/>
    </row>
    <row r="1320" spans="19:19" x14ac:dyDescent="0.25">
      <c r="S1320" s="1"/>
    </row>
    <row r="1321" spans="19:19" x14ac:dyDescent="0.25">
      <c r="S1321" s="1"/>
    </row>
    <row r="1322" spans="19:19" x14ac:dyDescent="0.25">
      <c r="S1322" s="1"/>
    </row>
    <row r="1323" spans="19:19" x14ac:dyDescent="0.25">
      <c r="S1323" s="1"/>
    </row>
    <row r="1324" spans="19:19" x14ac:dyDescent="0.25">
      <c r="S1324" s="1"/>
    </row>
    <row r="1325" spans="19:19" x14ac:dyDescent="0.25">
      <c r="S1325" s="1"/>
    </row>
    <row r="1326" spans="19:19" x14ac:dyDescent="0.25">
      <c r="S1326" s="1"/>
    </row>
    <row r="1327" spans="19:19" x14ac:dyDescent="0.25">
      <c r="S1327" s="1"/>
    </row>
    <row r="1328" spans="19:19" x14ac:dyDescent="0.25">
      <c r="S1328" s="1"/>
    </row>
    <row r="1329" spans="19:19" x14ac:dyDescent="0.25">
      <c r="S1329" s="1"/>
    </row>
    <row r="1330" spans="19:19" x14ac:dyDescent="0.25">
      <c r="S1330" s="1"/>
    </row>
    <row r="1331" spans="19:19" x14ac:dyDescent="0.25">
      <c r="S1331" s="1"/>
    </row>
    <row r="1332" spans="19:19" x14ac:dyDescent="0.25">
      <c r="S1332" s="1"/>
    </row>
    <row r="1333" spans="19:19" x14ac:dyDescent="0.25">
      <c r="S1333" s="1"/>
    </row>
    <row r="1334" spans="19:19" x14ac:dyDescent="0.25">
      <c r="S1334" s="1"/>
    </row>
    <row r="1335" spans="19:19" x14ac:dyDescent="0.25">
      <c r="S1335" s="1"/>
    </row>
    <row r="1336" spans="19:19" x14ac:dyDescent="0.25">
      <c r="S1336" s="1"/>
    </row>
    <row r="1337" spans="19:19" x14ac:dyDescent="0.25">
      <c r="S1337" s="1"/>
    </row>
    <row r="1338" spans="19:19" x14ac:dyDescent="0.25">
      <c r="S1338" s="1"/>
    </row>
    <row r="1339" spans="19:19" x14ac:dyDescent="0.25">
      <c r="S1339" s="1"/>
    </row>
    <row r="1340" spans="19:19" x14ac:dyDescent="0.25">
      <c r="S1340" s="1"/>
    </row>
    <row r="1341" spans="19:19" x14ac:dyDescent="0.25">
      <c r="S1341" s="1"/>
    </row>
    <row r="1342" spans="19:19" x14ac:dyDescent="0.25">
      <c r="S1342" s="1"/>
    </row>
    <row r="1343" spans="19:19" x14ac:dyDescent="0.25">
      <c r="S1343" s="1"/>
    </row>
    <row r="1344" spans="19:19" x14ac:dyDescent="0.25">
      <c r="S1344" s="1"/>
    </row>
    <row r="1345" spans="19:19" x14ac:dyDescent="0.25">
      <c r="S1345" s="1"/>
    </row>
    <row r="1346" spans="19:19" x14ac:dyDescent="0.25">
      <c r="S1346" s="1"/>
    </row>
    <row r="1347" spans="19:19" x14ac:dyDescent="0.25">
      <c r="S1347" s="1"/>
    </row>
    <row r="1348" spans="19:19" x14ac:dyDescent="0.25">
      <c r="S1348" s="1"/>
    </row>
    <row r="1349" spans="19:19" x14ac:dyDescent="0.25">
      <c r="S1349" s="1"/>
    </row>
    <row r="1350" spans="19:19" x14ac:dyDescent="0.25">
      <c r="S1350" s="1"/>
    </row>
    <row r="1351" spans="19:19" x14ac:dyDescent="0.25">
      <c r="S1351" s="1"/>
    </row>
    <row r="1352" spans="19:19" x14ac:dyDescent="0.25">
      <c r="S1352" s="1"/>
    </row>
    <row r="1353" spans="19:19" x14ac:dyDescent="0.25">
      <c r="S1353" s="1"/>
    </row>
    <row r="1354" spans="19:19" x14ac:dyDescent="0.25">
      <c r="S1354" s="1"/>
    </row>
    <row r="1355" spans="19:19" x14ac:dyDescent="0.25">
      <c r="S1355" s="1"/>
    </row>
    <row r="1356" spans="19:19" x14ac:dyDescent="0.25">
      <c r="S1356" s="1"/>
    </row>
    <row r="1357" spans="19:19" x14ac:dyDescent="0.25">
      <c r="S1357" s="1"/>
    </row>
    <row r="1358" spans="19:19" x14ac:dyDescent="0.25">
      <c r="S1358" s="1"/>
    </row>
    <row r="1359" spans="19:19" x14ac:dyDescent="0.25">
      <c r="S1359" s="1"/>
    </row>
    <row r="1360" spans="19:19" x14ac:dyDescent="0.25">
      <c r="S1360" s="1"/>
    </row>
    <row r="1361" spans="19:19" x14ac:dyDescent="0.25">
      <c r="S1361" s="1"/>
    </row>
    <row r="1362" spans="19:19" x14ac:dyDescent="0.25">
      <c r="S1362" s="1"/>
    </row>
    <row r="1363" spans="19:19" x14ac:dyDescent="0.25">
      <c r="S1363" s="1"/>
    </row>
    <row r="1364" spans="19:19" x14ac:dyDescent="0.25">
      <c r="S1364" s="1"/>
    </row>
    <row r="1365" spans="19:19" x14ac:dyDescent="0.25">
      <c r="S1365" s="1"/>
    </row>
    <row r="1366" spans="19:19" x14ac:dyDescent="0.25">
      <c r="S1366" s="1"/>
    </row>
    <row r="1367" spans="19:19" x14ac:dyDescent="0.25">
      <c r="S1367" s="1"/>
    </row>
    <row r="1368" spans="19:19" x14ac:dyDescent="0.25">
      <c r="S1368" s="1"/>
    </row>
    <row r="1369" spans="19:19" x14ac:dyDescent="0.25">
      <c r="S1369" s="1"/>
    </row>
    <row r="1370" spans="19:19" x14ac:dyDescent="0.25">
      <c r="S1370" s="1"/>
    </row>
    <row r="1371" spans="19:19" x14ac:dyDescent="0.25">
      <c r="S1371" s="1"/>
    </row>
    <row r="1372" spans="19:19" x14ac:dyDescent="0.25">
      <c r="S1372" s="1"/>
    </row>
    <row r="1373" spans="19:19" x14ac:dyDescent="0.25">
      <c r="S1373" s="1"/>
    </row>
    <row r="1374" spans="19:19" x14ac:dyDescent="0.25">
      <c r="S1374" s="1"/>
    </row>
    <row r="1375" spans="19:19" x14ac:dyDescent="0.25">
      <c r="S1375" s="1"/>
    </row>
    <row r="1376" spans="19:19" x14ac:dyDescent="0.25">
      <c r="S1376" s="1"/>
    </row>
    <row r="1377" spans="19:19" x14ac:dyDescent="0.25">
      <c r="S1377" s="1"/>
    </row>
    <row r="1378" spans="19:19" x14ac:dyDescent="0.25">
      <c r="S1378" s="1"/>
    </row>
    <row r="1379" spans="19:19" x14ac:dyDescent="0.25">
      <c r="S1379" s="1"/>
    </row>
    <row r="1380" spans="19:19" x14ac:dyDescent="0.25">
      <c r="S1380" s="1"/>
    </row>
    <row r="1381" spans="19:19" x14ac:dyDescent="0.25">
      <c r="S1381" s="1"/>
    </row>
    <row r="1382" spans="19:19" x14ac:dyDescent="0.25">
      <c r="S1382" s="1"/>
    </row>
    <row r="1383" spans="19:19" x14ac:dyDescent="0.25">
      <c r="S1383" s="1"/>
    </row>
    <row r="1384" spans="19:19" x14ac:dyDescent="0.25">
      <c r="S1384" s="1"/>
    </row>
    <row r="1385" spans="19:19" x14ac:dyDescent="0.25">
      <c r="S1385" s="1"/>
    </row>
    <row r="1386" spans="19:19" x14ac:dyDescent="0.25">
      <c r="S1386" s="1"/>
    </row>
    <row r="1387" spans="19:19" x14ac:dyDescent="0.25">
      <c r="S1387" s="1"/>
    </row>
    <row r="1388" spans="19:19" x14ac:dyDescent="0.25">
      <c r="S1388" s="1"/>
    </row>
    <row r="1389" spans="19:19" x14ac:dyDescent="0.25">
      <c r="S1389" s="1"/>
    </row>
    <row r="1390" spans="19:19" x14ac:dyDescent="0.25">
      <c r="S1390" s="1"/>
    </row>
    <row r="1391" spans="19:19" x14ac:dyDescent="0.25">
      <c r="S1391" s="1"/>
    </row>
    <row r="1392" spans="19:19" x14ac:dyDescent="0.25">
      <c r="S1392" s="1"/>
    </row>
    <row r="1393" spans="19:19" x14ac:dyDescent="0.25">
      <c r="S1393" s="1"/>
    </row>
    <row r="1394" spans="19:19" x14ac:dyDescent="0.25">
      <c r="S1394" s="1"/>
    </row>
    <row r="1395" spans="19:19" x14ac:dyDescent="0.25">
      <c r="S1395" s="1"/>
    </row>
    <row r="1396" spans="19:19" x14ac:dyDescent="0.25">
      <c r="S1396" s="1"/>
    </row>
    <row r="1397" spans="19:19" x14ac:dyDescent="0.25">
      <c r="S1397" s="1"/>
    </row>
    <row r="1398" spans="19:19" x14ac:dyDescent="0.25">
      <c r="S1398" s="1"/>
    </row>
    <row r="1399" spans="19:19" x14ac:dyDescent="0.25">
      <c r="S1399" s="1"/>
    </row>
    <row r="1400" spans="19:19" x14ac:dyDescent="0.25">
      <c r="S1400" s="1"/>
    </row>
    <row r="1401" spans="19:19" x14ac:dyDescent="0.25">
      <c r="S1401" s="1"/>
    </row>
    <row r="1402" spans="19:19" x14ac:dyDescent="0.25">
      <c r="S1402" s="1"/>
    </row>
    <row r="1403" spans="19:19" x14ac:dyDescent="0.25">
      <c r="S1403" s="1"/>
    </row>
    <row r="1404" spans="19:19" x14ac:dyDescent="0.25">
      <c r="S1404" s="1"/>
    </row>
    <row r="1405" spans="19:19" x14ac:dyDescent="0.25">
      <c r="S1405" s="1"/>
    </row>
    <row r="1406" spans="19:19" x14ac:dyDescent="0.25">
      <c r="S1406" s="1"/>
    </row>
    <row r="1407" spans="19:19" x14ac:dyDescent="0.25">
      <c r="S1407" s="1"/>
    </row>
    <row r="1408" spans="19:19" x14ac:dyDescent="0.25">
      <c r="S1408" s="1"/>
    </row>
    <row r="1409" spans="19:19" x14ac:dyDescent="0.25">
      <c r="S1409" s="1"/>
    </row>
    <row r="1410" spans="19:19" x14ac:dyDescent="0.25">
      <c r="S1410" s="1"/>
    </row>
    <row r="1411" spans="19:19" x14ac:dyDescent="0.25">
      <c r="S1411" s="1"/>
    </row>
    <row r="1412" spans="19:19" x14ac:dyDescent="0.25">
      <c r="S1412" s="1"/>
    </row>
    <row r="1413" spans="19:19" x14ac:dyDescent="0.25">
      <c r="S1413" s="1"/>
    </row>
    <row r="1414" spans="19:19" x14ac:dyDescent="0.25">
      <c r="S1414" s="1"/>
    </row>
    <row r="1415" spans="19:19" x14ac:dyDescent="0.25">
      <c r="S1415" s="1"/>
    </row>
    <row r="1416" spans="19:19" x14ac:dyDescent="0.25">
      <c r="S1416" s="1"/>
    </row>
    <row r="1417" spans="19:19" x14ac:dyDescent="0.25">
      <c r="S1417" s="1"/>
    </row>
    <row r="1418" spans="19:19" x14ac:dyDescent="0.25">
      <c r="S1418" s="1"/>
    </row>
    <row r="1419" spans="19:19" x14ac:dyDescent="0.25">
      <c r="S1419" s="1"/>
    </row>
    <row r="1420" spans="19:19" x14ac:dyDescent="0.25">
      <c r="S1420" s="1"/>
    </row>
    <row r="1421" spans="19:19" x14ac:dyDescent="0.25">
      <c r="S1421" s="1"/>
    </row>
    <row r="1422" spans="19:19" x14ac:dyDescent="0.25">
      <c r="S1422" s="1"/>
    </row>
    <row r="1423" spans="19:19" x14ac:dyDescent="0.25">
      <c r="S1423" s="1"/>
    </row>
    <row r="1424" spans="19:19" x14ac:dyDescent="0.25">
      <c r="S1424" s="1"/>
    </row>
    <row r="1425" spans="19:19" x14ac:dyDescent="0.25">
      <c r="S1425" s="1"/>
    </row>
    <row r="1426" spans="19:19" x14ac:dyDescent="0.25">
      <c r="S1426" s="1"/>
    </row>
    <row r="1427" spans="19:19" x14ac:dyDescent="0.25">
      <c r="S1427" s="1"/>
    </row>
    <row r="1428" spans="19:19" x14ac:dyDescent="0.25">
      <c r="S1428" s="1"/>
    </row>
    <row r="1429" spans="19:19" x14ac:dyDescent="0.25">
      <c r="S1429" s="1"/>
    </row>
    <row r="1430" spans="19:19" x14ac:dyDescent="0.25">
      <c r="S1430" s="1"/>
    </row>
    <row r="1431" spans="19:19" x14ac:dyDescent="0.25">
      <c r="S1431" s="1"/>
    </row>
    <row r="1432" spans="19:19" x14ac:dyDescent="0.25">
      <c r="S1432" s="1"/>
    </row>
    <row r="1433" spans="19:19" x14ac:dyDescent="0.25">
      <c r="S1433" s="1"/>
    </row>
    <row r="1434" spans="19:19" x14ac:dyDescent="0.25">
      <c r="S1434" s="1"/>
    </row>
    <row r="1435" spans="19:19" x14ac:dyDescent="0.25">
      <c r="S1435" s="1"/>
    </row>
    <row r="1436" spans="19:19" x14ac:dyDescent="0.25">
      <c r="S1436" s="1"/>
    </row>
    <row r="1437" spans="19:19" x14ac:dyDescent="0.25">
      <c r="S1437" s="1"/>
    </row>
    <row r="1438" spans="19:19" x14ac:dyDescent="0.25">
      <c r="S1438" s="1"/>
    </row>
    <row r="1439" spans="19:19" x14ac:dyDescent="0.25">
      <c r="S1439" s="1"/>
    </row>
    <row r="1440" spans="19:19" x14ac:dyDescent="0.25">
      <c r="S1440" s="1"/>
    </row>
    <row r="1441" spans="19:19" x14ac:dyDescent="0.25">
      <c r="S1441" s="1"/>
    </row>
    <row r="1442" spans="19:19" x14ac:dyDescent="0.25">
      <c r="S1442" s="1"/>
    </row>
    <row r="1443" spans="19:19" x14ac:dyDescent="0.25">
      <c r="S1443" s="1"/>
    </row>
    <row r="1444" spans="19:19" x14ac:dyDescent="0.25">
      <c r="S1444" s="1"/>
    </row>
    <row r="1445" spans="19:19" x14ac:dyDescent="0.25">
      <c r="S1445" s="1"/>
    </row>
    <row r="1446" spans="19:19" x14ac:dyDescent="0.25">
      <c r="S1446" s="1"/>
    </row>
    <row r="1447" spans="19:19" x14ac:dyDescent="0.25">
      <c r="S1447" s="1"/>
    </row>
    <row r="1448" spans="19:19" x14ac:dyDescent="0.25">
      <c r="S1448" s="1"/>
    </row>
    <row r="1449" spans="19:19" x14ac:dyDescent="0.25">
      <c r="S1449" s="1"/>
    </row>
    <row r="1450" spans="19:19" x14ac:dyDescent="0.25">
      <c r="S1450" s="1"/>
    </row>
    <row r="1451" spans="19:19" x14ac:dyDescent="0.25">
      <c r="S1451" s="1"/>
    </row>
    <row r="1452" spans="19:19" x14ac:dyDescent="0.25">
      <c r="S1452" s="1"/>
    </row>
    <row r="1453" spans="19:19" x14ac:dyDescent="0.25">
      <c r="S1453" s="1"/>
    </row>
    <row r="1454" spans="19:19" x14ac:dyDescent="0.25">
      <c r="S1454" s="1"/>
    </row>
    <row r="1455" spans="19:19" x14ac:dyDescent="0.25">
      <c r="S1455" s="1"/>
    </row>
    <row r="1456" spans="19:19" x14ac:dyDescent="0.25">
      <c r="S1456" s="1"/>
    </row>
    <row r="1457" spans="19:19" x14ac:dyDescent="0.25">
      <c r="S1457" s="1"/>
    </row>
    <row r="1458" spans="19:19" x14ac:dyDescent="0.25">
      <c r="S1458" s="1"/>
    </row>
    <row r="1459" spans="19:19" x14ac:dyDescent="0.25">
      <c r="S1459" s="1"/>
    </row>
    <row r="1460" spans="19:19" x14ac:dyDescent="0.25">
      <c r="S1460" s="1"/>
    </row>
    <row r="1461" spans="19:19" x14ac:dyDescent="0.25">
      <c r="S1461" s="1"/>
    </row>
    <row r="1462" spans="19:19" x14ac:dyDescent="0.25">
      <c r="S1462" s="1"/>
    </row>
    <row r="1463" spans="19:19" x14ac:dyDescent="0.25">
      <c r="S1463" s="1"/>
    </row>
    <row r="1464" spans="19:19" x14ac:dyDescent="0.25">
      <c r="S1464" s="1"/>
    </row>
    <row r="1465" spans="19:19" x14ac:dyDescent="0.25">
      <c r="S1465" s="1"/>
    </row>
    <row r="1466" spans="19:19" x14ac:dyDescent="0.25">
      <c r="S1466" s="1"/>
    </row>
    <row r="1467" spans="19:19" x14ac:dyDescent="0.25">
      <c r="S1467" s="1"/>
    </row>
    <row r="1468" spans="19:19" x14ac:dyDescent="0.25">
      <c r="S1468" s="1"/>
    </row>
    <row r="1469" spans="19:19" x14ac:dyDescent="0.25">
      <c r="S1469" s="1"/>
    </row>
    <row r="1470" spans="19:19" x14ac:dyDescent="0.25">
      <c r="S1470" s="1"/>
    </row>
    <row r="1471" spans="19:19" x14ac:dyDescent="0.25">
      <c r="S1471" s="1"/>
    </row>
    <row r="1472" spans="19:19" x14ac:dyDescent="0.25">
      <c r="S1472" s="1"/>
    </row>
    <row r="1473" spans="19:19" x14ac:dyDescent="0.25">
      <c r="S1473" s="1"/>
    </row>
    <row r="1474" spans="19:19" x14ac:dyDescent="0.25">
      <c r="S1474" s="1"/>
    </row>
    <row r="1475" spans="19:19" x14ac:dyDescent="0.25">
      <c r="S1475" s="1"/>
    </row>
    <row r="1476" spans="19:19" x14ac:dyDescent="0.25">
      <c r="S1476" s="1"/>
    </row>
    <row r="1477" spans="19:19" x14ac:dyDescent="0.25">
      <c r="S1477" s="1"/>
    </row>
    <row r="1478" spans="19:19" x14ac:dyDescent="0.25">
      <c r="S1478" s="1"/>
    </row>
    <row r="1479" spans="19:19" x14ac:dyDescent="0.25">
      <c r="S1479" s="1"/>
    </row>
    <row r="1480" spans="19:19" x14ac:dyDescent="0.25">
      <c r="S1480" s="1"/>
    </row>
    <row r="1481" spans="19:19" x14ac:dyDescent="0.25">
      <c r="S1481" s="1"/>
    </row>
    <row r="1482" spans="19:19" x14ac:dyDescent="0.25">
      <c r="S1482" s="1"/>
    </row>
    <row r="1483" spans="19:19" x14ac:dyDescent="0.25">
      <c r="S1483" s="1"/>
    </row>
    <row r="1484" spans="19:19" x14ac:dyDescent="0.25">
      <c r="S1484" s="1"/>
    </row>
    <row r="1485" spans="19:19" x14ac:dyDescent="0.25">
      <c r="S1485" s="1"/>
    </row>
    <row r="1486" spans="19:19" x14ac:dyDescent="0.25">
      <c r="S1486" s="1"/>
    </row>
    <row r="1487" spans="19:19" x14ac:dyDescent="0.25">
      <c r="S1487" s="1"/>
    </row>
    <row r="1488" spans="19:19" x14ac:dyDescent="0.25">
      <c r="S1488" s="1"/>
    </row>
    <row r="1489" spans="19:19" x14ac:dyDescent="0.25">
      <c r="S1489" s="1"/>
    </row>
    <row r="1490" spans="19:19" x14ac:dyDescent="0.25">
      <c r="S1490" s="1"/>
    </row>
    <row r="1491" spans="19:19" x14ac:dyDescent="0.25">
      <c r="S1491" s="1"/>
    </row>
    <row r="1492" spans="19:19" x14ac:dyDescent="0.25">
      <c r="S1492" s="1"/>
    </row>
    <row r="1493" spans="19:19" x14ac:dyDescent="0.25">
      <c r="S1493" s="1"/>
    </row>
    <row r="1494" spans="19:19" x14ac:dyDescent="0.25">
      <c r="S1494" s="1"/>
    </row>
    <row r="1495" spans="19:19" x14ac:dyDescent="0.25">
      <c r="S1495" s="1"/>
    </row>
    <row r="1496" spans="19:19" x14ac:dyDescent="0.25">
      <c r="S1496" s="1"/>
    </row>
    <row r="1497" spans="19:19" x14ac:dyDescent="0.25">
      <c r="S1497" s="1"/>
    </row>
    <row r="1498" spans="19:19" x14ac:dyDescent="0.25">
      <c r="S1498" s="1"/>
    </row>
    <row r="1499" spans="19:19" x14ac:dyDescent="0.25">
      <c r="S1499" s="1"/>
    </row>
    <row r="1500" spans="19:19" x14ac:dyDescent="0.25">
      <c r="S1500" s="1"/>
    </row>
    <row r="1501" spans="19:19" x14ac:dyDescent="0.25">
      <c r="S1501" s="1"/>
    </row>
    <row r="1502" spans="19:19" x14ac:dyDescent="0.25">
      <c r="S1502" s="1"/>
    </row>
    <row r="1503" spans="19:19" x14ac:dyDescent="0.25">
      <c r="S1503" s="1"/>
    </row>
    <row r="1504" spans="19:19" x14ac:dyDescent="0.25">
      <c r="S1504" s="1"/>
    </row>
    <row r="1505" spans="19:19" x14ac:dyDescent="0.25">
      <c r="S1505" s="1"/>
    </row>
    <row r="1506" spans="19:19" x14ac:dyDescent="0.25">
      <c r="S1506" s="1"/>
    </row>
    <row r="1507" spans="19:19" x14ac:dyDescent="0.25">
      <c r="S1507" s="1"/>
    </row>
    <row r="1508" spans="19:19" x14ac:dyDescent="0.25">
      <c r="S1508" s="1"/>
    </row>
    <row r="1509" spans="19:19" x14ac:dyDescent="0.25">
      <c r="S1509" s="1"/>
    </row>
    <row r="1510" spans="19:19" x14ac:dyDescent="0.25">
      <c r="S1510" s="1"/>
    </row>
    <row r="1511" spans="19:19" x14ac:dyDescent="0.25">
      <c r="S1511" s="1"/>
    </row>
    <row r="1512" spans="19:19" x14ac:dyDescent="0.25">
      <c r="S1512" s="1"/>
    </row>
    <row r="1513" spans="19:19" x14ac:dyDescent="0.25">
      <c r="S1513" s="1"/>
    </row>
    <row r="1514" spans="19:19" x14ac:dyDescent="0.25">
      <c r="S1514" s="1"/>
    </row>
    <row r="1515" spans="19:19" x14ac:dyDescent="0.25">
      <c r="S1515" s="1"/>
    </row>
    <row r="1516" spans="19:19" x14ac:dyDescent="0.25">
      <c r="S1516" s="1"/>
    </row>
    <row r="1517" spans="19:19" x14ac:dyDescent="0.25">
      <c r="S1517" s="1"/>
    </row>
    <row r="1518" spans="19:19" x14ac:dyDescent="0.25">
      <c r="S1518" s="1"/>
    </row>
    <row r="1519" spans="19:19" x14ac:dyDescent="0.25">
      <c r="S1519" s="1"/>
    </row>
    <row r="1520" spans="19:19" x14ac:dyDescent="0.25">
      <c r="S1520" s="1"/>
    </row>
    <row r="1521" spans="19:19" x14ac:dyDescent="0.25">
      <c r="S1521" s="1"/>
    </row>
    <row r="1522" spans="19:19" x14ac:dyDescent="0.25">
      <c r="S1522" s="1"/>
    </row>
    <row r="1523" spans="19:19" x14ac:dyDescent="0.25">
      <c r="S1523" s="1"/>
    </row>
    <row r="1524" spans="19:19" x14ac:dyDescent="0.25">
      <c r="S1524" s="1"/>
    </row>
    <row r="1525" spans="19:19" x14ac:dyDescent="0.25">
      <c r="S1525" s="1"/>
    </row>
    <row r="1526" spans="19:19" x14ac:dyDescent="0.25">
      <c r="S1526" s="1"/>
    </row>
    <row r="1527" spans="19:19" x14ac:dyDescent="0.25">
      <c r="S1527" s="1"/>
    </row>
    <row r="1528" spans="19:19" x14ac:dyDescent="0.25">
      <c r="S1528" s="1"/>
    </row>
    <row r="1529" spans="19:19" x14ac:dyDescent="0.25">
      <c r="S1529" s="1"/>
    </row>
    <row r="1530" spans="19:19" x14ac:dyDescent="0.25">
      <c r="S1530" s="1"/>
    </row>
    <row r="1531" spans="19:19" x14ac:dyDescent="0.25">
      <c r="S1531" s="1"/>
    </row>
    <row r="1532" spans="19:19" x14ac:dyDescent="0.25">
      <c r="S1532" s="1"/>
    </row>
    <row r="1533" spans="19:19" x14ac:dyDescent="0.25">
      <c r="S1533" s="1"/>
    </row>
    <row r="1534" spans="19:19" x14ac:dyDescent="0.25">
      <c r="S1534" s="1"/>
    </row>
    <row r="1535" spans="19:19" x14ac:dyDescent="0.25">
      <c r="S1535" s="1"/>
    </row>
    <row r="1536" spans="19:19" x14ac:dyDescent="0.25">
      <c r="S1536" s="1"/>
    </row>
    <row r="1537" spans="19:19" x14ac:dyDescent="0.25">
      <c r="S1537" s="1"/>
    </row>
    <row r="1538" spans="19:19" x14ac:dyDescent="0.25">
      <c r="S1538" s="1"/>
    </row>
    <row r="1539" spans="19:19" x14ac:dyDescent="0.25">
      <c r="S1539" s="1"/>
    </row>
    <row r="1540" spans="19:19" x14ac:dyDescent="0.25">
      <c r="S1540" s="1"/>
    </row>
    <row r="1541" spans="19:19" x14ac:dyDescent="0.25">
      <c r="S1541" s="1"/>
    </row>
    <row r="1542" spans="19:19" x14ac:dyDescent="0.25">
      <c r="S1542" s="1"/>
    </row>
    <row r="1543" spans="19:19" x14ac:dyDescent="0.25">
      <c r="S1543" s="1"/>
    </row>
    <row r="1544" spans="19:19" x14ac:dyDescent="0.25">
      <c r="S1544" s="1"/>
    </row>
    <row r="1545" spans="19:19" x14ac:dyDescent="0.25">
      <c r="S1545" s="1"/>
    </row>
    <row r="1546" spans="19:19" x14ac:dyDescent="0.25">
      <c r="S1546" s="1"/>
    </row>
    <row r="1547" spans="19:19" x14ac:dyDescent="0.25">
      <c r="S1547" s="1"/>
    </row>
    <row r="1548" spans="19:19" x14ac:dyDescent="0.25">
      <c r="S1548" s="1"/>
    </row>
    <row r="1549" spans="19:19" x14ac:dyDescent="0.25">
      <c r="S1549" s="1"/>
    </row>
    <row r="1550" spans="19:19" x14ac:dyDescent="0.25">
      <c r="S1550" s="1"/>
    </row>
    <row r="1551" spans="19:19" x14ac:dyDescent="0.25">
      <c r="S1551" s="1"/>
    </row>
    <row r="1552" spans="19:19" x14ac:dyDescent="0.25">
      <c r="S1552" s="1"/>
    </row>
    <row r="1553" spans="19:19" x14ac:dyDescent="0.25">
      <c r="S1553" s="1"/>
    </row>
    <row r="1554" spans="19:19" x14ac:dyDescent="0.25">
      <c r="S1554" s="1"/>
    </row>
    <row r="1555" spans="19:19" x14ac:dyDescent="0.25">
      <c r="S1555" s="1"/>
    </row>
    <row r="1556" spans="19:19" x14ac:dyDescent="0.25">
      <c r="S1556" s="1"/>
    </row>
    <row r="1557" spans="19:19" x14ac:dyDescent="0.25">
      <c r="S1557" s="1"/>
    </row>
    <row r="1558" spans="19:19" x14ac:dyDescent="0.25">
      <c r="S1558" s="1"/>
    </row>
    <row r="1559" spans="19:19" x14ac:dyDescent="0.25">
      <c r="S1559" s="1"/>
    </row>
    <row r="1560" spans="19:19" x14ac:dyDescent="0.25">
      <c r="S1560" s="1"/>
    </row>
    <row r="1561" spans="19:19" x14ac:dyDescent="0.25">
      <c r="S1561" s="1"/>
    </row>
    <row r="1562" spans="19:19" x14ac:dyDescent="0.25">
      <c r="S1562" s="1"/>
    </row>
    <row r="1563" spans="19:19" x14ac:dyDescent="0.25">
      <c r="S1563" s="1"/>
    </row>
    <row r="1564" spans="19:19" x14ac:dyDescent="0.25">
      <c r="S1564" s="1"/>
    </row>
    <row r="1565" spans="19:19" x14ac:dyDescent="0.25">
      <c r="S1565" s="1"/>
    </row>
    <row r="1566" spans="19:19" x14ac:dyDescent="0.25">
      <c r="S1566" s="1"/>
    </row>
    <row r="1567" spans="19:19" x14ac:dyDescent="0.25">
      <c r="S1567" s="1"/>
    </row>
    <row r="1568" spans="19:19" x14ac:dyDescent="0.25">
      <c r="S1568" s="1"/>
    </row>
    <row r="1569" spans="19:19" x14ac:dyDescent="0.25">
      <c r="S1569" s="1"/>
    </row>
    <row r="1570" spans="19:19" x14ac:dyDescent="0.25">
      <c r="S1570" s="1"/>
    </row>
    <row r="1571" spans="19:19" x14ac:dyDescent="0.25">
      <c r="S1571" s="1"/>
    </row>
    <row r="1572" spans="19:19" x14ac:dyDescent="0.25">
      <c r="S1572" s="1"/>
    </row>
    <row r="1573" spans="19:19" x14ac:dyDescent="0.25">
      <c r="S1573" s="1"/>
    </row>
    <row r="1574" spans="19:19" x14ac:dyDescent="0.25">
      <c r="S1574" s="1"/>
    </row>
    <row r="1575" spans="19:19" x14ac:dyDescent="0.25">
      <c r="S1575" s="1"/>
    </row>
    <row r="1576" spans="19:19" x14ac:dyDescent="0.25">
      <c r="S1576" s="1"/>
    </row>
    <row r="1577" spans="19:19" x14ac:dyDescent="0.25">
      <c r="S1577" s="1"/>
    </row>
    <row r="1578" spans="19:19" x14ac:dyDescent="0.25">
      <c r="S1578" s="1"/>
    </row>
    <row r="1579" spans="19:19" x14ac:dyDescent="0.25">
      <c r="S1579" s="1"/>
    </row>
    <row r="1580" spans="19:19" x14ac:dyDescent="0.25">
      <c r="S1580" s="1"/>
    </row>
    <row r="1581" spans="19:19" x14ac:dyDescent="0.25">
      <c r="S1581" s="1"/>
    </row>
    <row r="1582" spans="19:19" x14ac:dyDescent="0.25">
      <c r="S1582" s="1"/>
    </row>
    <row r="1583" spans="19:19" x14ac:dyDescent="0.25">
      <c r="S1583" s="1"/>
    </row>
    <row r="1584" spans="19:19" x14ac:dyDescent="0.25">
      <c r="S1584" s="1"/>
    </row>
    <row r="1585" spans="19:19" x14ac:dyDescent="0.25">
      <c r="S1585" s="1"/>
    </row>
    <row r="1586" spans="19:19" x14ac:dyDescent="0.25">
      <c r="S1586" s="1"/>
    </row>
    <row r="1587" spans="19:19" x14ac:dyDescent="0.25">
      <c r="S1587" s="1"/>
    </row>
    <row r="1588" spans="19:19" x14ac:dyDescent="0.25">
      <c r="S1588" s="1"/>
    </row>
    <row r="1589" spans="19:19" x14ac:dyDescent="0.25">
      <c r="S1589" s="1"/>
    </row>
    <row r="1590" spans="19:19" x14ac:dyDescent="0.25">
      <c r="S1590" s="1"/>
    </row>
    <row r="1591" spans="19:19" x14ac:dyDescent="0.25">
      <c r="S1591" s="1"/>
    </row>
    <row r="1592" spans="19:19" x14ac:dyDescent="0.25">
      <c r="S1592" s="1"/>
    </row>
    <row r="1593" spans="19:19" x14ac:dyDescent="0.25">
      <c r="S1593" s="1"/>
    </row>
    <row r="1594" spans="19:19" x14ac:dyDescent="0.25">
      <c r="S1594" s="1"/>
    </row>
    <row r="1595" spans="19:19" x14ac:dyDescent="0.25">
      <c r="S1595" s="1"/>
    </row>
    <row r="1596" spans="19:19" x14ac:dyDescent="0.25">
      <c r="S1596" s="1"/>
    </row>
    <row r="1597" spans="19:19" x14ac:dyDescent="0.25">
      <c r="S1597" s="1"/>
    </row>
    <row r="1598" spans="19:19" x14ac:dyDescent="0.25">
      <c r="S1598" s="1"/>
    </row>
    <row r="1599" spans="19:19" x14ac:dyDescent="0.25">
      <c r="S1599" s="1"/>
    </row>
    <row r="1600" spans="19:19" x14ac:dyDescent="0.25">
      <c r="S1600" s="1"/>
    </row>
    <row r="1601" spans="19:19" x14ac:dyDescent="0.25">
      <c r="S1601" s="1"/>
    </row>
    <row r="1602" spans="19:19" x14ac:dyDescent="0.25">
      <c r="S1602" s="1"/>
    </row>
    <row r="1603" spans="19:19" x14ac:dyDescent="0.25">
      <c r="S1603" s="1"/>
    </row>
    <row r="1604" spans="19:19" x14ac:dyDescent="0.25">
      <c r="S1604" s="1"/>
    </row>
    <row r="1605" spans="19:19" x14ac:dyDescent="0.25">
      <c r="S1605" s="1"/>
    </row>
    <row r="1606" spans="19:19" x14ac:dyDescent="0.25">
      <c r="S1606" s="1"/>
    </row>
    <row r="1607" spans="19:19" x14ac:dyDescent="0.25">
      <c r="S1607" s="1"/>
    </row>
    <row r="1608" spans="19:19" x14ac:dyDescent="0.25">
      <c r="S1608" s="1"/>
    </row>
    <row r="1609" spans="19:19" x14ac:dyDescent="0.25">
      <c r="S1609" s="1"/>
    </row>
    <row r="1610" spans="19:19" x14ac:dyDescent="0.25">
      <c r="S1610" s="1"/>
    </row>
    <row r="1611" spans="19:19" x14ac:dyDescent="0.25">
      <c r="S1611" s="1"/>
    </row>
    <row r="1612" spans="19:19" x14ac:dyDescent="0.25">
      <c r="S1612" s="1"/>
    </row>
    <row r="1613" spans="19:19" x14ac:dyDescent="0.25">
      <c r="S1613" s="1"/>
    </row>
    <row r="1614" spans="19:19" x14ac:dyDescent="0.25">
      <c r="S1614" s="1"/>
    </row>
    <row r="1615" spans="19:19" x14ac:dyDescent="0.25">
      <c r="S1615" s="1"/>
    </row>
    <row r="1616" spans="19:19" x14ac:dyDescent="0.25">
      <c r="S1616" s="1"/>
    </row>
    <row r="1617" spans="19:19" x14ac:dyDescent="0.25">
      <c r="S1617" s="1"/>
    </row>
    <row r="1618" spans="19:19" x14ac:dyDescent="0.25">
      <c r="S1618" s="1"/>
    </row>
    <row r="1619" spans="19:19" x14ac:dyDescent="0.25">
      <c r="S1619" s="1"/>
    </row>
    <row r="1620" spans="19:19" x14ac:dyDescent="0.25">
      <c r="S1620" s="1"/>
    </row>
    <row r="1621" spans="19:19" x14ac:dyDescent="0.25">
      <c r="S1621" s="1"/>
    </row>
    <row r="1622" spans="19:19" x14ac:dyDescent="0.25">
      <c r="S1622" s="1"/>
    </row>
    <row r="1623" spans="19:19" x14ac:dyDescent="0.25">
      <c r="S1623" s="1"/>
    </row>
    <row r="1624" spans="19:19" x14ac:dyDescent="0.25">
      <c r="S1624" s="1"/>
    </row>
    <row r="1625" spans="19:19" x14ac:dyDescent="0.25">
      <c r="S1625" s="1"/>
    </row>
    <row r="1626" spans="19:19" x14ac:dyDescent="0.25">
      <c r="S1626" s="1"/>
    </row>
    <row r="1627" spans="19:19" x14ac:dyDescent="0.25">
      <c r="S1627" s="1"/>
    </row>
    <row r="1628" spans="19:19" x14ac:dyDescent="0.25">
      <c r="S1628" s="1"/>
    </row>
    <row r="1629" spans="19:19" x14ac:dyDescent="0.25">
      <c r="S1629" s="1"/>
    </row>
    <row r="1630" spans="19:19" x14ac:dyDescent="0.25">
      <c r="S1630" s="1"/>
    </row>
    <row r="1631" spans="19:19" x14ac:dyDescent="0.25">
      <c r="S1631" s="1"/>
    </row>
    <row r="1632" spans="19:19" x14ac:dyDescent="0.25">
      <c r="S1632" s="1"/>
    </row>
    <row r="1633" spans="19:19" x14ac:dyDescent="0.25">
      <c r="S1633" s="1"/>
    </row>
    <row r="1634" spans="19:19" x14ac:dyDescent="0.25">
      <c r="S1634" s="1"/>
    </row>
    <row r="1635" spans="19:19" x14ac:dyDescent="0.25">
      <c r="S1635" s="1"/>
    </row>
    <row r="1636" spans="19:19" x14ac:dyDescent="0.25">
      <c r="S1636" s="1"/>
    </row>
    <row r="1637" spans="19:19" x14ac:dyDescent="0.25">
      <c r="S1637" s="1"/>
    </row>
    <row r="1638" spans="19:19" x14ac:dyDescent="0.25">
      <c r="S1638" s="1"/>
    </row>
    <row r="1639" spans="19:19" x14ac:dyDescent="0.25">
      <c r="S1639" s="1"/>
    </row>
    <row r="1640" spans="19:19" x14ac:dyDescent="0.25">
      <c r="S1640" s="1"/>
    </row>
    <row r="1641" spans="19:19" x14ac:dyDescent="0.25">
      <c r="S1641" s="1"/>
    </row>
    <row r="1642" spans="19:19" x14ac:dyDescent="0.25">
      <c r="S1642" s="1"/>
    </row>
    <row r="1643" spans="19:19" x14ac:dyDescent="0.25">
      <c r="S1643" s="1"/>
    </row>
    <row r="1644" spans="19:19" x14ac:dyDescent="0.25">
      <c r="S1644" s="1"/>
    </row>
    <row r="1645" spans="19:19" x14ac:dyDescent="0.25">
      <c r="S1645" s="1"/>
    </row>
    <row r="1646" spans="19:19" x14ac:dyDescent="0.25">
      <c r="S1646" s="1"/>
    </row>
    <row r="1647" spans="19:19" x14ac:dyDescent="0.25">
      <c r="S1647" s="1"/>
    </row>
    <row r="1648" spans="19:19" x14ac:dyDescent="0.25">
      <c r="S1648" s="1"/>
    </row>
    <row r="1649" spans="19:19" x14ac:dyDescent="0.25">
      <c r="S1649" s="1"/>
    </row>
    <row r="1650" spans="19:19" x14ac:dyDescent="0.25">
      <c r="S1650" s="1"/>
    </row>
    <row r="1651" spans="19:19" x14ac:dyDescent="0.25">
      <c r="S1651" s="1"/>
    </row>
    <row r="1652" spans="19:19" x14ac:dyDescent="0.25">
      <c r="S1652" s="1"/>
    </row>
    <row r="1653" spans="19:19" x14ac:dyDescent="0.25">
      <c r="S1653" s="1"/>
    </row>
    <row r="1654" spans="19:19" x14ac:dyDescent="0.25">
      <c r="S1654" s="1"/>
    </row>
    <row r="1655" spans="19:19" x14ac:dyDescent="0.25">
      <c r="S1655" s="1"/>
    </row>
    <row r="1656" spans="19:19" x14ac:dyDescent="0.25">
      <c r="S1656" s="1"/>
    </row>
    <row r="1657" spans="19:19" x14ac:dyDescent="0.25">
      <c r="S1657" s="1"/>
    </row>
    <row r="1658" spans="19:19" x14ac:dyDescent="0.25">
      <c r="S1658" s="1"/>
    </row>
    <row r="1659" spans="19:19" x14ac:dyDescent="0.25">
      <c r="S1659" s="1"/>
    </row>
    <row r="1660" spans="19:19" x14ac:dyDescent="0.25">
      <c r="S1660" s="1"/>
    </row>
    <row r="1661" spans="19:19" x14ac:dyDescent="0.25">
      <c r="S1661" s="1"/>
    </row>
    <row r="1662" spans="19:19" x14ac:dyDescent="0.25">
      <c r="S1662" s="1"/>
    </row>
    <row r="1663" spans="19:19" x14ac:dyDescent="0.25">
      <c r="S1663" s="1"/>
    </row>
    <row r="1664" spans="19:19" x14ac:dyDescent="0.25">
      <c r="S1664" s="1"/>
    </row>
    <row r="1665" spans="19:19" x14ac:dyDescent="0.25">
      <c r="S1665" s="1"/>
    </row>
    <row r="1666" spans="19:19" x14ac:dyDescent="0.25">
      <c r="S1666" s="1"/>
    </row>
    <row r="1667" spans="19:19" x14ac:dyDescent="0.25">
      <c r="S1667" s="1"/>
    </row>
    <row r="1668" spans="19:19" x14ac:dyDescent="0.25">
      <c r="S1668" s="1"/>
    </row>
    <row r="1669" spans="19:19" x14ac:dyDescent="0.25">
      <c r="S1669" s="1"/>
    </row>
    <row r="1670" spans="19:19" x14ac:dyDescent="0.25">
      <c r="S1670" s="1"/>
    </row>
    <row r="1671" spans="19:19" x14ac:dyDescent="0.25">
      <c r="S1671" s="1"/>
    </row>
    <row r="1672" spans="19:19" x14ac:dyDescent="0.25">
      <c r="S1672" s="1"/>
    </row>
    <row r="1673" spans="19:19" x14ac:dyDescent="0.25">
      <c r="S1673" s="1"/>
    </row>
    <row r="1674" spans="19:19" x14ac:dyDescent="0.25">
      <c r="S1674" s="1"/>
    </row>
    <row r="1675" spans="19:19" x14ac:dyDescent="0.25">
      <c r="S1675" s="1"/>
    </row>
    <row r="1676" spans="19:19" x14ac:dyDescent="0.25">
      <c r="S1676" s="1"/>
    </row>
    <row r="1677" spans="19:19" x14ac:dyDescent="0.25">
      <c r="S1677" s="1"/>
    </row>
    <row r="1678" spans="19:19" x14ac:dyDescent="0.25">
      <c r="S1678" s="1"/>
    </row>
    <row r="1679" spans="19:19" x14ac:dyDescent="0.25">
      <c r="S1679" s="1"/>
    </row>
    <row r="1680" spans="19:19" x14ac:dyDescent="0.25">
      <c r="S1680" s="1"/>
    </row>
    <row r="1681" spans="19:19" x14ac:dyDescent="0.25">
      <c r="S1681" s="1"/>
    </row>
    <row r="1682" spans="19:19" x14ac:dyDescent="0.25">
      <c r="S1682" s="1"/>
    </row>
    <row r="1683" spans="19:19" x14ac:dyDescent="0.25">
      <c r="S1683" s="1"/>
    </row>
    <row r="1684" spans="19:19" x14ac:dyDescent="0.25">
      <c r="S1684" s="1"/>
    </row>
    <row r="1685" spans="19:19" x14ac:dyDescent="0.25">
      <c r="S1685" s="1"/>
    </row>
    <row r="1686" spans="19:19" x14ac:dyDescent="0.25">
      <c r="S1686" s="1"/>
    </row>
    <row r="1687" spans="19:19" x14ac:dyDescent="0.25">
      <c r="S1687" s="1"/>
    </row>
    <row r="1688" spans="19:19" x14ac:dyDescent="0.25">
      <c r="S1688" s="1"/>
    </row>
    <row r="1689" spans="19:19" x14ac:dyDescent="0.25">
      <c r="S1689" s="1"/>
    </row>
    <row r="1690" spans="19:19" x14ac:dyDescent="0.25">
      <c r="S1690" s="1"/>
    </row>
    <row r="1691" spans="19:19" x14ac:dyDescent="0.25">
      <c r="S1691" s="1"/>
    </row>
    <row r="1692" spans="19:19" x14ac:dyDescent="0.25">
      <c r="S1692" s="1"/>
    </row>
    <row r="1693" spans="19:19" x14ac:dyDescent="0.25">
      <c r="S1693" s="1"/>
    </row>
    <row r="1694" spans="19:19" x14ac:dyDescent="0.25">
      <c r="S1694" s="1"/>
    </row>
    <row r="1695" spans="19:19" x14ac:dyDescent="0.25">
      <c r="S1695" s="1"/>
    </row>
    <row r="1696" spans="19:19" x14ac:dyDescent="0.25">
      <c r="S1696" s="1"/>
    </row>
    <row r="1697" spans="19:19" x14ac:dyDescent="0.25">
      <c r="S1697" s="1"/>
    </row>
    <row r="1698" spans="19:19" x14ac:dyDescent="0.25">
      <c r="S1698" s="1"/>
    </row>
    <row r="1699" spans="19:19" x14ac:dyDescent="0.25">
      <c r="S1699" s="1"/>
    </row>
    <row r="1700" spans="19:19" x14ac:dyDescent="0.25">
      <c r="S1700" s="1"/>
    </row>
    <row r="1701" spans="19:19" x14ac:dyDescent="0.25">
      <c r="S1701" s="1"/>
    </row>
    <row r="1702" spans="19:19" x14ac:dyDescent="0.25">
      <c r="S1702" s="1"/>
    </row>
    <row r="1703" spans="19:19" x14ac:dyDescent="0.25">
      <c r="S1703" s="1"/>
    </row>
    <row r="1704" spans="19:19" x14ac:dyDescent="0.25">
      <c r="S1704" s="1"/>
    </row>
    <row r="1705" spans="19:19" x14ac:dyDescent="0.25">
      <c r="S1705" s="1"/>
    </row>
    <row r="1706" spans="19:19" x14ac:dyDescent="0.25">
      <c r="S1706" s="1"/>
    </row>
    <row r="1707" spans="19:19" x14ac:dyDescent="0.25">
      <c r="S1707" s="1"/>
    </row>
    <row r="1708" spans="19:19" x14ac:dyDescent="0.25">
      <c r="S1708" s="1"/>
    </row>
    <row r="1709" spans="19:19" x14ac:dyDescent="0.25">
      <c r="S1709" s="1"/>
    </row>
    <row r="1710" spans="19:19" x14ac:dyDescent="0.25">
      <c r="S1710" s="1"/>
    </row>
    <row r="1711" spans="19:19" x14ac:dyDescent="0.25">
      <c r="S1711" s="1"/>
    </row>
    <row r="1712" spans="19:19" x14ac:dyDescent="0.25">
      <c r="S1712" s="1"/>
    </row>
    <row r="1713" spans="19:19" x14ac:dyDescent="0.25">
      <c r="S1713" s="1"/>
    </row>
    <row r="1714" spans="19:19" x14ac:dyDescent="0.25">
      <c r="S1714" s="1"/>
    </row>
    <row r="1715" spans="19:19" x14ac:dyDescent="0.25">
      <c r="S1715" s="1"/>
    </row>
    <row r="1716" spans="19:19" x14ac:dyDescent="0.25">
      <c r="S1716" s="1"/>
    </row>
    <row r="1717" spans="19:19" x14ac:dyDescent="0.25">
      <c r="S1717" s="1"/>
    </row>
    <row r="1718" spans="19:19" x14ac:dyDescent="0.25">
      <c r="S1718" s="1"/>
    </row>
    <row r="1719" spans="19:19" x14ac:dyDescent="0.25">
      <c r="S1719" s="1"/>
    </row>
    <row r="1720" spans="19:19" x14ac:dyDescent="0.25">
      <c r="S1720" s="1"/>
    </row>
    <row r="1721" spans="19:19" x14ac:dyDescent="0.25">
      <c r="S1721" s="1"/>
    </row>
    <row r="1722" spans="19:19" x14ac:dyDescent="0.25">
      <c r="S1722" s="1"/>
    </row>
    <row r="1723" spans="19:19" x14ac:dyDescent="0.25">
      <c r="S1723" s="1"/>
    </row>
    <row r="1724" spans="19:19" x14ac:dyDescent="0.25">
      <c r="S1724" s="1"/>
    </row>
    <row r="1725" spans="19:19" x14ac:dyDescent="0.25">
      <c r="S1725" s="1"/>
    </row>
    <row r="1726" spans="19:19" x14ac:dyDescent="0.25">
      <c r="S1726" s="1"/>
    </row>
    <row r="1727" spans="19:19" x14ac:dyDescent="0.25">
      <c r="S1727" s="1"/>
    </row>
    <row r="1728" spans="19:19" x14ac:dyDescent="0.25">
      <c r="S1728" s="1"/>
    </row>
    <row r="1729" spans="19:19" x14ac:dyDescent="0.25">
      <c r="S1729" s="1"/>
    </row>
    <row r="1730" spans="19:19" x14ac:dyDescent="0.25">
      <c r="S1730" s="1"/>
    </row>
    <row r="1731" spans="19:19" x14ac:dyDescent="0.25">
      <c r="S1731" s="1"/>
    </row>
    <row r="1732" spans="19:19" x14ac:dyDescent="0.25">
      <c r="S1732" s="1"/>
    </row>
    <row r="1733" spans="19:19" x14ac:dyDescent="0.25">
      <c r="S1733" s="1"/>
    </row>
    <row r="1734" spans="19:19" x14ac:dyDescent="0.25">
      <c r="S1734" s="1"/>
    </row>
    <row r="1735" spans="19:19" x14ac:dyDescent="0.25">
      <c r="S1735" s="1"/>
    </row>
    <row r="1736" spans="19:19" x14ac:dyDescent="0.25">
      <c r="S1736" s="1"/>
    </row>
    <row r="1737" spans="19:19" x14ac:dyDescent="0.25">
      <c r="S1737" s="1"/>
    </row>
    <row r="1738" spans="19:19" x14ac:dyDescent="0.25">
      <c r="S1738" s="1"/>
    </row>
    <row r="1739" spans="19:19" x14ac:dyDescent="0.25">
      <c r="S1739" s="1"/>
    </row>
    <row r="1740" spans="19:19" x14ac:dyDescent="0.25">
      <c r="S1740" s="1"/>
    </row>
    <row r="1741" spans="19:19" x14ac:dyDescent="0.25">
      <c r="S1741" s="1"/>
    </row>
    <row r="1742" spans="19:19" x14ac:dyDescent="0.25">
      <c r="S1742" s="1"/>
    </row>
    <row r="1743" spans="19:19" x14ac:dyDescent="0.25">
      <c r="S1743" s="1"/>
    </row>
    <row r="1744" spans="19:19" x14ac:dyDescent="0.25">
      <c r="S1744" s="1"/>
    </row>
    <row r="1745" spans="19:19" x14ac:dyDescent="0.25">
      <c r="S1745" s="1"/>
    </row>
    <row r="1746" spans="19:19" x14ac:dyDescent="0.25">
      <c r="S1746" s="1"/>
    </row>
    <row r="1747" spans="19:19" x14ac:dyDescent="0.25">
      <c r="S1747" s="1"/>
    </row>
    <row r="1748" spans="19:19" x14ac:dyDescent="0.25">
      <c r="S1748" s="1"/>
    </row>
    <row r="1749" spans="19:19" x14ac:dyDescent="0.25">
      <c r="S1749" s="1"/>
    </row>
    <row r="1750" spans="19:19" x14ac:dyDescent="0.25">
      <c r="S1750" s="1"/>
    </row>
    <row r="1751" spans="19:19" x14ac:dyDescent="0.25">
      <c r="S1751" s="1"/>
    </row>
    <row r="1752" spans="19:19" x14ac:dyDescent="0.25">
      <c r="S1752" s="1"/>
    </row>
    <row r="1753" spans="19:19" x14ac:dyDescent="0.25">
      <c r="S1753" s="1"/>
    </row>
    <row r="1754" spans="19:19" x14ac:dyDescent="0.25">
      <c r="S1754" s="1"/>
    </row>
    <row r="1755" spans="19:19" x14ac:dyDescent="0.25">
      <c r="S1755" s="1"/>
    </row>
    <row r="1756" spans="19:19" x14ac:dyDescent="0.25">
      <c r="S1756" s="1"/>
    </row>
    <row r="1757" spans="19:19" x14ac:dyDescent="0.25">
      <c r="S1757" s="1"/>
    </row>
    <row r="1758" spans="19:19" x14ac:dyDescent="0.25">
      <c r="S1758" s="1"/>
    </row>
    <row r="1759" spans="19:19" x14ac:dyDescent="0.25">
      <c r="S1759" s="1"/>
    </row>
    <row r="1760" spans="19:19" x14ac:dyDescent="0.25">
      <c r="S1760" s="1"/>
    </row>
    <row r="1761" spans="19:19" x14ac:dyDescent="0.25">
      <c r="S1761" s="1"/>
    </row>
    <row r="1762" spans="19:19" x14ac:dyDescent="0.25">
      <c r="S1762" s="1"/>
    </row>
    <row r="1763" spans="19:19" x14ac:dyDescent="0.25">
      <c r="S1763" s="1"/>
    </row>
    <row r="1764" spans="19:19" x14ac:dyDescent="0.25">
      <c r="S1764" s="1"/>
    </row>
    <row r="1765" spans="19:19" x14ac:dyDescent="0.25">
      <c r="S1765" s="1"/>
    </row>
    <row r="1766" spans="19:19" x14ac:dyDescent="0.25">
      <c r="S1766" s="1"/>
    </row>
    <row r="1767" spans="19:19" x14ac:dyDescent="0.25">
      <c r="S1767" s="1"/>
    </row>
    <row r="1768" spans="19:19" x14ac:dyDescent="0.25">
      <c r="S1768" s="1"/>
    </row>
    <row r="1769" spans="19:19" x14ac:dyDescent="0.25">
      <c r="S1769" s="1"/>
    </row>
    <row r="1770" spans="19:19" x14ac:dyDescent="0.25">
      <c r="S1770" s="1"/>
    </row>
    <row r="1771" spans="19:19" x14ac:dyDescent="0.25">
      <c r="S1771" s="1"/>
    </row>
    <row r="1772" spans="19:19" x14ac:dyDescent="0.25">
      <c r="S1772" s="1"/>
    </row>
    <row r="1773" spans="19:19" x14ac:dyDescent="0.25">
      <c r="S1773" s="1"/>
    </row>
    <row r="1774" spans="19:19" x14ac:dyDescent="0.25">
      <c r="S1774" s="1"/>
    </row>
    <row r="1775" spans="19:19" x14ac:dyDescent="0.25">
      <c r="S1775" s="1"/>
    </row>
    <row r="1776" spans="19:19" x14ac:dyDescent="0.25">
      <c r="S1776" s="1"/>
    </row>
    <row r="1777" spans="19:19" x14ac:dyDescent="0.25">
      <c r="S1777" s="1"/>
    </row>
    <row r="1778" spans="19:19" x14ac:dyDescent="0.25">
      <c r="S1778" s="1"/>
    </row>
    <row r="1779" spans="19:19" x14ac:dyDescent="0.25">
      <c r="S1779" s="1"/>
    </row>
    <row r="1780" spans="19:19" x14ac:dyDescent="0.25">
      <c r="S1780" s="1"/>
    </row>
    <row r="1781" spans="19:19" x14ac:dyDescent="0.25">
      <c r="S1781" s="1"/>
    </row>
    <row r="1782" spans="19:19" x14ac:dyDescent="0.25">
      <c r="S1782" s="1"/>
    </row>
    <row r="1783" spans="19:19" x14ac:dyDescent="0.25">
      <c r="S1783" s="1"/>
    </row>
    <row r="1784" spans="19:19" x14ac:dyDescent="0.25">
      <c r="S1784" s="1"/>
    </row>
    <row r="1785" spans="19:19" x14ac:dyDescent="0.25">
      <c r="S1785" s="1"/>
    </row>
    <row r="1786" spans="19:19" x14ac:dyDescent="0.25">
      <c r="S1786" s="1"/>
    </row>
    <row r="1787" spans="19:19" x14ac:dyDescent="0.25">
      <c r="S1787" s="1"/>
    </row>
    <row r="1788" spans="19:19" x14ac:dyDescent="0.25">
      <c r="S1788" s="1"/>
    </row>
    <row r="1789" spans="19:19" x14ac:dyDescent="0.25">
      <c r="S1789" s="1"/>
    </row>
    <row r="1790" spans="19:19" x14ac:dyDescent="0.25">
      <c r="S1790" s="1"/>
    </row>
    <row r="1791" spans="19:19" x14ac:dyDescent="0.25">
      <c r="S1791" s="1"/>
    </row>
    <row r="1792" spans="19:19" x14ac:dyDescent="0.25">
      <c r="S1792" s="1"/>
    </row>
    <row r="1793" spans="19:19" x14ac:dyDescent="0.25">
      <c r="S1793" s="1"/>
    </row>
    <row r="1794" spans="19:19" x14ac:dyDescent="0.25">
      <c r="S1794" s="1"/>
    </row>
    <row r="1795" spans="19:19" x14ac:dyDescent="0.25">
      <c r="S1795" s="1"/>
    </row>
    <row r="1796" spans="19:19" x14ac:dyDescent="0.25">
      <c r="S1796" s="1"/>
    </row>
    <row r="1797" spans="19:19" x14ac:dyDescent="0.25">
      <c r="S1797" s="1"/>
    </row>
    <row r="1798" spans="19:19" x14ac:dyDescent="0.25">
      <c r="S1798" s="1"/>
    </row>
    <row r="1799" spans="19:19" x14ac:dyDescent="0.25">
      <c r="S1799" s="1"/>
    </row>
    <row r="1800" spans="19:19" x14ac:dyDescent="0.25">
      <c r="S1800" s="1"/>
    </row>
    <row r="1801" spans="19:19" x14ac:dyDescent="0.25">
      <c r="S1801" s="1"/>
    </row>
    <row r="1802" spans="19:19" x14ac:dyDescent="0.25">
      <c r="S1802" s="1"/>
    </row>
    <row r="1803" spans="19:19" x14ac:dyDescent="0.25">
      <c r="S1803" s="1"/>
    </row>
    <row r="1804" spans="19:19" x14ac:dyDescent="0.25">
      <c r="S1804" s="1"/>
    </row>
    <row r="1805" spans="19:19" x14ac:dyDescent="0.25">
      <c r="S1805" s="1"/>
    </row>
    <row r="1806" spans="19:19" x14ac:dyDescent="0.25">
      <c r="S1806" s="1"/>
    </row>
    <row r="1807" spans="19:19" x14ac:dyDescent="0.25">
      <c r="S1807" s="1"/>
    </row>
    <row r="1808" spans="19:19" x14ac:dyDescent="0.25">
      <c r="S1808" s="1"/>
    </row>
    <row r="1809" spans="19:19" x14ac:dyDescent="0.25">
      <c r="S1809" s="1"/>
    </row>
    <row r="1810" spans="19:19" x14ac:dyDescent="0.25">
      <c r="S1810" s="1"/>
    </row>
    <row r="1811" spans="19:19" x14ac:dyDescent="0.25">
      <c r="S1811" s="1"/>
    </row>
    <row r="1812" spans="19:19" x14ac:dyDescent="0.25">
      <c r="S1812" s="1"/>
    </row>
    <row r="1813" spans="19:19" x14ac:dyDescent="0.25">
      <c r="S1813" s="1"/>
    </row>
    <row r="1814" spans="19:19" x14ac:dyDescent="0.25">
      <c r="S1814" s="1"/>
    </row>
    <row r="1815" spans="19:19" x14ac:dyDescent="0.25">
      <c r="S1815" s="1"/>
    </row>
    <row r="1816" spans="19:19" x14ac:dyDescent="0.25">
      <c r="S1816" s="1"/>
    </row>
    <row r="1817" spans="19:19" x14ac:dyDescent="0.25">
      <c r="S1817" s="1"/>
    </row>
    <row r="1818" spans="19:19" x14ac:dyDescent="0.25">
      <c r="S1818" s="1"/>
    </row>
    <row r="1819" spans="19:19" x14ac:dyDescent="0.25">
      <c r="S1819" s="1"/>
    </row>
    <row r="1820" spans="19:19" x14ac:dyDescent="0.25">
      <c r="S1820" s="1"/>
    </row>
    <row r="1821" spans="19:19" x14ac:dyDescent="0.25">
      <c r="S1821" s="1"/>
    </row>
    <row r="1822" spans="19:19" x14ac:dyDescent="0.25">
      <c r="S1822" s="1"/>
    </row>
    <row r="1823" spans="19:19" x14ac:dyDescent="0.25">
      <c r="S1823" s="1"/>
    </row>
    <row r="1824" spans="19:19" x14ac:dyDescent="0.25">
      <c r="S1824" s="1"/>
    </row>
    <row r="1825" spans="19:19" x14ac:dyDescent="0.25">
      <c r="S1825" s="1"/>
    </row>
    <row r="1826" spans="19:19" x14ac:dyDescent="0.25">
      <c r="S1826" s="1"/>
    </row>
    <row r="1827" spans="19:19" x14ac:dyDescent="0.25">
      <c r="S1827" s="1"/>
    </row>
    <row r="1828" spans="19:19" x14ac:dyDescent="0.25">
      <c r="S1828" s="1"/>
    </row>
    <row r="1829" spans="19:19" x14ac:dyDescent="0.25">
      <c r="S1829" s="1"/>
    </row>
    <row r="1830" spans="19:19" x14ac:dyDescent="0.25">
      <c r="S1830" s="1"/>
    </row>
    <row r="1831" spans="19:19" x14ac:dyDescent="0.25">
      <c r="S1831" s="1"/>
    </row>
    <row r="1832" spans="19:19" x14ac:dyDescent="0.25">
      <c r="S1832" s="1"/>
    </row>
    <row r="1833" spans="19:19" x14ac:dyDescent="0.25">
      <c r="S1833" s="1"/>
    </row>
    <row r="1834" spans="19:19" x14ac:dyDescent="0.25">
      <c r="S1834" s="1"/>
    </row>
    <row r="1835" spans="19:19" x14ac:dyDescent="0.25">
      <c r="S1835" s="1"/>
    </row>
    <row r="1836" spans="19:19" x14ac:dyDescent="0.25">
      <c r="S1836" s="1"/>
    </row>
    <row r="1837" spans="19:19" x14ac:dyDescent="0.25">
      <c r="S1837" s="1"/>
    </row>
    <row r="1838" spans="19:19" x14ac:dyDescent="0.25">
      <c r="S1838" s="1"/>
    </row>
    <row r="1839" spans="19:19" x14ac:dyDescent="0.25">
      <c r="S1839" s="1"/>
    </row>
    <row r="1840" spans="19:19" x14ac:dyDescent="0.25">
      <c r="S1840" s="1"/>
    </row>
    <row r="1841" spans="19:19" x14ac:dyDescent="0.25">
      <c r="S1841" s="1"/>
    </row>
    <row r="1842" spans="19:19" x14ac:dyDescent="0.25">
      <c r="S1842" s="1"/>
    </row>
    <row r="1843" spans="19:19" x14ac:dyDescent="0.25">
      <c r="S1843" s="1"/>
    </row>
    <row r="1844" spans="19:19" x14ac:dyDescent="0.25">
      <c r="S1844" s="1"/>
    </row>
    <row r="1845" spans="19:19" x14ac:dyDescent="0.25">
      <c r="S1845" s="1"/>
    </row>
    <row r="1846" spans="19:19" x14ac:dyDescent="0.25">
      <c r="S1846" s="1"/>
    </row>
    <row r="1847" spans="19:19" x14ac:dyDescent="0.25">
      <c r="S1847" s="1"/>
    </row>
    <row r="1848" spans="19:19" x14ac:dyDescent="0.25">
      <c r="S1848" s="1"/>
    </row>
    <row r="1849" spans="19:19" x14ac:dyDescent="0.25">
      <c r="S1849" s="1"/>
    </row>
    <row r="1850" spans="19:19" x14ac:dyDescent="0.25">
      <c r="S1850" s="1"/>
    </row>
    <row r="1851" spans="19:19" x14ac:dyDescent="0.25">
      <c r="S1851" s="1"/>
    </row>
    <row r="1852" spans="19:19" x14ac:dyDescent="0.25">
      <c r="S1852" s="1"/>
    </row>
    <row r="1853" spans="19:19" x14ac:dyDescent="0.25">
      <c r="S1853" s="1"/>
    </row>
    <row r="1854" spans="19:19" x14ac:dyDescent="0.25">
      <c r="S1854" s="1"/>
    </row>
    <row r="1855" spans="19:19" x14ac:dyDescent="0.25">
      <c r="S1855" s="1"/>
    </row>
    <row r="1856" spans="19:19" x14ac:dyDescent="0.25">
      <c r="S1856" s="1"/>
    </row>
    <row r="1857" spans="19:19" x14ac:dyDescent="0.25">
      <c r="S1857" s="1"/>
    </row>
    <row r="1858" spans="19:19" x14ac:dyDescent="0.25">
      <c r="S1858" s="1"/>
    </row>
    <row r="1859" spans="19:19" x14ac:dyDescent="0.25">
      <c r="S1859" s="1"/>
    </row>
    <row r="1860" spans="19:19" x14ac:dyDescent="0.25">
      <c r="S1860" s="1"/>
    </row>
    <row r="1861" spans="19:19" x14ac:dyDescent="0.25">
      <c r="S1861" s="1"/>
    </row>
    <row r="1862" spans="19:19" x14ac:dyDescent="0.25">
      <c r="S1862" s="1"/>
    </row>
    <row r="1863" spans="19:19" x14ac:dyDescent="0.25">
      <c r="S1863" s="1"/>
    </row>
    <row r="1864" spans="19:19" x14ac:dyDescent="0.25">
      <c r="S1864" s="1"/>
    </row>
    <row r="1865" spans="19:19" x14ac:dyDescent="0.25">
      <c r="S1865" s="1"/>
    </row>
    <row r="1866" spans="19:19" x14ac:dyDescent="0.25">
      <c r="S1866" s="1"/>
    </row>
    <row r="1867" spans="19:19" x14ac:dyDescent="0.25">
      <c r="S1867" s="1"/>
    </row>
    <row r="1868" spans="19:19" x14ac:dyDescent="0.25">
      <c r="S1868" s="1"/>
    </row>
    <row r="1869" spans="19:19" x14ac:dyDescent="0.25">
      <c r="S1869" s="1"/>
    </row>
    <row r="1870" spans="19:19" x14ac:dyDescent="0.25">
      <c r="S1870" s="1"/>
    </row>
    <row r="1871" spans="19:19" x14ac:dyDescent="0.25">
      <c r="S1871" s="1"/>
    </row>
    <row r="1872" spans="19:19" x14ac:dyDescent="0.25">
      <c r="S1872" s="1"/>
    </row>
    <row r="1873" spans="19:19" x14ac:dyDescent="0.25">
      <c r="S1873" s="1"/>
    </row>
    <row r="1874" spans="19:19" x14ac:dyDescent="0.25">
      <c r="S1874" s="1"/>
    </row>
    <row r="1875" spans="19:19" x14ac:dyDescent="0.25">
      <c r="S1875" s="1"/>
    </row>
    <row r="1876" spans="19:19" x14ac:dyDescent="0.25">
      <c r="S1876" s="1"/>
    </row>
    <row r="1877" spans="19:19" x14ac:dyDescent="0.25">
      <c r="S1877" s="1"/>
    </row>
    <row r="1878" spans="19:19" x14ac:dyDescent="0.25">
      <c r="S1878" s="1"/>
    </row>
    <row r="1879" spans="19:19" x14ac:dyDescent="0.25">
      <c r="S1879" s="1"/>
    </row>
    <row r="1880" spans="19:19" x14ac:dyDescent="0.25">
      <c r="S1880" s="1"/>
    </row>
    <row r="1881" spans="19:19" x14ac:dyDescent="0.25">
      <c r="S1881" s="1"/>
    </row>
    <row r="1882" spans="19:19" x14ac:dyDescent="0.25">
      <c r="S1882" s="1"/>
    </row>
    <row r="1883" spans="19:19" x14ac:dyDescent="0.25">
      <c r="S1883" s="1"/>
    </row>
    <row r="1884" spans="19:19" x14ac:dyDescent="0.25">
      <c r="S1884" s="1"/>
    </row>
    <row r="1885" spans="19:19" x14ac:dyDescent="0.25">
      <c r="S1885" s="1"/>
    </row>
    <row r="1886" spans="19:19" x14ac:dyDescent="0.25">
      <c r="S1886" s="1"/>
    </row>
    <row r="1887" spans="19:19" x14ac:dyDescent="0.25">
      <c r="S1887" s="1"/>
    </row>
    <row r="1888" spans="19:19" x14ac:dyDescent="0.25">
      <c r="S1888" s="1"/>
    </row>
    <row r="1889" spans="19:19" x14ac:dyDescent="0.25">
      <c r="S1889" s="1"/>
    </row>
    <row r="1890" spans="19:19" x14ac:dyDescent="0.25">
      <c r="S1890" s="1"/>
    </row>
    <row r="1891" spans="19:19" x14ac:dyDescent="0.25">
      <c r="S1891" s="1"/>
    </row>
    <row r="1892" spans="19:19" x14ac:dyDescent="0.25">
      <c r="S1892" s="1"/>
    </row>
    <row r="1893" spans="19:19" x14ac:dyDescent="0.25">
      <c r="S1893" s="1"/>
    </row>
    <row r="1894" spans="19:19" x14ac:dyDescent="0.25">
      <c r="S1894" s="1"/>
    </row>
    <row r="1895" spans="19:19" x14ac:dyDescent="0.25">
      <c r="S1895" s="1"/>
    </row>
    <row r="1896" spans="19:19" x14ac:dyDescent="0.25">
      <c r="S1896" s="1"/>
    </row>
    <row r="1897" spans="19:19" x14ac:dyDescent="0.25">
      <c r="S1897" s="1"/>
    </row>
    <row r="1898" spans="19:19" x14ac:dyDescent="0.25">
      <c r="S1898" s="1"/>
    </row>
    <row r="1899" spans="19:19" x14ac:dyDescent="0.25">
      <c r="S1899" s="1"/>
    </row>
    <row r="1900" spans="19:19" x14ac:dyDescent="0.25">
      <c r="S1900" s="1"/>
    </row>
    <row r="1901" spans="19:19" x14ac:dyDescent="0.25">
      <c r="S1901" s="1"/>
    </row>
    <row r="1902" spans="19:19" x14ac:dyDescent="0.25">
      <c r="S1902" s="1"/>
    </row>
    <row r="1903" spans="19:19" x14ac:dyDescent="0.25">
      <c r="S1903" s="1"/>
    </row>
    <row r="1904" spans="19:19" x14ac:dyDescent="0.25">
      <c r="S1904" s="1"/>
    </row>
    <row r="1905" spans="19:19" x14ac:dyDescent="0.25">
      <c r="S1905" s="1"/>
    </row>
    <row r="1906" spans="19:19" x14ac:dyDescent="0.25">
      <c r="S1906" s="1"/>
    </row>
    <row r="1907" spans="19:19" x14ac:dyDescent="0.25">
      <c r="S1907" s="1"/>
    </row>
    <row r="1908" spans="19:19" x14ac:dyDescent="0.25">
      <c r="S1908" s="1"/>
    </row>
    <row r="1909" spans="19:19" x14ac:dyDescent="0.25">
      <c r="S1909" s="1"/>
    </row>
    <row r="1910" spans="19:19" x14ac:dyDescent="0.25">
      <c r="S1910" s="1"/>
    </row>
    <row r="1911" spans="19:19" x14ac:dyDescent="0.25">
      <c r="S1911" s="1"/>
    </row>
    <row r="1912" spans="19:19" x14ac:dyDescent="0.25">
      <c r="S1912" s="1"/>
    </row>
    <row r="1913" spans="19:19" x14ac:dyDescent="0.25">
      <c r="S1913" s="1"/>
    </row>
    <row r="1914" spans="19:19" x14ac:dyDescent="0.25">
      <c r="S1914" s="1"/>
    </row>
    <row r="1915" spans="19:19" x14ac:dyDescent="0.25">
      <c r="S1915" s="1"/>
    </row>
    <row r="1916" spans="19:19" x14ac:dyDescent="0.25">
      <c r="S1916" s="1"/>
    </row>
    <row r="1917" spans="19:19" x14ac:dyDescent="0.25">
      <c r="S1917" s="1"/>
    </row>
    <row r="1918" spans="19:19" x14ac:dyDescent="0.25">
      <c r="S1918" s="1"/>
    </row>
    <row r="1919" spans="19:19" x14ac:dyDescent="0.25">
      <c r="S1919" s="1"/>
    </row>
    <row r="1920" spans="19:19" x14ac:dyDescent="0.25">
      <c r="S1920" s="1"/>
    </row>
    <row r="1921" spans="19:19" x14ac:dyDescent="0.25">
      <c r="S1921" s="1"/>
    </row>
    <row r="1922" spans="19:19" x14ac:dyDescent="0.25">
      <c r="S1922" s="1"/>
    </row>
    <row r="1923" spans="19:19" x14ac:dyDescent="0.25">
      <c r="S1923" s="1"/>
    </row>
    <row r="1924" spans="19:19" x14ac:dyDescent="0.25">
      <c r="S1924" s="1"/>
    </row>
    <row r="1925" spans="19:19" x14ac:dyDescent="0.25">
      <c r="S1925" s="1"/>
    </row>
    <row r="1926" spans="19:19" x14ac:dyDescent="0.25">
      <c r="S1926" s="1"/>
    </row>
    <row r="1927" spans="19:19" x14ac:dyDescent="0.25">
      <c r="S1927" s="1"/>
    </row>
    <row r="1928" spans="19:19" x14ac:dyDescent="0.25">
      <c r="S1928" s="1"/>
    </row>
    <row r="1929" spans="19:19" x14ac:dyDescent="0.25">
      <c r="S1929" s="1"/>
    </row>
    <row r="1930" spans="19:19" x14ac:dyDescent="0.25">
      <c r="S1930" s="1"/>
    </row>
    <row r="1931" spans="19:19" x14ac:dyDescent="0.25">
      <c r="S1931" s="1"/>
    </row>
    <row r="1932" spans="19:19" x14ac:dyDescent="0.25">
      <c r="S1932" s="1"/>
    </row>
    <row r="1933" spans="19:19" x14ac:dyDescent="0.25">
      <c r="S1933" s="1"/>
    </row>
    <row r="1934" spans="19:19" x14ac:dyDescent="0.25">
      <c r="S1934" s="1"/>
    </row>
    <row r="1935" spans="19:19" x14ac:dyDescent="0.25">
      <c r="S1935" s="1"/>
    </row>
    <row r="1936" spans="19:19" x14ac:dyDescent="0.25">
      <c r="S1936" s="1"/>
    </row>
    <row r="1937" spans="19:19" x14ac:dyDescent="0.25">
      <c r="S1937" s="1"/>
    </row>
    <row r="1938" spans="19:19" x14ac:dyDescent="0.25">
      <c r="S1938" s="1"/>
    </row>
    <row r="1939" spans="19:19" x14ac:dyDescent="0.25">
      <c r="S1939" s="1"/>
    </row>
    <row r="1940" spans="19:19" x14ac:dyDescent="0.25">
      <c r="S1940" s="1"/>
    </row>
    <row r="1941" spans="19:19" x14ac:dyDescent="0.25">
      <c r="S1941" s="1"/>
    </row>
    <row r="1942" spans="19:19" x14ac:dyDescent="0.25">
      <c r="S1942" s="1"/>
    </row>
    <row r="1943" spans="19:19" x14ac:dyDescent="0.25">
      <c r="S1943" s="1"/>
    </row>
    <row r="1944" spans="19:19" x14ac:dyDescent="0.25">
      <c r="S1944" s="1"/>
    </row>
    <row r="1945" spans="19:19" x14ac:dyDescent="0.25">
      <c r="S1945" s="1"/>
    </row>
    <row r="1946" spans="19:19" x14ac:dyDescent="0.25">
      <c r="S1946" s="1"/>
    </row>
    <row r="1947" spans="19:19" x14ac:dyDescent="0.25">
      <c r="S1947" s="1"/>
    </row>
    <row r="1948" spans="19:19" x14ac:dyDescent="0.25">
      <c r="S1948" s="1"/>
    </row>
    <row r="1949" spans="19:19" x14ac:dyDescent="0.25">
      <c r="S1949" s="1"/>
    </row>
    <row r="1950" spans="19:19" x14ac:dyDescent="0.25">
      <c r="S1950" s="1"/>
    </row>
    <row r="1951" spans="19:19" x14ac:dyDescent="0.25">
      <c r="S1951" s="1"/>
    </row>
    <row r="1952" spans="19:19" x14ac:dyDescent="0.25">
      <c r="S1952" s="1"/>
    </row>
    <row r="1953" spans="19:19" x14ac:dyDescent="0.25">
      <c r="S1953" s="1"/>
    </row>
    <row r="1954" spans="19:19" x14ac:dyDescent="0.25">
      <c r="S1954" s="1"/>
    </row>
    <row r="1955" spans="19:19" x14ac:dyDescent="0.25">
      <c r="S1955" s="1"/>
    </row>
    <row r="1956" spans="19:19" x14ac:dyDescent="0.25">
      <c r="S1956" s="1"/>
    </row>
    <row r="1957" spans="19:19" x14ac:dyDescent="0.25">
      <c r="S1957" s="1"/>
    </row>
    <row r="1958" spans="19:19" x14ac:dyDescent="0.25">
      <c r="S1958" s="1"/>
    </row>
    <row r="1959" spans="19:19" x14ac:dyDescent="0.25">
      <c r="S1959" s="1"/>
    </row>
    <row r="1960" spans="19:19" x14ac:dyDescent="0.25">
      <c r="S1960" s="1"/>
    </row>
    <row r="1961" spans="19:19" x14ac:dyDescent="0.25">
      <c r="S1961" s="1"/>
    </row>
    <row r="1962" spans="19:19" x14ac:dyDescent="0.25">
      <c r="S1962" s="1"/>
    </row>
    <row r="1963" spans="19:19" x14ac:dyDescent="0.25">
      <c r="S1963" s="1"/>
    </row>
    <row r="1964" spans="19:19" x14ac:dyDescent="0.25">
      <c r="S1964" s="1"/>
    </row>
    <row r="1965" spans="19:19" x14ac:dyDescent="0.25">
      <c r="S1965" s="1"/>
    </row>
    <row r="1966" spans="19:19" x14ac:dyDescent="0.25">
      <c r="S1966" s="1"/>
    </row>
    <row r="1967" spans="19:19" x14ac:dyDescent="0.25">
      <c r="S1967" s="1"/>
    </row>
    <row r="1968" spans="19:19" x14ac:dyDescent="0.25">
      <c r="S1968" s="1"/>
    </row>
    <row r="1969" spans="19:19" x14ac:dyDescent="0.25">
      <c r="S1969" s="1"/>
    </row>
    <row r="1970" spans="19:19" x14ac:dyDescent="0.25">
      <c r="S1970" s="1"/>
    </row>
    <row r="1971" spans="19:19" x14ac:dyDescent="0.25">
      <c r="S1971" s="1"/>
    </row>
    <row r="1972" spans="19:19" x14ac:dyDescent="0.25">
      <c r="S1972" s="1"/>
    </row>
    <row r="1973" spans="19:19" x14ac:dyDescent="0.25">
      <c r="S1973" s="1"/>
    </row>
    <row r="1974" spans="19:19" x14ac:dyDescent="0.25">
      <c r="S1974" s="1"/>
    </row>
    <row r="1975" spans="19:19" x14ac:dyDescent="0.25">
      <c r="S1975" s="1"/>
    </row>
    <row r="1976" spans="19:19" x14ac:dyDescent="0.25">
      <c r="S1976" s="1"/>
    </row>
    <row r="1977" spans="19:19" x14ac:dyDescent="0.25">
      <c r="S1977" s="1"/>
    </row>
    <row r="1978" spans="19:19" x14ac:dyDescent="0.25">
      <c r="S1978" s="1"/>
    </row>
    <row r="1979" spans="19:19" x14ac:dyDescent="0.25">
      <c r="S1979" s="1"/>
    </row>
    <row r="1980" spans="19:19" x14ac:dyDescent="0.25">
      <c r="S1980" s="1"/>
    </row>
    <row r="1981" spans="19:19" x14ac:dyDescent="0.25">
      <c r="S1981" s="1"/>
    </row>
    <row r="1982" spans="19:19" x14ac:dyDescent="0.25">
      <c r="S1982" s="1"/>
    </row>
    <row r="1983" spans="19:19" x14ac:dyDescent="0.25">
      <c r="S1983" s="1"/>
    </row>
    <row r="1984" spans="19:19" x14ac:dyDescent="0.25">
      <c r="S1984" s="1"/>
    </row>
    <row r="1985" spans="19:19" x14ac:dyDescent="0.25">
      <c r="S1985" s="1"/>
    </row>
    <row r="1986" spans="19:19" x14ac:dyDescent="0.25">
      <c r="S1986" s="1"/>
    </row>
    <row r="1987" spans="19:19" x14ac:dyDescent="0.25">
      <c r="S1987" s="1"/>
    </row>
    <row r="1988" spans="19:19" x14ac:dyDescent="0.25">
      <c r="S1988" s="1"/>
    </row>
    <row r="1989" spans="19:19" x14ac:dyDescent="0.25">
      <c r="S1989" s="1"/>
    </row>
    <row r="1990" spans="19:19" x14ac:dyDescent="0.25">
      <c r="S1990" s="1"/>
    </row>
    <row r="1991" spans="19:19" x14ac:dyDescent="0.25">
      <c r="S1991" s="1"/>
    </row>
    <row r="1992" spans="19:19" x14ac:dyDescent="0.25">
      <c r="S1992" s="1"/>
    </row>
    <row r="1993" spans="19:19" x14ac:dyDescent="0.25">
      <c r="S1993" s="1"/>
    </row>
    <row r="1994" spans="19:19" x14ac:dyDescent="0.25">
      <c r="S1994" s="1"/>
    </row>
    <row r="1995" spans="19:19" x14ac:dyDescent="0.25">
      <c r="S1995" s="1"/>
    </row>
    <row r="1996" spans="19:19" x14ac:dyDescent="0.25">
      <c r="S1996" s="1"/>
    </row>
    <row r="1997" spans="19:19" x14ac:dyDescent="0.25">
      <c r="S1997" s="1"/>
    </row>
    <row r="1998" spans="19:19" x14ac:dyDescent="0.25">
      <c r="S1998" s="1"/>
    </row>
    <row r="1999" spans="19:19" x14ac:dyDescent="0.25">
      <c r="S1999" s="1"/>
    </row>
    <row r="2000" spans="19:19" x14ac:dyDescent="0.25">
      <c r="S2000" s="1"/>
    </row>
    <row r="2001" spans="19:19" x14ac:dyDescent="0.25">
      <c r="S2001" s="1"/>
    </row>
    <row r="2002" spans="19:19" x14ac:dyDescent="0.25">
      <c r="S2002" s="1"/>
    </row>
    <row r="2003" spans="19:19" x14ac:dyDescent="0.25">
      <c r="S2003" s="1"/>
    </row>
    <row r="2004" spans="19:19" x14ac:dyDescent="0.25">
      <c r="S2004" s="1"/>
    </row>
    <row r="2005" spans="19:19" x14ac:dyDescent="0.25">
      <c r="S2005" s="1"/>
    </row>
    <row r="2006" spans="19:19" x14ac:dyDescent="0.25">
      <c r="S2006" s="1"/>
    </row>
    <row r="2007" spans="19:19" x14ac:dyDescent="0.25">
      <c r="S2007" s="1"/>
    </row>
    <row r="2008" spans="19:19" x14ac:dyDescent="0.25">
      <c r="S2008" s="1"/>
    </row>
    <row r="2009" spans="19:19" x14ac:dyDescent="0.25">
      <c r="S2009" s="1"/>
    </row>
    <row r="2010" spans="19:19" x14ac:dyDescent="0.25">
      <c r="S2010" s="1"/>
    </row>
    <row r="2011" spans="19:19" x14ac:dyDescent="0.25">
      <c r="S2011" s="1"/>
    </row>
    <row r="2012" spans="19:19" x14ac:dyDescent="0.25">
      <c r="S2012" s="1"/>
    </row>
    <row r="2013" spans="19:19" x14ac:dyDescent="0.25">
      <c r="S2013" s="1"/>
    </row>
    <row r="2014" spans="19:19" x14ac:dyDescent="0.25">
      <c r="S2014" s="1"/>
    </row>
    <row r="2015" spans="19:19" x14ac:dyDescent="0.25">
      <c r="S2015" s="1"/>
    </row>
    <row r="2016" spans="19:19" x14ac:dyDescent="0.25">
      <c r="S2016" s="1"/>
    </row>
    <row r="2017" spans="19:19" x14ac:dyDescent="0.25">
      <c r="S2017" s="1"/>
    </row>
    <row r="2018" spans="19:19" x14ac:dyDescent="0.25">
      <c r="S2018" s="1"/>
    </row>
    <row r="2019" spans="19:19" x14ac:dyDescent="0.25">
      <c r="S2019" s="1"/>
    </row>
    <row r="2020" spans="19:19" x14ac:dyDescent="0.25">
      <c r="S2020" s="1"/>
    </row>
    <row r="2021" spans="19:19" x14ac:dyDescent="0.25">
      <c r="S2021" s="1"/>
    </row>
    <row r="2022" spans="19:19" x14ac:dyDescent="0.25">
      <c r="S2022" s="1"/>
    </row>
    <row r="2023" spans="19:19" x14ac:dyDescent="0.25">
      <c r="S2023" s="1"/>
    </row>
    <row r="2024" spans="19:19" x14ac:dyDescent="0.25">
      <c r="S2024" s="1"/>
    </row>
    <row r="2025" spans="19:19" x14ac:dyDescent="0.25">
      <c r="S2025" s="1"/>
    </row>
    <row r="2026" spans="19:19" x14ac:dyDescent="0.25">
      <c r="S2026" s="1"/>
    </row>
    <row r="2027" spans="19:19" x14ac:dyDescent="0.25">
      <c r="S2027" s="1"/>
    </row>
    <row r="2028" spans="19:19" x14ac:dyDescent="0.25">
      <c r="S2028" s="1"/>
    </row>
    <row r="2029" spans="19:19" x14ac:dyDescent="0.25">
      <c r="S2029" s="1"/>
    </row>
    <row r="2030" spans="19:19" x14ac:dyDescent="0.25">
      <c r="S2030" s="1"/>
    </row>
    <row r="2031" spans="19:19" x14ac:dyDescent="0.25">
      <c r="S2031" s="1"/>
    </row>
    <row r="2032" spans="19:19" x14ac:dyDescent="0.25">
      <c r="S2032" s="1"/>
    </row>
    <row r="2033" spans="19:19" x14ac:dyDescent="0.25">
      <c r="S2033" s="1"/>
    </row>
    <row r="2034" spans="19:19" x14ac:dyDescent="0.25">
      <c r="S2034" s="1"/>
    </row>
    <row r="2035" spans="19:19" x14ac:dyDescent="0.25">
      <c r="S2035" s="1"/>
    </row>
    <row r="2036" spans="19:19" x14ac:dyDescent="0.25">
      <c r="S2036" s="1"/>
    </row>
    <row r="2037" spans="19:19" x14ac:dyDescent="0.25">
      <c r="S2037" s="1"/>
    </row>
    <row r="2038" spans="19:19" x14ac:dyDescent="0.25">
      <c r="S2038" s="1"/>
    </row>
    <row r="2039" spans="19:19" x14ac:dyDescent="0.25">
      <c r="S2039" s="1"/>
    </row>
    <row r="2040" spans="19:19" x14ac:dyDescent="0.25">
      <c r="S2040" s="1"/>
    </row>
    <row r="2041" spans="19:19" x14ac:dyDescent="0.25">
      <c r="S2041" s="1"/>
    </row>
    <row r="2042" spans="19:19" x14ac:dyDescent="0.25">
      <c r="S2042" s="1"/>
    </row>
    <row r="2043" spans="19:19" x14ac:dyDescent="0.25">
      <c r="S2043" s="1"/>
    </row>
    <row r="2044" spans="19:19" x14ac:dyDescent="0.25">
      <c r="S2044" s="1"/>
    </row>
    <row r="2045" spans="19:19" x14ac:dyDescent="0.25">
      <c r="S2045" s="1"/>
    </row>
    <row r="2046" spans="19:19" x14ac:dyDescent="0.25">
      <c r="S2046" s="1"/>
    </row>
    <row r="2047" spans="19:19" x14ac:dyDescent="0.25">
      <c r="S2047" s="1"/>
    </row>
    <row r="2048" spans="19:19" x14ac:dyDescent="0.25">
      <c r="S2048" s="1"/>
    </row>
    <row r="2049" spans="19:19" x14ac:dyDescent="0.25">
      <c r="S2049" s="1"/>
    </row>
    <row r="2050" spans="19:19" x14ac:dyDescent="0.25">
      <c r="S2050" s="1"/>
    </row>
    <row r="2051" spans="19:19" x14ac:dyDescent="0.25">
      <c r="S2051" s="1"/>
    </row>
    <row r="2052" spans="19:19" x14ac:dyDescent="0.25">
      <c r="S2052" s="1"/>
    </row>
    <row r="2053" spans="19:19" x14ac:dyDescent="0.25">
      <c r="S2053" s="1"/>
    </row>
    <row r="2054" spans="19:19" x14ac:dyDescent="0.25">
      <c r="S2054" s="1"/>
    </row>
    <row r="2055" spans="19:19" x14ac:dyDescent="0.25">
      <c r="S2055" s="1"/>
    </row>
    <row r="2056" spans="19:19" x14ac:dyDescent="0.25">
      <c r="S2056" s="1"/>
    </row>
    <row r="2057" spans="19:19" x14ac:dyDescent="0.25">
      <c r="S2057" s="1"/>
    </row>
    <row r="2058" spans="19:19" x14ac:dyDescent="0.25">
      <c r="S2058" s="1"/>
    </row>
    <row r="2059" spans="19:19" x14ac:dyDescent="0.25">
      <c r="S2059" s="1"/>
    </row>
    <row r="2060" spans="19:19" x14ac:dyDescent="0.25">
      <c r="S2060" s="1"/>
    </row>
    <row r="2061" spans="19:19" x14ac:dyDescent="0.25">
      <c r="S2061" s="1"/>
    </row>
    <row r="2062" spans="19:19" x14ac:dyDescent="0.25">
      <c r="S2062" s="1"/>
    </row>
    <row r="2063" spans="19:19" x14ac:dyDescent="0.25">
      <c r="S2063" s="1"/>
    </row>
    <row r="2064" spans="19:19" x14ac:dyDescent="0.25">
      <c r="S2064" s="1"/>
    </row>
    <row r="2065" spans="19:19" x14ac:dyDescent="0.25">
      <c r="S2065" s="1"/>
    </row>
    <row r="2066" spans="19:19" x14ac:dyDescent="0.25">
      <c r="S2066" s="1"/>
    </row>
    <row r="2067" spans="19:19" x14ac:dyDescent="0.25">
      <c r="S2067" s="1"/>
    </row>
    <row r="2068" spans="19:19" x14ac:dyDescent="0.25">
      <c r="S2068" s="1"/>
    </row>
    <row r="2069" spans="19:19" x14ac:dyDescent="0.25">
      <c r="S2069" s="1"/>
    </row>
    <row r="2070" spans="19:19" x14ac:dyDescent="0.25">
      <c r="S2070" s="1"/>
    </row>
    <row r="2071" spans="19:19" x14ac:dyDescent="0.25">
      <c r="S2071" s="1"/>
    </row>
    <row r="2072" spans="19:19" x14ac:dyDescent="0.25">
      <c r="S2072" s="1"/>
    </row>
    <row r="2073" spans="19:19" x14ac:dyDescent="0.25">
      <c r="S2073" s="1"/>
    </row>
    <row r="2074" spans="19:19" x14ac:dyDescent="0.25">
      <c r="S2074" s="1"/>
    </row>
    <row r="2075" spans="19:19" x14ac:dyDescent="0.25">
      <c r="S2075" s="1"/>
    </row>
    <row r="2076" spans="19:19" x14ac:dyDescent="0.25">
      <c r="S2076" s="1"/>
    </row>
    <row r="2077" spans="19:19" x14ac:dyDescent="0.25">
      <c r="S2077" s="1"/>
    </row>
    <row r="2078" spans="19:19" x14ac:dyDescent="0.25">
      <c r="S2078" s="1"/>
    </row>
    <row r="2079" spans="19:19" x14ac:dyDescent="0.25">
      <c r="S2079" s="1"/>
    </row>
    <row r="2080" spans="19:19" x14ac:dyDescent="0.25">
      <c r="S2080" s="1"/>
    </row>
    <row r="2081" spans="19:19" x14ac:dyDescent="0.25">
      <c r="S2081" s="1"/>
    </row>
    <row r="2082" spans="19:19" x14ac:dyDescent="0.25">
      <c r="S2082" s="1"/>
    </row>
    <row r="2083" spans="19:19" x14ac:dyDescent="0.25">
      <c r="S2083" s="1"/>
    </row>
    <row r="2084" spans="19:19" x14ac:dyDescent="0.25">
      <c r="S2084" s="1"/>
    </row>
    <row r="2085" spans="19:19" x14ac:dyDescent="0.25">
      <c r="S2085" s="1"/>
    </row>
    <row r="2086" spans="19:19" x14ac:dyDescent="0.25">
      <c r="S2086" s="1"/>
    </row>
    <row r="2087" spans="19:19" x14ac:dyDescent="0.25">
      <c r="S2087" s="1"/>
    </row>
    <row r="2088" spans="19:19" x14ac:dyDescent="0.25">
      <c r="S2088" s="1"/>
    </row>
    <row r="2089" spans="19:19" x14ac:dyDescent="0.25">
      <c r="S2089" s="1"/>
    </row>
    <row r="2090" spans="19:19" x14ac:dyDescent="0.25">
      <c r="S2090" s="1"/>
    </row>
    <row r="2091" spans="19:19" x14ac:dyDescent="0.25">
      <c r="S2091" s="1"/>
    </row>
    <row r="2092" spans="19:19" x14ac:dyDescent="0.25">
      <c r="S2092" s="1"/>
    </row>
    <row r="2093" spans="19:19" x14ac:dyDescent="0.25">
      <c r="S2093" s="1"/>
    </row>
    <row r="2094" spans="19:19" x14ac:dyDescent="0.25">
      <c r="S2094" s="1"/>
    </row>
    <row r="2095" spans="19:19" x14ac:dyDescent="0.25">
      <c r="S2095" s="1"/>
    </row>
    <row r="2096" spans="19:19" x14ac:dyDescent="0.25">
      <c r="S2096" s="1"/>
    </row>
    <row r="2097" spans="19:19" x14ac:dyDescent="0.25">
      <c r="S2097" s="1"/>
    </row>
    <row r="2098" spans="19:19" x14ac:dyDescent="0.25">
      <c r="S2098" s="1"/>
    </row>
    <row r="2099" spans="19:19" x14ac:dyDescent="0.25">
      <c r="S2099" s="1"/>
    </row>
    <row r="2100" spans="19:19" x14ac:dyDescent="0.25">
      <c r="S2100" s="1"/>
    </row>
    <row r="2101" spans="19:19" x14ac:dyDescent="0.25">
      <c r="S2101" s="1"/>
    </row>
    <row r="2102" spans="19:19" x14ac:dyDescent="0.25">
      <c r="S2102" s="1"/>
    </row>
    <row r="2103" spans="19:19" x14ac:dyDescent="0.25">
      <c r="S2103" s="1"/>
    </row>
    <row r="2104" spans="19:19" x14ac:dyDescent="0.25">
      <c r="S2104" s="1"/>
    </row>
    <row r="2105" spans="19:19" x14ac:dyDescent="0.25">
      <c r="S2105" s="1"/>
    </row>
    <row r="2106" spans="19:19" x14ac:dyDescent="0.25">
      <c r="S2106" s="1"/>
    </row>
    <row r="2107" spans="19:19" x14ac:dyDescent="0.25">
      <c r="S2107" s="1"/>
    </row>
    <row r="2108" spans="19:19" x14ac:dyDescent="0.25">
      <c r="S2108" s="1"/>
    </row>
    <row r="2109" spans="19:19" x14ac:dyDescent="0.25">
      <c r="S2109" s="1"/>
    </row>
    <row r="2110" spans="19:19" x14ac:dyDescent="0.25">
      <c r="S2110" s="1"/>
    </row>
    <row r="2111" spans="19:19" x14ac:dyDescent="0.25">
      <c r="S2111" s="1"/>
    </row>
    <row r="2112" spans="19:19" x14ac:dyDescent="0.25">
      <c r="S2112" s="1"/>
    </row>
    <row r="2113" spans="19:19" x14ac:dyDescent="0.25">
      <c r="S2113" s="1"/>
    </row>
    <row r="2114" spans="19:19" x14ac:dyDescent="0.25">
      <c r="S2114" s="1"/>
    </row>
    <row r="2115" spans="19:19" x14ac:dyDescent="0.25">
      <c r="S2115" s="1"/>
    </row>
    <row r="2116" spans="19:19" x14ac:dyDescent="0.25">
      <c r="S2116" s="1"/>
    </row>
    <row r="2117" spans="19:19" x14ac:dyDescent="0.25">
      <c r="S2117" s="1"/>
    </row>
    <row r="2118" spans="19:19" x14ac:dyDescent="0.25">
      <c r="S2118" s="1"/>
    </row>
    <row r="2119" spans="19:19" x14ac:dyDescent="0.25">
      <c r="S2119" s="1"/>
    </row>
    <row r="2120" spans="19:19" x14ac:dyDescent="0.25">
      <c r="S2120" s="1"/>
    </row>
    <row r="2121" spans="19:19" x14ac:dyDescent="0.25">
      <c r="S2121" s="1"/>
    </row>
    <row r="2122" spans="19:19" x14ac:dyDescent="0.25">
      <c r="S2122" s="1"/>
    </row>
    <row r="2123" spans="19:19" x14ac:dyDescent="0.25">
      <c r="S2123" s="1"/>
    </row>
    <row r="2124" spans="19:19" x14ac:dyDescent="0.25">
      <c r="S2124" s="1"/>
    </row>
    <row r="2125" spans="19:19" x14ac:dyDescent="0.25">
      <c r="S2125" s="1"/>
    </row>
    <row r="2126" spans="19:19" x14ac:dyDescent="0.25">
      <c r="S2126" s="1"/>
    </row>
    <row r="2127" spans="19:19" x14ac:dyDescent="0.25">
      <c r="S2127" s="1"/>
    </row>
    <row r="2128" spans="19:19" x14ac:dyDescent="0.25">
      <c r="S2128" s="1"/>
    </row>
    <row r="2129" spans="19:19" x14ac:dyDescent="0.25">
      <c r="S2129" s="1"/>
    </row>
    <row r="2130" spans="19:19" x14ac:dyDescent="0.25">
      <c r="S2130" s="1"/>
    </row>
    <row r="2131" spans="19:19" x14ac:dyDescent="0.25">
      <c r="S2131" s="1"/>
    </row>
    <row r="2132" spans="19:19" x14ac:dyDescent="0.25">
      <c r="S2132" s="1"/>
    </row>
    <row r="2133" spans="19:19" x14ac:dyDescent="0.25">
      <c r="S2133" s="1"/>
    </row>
    <row r="2134" spans="19:19" x14ac:dyDescent="0.25">
      <c r="S2134" s="1"/>
    </row>
    <row r="2135" spans="19:19" x14ac:dyDescent="0.25">
      <c r="S2135" s="1"/>
    </row>
    <row r="2136" spans="19:19" x14ac:dyDescent="0.25">
      <c r="S2136" s="1"/>
    </row>
    <row r="2137" spans="19:19" x14ac:dyDescent="0.25">
      <c r="S2137" s="1"/>
    </row>
    <row r="2138" spans="19:19" x14ac:dyDescent="0.25">
      <c r="S2138" s="1"/>
    </row>
    <row r="2139" spans="19:19" x14ac:dyDescent="0.25">
      <c r="S2139" s="1"/>
    </row>
    <row r="2140" spans="19:19" x14ac:dyDescent="0.25">
      <c r="S2140" s="1"/>
    </row>
    <row r="2141" spans="19:19" x14ac:dyDescent="0.25">
      <c r="S2141" s="1"/>
    </row>
    <row r="2142" spans="19:19" x14ac:dyDescent="0.25">
      <c r="S2142" s="1"/>
    </row>
    <row r="2143" spans="19:19" x14ac:dyDescent="0.25">
      <c r="S2143" s="1"/>
    </row>
    <row r="2144" spans="19:19" x14ac:dyDescent="0.25">
      <c r="S2144" s="1"/>
    </row>
    <row r="2145" spans="19:19" x14ac:dyDescent="0.25">
      <c r="S2145" s="1"/>
    </row>
    <row r="2146" spans="19:19" x14ac:dyDescent="0.25">
      <c r="S2146" s="1"/>
    </row>
    <row r="2147" spans="19:19" x14ac:dyDescent="0.25">
      <c r="S2147" s="1"/>
    </row>
    <row r="2148" spans="19:19" x14ac:dyDescent="0.25">
      <c r="S2148" s="1"/>
    </row>
    <row r="2149" spans="19:19" x14ac:dyDescent="0.25">
      <c r="S2149" s="1"/>
    </row>
    <row r="2150" spans="19:19" x14ac:dyDescent="0.25">
      <c r="S2150" s="1"/>
    </row>
    <row r="2151" spans="19:19" x14ac:dyDescent="0.25">
      <c r="S2151" s="1"/>
    </row>
    <row r="2152" spans="19:19" x14ac:dyDescent="0.25">
      <c r="S2152" s="1"/>
    </row>
    <row r="2153" spans="19:19" x14ac:dyDescent="0.25">
      <c r="S2153" s="1"/>
    </row>
    <row r="2154" spans="19:19" x14ac:dyDescent="0.25">
      <c r="S2154" s="1"/>
    </row>
    <row r="2155" spans="19:19" x14ac:dyDescent="0.25">
      <c r="S2155" s="1"/>
    </row>
    <row r="2156" spans="19:19" x14ac:dyDescent="0.25">
      <c r="S2156" s="1"/>
    </row>
    <row r="2157" spans="19:19" x14ac:dyDescent="0.25">
      <c r="S2157" s="1"/>
    </row>
    <row r="2158" spans="19:19" x14ac:dyDescent="0.25">
      <c r="S2158" s="1"/>
    </row>
    <row r="2159" spans="19:19" x14ac:dyDescent="0.25">
      <c r="S2159" s="1"/>
    </row>
    <row r="2160" spans="19:19" x14ac:dyDescent="0.25">
      <c r="S2160" s="1"/>
    </row>
    <row r="2161" spans="19:19" x14ac:dyDescent="0.25">
      <c r="S2161" s="1"/>
    </row>
    <row r="2162" spans="19:19" x14ac:dyDescent="0.25">
      <c r="S2162" s="1"/>
    </row>
    <row r="2163" spans="19:19" x14ac:dyDescent="0.25">
      <c r="S2163" s="1"/>
    </row>
    <row r="2164" spans="19:19" x14ac:dyDescent="0.25">
      <c r="S2164" s="1"/>
    </row>
    <row r="2165" spans="19:19" x14ac:dyDescent="0.25">
      <c r="S2165" s="1"/>
    </row>
    <row r="2166" spans="19:19" x14ac:dyDescent="0.25">
      <c r="S2166" s="1"/>
    </row>
    <row r="2167" spans="19:19" x14ac:dyDescent="0.25">
      <c r="S2167" s="1"/>
    </row>
    <row r="2168" spans="19:19" x14ac:dyDescent="0.25">
      <c r="S2168" s="1"/>
    </row>
    <row r="2169" spans="19:19" x14ac:dyDescent="0.25">
      <c r="S2169" s="1"/>
    </row>
    <row r="2170" spans="19:19" x14ac:dyDescent="0.25">
      <c r="S2170" s="1"/>
    </row>
    <row r="2171" spans="19:19" x14ac:dyDescent="0.25">
      <c r="S2171" s="1"/>
    </row>
    <row r="2172" spans="19:19" x14ac:dyDescent="0.25">
      <c r="S2172" s="1"/>
    </row>
    <row r="2173" spans="19:19" x14ac:dyDescent="0.25">
      <c r="S2173" s="1"/>
    </row>
    <row r="2174" spans="19:19" x14ac:dyDescent="0.25">
      <c r="S2174" s="1"/>
    </row>
    <row r="2175" spans="19:19" x14ac:dyDescent="0.25">
      <c r="S2175" s="1"/>
    </row>
    <row r="2176" spans="19:19" x14ac:dyDescent="0.25">
      <c r="S2176" s="1"/>
    </row>
    <row r="2177" spans="19:19" x14ac:dyDescent="0.25">
      <c r="S2177" s="1"/>
    </row>
    <row r="2178" spans="19:19" x14ac:dyDescent="0.25">
      <c r="S2178" s="1"/>
    </row>
    <row r="2179" spans="19:19" x14ac:dyDescent="0.25">
      <c r="S2179" s="1"/>
    </row>
    <row r="2180" spans="19:19" x14ac:dyDescent="0.25">
      <c r="S2180" s="1"/>
    </row>
    <row r="2181" spans="19:19" x14ac:dyDescent="0.25">
      <c r="S2181" s="1"/>
    </row>
    <row r="2182" spans="19:19" x14ac:dyDescent="0.25">
      <c r="S2182" s="1"/>
    </row>
    <row r="2183" spans="19:19" x14ac:dyDescent="0.25">
      <c r="S2183" s="1"/>
    </row>
    <row r="2184" spans="19:19" x14ac:dyDescent="0.25">
      <c r="S2184" s="1"/>
    </row>
    <row r="2185" spans="19:19" x14ac:dyDescent="0.25">
      <c r="S2185" s="1"/>
    </row>
    <row r="2186" spans="19:19" x14ac:dyDescent="0.25">
      <c r="S2186" s="1"/>
    </row>
    <row r="2187" spans="19:19" x14ac:dyDescent="0.25">
      <c r="S2187" s="1"/>
    </row>
    <row r="2188" spans="19:19" x14ac:dyDescent="0.25">
      <c r="S2188" s="1"/>
    </row>
    <row r="2189" spans="19:19" x14ac:dyDescent="0.25">
      <c r="S2189" s="1"/>
    </row>
    <row r="2190" spans="19:19" x14ac:dyDescent="0.25">
      <c r="S2190" s="1"/>
    </row>
    <row r="2191" spans="19:19" x14ac:dyDescent="0.25">
      <c r="S2191" s="1"/>
    </row>
    <row r="2192" spans="19:19" x14ac:dyDescent="0.25">
      <c r="S2192" s="1"/>
    </row>
    <row r="2193" spans="19:19" x14ac:dyDescent="0.25">
      <c r="S2193" s="1"/>
    </row>
    <row r="2194" spans="19:19" x14ac:dyDescent="0.25">
      <c r="S2194" s="1"/>
    </row>
    <row r="2195" spans="19:19" x14ac:dyDescent="0.25">
      <c r="S2195" s="1"/>
    </row>
    <row r="2196" spans="19:19" x14ac:dyDescent="0.25">
      <c r="S2196" s="1"/>
    </row>
    <row r="2197" spans="19:19" x14ac:dyDescent="0.25">
      <c r="S2197" s="1"/>
    </row>
    <row r="2198" spans="19:19" x14ac:dyDescent="0.25">
      <c r="S2198" s="1"/>
    </row>
    <row r="2199" spans="19:19" x14ac:dyDescent="0.25">
      <c r="S2199" s="1"/>
    </row>
    <row r="2200" spans="19:19" x14ac:dyDescent="0.25">
      <c r="S2200" s="1"/>
    </row>
    <row r="2201" spans="19:19" x14ac:dyDescent="0.25">
      <c r="S2201" s="1"/>
    </row>
    <row r="2202" spans="19:19" x14ac:dyDescent="0.25">
      <c r="S2202" s="1"/>
    </row>
    <row r="2203" spans="19:19" x14ac:dyDescent="0.25">
      <c r="S2203" s="1"/>
    </row>
    <row r="2204" spans="19:19" x14ac:dyDescent="0.25">
      <c r="S2204" s="1"/>
    </row>
    <row r="2205" spans="19:19" x14ac:dyDescent="0.25">
      <c r="S2205" s="1"/>
    </row>
    <row r="2206" spans="19:19" x14ac:dyDescent="0.25">
      <c r="S2206" s="1"/>
    </row>
    <row r="2207" spans="19:19" x14ac:dyDescent="0.25">
      <c r="S2207" s="1"/>
    </row>
    <row r="2208" spans="19:19" x14ac:dyDescent="0.25">
      <c r="S2208" s="1"/>
    </row>
    <row r="2209" spans="19:19" x14ac:dyDescent="0.25">
      <c r="S2209" s="1"/>
    </row>
    <row r="2210" spans="19:19" x14ac:dyDescent="0.25">
      <c r="S2210" s="1"/>
    </row>
    <row r="2211" spans="19:19" x14ac:dyDescent="0.25">
      <c r="S2211" s="1"/>
    </row>
    <row r="2212" spans="19:19" x14ac:dyDescent="0.25">
      <c r="S2212" s="1"/>
    </row>
    <row r="2213" spans="19:19" x14ac:dyDescent="0.25">
      <c r="S2213" s="1"/>
    </row>
    <row r="2214" spans="19:19" x14ac:dyDescent="0.25">
      <c r="S2214" s="1"/>
    </row>
    <row r="2215" spans="19:19" x14ac:dyDescent="0.25">
      <c r="S2215" s="1"/>
    </row>
    <row r="2216" spans="19:19" x14ac:dyDescent="0.25">
      <c r="S2216" s="1"/>
    </row>
    <row r="2217" spans="19:19" x14ac:dyDescent="0.25">
      <c r="S2217" s="1"/>
    </row>
    <row r="2218" spans="19:19" x14ac:dyDescent="0.25">
      <c r="S2218" s="1"/>
    </row>
    <row r="2219" spans="19:19" x14ac:dyDescent="0.25">
      <c r="S2219" s="1"/>
    </row>
    <row r="2220" spans="19:19" x14ac:dyDescent="0.25">
      <c r="S2220" s="1"/>
    </row>
    <row r="2221" spans="19:19" x14ac:dyDescent="0.25">
      <c r="S2221" s="1"/>
    </row>
    <row r="2222" spans="19:19" x14ac:dyDescent="0.25">
      <c r="S2222" s="1"/>
    </row>
    <row r="2223" spans="19:19" x14ac:dyDescent="0.25">
      <c r="S2223" s="1"/>
    </row>
    <row r="2224" spans="19:19" x14ac:dyDescent="0.25">
      <c r="S2224" s="1"/>
    </row>
    <row r="2225" spans="19:19" x14ac:dyDescent="0.25">
      <c r="S2225" s="1"/>
    </row>
    <row r="2226" spans="19:19" x14ac:dyDescent="0.25">
      <c r="S2226" s="1"/>
    </row>
    <row r="2227" spans="19:19" x14ac:dyDescent="0.25">
      <c r="S2227" s="1"/>
    </row>
    <row r="2228" spans="19:19" x14ac:dyDescent="0.25">
      <c r="S2228" s="1"/>
    </row>
    <row r="2229" spans="19:19" x14ac:dyDescent="0.25">
      <c r="S2229" s="1"/>
    </row>
    <row r="2230" spans="19:19" x14ac:dyDescent="0.25">
      <c r="S2230" s="1"/>
    </row>
    <row r="2231" spans="19:19" x14ac:dyDescent="0.25">
      <c r="S2231" s="1"/>
    </row>
    <row r="2232" spans="19:19" x14ac:dyDescent="0.25">
      <c r="S2232" s="1"/>
    </row>
    <row r="2233" spans="19:19" x14ac:dyDescent="0.25">
      <c r="S2233" s="1"/>
    </row>
    <row r="2234" spans="19:19" x14ac:dyDescent="0.25">
      <c r="S2234" s="1"/>
    </row>
    <row r="2235" spans="19:19" x14ac:dyDescent="0.25">
      <c r="S2235" s="1"/>
    </row>
    <row r="2236" spans="19:19" x14ac:dyDescent="0.25">
      <c r="S2236" s="1"/>
    </row>
    <row r="2237" spans="19:19" x14ac:dyDescent="0.25">
      <c r="S2237" s="1"/>
    </row>
    <row r="2238" spans="19:19" x14ac:dyDescent="0.25">
      <c r="S2238" s="1"/>
    </row>
    <row r="2239" spans="19:19" x14ac:dyDescent="0.25">
      <c r="S2239" s="1"/>
    </row>
    <row r="2240" spans="19:19" x14ac:dyDescent="0.25">
      <c r="S2240" s="1"/>
    </row>
    <row r="2241" spans="19:19" x14ac:dyDescent="0.25">
      <c r="S2241" s="1"/>
    </row>
    <row r="2242" spans="19:19" x14ac:dyDescent="0.25">
      <c r="S2242" s="1"/>
    </row>
    <row r="2243" spans="19:19" x14ac:dyDescent="0.25">
      <c r="S2243" s="1"/>
    </row>
    <row r="2244" spans="19:19" x14ac:dyDescent="0.25">
      <c r="S2244" s="1"/>
    </row>
    <row r="2245" spans="19:19" x14ac:dyDescent="0.25">
      <c r="S2245" s="1"/>
    </row>
    <row r="2246" spans="19:19" x14ac:dyDescent="0.25">
      <c r="S2246" s="1"/>
    </row>
    <row r="2247" spans="19:19" x14ac:dyDescent="0.25">
      <c r="S2247" s="1"/>
    </row>
    <row r="2248" spans="19:19" x14ac:dyDescent="0.25">
      <c r="S2248" s="1"/>
    </row>
    <row r="2249" spans="19:19" x14ac:dyDescent="0.25">
      <c r="S2249" s="1"/>
    </row>
    <row r="2250" spans="19:19" x14ac:dyDescent="0.25">
      <c r="S2250" s="1"/>
    </row>
    <row r="2251" spans="19:19" x14ac:dyDescent="0.25">
      <c r="S2251" s="1"/>
    </row>
    <row r="2252" spans="19:19" x14ac:dyDescent="0.25">
      <c r="S2252" s="1"/>
    </row>
    <row r="2253" spans="19:19" x14ac:dyDescent="0.25">
      <c r="S2253" s="1"/>
    </row>
    <row r="2254" spans="19:19" x14ac:dyDescent="0.25">
      <c r="S2254" s="1"/>
    </row>
    <row r="2255" spans="19:19" x14ac:dyDescent="0.25">
      <c r="S2255" s="1"/>
    </row>
    <row r="2256" spans="19:19" x14ac:dyDescent="0.25">
      <c r="S2256" s="1"/>
    </row>
    <row r="2257" spans="19:19" x14ac:dyDescent="0.25">
      <c r="S2257" s="1"/>
    </row>
    <row r="2258" spans="19:19" x14ac:dyDescent="0.25">
      <c r="S2258" s="1"/>
    </row>
    <row r="2259" spans="19:19" x14ac:dyDescent="0.25">
      <c r="S2259" s="1"/>
    </row>
    <row r="2260" spans="19:19" x14ac:dyDescent="0.25">
      <c r="S2260" s="1"/>
    </row>
    <row r="2261" spans="19:19" x14ac:dyDescent="0.25">
      <c r="S2261" s="1"/>
    </row>
    <row r="2262" spans="19:19" x14ac:dyDescent="0.25">
      <c r="S2262" s="1"/>
    </row>
    <row r="2263" spans="19:19" x14ac:dyDescent="0.25">
      <c r="S2263" s="1"/>
    </row>
    <row r="2264" spans="19:19" x14ac:dyDescent="0.25">
      <c r="S2264" s="1"/>
    </row>
    <row r="2265" spans="19:19" x14ac:dyDescent="0.25">
      <c r="S2265" s="1"/>
    </row>
    <row r="2266" spans="19:19" x14ac:dyDescent="0.25">
      <c r="S2266" s="1"/>
    </row>
    <row r="2267" spans="19:19" x14ac:dyDescent="0.25">
      <c r="S2267" s="1"/>
    </row>
    <row r="2268" spans="19:19" x14ac:dyDescent="0.25">
      <c r="S2268" s="1"/>
    </row>
    <row r="2269" spans="19:19" x14ac:dyDescent="0.25">
      <c r="S2269" s="1"/>
    </row>
    <row r="2270" spans="19:19" x14ac:dyDescent="0.25">
      <c r="S2270" s="1"/>
    </row>
    <row r="2271" spans="19:19" x14ac:dyDescent="0.25">
      <c r="S2271" s="1"/>
    </row>
    <row r="2272" spans="19:19" x14ac:dyDescent="0.25">
      <c r="S2272" s="1"/>
    </row>
    <row r="2273" spans="19:19" x14ac:dyDescent="0.25">
      <c r="S2273" s="1"/>
    </row>
    <row r="2274" spans="19:19" x14ac:dyDescent="0.25">
      <c r="S2274" s="1"/>
    </row>
    <row r="2275" spans="19:19" x14ac:dyDescent="0.25">
      <c r="S2275" s="1"/>
    </row>
    <row r="2276" spans="19:19" x14ac:dyDescent="0.25">
      <c r="S2276" s="1"/>
    </row>
    <row r="2277" spans="19:19" x14ac:dyDescent="0.25">
      <c r="S2277" s="1"/>
    </row>
    <row r="2278" spans="19:19" x14ac:dyDescent="0.25">
      <c r="S2278" s="1"/>
    </row>
    <row r="2279" spans="19:19" x14ac:dyDescent="0.25">
      <c r="S2279" s="1"/>
    </row>
    <row r="2280" spans="19:19" x14ac:dyDescent="0.25">
      <c r="S2280" s="1"/>
    </row>
    <row r="2281" spans="19:19" x14ac:dyDescent="0.25">
      <c r="S2281" s="1"/>
    </row>
    <row r="2282" spans="19:19" x14ac:dyDescent="0.25">
      <c r="S2282" s="1"/>
    </row>
    <row r="2283" spans="19:19" x14ac:dyDescent="0.25">
      <c r="S2283" s="1"/>
    </row>
    <row r="2284" spans="19:19" x14ac:dyDescent="0.25">
      <c r="S2284" s="1"/>
    </row>
    <row r="2285" spans="19:19" x14ac:dyDescent="0.25">
      <c r="S2285" s="1"/>
    </row>
    <row r="2286" spans="19:19" x14ac:dyDescent="0.25">
      <c r="S2286" s="1"/>
    </row>
    <row r="2287" spans="19:19" x14ac:dyDescent="0.25">
      <c r="S2287" s="1"/>
    </row>
    <row r="2288" spans="19:19" x14ac:dyDescent="0.25">
      <c r="S2288" s="1"/>
    </row>
    <row r="2289" spans="19:19" x14ac:dyDescent="0.25">
      <c r="S2289" s="1"/>
    </row>
    <row r="2290" spans="19:19" x14ac:dyDescent="0.25">
      <c r="S2290" s="1"/>
    </row>
    <row r="2291" spans="19:19" x14ac:dyDescent="0.25">
      <c r="S2291" s="1"/>
    </row>
    <row r="2292" spans="19:19" x14ac:dyDescent="0.25">
      <c r="S2292" s="1"/>
    </row>
    <row r="2293" spans="19:19" x14ac:dyDescent="0.25">
      <c r="S2293" s="1"/>
    </row>
    <row r="2294" spans="19:19" x14ac:dyDescent="0.25">
      <c r="S2294" s="1"/>
    </row>
    <row r="2295" spans="19:19" x14ac:dyDescent="0.25">
      <c r="S2295" s="1"/>
    </row>
    <row r="2296" spans="19:19" x14ac:dyDescent="0.25">
      <c r="S2296" s="1"/>
    </row>
    <row r="2297" spans="19:19" x14ac:dyDescent="0.25">
      <c r="S2297" s="1"/>
    </row>
    <row r="2298" spans="19:19" x14ac:dyDescent="0.25">
      <c r="S2298" s="1"/>
    </row>
    <row r="2299" spans="19:19" x14ac:dyDescent="0.25">
      <c r="S2299" s="1"/>
    </row>
    <row r="2300" spans="19:19" x14ac:dyDescent="0.25">
      <c r="S2300" s="1"/>
    </row>
    <row r="2301" spans="19:19" x14ac:dyDescent="0.25">
      <c r="S2301" s="1"/>
    </row>
    <row r="2302" spans="19:19" x14ac:dyDescent="0.25">
      <c r="S2302" s="1"/>
    </row>
    <row r="2303" spans="19:19" x14ac:dyDescent="0.25">
      <c r="S2303" s="1"/>
    </row>
    <row r="2304" spans="19:19" x14ac:dyDescent="0.25">
      <c r="S2304" s="1"/>
    </row>
    <row r="2305" spans="19:19" x14ac:dyDescent="0.25">
      <c r="S2305" s="1"/>
    </row>
    <row r="2306" spans="19:19" x14ac:dyDescent="0.25">
      <c r="S2306" s="1"/>
    </row>
    <row r="2307" spans="19:19" x14ac:dyDescent="0.25">
      <c r="S2307" s="1"/>
    </row>
    <row r="2308" spans="19:19" x14ac:dyDescent="0.25">
      <c r="S2308" s="1"/>
    </row>
    <row r="2309" spans="19:19" x14ac:dyDescent="0.25">
      <c r="S2309" s="1"/>
    </row>
    <row r="2310" spans="19:19" x14ac:dyDescent="0.25">
      <c r="S2310" s="1"/>
    </row>
    <row r="2311" spans="19:19" x14ac:dyDescent="0.25">
      <c r="S2311" s="1"/>
    </row>
    <row r="2312" spans="19:19" x14ac:dyDescent="0.25">
      <c r="S2312" s="1"/>
    </row>
    <row r="2313" spans="19:19" x14ac:dyDescent="0.25">
      <c r="S2313" s="1"/>
    </row>
    <row r="2314" spans="19:19" x14ac:dyDescent="0.25">
      <c r="S2314" s="1"/>
    </row>
    <row r="2315" spans="19:19" x14ac:dyDescent="0.25">
      <c r="S2315" s="1"/>
    </row>
    <row r="2316" spans="19:19" x14ac:dyDescent="0.25">
      <c r="S2316" s="1"/>
    </row>
    <row r="2317" spans="19:19" x14ac:dyDescent="0.25">
      <c r="S2317" s="1"/>
    </row>
    <row r="2318" spans="19:19" x14ac:dyDescent="0.25">
      <c r="S2318" s="1"/>
    </row>
    <row r="2319" spans="19:19" x14ac:dyDescent="0.25">
      <c r="S2319" s="1"/>
    </row>
    <row r="2320" spans="19:19" x14ac:dyDescent="0.25">
      <c r="S2320" s="1"/>
    </row>
    <row r="2321" spans="19:19" x14ac:dyDescent="0.25">
      <c r="S2321" s="1"/>
    </row>
    <row r="2322" spans="19:19" x14ac:dyDescent="0.25">
      <c r="S2322" s="1"/>
    </row>
    <row r="2323" spans="19:19" x14ac:dyDescent="0.25">
      <c r="S2323" s="1"/>
    </row>
    <row r="2324" spans="19:19" x14ac:dyDescent="0.25">
      <c r="S2324" s="1"/>
    </row>
    <row r="2325" spans="19:19" x14ac:dyDescent="0.25">
      <c r="S2325" s="1"/>
    </row>
    <row r="2326" spans="19:19" x14ac:dyDescent="0.25">
      <c r="S2326" s="1"/>
    </row>
    <row r="2327" spans="19:19" x14ac:dyDescent="0.25">
      <c r="S2327" s="1"/>
    </row>
    <row r="2328" spans="19:19" x14ac:dyDescent="0.25">
      <c r="S2328" s="1"/>
    </row>
    <row r="2329" spans="19:19" x14ac:dyDescent="0.25">
      <c r="S2329" s="1"/>
    </row>
    <row r="2330" spans="19:19" x14ac:dyDescent="0.25">
      <c r="S2330" s="1"/>
    </row>
    <row r="2331" spans="19:19" x14ac:dyDescent="0.25">
      <c r="S2331" s="1"/>
    </row>
    <row r="2332" spans="19:19" x14ac:dyDescent="0.25">
      <c r="S2332" s="1"/>
    </row>
    <row r="2333" spans="19:19" x14ac:dyDescent="0.25">
      <c r="S2333" s="1"/>
    </row>
    <row r="2334" spans="19:19" x14ac:dyDescent="0.25">
      <c r="S2334" s="1"/>
    </row>
    <row r="2335" spans="19:19" x14ac:dyDescent="0.25">
      <c r="S2335" s="1"/>
    </row>
    <row r="2336" spans="19:19" x14ac:dyDescent="0.25">
      <c r="S2336" s="1"/>
    </row>
    <row r="2337" spans="19:19" x14ac:dyDescent="0.25">
      <c r="S2337" s="1"/>
    </row>
    <row r="2338" spans="19:19" x14ac:dyDescent="0.25">
      <c r="S2338" s="1"/>
    </row>
    <row r="2339" spans="19:19" x14ac:dyDescent="0.25">
      <c r="S2339" s="1"/>
    </row>
    <row r="2340" spans="19:19" x14ac:dyDescent="0.25">
      <c r="S2340" s="1"/>
    </row>
    <row r="2341" spans="19:19" x14ac:dyDescent="0.25">
      <c r="S2341" s="1"/>
    </row>
    <row r="2342" spans="19:19" x14ac:dyDescent="0.25">
      <c r="S2342" s="1"/>
    </row>
    <row r="2343" spans="19:19" x14ac:dyDescent="0.25">
      <c r="S2343" s="1"/>
    </row>
    <row r="2344" spans="19:19" x14ac:dyDescent="0.25">
      <c r="S2344" s="1"/>
    </row>
    <row r="2345" spans="19:19" x14ac:dyDescent="0.25">
      <c r="S2345" s="1"/>
    </row>
    <row r="2346" spans="19:19" x14ac:dyDescent="0.25">
      <c r="S2346" s="1"/>
    </row>
    <row r="2347" spans="19:19" x14ac:dyDescent="0.25">
      <c r="S2347" s="1"/>
    </row>
    <row r="2348" spans="19:19" x14ac:dyDescent="0.25">
      <c r="S2348" s="1"/>
    </row>
    <row r="2349" spans="19:19" x14ac:dyDescent="0.25">
      <c r="S2349" s="1"/>
    </row>
    <row r="2350" spans="19:19" x14ac:dyDescent="0.25">
      <c r="S2350" s="1"/>
    </row>
    <row r="2351" spans="19:19" x14ac:dyDescent="0.25">
      <c r="S2351" s="1"/>
    </row>
    <row r="2352" spans="19:19" x14ac:dyDescent="0.25">
      <c r="S2352" s="1"/>
    </row>
    <row r="2353" spans="19:19" x14ac:dyDescent="0.25">
      <c r="S2353" s="1"/>
    </row>
    <row r="2354" spans="19:19" x14ac:dyDescent="0.25">
      <c r="S2354" s="1"/>
    </row>
    <row r="2355" spans="19:19" x14ac:dyDescent="0.25">
      <c r="S2355" s="1"/>
    </row>
    <row r="2356" spans="19:19" x14ac:dyDescent="0.25">
      <c r="S2356" s="1"/>
    </row>
    <row r="2357" spans="19:19" x14ac:dyDescent="0.25">
      <c r="S2357" s="1"/>
    </row>
    <row r="2358" spans="19:19" x14ac:dyDescent="0.25">
      <c r="S2358" s="1"/>
    </row>
    <row r="2359" spans="19:19" x14ac:dyDescent="0.25">
      <c r="S2359" s="1"/>
    </row>
    <row r="2360" spans="19:19" x14ac:dyDescent="0.25">
      <c r="S2360" s="1"/>
    </row>
    <row r="2361" spans="19:19" x14ac:dyDescent="0.25">
      <c r="S2361" s="1"/>
    </row>
    <row r="2362" spans="19:19" x14ac:dyDescent="0.25">
      <c r="S2362" s="1"/>
    </row>
    <row r="2363" spans="19:19" x14ac:dyDescent="0.25">
      <c r="S2363" s="1"/>
    </row>
    <row r="2364" spans="19:19" x14ac:dyDescent="0.25">
      <c r="S2364" s="1"/>
    </row>
    <row r="2365" spans="19:19" x14ac:dyDescent="0.25">
      <c r="S2365" s="1"/>
    </row>
    <row r="2366" spans="19:19" x14ac:dyDescent="0.25">
      <c r="S2366" s="1"/>
    </row>
    <row r="2367" spans="19:19" x14ac:dyDescent="0.25">
      <c r="S2367" s="1"/>
    </row>
    <row r="2368" spans="19:19" x14ac:dyDescent="0.25">
      <c r="S2368" s="1"/>
    </row>
    <row r="2369" spans="19:19" x14ac:dyDescent="0.25">
      <c r="S2369" s="1"/>
    </row>
    <row r="2370" spans="19:19" x14ac:dyDescent="0.25">
      <c r="S2370" s="1"/>
    </row>
    <row r="2371" spans="19:19" x14ac:dyDescent="0.25">
      <c r="S2371" s="1"/>
    </row>
    <row r="2372" spans="19:19" x14ac:dyDescent="0.25">
      <c r="S2372" s="1"/>
    </row>
    <row r="2373" spans="19:19" x14ac:dyDescent="0.25">
      <c r="S2373" s="1"/>
    </row>
    <row r="2374" spans="19:19" x14ac:dyDescent="0.25">
      <c r="S2374" s="1"/>
    </row>
    <row r="2375" spans="19:19" x14ac:dyDescent="0.25">
      <c r="S2375" s="1"/>
    </row>
    <row r="2376" spans="19:19" x14ac:dyDescent="0.25">
      <c r="S2376" s="1"/>
    </row>
    <row r="2377" spans="19:19" x14ac:dyDescent="0.25">
      <c r="S2377" s="1"/>
    </row>
    <row r="2378" spans="19:19" x14ac:dyDescent="0.25">
      <c r="S2378" s="1"/>
    </row>
    <row r="2379" spans="19:19" x14ac:dyDescent="0.25">
      <c r="S2379" s="1"/>
    </row>
    <row r="2380" spans="19:19" x14ac:dyDescent="0.25">
      <c r="S2380" s="1"/>
    </row>
    <row r="2381" spans="19:19" x14ac:dyDescent="0.25">
      <c r="S2381" s="1"/>
    </row>
    <row r="2382" spans="19:19" x14ac:dyDescent="0.25">
      <c r="S2382" s="1"/>
    </row>
    <row r="2383" spans="19:19" x14ac:dyDescent="0.25">
      <c r="S2383" s="1"/>
    </row>
    <row r="2384" spans="19:19" x14ac:dyDescent="0.25">
      <c r="S2384" s="1"/>
    </row>
    <row r="2385" spans="19:19" x14ac:dyDescent="0.25">
      <c r="S2385" s="1"/>
    </row>
    <row r="2386" spans="19:19" x14ac:dyDescent="0.25">
      <c r="S2386" s="1"/>
    </row>
    <row r="2387" spans="19:19" x14ac:dyDescent="0.25">
      <c r="S2387" s="1"/>
    </row>
    <row r="2388" spans="19:19" x14ac:dyDescent="0.25">
      <c r="S2388" s="1"/>
    </row>
    <row r="2389" spans="19:19" x14ac:dyDescent="0.25">
      <c r="S2389" s="1"/>
    </row>
    <row r="2390" spans="19:19" x14ac:dyDescent="0.25">
      <c r="S2390" s="1"/>
    </row>
    <row r="2391" spans="19:19" x14ac:dyDescent="0.25">
      <c r="S2391" s="1"/>
    </row>
    <row r="2392" spans="19:19" x14ac:dyDescent="0.25">
      <c r="S2392" s="1"/>
    </row>
    <row r="2393" spans="19:19" x14ac:dyDescent="0.25">
      <c r="S2393" s="1"/>
    </row>
    <row r="2394" spans="19:19" x14ac:dyDescent="0.25">
      <c r="S2394" s="1"/>
    </row>
    <row r="2395" spans="19:19" x14ac:dyDescent="0.25">
      <c r="S2395" s="1"/>
    </row>
    <row r="2396" spans="19:19" x14ac:dyDescent="0.25">
      <c r="S2396" s="1"/>
    </row>
    <row r="2397" spans="19:19" x14ac:dyDescent="0.25">
      <c r="S2397" s="1"/>
    </row>
    <row r="2398" spans="19:19" x14ac:dyDescent="0.25">
      <c r="S2398" s="1"/>
    </row>
    <row r="2399" spans="19:19" x14ac:dyDescent="0.25">
      <c r="S2399" s="1"/>
    </row>
    <row r="2400" spans="19:19" x14ac:dyDescent="0.25">
      <c r="S2400" s="1"/>
    </row>
    <row r="2401" spans="19:19" x14ac:dyDescent="0.25">
      <c r="S2401" s="1"/>
    </row>
    <row r="2402" spans="19:19" x14ac:dyDescent="0.25">
      <c r="S2402" s="1"/>
    </row>
    <row r="2403" spans="19:19" x14ac:dyDescent="0.25">
      <c r="S2403" s="1"/>
    </row>
    <row r="2404" spans="19:19" x14ac:dyDescent="0.25">
      <c r="S2404" s="1"/>
    </row>
    <row r="2405" spans="19:19" x14ac:dyDescent="0.25">
      <c r="S2405" s="1"/>
    </row>
    <row r="2406" spans="19:19" x14ac:dyDescent="0.25">
      <c r="S2406" s="1"/>
    </row>
    <row r="2407" spans="19:19" x14ac:dyDescent="0.25">
      <c r="S2407" s="1"/>
    </row>
    <row r="2408" spans="19:19" x14ac:dyDescent="0.25">
      <c r="S2408" s="1"/>
    </row>
    <row r="2409" spans="19:19" x14ac:dyDescent="0.25">
      <c r="S2409" s="1"/>
    </row>
    <row r="2410" spans="19:19" x14ac:dyDescent="0.25">
      <c r="S2410" s="1"/>
    </row>
    <row r="2411" spans="19:19" x14ac:dyDescent="0.25">
      <c r="S2411" s="1"/>
    </row>
    <row r="2412" spans="19:19" x14ac:dyDescent="0.25">
      <c r="S2412" s="1"/>
    </row>
    <row r="2413" spans="19:19" x14ac:dyDescent="0.25">
      <c r="S2413" s="1"/>
    </row>
    <row r="2414" spans="19:19" x14ac:dyDescent="0.25">
      <c r="S2414" s="1"/>
    </row>
    <row r="2415" spans="19:19" x14ac:dyDescent="0.25">
      <c r="S2415" s="1"/>
    </row>
    <row r="2416" spans="19:19" x14ac:dyDescent="0.25">
      <c r="S2416" s="1"/>
    </row>
    <row r="2417" spans="19:19" x14ac:dyDescent="0.25">
      <c r="S2417" s="1"/>
    </row>
    <row r="2418" spans="19:19" x14ac:dyDescent="0.25">
      <c r="S2418" s="1"/>
    </row>
    <row r="2419" spans="19:19" x14ac:dyDescent="0.25">
      <c r="S2419" s="1"/>
    </row>
    <row r="2420" spans="19:19" x14ac:dyDescent="0.25">
      <c r="S2420" s="1"/>
    </row>
    <row r="2421" spans="19:19" x14ac:dyDescent="0.25">
      <c r="S2421" s="1"/>
    </row>
    <row r="2422" spans="19:19" x14ac:dyDescent="0.25">
      <c r="S2422" s="1"/>
    </row>
    <row r="2423" spans="19:19" x14ac:dyDescent="0.25">
      <c r="S2423" s="1"/>
    </row>
    <row r="2424" spans="19:19" x14ac:dyDescent="0.25">
      <c r="S2424" s="1"/>
    </row>
    <row r="2425" spans="19:19" x14ac:dyDescent="0.25">
      <c r="S2425" s="1"/>
    </row>
    <row r="2426" spans="19:19" x14ac:dyDescent="0.25">
      <c r="S2426" s="1"/>
    </row>
    <row r="2427" spans="19:19" x14ac:dyDescent="0.25">
      <c r="S2427" s="1"/>
    </row>
    <row r="2428" spans="19:19" x14ac:dyDescent="0.25">
      <c r="S2428" s="1"/>
    </row>
    <row r="2429" spans="19:19" x14ac:dyDescent="0.25">
      <c r="S2429" s="1"/>
    </row>
    <row r="2430" spans="19:19" x14ac:dyDescent="0.25">
      <c r="S2430" s="1"/>
    </row>
    <row r="2431" spans="19:19" x14ac:dyDescent="0.25">
      <c r="S2431" s="1"/>
    </row>
    <row r="2432" spans="19:19" x14ac:dyDescent="0.25">
      <c r="S2432" s="1"/>
    </row>
    <row r="2433" spans="19:19" x14ac:dyDescent="0.25">
      <c r="S2433" s="1"/>
    </row>
    <row r="2434" spans="19:19" x14ac:dyDescent="0.25">
      <c r="S2434" s="1"/>
    </row>
    <row r="2435" spans="19:19" x14ac:dyDescent="0.25">
      <c r="S2435" s="1"/>
    </row>
    <row r="2436" spans="19:19" x14ac:dyDescent="0.25">
      <c r="S2436" s="1"/>
    </row>
    <row r="2437" spans="19:19" x14ac:dyDescent="0.25">
      <c r="S2437" s="1"/>
    </row>
    <row r="2438" spans="19:19" x14ac:dyDescent="0.25">
      <c r="S2438" s="1"/>
    </row>
    <row r="2439" spans="19:19" x14ac:dyDescent="0.25">
      <c r="S2439" s="1"/>
    </row>
    <row r="2440" spans="19:19" x14ac:dyDescent="0.25">
      <c r="S2440" s="1"/>
    </row>
    <row r="2441" spans="19:19" x14ac:dyDescent="0.25">
      <c r="S2441" s="1"/>
    </row>
    <row r="2442" spans="19:19" x14ac:dyDescent="0.25">
      <c r="S2442" s="1"/>
    </row>
    <row r="2443" spans="19:19" x14ac:dyDescent="0.25">
      <c r="S2443" s="1"/>
    </row>
    <row r="2444" spans="19:19" x14ac:dyDescent="0.25">
      <c r="S2444" s="1"/>
    </row>
    <row r="2445" spans="19:19" x14ac:dyDescent="0.25">
      <c r="S2445" s="1"/>
    </row>
    <row r="2446" spans="19:19" x14ac:dyDescent="0.25">
      <c r="S2446" s="1"/>
    </row>
    <row r="2447" spans="19:19" x14ac:dyDescent="0.25">
      <c r="S2447" s="1"/>
    </row>
    <row r="2448" spans="19:19" x14ac:dyDescent="0.25">
      <c r="S2448" s="1"/>
    </row>
    <row r="2449" spans="19:19" x14ac:dyDescent="0.25">
      <c r="S2449" s="1"/>
    </row>
    <row r="2450" spans="19:19" x14ac:dyDescent="0.25">
      <c r="S2450" s="1"/>
    </row>
    <row r="2451" spans="19:19" x14ac:dyDescent="0.25">
      <c r="S2451" s="1"/>
    </row>
    <row r="2452" spans="19:19" x14ac:dyDescent="0.25">
      <c r="S2452" s="1"/>
    </row>
    <row r="2453" spans="19:19" x14ac:dyDescent="0.25">
      <c r="S2453" s="1"/>
    </row>
    <row r="2454" spans="19:19" x14ac:dyDescent="0.25">
      <c r="S2454" s="1"/>
    </row>
    <row r="2455" spans="19:19" x14ac:dyDescent="0.25">
      <c r="S2455" s="1"/>
    </row>
    <row r="2456" spans="19:19" x14ac:dyDescent="0.25">
      <c r="S2456" s="1"/>
    </row>
    <row r="2457" spans="19:19" x14ac:dyDescent="0.25">
      <c r="S2457" s="1"/>
    </row>
    <row r="2458" spans="19:19" x14ac:dyDescent="0.25">
      <c r="S2458" s="1"/>
    </row>
    <row r="2459" spans="19:19" x14ac:dyDescent="0.25">
      <c r="S2459" s="1"/>
    </row>
    <row r="2460" spans="19:19" x14ac:dyDescent="0.25">
      <c r="S2460" s="1"/>
    </row>
    <row r="2461" spans="19:19" x14ac:dyDescent="0.25">
      <c r="S2461" s="1"/>
    </row>
    <row r="2462" spans="19:19" x14ac:dyDescent="0.25">
      <c r="S2462" s="1"/>
    </row>
    <row r="2463" spans="19:19" x14ac:dyDescent="0.25">
      <c r="S2463" s="1"/>
    </row>
    <row r="2464" spans="19:19" x14ac:dyDescent="0.25">
      <c r="S2464" s="1"/>
    </row>
    <row r="2465" spans="19:19" x14ac:dyDescent="0.25">
      <c r="S2465" s="1"/>
    </row>
    <row r="2466" spans="19:19" x14ac:dyDescent="0.25">
      <c r="S2466" s="1"/>
    </row>
    <row r="2467" spans="19:19" x14ac:dyDescent="0.25">
      <c r="S2467" s="1"/>
    </row>
    <row r="2468" spans="19:19" x14ac:dyDescent="0.25">
      <c r="S2468" s="1"/>
    </row>
    <row r="2469" spans="19:19" x14ac:dyDescent="0.25">
      <c r="S2469" s="1"/>
    </row>
    <row r="2470" spans="19:19" x14ac:dyDescent="0.25">
      <c r="S2470" s="1"/>
    </row>
    <row r="2471" spans="19:19" x14ac:dyDescent="0.25">
      <c r="S2471" s="1"/>
    </row>
    <row r="2472" spans="19:19" x14ac:dyDescent="0.25">
      <c r="S2472" s="1"/>
    </row>
    <row r="2473" spans="19:19" x14ac:dyDescent="0.25">
      <c r="S2473" s="1"/>
    </row>
    <row r="2474" spans="19:19" x14ac:dyDescent="0.25">
      <c r="S2474" s="1"/>
    </row>
    <row r="2475" spans="19:19" x14ac:dyDescent="0.25">
      <c r="S2475" s="1"/>
    </row>
    <row r="2476" spans="19:19" x14ac:dyDescent="0.25">
      <c r="S2476" s="1"/>
    </row>
    <row r="2477" spans="19:19" x14ac:dyDescent="0.25">
      <c r="S2477" s="1"/>
    </row>
    <row r="2478" spans="19:19" x14ac:dyDescent="0.25">
      <c r="S2478" s="1"/>
    </row>
    <row r="2479" spans="19:19" x14ac:dyDescent="0.25">
      <c r="S2479" s="1"/>
    </row>
    <row r="2480" spans="19:19" x14ac:dyDescent="0.25">
      <c r="S2480" s="1"/>
    </row>
    <row r="2481" spans="19:19" x14ac:dyDescent="0.25">
      <c r="S2481" s="1"/>
    </row>
    <row r="2482" spans="19:19" x14ac:dyDescent="0.25">
      <c r="S2482" s="1"/>
    </row>
    <row r="2483" spans="19:19" x14ac:dyDescent="0.25">
      <c r="S2483" s="1"/>
    </row>
    <row r="2484" spans="19:19" x14ac:dyDescent="0.25">
      <c r="S2484" s="1"/>
    </row>
    <row r="2485" spans="19:19" x14ac:dyDescent="0.25">
      <c r="S2485" s="1"/>
    </row>
    <row r="2486" spans="19:19" x14ac:dyDescent="0.25">
      <c r="S2486" s="1"/>
    </row>
    <row r="2487" spans="19:19" x14ac:dyDescent="0.25">
      <c r="S2487" s="1"/>
    </row>
    <row r="2488" spans="19:19" x14ac:dyDescent="0.25">
      <c r="S2488" s="1"/>
    </row>
    <row r="2489" spans="19:19" x14ac:dyDescent="0.25">
      <c r="S2489" s="1"/>
    </row>
    <row r="2490" spans="19:19" x14ac:dyDescent="0.25">
      <c r="S2490" s="1"/>
    </row>
    <row r="2491" spans="19:19" x14ac:dyDescent="0.25">
      <c r="S2491" s="1"/>
    </row>
    <row r="2492" spans="19:19" x14ac:dyDescent="0.25">
      <c r="S2492" s="1"/>
    </row>
    <row r="2493" spans="19:19" x14ac:dyDescent="0.25">
      <c r="S2493" s="1"/>
    </row>
    <row r="2494" spans="19:19" x14ac:dyDescent="0.25">
      <c r="S2494" s="1"/>
    </row>
    <row r="2495" spans="19:19" x14ac:dyDescent="0.25">
      <c r="S2495" s="1"/>
    </row>
    <row r="2496" spans="19:19" x14ac:dyDescent="0.25">
      <c r="S2496" s="1"/>
    </row>
    <row r="2497" spans="19:19" x14ac:dyDescent="0.25">
      <c r="S2497" s="1"/>
    </row>
    <row r="2498" spans="19:19" x14ac:dyDescent="0.25">
      <c r="S2498" s="1"/>
    </row>
    <row r="2499" spans="19:19" x14ac:dyDescent="0.25">
      <c r="S2499" s="1"/>
    </row>
    <row r="2500" spans="19:19" x14ac:dyDescent="0.25">
      <c r="S2500" s="1"/>
    </row>
    <row r="2501" spans="19:19" x14ac:dyDescent="0.25">
      <c r="S2501" s="1"/>
    </row>
    <row r="2502" spans="19:19" x14ac:dyDescent="0.25">
      <c r="S2502" s="1"/>
    </row>
    <row r="2503" spans="19:19" x14ac:dyDescent="0.25">
      <c r="S2503" s="1"/>
    </row>
    <row r="2504" spans="19:19" x14ac:dyDescent="0.25">
      <c r="S2504" s="1"/>
    </row>
    <row r="2505" spans="19:19" x14ac:dyDescent="0.25">
      <c r="S2505" s="1"/>
    </row>
    <row r="2506" spans="19:19" x14ac:dyDescent="0.25">
      <c r="S2506" s="1"/>
    </row>
    <row r="2507" spans="19:19" x14ac:dyDescent="0.25">
      <c r="S2507" s="1"/>
    </row>
    <row r="2508" spans="19:19" x14ac:dyDescent="0.25">
      <c r="S2508" s="1"/>
    </row>
    <row r="2509" spans="19:19" x14ac:dyDescent="0.25">
      <c r="S2509" s="1"/>
    </row>
    <row r="2510" spans="19:19" x14ac:dyDescent="0.25">
      <c r="S2510" s="1"/>
    </row>
    <row r="2511" spans="19:19" x14ac:dyDescent="0.25">
      <c r="S2511" s="1"/>
    </row>
    <row r="2512" spans="19:19" x14ac:dyDescent="0.25">
      <c r="S2512" s="1"/>
    </row>
    <row r="2513" spans="19:19" x14ac:dyDescent="0.25">
      <c r="S2513" s="1"/>
    </row>
    <row r="2514" spans="19:19" x14ac:dyDescent="0.25">
      <c r="S2514" s="1"/>
    </row>
    <row r="2515" spans="19:19" x14ac:dyDescent="0.25">
      <c r="S2515" s="1"/>
    </row>
    <row r="2516" spans="19:19" x14ac:dyDescent="0.25">
      <c r="S2516" s="1"/>
    </row>
    <row r="2517" spans="19:19" x14ac:dyDescent="0.25">
      <c r="S2517" s="1"/>
    </row>
    <row r="2518" spans="19:19" x14ac:dyDescent="0.25">
      <c r="S2518" s="1"/>
    </row>
    <row r="2519" spans="19:19" x14ac:dyDescent="0.25">
      <c r="S2519" s="1"/>
    </row>
    <row r="2520" spans="19:19" x14ac:dyDescent="0.25">
      <c r="S2520" s="1"/>
    </row>
    <row r="2521" spans="19:19" x14ac:dyDescent="0.25">
      <c r="S2521" s="1"/>
    </row>
    <row r="2522" spans="19:19" x14ac:dyDescent="0.25">
      <c r="S2522" s="1"/>
    </row>
    <row r="2523" spans="19:19" x14ac:dyDescent="0.25">
      <c r="S2523" s="1"/>
    </row>
    <row r="2524" spans="19:19" x14ac:dyDescent="0.25">
      <c r="S2524" s="1"/>
    </row>
    <row r="2525" spans="19:19" x14ac:dyDescent="0.25">
      <c r="S2525" s="1"/>
    </row>
    <row r="2526" spans="19:19" x14ac:dyDescent="0.25">
      <c r="S2526" s="1"/>
    </row>
    <row r="2527" spans="19:19" x14ac:dyDescent="0.25">
      <c r="S2527" s="1"/>
    </row>
    <row r="2528" spans="19:19" x14ac:dyDescent="0.25">
      <c r="S2528" s="1"/>
    </row>
    <row r="2529" spans="19:19" x14ac:dyDescent="0.25">
      <c r="S2529" s="1"/>
    </row>
    <row r="2530" spans="19:19" x14ac:dyDescent="0.25">
      <c r="S2530" s="1"/>
    </row>
    <row r="2531" spans="19:19" x14ac:dyDescent="0.25">
      <c r="S2531" s="1"/>
    </row>
    <row r="2532" spans="19:19" x14ac:dyDescent="0.25">
      <c r="S2532" s="1"/>
    </row>
    <row r="2533" spans="19:19" x14ac:dyDescent="0.25">
      <c r="S2533" s="1"/>
    </row>
    <row r="2534" spans="19:19" x14ac:dyDescent="0.25">
      <c r="S2534" s="1"/>
    </row>
    <row r="2535" spans="19:19" x14ac:dyDescent="0.25">
      <c r="S2535" s="1"/>
    </row>
    <row r="2536" spans="19:19" x14ac:dyDescent="0.25">
      <c r="S2536" s="1"/>
    </row>
    <row r="2537" spans="19:19" x14ac:dyDescent="0.25">
      <c r="S2537" s="1"/>
    </row>
    <row r="2538" spans="19:19" x14ac:dyDescent="0.25">
      <c r="S2538" s="1"/>
    </row>
    <row r="2539" spans="19:19" x14ac:dyDescent="0.25">
      <c r="S2539" s="1"/>
    </row>
    <row r="2540" spans="19:19" x14ac:dyDescent="0.25">
      <c r="S2540" s="1"/>
    </row>
    <row r="2541" spans="19:19" x14ac:dyDescent="0.25">
      <c r="S2541" s="1"/>
    </row>
    <row r="2542" spans="19:19" x14ac:dyDescent="0.25">
      <c r="S2542" s="1"/>
    </row>
    <row r="2543" spans="19:19" x14ac:dyDescent="0.25">
      <c r="S2543" s="1"/>
    </row>
    <row r="2544" spans="19:19" x14ac:dyDescent="0.25">
      <c r="S2544" s="1"/>
    </row>
    <row r="2545" spans="19:19" x14ac:dyDescent="0.25">
      <c r="S2545" s="1"/>
    </row>
    <row r="2546" spans="19:19" x14ac:dyDescent="0.25">
      <c r="S2546" s="1"/>
    </row>
    <row r="2547" spans="19:19" x14ac:dyDescent="0.25">
      <c r="S2547" s="1"/>
    </row>
    <row r="2548" spans="19:19" x14ac:dyDescent="0.25">
      <c r="S2548" s="1"/>
    </row>
    <row r="2549" spans="19:19" x14ac:dyDescent="0.25">
      <c r="S2549" s="1"/>
    </row>
    <row r="2550" spans="19:19" x14ac:dyDescent="0.25">
      <c r="S2550" s="1"/>
    </row>
    <row r="2551" spans="19:19" x14ac:dyDescent="0.25">
      <c r="S2551" s="1"/>
    </row>
    <row r="2552" spans="19:19" x14ac:dyDescent="0.25">
      <c r="S2552" s="1"/>
    </row>
    <row r="2553" spans="19:19" x14ac:dyDescent="0.25">
      <c r="S2553" s="1"/>
    </row>
    <row r="2554" spans="19:19" x14ac:dyDescent="0.25">
      <c r="S2554" s="1"/>
    </row>
    <row r="2555" spans="19:19" x14ac:dyDescent="0.25">
      <c r="S2555" s="1"/>
    </row>
    <row r="2556" spans="19:19" x14ac:dyDescent="0.25">
      <c r="S2556" s="1"/>
    </row>
    <row r="2557" spans="19:19" x14ac:dyDescent="0.25">
      <c r="S2557" s="1"/>
    </row>
    <row r="2558" spans="19:19" x14ac:dyDescent="0.25">
      <c r="S2558" s="1"/>
    </row>
    <row r="2559" spans="19:19" x14ac:dyDescent="0.25">
      <c r="S2559" s="1"/>
    </row>
    <row r="2560" spans="19:19" x14ac:dyDescent="0.25">
      <c r="S2560" s="1"/>
    </row>
    <row r="2561" spans="19:19" x14ac:dyDescent="0.25">
      <c r="S2561" s="1"/>
    </row>
    <row r="2562" spans="19:19" x14ac:dyDescent="0.25">
      <c r="S2562" s="1"/>
    </row>
    <row r="2563" spans="19:19" x14ac:dyDescent="0.25">
      <c r="S2563" s="1"/>
    </row>
    <row r="2564" spans="19:19" x14ac:dyDescent="0.25">
      <c r="S2564" s="1"/>
    </row>
    <row r="2565" spans="19:19" x14ac:dyDescent="0.25">
      <c r="S2565" s="1"/>
    </row>
    <row r="2566" spans="19:19" x14ac:dyDescent="0.25">
      <c r="S2566" s="1"/>
    </row>
    <row r="2567" spans="19:19" x14ac:dyDescent="0.25">
      <c r="S2567" s="1"/>
    </row>
    <row r="2568" spans="19:19" x14ac:dyDescent="0.25">
      <c r="S2568" s="1"/>
    </row>
    <row r="2569" spans="19:19" x14ac:dyDescent="0.25">
      <c r="S2569" s="1"/>
    </row>
    <row r="2570" spans="19:19" x14ac:dyDescent="0.25">
      <c r="S2570" s="1"/>
    </row>
    <row r="2571" spans="19:19" x14ac:dyDescent="0.25">
      <c r="S2571" s="1"/>
    </row>
    <row r="2572" spans="19:19" x14ac:dyDescent="0.25">
      <c r="S2572" s="1"/>
    </row>
    <row r="2573" spans="19:19" x14ac:dyDescent="0.25">
      <c r="S2573" s="1"/>
    </row>
    <row r="2574" spans="19:19" x14ac:dyDescent="0.25">
      <c r="S2574" s="1"/>
    </row>
    <row r="2575" spans="19:19" x14ac:dyDescent="0.25">
      <c r="S2575" s="1"/>
    </row>
    <row r="2576" spans="19:19" x14ac:dyDescent="0.25">
      <c r="S2576" s="1"/>
    </row>
    <row r="2577" spans="19:19" x14ac:dyDescent="0.25">
      <c r="S2577" s="1"/>
    </row>
    <row r="2578" spans="19:19" x14ac:dyDescent="0.25">
      <c r="S2578" s="1"/>
    </row>
    <row r="2579" spans="19:19" x14ac:dyDescent="0.25">
      <c r="S2579" s="1"/>
    </row>
    <row r="2580" spans="19:19" x14ac:dyDescent="0.25">
      <c r="S2580" s="1"/>
    </row>
    <row r="2581" spans="19:19" x14ac:dyDescent="0.25">
      <c r="S2581" s="1"/>
    </row>
    <row r="2582" spans="19:19" x14ac:dyDescent="0.25">
      <c r="S2582" s="1"/>
    </row>
    <row r="2583" spans="19:19" x14ac:dyDescent="0.25">
      <c r="S2583" s="1"/>
    </row>
    <row r="2584" spans="19:19" x14ac:dyDescent="0.25">
      <c r="S2584" s="1"/>
    </row>
    <row r="2585" spans="19:19" x14ac:dyDescent="0.25">
      <c r="S2585" s="1"/>
    </row>
    <row r="2586" spans="19:19" x14ac:dyDescent="0.25">
      <c r="S2586" s="1"/>
    </row>
    <row r="2587" spans="19:19" x14ac:dyDescent="0.25">
      <c r="S2587" s="1"/>
    </row>
    <row r="2588" spans="19:19" x14ac:dyDescent="0.25">
      <c r="S2588" s="1"/>
    </row>
    <row r="2589" spans="19:19" x14ac:dyDescent="0.25">
      <c r="S2589" s="1"/>
    </row>
    <row r="2590" spans="19:19" x14ac:dyDescent="0.25">
      <c r="S2590" s="1"/>
    </row>
    <row r="2591" spans="19:19" x14ac:dyDescent="0.25">
      <c r="S2591" s="1"/>
    </row>
    <row r="2592" spans="19:19" x14ac:dyDescent="0.25">
      <c r="S2592" s="1"/>
    </row>
    <row r="2593" spans="19:19" x14ac:dyDescent="0.25">
      <c r="S2593" s="1"/>
    </row>
    <row r="2594" spans="19:19" x14ac:dyDescent="0.25">
      <c r="S2594" s="1"/>
    </row>
    <row r="2595" spans="19:19" x14ac:dyDescent="0.25">
      <c r="S2595" s="1"/>
    </row>
    <row r="2596" spans="19:19" x14ac:dyDescent="0.25">
      <c r="S2596" s="1"/>
    </row>
    <row r="2597" spans="19:19" x14ac:dyDescent="0.25">
      <c r="S2597" s="1"/>
    </row>
    <row r="2598" spans="19:19" x14ac:dyDescent="0.25">
      <c r="S2598" s="1"/>
    </row>
    <row r="2599" spans="19:19" x14ac:dyDescent="0.25">
      <c r="S2599" s="1"/>
    </row>
    <row r="2600" spans="19:19" x14ac:dyDescent="0.25">
      <c r="S2600" s="1"/>
    </row>
    <row r="2601" spans="19:19" x14ac:dyDescent="0.25">
      <c r="S2601" s="1"/>
    </row>
    <row r="2602" spans="19:19" x14ac:dyDescent="0.25">
      <c r="S2602" s="1"/>
    </row>
    <row r="2603" spans="19:19" x14ac:dyDescent="0.25">
      <c r="S2603" s="1"/>
    </row>
    <row r="2604" spans="19:19" x14ac:dyDescent="0.25">
      <c r="S2604" s="1"/>
    </row>
    <row r="2605" spans="19:19" x14ac:dyDescent="0.25">
      <c r="S2605" s="1"/>
    </row>
    <row r="2606" spans="19:19" x14ac:dyDescent="0.25">
      <c r="S2606" s="1"/>
    </row>
    <row r="2607" spans="19:19" x14ac:dyDescent="0.25">
      <c r="S2607" s="1"/>
    </row>
    <row r="2608" spans="19:19" x14ac:dyDescent="0.25">
      <c r="S2608" s="1"/>
    </row>
    <row r="2609" spans="19:19" x14ac:dyDescent="0.25">
      <c r="S2609" s="1"/>
    </row>
    <row r="2610" spans="19:19" x14ac:dyDescent="0.25">
      <c r="S2610" s="1"/>
    </row>
    <row r="2611" spans="19:19" x14ac:dyDescent="0.25">
      <c r="S2611" s="1"/>
    </row>
    <row r="2612" spans="19:19" x14ac:dyDescent="0.25">
      <c r="S2612" s="1"/>
    </row>
    <row r="2613" spans="19:19" x14ac:dyDescent="0.25">
      <c r="S2613" s="1"/>
    </row>
    <row r="2614" spans="19:19" x14ac:dyDescent="0.25">
      <c r="S2614" s="1"/>
    </row>
    <row r="2615" spans="19:19" x14ac:dyDescent="0.25">
      <c r="S2615" s="1"/>
    </row>
    <row r="2616" spans="19:19" x14ac:dyDescent="0.25">
      <c r="S2616" s="1"/>
    </row>
    <row r="2617" spans="19:19" x14ac:dyDescent="0.25">
      <c r="S2617" s="1"/>
    </row>
    <row r="2618" spans="19:19" x14ac:dyDescent="0.25">
      <c r="S2618" s="1"/>
    </row>
    <row r="2619" spans="19:19" x14ac:dyDescent="0.25">
      <c r="S2619" s="1"/>
    </row>
    <row r="2620" spans="19:19" x14ac:dyDescent="0.25">
      <c r="S2620" s="1"/>
    </row>
    <row r="2621" spans="19:19" x14ac:dyDescent="0.25">
      <c r="S2621" s="1"/>
    </row>
    <row r="2622" spans="19:19" x14ac:dyDescent="0.25">
      <c r="S2622" s="1"/>
    </row>
    <row r="2623" spans="19:19" x14ac:dyDescent="0.25">
      <c r="S2623" s="1"/>
    </row>
    <row r="2624" spans="19:19" x14ac:dyDescent="0.25">
      <c r="S2624" s="1"/>
    </row>
    <row r="2625" spans="19:19" x14ac:dyDescent="0.25">
      <c r="S2625" s="1"/>
    </row>
    <row r="2626" spans="19:19" x14ac:dyDescent="0.25">
      <c r="S2626" s="1"/>
    </row>
    <row r="2627" spans="19:19" x14ac:dyDescent="0.25">
      <c r="S2627" s="1"/>
    </row>
    <row r="2628" spans="19:19" x14ac:dyDescent="0.25">
      <c r="S2628" s="1"/>
    </row>
    <row r="2629" spans="19:19" x14ac:dyDescent="0.25">
      <c r="S2629" s="1"/>
    </row>
    <row r="2630" spans="19:19" x14ac:dyDescent="0.25">
      <c r="S2630" s="1"/>
    </row>
    <row r="2631" spans="19:19" x14ac:dyDescent="0.25">
      <c r="S2631" s="1"/>
    </row>
    <row r="2632" spans="19:19" x14ac:dyDescent="0.25">
      <c r="S2632" s="1"/>
    </row>
    <row r="2633" spans="19:19" x14ac:dyDescent="0.25">
      <c r="S2633" s="1"/>
    </row>
    <row r="2634" spans="19:19" x14ac:dyDescent="0.25">
      <c r="S2634" s="1"/>
    </row>
    <row r="2635" spans="19:19" x14ac:dyDescent="0.25">
      <c r="S2635" s="1"/>
    </row>
    <row r="2636" spans="19:19" x14ac:dyDescent="0.25">
      <c r="S2636" s="1"/>
    </row>
    <row r="2637" spans="19:19" x14ac:dyDescent="0.25">
      <c r="S2637" s="1"/>
    </row>
    <row r="2638" spans="19:19" x14ac:dyDescent="0.25">
      <c r="S2638" s="1"/>
    </row>
    <row r="2639" spans="19:19" x14ac:dyDescent="0.25">
      <c r="S2639" s="1"/>
    </row>
    <row r="2640" spans="19:19" x14ac:dyDescent="0.25">
      <c r="S2640" s="1"/>
    </row>
    <row r="2641" spans="19:19" x14ac:dyDescent="0.25">
      <c r="S2641" s="1"/>
    </row>
    <row r="2642" spans="19:19" x14ac:dyDescent="0.25">
      <c r="S2642" s="1"/>
    </row>
    <row r="2643" spans="19:19" x14ac:dyDescent="0.25">
      <c r="S2643" s="1"/>
    </row>
    <row r="2644" spans="19:19" x14ac:dyDescent="0.25">
      <c r="S2644" s="1"/>
    </row>
    <row r="2645" spans="19:19" x14ac:dyDescent="0.25">
      <c r="S2645" s="1"/>
    </row>
    <row r="2646" spans="19:19" x14ac:dyDescent="0.25">
      <c r="S2646" s="1"/>
    </row>
    <row r="2647" spans="19:19" x14ac:dyDescent="0.25">
      <c r="S2647" s="1"/>
    </row>
    <row r="2648" spans="19:19" x14ac:dyDescent="0.25">
      <c r="S2648" s="1"/>
    </row>
    <row r="2649" spans="19:19" x14ac:dyDescent="0.25">
      <c r="S2649" s="1"/>
    </row>
    <row r="2650" spans="19:19" x14ac:dyDescent="0.25">
      <c r="S2650" s="1"/>
    </row>
    <row r="2651" spans="19:19" x14ac:dyDescent="0.25">
      <c r="S2651" s="1"/>
    </row>
    <row r="2652" spans="19:19" x14ac:dyDescent="0.25">
      <c r="S2652" s="1"/>
    </row>
    <row r="2653" spans="19:19" x14ac:dyDescent="0.25">
      <c r="S2653" s="1"/>
    </row>
    <row r="2654" spans="19:19" x14ac:dyDescent="0.25">
      <c r="S2654" s="1"/>
    </row>
    <row r="2655" spans="19:19" x14ac:dyDescent="0.25">
      <c r="S2655" s="1"/>
    </row>
    <row r="2656" spans="19:19" x14ac:dyDescent="0.25">
      <c r="S2656" s="1"/>
    </row>
    <row r="2657" spans="19:19" x14ac:dyDescent="0.25">
      <c r="S2657" s="1"/>
    </row>
    <row r="2658" spans="19:19" x14ac:dyDescent="0.25">
      <c r="S2658" s="1"/>
    </row>
    <row r="2659" spans="19:19" x14ac:dyDescent="0.25">
      <c r="S2659" s="1"/>
    </row>
    <row r="2660" spans="19:19" x14ac:dyDescent="0.25">
      <c r="S2660" s="1"/>
    </row>
    <row r="2661" spans="19:19" x14ac:dyDescent="0.25">
      <c r="S2661" s="1"/>
    </row>
    <row r="2662" spans="19:19" x14ac:dyDescent="0.25">
      <c r="S2662" s="1"/>
    </row>
    <row r="2663" spans="19:19" x14ac:dyDescent="0.25">
      <c r="S2663" s="1"/>
    </row>
    <row r="2664" spans="19:19" x14ac:dyDescent="0.25">
      <c r="S2664" s="1"/>
    </row>
    <row r="2665" spans="19:19" x14ac:dyDescent="0.25">
      <c r="S2665" s="1"/>
    </row>
    <row r="2666" spans="19:19" x14ac:dyDescent="0.25">
      <c r="S2666" s="1"/>
    </row>
    <row r="2667" spans="19:19" x14ac:dyDescent="0.25">
      <c r="S2667" s="1"/>
    </row>
    <row r="2668" spans="19:19" x14ac:dyDescent="0.25">
      <c r="S2668" s="1"/>
    </row>
    <row r="2669" spans="19:19" x14ac:dyDescent="0.25">
      <c r="S2669" s="1"/>
    </row>
    <row r="2670" spans="19:19" x14ac:dyDescent="0.25">
      <c r="S2670" s="1"/>
    </row>
    <row r="2671" spans="19:19" x14ac:dyDescent="0.25">
      <c r="S2671" s="1"/>
    </row>
    <row r="2672" spans="19:19" x14ac:dyDescent="0.25">
      <c r="S2672" s="1"/>
    </row>
    <row r="2673" spans="19:19" x14ac:dyDescent="0.25">
      <c r="S2673" s="1"/>
    </row>
    <row r="2674" spans="19:19" x14ac:dyDescent="0.25">
      <c r="S2674" s="1"/>
    </row>
    <row r="2675" spans="19:19" x14ac:dyDescent="0.25">
      <c r="S2675" s="1"/>
    </row>
    <row r="2676" spans="19:19" x14ac:dyDescent="0.25">
      <c r="S2676" s="1"/>
    </row>
    <row r="2677" spans="19:19" x14ac:dyDescent="0.25">
      <c r="S2677" s="1"/>
    </row>
    <row r="2678" spans="19:19" x14ac:dyDescent="0.25">
      <c r="S2678" s="1"/>
    </row>
    <row r="2679" spans="19:19" x14ac:dyDescent="0.25">
      <c r="S2679" s="1"/>
    </row>
    <row r="2680" spans="19:19" x14ac:dyDescent="0.25">
      <c r="S2680" s="1"/>
    </row>
    <row r="2681" spans="19:19" x14ac:dyDescent="0.25">
      <c r="S2681" s="1"/>
    </row>
    <row r="2682" spans="19:19" x14ac:dyDescent="0.25">
      <c r="S2682" s="1"/>
    </row>
    <row r="2683" spans="19:19" x14ac:dyDescent="0.25">
      <c r="S2683" s="1"/>
    </row>
    <row r="2684" spans="19:19" x14ac:dyDescent="0.25">
      <c r="S2684" s="1"/>
    </row>
    <row r="2685" spans="19:19" x14ac:dyDescent="0.25">
      <c r="S2685" s="1"/>
    </row>
    <row r="2686" spans="19:19" x14ac:dyDescent="0.25">
      <c r="S2686" s="1"/>
    </row>
    <row r="2687" spans="19:19" x14ac:dyDescent="0.25">
      <c r="S2687" s="1"/>
    </row>
    <row r="2688" spans="19:19" x14ac:dyDescent="0.25">
      <c r="S2688" s="1"/>
    </row>
    <row r="2689" spans="19:19" x14ac:dyDescent="0.25">
      <c r="S2689" s="1"/>
    </row>
    <row r="2690" spans="19:19" x14ac:dyDescent="0.25">
      <c r="S2690" s="1"/>
    </row>
    <row r="2691" spans="19:19" x14ac:dyDescent="0.25">
      <c r="S2691" s="1"/>
    </row>
    <row r="2692" spans="19:19" x14ac:dyDescent="0.25">
      <c r="S2692" s="1"/>
    </row>
    <row r="2693" spans="19:19" x14ac:dyDescent="0.25">
      <c r="S2693" s="1"/>
    </row>
    <row r="2694" spans="19:19" x14ac:dyDescent="0.25">
      <c r="S2694" s="1"/>
    </row>
    <row r="2695" spans="19:19" x14ac:dyDescent="0.25">
      <c r="S2695" s="1"/>
    </row>
    <row r="2696" spans="19:19" x14ac:dyDescent="0.25">
      <c r="S2696" s="1"/>
    </row>
    <row r="2697" spans="19:19" x14ac:dyDescent="0.25">
      <c r="S2697" s="1"/>
    </row>
    <row r="2698" spans="19:19" x14ac:dyDescent="0.25">
      <c r="S2698" s="1"/>
    </row>
    <row r="2699" spans="19:19" x14ac:dyDescent="0.25">
      <c r="S2699" s="1"/>
    </row>
    <row r="2700" spans="19:19" x14ac:dyDescent="0.25">
      <c r="S2700" s="1"/>
    </row>
    <row r="2701" spans="19:19" x14ac:dyDescent="0.25">
      <c r="S2701" s="1"/>
    </row>
    <row r="2702" spans="19:19" x14ac:dyDescent="0.25">
      <c r="S2702" s="1"/>
    </row>
    <row r="2703" spans="19:19" x14ac:dyDescent="0.25">
      <c r="S2703" s="1"/>
    </row>
    <row r="2704" spans="19:19" x14ac:dyDescent="0.25">
      <c r="S2704" s="1"/>
    </row>
    <row r="2705" spans="19:19" x14ac:dyDescent="0.25">
      <c r="S2705" s="1"/>
    </row>
    <row r="2706" spans="19:19" x14ac:dyDescent="0.25">
      <c r="S2706" s="1"/>
    </row>
    <row r="2707" spans="19:19" x14ac:dyDescent="0.25">
      <c r="S2707" s="1"/>
    </row>
    <row r="2708" spans="19:19" x14ac:dyDescent="0.25">
      <c r="S2708" s="1"/>
    </row>
    <row r="2709" spans="19:19" x14ac:dyDescent="0.25">
      <c r="S2709" s="1"/>
    </row>
    <row r="2710" spans="19:19" x14ac:dyDescent="0.25">
      <c r="S2710" s="1"/>
    </row>
    <row r="2711" spans="19:19" x14ac:dyDescent="0.25">
      <c r="S2711" s="1"/>
    </row>
    <row r="2712" spans="19:19" x14ac:dyDescent="0.25">
      <c r="S2712" s="1"/>
    </row>
    <row r="2713" spans="19:19" x14ac:dyDescent="0.25">
      <c r="S2713" s="1"/>
    </row>
    <row r="2714" spans="19:19" x14ac:dyDescent="0.25">
      <c r="S2714" s="1"/>
    </row>
    <row r="2715" spans="19:19" x14ac:dyDescent="0.25">
      <c r="S2715" s="1"/>
    </row>
    <row r="2716" spans="19:19" x14ac:dyDescent="0.25">
      <c r="S2716" s="1"/>
    </row>
    <row r="2717" spans="19:19" x14ac:dyDescent="0.25">
      <c r="S2717" s="1"/>
    </row>
    <row r="2718" spans="19:19" x14ac:dyDescent="0.25">
      <c r="S2718" s="1"/>
    </row>
    <row r="2719" spans="19:19" x14ac:dyDescent="0.25">
      <c r="S2719" s="1"/>
    </row>
    <row r="2720" spans="19:19" x14ac:dyDescent="0.25">
      <c r="S2720" s="1"/>
    </row>
    <row r="2721" spans="19:19" x14ac:dyDescent="0.25">
      <c r="S2721" s="1"/>
    </row>
    <row r="2722" spans="19:19" x14ac:dyDescent="0.25">
      <c r="S2722" s="1"/>
    </row>
    <row r="2723" spans="19:19" x14ac:dyDescent="0.25">
      <c r="S2723" s="1"/>
    </row>
    <row r="2724" spans="19:19" x14ac:dyDescent="0.25">
      <c r="S2724" s="1"/>
    </row>
    <row r="2725" spans="19:19" x14ac:dyDescent="0.25">
      <c r="S2725" s="1"/>
    </row>
    <row r="2726" spans="19:19" x14ac:dyDescent="0.25">
      <c r="S2726" s="1"/>
    </row>
    <row r="2727" spans="19:19" x14ac:dyDescent="0.25">
      <c r="S2727" s="1"/>
    </row>
    <row r="2728" spans="19:19" x14ac:dyDescent="0.25">
      <c r="S2728" s="1"/>
    </row>
    <row r="2729" spans="19:19" x14ac:dyDescent="0.25">
      <c r="S2729" s="1"/>
    </row>
    <row r="2730" spans="19:19" x14ac:dyDescent="0.25">
      <c r="S2730" s="1"/>
    </row>
    <row r="2731" spans="19:19" x14ac:dyDescent="0.25">
      <c r="S2731" s="1"/>
    </row>
    <row r="2732" spans="19:19" x14ac:dyDescent="0.25">
      <c r="S2732" s="1"/>
    </row>
    <row r="2733" spans="19:19" x14ac:dyDescent="0.25">
      <c r="S2733" s="1"/>
    </row>
    <row r="2734" spans="19:19" x14ac:dyDescent="0.25">
      <c r="S2734" s="1"/>
    </row>
    <row r="2735" spans="19:19" x14ac:dyDescent="0.25">
      <c r="S2735" s="1"/>
    </row>
    <row r="2736" spans="19:19" x14ac:dyDescent="0.25">
      <c r="S2736" s="1"/>
    </row>
    <row r="2737" spans="19:19" x14ac:dyDescent="0.25">
      <c r="S2737" s="1"/>
    </row>
    <row r="2738" spans="19:19" x14ac:dyDescent="0.25">
      <c r="S2738" s="1"/>
    </row>
    <row r="2739" spans="19:19" x14ac:dyDescent="0.25">
      <c r="S2739" s="1"/>
    </row>
    <row r="2740" spans="19:19" x14ac:dyDescent="0.25">
      <c r="S2740" s="1"/>
    </row>
    <row r="2741" spans="19:19" x14ac:dyDescent="0.25">
      <c r="S2741" s="1"/>
    </row>
    <row r="2742" spans="19:19" x14ac:dyDescent="0.25">
      <c r="S2742" s="1"/>
    </row>
    <row r="2743" spans="19:19" x14ac:dyDescent="0.25">
      <c r="S2743" s="1"/>
    </row>
    <row r="2744" spans="19:19" x14ac:dyDescent="0.25">
      <c r="S2744" s="1"/>
    </row>
    <row r="2745" spans="19:19" x14ac:dyDescent="0.25">
      <c r="S2745" s="1"/>
    </row>
    <row r="2746" spans="19:19" x14ac:dyDescent="0.25">
      <c r="S2746" s="1"/>
    </row>
    <row r="2747" spans="19:19" x14ac:dyDescent="0.25">
      <c r="S2747" s="1"/>
    </row>
    <row r="2748" spans="19:19" x14ac:dyDescent="0.25">
      <c r="S2748" s="1"/>
    </row>
    <row r="2749" spans="19:19" x14ac:dyDescent="0.25">
      <c r="S2749" s="1"/>
    </row>
    <row r="2750" spans="19:19" x14ac:dyDescent="0.25">
      <c r="S2750" s="1"/>
    </row>
    <row r="2751" spans="19:19" x14ac:dyDescent="0.25">
      <c r="S2751" s="1"/>
    </row>
    <row r="2752" spans="19:19" x14ac:dyDescent="0.25">
      <c r="S2752" s="1"/>
    </row>
    <row r="2753" spans="19:19" x14ac:dyDescent="0.25">
      <c r="S2753" s="1"/>
    </row>
    <row r="2754" spans="19:19" x14ac:dyDescent="0.25">
      <c r="S2754" s="1"/>
    </row>
    <row r="2755" spans="19:19" x14ac:dyDescent="0.25">
      <c r="S2755" s="1"/>
    </row>
    <row r="2756" spans="19:19" x14ac:dyDescent="0.25">
      <c r="S2756" s="1"/>
    </row>
    <row r="2757" spans="19:19" x14ac:dyDescent="0.25">
      <c r="S2757" s="1"/>
    </row>
    <row r="2758" spans="19:19" x14ac:dyDescent="0.25">
      <c r="S2758" s="1"/>
    </row>
    <row r="2759" spans="19:19" x14ac:dyDescent="0.25">
      <c r="S2759" s="1"/>
    </row>
    <row r="2760" spans="19:19" x14ac:dyDescent="0.25">
      <c r="S2760" s="1"/>
    </row>
    <row r="2761" spans="19:19" x14ac:dyDescent="0.25">
      <c r="S2761" s="1"/>
    </row>
    <row r="2762" spans="19:19" x14ac:dyDescent="0.25">
      <c r="S2762" s="1"/>
    </row>
    <row r="2763" spans="19:19" x14ac:dyDescent="0.25">
      <c r="S2763" s="1"/>
    </row>
    <row r="2764" spans="19:19" x14ac:dyDescent="0.25">
      <c r="S2764" s="1"/>
    </row>
    <row r="2765" spans="19:19" x14ac:dyDescent="0.25">
      <c r="S2765" s="1"/>
    </row>
    <row r="2766" spans="19:19" x14ac:dyDescent="0.25">
      <c r="S2766" s="1"/>
    </row>
    <row r="2767" spans="19:19" x14ac:dyDescent="0.25">
      <c r="S2767" s="1"/>
    </row>
    <row r="2768" spans="19:19" x14ac:dyDescent="0.25">
      <c r="S2768" s="1"/>
    </row>
    <row r="2769" spans="19:19" x14ac:dyDescent="0.25">
      <c r="S2769" s="1"/>
    </row>
    <row r="2770" spans="19:19" x14ac:dyDescent="0.25">
      <c r="S2770" s="1"/>
    </row>
    <row r="2771" spans="19:19" x14ac:dyDescent="0.25">
      <c r="S2771" s="1"/>
    </row>
    <row r="2772" spans="19:19" x14ac:dyDescent="0.25">
      <c r="S2772" s="1"/>
    </row>
    <row r="2773" spans="19:19" x14ac:dyDescent="0.25">
      <c r="S2773" s="1"/>
    </row>
    <row r="2774" spans="19:19" x14ac:dyDescent="0.25">
      <c r="S2774" s="1"/>
    </row>
    <row r="2775" spans="19:19" x14ac:dyDescent="0.25">
      <c r="S2775" s="1"/>
    </row>
    <row r="2776" spans="19:19" x14ac:dyDescent="0.25">
      <c r="S2776" s="1"/>
    </row>
    <row r="2777" spans="19:19" x14ac:dyDescent="0.25">
      <c r="S2777" s="1"/>
    </row>
    <row r="2778" spans="19:19" x14ac:dyDescent="0.25">
      <c r="S2778" s="1"/>
    </row>
    <row r="2779" spans="19:19" x14ac:dyDescent="0.25">
      <c r="S2779" s="1"/>
    </row>
    <row r="2780" spans="19:19" x14ac:dyDescent="0.25">
      <c r="S2780" s="1"/>
    </row>
    <row r="2781" spans="19:19" x14ac:dyDescent="0.25">
      <c r="S2781" s="1"/>
    </row>
    <row r="2782" spans="19:19" x14ac:dyDescent="0.25">
      <c r="S2782" s="1"/>
    </row>
    <row r="2783" spans="19:19" x14ac:dyDescent="0.25">
      <c r="S2783" s="1"/>
    </row>
    <row r="2784" spans="19:19" x14ac:dyDescent="0.25">
      <c r="S2784" s="1"/>
    </row>
    <row r="2785" spans="19:19" x14ac:dyDescent="0.25">
      <c r="S2785" s="1"/>
    </row>
    <row r="2786" spans="19:19" x14ac:dyDescent="0.25">
      <c r="S2786" s="1"/>
    </row>
    <row r="2787" spans="19:19" x14ac:dyDescent="0.25">
      <c r="S2787" s="1"/>
    </row>
    <row r="2788" spans="19:19" x14ac:dyDescent="0.25">
      <c r="S2788" s="1"/>
    </row>
    <row r="2789" spans="19:19" x14ac:dyDescent="0.25">
      <c r="S2789" s="1"/>
    </row>
    <row r="2790" spans="19:19" x14ac:dyDescent="0.25">
      <c r="S2790" s="1"/>
    </row>
    <row r="2791" spans="19:19" x14ac:dyDescent="0.25">
      <c r="S2791" s="1"/>
    </row>
    <row r="2792" spans="19:19" x14ac:dyDescent="0.25">
      <c r="S2792" s="1"/>
    </row>
    <row r="2793" spans="19:19" x14ac:dyDescent="0.25">
      <c r="S2793" s="1"/>
    </row>
    <row r="2794" spans="19:19" x14ac:dyDescent="0.25">
      <c r="S2794" s="1"/>
    </row>
    <row r="2795" spans="19:19" x14ac:dyDescent="0.25">
      <c r="S2795" s="1"/>
    </row>
    <row r="2796" spans="19:19" x14ac:dyDescent="0.25">
      <c r="S2796" s="1"/>
    </row>
    <row r="2797" spans="19:19" x14ac:dyDescent="0.25">
      <c r="S2797" s="1"/>
    </row>
    <row r="2798" spans="19:19" x14ac:dyDescent="0.25">
      <c r="S2798" s="1"/>
    </row>
    <row r="2799" spans="19:19" x14ac:dyDescent="0.25">
      <c r="S2799" s="1"/>
    </row>
    <row r="2800" spans="19:19" x14ac:dyDescent="0.25">
      <c r="S2800" s="1"/>
    </row>
    <row r="2801" spans="19:19" x14ac:dyDescent="0.25">
      <c r="S2801" s="1"/>
    </row>
    <row r="2802" spans="19:19" x14ac:dyDescent="0.25">
      <c r="S2802" s="1"/>
    </row>
    <row r="2803" spans="19:19" x14ac:dyDescent="0.25">
      <c r="S2803" s="1"/>
    </row>
    <row r="2804" spans="19:19" x14ac:dyDescent="0.25">
      <c r="S2804" s="1"/>
    </row>
    <row r="2805" spans="19:19" x14ac:dyDescent="0.25">
      <c r="S2805" s="1"/>
    </row>
    <row r="2806" spans="19:19" x14ac:dyDescent="0.25">
      <c r="S2806" s="1"/>
    </row>
    <row r="2807" spans="19:19" x14ac:dyDescent="0.25">
      <c r="S2807" s="1"/>
    </row>
    <row r="2808" spans="19:19" x14ac:dyDescent="0.25">
      <c r="S2808" s="1"/>
    </row>
    <row r="2809" spans="19:19" x14ac:dyDescent="0.25">
      <c r="S2809" s="1"/>
    </row>
    <row r="2810" spans="19:19" x14ac:dyDescent="0.25">
      <c r="S2810" s="1"/>
    </row>
    <row r="2811" spans="19:19" x14ac:dyDescent="0.25">
      <c r="S2811" s="1"/>
    </row>
    <row r="2812" spans="19:19" x14ac:dyDescent="0.25">
      <c r="S2812" s="1"/>
    </row>
    <row r="2813" spans="19:19" x14ac:dyDescent="0.25">
      <c r="S2813" s="1"/>
    </row>
    <row r="2814" spans="19:19" x14ac:dyDescent="0.25">
      <c r="S2814" s="1"/>
    </row>
    <row r="2815" spans="19:19" x14ac:dyDescent="0.25">
      <c r="S2815" s="1"/>
    </row>
    <row r="2816" spans="19:19" x14ac:dyDescent="0.25">
      <c r="S2816" s="1"/>
    </row>
    <row r="2817" spans="19:19" x14ac:dyDescent="0.25">
      <c r="S2817" s="1"/>
    </row>
    <row r="2818" spans="19:19" x14ac:dyDescent="0.25">
      <c r="S2818" s="1"/>
    </row>
    <row r="2819" spans="19:19" x14ac:dyDescent="0.25">
      <c r="S2819" s="1"/>
    </row>
    <row r="2820" spans="19:19" x14ac:dyDescent="0.25">
      <c r="S2820" s="1"/>
    </row>
    <row r="2821" spans="19:19" x14ac:dyDescent="0.25">
      <c r="S2821" s="1"/>
    </row>
    <row r="2822" spans="19:19" x14ac:dyDescent="0.25">
      <c r="S2822" s="1"/>
    </row>
    <row r="2823" spans="19:19" x14ac:dyDescent="0.25">
      <c r="S2823" s="1"/>
    </row>
    <row r="2824" spans="19:19" x14ac:dyDescent="0.25">
      <c r="S2824" s="1"/>
    </row>
    <row r="2825" spans="19:19" x14ac:dyDescent="0.25">
      <c r="S2825" s="1"/>
    </row>
    <row r="2826" spans="19:19" x14ac:dyDescent="0.25">
      <c r="S2826" s="1"/>
    </row>
    <row r="2827" spans="19:19" x14ac:dyDescent="0.25">
      <c r="S2827" s="1"/>
    </row>
    <row r="2828" spans="19:19" x14ac:dyDescent="0.25">
      <c r="S2828" s="1"/>
    </row>
    <row r="2829" spans="19:19" x14ac:dyDescent="0.25">
      <c r="S2829" s="1"/>
    </row>
    <row r="2830" spans="19:19" x14ac:dyDescent="0.25">
      <c r="S2830" s="1"/>
    </row>
    <row r="2831" spans="19:19" x14ac:dyDescent="0.25">
      <c r="S2831" s="1"/>
    </row>
    <row r="2832" spans="19:19" x14ac:dyDescent="0.25">
      <c r="S2832" s="1"/>
    </row>
    <row r="2833" spans="19:19" x14ac:dyDescent="0.25">
      <c r="S2833" s="1"/>
    </row>
    <row r="2834" spans="19:19" x14ac:dyDescent="0.25">
      <c r="S2834" s="1"/>
    </row>
    <row r="2835" spans="19:19" x14ac:dyDescent="0.25">
      <c r="S2835" s="1"/>
    </row>
    <row r="2836" spans="19:19" x14ac:dyDescent="0.25">
      <c r="S2836" s="1"/>
    </row>
    <row r="2837" spans="19:19" x14ac:dyDescent="0.25">
      <c r="S2837" s="1"/>
    </row>
    <row r="2838" spans="19:19" x14ac:dyDescent="0.25">
      <c r="S2838" s="1"/>
    </row>
    <row r="2839" spans="19:19" x14ac:dyDescent="0.25">
      <c r="S2839" s="1"/>
    </row>
    <row r="2840" spans="19:19" x14ac:dyDescent="0.25">
      <c r="S2840" s="1"/>
    </row>
    <row r="2841" spans="19:19" x14ac:dyDescent="0.25">
      <c r="S2841" s="1"/>
    </row>
    <row r="2842" spans="19:19" x14ac:dyDescent="0.25">
      <c r="S2842" s="1"/>
    </row>
    <row r="2843" spans="19:19" x14ac:dyDescent="0.25">
      <c r="S2843" s="1"/>
    </row>
    <row r="2844" spans="19:19" x14ac:dyDescent="0.25">
      <c r="S2844" s="1"/>
    </row>
    <row r="2845" spans="19:19" x14ac:dyDescent="0.25">
      <c r="S2845" s="1"/>
    </row>
    <row r="2846" spans="19:19" x14ac:dyDescent="0.25">
      <c r="S2846" s="1"/>
    </row>
    <row r="2847" spans="19:19" x14ac:dyDescent="0.25">
      <c r="S2847" s="1"/>
    </row>
    <row r="2848" spans="19:19" x14ac:dyDescent="0.25">
      <c r="S2848" s="1"/>
    </row>
    <row r="2849" spans="19:19" x14ac:dyDescent="0.25">
      <c r="S2849" s="1"/>
    </row>
    <row r="2850" spans="19:19" x14ac:dyDescent="0.25">
      <c r="S2850" s="1"/>
    </row>
    <row r="2851" spans="19:19" x14ac:dyDescent="0.25">
      <c r="S2851" s="1"/>
    </row>
    <row r="2852" spans="19:19" x14ac:dyDescent="0.25">
      <c r="S2852" s="1"/>
    </row>
    <row r="2853" spans="19:19" x14ac:dyDescent="0.25">
      <c r="S2853" s="1"/>
    </row>
    <row r="2854" spans="19:19" x14ac:dyDescent="0.25">
      <c r="S2854" s="1"/>
    </row>
    <row r="2855" spans="19:19" x14ac:dyDescent="0.25">
      <c r="S2855" s="1"/>
    </row>
    <row r="2856" spans="19:19" x14ac:dyDescent="0.25">
      <c r="S2856" s="1"/>
    </row>
    <row r="2857" spans="19:19" x14ac:dyDescent="0.25">
      <c r="S2857" s="1"/>
    </row>
    <row r="2858" spans="19:19" x14ac:dyDescent="0.25">
      <c r="S2858" s="1"/>
    </row>
    <row r="2859" spans="19:19" x14ac:dyDescent="0.25">
      <c r="S2859" s="1"/>
    </row>
    <row r="2860" spans="19:19" x14ac:dyDescent="0.25">
      <c r="S2860" s="1"/>
    </row>
    <row r="2861" spans="19:19" x14ac:dyDescent="0.25">
      <c r="S2861" s="1"/>
    </row>
    <row r="2862" spans="19:19" x14ac:dyDescent="0.25">
      <c r="S2862" s="1"/>
    </row>
    <row r="2863" spans="19:19" x14ac:dyDescent="0.25">
      <c r="S2863" s="1"/>
    </row>
    <row r="2864" spans="19:19" x14ac:dyDescent="0.25">
      <c r="S2864" s="1"/>
    </row>
    <row r="2865" spans="19:19" x14ac:dyDescent="0.25">
      <c r="S2865" s="1"/>
    </row>
    <row r="2866" spans="19:19" x14ac:dyDescent="0.25">
      <c r="S2866" s="1"/>
    </row>
    <row r="2867" spans="19:19" x14ac:dyDescent="0.25">
      <c r="S2867" s="1"/>
    </row>
    <row r="2868" spans="19:19" x14ac:dyDescent="0.25">
      <c r="S2868" s="1"/>
    </row>
    <row r="2869" spans="19:19" x14ac:dyDescent="0.25">
      <c r="S2869" s="1"/>
    </row>
    <row r="2870" spans="19:19" x14ac:dyDescent="0.25">
      <c r="S2870" s="1"/>
    </row>
    <row r="2871" spans="19:19" x14ac:dyDescent="0.25">
      <c r="S2871" s="1"/>
    </row>
    <row r="2872" spans="19:19" x14ac:dyDescent="0.25">
      <c r="S2872" s="1"/>
    </row>
    <row r="2873" spans="19:19" x14ac:dyDescent="0.25">
      <c r="S2873" s="1"/>
    </row>
    <row r="2874" spans="19:19" x14ac:dyDescent="0.25">
      <c r="S2874" s="1"/>
    </row>
    <row r="2875" spans="19:19" x14ac:dyDescent="0.25">
      <c r="S2875" s="1"/>
    </row>
    <row r="2876" spans="19:19" x14ac:dyDescent="0.25">
      <c r="S2876" s="1"/>
    </row>
    <row r="2877" spans="19:19" x14ac:dyDescent="0.25">
      <c r="S2877" s="1"/>
    </row>
    <row r="2878" spans="19:19" x14ac:dyDescent="0.25">
      <c r="S2878" s="1"/>
    </row>
    <row r="2879" spans="19:19" x14ac:dyDescent="0.25">
      <c r="S2879" s="1"/>
    </row>
    <row r="2880" spans="19:19" x14ac:dyDescent="0.25">
      <c r="S2880" s="1"/>
    </row>
    <row r="2881" spans="19:19" x14ac:dyDescent="0.25">
      <c r="S2881" s="1"/>
    </row>
    <row r="2882" spans="19:19" x14ac:dyDescent="0.25">
      <c r="S2882" s="1"/>
    </row>
    <row r="2883" spans="19:19" x14ac:dyDescent="0.25">
      <c r="S2883" s="1"/>
    </row>
    <row r="2884" spans="19:19" x14ac:dyDescent="0.25">
      <c r="S2884" s="1"/>
    </row>
    <row r="2885" spans="19:19" x14ac:dyDescent="0.25">
      <c r="S2885" s="1"/>
    </row>
    <row r="2886" spans="19:19" x14ac:dyDescent="0.25">
      <c r="S2886" s="1"/>
    </row>
    <row r="2887" spans="19:19" x14ac:dyDescent="0.25">
      <c r="S2887" s="1"/>
    </row>
    <row r="2888" spans="19:19" x14ac:dyDescent="0.25">
      <c r="S2888" s="1"/>
    </row>
    <row r="2889" spans="19:19" x14ac:dyDescent="0.25">
      <c r="S2889" s="1"/>
    </row>
    <row r="2890" spans="19:19" x14ac:dyDescent="0.25">
      <c r="S2890" s="1"/>
    </row>
    <row r="2891" spans="19:19" x14ac:dyDescent="0.25">
      <c r="S2891" s="1"/>
    </row>
    <row r="2892" spans="19:19" x14ac:dyDescent="0.25">
      <c r="S2892" s="1"/>
    </row>
    <row r="2893" spans="19:19" x14ac:dyDescent="0.25">
      <c r="S2893" s="1"/>
    </row>
    <row r="2894" spans="19:19" x14ac:dyDescent="0.25">
      <c r="S2894" s="1"/>
    </row>
    <row r="2895" spans="19:19" x14ac:dyDescent="0.25">
      <c r="S2895" s="1"/>
    </row>
    <row r="2896" spans="19:19" x14ac:dyDescent="0.25">
      <c r="S2896" s="1"/>
    </row>
    <row r="2897" spans="19:19" x14ac:dyDescent="0.25">
      <c r="S2897" s="1"/>
    </row>
    <row r="2898" spans="19:19" x14ac:dyDescent="0.25">
      <c r="S2898" s="1"/>
    </row>
    <row r="2899" spans="19:19" x14ac:dyDescent="0.25">
      <c r="S2899" s="1"/>
    </row>
    <row r="2900" spans="19:19" x14ac:dyDescent="0.25">
      <c r="S2900" s="1"/>
    </row>
    <row r="2901" spans="19:19" x14ac:dyDescent="0.25">
      <c r="S2901" s="1"/>
    </row>
    <row r="2902" spans="19:19" x14ac:dyDescent="0.25">
      <c r="S2902" s="1"/>
    </row>
    <row r="2903" spans="19:19" x14ac:dyDescent="0.25">
      <c r="S2903" s="1"/>
    </row>
    <row r="2904" spans="19:19" x14ac:dyDescent="0.25">
      <c r="S2904" s="1"/>
    </row>
    <row r="2905" spans="19:19" x14ac:dyDescent="0.25">
      <c r="S2905" s="1"/>
    </row>
    <row r="2906" spans="19:19" x14ac:dyDescent="0.25">
      <c r="S2906" s="1"/>
    </row>
    <row r="2907" spans="19:19" x14ac:dyDescent="0.25">
      <c r="S2907" s="1"/>
    </row>
    <row r="2908" spans="19:19" x14ac:dyDescent="0.25">
      <c r="S2908" s="1"/>
    </row>
    <row r="2909" spans="19:19" x14ac:dyDescent="0.25">
      <c r="S2909" s="1"/>
    </row>
    <row r="2910" spans="19:19" x14ac:dyDescent="0.25">
      <c r="S2910" s="1"/>
    </row>
    <row r="2911" spans="19:19" x14ac:dyDescent="0.25">
      <c r="S2911" s="1"/>
    </row>
    <row r="2912" spans="19:19" x14ac:dyDescent="0.25">
      <c r="S2912" s="1"/>
    </row>
    <row r="2913" spans="19:19" x14ac:dyDescent="0.25">
      <c r="S2913" s="1"/>
    </row>
    <row r="2914" spans="19:19" x14ac:dyDescent="0.25">
      <c r="S2914" s="1"/>
    </row>
    <row r="2915" spans="19:19" x14ac:dyDescent="0.25">
      <c r="S2915" s="1"/>
    </row>
    <row r="2916" spans="19:19" x14ac:dyDescent="0.25">
      <c r="S2916" s="1"/>
    </row>
    <row r="2917" spans="19:19" x14ac:dyDescent="0.25">
      <c r="S2917" s="1"/>
    </row>
    <row r="2918" spans="19:19" x14ac:dyDescent="0.25">
      <c r="S2918" s="1"/>
    </row>
    <row r="2919" spans="19:19" x14ac:dyDescent="0.25">
      <c r="S2919" s="1"/>
    </row>
    <row r="2920" spans="19:19" x14ac:dyDescent="0.25">
      <c r="S2920" s="1"/>
    </row>
    <row r="2921" spans="19:19" x14ac:dyDescent="0.25">
      <c r="S2921" s="1"/>
    </row>
    <row r="2922" spans="19:19" x14ac:dyDescent="0.25">
      <c r="S2922" s="1"/>
    </row>
    <row r="2923" spans="19:19" x14ac:dyDescent="0.25">
      <c r="S2923" s="1"/>
    </row>
    <row r="2924" spans="19:19" x14ac:dyDescent="0.25">
      <c r="S2924" s="1"/>
    </row>
    <row r="2925" spans="19:19" x14ac:dyDescent="0.25">
      <c r="S2925" s="1"/>
    </row>
    <row r="2926" spans="19:19" x14ac:dyDescent="0.25">
      <c r="S2926" s="1"/>
    </row>
    <row r="2927" spans="19:19" x14ac:dyDescent="0.25">
      <c r="S2927" s="1"/>
    </row>
    <row r="2928" spans="19:19" x14ac:dyDescent="0.25">
      <c r="S2928" s="1"/>
    </row>
    <row r="2929" spans="19:19" x14ac:dyDescent="0.25">
      <c r="S2929" s="1"/>
    </row>
    <row r="2930" spans="19:19" x14ac:dyDescent="0.25">
      <c r="S2930" s="1"/>
    </row>
    <row r="2931" spans="19:19" x14ac:dyDescent="0.25">
      <c r="S2931" s="1"/>
    </row>
    <row r="2932" spans="19:19" x14ac:dyDescent="0.25">
      <c r="S2932" s="1"/>
    </row>
    <row r="2933" spans="19:19" x14ac:dyDescent="0.25">
      <c r="S2933" s="1"/>
    </row>
    <row r="2934" spans="19:19" x14ac:dyDescent="0.25">
      <c r="S2934" s="1"/>
    </row>
    <row r="2935" spans="19:19" x14ac:dyDescent="0.25">
      <c r="S2935" s="1"/>
    </row>
    <row r="2936" spans="19:19" x14ac:dyDescent="0.25">
      <c r="S2936" s="1"/>
    </row>
    <row r="2937" spans="19:19" x14ac:dyDescent="0.25">
      <c r="S2937" s="1"/>
    </row>
    <row r="2938" spans="19:19" x14ac:dyDescent="0.25">
      <c r="S2938" s="1"/>
    </row>
    <row r="2939" spans="19:19" x14ac:dyDescent="0.25">
      <c r="S2939" s="1"/>
    </row>
    <row r="2940" spans="19:19" x14ac:dyDescent="0.25">
      <c r="S2940" s="1"/>
    </row>
    <row r="2941" spans="19:19" x14ac:dyDescent="0.25">
      <c r="S2941" s="1"/>
    </row>
    <row r="2942" spans="19:19" x14ac:dyDescent="0.25">
      <c r="S2942" s="1"/>
    </row>
    <row r="2943" spans="19:19" x14ac:dyDescent="0.25">
      <c r="S2943" s="1"/>
    </row>
    <row r="2944" spans="19:19" x14ac:dyDescent="0.25">
      <c r="S2944" s="1"/>
    </row>
    <row r="2945" spans="19:19" x14ac:dyDescent="0.25">
      <c r="S2945" s="1"/>
    </row>
    <row r="2946" spans="19:19" x14ac:dyDescent="0.25">
      <c r="S2946" s="1"/>
    </row>
    <row r="2947" spans="19:19" x14ac:dyDescent="0.25">
      <c r="S2947" s="1"/>
    </row>
    <row r="2948" spans="19:19" x14ac:dyDescent="0.25">
      <c r="S2948" s="1"/>
    </row>
    <row r="2949" spans="19:19" x14ac:dyDescent="0.25">
      <c r="S2949" s="1"/>
    </row>
    <row r="2950" spans="19:19" x14ac:dyDescent="0.25">
      <c r="S2950" s="1"/>
    </row>
    <row r="2951" spans="19:19" x14ac:dyDescent="0.25">
      <c r="S2951" s="1"/>
    </row>
    <row r="2952" spans="19:19" x14ac:dyDescent="0.25">
      <c r="S2952" s="1"/>
    </row>
    <row r="2953" spans="19:19" x14ac:dyDescent="0.25">
      <c r="S2953" s="1"/>
    </row>
    <row r="2954" spans="19:19" x14ac:dyDescent="0.25">
      <c r="S2954" s="1"/>
    </row>
    <row r="2955" spans="19:19" x14ac:dyDescent="0.25">
      <c r="S2955" s="1"/>
    </row>
    <row r="2956" spans="19:19" x14ac:dyDescent="0.25">
      <c r="S2956" s="1"/>
    </row>
    <row r="2957" spans="19:19" x14ac:dyDescent="0.25">
      <c r="S2957" s="1"/>
    </row>
    <row r="2958" spans="19:19" x14ac:dyDescent="0.25">
      <c r="S2958" s="1"/>
    </row>
    <row r="2959" spans="19:19" x14ac:dyDescent="0.25">
      <c r="S2959" s="1"/>
    </row>
    <row r="2960" spans="19:19" x14ac:dyDescent="0.25">
      <c r="S2960" s="1"/>
    </row>
    <row r="2961" spans="19:19" x14ac:dyDescent="0.25">
      <c r="S2961" s="1"/>
    </row>
    <row r="2962" spans="19:19" x14ac:dyDescent="0.25">
      <c r="S2962" s="1"/>
    </row>
    <row r="2963" spans="19:19" x14ac:dyDescent="0.25">
      <c r="S2963" s="1"/>
    </row>
    <row r="2964" spans="19:19" x14ac:dyDescent="0.25">
      <c r="S2964" s="1"/>
    </row>
    <row r="2965" spans="19:19" x14ac:dyDescent="0.25">
      <c r="S2965" s="1"/>
    </row>
    <row r="2966" spans="19:19" x14ac:dyDescent="0.25">
      <c r="S2966" s="1"/>
    </row>
    <row r="2967" spans="19:19" x14ac:dyDescent="0.25">
      <c r="S2967" s="1"/>
    </row>
    <row r="2968" spans="19:19" x14ac:dyDescent="0.25">
      <c r="S2968" s="1"/>
    </row>
    <row r="2969" spans="19:19" x14ac:dyDescent="0.25">
      <c r="S2969" s="1"/>
    </row>
    <row r="2970" spans="19:19" x14ac:dyDescent="0.25">
      <c r="S2970" s="1"/>
    </row>
    <row r="2971" spans="19:19" x14ac:dyDescent="0.25">
      <c r="S2971" s="1"/>
    </row>
    <row r="2972" spans="19:19" x14ac:dyDescent="0.25">
      <c r="S2972" s="1"/>
    </row>
    <row r="2973" spans="19:19" x14ac:dyDescent="0.25">
      <c r="S2973" s="1"/>
    </row>
    <row r="2974" spans="19:19" x14ac:dyDescent="0.25">
      <c r="S2974" s="1"/>
    </row>
    <row r="2975" spans="19:19" x14ac:dyDescent="0.25">
      <c r="S2975" s="1"/>
    </row>
    <row r="2976" spans="19:19" x14ac:dyDescent="0.25">
      <c r="S2976" s="1"/>
    </row>
    <row r="2977" spans="19:19" x14ac:dyDescent="0.25">
      <c r="S2977" s="1"/>
    </row>
    <row r="2978" spans="19:19" x14ac:dyDescent="0.25">
      <c r="S2978" s="1"/>
    </row>
    <row r="2979" spans="19:19" x14ac:dyDescent="0.25">
      <c r="S2979" s="1"/>
    </row>
    <row r="2980" spans="19:19" x14ac:dyDescent="0.25">
      <c r="S2980" s="1"/>
    </row>
    <row r="2981" spans="19:19" x14ac:dyDescent="0.25">
      <c r="S2981" s="1"/>
    </row>
    <row r="2982" spans="19:19" x14ac:dyDescent="0.25">
      <c r="S2982" s="1"/>
    </row>
    <row r="2983" spans="19:19" x14ac:dyDescent="0.25">
      <c r="S2983" s="1"/>
    </row>
    <row r="2984" spans="19:19" x14ac:dyDescent="0.25">
      <c r="S2984" s="1"/>
    </row>
    <row r="2985" spans="19:19" x14ac:dyDescent="0.25">
      <c r="S2985" s="1"/>
    </row>
    <row r="2986" spans="19:19" x14ac:dyDescent="0.25">
      <c r="S2986" s="1"/>
    </row>
    <row r="2987" spans="19:19" x14ac:dyDescent="0.25">
      <c r="S2987" s="1"/>
    </row>
    <row r="2988" spans="19:19" x14ac:dyDescent="0.25">
      <c r="S2988" s="1"/>
    </row>
    <row r="2989" spans="19:19" x14ac:dyDescent="0.25">
      <c r="S2989" s="1"/>
    </row>
    <row r="2990" spans="19:19" x14ac:dyDescent="0.25">
      <c r="S2990" s="1"/>
    </row>
    <row r="2991" spans="19:19" x14ac:dyDescent="0.25">
      <c r="S2991" s="1"/>
    </row>
    <row r="2992" spans="19:19" x14ac:dyDescent="0.25">
      <c r="S2992" s="1"/>
    </row>
    <row r="2993" spans="19:19" x14ac:dyDescent="0.25">
      <c r="S2993" s="1"/>
    </row>
    <row r="2994" spans="19:19" x14ac:dyDescent="0.25">
      <c r="S2994" s="1"/>
    </row>
    <row r="2995" spans="19:19" x14ac:dyDescent="0.25">
      <c r="S2995" s="1"/>
    </row>
    <row r="2996" spans="19:19" x14ac:dyDescent="0.25">
      <c r="S2996" s="1"/>
    </row>
    <row r="2997" spans="19:19" x14ac:dyDescent="0.25">
      <c r="S2997" s="1"/>
    </row>
    <row r="2998" spans="19:19" x14ac:dyDescent="0.25">
      <c r="S2998" s="1"/>
    </row>
    <row r="2999" spans="19:19" x14ac:dyDescent="0.25">
      <c r="S2999" s="1"/>
    </row>
    <row r="3000" spans="19:19" x14ac:dyDescent="0.25">
      <c r="S3000" s="1"/>
    </row>
    <row r="3001" spans="19:19" x14ac:dyDescent="0.25">
      <c r="S3001" s="1"/>
    </row>
    <row r="3002" spans="19:19" x14ac:dyDescent="0.25">
      <c r="S3002" s="1"/>
    </row>
    <row r="3003" spans="19:19" x14ac:dyDescent="0.25">
      <c r="S3003" s="1"/>
    </row>
    <row r="3004" spans="19:19" x14ac:dyDescent="0.25">
      <c r="S3004" s="1"/>
    </row>
    <row r="3005" spans="19:19" x14ac:dyDescent="0.25">
      <c r="S3005" s="1"/>
    </row>
    <row r="3006" spans="19:19" x14ac:dyDescent="0.25">
      <c r="S3006" s="1"/>
    </row>
    <row r="3007" spans="19:19" x14ac:dyDescent="0.25">
      <c r="S3007" s="1"/>
    </row>
    <row r="3008" spans="19:19" x14ac:dyDescent="0.25">
      <c r="S3008" s="1"/>
    </row>
    <row r="3009" spans="19:19" x14ac:dyDescent="0.25">
      <c r="S3009" s="1"/>
    </row>
    <row r="3010" spans="19:19" x14ac:dyDescent="0.25">
      <c r="S3010" s="1"/>
    </row>
    <row r="3011" spans="19:19" x14ac:dyDescent="0.25">
      <c r="S3011" s="1"/>
    </row>
    <row r="3012" spans="19:19" x14ac:dyDescent="0.25">
      <c r="S3012" s="1"/>
    </row>
    <row r="3013" spans="19:19" x14ac:dyDescent="0.25">
      <c r="S3013" s="1"/>
    </row>
    <row r="3014" spans="19:19" x14ac:dyDescent="0.25">
      <c r="S3014" s="1"/>
    </row>
    <row r="3015" spans="19:19" x14ac:dyDescent="0.25">
      <c r="S3015" s="1"/>
    </row>
    <row r="3016" spans="19:19" x14ac:dyDescent="0.25">
      <c r="S3016" s="1"/>
    </row>
    <row r="3017" spans="19:19" x14ac:dyDescent="0.25">
      <c r="S3017" s="1"/>
    </row>
    <row r="3018" spans="19:19" x14ac:dyDescent="0.25">
      <c r="S3018" s="1"/>
    </row>
    <row r="3019" spans="19:19" x14ac:dyDescent="0.25">
      <c r="S3019" s="1"/>
    </row>
    <row r="3020" spans="19:19" x14ac:dyDescent="0.25">
      <c r="S3020" s="1"/>
    </row>
    <row r="3021" spans="19:19" x14ac:dyDescent="0.25">
      <c r="S3021" s="1"/>
    </row>
    <row r="3022" spans="19:19" x14ac:dyDescent="0.25">
      <c r="S3022" s="1"/>
    </row>
    <row r="3023" spans="19:19" x14ac:dyDescent="0.25">
      <c r="S3023" s="1"/>
    </row>
    <row r="3024" spans="19:19" x14ac:dyDescent="0.25">
      <c r="S3024" s="1"/>
    </row>
    <row r="3025" spans="19:19" x14ac:dyDescent="0.25">
      <c r="S3025" s="1"/>
    </row>
    <row r="3026" spans="19:19" x14ac:dyDescent="0.25">
      <c r="S3026" s="1"/>
    </row>
    <row r="3027" spans="19:19" x14ac:dyDescent="0.25">
      <c r="S3027" s="1"/>
    </row>
    <row r="3028" spans="19:19" x14ac:dyDescent="0.25">
      <c r="S3028" s="1"/>
    </row>
    <row r="3029" spans="19:19" x14ac:dyDescent="0.25">
      <c r="S3029" s="1"/>
    </row>
    <row r="3030" spans="19:19" x14ac:dyDescent="0.25">
      <c r="S3030" s="1"/>
    </row>
    <row r="3031" spans="19:19" x14ac:dyDescent="0.25">
      <c r="S3031" s="1"/>
    </row>
    <row r="3032" spans="19:19" x14ac:dyDescent="0.25">
      <c r="S3032" s="1"/>
    </row>
    <row r="3033" spans="19:19" x14ac:dyDescent="0.25">
      <c r="S3033" s="1"/>
    </row>
    <row r="3034" spans="19:19" x14ac:dyDescent="0.25">
      <c r="S3034" s="1"/>
    </row>
    <row r="3035" spans="19:19" x14ac:dyDescent="0.25">
      <c r="S3035" s="1"/>
    </row>
    <row r="3036" spans="19:19" x14ac:dyDescent="0.25">
      <c r="S3036" s="1"/>
    </row>
    <row r="3037" spans="19:19" x14ac:dyDescent="0.25">
      <c r="S3037" s="1"/>
    </row>
    <row r="3038" spans="19:19" x14ac:dyDescent="0.25">
      <c r="S3038" s="1"/>
    </row>
    <row r="3039" spans="19:19" x14ac:dyDescent="0.25">
      <c r="S3039" s="1"/>
    </row>
    <row r="3040" spans="19:19" x14ac:dyDescent="0.25">
      <c r="S3040" s="1"/>
    </row>
    <row r="3041" spans="19:19" x14ac:dyDescent="0.25">
      <c r="S3041" s="1"/>
    </row>
    <row r="3042" spans="19:19" x14ac:dyDescent="0.25">
      <c r="S3042" s="1"/>
    </row>
    <row r="3043" spans="19:19" x14ac:dyDescent="0.25">
      <c r="S3043" s="1"/>
    </row>
    <row r="3044" spans="19:19" x14ac:dyDescent="0.25">
      <c r="S3044" s="1"/>
    </row>
    <row r="3045" spans="19:19" x14ac:dyDescent="0.25">
      <c r="S3045" s="1"/>
    </row>
    <row r="3046" spans="19:19" x14ac:dyDescent="0.25">
      <c r="S3046" s="1"/>
    </row>
    <row r="3047" spans="19:19" x14ac:dyDescent="0.25">
      <c r="S3047" s="1"/>
    </row>
    <row r="3048" spans="19:19" x14ac:dyDescent="0.25">
      <c r="S3048" s="1"/>
    </row>
    <row r="3049" spans="19:19" x14ac:dyDescent="0.25">
      <c r="S3049" s="1"/>
    </row>
    <row r="3050" spans="19:19" x14ac:dyDescent="0.25">
      <c r="S3050" s="1"/>
    </row>
    <row r="3051" spans="19:19" x14ac:dyDescent="0.25">
      <c r="S3051" s="1"/>
    </row>
    <row r="3052" spans="19:19" x14ac:dyDescent="0.25">
      <c r="S3052" s="1"/>
    </row>
    <row r="3053" spans="19:19" x14ac:dyDescent="0.25">
      <c r="S3053" s="1"/>
    </row>
    <row r="3054" spans="19:19" x14ac:dyDescent="0.25">
      <c r="S3054" s="1"/>
    </row>
    <row r="3055" spans="19:19" x14ac:dyDescent="0.25">
      <c r="S3055" s="1"/>
    </row>
    <row r="3056" spans="19:19" x14ac:dyDescent="0.25">
      <c r="S3056" s="1"/>
    </row>
    <row r="3057" spans="19:19" x14ac:dyDescent="0.25">
      <c r="S3057" s="1"/>
    </row>
    <row r="3058" spans="19:19" x14ac:dyDescent="0.25">
      <c r="S3058" s="1"/>
    </row>
    <row r="3059" spans="19:19" x14ac:dyDescent="0.25">
      <c r="S3059" s="1"/>
    </row>
    <row r="3060" spans="19:19" x14ac:dyDescent="0.25">
      <c r="S3060" s="1"/>
    </row>
    <row r="3061" spans="19:19" x14ac:dyDescent="0.25">
      <c r="S3061" s="1"/>
    </row>
    <row r="3062" spans="19:19" x14ac:dyDescent="0.25">
      <c r="S3062" s="1"/>
    </row>
    <row r="3063" spans="19:19" x14ac:dyDescent="0.25">
      <c r="S3063" s="1"/>
    </row>
    <row r="3064" spans="19:19" x14ac:dyDescent="0.25">
      <c r="S3064" s="1"/>
    </row>
    <row r="3065" spans="19:19" x14ac:dyDescent="0.25">
      <c r="S3065" s="1"/>
    </row>
    <row r="3066" spans="19:19" x14ac:dyDescent="0.25">
      <c r="S3066" s="1"/>
    </row>
    <row r="3067" spans="19:19" x14ac:dyDescent="0.25">
      <c r="S3067" s="1"/>
    </row>
    <row r="3068" spans="19:19" x14ac:dyDescent="0.25">
      <c r="S3068" s="1"/>
    </row>
    <row r="3069" spans="19:19" x14ac:dyDescent="0.25">
      <c r="S3069" s="1"/>
    </row>
    <row r="3070" spans="19:19" x14ac:dyDescent="0.25">
      <c r="S3070" s="1"/>
    </row>
    <row r="3071" spans="19:19" x14ac:dyDescent="0.25">
      <c r="S3071" s="1"/>
    </row>
    <row r="3072" spans="19:19" x14ac:dyDescent="0.25">
      <c r="S3072" s="1"/>
    </row>
    <row r="3073" spans="19:19" x14ac:dyDescent="0.25">
      <c r="S3073" s="1"/>
    </row>
    <row r="3074" spans="19:19" x14ac:dyDescent="0.25">
      <c r="S3074" s="1"/>
    </row>
    <row r="3075" spans="19:19" x14ac:dyDescent="0.25">
      <c r="S3075" s="1"/>
    </row>
    <row r="3076" spans="19:19" x14ac:dyDescent="0.25">
      <c r="S3076" s="1"/>
    </row>
    <row r="3077" spans="19:19" x14ac:dyDescent="0.25">
      <c r="S3077" s="1"/>
    </row>
    <row r="3078" spans="19:19" x14ac:dyDescent="0.25">
      <c r="S3078" s="1"/>
    </row>
    <row r="3079" spans="19:19" x14ac:dyDescent="0.25">
      <c r="S3079" s="1"/>
    </row>
    <row r="3080" spans="19:19" x14ac:dyDescent="0.25">
      <c r="S3080" s="1"/>
    </row>
    <row r="3081" spans="19:19" x14ac:dyDescent="0.25">
      <c r="S3081" s="1"/>
    </row>
    <row r="3082" spans="19:19" x14ac:dyDescent="0.25">
      <c r="S3082" s="1"/>
    </row>
    <row r="3083" spans="19:19" x14ac:dyDescent="0.25">
      <c r="S3083" s="1"/>
    </row>
    <row r="3084" spans="19:19" x14ac:dyDescent="0.25">
      <c r="S3084" s="1"/>
    </row>
    <row r="3085" spans="19:19" x14ac:dyDescent="0.25">
      <c r="S3085" s="1"/>
    </row>
    <row r="3086" spans="19:19" x14ac:dyDescent="0.25">
      <c r="S3086" s="1"/>
    </row>
    <row r="3087" spans="19:19" x14ac:dyDescent="0.25">
      <c r="S3087" s="1"/>
    </row>
    <row r="3088" spans="19:19" x14ac:dyDescent="0.25">
      <c r="S3088" s="1"/>
    </row>
    <row r="3089" spans="19:19" x14ac:dyDescent="0.25">
      <c r="S3089" s="1"/>
    </row>
    <row r="3090" spans="19:19" x14ac:dyDescent="0.25">
      <c r="S3090" s="1"/>
    </row>
    <row r="3091" spans="19:19" x14ac:dyDescent="0.25">
      <c r="S3091" s="1"/>
    </row>
    <row r="3092" spans="19:19" x14ac:dyDescent="0.25">
      <c r="S3092" s="1"/>
    </row>
    <row r="3093" spans="19:19" x14ac:dyDescent="0.25">
      <c r="S3093" s="1"/>
    </row>
    <row r="3094" spans="19:19" x14ac:dyDescent="0.25">
      <c r="S3094" s="1"/>
    </row>
    <row r="3095" spans="19:19" x14ac:dyDescent="0.25">
      <c r="S3095" s="1"/>
    </row>
    <row r="3096" spans="19:19" x14ac:dyDescent="0.25">
      <c r="S3096" s="1"/>
    </row>
    <row r="3097" spans="19:19" x14ac:dyDescent="0.25">
      <c r="S3097" s="1"/>
    </row>
    <row r="3098" spans="19:19" x14ac:dyDescent="0.25">
      <c r="S3098" s="1"/>
    </row>
    <row r="3099" spans="19:19" x14ac:dyDescent="0.25">
      <c r="S3099" s="1"/>
    </row>
    <row r="3100" spans="19:19" x14ac:dyDescent="0.25">
      <c r="S3100" s="1"/>
    </row>
    <row r="3101" spans="19:19" x14ac:dyDescent="0.25">
      <c r="S3101" s="1"/>
    </row>
    <row r="3102" spans="19:19" x14ac:dyDescent="0.25">
      <c r="S3102" s="1"/>
    </row>
    <row r="3103" spans="19:19" x14ac:dyDescent="0.25">
      <c r="S3103" s="1"/>
    </row>
    <row r="3104" spans="19:19" x14ac:dyDescent="0.25">
      <c r="S3104" s="1"/>
    </row>
    <row r="3105" spans="19:19" x14ac:dyDescent="0.25">
      <c r="S3105" s="1"/>
    </row>
    <row r="3106" spans="19:19" x14ac:dyDescent="0.25">
      <c r="S3106" s="1"/>
    </row>
    <row r="3107" spans="19:19" x14ac:dyDescent="0.25">
      <c r="S3107" s="1"/>
    </row>
    <row r="3108" spans="19:19" x14ac:dyDescent="0.25">
      <c r="S3108" s="1"/>
    </row>
    <row r="3109" spans="19:19" x14ac:dyDescent="0.25">
      <c r="S3109" s="1"/>
    </row>
    <row r="3110" spans="19:19" x14ac:dyDescent="0.25">
      <c r="S3110" s="1"/>
    </row>
    <row r="3111" spans="19:19" x14ac:dyDescent="0.25">
      <c r="S3111" s="1"/>
    </row>
    <row r="3112" spans="19:19" x14ac:dyDescent="0.25">
      <c r="S3112" s="1"/>
    </row>
    <row r="3113" spans="19:19" x14ac:dyDescent="0.25">
      <c r="S3113" s="1"/>
    </row>
    <row r="3114" spans="19:19" x14ac:dyDescent="0.25">
      <c r="S3114" s="1"/>
    </row>
    <row r="3115" spans="19:19" x14ac:dyDescent="0.25">
      <c r="S3115" s="1"/>
    </row>
    <row r="3116" spans="19:19" x14ac:dyDescent="0.25">
      <c r="S3116" s="1"/>
    </row>
    <row r="3117" spans="19:19" x14ac:dyDescent="0.25">
      <c r="S3117" s="1"/>
    </row>
    <row r="3118" spans="19:19" x14ac:dyDescent="0.25">
      <c r="S3118" s="1"/>
    </row>
    <row r="3119" spans="19:19" x14ac:dyDescent="0.25">
      <c r="S3119" s="1"/>
    </row>
    <row r="3120" spans="19:19" x14ac:dyDescent="0.25">
      <c r="S3120" s="1"/>
    </row>
    <row r="3121" spans="19:19" x14ac:dyDescent="0.25">
      <c r="S3121" s="1"/>
    </row>
    <row r="3122" spans="19:19" x14ac:dyDescent="0.25">
      <c r="S3122" s="1"/>
    </row>
    <row r="3123" spans="19:19" x14ac:dyDescent="0.25">
      <c r="S3123" s="1"/>
    </row>
    <row r="3124" spans="19:19" x14ac:dyDescent="0.25">
      <c r="S3124" s="1"/>
    </row>
    <row r="3125" spans="19:19" x14ac:dyDescent="0.25">
      <c r="S3125" s="1"/>
    </row>
    <row r="3126" spans="19:19" x14ac:dyDescent="0.25">
      <c r="S3126" s="1"/>
    </row>
    <row r="3127" spans="19:19" x14ac:dyDescent="0.25">
      <c r="S3127" s="1"/>
    </row>
    <row r="3128" spans="19:19" x14ac:dyDescent="0.25">
      <c r="S3128" s="1"/>
    </row>
    <row r="3129" spans="19:19" x14ac:dyDescent="0.25">
      <c r="S3129" s="1"/>
    </row>
    <row r="3130" spans="19:19" x14ac:dyDescent="0.25">
      <c r="S3130" s="1"/>
    </row>
    <row r="3131" spans="19:19" x14ac:dyDescent="0.25">
      <c r="S3131" s="1"/>
    </row>
    <row r="3132" spans="19:19" x14ac:dyDescent="0.25">
      <c r="S3132" s="1"/>
    </row>
    <row r="3133" spans="19:19" x14ac:dyDescent="0.25">
      <c r="S3133" s="1"/>
    </row>
    <row r="3134" spans="19:19" x14ac:dyDescent="0.25">
      <c r="S3134" s="1"/>
    </row>
    <row r="3135" spans="19:19" x14ac:dyDescent="0.25">
      <c r="S3135" s="1"/>
    </row>
    <row r="3136" spans="19:19" x14ac:dyDescent="0.25">
      <c r="S3136" s="1"/>
    </row>
    <row r="3137" spans="19:19" x14ac:dyDescent="0.25">
      <c r="S3137" s="1"/>
    </row>
    <row r="3138" spans="19:19" x14ac:dyDescent="0.25">
      <c r="S3138" s="1"/>
    </row>
    <row r="3139" spans="19:19" x14ac:dyDescent="0.25">
      <c r="S3139" s="1"/>
    </row>
    <row r="3140" spans="19:19" x14ac:dyDescent="0.25">
      <c r="S3140" s="1"/>
    </row>
    <row r="3141" spans="19:19" x14ac:dyDescent="0.25">
      <c r="S3141" s="1"/>
    </row>
    <row r="3142" spans="19:19" x14ac:dyDescent="0.25">
      <c r="S3142" s="1"/>
    </row>
    <row r="3143" spans="19:19" x14ac:dyDescent="0.25">
      <c r="S3143" s="1"/>
    </row>
    <row r="3144" spans="19:19" x14ac:dyDescent="0.25">
      <c r="S3144" s="1"/>
    </row>
    <row r="3145" spans="19:19" x14ac:dyDescent="0.25">
      <c r="S3145" s="1"/>
    </row>
    <row r="3146" spans="19:19" x14ac:dyDescent="0.25">
      <c r="S3146" s="1"/>
    </row>
    <row r="3147" spans="19:19" x14ac:dyDescent="0.25">
      <c r="S3147" s="1"/>
    </row>
    <row r="3148" spans="19:19" x14ac:dyDescent="0.25">
      <c r="S3148" s="1"/>
    </row>
    <row r="3149" spans="19:19" x14ac:dyDescent="0.25">
      <c r="S3149" s="1"/>
    </row>
    <row r="3150" spans="19:19" x14ac:dyDescent="0.25">
      <c r="S3150" s="1"/>
    </row>
    <row r="3151" spans="19:19" x14ac:dyDescent="0.25">
      <c r="S3151" s="1"/>
    </row>
    <row r="3152" spans="19:19" x14ac:dyDescent="0.25">
      <c r="S3152" s="1"/>
    </row>
    <row r="3153" spans="19:19" x14ac:dyDescent="0.25">
      <c r="S3153" s="1"/>
    </row>
    <row r="3154" spans="19:19" x14ac:dyDescent="0.25">
      <c r="S3154" s="1"/>
    </row>
    <row r="3155" spans="19:19" x14ac:dyDescent="0.25">
      <c r="S3155" s="1"/>
    </row>
    <row r="3156" spans="19:19" x14ac:dyDescent="0.25">
      <c r="S3156" s="1"/>
    </row>
    <row r="3157" spans="19:19" x14ac:dyDescent="0.25">
      <c r="S3157" s="1"/>
    </row>
    <row r="3158" spans="19:19" x14ac:dyDescent="0.25">
      <c r="S3158" s="1"/>
    </row>
    <row r="3159" spans="19:19" x14ac:dyDescent="0.25">
      <c r="S3159" s="1"/>
    </row>
    <row r="3160" spans="19:19" x14ac:dyDescent="0.25">
      <c r="S3160" s="1"/>
    </row>
    <row r="3161" spans="19:19" x14ac:dyDescent="0.25">
      <c r="S3161" s="1"/>
    </row>
    <row r="3162" spans="19:19" x14ac:dyDescent="0.25">
      <c r="S3162" s="1"/>
    </row>
    <row r="3163" spans="19:19" x14ac:dyDescent="0.25">
      <c r="S3163" s="1"/>
    </row>
    <row r="3164" spans="19:19" x14ac:dyDescent="0.25">
      <c r="S3164" s="1"/>
    </row>
    <row r="3165" spans="19:19" x14ac:dyDescent="0.25">
      <c r="S3165" s="1"/>
    </row>
    <row r="3166" spans="19:19" x14ac:dyDescent="0.25">
      <c r="S3166" s="1"/>
    </row>
    <row r="3167" spans="19:19" x14ac:dyDescent="0.25">
      <c r="S3167" s="1"/>
    </row>
    <row r="3168" spans="19:19" x14ac:dyDescent="0.25">
      <c r="S3168" s="1"/>
    </row>
    <row r="3169" spans="19:19" x14ac:dyDescent="0.25">
      <c r="S3169" s="1"/>
    </row>
    <row r="3170" spans="19:19" x14ac:dyDescent="0.25">
      <c r="S3170" s="1"/>
    </row>
    <row r="3171" spans="19:19" x14ac:dyDescent="0.25">
      <c r="S3171" s="1"/>
    </row>
    <row r="3172" spans="19:19" x14ac:dyDescent="0.25">
      <c r="S3172" s="1"/>
    </row>
    <row r="3173" spans="19:19" x14ac:dyDescent="0.25">
      <c r="S3173" s="1"/>
    </row>
    <row r="3174" spans="19:19" x14ac:dyDescent="0.25">
      <c r="S3174" s="1"/>
    </row>
    <row r="3175" spans="19:19" x14ac:dyDescent="0.25">
      <c r="S3175" s="1"/>
    </row>
    <row r="3176" spans="19:19" x14ac:dyDescent="0.25">
      <c r="S3176" s="1"/>
    </row>
    <row r="3177" spans="19:19" x14ac:dyDescent="0.25">
      <c r="S3177" s="1"/>
    </row>
    <row r="3178" spans="19:19" x14ac:dyDescent="0.25">
      <c r="S3178" s="1"/>
    </row>
    <row r="3179" spans="19:19" x14ac:dyDescent="0.25">
      <c r="S3179" s="1"/>
    </row>
    <row r="3180" spans="19:19" x14ac:dyDescent="0.25">
      <c r="S3180" s="1"/>
    </row>
    <row r="3181" spans="19:19" x14ac:dyDescent="0.25">
      <c r="S3181" s="1"/>
    </row>
    <row r="3182" spans="19:19" x14ac:dyDescent="0.25">
      <c r="S3182" s="1"/>
    </row>
    <row r="3183" spans="19:19" x14ac:dyDescent="0.25">
      <c r="S3183" s="1"/>
    </row>
    <row r="3184" spans="19:19" x14ac:dyDescent="0.25">
      <c r="S3184" s="1"/>
    </row>
    <row r="3185" spans="19:19" x14ac:dyDescent="0.25">
      <c r="S3185" s="1"/>
    </row>
    <row r="3186" spans="19:19" x14ac:dyDescent="0.25">
      <c r="S3186" s="1"/>
    </row>
    <row r="3187" spans="19:19" x14ac:dyDescent="0.25">
      <c r="S3187" s="1"/>
    </row>
    <row r="3188" spans="19:19" x14ac:dyDescent="0.25">
      <c r="S3188" s="1"/>
    </row>
    <row r="3189" spans="19:19" x14ac:dyDescent="0.25">
      <c r="S3189" s="1"/>
    </row>
    <row r="3190" spans="19:19" x14ac:dyDescent="0.25">
      <c r="S3190" s="1"/>
    </row>
    <row r="3191" spans="19:19" x14ac:dyDescent="0.25">
      <c r="S3191" s="1"/>
    </row>
    <row r="3192" spans="19:19" x14ac:dyDescent="0.25">
      <c r="S3192" s="1"/>
    </row>
    <row r="3193" spans="19:19" x14ac:dyDescent="0.25">
      <c r="S3193" s="1"/>
    </row>
    <row r="3194" spans="19:19" x14ac:dyDescent="0.25">
      <c r="S3194" s="1"/>
    </row>
    <row r="3195" spans="19:19" x14ac:dyDescent="0.25">
      <c r="S3195" s="1"/>
    </row>
    <row r="3196" spans="19:19" x14ac:dyDescent="0.25">
      <c r="S3196" s="1"/>
    </row>
    <row r="3197" spans="19:19" x14ac:dyDescent="0.25">
      <c r="S3197" s="1"/>
    </row>
    <row r="3198" spans="19:19" x14ac:dyDescent="0.25">
      <c r="S3198" s="1"/>
    </row>
    <row r="3199" spans="19:19" x14ac:dyDescent="0.25">
      <c r="S3199" s="1"/>
    </row>
    <row r="3200" spans="19:19" x14ac:dyDescent="0.25">
      <c r="S3200" s="1"/>
    </row>
    <row r="3201" spans="19:19" x14ac:dyDescent="0.25">
      <c r="S3201" s="1"/>
    </row>
    <row r="3202" spans="19:19" x14ac:dyDescent="0.25">
      <c r="S3202" s="1"/>
    </row>
    <row r="3203" spans="19:19" x14ac:dyDescent="0.25">
      <c r="S3203" s="1"/>
    </row>
    <row r="3204" spans="19:19" x14ac:dyDescent="0.25">
      <c r="S3204" s="1"/>
    </row>
    <row r="3205" spans="19:19" x14ac:dyDescent="0.25">
      <c r="S3205" s="1"/>
    </row>
    <row r="3206" spans="19:19" x14ac:dyDescent="0.25">
      <c r="S3206" s="1"/>
    </row>
    <row r="3207" spans="19:19" x14ac:dyDescent="0.25">
      <c r="S3207" s="1"/>
    </row>
    <row r="3208" spans="19:19" x14ac:dyDescent="0.25">
      <c r="S3208" s="1"/>
    </row>
    <row r="3209" spans="19:19" x14ac:dyDescent="0.25">
      <c r="S3209" s="1"/>
    </row>
    <row r="3210" spans="19:19" x14ac:dyDescent="0.25">
      <c r="S3210" s="1"/>
    </row>
    <row r="3211" spans="19:19" x14ac:dyDescent="0.25">
      <c r="S3211" s="1"/>
    </row>
    <row r="3212" spans="19:19" x14ac:dyDescent="0.25">
      <c r="S3212" s="1"/>
    </row>
    <row r="3213" spans="19:19" x14ac:dyDescent="0.25">
      <c r="S3213" s="1"/>
    </row>
    <row r="3214" spans="19:19" x14ac:dyDescent="0.25">
      <c r="S3214" s="1"/>
    </row>
    <row r="3215" spans="19:19" x14ac:dyDescent="0.25">
      <c r="S3215" s="1"/>
    </row>
    <row r="3216" spans="19:19" x14ac:dyDescent="0.25">
      <c r="S3216" s="1"/>
    </row>
    <row r="3217" spans="19:19" x14ac:dyDescent="0.25">
      <c r="S3217" s="1"/>
    </row>
    <row r="3218" spans="19:19" x14ac:dyDescent="0.25">
      <c r="S3218" s="1"/>
    </row>
    <row r="3219" spans="19:19" x14ac:dyDescent="0.25">
      <c r="S3219" s="1"/>
    </row>
    <row r="3220" spans="19:19" x14ac:dyDescent="0.25">
      <c r="S3220" s="1"/>
    </row>
    <row r="3221" spans="19:19" x14ac:dyDescent="0.25">
      <c r="S3221" s="1"/>
    </row>
    <row r="3222" spans="19:19" x14ac:dyDescent="0.25">
      <c r="S3222" s="1"/>
    </row>
    <row r="3223" spans="19:19" x14ac:dyDescent="0.25">
      <c r="S3223" s="1"/>
    </row>
    <row r="3224" spans="19:19" x14ac:dyDescent="0.25">
      <c r="S3224" s="1"/>
    </row>
    <row r="3225" spans="19:19" x14ac:dyDescent="0.25">
      <c r="S3225" s="1"/>
    </row>
    <row r="3226" spans="19:19" x14ac:dyDescent="0.25">
      <c r="S3226" s="1"/>
    </row>
    <row r="3227" spans="19:19" x14ac:dyDescent="0.25">
      <c r="S3227" s="1"/>
    </row>
    <row r="3228" spans="19:19" x14ac:dyDescent="0.25">
      <c r="S3228" s="1"/>
    </row>
    <row r="3229" spans="19:19" x14ac:dyDescent="0.25">
      <c r="S3229" s="1"/>
    </row>
    <row r="3230" spans="19:19" x14ac:dyDescent="0.25">
      <c r="S3230" s="1"/>
    </row>
    <row r="3231" spans="19:19" x14ac:dyDescent="0.25">
      <c r="S3231" s="1"/>
    </row>
    <row r="3232" spans="19:19" x14ac:dyDescent="0.25">
      <c r="S3232" s="1"/>
    </row>
    <row r="3233" spans="19:19" x14ac:dyDescent="0.25">
      <c r="S3233" s="1"/>
    </row>
    <row r="3234" spans="19:19" x14ac:dyDescent="0.25">
      <c r="S3234" s="1"/>
    </row>
    <row r="3235" spans="19:19" x14ac:dyDescent="0.25">
      <c r="S3235" s="1"/>
    </row>
    <row r="3236" spans="19:19" x14ac:dyDescent="0.25">
      <c r="S3236" s="1"/>
    </row>
    <row r="3237" spans="19:19" x14ac:dyDescent="0.25">
      <c r="S3237" s="1"/>
    </row>
    <row r="3238" spans="19:19" x14ac:dyDescent="0.25">
      <c r="S3238" s="1"/>
    </row>
    <row r="3239" spans="19:19" x14ac:dyDescent="0.25">
      <c r="S3239" s="1"/>
    </row>
    <row r="3240" spans="19:19" x14ac:dyDescent="0.25">
      <c r="S3240" s="1"/>
    </row>
    <row r="3241" spans="19:19" x14ac:dyDescent="0.25">
      <c r="S3241" s="1"/>
    </row>
    <row r="3242" spans="19:19" x14ac:dyDescent="0.25">
      <c r="S3242" s="1"/>
    </row>
    <row r="3243" spans="19:19" x14ac:dyDescent="0.25">
      <c r="S3243" s="1"/>
    </row>
    <row r="3244" spans="19:19" x14ac:dyDescent="0.25">
      <c r="S3244" s="1"/>
    </row>
    <row r="3245" spans="19:19" x14ac:dyDescent="0.25">
      <c r="S3245" s="1"/>
    </row>
    <row r="3246" spans="19:19" x14ac:dyDescent="0.25">
      <c r="S3246" s="1"/>
    </row>
    <row r="3247" spans="19:19" x14ac:dyDescent="0.25">
      <c r="S3247" s="1"/>
    </row>
    <row r="3248" spans="19:19" x14ac:dyDescent="0.25">
      <c r="S3248" s="1"/>
    </row>
    <row r="3249" spans="19:19" x14ac:dyDescent="0.25">
      <c r="S3249" s="1"/>
    </row>
    <row r="3250" spans="19:19" x14ac:dyDescent="0.25">
      <c r="S3250" s="1"/>
    </row>
    <row r="3251" spans="19:19" x14ac:dyDescent="0.25">
      <c r="S3251" s="1"/>
    </row>
    <row r="3252" spans="19:19" x14ac:dyDescent="0.25">
      <c r="S3252" s="1"/>
    </row>
    <row r="3253" spans="19:19" x14ac:dyDescent="0.25">
      <c r="S3253" s="1"/>
    </row>
    <row r="3254" spans="19:19" x14ac:dyDescent="0.25">
      <c r="S3254" s="1"/>
    </row>
    <row r="3255" spans="19:19" x14ac:dyDescent="0.25">
      <c r="S3255" s="1"/>
    </row>
    <row r="3256" spans="19:19" x14ac:dyDescent="0.25">
      <c r="S3256" s="1"/>
    </row>
    <row r="3257" spans="19:19" x14ac:dyDescent="0.25">
      <c r="S3257" s="1"/>
    </row>
    <row r="3258" spans="19:19" x14ac:dyDescent="0.25">
      <c r="S3258" s="1"/>
    </row>
    <row r="3259" spans="19:19" x14ac:dyDescent="0.25">
      <c r="S3259" s="1"/>
    </row>
    <row r="3260" spans="19:19" x14ac:dyDescent="0.25">
      <c r="S3260" s="1"/>
    </row>
    <row r="3261" spans="19:19" x14ac:dyDescent="0.25">
      <c r="S3261" s="1"/>
    </row>
    <row r="3262" spans="19:19" x14ac:dyDescent="0.25">
      <c r="S3262" s="1"/>
    </row>
    <row r="3263" spans="19:19" x14ac:dyDescent="0.25">
      <c r="S3263" s="1"/>
    </row>
    <row r="3264" spans="19:19" x14ac:dyDescent="0.25">
      <c r="S3264" s="1"/>
    </row>
    <row r="3265" spans="19:19" x14ac:dyDescent="0.25">
      <c r="S3265" s="1"/>
    </row>
    <row r="3266" spans="19:19" x14ac:dyDescent="0.25">
      <c r="S3266" s="1"/>
    </row>
    <row r="3267" spans="19:19" x14ac:dyDescent="0.25">
      <c r="S3267" s="1"/>
    </row>
    <row r="3268" spans="19:19" x14ac:dyDescent="0.25">
      <c r="S3268" s="1"/>
    </row>
    <row r="3269" spans="19:19" x14ac:dyDescent="0.25">
      <c r="S3269" s="1"/>
    </row>
    <row r="3270" spans="19:19" x14ac:dyDescent="0.25">
      <c r="S3270" s="1"/>
    </row>
    <row r="3271" spans="19:19" x14ac:dyDescent="0.25">
      <c r="S3271" s="1"/>
    </row>
    <row r="3272" spans="19:19" x14ac:dyDescent="0.25">
      <c r="S3272" s="1"/>
    </row>
    <row r="3273" spans="19:19" x14ac:dyDescent="0.25">
      <c r="S3273" s="1"/>
    </row>
    <row r="3274" spans="19:19" x14ac:dyDescent="0.25">
      <c r="S3274" s="1"/>
    </row>
    <row r="3275" spans="19:19" x14ac:dyDescent="0.25">
      <c r="S3275" s="1"/>
    </row>
    <row r="3276" spans="19:19" x14ac:dyDescent="0.25">
      <c r="S3276" s="1"/>
    </row>
    <row r="3277" spans="19:19" x14ac:dyDescent="0.25">
      <c r="S3277" s="1"/>
    </row>
    <row r="3278" spans="19:19" x14ac:dyDescent="0.25">
      <c r="S3278" s="1"/>
    </row>
    <row r="3279" spans="19:19" x14ac:dyDescent="0.25">
      <c r="S3279" s="1"/>
    </row>
    <row r="3280" spans="19:19" x14ac:dyDescent="0.25">
      <c r="S3280" s="1"/>
    </row>
    <row r="3281" spans="19:19" x14ac:dyDescent="0.25">
      <c r="S3281" s="1"/>
    </row>
    <row r="3282" spans="19:19" x14ac:dyDescent="0.25">
      <c r="S3282" s="1"/>
    </row>
    <row r="3283" spans="19:19" x14ac:dyDescent="0.25">
      <c r="S3283" s="1"/>
    </row>
    <row r="3284" spans="19:19" x14ac:dyDescent="0.25">
      <c r="S3284" s="1"/>
    </row>
    <row r="3285" spans="19:19" x14ac:dyDescent="0.25">
      <c r="S3285" s="1"/>
    </row>
    <row r="3286" spans="19:19" x14ac:dyDescent="0.25">
      <c r="S3286" s="1"/>
    </row>
    <row r="3287" spans="19:19" x14ac:dyDescent="0.25">
      <c r="S3287" s="1"/>
    </row>
    <row r="3288" spans="19:19" x14ac:dyDescent="0.25">
      <c r="S3288" s="1"/>
    </row>
    <row r="3289" spans="19:19" x14ac:dyDescent="0.25">
      <c r="S3289" s="1"/>
    </row>
    <row r="3290" spans="19:19" x14ac:dyDescent="0.25">
      <c r="S3290" s="1"/>
    </row>
    <row r="3291" spans="19:19" x14ac:dyDescent="0.25">
      <c r="S3291" s="1"/>
    </row>
    <row r="3292" spans="19:19" x14ac:dyDescent="0.25">
      <c r="S3292" s="1"/>
    </row>
    <row r="3293" spans="19:19" x14ac:dyDescent="0.25">
      <c r="S3293" s="1"/>
    </row>
    <row r="3294" spans="19:19" x14ac:dyDescent="0.25">
      <c r="S3294" s="1"/>
    </row>
    <row r="3295" spans="19:19" x14ac:dyDescent="0.25">
      <c r="S3295" s="1"/>
    </row>
    <row r="3296" spans="19:19" x14ac:dyDescent="0.25">
      <c r="S3296" s="1"/>
    </row>
    <row r="3297" spans="19:19" x14ac:dyDescent="0.25">
      <c r="S3297" s="1"/>
    </row>
    <row r="3298" spans="19:19" x14ac:dyDescent="0.25">
      <c r="S3298" s="1"/>
    </row>
    <row r="3299" spans="19:19" x14ac:dyDescent="0.25">
      <c r="S3299" s="1"/>
    </row>
    <row r="3300" spans="19:19" x14ac:dyDescent="0.25">
      <c r="S3300" s="1"/>
    </row>
    <row r="3301" spans="19:19" x14ac:dyDescent="0.25">
      <c r="S3301" s="1"/>
    </row>
    <row r="3302" spans="19:19" x14ac:dyDescent="0.25">
      <c r="S3302" s="1"/>
    </row>
    <row r="3303" spans="19:19" x14ac:dyDescent="0.25">
      <c r="S3303" s="1"/>
    </row>
    <row r="3304" spans="19:19" x14ac:dyDescent="0.25">
      <c r="S3304" s="1"/>
    </row>
    <row r="3305" spans="19:19" x14ac:dyDescent="0.25">
      <c r="S3305" s="1"/>
    </row>
    <row r="3306" spans="19:19" x14ac:dyDescent="0.25">
      <c r="S3306" s="1"/>
    </row>
    <row r="3307" spans="19:19" x14ac:dyDescent="0.25">
      <c r="S3307" s="1"/>
    </row>
    <row r="3308" spans="19:19" x14ac:dyDescent="0.25">
      <c r="S3308" s="1"/>
    </row>
    <row r="3309" spans="19:19" x14ac:dyDescent="0.25">
      <c r="S3309" s="1"/>
    </row>
    <row r="3310" spans="19:19" x14ac:dyDescent="0.25">
      <c r="S3310" s="1"/>
    </row>
    <row r="3311" spans="19:19" x14ac:dyDescent="0.25">
      <c r="S3311" s="1"/>
    </row>
    <row r="3312" spans="19:19" x14ac:dyDescent="0.25">
      <c r="S3312" s="1"/>
    </row>
    <row r="3313" spans="19:19" x14ac:dyDescent="0.25">
      <c r="S3313" s="1"/>
    </row>
    <row r="3314" spans="19:19" x14ac:dyDescent="0.25">
      <c r="S3314" s="1"/>
    </row>
    <row r="3315" spans="19:19" x14ac:dyDescent="0.25">
      <c r="S3315" s="1"/>
    </row>
    <row r="3316" spans="19:19" x14ac:dyDescent="0.25">
      <c r="S3316" s="1"/>
    </row>
    <row r="3317" spans="19:19" x14ac:dyDescent="0.25">
      <c r="S3317" s="1"/>
    </row>
    <row r="3318" spans="19:19" x14ac:dyDescent="0.25">
      <c r="S3318" s="1"/>
    </row>
    <row r="3319" spans="19:19" x14ac:dyDescent="0.25">
      <c r="S3319" s="1"/>
    </row>
    <row r="3320" spans="19:19" x14ac:dyDescent="0.25">
      <c r="S3320" s="1"/>
    </row>
    <row r="3321" spans="19:19" x14ac:dyDescent="0.25">
      <c r="S3321" s="1"/>
    </row>
    <row r="3322" spans="19:19" x14ac:dyDescent="0.25">
      <c r="S3322" s="1"/>
    </row>
    <row r="3323" spans="19:19" x14ac:dyDescent="0.25">
      <c r="S3323" s="1"/>
    </row>
    <row r="3324" spans="19:19" x14ac:dyDescent="0.25">
      <c r="S3324" s="1"/>
    </row>
    <row r="3325" spans="19:19" x14ac:dyDescent="0.25">
      <c r="S3325" s="1"/>
    </row>
    <row r="3326" spans="19:19" x14ac:dyDescent="0.25">
      <c r="S3326" s="1"/>
    </row>
    <row r="3327" spans="19:19" x14ac:dyDescent="0.25">
      <c r="S3327" s="1"/>
    </row>
    <row r="3328" spans="19:19" x14ac:dyDescent="0.25">
      <c r="S3328" s="1"/>
    </row>
    <row r="3329" spans="19:19" x14ac:dyDescent="0.25">
      <c r="S3329" s="1"/>
    </row>
    <row r="3330" spans="19:19" x14ac:dyDescent="0.25">
      <c r="S3330" s="1"/>
    </row>
    <row r="3331" spans="19:19" x14ac:dyDescent="0.25">
      <c r="S3331" s="1"/>
    </row>
    <row r="3332" spans="19:19" x14ac:dyDescent="0.25">
      <c r="S3332" s="1"/>
    </row>
    <row r="3333" spans="19:19" x14ac:dyDescent="0.25">
      <c r="S3333" s="1"/>
    </row>
    <row r="3334" spans="19:19" x14ac:dyDescent="0.25">
      <c r="S3334" s="1"/>
    </row>
    <row r="3335" spans="19:19" x14ac:dyDescent="0.25">
      <c r="S3335" s="1"/>
    </row>
    <row r="3336" spans="19:19" x14ac:dyDescent="0.25">
      <c r="S3336" s="1"/>
    </row>
    <row r="3337" spans="19:19" x14ac:dyDescent="0.25">
      <c r="S3337" s="1"/>
    </row>
    <row r="3338" spans="19:19" x14ac:dyDescent="0.25">
      <c r="S3338" s="1"/>
    </row>
    <row r="3339" spans="19:19" x14ac:dyDescent="0.25">
      <c r="S3339" s="1"/>
    </row>
    <row r="3340" spans="19:19" x14ac:dyDescent="0.25">
      <c r="S3340" s="1"/>
    </row>
    <row r="3341" spans="19:19" x14ac:dyDescent="0.25">
      <c r="S3341" s="1"/>
    </row>
    <row r="3342" spans="19:19" x14ac:dyDescent="0.25">
      <c r="S3342" s="1"/>
    </row>
    <row r="3343" spans="19:19" x14ac:dyDescent="0.25">
      <c r="S3343" s="1"/>
    </row>
    <row r="3344" spans="19:19" x14ac:dyDescent="0.25">
      <c r="S3344" s="1"/>
    </row>
    <row r="3345" spans="19:19" x14ac:dyDescent="0.25">
      <c r="S3345" s="1"/>
    </row>
    <row r="3346" spans="19:19" x14ac:dyDescent="0.25">
      <c r="S3346" s="1"/>
    </row>
    <row r="3347" spans="19:19" x14ac:dyDescent="0.25">
      <c r="S3347" s="1"/>
    </row>
    <row r="3348" spans="19:19" x14ac:dyDescent="0.25">
      <c r="S3348" s="1"/>
    </row>
    <row r="3349" spans="19:19" x14ac:dyDescent="0.25">
      <c r="S3349" s="1"/>
    </row>
    <row r="3350" spans="19:19" x14ac:dyDescent="0.25">
      <c r="S3350" s="1"/>
    </row>
    <row r="3351" spans="19:19" x14ac:dyDescent="0.25">
      <c r="S3351" s="1"/>
    </row>
    <row r="3352" spans="19:19" x14ac:dyDescent="0.25">
      <c r="S3352" s="1"/>
    </row>
    <row r="3353" spans="19:19" x14ac:dyDescent="0.25">
      <c r="S3353" s="1"/>
    </row>
    <row r="3354" spans="19:19" x14ac:dyDescent="0.25">
      <c r="S3354" s="1"/>
    </row>
    <row r="3355" spans="19:19" x14ac:dyDescent="0.25">
      <c r="S3355" s="1"/>
    </row>
    <row r="3356" spans="19:19" x14ac:dyDescent="0.25">
      <c r="S3356" s="1"/>
    </row>
    <row r="3357" spans="19:19" x14ac:dyDescent="0.25">
      <c r="S3357" s="1"/>
    </row>
    <row r="3358" spans="19:19" x14ac:dyDescent="0.25">
      <c r="S3358" s="1"/>
    </row>
    <row r="3359" spans="19:19" x14ac:dyDescent="0.25">
      <c r="S3359" s="1"/>
    </row>
    <row r="3360" spans="19:19" x14ac:dyDescent="0.25">
      <c r="S3360" s="1"/>
    </row>
    <row r="3361" spans="19:19" x14ac:dyDescent="0.25">
      <c r="S3361" s="1"/>
    </row>
    <row r="3362" spans="19:19" x14ac:dyDescent="0.25">
      <c r="S3362" s="1"/>
    </row>
    <row r="3363" spans="19:19" x14ac:dyDescent="0.25">
      <c r="S3363" s="1"/>
    </row>
    <row r="3364" spans="19:19" x14ac:dyDescent="0.25">
      <c r="S3364" s="1"/>
    </row>
    <row r="3365" spans="19:19" x14ac:dyDescent="0.25">
      <c r="S3365" s="1"/>
    </row>
    <row r="3366" spans="19:19" x14ac:dyDescent="0.25">
      <c r="S3366" s="1"/>
    </row>
    <row r="3367" spans="19:19" x14ac:dyDescent="0.25">
      <c r="S3367" s="1"/>
    </row>
    <row r="3368" spans="19:19" x14ac:dyDescent="0.25">
      <c r="S3368" s="1"/>
    </row>
    <row r="3369" spans="19:19" x14ac:dyDescent="0.25">
      <c r="S3369" s="1"/>
    </row>
    <row r="3370" spans="19:19" x14ac:dyDescent="0.25">
      <c r="S3370" s="1"/>
    </row>
    <row r="3371" spans="19:19" x14ac:dyDescent="0.25">
      <c r="S3371" s="1"/>
    </row>
    <row r="3372" spans="19:19" x14ac:dyDescent="0.25">
      <c r="S3372" s="1"/>
    </row>
    <row r="3373" spans="19:19" x14ac:dyDescent="0.25">
      <c r="S3373" s="1"/>
    </row>
    <row r="3374" spans="19:19" x14ac:dyDescent="0.25">
      <c r="S3374" s="1"/>
    </row>
    <row r="3375" spans="19:19" x14ac:dyDescent="0.25">
      <c r="S3375" s="1"/>
    </row>
    <row r="3376" spans="19:19" x14ac:dyDescent="0.25">
      <c r="S3376" s="1"/>
    </row>
    <row r="3377" spans="19:19" x14ac:dyDescent="0.25">
      <c r="S3377" s="1"/>
    </row>
    <row r="3378" spans="19:19" x14ac:dyDescent="0.25">
      <c r="S3378" s="1"/>
    </row>
    <row r="3379" spans="19:19" x14ac:dyDescent="0.25">
      <c r="S3379" s="1"/>
    </row>
    <row r="3380" spans="19:19" x14ac:dyDescent="0.25">
      <c r="S3380" s="1"/>
    </row>
    <row r="3381" spans="19:19" x14ac:dyDescent="0.25">
      <c r="S3381" s="1"/>
    </row>
    <row r="3382" spans="19:19" x14ac:dyDescent="0.25">
      <c r="S3382" s="1"/>
    </row>
    <row r="3383" spans="19:19" x14ac:dyDescent="0.25">
      <c r="S3383" s="1"/>
    </row>
    <row r="3384" spans="19:19" x14ac:dyDescent="0.25">
      <c r="S3384" s="1"/>
    </row>
    <row r="3385" spans="19:19" x14ac:dyDescent="0.25">
      <c r="S3385" s="1"/>
    </row>
    <row r="3386" spans="19:19" x14ac:dyDescent="0.25">
      <c r="S3386" s="1"/>
    </row>
    <row r="3387" spans="19:19" x14ac:dyDescent="0.25">
      <c r="S3387" s="1"/>
    </row>
    <row r="3388" spans="19:19" x14ac:dyDescent="0.25">
      <c r="S3388" s="1"/>
    </row>
    <row r="3389" spans="19:19" x14ac:dyDescent="0.25">
      <c r="S3389" s="1"/>
    </row>
    <row r="3390" spans="19:19" x14ac:dyDescent="0.25">
      <c r="S3390" s="1"/>
    </row>
    <row r="3391" spans="19:19" x14ac:dyDescent="0.25">
      <c r="S3391" s="1"/>
    </row>
    <row r="3392" spans="19:19" x14ac:dyDescent="0.25">
      <c r="S3392" s="1"/>
    </row>
    <row r="3393" spans="19:19" x14ac:dyDescent="0.25">
      <c r="S3393" s="1"/>
    </row>
    <row r="3394" spans="19:19" x14ac:dyDescent="0.25">
      <c r="S3394" s="1"/>
    </row>
    <row r="3395" spans="19:19" x14ac:dyDescent="0.25">
      <c r="S3395" s="1"/>
    </row>
    <row r="3396" spans="19:19" x14ac:dyDescent="0.25">
      <c r="S3396" s="1"/>
    </row>
    <row r="3397" spans="19:19" x14ac:dyDescent="0.25">
      <c r="S3397" s="1"/>
    </row>
    <row r="3398" spans="19:19" x14ac:dyDescent="0.25">
      <c r="S3398" s="1"/>
    </row>
    <row r="3399" spans="19:19" x14ac:dyDescent="0.25">
      <c r="S3399" s="1"/>
    </row>
    <row r="3400" spans="19:19" x14ac:dyDescent="0.25">
      <c r="S3400" s="1"/>
    </row>
    <row r="3401" spans="19:19" x14ac:dyDescent="0.25">
      <c r="S3401" s="1"/>
    </row>
    <row r="3402" spans="19:19" x14ac:dyDescent="0.25">
      <c r="S3402" s="1"/>
    </row>
    <row r="3403" spans="19:19" x14ac:dyDescent="0.25">
      <c r="S3403" s="1"/>
    </row>
    <row r="3404" spans="19:19" x14ac:dyDescent="0.25">
      <c r="S3404" s="1"/>
    </row>
    <row r="3405" spans="19:19" x14ac:dyDescent="0.25">
      <c r="S3405" s="1"/>
    </row>
    <row r="3406" spans="19:19" x14ac:dyDescent="0.25">
      <c r="S3406" s="1"/>
    </row>
    <row r="3407" spans="19:19" x14ac:dyDescent="0.25">
      <c r="S3407" s="1"/>
    </row>
    <row r="3408" spans="19:19" x14ac:dyDescent="0.25">
      <c r="S3408" s="1"/>
    </row>
    <row r="3409" spans="19:19" x14ac:dyDescent="0.25">
      <c r="S3409" s="1"/>
    </row>
    <row r="3410" spans="19:19" x14ac:dyDescent="0.25">
      <c r="S3410" s="1"/>
    </row>
    <row r="3411" spans="19:19" x14ac:dyDescent="0.25">
      <c r="S3411" s="1"/>
    </row>
    <row r="3412" spans="19:19" x14ac:dyDescent="0.25">
      <c r="S3412" s="1"/>
    </row>
    <row r="3413" spans="19:19" x14ac:dyDescent="0.25">
      <c r="S3413" s="1"/>
    </row>
    <row r="3414" spans="19:19" x14ac:dyDescent="0.25">
      <c r="S3414" s="1"/>
    </row>
    <row r="3415" spans="19:19" x14ac:dyDescent="0.25">
      <c r="S3415" s="1"/>
    </row>
    <row r="3416" spans="19:19" x14ac:dyDescent="0.25">
      <c r="S3416" s="1"/>
    </row>
    <row r="3417" spans="19:19" x14ac:dyDescent="0.25">
      <c r="S3417" s="1"/>
    </row>
    <row r="3418" spans="19:19" x14ac:dyDescent="0.25">
      <c r="S3418" s="1"/>
    </row>
    <row r="3419" spans="19:19" x14ac:dyDescent="0.25">
      <c r="S3419" s="1"/>
    </row>
    <row r="3420" spans="19:19" x14ac:dyDescent="0.25">
      <c r="S3420" s="1"/>
    </row>
    <row r="3421" spans="19:19" x14ac:dyDescent="0.25">
      <c r="S3421" s="1"/>
    </row>
    <row r="3422" spans="19:19" x14ac:dyDescent="0.25">
      <c r="S3422" s="1"/>
    </row>
    <row r="3423" spans="19:19" x14ac:dyDescent="0.25">
      <c r="S3423" s="1"/>
    </row>
    <row r="3424" spans="19:19" x14ac:dyDescent="0.25">
      <c r="S3424" s="1"/>
    </row>
    <row r="3425" spans="19:19" x14ac:dyDescent="0.25">
      <c r="S3425" s="1"/>
    </row>
    <row r="3426" spans="19:19" x14ac:dyDescent="0.25">
      <c r="S3426" s="1"/>
    </row>
    <row r="3427" spans="19:19" x14ac:dyDescent="0.25">
      <c r="S3427" s="1"/>
    </row>
    <row r="3428" spans="19:19" x14ac:dyDescent="0.25">
      <c r="S3428" s="1"/>
    </row>
    <row r="3429" spans="19:19" x14ac:dyDescent="0.25">
      <c r="S3429" s="1"/>
    </row>
    <row r="3430" spans="19:19" x14ac:dyDescent="0.25">
      <c r="S3430" s="1"/>
    </row>
    <row r="3431" spans="19:19" x14ac:dyDescent="0.25">
      <c r="S3431" s="1"/>
    </row>
    <row r="3432" spans="19:19" x14ac:dyDescent="0.25">
      <c r="S3432" s="1"/>
    </row>
    <row r="3433" spans="19:19" x14ac:dyDescent="0.25">
      <c r="S3433" s="1"/>
    </row>
    <row r="3434" spans="19:19" x14ac:dyDescent="0.25">
      <c r="S3434" s="1"/>
    </row>
    <row r="3435" spans="19:19" x14ac:dyDescent="0.25">
      <c r="S3435" s="1"/>
    </row>
    <row r="3436" spans="19:19" x14ac:dyDescent="0.25">
      <c r="S3436" s="1"/>
    </row>
    <row r="3437" spans="19:19" x14ac:dyDescent="0.25">
      <c r="S3437" s="1"/>
    </row>
    <row r="3438" spans="19:19" x14ac:dyDescent="0.25">
      <c r="S3438" s="1"/>
    </row>
    <row r="3439" spans="19:19" x14ac:dyDescent="0.25">
      <c r="S3439" s="1"/>
    </row>
    <row r="3440" spans="19:19" x14ac:dyDescent="0.25">
      <c r="S3440" s="1"/>
    </row>
    <row r="3441" spans="19:19" x14ac:dyDescent="0.25">
      <c r="S3441" s="1"/>
    </row>
    <row r="3442" spans="19:19" x14ac:dyDescent="0.25">
      <c r="S3442" s="1"/>
    </row>
    <row r="3443" spans="19:19" x14ac:dyDescent="0.25">
      <c r="S3443" s="1"/>
    </row>
    <row r="3444" spans="19:19" x14ac:dyDescent="0.25">
      <c r="S3444" s="1"/>
    </row>
    <row r="3445" spans="19:19" x14ac:dyDescent="0.25">
      <c r="S3445" s="1"/>
    </row>
    <row r="3446" spans="19:19" x14ac:dyDescent="0.25">
      <c r="S3446" s="1"/>
    </row>
    <row r="3447" spans="19:19" x14ac:dyDescent="0.25">
      <c r="S3447" s="1"/>
    </row>
    <row r="3448" spans="19:19" x14ac:dyDescent="0.25">
      <c r="S3448" s="1"/>
    </row>
    <row r="3449" spans="19:19" x14ac:dyDescent="0.25">
      <c r="S3449" s="1"/>
    </row>
    <row r="3450" spans="19:19" x14ac:dyDescent="0.25">
      <c r="S3450" s="1"/>
    </row>
    <row r="3451" spans="19:19" x14ac:dyDescent="0.25">
      <c r="S3451" s="1"/>
    </row>
    <row r="3452" spans="19:19" x14ac:dyDescent="0.25">
      <c r="S3452" s="1"/>
    </row>
    <row r="3453" spans="19:19" x14ac:dyDescent="0.25">
      <c r="S3453" s="1"/>
    </row>
    <row r="3454" spans="19:19" x14ac:dyDescent="0.25">
      <c r="S3454" s="1"/>
    </row>
    <row r="3455" spans="19:19" x14ac:dyDescent="0.25">
      <c r="S3455" s="1"/>
    </row>
    <row r="3456" spans="19:19" x14ac:dyDescent="0.25">
      <c r="S3456" s="1"/>
    </row>
    <row r="3457" spans="19:19" x14ac:dyDescent="0.25">
      <c r="S3457" s="1"/>
    </row>
    <row r="3458" spans="19:19" x14ac:dyDescent="0.25">
      <c r="S3458" s="1"/>
    </row>
    <row r="3459" spans="19:19" x14ac:dyDescent="0.25">
      <c r="S3459" s="1"/>
    </row>
    <row r="3460" spans="19:19" x14ac:dyDescent="0.25">
      <c r="S3460" s="1"/>
    </row>
    <row r="3461" spans="19:19" x14ac:dyDescent="0.25">
      <c r="S3461" s="1"/>
    </row>
    <row r="3462" spans="19:19" x14ac:dyDescent="0.25">
      <c r="S3462" s="1"/>
    </row>
    <row r="3463" spans="19:19" x14ac:dyDescent="0.25">
      <c r="S3463" s="1"/>
    </row>
    <row r="3464" spans="19:19" x14ac:dyDescent="0.25">
      <c r="S3464" s="1"/>
    </row>
    <row r="3465" spans="19:19" x14ac:dyDescent="0.25">
      <c r="S3465" s="1"/>
    </row>
    <row r="3466" spans="19:19" x14ac:dyDescent="0.25">
      <c r="S3466" s="1"/>
    </row>
    <row r="3467" spans="19:19" x14ac:dyDescent="0.25">
      <c r="S3467" s="1"/>
    </row>
    <row r="3468" spans="19:19" x14ac:dyDescent="0.25">
      <c r="S3468" s="1"/>
    </row>
    <row r="3469" spans="19:19" x14ac:dyDescent="0.25">
      <c r="S3469" s="1"/>
    </row>
    <row r="3470" spans="19:19" x14ac:dyDescent="0.25">
      <c r="S3470" s="1"/>
    </row>
    <row r="3471" spans="19:19" x14ac:dyDescent="0.25">
      <c r="S3471" s="1"/>
    </row>
    <row r="3472" spans="19:19" x14ac:dyDescent="0.25">
      <c r="S3472" s="1"/>
    </row>
    <row r="3473" spans="19:19" x14ac:dyDescent="0.25">
      <c r="S3473" s="1"/>
    </row>
    <row r="3474" spans="19:19" x14ac:dyDescent="0.25">
      <c r="S3474" s="1"/>
    </row>
    <row r="3475" spans="19:19" x14ac:dyDescent="0.25">
      <c r="S3475" s="1"/>
    </row>
    <row r="3476" spans="19:19" x14ac:dyDescent="0.25">
      <c r="S3476" s="1"/>
    </row>
    <row r="3477" spans="19:19" x14ac:dyDescent="0.25">
      <c r="S3477" s="1"/>
    </row>
    <row r="3478" spans="19:19" x14ac:dyDescent="0.25">
      <c r="S3478" s="1"/>
    </row>
    <row r="3479" spans="19:19" x14ac:dyDescent="0.25">
      <c r="S3479" s="1"/>
    </row>
    <row r="3480" spans="19:19" x14ac:dyDescent="0.25">
      <c r="S3480" s="1"/>
    </row>
    <row r="3481" spans="19:19" x14ac:dyDescent="0.25">
      <c r="S3481" s="1"/>
    </row>
    <row r="3482" spans="19:19" x14ac:dyDescent="0.25">
      <c r="S3482" s="1"/>
    </row>
    <row r="3483" spans="19:19" x14ac:dyDescent="0.25">
      <c r="S3483" s="1"/>
    </row>
    <row r="3484" spans="19:19" x14ac:dyDescent="0.25">
      <c r="S3484" s="1"/>
    </row>
    <row r="3485" spans="19:19" x14ac:dyDescent="0.25">
      <c r="S3485" s="1"/>
    </row>
    <row r="3486" spans="19:19" x14ac:dyDescent="0.25">
      <c r="S3486" s="1"/>
    </row>
    <row r="3487" spans="19:19" x14ac:dyDescent="0.25">
      <c r="S3487" s="1"/>
    </row>
    <row r="3488" spans="19:19" x14ac:dyDescent="0.25">
      <c r="S3488" s="1"/>
    </row>
    <row r="3489" spans="19:19" x14ac:dyDescent="0.25">
      <c r="S3489" s="1"/>
    </row>
    <row r="3490" spans="19:19" x14ac:dyDescent="0.25">
      <c r="S3490" s="1"/>
    </row>
    <row r="3491" spans="19:19" x14ac:dyDescent="0.25">
      <c r="S3491" s="1"/>
    </row>
    <row r="3492" spans="19:19" x14ac:dyDescent="0.25">
      <c r="S3492" s="1"/>
    </row>
    <row r="3493" spans="19:19" x14ac:dyDescent="0.25">
      <c r="S3493" s="1"/>
    </row>
    <row r="3494" spans="19:19" x14ac:dyDescent="0.25">
      <c r="S3494" s="1"/>
    </row>
    <row r="3495" spans="19:19" x14ac:dyDescent="0.25">
      <c r="S3495" s="1"/>
    </row>
    <row r="3496" spans="19:19" x14ac:dyDescent="0.25">
      <c r="S3496" s="1"/>
    </row>
    <row r="3497" spans="19:19" x14ac:dyDescent="0.25">
      <c r="S3497" s="1"/>
    </row>
    <row r="3498" spans="19:19" x14ac:dyDescent="0.25">
      <c r="S3498" s="1"/>
    </row>
    <row r="3499" spans="19:19" x14ac:dyDescent="0.25">
      <c r="S3499" s="1"/>
    </row>
    <row r="3500" spans="19:19" x14ac:dyDescent="0.25">
      <c r="S3500" s="1"/>
    </row>
    <row r="3501" spans="19:19" x14ac:dyDescent="0.25">
      <c r="S3501" s="1"/>
    </row>
    <row r="3502" spans="19:19" x14ac:dyDescent="0.25">
      <c r="S3502" s="1"/>
    </row>
    <row r="3503" spans="19:19" x14ac:dyDescent="0.25">
      <c r="S3503" s="1"/>
    </row>
    <row r="3504" spans="19:19" x14ac:dyDescent="0.25">
      <c r="S3504" s="1"/>
    </row>
    <row r="3505" spans="19:19" x14ac:dyDescent="0.25">
      <c r="S3505" s="1"/>
    </row>
    <row r="3506" spans="19:19" x14ac:dyDescent="0.25">
      <c r="S3506" s="1"/>
    </row>
    <row r="3507" spans="19:19" x14ac:dyDescent="0.25">
      <c r="S3507" s="1"/>
    </row>
    <row r="3508" spans="19:19" x14ac:dyDescent="0.25">
      <c r="S3508" s="1"/>
    </row>
    <row r="3509" spans="19:19" x14ac:dyDescent="0.25">
      <c r="S3509" s="1"/>
    </row>
    <row r="3510" spans="19:19" x14ac:dyDescent="0.25">
      <c r="S3510" s="1"/>
    </row>
    <row r="3511" spans="19:19" x14ac:dyDescent="0.25">
      <c r="S3511" s="1"/>
    </row>
    <row r="3512" spans="19:19" x14ac:dyDescent="0.25">
      <c r="S3512" s="1"/>
    </row>
    <row r="3513" spans="19:19" x14ac:dyDescent="0.25">
      <c r="S3513" s="1"/>
    </row>
    <row r="3514" spans="19:19" x14ac:dyDescent="0.25">
      <c r="S3514" s="1"/>
    </row>
    <row r="3515" spans="19:19" x14ac:dyDescent="0.25">
      <c r="S3515" s="1"/>
    </row>
    <row r="3516" spans="19:19" x14ac:dyDescent="0.25">
      <c r="S3516" s="1"/>
    </row>
    <row r="3517" spans="19:19" x14ac:dyDescent="0.25">
      <c r="S3517" s="1"/>
    </row>
    <row r="3518" spans="19:19" x14ac:dyDescent="0.25">
      <c r="S3518" s="1"/>
    </row>
    <row r="3519" spans="19:19" x14ac:dyDescent="0.25">
      <c r="S3519" s="1"/>
    </row>
    <row r="3520" spans="19:19" x14ac:dyDescent="0.25">
      <c r="S3520" s="1"/>
    </row>
    <row r="3521" spans="19:19" x14ac:dyDescent="0.25">
      <c r="S3521" s="1"/>
    </row>
    <row r="3522" spans="19:19" x14ac:dyDescent="0.25">
      <c r="S3522" s="1"/>
    </row>
    <row r="3523" spans="19:19" x14ac:dyDescent="0.25">
      <c r="S3523" s="1"/>
    </row>
    <row r="3524" spans="19:19" x14ac:dyDescent="0.25">
      <c r="S3524" s="1"/>
    </row>
    <row r="3525" spans="19:19" x14ac:dyDescent="0.25">
      <c r="S3525" s="1"/>
    </row>
    <row r="3526" spans="19:19" x14ac:dyDescent="0.25">
      <c r="S3526" s="1"/>
    </row>
    <row r="3527" spans="19:19" x14ac:dyDescent="0.25">
      <c r="S3527" s="1"/>
    </row>
    <row r="3528" spans="19:19" x14ac:dyDescent="0.25">
      <c r="S3528" s="1"/>
    </row>
    <row r="3529" spans="19:19" x14ac:dyDescent="0.25">
      <c r="S3529" s="1"/>
    </row>
    <row r="3530" spans="19:19" x14ac:dyDescent="0.25">
      <c r="S3530" s="1"/>
    </row>
    <row r="3531" spans="19:19" x14ac:dyDescent="0.25">
      <c r="S3531" s="1"/>
    </row>
    <row r="3532" spans="19:19" x14ac:dyDescent="0.25">
      <c r="S3532" s="1"/>
    </row>
    <row r="3533" spans="19:19" x14ac:dyDescent="0.25">
      <c r="S3533" s="1"/>
    </row>
    <row r="3534" spans="19:19" x14ac:dyDescent="0.25">
      <c r="S3534" s="1"/>
    </row>
    <row r="3535" spans="19:19" x14ac:dyDescent="0.25">
      <c r="S3535" s="1"/>
    </row>
    <row r="3536" spans="19:19" x14ac:dyDescent="0.25">
      <c r="S3536" s="1"/>
    </row>
    <row r="3537" spans="19:19" x14ac:dyDescent="0.25">
      <c r="S3537" s="1"/>
    </row>
    <row r="3538" spans="19:19" x14ac:dyDescent="0.25">
      <c r="S3538" s="1"/>
    </row>
    <row r="3539" spans="19:19" x14ac:dyDescent="0.25">
      <c r="S3539" s="1"/>
    </row>
    <row r="3540" spans="19:19" x14ac:dyDescent="0.25">
      <c r="S3540" s="1"/>
    </row>
    <row r="3541" spans="19:19" x14ac:dyDescent="0.25">
      <c r="S3541" s="1"/>
    </row>
    <row r="3542" spans="19:19" x14ac:dyDescent="0.25">
      <c r="S3542" s="1"/>
    </row>
    <row r="3543" spans="19:19" x14ac:dyDescent="0.25">
      <c r="S3543" s="1"/>
    </row>
    <row r="3544" spans="19:19" x14ac:dyDescent="0.25">
      <c r="S3544" s="1"/>
    </row>
    <row r="3545" spans="19:19" x14ac:dyDescent="0.25">
      <c r="S3545" s="1"/>
    </row>
    <row r="3546" spans="19:19" x14ac:dyDescent="0.25">
      <c r="S3546" s="1"/>
    </row>
    <row r="3547" spans="19:19" x14ac:dyDescent="0.25">
      <c r="S3547" s="1"/>
    </row>
    <row r="3548" spans="19:19" x14ac:dyDescent="0.25">
      <c r="S3548" s="1"/>
    </row>
    <row r="3549" spans="19:19" x14ac:dyDescent="0.25">
      <c r="S3549" s="1"/>
    </row>
    <row r="3550" spans="19:19" x14ac:dyDescent="0.25">
      <c r="S3550" s="1"/>
    </row>
    <row r="3551" spans="19:19" x14ac:dyDescent="0.25">
      <c r="S3551" s="1"/>
    </row>
    <row r="3552" spans="19:19" x14ac:dyDescent="0.25">
      <c r="S3552" s="1"/>
    </row>
    <row r="3553" spans="19:19" x14ac:dyDescent="0.25">
      <c r="S3553" s="1"/>
    </row>
    <row r="3554" spans="19:19" x14ac:dyDescent="0.25">
      <c r="S3554" s="1"/>
    </row>
    <row r="3555" spans="19:19" x14ac:dyDescent="0.25">
      <c r="S3555" s="1"/>
    </row>
    <row r="3556" spans="19:19" x14ac:dyDescent="0.25">
      <c r="S3556" s="1"/>
    </row>
    <row r="3557" spans="19:19" x14ac:dyDescent="0.25">
      <c r="S3557" s="1"/>
    </row>
    <row r="3558" spans="19:19" x14ac:dyDescent="0.25">
      <c r="S3558" s="1"/>
    </row>
    <row r="3559" spans="19:19" x14ac:dyDescent="0.25">
      <c r="S3559" s="1"/>
    </row>
    <row r="3560" spans="19:19" x14ac:dyDescent="0.25">
      <c r="S3560" s="1"/>
    </row>
    <row r="3561" spans="19:19" x14ac:dyDescent="0.25">
      <c r="S3561" s="1"/>
    </row>
    <row r="3562" spans="19:19" x14ac:dyDescent="0.25">
      <c r="S3562" s="1"/>
    </row>
    <row r="3563" spans="19:19" x14ac:dyDescent="0.25">
      <c r="S3563" s="1"/>
    </row>
    <row r="3564" spans="19:19" x14ac:dyDescent="0.25">
      <c r="S3564" s="1"/>
    </row>
    <row r="3565" spans="19:19" x14ac:dyDescent="0.25">
      <c r="S3565" s="1"/>
    </row>
    <row r="3566" spans="19:19" x14ac:dyDescent="0.25">
      <c r="S3566" s="1"/>
    </row>
    <row r="3567" spans="19:19" x14ac:dyDescent="0.25">
      <c r="S3567" s="1"/>
    </row>
    <row r="3568" spans="19:19" x14ac:dyDescent="0.25">
      <c r="S3568" s="1"/>
    </row>
    <row r="3569" spans="19:19" x14ac:dyDescent="0.25">
      <c r="S3569" s="1"/>
    </row>
    <row r="3570" spans="19:19" x14ac:dyDescent="0.25">
      <c r="S3570" s="1"/>
    </row>
    <row r="3571" spans="19:19" x14ac:dyDescent="0.25">
      <c r="S3571" s="1"/>
    </row>
    <row r="3572" spans="19:19" x14ac:dyDescent="0.25">
      <c r="S3572" s="1"/>
    </row>
    <row r="3573" spans="19:19" x14ac:dyDescent="0.25">
      <c r="S3573" s="1"/>
    </row>
    <row r="3574" spans="19:19" x14ac:dyDescent="0.25">
      <c r="S3574" s="1"/>
    </row>
    <row r="3575" spans="19:19" x14ac:dyDescent="0.25">
      <c r="S3575" s="1"/>
    </row>
    <row r="3576" spans="19:19" x14ac:dyDescent="0.25">
      <c r="S3576" s="1"/>
    </row>
    <row r="3577" spans="19:19" x14ac:dyDescent="0.25">
      <c r="S3577" s="1"/>
    </row>
    <row r="3578" spans="19:19" x14ac:dyDescent="0.25">
      <c r="S3578" s="1"/>
    </row>
    <row r="3579" spans="19:19" x14ac:dyDescent="0.25">
      <c r="S3579" s="1"/>
    </row>
    <row r="3580" spans="19:19" x14ac:dyDescent="0.25">
      <c r="S3580" s="1"/>
    </row>
    <row r="3581" spans="19:19" x14ac:dyDescent="0.25">
      <c r="S3581" s="1"/>
    </row>
    <row r="3582" spans="19:19" x14ac:dyDescent="0.25">
      <c r="S3582" s="1"/>
    </row>
    <row r="3583" spans="19:19" x14ac:dyDescent="0.25">
      <c r="S3583" s="1"/>
    </row>
    <row r="3584" spans="19:19" x14ac:dyDescent="0.25">
      <c r="S3584" s="1"/>
    </row>
    <row r="3585" spans="19:19" x14ac:dyDescent="0.25">
      <c r="S3585" s="1"/>
    </row>
    <row r="3586" spans="19:19" x14ac:dyDescent="0.25">
      <c r="S3586" s="1"/>
    </row>
    <row r="3587" spans="19:19" x14ac:dyDescent="0.25">
      <c r="S3587" s="1"/>
    </row>
    <row r="3588" spans="19:19" x14ac:dyDescent="0.25">
      <c r="S3588" s="1"/>
    </row>
    <row r="3589" spans="19:19" x14ac:dyDescent="0.25">
      <c r="S3589" s="1"/>
    </row>
    <row r="3590" spans="19:19" x14ac:dyDescent="0.25">
      <c r="S3590" s="1"/>
    </row>
    <row r="3591" spans="19:19" x14ac:dyDescent="0.25">
      <c r="S3591" s="1"/>
    </row>
    <row r="3592" spans="19:19" x14ac:dyDescent="0.25">
      <c r="S3592" s="1"/>
    </row>
    <row r="3593" spans="19:19" x14ac:dyDescent="0.25">
      <c r="S3593" s="1"/>
    </row>
    <row r="3594" spans="19:19" x14ac:dyDescent="0.25">
      <c r="S3594" s="1"/>
    </row>
    <row r="3595" spans="19:19" x14ac:dyDescent="0.25">
      <c r="S3595" s="1"/>
    </row>
    <row r="3596" spans="19:19" x14ac:dyDescent="0.25">
      <c r="S3596" s="1"/>
    </row>
    <row r="3597" spans="19:19" x14ac:dyDescent="0.25">
      <c r="S3597" s="1"/>
    </row>
    <row r="3598" spans="19:19" x14ac:dyDescent="0.25">
      <c r="S3598" s="1"/>
    </row>
    <row r="3599" spans="19:19" x14ac:dyDescent="0.25">
      <c r="S3599" s="1"/>
    </row>
    <row r="3600" spans="19:19" x14ac:dyDescent="0.25">
      <c r="S3600" s="1"/>
    </row>
    <row r="3601" spans="19:19" x14ac:dyDescent="0.25">
      <c r="S3601" s="1"/>
    </row>
    <row r="3602" spans="19:19" x14ac:dyDescent="0.25">
      <c r="S3602" s="1"/>
    </row>
    <row r="3603" spans="19:19" x14ac:dyDescent="0.25">
      <c r="S3603" s="1"/>
    </row>
    <row r="3604" spans="19:19" x14ac:dyDescent="0.25">
      <c r="S3604" s="1"/>
    </row>
    <row r="3605" spans="19:19" x14ac:dyDescent="0.25">
      <c r="S3605" s="1"/>
    </row>
    <row r="3606" spans="19:19" x14ac:dyDescent="0.25">
      <c r="S3606" s="1"/>
    </row>
    <row r="3607" spans="19:19" x14ac:dyDescent="0.25">
      <c r="S3607" s="1"/>
    </row>
    <row r="3608" spans="19:19" x14ac:dyDescent="0.25">
      <c r="S3608" s="1"/>
    </row>
    <row r="3609" spans="19:19" x14ac:dyDescent="0.25">
      <c r="S3609" s="1"/>
    </row>
    <row r="3610" spans="19:19" x14ac:dyDescent="0.25">
      <c r="S3610" s="1"/>
    </row>
    <row r="3611" spans="19:19" x14ac:dyDescent="0.25">
      <c r="S3611" s="1"/>
    </row>
    <row r="3612" spans="19:19" x14ac:dyDescent="0.25">
      <c r="S3612" s="1"/>
    </row>
    <row r="3613" spans="19:19" x14ac:dyDescent="0.25">
      <c r="S3613" s="1"/>
    </row>
    <row r="3614" spans="19:19" x14ac:dyDescent="0.25">
      <c r="S3614" s="1"/>
    </row>
    <row r="3615" spans="19:19" x14ac:dyDescent="0.25">
      <c r="S3615" s="1"/>
    </row>
    <row r="3616" spans="19:19" x14ac:dyDescent="0.25">
      <c r="S3616" s="1"/>
    </row>
    <row r="3617" spans="19:19" x14ac:dyDescent="0.25">
      <c r="S3617" s="1"/>
    </row>
    <row r="3618" spans="19:19" x14ac:dyDescent="0.25">
      <c r="S3618" s="1"/>
    </row>
    <row r="3619" spans="19:19" x14ac:dyDescent="0.25">
      <c r="S3619" s="1"/>
    </row>
    <row r="3620" spans="19:19" x14ac:dyDescent="0.25">
      <c r="S3620" s="1"/>
    </row>
    <row r="3621" spans="19:19" x14ac:dyDescent="0.25">
      <c r="S3621" s="1"/>
    </row>
    <row r="3622" spans="19:19" x14ac:dyDescent="0.25">
      <c r="S3622" s="1"/>
    </row>
    <row r="3623" spans="19:19" x14ac:dyDescent="0.25">
      <c r="S3623" s="1"/>
    </row>
    <row r="3624" spans="19:19" x14ac:dyDescent="0.25">
      <c r="S3624" s="1"/>
    </row>
    <row r="3625" spans="19:19" x14ac:dyDescent="0.25">
      <c r="S3625" s="1"/>
    </row>
    <row r="3626" spans="19:19" x14ac:dyDescent="0.25">
      <c r="S3626" s="1"/>
    </row>
    <row r="3627" spans="19:19" x14ac:dyDescent="0.25">
      <c r="S3627" s="1"/>
    </row>
    <row r="3628" spans="19:19" x14ac:dyDescent="0.25">
      <c r="S3628" s="1"/>
    </row>
    <row r="3629" spans="19:19" x14ac:dyDescent="0.25">
      <c r="S3629" s="1"/>
    </row>
    <row r="3630" spans="19:19" x14ac:dyDescent="0.25">
      <c r="S3630" s="1"/>
    </row>
    <row r="3631" spans="19:19" x14ac:dyDescent="0.25">
      <c r="S3631" s="1"/>
    </row>
    <row r="3632" spans="19:19" x14ac:dyDescent="0.25">
      <c r="S3632" s="1"/>
    </row>
    <row r="3633" spans="19:19" x14ac:dyDescent="0.25">
      <c r="S3633" s="1"/>
    </row>
    <row r="3634" spans="19:19" x14ac:dyDescent="0.25">
      <c r="S3634" s="1"/>
    </row>
    <row r="3635" spans="19:19" x14ac:dyDescent="0.25">
      <c r="S3635" s="1"/>
    </row>
    <row r="3636" spans="19:19" x14ac:dyDescent="0.25">
      <c r="S3636" s="1"/>
    </row>
    <row r="3637" spans="19:19" x14ac:dyDescent="0.25">
      <c r="S3637" s="1"/>
    </row>
    <row r="3638" spans="19:19" x14ac:dyDescent="0.25">
      <c r="S3638" s="1"/>
    </row>
    <row r="3639" spans="19:19" x14ac:dyDescent="0.25">
      <c r="S3639" s="1"/>
    </row>
    <row r="3640" spans="19:19" x14ac:dyDescent="0.25">
      <c r="S3640" s="1"/>
    </row>
    <row r="3641" spans="19:19" x14ac:dyDescent="0.25">
      <c r="S3641" s="1"/>
    </row>
    <row r="3642" spans="19:19" x14ac:dyDescent="0.25">
      <c r="S3642" s="1"/>
    </row>
    <row r="3643" spans="19:19" x14ac:dyDescent="0.25">
      <c r="S3643" s="1"/>
    </row>
    <row r="3644" spans="19:19" x14ac:dyDescent="0.25">
      <c r="S3644" s="1"/>
    </row>
    <row r="3645" spans="19:19" x14ac:dyDescent="0.25">
      <c r="S3645" s="1"/>
    </row>
    <row r="3646" spans="19:19" x14ac:dyDescent="0.25">
      <c r="S3646" s="1"/>
    </row>
    <row r="3647" spans="19:19" x14ac:dyDescent="0.25">
      <c r="S3647" s="1"/>
    </row>
    <row r="3648" spans="19:19" x14ac:dyDescent="0.25">
      <c r="S3648" s="1"/>
    </row>
    <row r="3649" spans="19:19" x14ac:dyDescent="0.25">
      <c r="S3649" s="1"/>
    </row>
    <row r="3650" spans="19:19" x14ac:dyDescent="0.25">
      <c r="S3650" s="1"/>
    </row>
    <row r="3651" spans="19:19" x14ac:dyDescent="0.25">
      <c r="S3651" s="1"/>
    </row>
    <row r="3652" spans="19:19" x14ac:dyDescent="0.25">
      <c r="S3652" s="1"/>
    </row>
    <row r="3653" spans="19:19" x14ac:dyDescent="0.25">
      <c r="S3653" s="1"/>
    </row>
    <row r="3654" spans="19:19" x14ac:dyDescent="0.25">
      <c r="S3654" s="1"/>
    </row>
    <row r="3655" spans="19:19" x14ac:dyDescent="0.25">
      <c r="S3655" s="1"/>
    </row>
    <row r="3656" spans="19:19" x14ac:dyDescent="0.25">
      <c r="S3656" s="1"/>
    </row>
    <row r="3657" spans="19:19" x14ac:dyDescent="0.25">
      <c r="S3657" s="1"/>
    </row>
    <row r="3658" spans="19:19" x14ac:dyDescent="0.25">
      <c r="S3658" s="1"/>
    </row>
    <row r="3659" spans="19:19" x14ac:dyDescent="0.25">
      <c r="S3659" s="1"/>
    </row>
    <row r="3660" spans="19:19" x14ac:dyDescent="0.25">
      <c r="S3660" s="1"/>
    </row>
    <row r="3661" spans="19:19" x14ac:dyDescent="0.25">
      <c r="S3661" s="1"/>
    </row>
    <row r="3662" spans="19:19" x14ac:dyDescent="0.25">
      <c r="S3662" s="1"/>
    </row>
    <row r="3663" spans="19:19" x14ac:dyDescent="0.25">
      <c r="S3663" s="1"/>
    </row>
    <row r="3664" spans="19:19" x14ac:dyDescent="0.25">
      <c r="S3664" s="1"/>
    </row>
    <row r="3665" spans="19:19" x14ac:dyDescent="0.25">
      <c r="S3665" s="1"/>
    </row>
    <row r="3666" spans="19:19" x14ac:dyDescent="0.25">
      <c r="S3666" s="1"/>
    </row>
    <row r="3667" spans="19:19" x14ac:dyDescent="0.25">
      <c r="S3667" s="1"/>
    </row>
    <row r="3668" spans="19:19" x14ac:dyDescent="0.25">
      <c r="S3668" s="1"/>
    </row>
    <row r="3669" spans="19:19" x14ac:dyDescent="0.25">
      <c r="S3669" s="1"/>
    </row>
    <row r="3670" spans="19:19" x14ac:dyDescent="0.25">
      <c r="S3670" s="1"/>
    </row>
    <row r="3671" spans="19:19" x14ac:dyDescent="0.25">
      <c r="S3671" s="1"/>
    </row>
    <row r="3672" spans="19:19" x14ac:dyDescent="0.25">
      <c r="S3672" s="1"/>
    </row>
    <row r="3673" spans="19:19" x14ac:dyDescent="0.25">
      <c r="S3673" s="1"/>
    </row>
    <row r="3674" spans="19:19" x14ac:dyDescent="0.25">
      <c r="S3674" s="1"/>
    </row>
    <row r="3675" spans="19:19" x14ac:dyDescent="0.25">
      <c r="S3675" s="1"/>
    </row>
    <row r="3676" spans="19:19" x14ac:dyDescent="0.25">
      <c r="S3676" s="1"/>
    </row>
    <row r="3677" spans="19:19" x14ac:dyDescent="0.25">
      <c r="S3677" s="1"/>
    </row>
    <row r="3678" spans="19:19" x14ac:dyDescent="0.25">
      <c r="S3678" s="1"/>
    </row>
    <row r="3679" spans="19:19" x14ac:dyDescent="0.25">
      <c r="S3679" s="1"/>
    </row>
    <row r="3680" spans="19:19" x14ac:dyDescent="0.25">
      <c r="S3680" s="1"/>
    </row>
    <row r="3681" spans="19:19" x14ac:dyDescent="0.25">
      <c r="S3681" s="1"/>
    </row>
    <row r="3682" spans="19:19" x14ac:dyDescent="0.25">
      <c r="S3682" s="1"/>
    </row>
    <row r="3683" spans="19:19" x14ac:dyDescent="0.25">
      <c r="S3683" s="1"/>
    </row>
    <row r="3684" spans="19:19" x14ac:dyDescent="0.25">
      <c r="S3684" s="1"/>
    </row>
    <row r="3685" spans="19:19" x14ac:dyDescent="0.25">
      <c r="S3685" s="1"/>
    </row>
    <row r="3686" spans="19:19" x14ac:dyDescent="0.25">
      <c r="S3686" s="1"/>
    </row>
    <row r="3687" spans="19:19" x14ac:dyDescent="0.25">
      <c r="S3687" s="1"/>
    </row>
    <row r="3688" spans="19:19" x14ac:dyDescent="0.25">
      <c r="S3688" s="1"/>
    </row>
    <row r="3689" spans="19:19" x14ac:dyDescent="0.25">
      <c r="S3689" s="1"/>
    </row>
    <row r="3690" spans="19:19" x14ac:dyDescent="0.25">
      <c r="S3690" s="1"/>
    </row>
    <row r="3691" spans="19:19" x14ac:dyDescent="0.25">
      <c r="S3691" s="1"/>
    </row>
    <row r="3692" spans="19:19" x14ac:dyDescent="0.25">
      <c r="S3692" s="1"/>
    </row>
    <row r="3693" spans="19:19" x14ac:dyDescent="0.25">
      <c r="S3693" s="1"/>
    </row>
    <row r="3694" spans="19:19" x14ac:dyDescent="0.25">
      <c r="S3694" s="1"/>
    </row>
    <row r="3695" spans="19:19" x14ac:dyDescent="0.25">
      <c r="S3695" s="1"/>
    </row>
    <row r="3696" spans="19:19" x14ac:dyDescent="0.25">
      <c r="S3696" s="1"/>
    </row>
    <row r="3697" spans="19:19" x14ac:dyDescent="0.25">
      <c r="S3697" s="1"/>
    </row>
    <row r="3698" spans="19:19" x14ac:dyDescent="0.25">
      <c r="S3698" s="1"/>
    </row>
    <row r="3699" spans="19:19" x14ac:dyDescent="0.25">
      <c r="S3699" s="1"/>
    </row>
    <row r="3700" spans="19:19" x14ac:dyDescent="0.25">
      <c r="S3700" s="1"/>
    </row>
    <row r="3701" spans="19:19" x14ac:dyDescent="0.25">
      <c r="S3701" s="1"/>
    </row>
    <row r="3702" spans="19:19" x14ac:dyDescent="0.25">
      <c r="S3702" s="1"/>
    </row>
    <row r="3703" spans="19:19" x14ac:dyDescent="0.25">
      <c r="S3703" s="1"/>
    </row>
    <row r="3704" spans="19:19" x14ac:dyDescent="0.25">
      <c r="S3704" s="1"/>
    </row>
    <row r="3705" spans="19:19" x14ac:dyDescent="0.25">
      <c r="S3705" s="1"/>
    </row>
    <row r="3706" spans="19:19" x14ac:dyDescent="0.25">
      <c r="S3706" s="1"/>
    </row>
    <row r="3707" spans="19:19" x14ac:dyDescent="0.25">
      <c r="S3707" s="1"/>
    </row>
    <row r="3708" spans="19:19" x14ac:dyDescent="0.25">
      <c r="S3708" s="1"/>
    </row>
    <row r="3709" spans="19:19" x14ac:dyDescent="0.25">
      <c r="S3709" s="1"/>
    </row>
    <row r="3710" spans="19:19" x14ac:dyDescent="0.25">
      <c r="S3710" s="1"/>
    </row>
    <row r="3711" spans="19:19" x14ac:dyDescent="0.25">
      <c r="S3711" s="1"/>
    </row>
    <row r="3712" spans="19:19" x14ac:dyDescent="0.25">
      <c r="S3712" s="1"/>
    </row>
    <row r="3713" spans="19:19" x14ac:dyDescent="0.25">
      <c r="S3713" s="1"/>
    </row>
    <row r="3714" spans="19:19" x14ac:dyDescent="0.25">
      <c r="S3714" s="1"/>
    </row>
    <row r="3715" spans="19:19" x14ac:dyDescent="0.25">
      <c r="S3715" s="1"/>
    </row>
    <row r="3716" spans="19:19" x14ac:dyDescent="0.25">
      <c r="S3716" s="1"/>
    </row>
    <row r="3717" spans="19:19" x14ac:dyDescent="0.25">
      <c r="S3717" s="1"/>
    </row>
    <row r="3718" spans="19:19" x14ac:dyDescent="0.25">
      <c r="S3718" s="1"/>
    </row>
    <row r="3719" spans="19:19" x14ac:dyDescent="0.25">
      <c r="S3719" s="1"/>
    </row>
    <row r="3720" spans="19:19" x14ac:dyDescent="0.25">
      <c r="S3720" s="1"/>
    </row>
    <row r="3721" spans="19:19" x14ac:dyDescent="0.25">
      <c r="S3721" s="1"/>
    </row>
    <row r="3722" spans="19:19" x14ac:dyDescent="0.25">
      <c r="S3722" s="1"/>
    </row>
    <row r="3723" spans="19:19" x14ac:dyDescent="0.25">
      <c r="S3723" s="1"/>
    </row>
    <row r="3724" spans="19:19" x14ac:dyDescent="0.25">
      <c r="S3724" s="1"/>
    </row>
    <row r="3725" spans="19:19" x14ac:dyDescent="0.25">
      <c r="S3725" s="1"/>
    </row>
    <row r="3726" spans="19:19" x14ac:dyDescent="0.25">
      <c r="S3726" s="1"/>
    </row>
    <row r="3727" spans="19:19" x14ac:dyDescent="0.25">
      <c r="S3727" s="1"/>
    </row>
    <row r="3728" spans="19:19" x14ac:dyDescent="0.25">
      <c r="S3728" s="1"/>
    </row>
    <row r="3729" spans="19:19" x14ac:dyDescent="0.25">
      <c r="S3729" s="1"/>
    </row>
    <row r="3730" spans="19:19" x14ac:dyDescent="0.25">
      <c r="S3730" s="1"/>
    </row>
    <row r="3731" spans="19:19" x14ac:dyDescent="0.25">
      <c r="S3731" s="1"/>
    </row>
    <row r="3732" spans="19:19" x14ac:dyDescent="0.25">
      <c r="S3732" s="1"/>
    </row>
    <row r="3733" spans="19:19" x14ac:dyDescent="0.25">
      <c r="S3733" s="1"/>
    </row>
    <row r="3734" spans="19:19" x14ac:dyDescent="0.25">
      <c r="S3734" s="1"/>
    </row>
    <row r="3735" spans="19:19" x14ac:dyDescent="0.25">
      <c r="S3735" s="1"/>
    </row>
    <row r="3736" spans="19:19" x14ac:dyDescent="0.25">
      <c r="S3736" s="1"/>
    </row>
    <row r="3737" spans="19:19" x14ac:dyDescent="0.25">
      <c r="S3737" s="1"/>
    </row>
    <row r="3738" spans="19:19" x14ac:dyDescent="0.25">
      <c r="S3738" s="1"/>
    </row>
    <row r="3739" spans="19:19" x14ac:dyDescent="0.25">
      <c r="S3739" s="1"/>
    </row>
    <row r="3740" spans="19:19" x14ac:dyDescent="0.25">
      <c r="S3740" s="1"/>
    </row>
    <row r="3741" spans="19:19" x14ac:dyDescent="0.25">
      <c r="S3741" s="1"/>
    </row>
    <row r="3742" spans="19:19" x14ac:dyDescent="0.25">
      <c r="S3742" s="1"/>
    </row>
    <row r="3743" spans="19:19" x14ac:dyDescent="0.25">
      <c r="S3743" s="1"/>
    </row>
    <row r="3744" spans="19:19" x14ac:dyDescent="0.25">
      <c r="S3744" s="1"/>
    </row>
    <row r="3745" spans="19:19" x14ac:dyDescent="0.25">
      <c r="S3745" s="1"/>
    </row>
    <row r="3746" spans="19:19" x14ac:dyDescent="0.25">
      <c r="S3746" s="1"/>
    </row>
    <row r="3747" spans="19:19" x14ac:dyDescent="0.25">
      <c r="S3747" s="1"/>
    </row>
    <row r="3748" spans="19:19" x14ac:dyDescent="0.25">
      <c r="S3748" s="1"/>
    </row>
    <row r="3749" spans="19:19" x14ac:dyDescent="0.25">
      <c r="S3749" s="1"/>
    </row>
    <row r="3750" spans="19:19" x14ac:dyDescent="0.25">
      <c r="S3750" s="1"/>
    </row>
    <row r="3751" spans="19:19" x14ac:dyDescent="0.25">
      <c r="S3751" s="1"/>
    </row>
    <row r="3752" spans="19:19" x14ac:dyDescent="0.25">
      <c r="S3752" s="1"/>
    </row>
    <row r="3753" spans="19:19" x14ac:dyDescent="0.25">
      <c r="S3753" s="1"/>
    </row>
    <row r="3754" spans="19:19" x14ac:dyDescent="0.25">
      <c r="S3754" s="1"/>
    </row>
    <row r="3755" spans="19:19" x14ac:dyDescent="0.25">
      <c r="S3755" s="1"/>
    </row>
    <row r="3756" spans="19:19" x14ac:dyDescent="0.25">
      <c r="S3756" s="1"/>
    </row>
    <row r="3757" spans="19:19" x14ac:dyDescent="0.25">
      <c r="S3757" s="1"/>
    </row>
    <row r="3758" spans="19:19" x14ac:dyDescent="0.25">
      <c r="S3758" s="1"/>
    </row>
    <row r="3759" spans="19:19" x14ac:dyDescent="0.25">
      <c r="S3759" s="1"/>
    </row>
    <row r="3760" spans="19:19" x14ac:dyDescent="0.25">
      <c r="S3760" s="1"/>
    </row>
    <row r="3761" spans="19:19" x14ac:dyDescent="0.25">
      <c r="S3761" s="1"/>
    </row>
    <row r="3762" spans="19:19" x14ac:dyDescent="0.25">
      <c r="S3762" s="1"/>
    </row>
    <row r="3763" spans="19:19" x14ac:dyDescent="0.25">
      <c r="S3763" s="1"/>
    </row>
    <row r="3764" spans="19:19" x14ac:dyDescent="0.25">
      <c r="S3764" s="1"/>
    </row>
    <row r="3765" spans="19:19" x14ac:dyDescent="0.25">
      <c r="S3765" s="1"/>
    </row>
    <row r="3766" spans="19:19" x14ac:dyDescent="0.25">
      <c r="S3766" s="1"/>
    </row>
    <row r="3767" spans="19:19" x14ac:dyDescent="0.25">
      <c r="S3767" s="1"/>
    </row>
    <row r="3768" spans="19:19" x14ac:dyDescent="0.25">
      <c r="S3768" s="1"/>
    </row>
    <row r="3769" spans="19:19" x14ac:dyDescent="0.25">
      <c r="S3769" s="1"/>
    </row>
    <row r="3770" spans="19:19" x14ac:dyDescent="0.25">
      <c r="S3770" s="1"/>
    </row>
    <row r="3771" spans="19:19" x14ac:dyDescent="0.25">
      <c r="S3771" s="1"/>
    </row>
    <row r="3772" spans="19:19" x14ac:dyDescent="0.25">
      <c r="S3772" s="1"/>
    </row>
    <row r="3773" spans="19:19" x14ac:dyDescent="0.25">
      <c r="S3773" s="1"/>
    </row>
    <row r="3774" spans="19:19" x14ac:dyDescent="0.25">
      <c r="S3774" s="1"/>
    </row>
    <row r="3775" spans="19:19" x14ac:dyDescent="0.25">
      <c r="S3775" s="1"/>
    </row>
    <row r="3776" spans="19:19" x14ac:dyDescent="0.25">
      <c r="S3776" s="1"/>
    </row>
    <row r="3777" spans="19:19" x14ac:dyDescent="0.25">
      <c r="S3777" s="1"/>
    </row>
    <row r="3778" spans="19:19" x14ac:dyDescent="0.25">
      <c r="S3778" s="1"/>
    </row>
    <row r="3779" spans="19:19" x14ac:dyDescent="0.25">
      <c r="S3779" s="1"/>
    </row>
    <row r="3780" spans="19:19" x14ac:dyDescent="0.25">
      <c r="S3780" s="1"/>
    </row>
    <row r="3781" spans="19:19" x14ac:dyDescent="0.25">
      <c r="S3781" s="1"/>
    </row>
    <row r="3782" spans="19:19" x14ac:dyDescent="0.25">
      <c r="S3782" s="1"/>
    </row>
    <row r="3783" spans="19:19" x14ac:dyDescent="0.25">
      <c r="S3783" s="1"/>
    </row>
    <row r="3784" spans="19:19" x14ac:dyDescent="0.25">
      <c r="S3784" s="1"/>
    </row>
    <row r="3785" spans="19:19" x14ac:dyDescent="0.25">
      <c r="S3785" s="1"/>
    </row>
    <row r="3786" spans="19:19" x14ac:dyDescent="0.25">
      <c r="S3786" s="1"/>
    </row>
    <row r="3787" spans="19:19" x14ac:dyDescent="0.25">
      <c r="S3787" s="1"/>
    </row>
    <row r="3788" spans="19:19" x14ac:dyDescent="0.25">
      <c r="S3788" s="1"/>
    </row>
    <row r="3789" spans="19:19" x14ac:dyDescent="0.25">
      <c r="S3789" s="1"/>
    </row>
    <row r="3790" spans="19:19" x14ac:dyDescent="0.25">
      <c r="S3790" s="1"/>
    </row>
    <row r="3791" spans="19:19" x14ac:dyDescent="0.25">
      <c r="S3791" s="1"/>
    </row>
    <row r="3792" spans="19:19" x14ac:dyDescent="0.25">
      <c r="S3792" s="1"/>
    </row>
    <row r="3793" spans="19:19" x14ac:dyDescent="0.25">
      <c r="S3793" s="1"/>
    </row>
    <row r="3794" spans="19:19" x14ac:dyDescent="0.25">
      <c r="S3794" s="1"/>
    </row>
    <row r="3795" spans="19:19" x14ac:dyDescent="0.25">
      <c r="S3795" s="1"/>
    </row>
    <row r="3796" spans="19:19" x14ac:dyDescent="0.25">
      <c r="S3796" s="1"/>
    </row>
    <row r="3797" spans="19:19" x14ac:dyDescent="0.25">
      <c r="S3797" s="1"/>
    </row>
    <row r="3798" spans="19:19" x14ac:dyDescent="0.25">
      <c r="S3798" s="1"/>
    </row>
    <row r="3799" spans="19:19" x14ac:dyDescent="0.25">
      <c r="S3799" s="1"/>
    </row>
    <row r="3800" spans="19:19" x14ac:dyDescent="0.25">
      <c r="S3800" s="1"/>
    </row>
    <row r="3801" spans="19:19" x14ac:dyDescent="0.25">
      <c r="S3801" s="1"/>
    </row>
    <row r="3802" spans="19:19" x14ac:dyDescent="0.25">
      <c r="S3802" s="1"/>
    </row>
    <row r="3803" spans="19:19" x14ac:dyDescent="0.25">
      <c r="S3803" s="1"/>
    </row>
    <row r="3804" spans="19:19" x14ac:dyDescent="0.25">
      <c r="S3804" s="1"/>
    </row>
    <row r="3805" spans="19:19" x14ac:dyDescent="0.25">
      <c r="S3805" s="1"/>
    </row>
    <row r="3806" spans="19:19" x14ac:dyDescent="0.25">
      <c r="S3806" s="1"/>
    </row>
    <row r="3807" spans="19:19" x14ac:dyDescent="0.25">
      <c r="S3807" s="1"/>
    </row>
    <row r="3808" spans="19:19" x14ac:dyDescent="0.25">
      <c r="S3808" s="1"/>
    </row>
    <row r="3809" spans="19:19" x14ac:dyDescent="0.25">
      <c r="S3809" s="1"/>
    </row>
    <row r="3810" spans="19:19" x14ac:dyDescent="0.25">
      <c r="S3810" s="1"/>
    </row>
    <row r="3811" spans="19:19" x14ac:dyDescent="0.25">
      <c r="S3811" s="1"/>
    </row>
    <row r="3812" spans="19:19" x14ac:dyDescent="0.25">
      <c r="S3812" s="1"/>
    </row>
    <row r="3813" spans="19:19" x14ac:dyDescent="0.25">
      <c r="S3813" s="1"/>
    </row>
    <row r="3814" spans="19:19" x14ac:dyDescent="0.25">
      <c r="S3814" s="1"/>
    </row>
    <row r="3815" spans="19:19" x14ac:dyDescent="0.25">
      <c r="S3815" s="1"/>
    </row>
    <row r="3816" spans="19:19" x14ac:dyDescent="0.25">
      <c r="S3816" s="1"/>
    </row>
    <row r="3817" spans="19:19" x14ac:dyDescent="0.25">
      <c r="S3817" s="1"/>
    </row>
    <row r="3818" spans="19:19" x14ac:dyDescent="0.25">
      <c r="S3818" s="1"/>
    </row>
    <row r="3819" spans="19:19" x14ac:dyDescent="0.25">
      <c r="S3819" s="1"/>
    </row>
    <row r="3820" spans="19:19" x14ac:dyDescent="0.25">
      <c r="S3820" s="1"/>
    </row>
    <row r="3821" spans="19:19" x14ac:dyDescent="0.25">
      <c r="S3821" s="1"/>
    </row>
    <row r="3822" spans="19:19" x14ac:dyDescent="0.25">
      <c r="S3822" s="1"/>
    </row>
    <row r="3823" spans="19:19" x14ac:dyDescent="0.25">
      <c r="S3823" s="1"/>
    </row>
    <row r="3824" spans="19:19" x14ac:dyDescent="0.25">
      <c r="S3824" s="1"/>
    </row>
    <row r="3825" spans="19:19" x14ac:dyDescent="0.25">
      <c r="S3825" s="1"/>
    </row>
    <row r="3826" spans="19:19" x14ac:dyDescent="0.25">
      <c r="S3826" s="1"/>
    </row>
    <row r="3827" spans="19:19" x14ac:dyDescent="0.25">
      <c r="S3827" s="1"/>
    </row>
    <row r="3828" spans="19:19" x14ac:dyDescent="0.25">
      <c r="S3828" s="1"/>
    </row>
    <row r="3829" spans="19:19" x14ac:dyDescent="0.25">
      <c r="S3829" s="1"/>
    </row>
    <row r="3830" spans="19:19" x14ac:dyDescent="0.25">
      <c r="S3830" s="1"/>
    </row>
    <row r="3831" spans="19:19" x14ac:dyDescent="0.25">
      <c r="S3831" s="1"/>
    </row>
    <row r="3832" spans="19:19" x14ac:dyDescent="0.25">
      <c r="S3832" s="1"/>
    </row>
    <row r="3833" spans="19:19" x14ac:dyDescent="0.25">
      <c r="S3833" s="1"/>
    </row>
    <row r="3834" spans="19:19" x14ac:dyDescent="0.25">
      <c r="S3834" s="1"/>
    </row>
    <row r="3835" spans="19:19" x14ac:dyDescent="0.25">
      <c r="S3835" s="1"/>
    </row>
    <row r="3836" spans="19:19" x14ac:dyDescent="0.25">
      <c r="S3836" s="1"/>
    </row>
    <row r="3837" spans="19:19" x14ac:dyDescent="0.25">
      <c r="S3837" s="1"/>
    </row>
    <row r="3838" spans="19:19" x14ac:dyDescent="0.25">
      <c r="S3838" s="1"/>
    </row>
    <row r="3839" spans="19:19" x14ac:dyDescent="0.25">
      <c r="S3839" s="1"/>
    </row>
    <row r="3840" spans="19:19" x14ac:dyDescent="0.25">
      <c r="S3840" s="1"/>
    </row>
    <row r="3841" spans="19:19" x14ac:dyDescent="0.25">
      <c r="S3841" s="1"/>
    </row>
    <row r="3842" spans="19:19" x14ac:dyDescent="0.25">
      <c r="S3842" s="1"/>
    </row>
    <row r="3843" spans="19:19" x14ac:dyDescent="0.25">
      <c r="S3843" s="1"/>
    </row>
    <row r="3844" spans="19:19" x14ac:dyDescent="0.25">
      <c r="S3844" s="1"/>
    </row>
    <row r="3845" spans="19:19" x14ac:dyDescent="0.25">
      <c r="S3845" s="1"/>
    </row>
    <row r="3846" spans="19:19" x14ac:dyDescent="0.25">
      <c r="S3846" s="1"/>
    </row>
    <row r="3847" spans="19:19" x14ac:dyDescent="0.25">
      <c r="S3847" s="1"/>
    </row>
    <row r="3848" spans="19:19" x14ac:dyDescent="0.25">
      <c r="S3848" s="1"/>
    </row>
    <row r="3849" spans="19:19" x14ac:dyDescent="0.25">
      <c r="S3849" s="1"/>
    </row>
    <row r="3850" spans="19:19" x14ac:dyDescent="0.25">
      <c r="S3850" s="1"/>
    </row>
    <row r="3851" spans="19:19" x14ac:dyDescent="0.25">
      <c r="S3851" s="1"/>
    </row>
    <row r="3852" spans="19:19" x14ac:dyDescent="0.25">
      <c r="S3852" s="1"/>
    </row>
    <row r="3853" spans="19:19" x14ac:dyDescent="0.25">
      <c r="S3853" s="1"/>
    </row>
    <row r="3854" spans="19:19" x14ac:dyDescent="0.25">
      <c r="S3854" s="1"/>
    </row>
    <row r="3855" spans="19:19" x14ac:dyDescent="0.25">
      <c r="S3855" s="1"/>
    </row>
    <row r="3856" spans="19:19" x14ac:dyDescent="0.25">
      <c r="S3856" s="1"/>
    </row>
    <row r="3857" spans="19:19" x14ac:dyDescent="0.25">
      <c r="S3857" s="1"/>
    </row>
    <row r="3858" spans="19:19" x14ac:dyDescent="0.25">
      <c r="S3858" s="1"/>
    </row>
    <row r="3859" spans="19:19" x14ac:dyDescent="0.25">
      <c r="S3859" s="1"/>
    </row>
    <row r="3860" spans="19:19" x14ac:dyDescent="0.25">
      <c r="S3860" s="1"/>
    </row>
    <row r="3861" spans="19:19" x14ac:dyDescent="0.25">
      <c r="S3861" s="1"/>
    </row>
    <row r="3862" spans="19:19" x14ac:dyDescent="0.25">
      <c r="S3862" s="1"/>
    </row>
    <row r="3863" spans="19:19" x14ac:dyDescent="0.25">
      <c r="S3863" s="1"/>
    </row>
    <row r="3864" spans="19:19" x14ac:dyDescent="0.25">
      <c r="S3864" s="1"/>
    </row>
    <row r="3865" spans="19:19" x14ac:dyDescent="0.25">
      <c r="S3865" s="1"/>
    </row>
    <row r="3866" spans="19:19" x14ac:dyDescent="0.25">
      <c r="S3866" s="1"/>
    </row>
    <row r="3867" spans="19:19" x14ac:dyDescent="0.25">
      <c r="S3867" s="1"/>
    </row>
    <row r="3868" spans="19:19" x14ac:dyDescent="0.25">
      <c r="S3868" s="1"/>
    </row>
    <row r="3869" spans="19:19" x14ac:dyDescent="0.25">
      <c r="S3869" s="1"/>
    </row>
    <row r="3870" spans="19:19" x14ac:dyDescent="0.25">
      <c r="S3870" s="1"/>
    </row>
    <row r="3871" spans="19:19" x14ac:dyDescent="0.25">
      <c r="S3871" s="1"/>
    </row>
    <row r="3872" spans="19:19" x14ac:dyDescent="0.25">
      <c r="S3872" s="1"/>
    </row>
    <row r="3873" spans="19:19" x14ac:dyDescent="0.25">
      <c r="S3873" s="1"/>
    </row>
    <row r="3874" spans="19:19" x14ac:dyDescent="0.25">
      <c r="S3874" s="1"/>
    </row>
    <row r="3875" spans="19:19" x14ac:dyDescent="0.25">
      <c r="S3875" s="1"/>
    </row>
    <row r="3876" spans="19:19" x14ac:dyDescent="0.25">
      <c r="S3876" s="1"/>
    </row>
    <row r="3877" spans="19:19" x14ac:dyDescent="0.25">
      <c r="S3877" s="1"/>
    </row>
    <row r="3878" spans="19:19" x14ac:dyDescent="0.25">
      <c r="S3878" s="1"/>
    </row>
    <row r="3879" spans="19:19" x14ac:dyDescent="0.25">
      <c r="S3879" s="1"/>
    </row>
    <row r="3880" spans="19:19" x14ac:dyDescent="0.25">
      <c r="S3880" s="1"/>
    </row>
    <row r="3881" spans="19:19" x14ac:dyDescent="0.25">
      <c r="S3881" s="1"/>
    </row>
    <row r="3882" spans="19:19" x14ac:dyDescent="0.25">
      <c r="S3882" s="1"/>
    </row>
    <row r="3883" spans="19:19" x14ac:dyDescent="0.25">
      <c r="S3883" s="1"/>
    </row>
    <row r="3884" spans="19:19" x14ac:dyDescent="0.25">
      <c r="S3884" s="1"/>
    </row>
    <row r="3885" spans="19:19" x14ac:dyDescent="0.25">
      <c r="S3885" s="1"/>
    </row>
    <row r="3886" spans="19:19" x14ac:dyDescent="0.25">
      <c r="S3886" s="1"/>
    </row>
    <row r="3887" spans="19:19" x14ac:dyDescent="0.25">
      <c r="S3887" s="1"/>
    </row>
    <row r="3888" spans="19:19" x14ac:dyDescent="0.25">
      <c r="S3888" s="1"/>
    </row>
    <row r="3889" spans="19:19" x14ac:dyDescent="0.25">
      <c r="S3889" s="1"/>
    </row>
    <row r="3890" spans="19:19" x14ac:dyDescent="0.25">
      <c r="S3890" s="1"/>
    </row>
    <row r="3891" spans="19:19" x14ac:dyDescent="0.25">
      <c r="S3891" s="1"/>
    </row>
    <row r="3892" spans="19:19" x14ac:dyDescent="0.25">
      <c r="S3892" s="1"/>
    </row>
    <row r="3893" spans="19:19" x14ac:dyDescent="0.25">
      <c r="S3893" s="1"/>
    </row>
    <row r="3894" spans="19:19" x14ac:dyDescent="0.25">
      <c r="S3894" s="1"/>
    </row>
    <row r="3895" spans="19:19" x14ac:dyDescent="0.25">
      <c r="S3895" s="1"/>
    </row>
    <row r="3896" spans="19:19" x14ac:dyDescent="0.25">
      <c r="S3896" s="1"/>
    </row>
    <row r="3897" spans="19:19" x14ac:dyDescent="0.25">
      <c r="S3897" s="1"/>
    </row>
    <row r="3898" spans="19:19" x14ac:dyDescent="0.25">
      <c r="S3898" s="1"/>
    </row>
    <row r="3899" spans="19:19" x14ac:dyDescent="0.25">
      <c r="S3899" s="1"/>
    </row>
    <row r="3900" spans="19:19" x14ac:dyDescent="0.25">
      <c r="S3900" s="1"/>
    </row>
    <row r="3901" spans="19:19" x14ac:dyDescent="0.25">
      <c r="S3901" s="1"/>
    </row>
    <row r="3902" spans="19:19" x14ac:dyDescent="0.25">
      <c r="S3902" s="1"/>
    </row>
    <row r="3903" spans="19:19" x14ac:dyDescent="0.25">
      <c r="S3903" s="1"/>
    </row>
    <row r="3904" spans="19:19" x14ac:dyDescent="0.25">
      <c r="S3904" s="1"/>
    </row>
    <row r="3905" spans="19:19" x14ac:dyDescent="0.25">
      <c r="S3905" s="1"/>
    </row>
    <row r="3906" spans="19:19" x14ac:dyDescent="0.25">
      <c r="S3906" s="1"/>
    </row>
    <row r="3907" spans="19:19" x14ac:dyDescent="0.25">
      <c r="S3907" s="1"/>
    </row>
    <row r="3908" spans="19:19" x14ac:dyDescent="0.25">
      <c r="S3908" s="1"/>
    </row>
    <row r="3909" spans="19:19" x14ac:dyDescent="0.25">
      <c r="S3909" s="1"/>
    </row>
    <row r="3910" spans="19:19" x14ac:dyDescent="0.25">
      <c r="S3910" s="1"/>
    </row>
    <row r="3911" spans="19:19" x14ac:dyDescent="0.25">
      <c r="S3911" s="1"/>
    </row>
    <row r="3912" spans="19:19" x14ac:dyDescent="0.25">
      <c r="S3912" s="1"/>
    </row>
    <row r="3913" spans="19:19" x14ac:dyDescent="0.25">
      <c r="S3913" s="1"/>
    </row>
    <row r="3914" spans="19:19" x14ac:dyDescent="0.25">
      <c r="S3914" s="1"/>
    </row>
    <row r="3915" spans="19:19" x14ac:dyDescent="0.25">
      <c r="S3915" s="1"/>
    </row>
    <row r="3916" spans="19:19" x14ac:dyDescent="0.25">
      <c r="S3916" s="1"/>
    </row>
    <row r="3917" spans="19:19" x14ac:dyDescent="0.25">
      <c r="S3917" s="1"/>
    </row>
    <row r="3918" spans="19:19" x14ac:dyDescent="0.25">
      <c r="S3918" s="1"/>
    </row>
    <row r="3919" spans="19:19" x14ac:dyDescent="0.25">
      <c r="S3919" s="1"/>
    </row>
    <row r="3920" spans="19:19" x14ac:dyDescent="0.25">
      <c r="S3920" s="1"/>
    </row>
    <row r="3921" spans="19:19" x14ac:dyDescent="0.25">
      <c r="S3921" s="1"/>
    </row>
    <row r="3922" spans="19:19" x14ac:dyDescent="0.25">
      <c r="S3922" s="1"/>
    </row>
    <row r="3923" spans="19:19" x14ac:dyDescent="0.25">
      <c r="S3923" s="1"/>
    </row>
    <row r="3924" spans="19:19" x14ac:dyDescent="0.25">
      <c r="S3924" s="1"/>
    </row>
    <row r="3925" spans="19:19" x14ac:dyDescent="0.25">
      <c r="S3925" s="1"/>
    </row>
    <row r="3926" spans="19:19" x14ac:dyDescent="0.25">
      <c r="S3926" s="1"/>
    </row>
    <row r="3927" spans="19:19" x14ac:dyDescent="0.25">
      <c r="S3927" s="1"/>
    </row>
    <row r="3928" spans="19:19" x14ac:dyDescent="0.25">
      <c r="S3928" s="1"/>
    </row>
    <row r="3929" spans="19:19" x14ac:dyDescent="0.25">
      <c r="S3929" s="1"/>
    </row>
    <row r="3930" spans="19:19" x14ac:dyDescent="0.25">
      <c r="S3930" s="1"/>
    </row>
    <row r="3931" spans="19:19" x14ac:dyDescent="0.25">
      <c r="S3931" s="1"/>
    </row>
    <row r="3932" spans="19:19" x14ac:dyDescent="0.25">
      <c r="S3932" s="1"/>
    </row>
    <row r="3933" spans="19:19" x14ac:dyDescent="0.25">
      <c r="S3933" s="1"/>
    </row>
    <row r="3934" spans="19:19" x14ac:dyDescent="0.25">
      <c r="S3934" s="1"/>
    </row>
    <row r="3935" spans="19:19" x14ac:dyDescent="0.25">
      <c r="S3935" s="1"/>
    </row>
    <row r="3936" spans="19:19" x14ac:dyDescent="0.25">
      <c r="S3936" s="1"/>
    </row>
    <row r="3937" spans="19:19" x14ac:dyDescent="0.25">
      <c r="S3937" s="1"/>
    </row>
    <row r="3938" spans="19:19" x14ac:dyDescent="0.25">
      <c r="S3938" s="1"/>
    </row>
    <row r="3939" spans="19:19" x14ac:dyDescent="0.25">
      <c r="S3939" s="1"/>
    </row>
    <row r="3940" spans="19:19" x14ac:dyDescent="0.25">
      <c r="S3940" s="1"/>
    </row>
    <row r="3941" spans="19:19" x14ac:dyDescent="0.25">
      <c r="S3941" s="1"/>
    </row>
    <row r="3942" spans="19:19" x14ac:dyDescent="0.25">
      <c r="S3942" s="1"/>
    </row>
    <row r="3943" spans="19:19" x14ac:dyDescent="0.25">
      <c r="S3943" s="1"/>
    </row>
    <row r="3944" spans="19:19" x14ac:dyDescent="0.25">
      <c r="S3944" s="1"/>
    </row>
    <row r="3945" spans="19:19" x14ac:dyDescent="0.25">
      <c r="S3945" s="1"/>
    </row>
    <row r="3946" spans="19:19" x14ac:dyDescent="0.25">
      <c r="S3946" s="1"/>
    </row>
    <row r="3947" spans="19:19" x14ac:dyDescent="0.25">
      <c r="S3947" s="1"/>
    </row>
    <row r="3948" spans="19:19" x14ac:dyDescent="0.25">
      <c r="S3948" s="1"/>
    </row>
    <row r="3949" spans="19:19" x14ac:dyDescent="0.25">
      <c r="S3949" s="1"/>
    </row>
    <row r="3950" spans="19:19" x14ac:dyDescent="0.25">
      <c r="S3950" s="1"/>
    </row>
    <row r="3951" spans="19:19" x14ac:dyDescent="0.25">
      <c r="S3951" s="1"/>
    </row>
    <row r="3952" spans="19:19" x14ac:dyDescent="0.25">
      <c r="S3952" s="1"/>
    </row>
    <row r="3953" spans="19:19" x14ac:dyDescent="0.25">
      <c r="S3953" s="1"/>
    </row>
    <row r="3954" spans="19:19" x14ac:dyDescent="0.25">
      <c r="S3954" s="1"/>
    </row>
    <row r="3955" spans="19:19" x14ac:dyDescent="0.25">
      <c r="S3955" s="1"/>
    </row>
    <row r="3956" spans="19:19" x14ac:dyDescent="0.25">
      <c r="S3956" s="1"/>
    </row>
    <row r="3957" spans="19:19" x14ac:dyDescent="0.25">
      <c r="S3957" s="1"/>
    </row>
    <row r="3958" spans="19:19" x14ac:dyDescent="0.25">
      <c r="S3958" s="1"/>
    </row>
    <row r="3959" spans="19:19" x14ac:dyDescent="0.25">
      <c r="S3959" s="1"/>
    </row>
    <row r="3960" spans="19:19" x14ac:dyDescent="0.25">
      <c r="S3960" s="1"/>
    </row>
    <row r="3961" spans="19:19" x14ac:dyDescent="0.25">
      <c r="S3961" s="1"/>
    </row>
    <row r="3962" spans="19:19" x14ac:dyDescent="0.25">
      <c r="S3962" s="1"/>
    </row>
    <row r="3963" spans="19:19" x14ac:dyDescent="0.25">
      <c r="S3963" s="1"/>
    </row>
    <row r="3964" spans="19:19" x14ac:dyDescent="0.25">
      <c r="S3964" s="1"/>
    </row>
    <row r="3965" spans="19:19" x14ac:dyDescent="0.25">
      <c r="S3965" s="1"/>
    </row>
    <row r="3966" spans="19:19" x14ac:dyDescent="0.25">
      <c r="S3966" s="1"/>
    </row>
    <row r="3967" spans="19:19" x14ac:dyDescent="0.25">
      <c r="S3967" s="1"/>
    </row>
    <row r="3968" spans="19:19" x14ac:dyDescent="0.25">
      <c r="S3968" s="1"/>
    </row>
    <row r="3969" spans="19:19" x14ac:dyDescent="0.25">
      <c r="S3969" s="1"/>
    </row>
    <row r="3970" spans="19:19" x14ac:dyDescent="0.25">
      <c r="S3970" s="1"/>
    </row>
    <row r="3971" spans="19:19" x14ac:dyDescent="0.25">
      <c r="S3971" s="1"/>
    </row>
    <row r="3972" spans="19:19" x14ac:dyDescent="0.25">
      <c r="S3972" s="1"/>
    </row>
    <row r="3973" spans="19:19" x14ac:dyDescent="0.25">
      <c r="S3973" s="1"/>
    </row>
    <row r="3974" spans="19:19" x14ac:dyDescent="0.25">
      <c r="S3974" s="1"/>
    </row>
    <row r="3975" spans="19:19" x14ac:dyDescent="0.25">
      <c r="S3975" s="1"/>
    </row>
    <row r="3976" spans="19:19" x14ac:dyDescent="0.25">
      <c r="S3976" s="1"/>
    </row>
    <row r="3977" spans="19:19" x14ac:dyDescent="0.25">
      <c r="S3977" s="1"/>
    </row>
    <row r="3978" spans="19:19" x14ac:dyDescent="0.25">
      <c r="S3978" s="1"/>
    </row>
    <row r="3979" spans="19:19" x14ac:dyDescent="0.25">
      <c r="S3979" s="1"/>
    </row>
    <row r="3980" spans="19:19" x14ac:dyDescent="0.25">
      <c r="S3980" s="1"/>
    </row>
    <row r="3981" spans="19:19" x14ac:dyDescent="0.25">
      <c r="S3981" s="1"/>
    </row>
    <row r="3982" spans="19:19" x14ac:dyDescent="0.25">
      <c r="S3982" s="1"/>
    </row>
    <row r="3983" spans="19:19" x14ac:dyDescent="0.25">
      <c r="S3983" s="1"/>
    </row>
    <row r="3984" spans="19:19" x14ac:dyDescent="0.25">
      <c r="S3984" s="1"/>
    </row>
    <row r="3985" spans="19:19" x14ac:dyDescent="0.25">
      <c r="S3985" s="1"/>
    </row>
    <row r="3986" spans="19:19" x14ac:dyDescent="0.25">
      <c r="S3986" s="1"/>
    </row>
    <row r="3987" spans="19:19" x14ac:dyDescent="0.25">
      <c r="S3987" s="1"/>
    </row>
    <row r="3988" spans="19:19" x14ac:dyDescent="0.25">
      <c r="S3988" s="1"/>
    </row>
    <row r="3989" spans="19:19" x14ac:dyDescent="0.25">
      <c r="S3989" s="1"/>
    </row>
    <row r="3990" spans="19:19" x14ac:dyDescent="0.25">
      <c r="S3990" s="1"/>
    </row>
    <row r="3991" spans="19:19" x14ac:dyDescent="0.25">
      <c r="S3991" s="1"/>
    </row>
    <row r="3992" spans="19:19" x14ac:dyDescent="0.25">
      <c r="S3992" s="1"/>
    </row>
    <row r="3993" spans="19:19" x14ac:dyDescent="0.25">
      <c r="S3993" s="1"/>
    </row>
    <row r="3994" spans="19:19" x14ac:dyDescent="0.25">
      <c r="S3994" s="1"/>
    </row>
    <row r="3995" spans="19:19" x14ac:dyDescent="0.25">
      <c r="S3995" s="1"/>
    </row>
    <row r="3996" spans="19:19" x14ac:dyDescent="0.25">
      <c r="S3996" s="1"/>
    </row>
    <row r="3997" spans="19:19" x14ac:dyDescent="0.25">
      <c r="S3997" s="1"/>
    </row>
    <row r="3998" spans="19:19" x14ac:dyDescent="0.25">
      <c r="S3998" s="1"/>
    </row>
    <row r="3999" spans="19:19" x14ac:dyDescent="0.25">
      <c r="S3999" s="1"/>
    </row>
    <row r="4000" spans="19:19" x14ac:dyDescent="0.25">
      <c r="S4000" s="1"/>
    </row>
    <row r="4001" spans="19:19" x14ac:dyDescent="0.25">
      <c r="S4001" s="1"/>
    </row>
    <row r="4002" spans="19:19" x14ac:dyDescent="0.25">
      <c r="S4002" s="1"/>
    </row>
    <row r="4003" spans="19:19" x14ac:dyDescent="0.25">
      <c r="S4003" s="1"/>
    </row>
    <row r="4004" spans="19:19" x14ac:dyDescent="0.25">
      <c r="S4004" s="1"/>
    </row>
    <row r="4005" spans="19:19" x14ac:dyDescent="0.25">
      <c r="S4005" s="1"/>
    </row>
    <row r="4006" spans="19:19" x14ac:dyDescent="0.25">
      <c r="S4006" s="1"/>
    </row>
    <row r="4007" spans="19:19" x14ac:dyDescent="0.25">
      <c r="S4007" s="1"/>
    </row>
    <row r="4008" spans="19:19" x14ac:dyDescent="0.25">
      <c r="S4008" s="1"/>
    </row>
    <row r="4009" spans="19:19" x14ac:dyDescent="0.25">
      <c r="S4009" s="1"/>
    </row>
    <row r="4010" spans="19:19" x14ac:dyDescent="0.25">
      <c r="S4010" s="1"/>
    </row>
    <row r="4011" spans="19:19" x14ac:dyDescent="0.25">
      <c r="S4011" s="1"/>
    </row>
    <row r="4012" spans="19:19" x14ac:dyDescent="0.25">
      <c r="S4012" s="1"/>
    </row>
    <row r="4013" spans="19:19" x14ac:dyDescent="0.25">
      <c r="S4013" s="1"/>
    </row>
    <row r="4014" spans="19:19" x14ac:dyDescent="0.25">
      <c r="S4014" s="1"/>
    </row>
    <row r="4015" spans="19:19" x14ac:dyDescent="0.25">
      <c r="S4015" s="1"/>
    </row>
    <row r="4016" spans="19:19" x14ac:dyDescent="0.25">
      <c r="S4016" s="1"/>
    </row>
    <row r="4017" spans="19:19" x14ac:dyDescent="0.25">
      <c r="S4017" s="1"/>
    </row>
    <row r="4018" spans="19:19" x14ac:dyDescent="0.25">
      <c r="S4018" s="1"/>
    </row>
    <row r="4019" spans="19:19" x14ac:dyDescent="0.25">
      <c r="S4019" s="1"/>
    </row>
    <row r="4020" spans="19:19" x14ac:dyDescent="0.25">
      <c r="S4020" s="1"/>
    </row>
    <row r="4021" spans="19:19" x14ac:dyDescent="0.25">
      <c r="S4021" s="1"/>
    </row>
    <row r="4022" spans="19:19" x14ac:dyDescent="0.25">
      <c r="S4022" s="1"/>
    </row>
    <row r="4023" spans="19:19" x14ac:dyDescent="0.25">
      <c r="S4023" s="1"/>
    </row>
    <row r="4024" spans="19:19" x14ac:dyDescent="0.25">
      <c r="S4024" s="1"/>
    </row>
    <row r="4025" spans="19:19" x14ac:dyDescent="0.25">
      <c r="S4025" s="1"/>
    </row>
    <row r="4026" spans="19:19" x14ac:dyDescent="0.25">
      <c r="S4026" s="1"/>
    </row>
    <row r="4027" spans="19:19" x14ac:dyDescent="0.25">
      <c r="S4027" s="1"/>
    </row>
    <row r="4028" spans="19:19" x14ac:dyDescent="0.25">
      <c r="S4028" s="1"/>
    </row>
    <row r="4029" spans="19:19" x14ac:dyDescent="0.25">
      <c r="S4029" s="1"/>
    </row>
    <row r="4030" spans="19:19" x14ac:dyDescent="0.25">
      <c r="S4030" s="1"/>
    </row>
    <row r="4031" spans="19:19" x14ac:dyDescent="0.25">
      <c r="S4031" s="1"/>
    </row>
    <row r="4032" spans="19:19" x14ac:dyDescent="0.25">
      <c r="S4032" s="1"/>
    </row>
    <row r="4033" spans="19:19" x14ac:dyDescent="0.25">
      <c r="S4033" s="1"/>
    </row>
    <row r="4034" spans="19:19" x14ac:dyDescent="0.25">
      <c r="S4034" s="1"/>
    </row>
    <row r="4035" spans="19:19" x14ac:dyDescent="0.25">
      <c r="S4035" s="1"/>
    </row>
    <row r="4036" spans="19:19" x14ac:dyDescent="0.25">
      <c r="S4036" s="1"/>
    </row>
    <row r="4037" spans="19:19" x14ac:dyDescent="0.25">
      <c r="S4037" s="1"/>
    </row>
    <row r="4038" spans="19:19" x14ac:dyDescent="0.25">
      <c r="S4038" s="1"/>
    </row>
    <row r="4039" spans="19:19" x14ac:dyDescent="0.25">
      <c r="S4039" s="1"/>
    </row>
    <row r="4040" spans="19:19" x14ac:dyDescent="0.25">
      <c r="S4040" s="1"/>
    </row>
    <row r="4041" spans="19:19" x14ac:dyDescent="0.25">
      <c r="S4041" s="1"/>
    </row>
    <row r="4042" spans="19:19" x14ac:dyDescent="0.25">
      <c r="S4042" s="1"/>
    </row>
    <row r="4043" spans="19:19" x14ac:dyDescent="0.25">
      <c r="S4043" s="1"/>
    </row>
    <row r="4044" spans="19:19" x14ac:dyDescent="0.25">
      <c r="S4044" s="1"/>
    </row>
    <row r="4045" spans="19:19" x14ac:dyDescent="0.25">
      <c r="S4045" s="1"/>
    </row>
    <row r="4046" spans="19:19" x14ac:dyDescent="0.25">
      <c r="S4046" s="1"/>
    </row>
    <row r="4047" spans="19:19" x14ac:dyDescent="0.25">
      <c r="S4047" s="1"/>
    </row>
    <row r="4048" spans="19:19" x14ac:dyDescent="0.25">
      <c r="S4048" s="1"/>
    </row>
    <row r="4049" spans="19:19" x14ac:dyDescent="0.25">
      <c r="S4049" s="1"/>
    </row>
    <row r="4050" spans="19:19" x14ac:dyDescent="0.25">
      <c r="S4050" s="1"/>
    </row>
    <row r="4051" spans="19:19" x14ac:dyDescent="0.25">
      <c r="S4051" s="1"/>
    </row>
    <row r="4052" spans="19:19" x14ac:dyDescent="0.25">
      <c r="S4052" s="1"/>
    </row>
    <row r="4053" spans="19:19" x14ac:dyDescent="0.25">
      <c r="S4053" s="1"/>
    </row>
    <row r="4054" spans="19:19" x14ac:dyDescent="0.25">
      <c r="S4054" s="1"/>
    </row>
    <row r="4055" spans="19:19" x14ac:dyDescent="0.25">
      <c r="S4055" s="1"/>
    </row>
    <row r="4056" spans="19:19" x14ac:dyDescent="0.25">
      <c r="S4056" s="1"/>
    </row>
    <row r="4057" spans="19:19" x14ac:dyDescent="0.25">
      <c r="S4057" s="1"/>
    </row>
    <row r="4058" spans="19:19" x14ac:dyDescent="0.25">
      <c r="S4058" s="1"/>
    </row>
    <row r="4059" spans="19:19" x14ac:dyDescent="0.25">
      <c r="S4059" s="1"/>
    </row>
    <row r="4060" spans="19:19" x14ac:dyDescent="0.25">
      <c r="S4060" s="1"/>
    </row>
    <row r="4061" spans="19:19" x14ac:dyDescent="0.25">
      <c r="S4061" s="1"/>
    </row>
    <row r="4062" spans="19:19" x14ac:dyDescent="0.25">
      <c r="S4062" s="1"/>
    </row>
    <row r="4063" spans="19:19" x14ac:dyDescent="0.25">
      <c r="S4063" s="1"/>
    </row>
    <row r="4064" spans="19:19" x14ac:dyDescent="0.25">
      <c r="S4064" s="1"/>
    </row>
    <row r="4065" spans="19:19" x14ac:dyDescent="0.25">
      <c r="S4065" s="1"/>
    </row>
    <row r="4066" spans="19:19" x14ac:dyDescent="0.25">
      <c r="S4066" s="1"/>
    </row>
    <row r="4067" spans="19:19" x14ac:dyDescent="0.25">
      <c r="S4067" s="1"/>
    </row>
    <row r="4068" spans="19:19" x14ac:dyDescent="0.25">
      <c r="S4068" s="1"/>
    </row>
    <row r="4069" spans="19:19" x14ac:dyDescent="0.25">
      <c r="S4069" s="1"/>
    </row>
    <row r="4070" spans="19:19" x14ac:dyDescent="0.25">
      <c r="S4070" s="1"/>
    </row>
    <row r="4071" spans="19:19" x14ac:dyDescent="0.25">
      <c r="S4071" s="1"/>
    </row>
    <row r="4072" spans="19:19" x14ac:dyDescent="0.25">
      <c r="S4072" s="1"/>
    </row>
    <row r="4073" spans="19:19" x14ac:dyDescent="0.25">
      <c r="S4073" s="1"/>
    </row>
    <row r="4074" spans="19:19" x14ac:dyDescent="0.25">
      <c r="S4074" s="1"/>
    </row>
    <row r="4075" spans="19:19" x14ac:dyDescent="0.25">
      <c r="S4075" s="1"/>
    </row>
    <row r="4076" spans="19:19" x14ac:dyDescent="0.25">
      <c r="S4076" s="1"/>
    </row>
    <row r="4077" spans="19:19" x14ac:dyDescent="0.25">
      <c r="S4077" s="1"/>
    </row>
    <row r="4078" spans="19:19" x14ac:dyDescent="0.25">
      <c r="S4078" s="1"/>
    </row>
    <row r="4079" spans="19:19" x14ac:dyDescent="0.25">
      <c r="S4079" s="1"/>
    </row>
    <row r="4080" spans="19:19" x14ac:dyDescent="0.25">
      <c r="S4080" s="1"/>
    </row>
    <row r="4081" spans="19:19" x14ac:dyDescent="0.25">
      <c r="S4081" s="1"/>
    </row>
    <row r="4082" spans="19:19" x14ac:dyDescent="0.25">
      <c r="S4082" s="1"/>
    </row>
    <row r="4083" spans="19:19" x14ac:dyDescent="0.25">
      <c r="S4083" s="1"/>
    </row>
    <row r="4084" spans="19:19" x14ac:dyDescent="0.25">
      <c r="S4084" s="1"/>
    </row>
    <row r="4085" spans="19:19" x14ac:dyDescent="0.25">
      <c r="S4085" s="1"/>
    </row>
    <row r="4086" spans="19:19" x14ac:dyDescent="0.25">
      <c r="S4086" s="1"/>
    </row>
    <row r="4087" spans="19:19" x14ac:dyDescent="0.25">
      <c r="S4087" s="1"/>
    </row>
    <row r="4088" spans="19:19" x14ac:dyDescent="0.25">
      <c r="S4088" s="1"/>
    </row>
    <row r="4089" spans="19:19" x14ac:dyDescent="0.25">
      <c r="S4089" s="1"/>
    </row>
    <row r="4090" spans="19:19" x14ac:dyDescent="0.25">
      <c r="S4090" s="1"/>
    </row>
    <row r="4091" spans="19:19" x14ac:dyDescent="0.25">
      <c r="S4091" s="1"/>
    </row>
    <row r="4092" spans="19:19" x14ac:dyDescent="0.25">
      <c r="S4092" s="1"/>
    </row>
    <row r="4093" spans="19:19" x14ac:dyDescent="0.25">
      <c r="S4093" s="1"/>
    </row>
    <row r="4094" spans="19:19" x14ac:dyDescent="0.25">
      <c r="S4094" s="1"/>
    </row>
    <row r="4095" spans="19:19" x14ac:dyDescent="0.25">
      <c r="S4095" s="1"/>
    </row>
    <row r="4096" spans="19:19" x14ac:dyDescent="0.25">
      <c r="S4096" s="1"/>
    </row>
    <row r="4097" spans="19:19" x14ac:dyDescent="0.25">
      <c r="S4097" s="1"/>
    </row>
    <row r="4098" spans="19:19" x14ac:dyDescent="0.25">
      <c r="S4098" s="1"/>
    </row>
    <row r="4099" spans="19:19" x14ac:dyDescent="0.25">
      <c r="S4099" s="1"/>
    </row>
    <row r="4100" spans="19:19" x14ac:dyDescent="0.25">
      <c r="S4100" s="1"/>
    </row>
    <row r="4101" spans="19:19" x14ac:dyDescent="0.25">
      <c r="S4101" s="1"/>
    </row>
    <row r="4102" spans="19:19" x14ac:dyDescent="0.25">
      <c r="S4102" s="1"/>
    </row>
    <row r="4103" spans="19:19" x14ac:dyDescent="0.25">
      <c r="S4103" s="1"/>
    </row>
    <row r="4104" spans="19:19" x14ac:dyDescent="0.25">
      <c r="S4104" s="1"/>
    </row>
    <row r="4105" spans="19:19" x14ac:dyDescent="0.25">
      <c r="S4105" s="1"/>
    </row>
    <row r="4106" spans="19:19" x14ac:dyDescent="0.25">
      <c r="S4106" s="1"/>
    </row>
    <row r="4107" spans="19:19" x14ac:dyDescent="0.25">
      <c r="S4107" s="1"/>
    </row>
    <row r="4108" spans="19:19" x14ac:dyDescent="0.25">
      <c r="S4108" s="1"/>
    </row>
    <row r="4109" spans="19:19" x14ac:dyDescent="0.25">
      <c r="S4109" s="1"/>
    </row>
    <row r="4110" spans="19:19" x14ac:dyDescent="0.25">
      <c r="S4110" s="1"/>
    </row>
    <row r="4111" spans="19:19" x14ac:dyDescent="0.25">
      <c r="S4111" s="1"/>
    </row>
    <row r="4112" spans="19:19" x14ac:dyDescent="0.25">
      <c r="S4112" s="1"/>
    </row>
    <row r="4113" spans="19:19" x14ac:dyDescent="0.25">
      <c r="S4113" s="1"/>
    </row>
    <row r="4114" spans="19:19" x14ac:dyDescent="0.25">
      <c r="S4114" s="1"/>
    </row>
    <row r="4115" spans="19:19" x14ac:dyDescent="0.25">
      <c r="S4115" s="1"/>
    </row>
    <row r="4116" spans="19:19" x14ac:dyDescent="0.25">
      <c r="S4116" s="1"/>
    </row>
    <row r="4117" spans="19:19" x14ac:dyDescent="0.25">
      <c r="S4117" s="1"/>
    </row>
    <row r="4118" spans="19:19" x14ac:dyDescent="0.25">
      <c r="S4118" s="1"/>
    </row>
    <row r="4119" spans="19:19" x14ac:dyDescent="0.25">
      <c r="S4119" s="1"/>
    </row>
    <row r="4120" spans="19:19" x14ac:dyDescent="0.25">
      <c r="S4120" s="1"/>
    </row>
    <row r="4121" spans="19:19" x14ac:dyDescent="0.25">
      <c r="S4121" s="1"/>
    </row>
    <row r="4122" spans="19:19" x14ac:dyDescent="0.25">
      <c r="S4122" s="1"/>
    </row>
    <row r="4123" spans="19:19" x14ac:dyDescent="0.25">
      <c r="S4123" s="1"/>
    </row>
    <row r="4124" spans="19:19" x14ac:dyDescent="0.25">
      <c r="S4124" s="1"/>
    </row>
    <row r="4125" spans="19:19" x14ac:dyDescent="0.25">
      <c r="S4125" s="1"/>
    </row>
    <row r="4126" spans="19:19" x14ac:dyDescent="0.25">
      <c r="S4126" s="1"/>
    </row>
    <row r="4127" spans="19:19" x14ac:dyDescent="0.25">
      <c r="S4127" s="1"/>
    </row>
    <row r="4128" spans="19:19" x14ac:dyDescent="0.25">
      <c r="S4128" s="1"/>
    </row>
    <row r="4129" spans="19:19" x14ac:dyDescent="0.25">
      <c r="S4129" s="1"/>
    </row>
    <row r="4130" spans="19:19" x14ac:dyDescent="0.25">
      <c r="S4130" s="1"/>
    </row>
    <row r="4131" spans="19:19" x14ac:dyDescent="0.25">
      <c r="S4131" s="1"/>
    </row>
    <row r="4132" spans="19:19" x14ac:dyDescent="0.25">
      <c r="S4132" s="1"/>
    </row>
    <row r="4133" spans="19:19" x14ac:dyDescent="0.25">
      <c r="S4133" s="1"/>
    </row>
    <row r="4134" spans="19:19" x14ac:dyDescent="0.25">
      <c r="S4134" s="1"/>
    </row>
    <row r="4135" spans="19:19" x14ac:dyDescent="0.25">
      <c r="S4135" s="1"/>
    </row>
    <row r="4136" spans="19:19" x14ac:dyDescent="0.25">
      <c r="S4136" s="1"/>
    </row>
    <row r="4137" spans="19:19" x14ac:dyDescent="0.25">
      <c r="S4137" s="1"/>
    </row>
    <row r="4138" spans="19:19" x14ac:dyDescent="0.25">
      <c r="S4138" s="1"/>
    </row>
    <row r="4139" spans="19:19" x14ac:dyDescent="0.25">
      <c r="S4139" s="1"/>
    </row>
    <row r="4140" spans="19:19" x14ac:dyDescent="0.25">
      <c r="S4140" s="1"/>
    </row>
    <row r="4141" spans="19:19" x14ac:dyDescent="0.25">
      <c r="S4141" s="1"/>
    </row>
    <row r="4142" spans="19:19" x14ac:dyDescent="0.25">
      <c r="S4142" s="1"/>
    </row>
    <row r="4143" spans="19:19" x14ac:dyDescent="0.25">
      <c r="S4143" s="1"/>
    </row>
    <row r="4144" spans="19:19" x14ac:dyDescent="0.25">
      <c r="S4144" s="1"/>
    </row>
    <row r="4145" spans="19:19" x14ac:dyDescent="0.25">
      <c r="S4145" s="1"/>
    </row>
    <row r="4146" spans="19:19" x14ac:dyDescent="0.25">
      <c r="S4146" s="1"/>
    </row>
    <row r="4147" spans="19:19" x14ac:dyDescent="0.25">
      <c r="S4147" s="1"/>
    </row>
    <row r="4148" spans="19:19" x14ac:dyDescent="0.25">
      <c r="S4148" s="1"/>
    </row>
    <row r="4149" spans="19:19" x14ac:dyDescent="0.25">
      <c r="S4149" s="1"/>
    </row>
    <row r="4150" spans="19:19" x14ac:dyDescent="0.25">
      <c r="S4150" s="1"/>
    </row>
    <row r="4151" spans="19:19" x14ac:dyDescent="0.25">
      <c r="S4151" s="1"/>
    </row>
    <row r="4152" spans="19:19" x14ac:dyDescent="0.25">
      <c r="S4152" s="1"/>
    </row>
    <row r="4153" spans="19:19" x14ac:dyDescent="0.25">
      <c r="S4153" s="1"/>
    </row>
    <row r="4154" spans="19:19" x14ac:dyDescent="0.25">
      <c r="S4154" s="1"/>
    </row>
    <row r="4155" spans="19:19" x14ac:dyDescent="0.25">
      <c r="S4155" s="1"/>
    </row>
    <row r="4156" spans="19:19" x14ac:dyDescent="0.25">
      <c r="S4156" s="1"/>
    </row>
    <row r="4157" spans="19:19" x14ac:dyDescent="0.25">
      <c r="S4157" s="1"/>
    </row>
    <row r="4158" spans="19:19" x14ac:dyDescent="0.25">
      <c r="S4158" s="1"/>
    </row>
    <row r="4159" spans="19:19" x14ac:dyDescent="0.25">
      <c r="S4159" s="1"/>
    </row>
    <row r="4160" spans="19:19" x14ac:dyDescent="0.25">
      <c r="S4160" s="1"/>
    </row>
    <row r="4161" spans="19:19" x14ac:dyDescent="0.25">
      <c r="S4161" s="1"/>
    </row>
    <row r="4162" spans="19:19" x14ac:dyDescent="0.25">
      <c r="S4162" s="1"/>
    </row>
    <row r="4163" spans="19:19" x14ac:dyDescent="0.25">
      <c r="S4163" s="1"/>
    </row>
    <row r="4164" spans="19:19" x14ac:dyDescent="0.25">
      <c r="S4164" s="1"/>
    </row>
    <row r="4165" spans="19:19" x14ac:dyDescent="0.25">
      <c r="S4165" s="1"/>
    </row>
    <row r="4166" spans="19:19" x14ac:dyDescent="0.25">
      <c r="S4166" s="1"/>
    </row>
    <row r="4167" spans="19:19" x14ac:dyDescent="0.25">
      <c r="S4167" s="1"/>
    </row>
    <row r="4168" spans="19:19" x14ac:dyDescent="0.25">
      <c r="S4168" s="1"/>
    </row>
    <row r="4169" spans="19:19" x14ac:dyDescent="0.25">
      <c r="S4169" s="1"/>
    </row>
    <row r="4170" spans="19:19" x14ac:dyDescent="0.25">
      <c r="S4170" s="1"/>
    </row>
    <row r="4171" spans="19:19" x14ac:dyDescent="0.25">
      <c r="S4171" s="1"/>
    </row>
    <row r="4172" spans="19:19" x14ac:dyDescent="0.25">
      <c r="S4172" s="1"/>
    </row>
    <row r="4173" spans="19:19" x14ac:dyDescent="0.25">
      <c r="S4173" s="1"/>
    </row>
    <row r="4174" spans="19:19" x14ac:dyDescent="0.25">
      <c r="S4174" s="1"/>
    </row>
    <row r="4175" spans="19:19" x14ac:dyDescent="0.25">
      <c r="S4175" s="1"/>
    </row>
    <row r="4176" spans="19:19" x14ac:dyDescent="0.25">
      <c r="S4176" s="1"/>
    </row>
    <row r="4177" spans="19:19" x14ac:dyDescent="0.25">
      <c r="S4177" s="1"/>
    </row>
    <row r="4178" spans="19:19" x14ac:dyDescent="0.25">
      <c r="S4178" s="1"/>
    </row>
    <row r="4179" spans="19:19" x14ac:dyDescent="0.25">
      <c r="S4179" s="1"/>
    </row>
    <row r="4180" spans="19:19" x14ac:dyDescent="0.25">
      <c r="S4180" s="1"/>
    </row>
    <row r="4181" spans="19:19" x14ac:dyDescent="0.25">
      <c r="S4181" s="1"/>
    </row>
    <row r="4182" spans="19:19" x14ac:dyDescent="0.25">
      <c r="S4182" s="1"/>
    </row>
    <row r="4183" spans="19:19" x14ac:dyDescent="0.25">
      <c r="S4183" s="1"/>
    </row>
    <row r="4184" spans="19:19" x14ac:dyDescent="0.25">
      <c r="S4184" s="1"/>
    </row>
    <row r="4185" spans="19:19" x14ac:dyDescent="0.25">
      <c r="S4185" s="1"/>
    </row>
    <row r="4186" spans="19:19" x14ac:dyDescent="0.25">
      <c r="S4186" s="1"/>
    </row>
    <row r="4187" spans="19:19" x14ac:dyDescent="0.25">
      <c r="S4187" s="1"/>
    </row>
    <row r="4188" spans="19:19" x14ac:dyDescent="0.25">
      <c r="S4188" s="1"/>
    </row>
    <row r="4189" spans="19:19" x14ac:dyDescent="0.25">
      <c r="S4189" s="1"/>
    </row>
    <row r="4190" spans="19:19" x14ac:dyDescent="0.25">
      <c r="S4190" s="1"/>
    </row>
    <row r="4191" spans="19:19" x14ac:dyDescent="0.25">
      <c r="S4191" s="1"/>
    </row>
    <row r="4192" spans="19:19" x14ac:dyDescent="0.25">
      <c r="S4192" s="1"/>
    </row>
    <row r="4193" spans="19:19" x14ac:dyDescent="0.25">
      <c r="S4193" s="1"/>
    </row>
    <row r="4194" spans="19:19" x14ac:dyDescent="0.25">
      <c r="S4194" s="1"/>
    </row>
    <row r="4195" spans="19:19" x14ac:dyDescent="0.25">
      <c r="S4195" s="1"/>
    </row>
    <row r="4196" spans="19:19" x14ac:dyDescent="0.25">
      <c r="S4196" s="1"/>
    </row>
    <row r="4197" spans="19:19" x14ac:dyDescent="0.25">
      <c r="S4197" s="1"/>
    </row>
    <row r="4198" spans="19:19" x14ac:dyDescent="0.25">
      <c r="S4198" s="1"/>
    </row>
    <row r="4199" spans="19:19" x14ac:dyDescent="0.25">
      <c r="S4199" s="1"/>
    </row>
    <row r="4200" spans="19:19" x14ac:dyDescent="0.25">
      <c r="S4200" s="1"/>
    </row>
    <row r="4201" spans="19:19" x14ac:dyDescent="0.25">
      <c r="S4201" s="1"/>
    </row>
    <row r="4202" spans="19:19" x14ac:dyDescent="0.25">
      <c r="S4202" s="1"/>
    </row>
    <row r="4203" spans="19:19" x14ac:dyDescent="0.25">
      <c r="S4203" s="1"/>
    </row>
    <row r="4204" spans="19:19" x14ac:dyDescent="0.25">
      <c r="S4204" s="1"/>
    </row>
    <row r="4205" spans="19:19" x14ac:dyDescent="0.25">
      <c r="S4205" s="1"/>
    </row>
    <row r="4206" spans="19:19" x14ac:dyDescent="0.25">
      <c r="S4206" s="1"/>
    </row>
    <row r="4207" spans="19:19" x14ac:dyDescent="0.25">
      <c r="S4207" s="1"/>
    </row>
    <row r="4208" spans="19:19" x14ac:dyDescent="0.25">
      <c r="S4208" s="1"/>
    </row>
    <row r="4209" spans="19:19" x14ac:dyDescent="0.25">
      <c r="S4209" s="1"/>
    </row>
    <row r="4210" spans="19:19" x14ac:dyDescent="0.25">
      <c r="S4210" s="1"/>
    </row>
    <row r="4211" spans="19:19" x14ac:dyDescent="0.25">
      <c r="S4211" s="1"/>
    </row>
    <row r="4212" spans="19:19" x14ac:dyDescent="0.25">
      <c r="S4212" s="1"/>
    </row>
    <row r="4213" spans="19:19" x14ac:dyDescent="0.25">
      <c r="S4213" s="1"/>
    </row>
    <row r="4214" spans="19:19" x14ac:dyDescent="0.25">
      <c r="S4214" s="1"/>
    </row>
    <row r="4215" spans="19:19" x14ac:dyDescent="0.25">
      <c r="S4215" s="1"/>
    </row>
    <row r="4216" spans="19:19" x14ac:dyDescent="0.25">
      <c r="S4216" s="1"/>
    </row>
    <row r="4217" spans="19:19" x14ac:dyDescent="0.25">
      <c r="S4217" s="1"/>
    </row>
    <row r="4218" spans="19:19" x14ac:dyDescent="0.25">
      <c r="S4218" s="1"/>
    </row>
    <row r="4219" spans="19:19" x14ac:dyDescent="0.25">
      <c r="S4219" s="1"/>
    </row>
    <row r="4220" spans="19:19" x14ac:dyDescent="0.25">
      <c r="S4220" s="1"/>
    </row>
    <row r="4221" spans="19:19" x14ac:dyDescent="0.25">
      <c r="S4221" s="1"/>
    </row>
    <row r="4222" spans="19:19" x14ac:dyDescent="0.25">
      <c r="S4222" s="1"/>
    </row>
    <row r="4223" spans="19:19" x14ac:dyDescent="0.25">
      <c r="S4223" s="1"/>
    </row>
    <row r="4224" spans="19:19" x14ac:dyDescent="0.25">
      <c r="S4224" s="1"/>
    </row>
    <row r="4225" spans="19:19" x14ac:dyDescent="0.25">
      <c r="S4225" s="1"/>
    </row>
    <row r="4226" spans="19:19" x14ac:dyDescent="0.25">
      <c r="S4226" s="1"/>
    </row>
    <row r="4227" spans="19:19" x14ac:dyDescent="0.25">
      <c r="S4227" s="1"/>
    </row>
    <row r="4228" spans="19:19" x14ac:dyDescent="0.25">
      <c r="S4228" s="1"/>
    </row>
    <row r="4229" spans="19:19" x14ac:dyDescent="0.25">
      <c r="S4229" s="1"/>
    </row>
    <row r="4230" spans="19:19" x14ac:dyDescent="0.25">
      <c r="S4230" s="1"/>
    </row>
    <row r="4231" spans="19:19" x14ac:dyDescent="0.25">
      <c r="S4231" s="1"/>
    </row>
    <row r="4232" spans="19:19" x14ac:dyDescent="0.25">
      <c r="S4232" s="1"/>
    </row>
    <row r="4233" spans="19:19" x14ac:dyDescent="0.25">
      <c r="S4233" s="1"/>
    </row>
    <row r="4234" spans="19:19" x14ac:dyDescent="0.25">
      <c r="S4234" s="1"/>
    </row>
    <row r="4235" spans="19:19" x14ac:dyDescent="0.25">
      <c r="S4235" s="1"/>
    </row>
    <row r="4236" spans="19:19" x14ac:dyDescent="0.25">
      <c r="S4236" s="1"/>
    </row>
    <row r="4237" spans="19:19" x14ac:dyDescent="0.25">
      <c r="S4237" s="1"/>
    </row>
    <row r="4238" spans="19:19" x14ac:dyDescent="0.25">
      <c r="S4238" s="1"/>
    </row>
    <row r="4239" spans="19:19" x14ac:dyDescent="0.25">
      <c r="S4239" s="1"/>
    </row>
    <row r="4240" spans="19:19" x14ac:dyDescent="0.25">
      <c r="S4240" s="1"/>
    </row>
    <row r="4241" spans="19:19" x14ac:dyDescent="0.25">
      <c r="S4241" s="1"/>
    </row>
    <row r="4242" spans="19:19" x14ac:dyDescent="0.25">
      <c r="S4242" s="1"/>
    </row>
    <row r="4243" spans="19:19" x14ac:dyDescent="0.25">
      <c r="S4243" s="1"/>
    </row>
    <row r="4244" spans="19:19" x14ac:dyDescent="0.25">
      <c r="S4244" s="1"/>
    </row>
    <row r="4245" spans="19:19" x14ac:dyDescent="0.25">
      <c r="S4245" s="1"/>
    </row>
    <row r="4246" spans="19:19" x14ac:dyDescent="0.25">
      <c r="S4246" s="1"/>
    </row>
    <row r="4247" spans="19:19" x14ac:dyDescent="0.25">
      <c r="S4247" s="1"/>
    </row>
    <row r="4248" spans="19:19" x14ac:dyDescent="0.25">
      <c r="S4248" s="1"/>
    </row>
    <row r="4249" spans="19:19" x14ac:dyDescent="0.25">
      <c r="S4249" s="1"/>
    </row>
    <row r="4250" spans="19:19" x14ac:dyDescent="0.25">
      <c r="S4250" s="1"/>
    </row>
    <row r="4251" spans="19:19" x14ac:dyDescent="0.25">
      <c r="S4251" s="1"/>
    </row>
    <row r="4252" spans="19:19" x14ac:dyDescent="0.25">
      <c r="S4252" s="1"/>
    </row>
    <row r="4253" spans="19:19" x14ac:dyDescent="0.25">
      <c r="S4253" s="1"/>
    </row>
    <row r="4254" spans="19:19" x14ac:dyDescent="0.25">
      <c r="S4254" s="1"/>
    </row>
    <row r="4255" spans="19:19" x14ac:dyDescent="0.25">
      <c r="S4255" s="1"/>
    </row>
    <row r="4256" spans="19:19" x14ac:dyDescent="0.25">
      <c r="S4256" s="1"/>
    </row>
    <row r="4257" spans="19:19" x14ac:dyDescent="0.25">
      <c r="S4257" s="1"/>
    </row>
    <row r="4258" spans="19:19" x14ac:dyDescent="0.25">
      <c r="S4258" s="1"/>
    </row>
    <row r="4259" spans="19:19" x14ac:dyDescent="0.25">
      <c r="S4259" s="1"/>
    </row>
    <row r="4260" spans="19:19" x14ac:dyDescent="0.25">
      <c r="S4260" s="1"/>
    </row>
    <row r="4261" spans="19:19" x14ac:dyDescent="0.25">
      <c r="S4261" s="1"/>
    </row>
    <row r="4262" spans="19:19" x14ac:dyDescent="0.25">
      <c r="S4262" s="1"/>
    </row>
    <row r="4263" spans="19:19" x14ac:dyDescent="0.25">
      <c r="S4263" s="1"/>
    </row>
    <row r="4264" spans="19:19" x14ac:dyDescent="0.25">
      <c r="S4264" s="1"/>
    </row>
    <row r="4265" spans="19:19" x14ac:dyDescent="0.25">
      <c r="S4265" s="1"/>
    </row>
    <row r="4266" spans="19:19" x14ac:dyDescent="0.25">
      <c r="S4266" s="1"/>
    </row>
    <row r="4267" spans="19:19" x14ac:dyDescent="0.25">
      <c r="S4267" s="1"/>
    </row>
    <row r="4268" spans="19:19" x14ac:dyDescent="0.25">
      <c r="S4268" s="1"/>
    </row>
    <row r="4269" spans="19:19" x14ac:dyDescent="0.25">
      <c r="S4269" s="1"/>
    </row>
    <row r="4270" spans="19:19" x14ac:dyDescent="0.25">
      <c r="S4270" s="1"/>
    </row>
    <row r="4271" spans="19:19" x14ac:dyDescent="0.25">
      <c r="S4271" s="1"/>
    </row>
    <row r="4272" spans="19:19" x14ac:dyDescent="0.25">
      <c r="S4272" s="1"/>
    </row>
    <row r="4273" spans="19:19" x14ac:dyDescent="0.25">
      <c r="S4273" s="1"/>
    </row>
    <row r="4274" spans="19:19" x14ac:dyDescent="0.25">
      <c r="S4274" s="1"/>
    </row>
    <row r="4275" spans="19:19" x14ac:dyDescent="0.25">
      <c r="S4275" s="1"/>
    </row>
    <row r="4276" spans="19:19" x14ac:dyDescent="0.25">
      <c r="S4276" s="1"/>
    </row>
    <row r="4277" spans="19:19" x14ac:dyDescent="0.25">
      <c r="S4277" s="1"/>
    </row>
    <row r="4278" spans="19:19" x14ac:dyDescent="0.25">
      <c r="S4278" s="1"/>
    </row>
    <row r="4279" spans="19:19" x14ac:dyDescent="0.25">
      <c r="S4279" s="1"/>
    </row>
    <row r="4280" spans="19:19" x14ac:dyDescent="0.25">
      <c r="S4280" s="1"/>
    </row>
    <row r="4281" spans="19:19" x14ac:dyDescent="0.25">
      <c r="S4281" s="1"/>
    </row>
    <row r="4282" spans="19:19" x14ac:dyDescent="0.25">
      <c r="S4282" s="1"/>
    </row>
    <row r="4283" spans="19:19" x14ac:dyDescent="0.25">
      <c r="S4283" s="1"/>
    </row>
    <row r="4284" spans="19:19" x14ac:dyDescent="0.25">
      <c r="S4284" s="1"/>
    </row>
    <row r="4285" spans="19:19" x14ac:dyDescent="0.25">
      <c r="S4285" s="1"/>
    </row>
    <row r="4286" spans="19:19" x14ac:dyDescent="0.25">
      <c r="S4286" s="1"/>
    </row>
    <row r="4287" spans="19:19" x14ac:dyDescent="0.25">
      <c r="S4287" s="1"/>
    </row>
    <row r="4288" spans="19:19" x14ac:dyDescent="0.25">
      <c r="S4288" s="1"/>
    </row>
    <row r="4289" spans="19:19" x14ac:dyDescent="0.25">
      <c r="S4289" s="1"/>
    </row>
    <row r="4290" spans="19:19" x14ac:dyDescent="0.25">
      <c r="S4290" s="1"/>
    </row>
    <row r="4291" spans="19:19" x14ac:dyDescent="0.25">
      <c r="S4291" s="1"/>
    </row>
    <row r="4292" spans="19:19" x14ac:dyDescent="0.25">
      <c r="S4292" s="1"/>
    </row>
    <row r="4293" spans="19:19" x14ac:dyDescent="0.25">
      <c r="S4293" s="1"/>
    </row>
    <row r="4294" spans="19:19" x14ac:dyDescent="0.25">
      <c r="S4294" s="1"/>
    </row>
    <row r="4295" spans="19:19" x14ac:dyDescent="0.25">
      <c r="S4295" s="1"/>
    </row>
    <row r="4296" spans="19:19" x14ac:dyDescent="0.25">
      <c r="S4296" s="1"/>
    </row>
    <row r="4297" spans="19:19" x14ac:dyDescent="0.25">
      <c r="S4297" s="1"/>
    </row>
    <row r="4298" spans="19:19" x14ac:dyDescent="0.25">
      <c r="S4298" s="1"/>
    </row>
    <row r="4299" spans="19:19" x14ac:dyDescent="0.25">
      <c r="S4299" s="1"/>
    </row>
    <row r="4300" spans="19:19" x14ac:dyDescent="0.25">
      <c r="S4300" s="1"/>
    </row>
    <row r="4301" spans="19:19" x14ac:dyDescent="0.25">
      <c r="S4301" s="1"/>
    </row>
    <row r="4302" spans="19:19" x14ac:dyDescent="0.25">
      <c r="S4302" s="1"/>
    </row>
    <row r="4303" spans="19:19" x14ac:dyDescent="0.25">
      <c r="S4303" s="1"/>
    </row>
    <row r="4304" spans="19:19" x14ac:dyDescent="0.25">
      <c r="S4304" s="1"/>
    </row>
    <row r="4305" spans="19:19" x14ac:dyDescent="0.25">
      <c r="S4305" s="1"/>
    </row>
    <row r="4306" spans="19:19" x14ac:dyDescent="0.25">
      <c r="S4306" s="1"/>
    </row>
    <row r="4307" spans="19:19" x14ac:dyDescent="0.25">
      <c r="S4307" s="1"/>
    </row>
    <row r="4308" spans="19:19" x14ac:dyDescent="0.25">
      <c r="S4308" s="1"/>
    </row>
    <row r="4309" spans="19:19" x14ac:dyDescent="0.25">
      <c r="S4309" s="1"/>
    </row>
    <row r="4310" spans="19:19" x14ac:dyDescent="0.25">
      <c r="S4310" s="1"/>
    </row>
    <row r="4311" spans="19:19" x14ac:dyDescent="0.25">
      <c r="S4311" s="1"/>
    </row>
    <row r="4312" spans="19:19" x14ac:dyDescent="0.25">
      <c r="S4312" s="1"/>
    </row>
    <row r="4313" spans="19:19" x14ac:dyDescent="0.25">
      <c r="S4313" s="1"/>
    </row>
    <row r="4314" spans="19:19" x14ac:dyDescent="0.25">
      <c r="S4314" s="1"/>
    </row>
    <row r="4315" spans="19:19" x14ac:dyDescent="0.25">
      <c r="S4315" s="1"/>
    </row>
    <row r="4316" spans="19:19" x14ac:dyDescent="0.25">
      <c r="S4316" s="1"/>
    </row>
    <row r="4317" spans="19:19" x14ac:dyDescent="0.25">
      <c r="S4317" s="1"/>
    </row>
    <row r="4318" spans="19:19" x14ac:dyDescent="0.25">
      <c r="S4318" s="1"/>
    </row>
    <row r="4319" spans="19:19" x14ac:dyDescent="0.25">
      <c r="S4319" s="1"/>
    </row>
    <row r="4320" spans="19:19" x14ac:dyDescent="0.25">
      <c r="S4320" s="1"/>
    </row>
    <row r="4321" spans="19:19" x14ac:dyDescent="0.25">
      <c r="S4321" s="1"/>
    </row>
    <row r="4322" spans="19:19" x14ac:dyDescent="0.25">
      <c r="S4322" s="1"/>
    </row>
    <row r="4323" spans="19:19" x14ac:dyDescent="0.25">
      <c r="S4323" s="1"/>
    </row>
    <row r="4324" spans="19:19" x14ac:dyDescent="0.25">
      <c r="S4324" s="1"/>
    </row>
    <row r="4325" spans="19:19" x14ac:dyDescent="0.25">
      <c r="S4325" s="1"/>
    </row>
    <row r="4326" spans="19:19" x14ac:dyDescent="0.25">
      <c r="S4326" s="1"/>
    </row>
    <row r="4327" spans="19:19" x14ac:dyDescent="0.25">
      <c r="S4327" s="1"/>
    </row>
    <row r="4328" spans="19:19" x14ac:dyDescent="0.25">
      <c r="S4328" s="1"/>
    </row>
    <row r="4329" spans="19:19" x14ac:dyDescent="0.25">
      <c r="S4329" s="1"/>
    </row>
    <row r="4330" spans="19:19" x14ac:dyDescent="0.25">
      <c r="S4330" s="1"/>
    </row>
    <row r="4331" spans="19:19" x14ac:dyDescent="0.25">
      <c r="S4331" s="1"/>
    </row>
    <row r="4332" spans="19:19" x14ac:dyDescent="0.25">
      <c r="S4332" s="1"/>
    </row>
    <row r="4333" spans="19:19" x14ac:dyDescent="0.25">
      <c r="S4333" s="1"/>
    </row>
    <row r="4334" spans="19:19" x14ac:dyDescent="0.25">
      <c r="S4334" s="1"/>
    </row>
    <row r="4335" spans="19:19" x14ac:dyDescent="0.25">
      <c r="S4335" s="1"/>
    </row>
    <row r="4336" spans="19:19" x14ac:dyDescent="0.25">
      <c r="S4336" s="1"/>
    </row>
    <row r="4337" spans="19:19" x14ac:dyDescent="0.25">
      <c r="S4337" s="1"/>
    </row>
    <row r="4338" spans="19:19" x14ac:dyDescent="0.25">
      <c r="S4338" s="1"/>
    </row>
    <row r="4339" spans="19:19" x14ac:dyDescent="0.25">
      <c r="S4339" s="1"/>
    </row>
    <row r="4340" spans="19:19" x14ac:dyDescent="0.25">
      <c r="S4340" s="1"/>
    </row>
    <row r="4341" spans="19:19" x14ac:dyDescent="0.25">
      <c r="S4341" s="1"/>
    </row>
    <row r="4342" spans="19:19" x14ac:dyDescent="0.25">
      <c r="S4342" s="1"/>
    </row>
    <row r="4343" spans="19:19" x14ac:dyDescent="0.25">
      <c r="S4343" s="1"/>
    </row>
    <row r="4344" spans="19:19" x14ac:dyDescent="0.25">
      <c r="S4344" s="1"/>
    </row>
    <row r="4345" spans="19:19" x14ac:dyDescent="0.25">
      <c r="S4345" s="1"/>
    </row>
    <row r="4346" spans="19:19" x14ac:dyDescent="0.25">
      <c r="S4346" s="1"/>
    </row>
    <row r="4347" spans="19:19" x14ac:dyDescent="0.25">
      <c r="S4347" s="1"/>
    </row>
    <row r="4348" spans="19:19" x14ac:dyDescent="0.25">
      <c r="S4348" s="1"/>
    </row>
    <row r="4349" spans="19:19" x14ac:dyDescent="0.25">
      <c r="S4349" s="1"/>
    </row>
    <row r="4350" spans="19:19" x14ac:dyDescent="0.25">
      <c r="S4350" s="1"/>
    </row>
    <row r="4351" spans="19:19" x14ac:dyDescent="0.25">
      <c r="S4351" s="1"/>
    </row>
    <row r="4352" spans="19:19" x14ac:dyDescent="0.25">
      <c r="S4352" s="1"/>
    </row>
    <row r="4353" spans="19:19" x14ac:dyDescent="0.25">
      <c r="S4353" s="1"/>
    </row>
    <row r="4354" spans="19:19" x14ac:dyDescent="0.25">
      <c r="S4354" s="1"/>
    </row>
    <row r="4355" spans="19:19" x14ac:dyDescent="0.25">
      <c r="S4355" s="1"/>
    </row>
    <row r="4356" spans="19:19" x14ac:dyDescent="0.25">
      <c r="S4356" s="1"/>
    </row>
    <row r="4357" spans="19:19" x14ac:dyDescent="0.25">
      <c r="S4357" s="1"/>
    </row>
    <row r="4358" spans="19:19" x14ac:dyDescent="0.25">
      <c r="S4358" s="1"/>
    </row>
    <row r="4359" spans="19:19" x14ac:dyDescent="0.25">
      <c r="S4359" s="1"/>
    </row>
    <row r="4360" spans="19:19" x14ac:dyDescent="0.25">
      <c r="S4360" s="1"/>
    </row>
    <row r="4361" spans="19:19" x14ac:dyDescent="0.25">
      <c r="S4361" s="1"/>
    </row>
    <row r="4362" spans="19:19" x14ac:dyDescent="0.25">
      <c r="S4362" s="1"/>
    </row>
    <row r="4363" spans="19:19" x14ac:dyDescent="0.25">
      <c r="S4363" s="1"/>
    </row>
    <row r="4364" spans="19:19" x14ac:dyDescent="0.25">
      <c r="S4364" s="1"/>
    </row>
    <row r="4365" spans="19:19" x14ac:dyDescent="0.25">
      <c r="S4365" s="1"/>
    </row>
    <row r="4366" spans="19:19" x14ac:dyDescent="0.25">
      <c r="S4366" s="1"/>
    </row>
    <row r="4367" spans="19:19" x14ac:dyDescent="0.25">
      <c r="S4367" s="1"/>
    </row>
    <row r="4368" spans="19:19" x14ac:dyDescent="0.25">
      <c r="S4368" s="1"/>
    </row>
    <row r="4369" spans="19:19" x14ac:dyDescent="0.25">
      <c r="S4369" s="1"/>
    </row>
    <row r="4370" spans="19:19" x14ac:dyDescent="0.25">
      <c r="S4370" s="1"/>
    </row>
    <row r="4371" spans="19:19" x14ac:dyDescent="0.25">
      <c r="S4371" s="1"/>
    </row>
    <row r="4372" spans="19:19" x14ac:dyDescent="0.25">
      <c r="S4372" s="1"/>
    </row>
    <row r="4373" spans="19:19" x14ac:dyDescent="0.25">
      <c r="S4373" s="1"/>
    </row>
    <row r="4374" spans="19:19" x14ac:dyDescent="0.25">
      <c r="S4374" s="1"/>
    </row>
    <row r="4375" spans="19:19" x14ac:dyDescent="0.25">
      <c r="S4375" s="1"/>
    </row>
    <row r="4376" spans="19:19" x14ac:dyDescent="0.25">
      <c r="S4376" s="1"/>
    </row>
    <row r="4377" spans="19:19" x14ac:dyDescent="0.25">
      <c r="S4377" s="1"/>
    </row>
    <row r="4378" spans="19:19" x14ac:dyDescent="0.25">
      <c r="S4378" s="1"/>
    </row>
    <row r="4379" spans="19:19" x14ac:dyDescent="0.25">
      <c r="S4379" s="1"/>
    </row>
    <row r="4380" spans="19:19" x14ac:dyDescent="0.25">
      <c r="S4380" s="1"/>
    </row>
    <row r="4381" spans="19:19" x14ac:dyDescent="0.25">
      <c r="S4381" s="1"/>
    </row>
    <row r="4382" spans="19:19" x14ac:dyDescent="0.25">
      <c r="S4382" s="1"/>
    </row>
    <row r="4383" spans="19:19" x14ac:dyDescent="0.25">
      <c r="S4383" s="1"/>
    </row>
    <row r="4384" spans="19:19" x14ac:dyDescent="0.25">
      <c r="S4384" s="1"/>
    </row>
    <row r="4385" spans="19:19" x14ac:dyDescent="0.25">
      <c r="S4385" s="1"/>
    </row>
    <row r="4386" spans="19:19" x14ac:dyDescent="0.25">
      <c r="S4386" s="1"/>
    </row>
    <row r="4387" spans="19:19" x14ac:dyDescent="0.25">
      <c r="S4387" s="1"/>
    </row>
    <row r="4388" spans="19:19" x14ac:dyDescent="0.25">
      <c r="S4388" s="1"/>
    </row>
    <row r="4389" spans="19:19" x14ac:dyDescent="0.25">
      <c r="S4389" s="1"/>
    </row>
    <row r="4390" spans="19:19" x14ac:dyDescent="0.25">
      <c r="S4390" s="1"/>
    </row>
    <row r="4391" spans="19:19" x14ac:dyDescent="0.25">
      <c r="S4391" s="1"/>
    </row>
    <row r="4392" spans="19:19" x14ac:dyDescent="0.25">
      <c r="S4392" s="1"/>
    </row>
    <row r="4393" spans="19:19" x14ac:dyDescent="0.25">
      <c r="S4393" s="1"/>
    </row>
    <row r="4394" spans="19:19" x14ac:dyDescent="0.25">
      <c r="S4394" s="1"/>
    </row>
    <row r="4395" spans="19:19" x14ac:dyDescent="0.25">
      <c r="S4395" s="1"/>
    </row>
    <row r="4396" spans="19:19" x14ac:dyDescent="0.25">
      <c r="S4396" s="1"/>
    </row>
    <row r="4397" spans="19:19" x14ac:dyDescent="0.25">
      <c r="S4397" s="1"/>
    </row>
    <row r="4398" spans="19:19" x14ac:dyDescent="0.25">
      <c r="S4398" s="1"/>
    </row>
    <row r="4399" spans="19:19" x14ac:dyDescent="0.25">
      <c r="S4399" s="1"/>
    </row>
    <row r="4400" spans="19:19" x14ac:dyDescent="0.25">
      <c r="S4400" s="1"/>
    </row>
    <row r="4401" spans="19:19" x14ac:dyDescent="0.25">
      <c r="S4401" s="1"/>
    </row>
    <row r="4402" spans="19:19" x14ac:dyDescent="0.25">
      <c r="S4402" s="1"/>
    </row>
    <row r="4403" spans="19:19" x14ac:dyDescent="0.25">
      <c r="S4403" s="1"/>
    </row>
    <row r="4404" spans="19:19" x14ac:dyDescent="0.25">
      <c r="S4404" s="1"/>
    </row>
    <row r="4405" spans="19:19" x14ac:dyDescent="0.25">
      <c r="S4405" s="1"/>
    </row>
    <row r="4406" spans="19:19" x14ac:dyDescent="0.25">
      <c r="S4406" s="1"/>
    </row>
    <row r="4407" spans="19:19" x14ac:dyDescent="0.25">
      <c r="S4407" s="1"/>
    </row>
    <row r="4408" spans="19:19" x14ac:dyDescent="0.25">
      <c r="S4408" s="1"/>
    </row>
    <row r="4409" spans="19:19" x14ac:dyDescent="0.25">
      <c r="S4409" s="1"/>
    </row>
    <row r="4410" spans="19:19" x14ac:dyDescent="0.25">
      <c r="S4410" s="1"/>
    </row>
    <row r="4411" spans="19:19" x14ac:dyDescent="0.25">
      <c r="S4411" s="1"/>
    </row>
    <row r="4412" spans="19:19" x14ac:dyDescent="0.25">
      <c r="S4412" s="1"/>
    </row>
    <row r="4413" spans="19:19" x14ac:dyDescent="0.25">
      <c r="S4413" s="1"/>
    </row>
    <row r="4414" spans="19:19" x14ac:dyDescent="0.25">
      <c r="S4414" s="1"/>
    </row>
    <row r="4415" spans="19:19" x14ac:dyDescent="0.25">
      <c r="S4415" s="1"/>
    </row>
    <row r="4416" spans="19:19" x14ac:dyDescent="0.25">
      <c r="S4416" s="1"/>
    </row>
    <row r="4417" spans="19:19" x14ac:dyDescent="0.25">
      <c r="S4417" s="1"/>
    </row>
    <row r="4418" spans="19:19" x14ac:dyDescent="0.25">
      <c r="S4418" s="1"/>
    </row>
    <row r="4419" spans="19:19" x14ac:dyDescent="0.25">
      <c r="S4419" s="1"/>
    </row>
    <row r="4420" spans="19:19" x14ac:dyDescent="0.25">
      <c r="S4420" s="1"/>
    </row>
    <row r="4421" spans="19:19" x14ac:dyDescent="0.25">
      <c r="S4421" s="1"/>
    </row>
    <row r="4422" spans="19:19" x14ac:dyDescent="0.25">
      <c r="S4422" s="1"/>
    </row>
    <row r="4423" spans="19:19" x14ac:dyDescent="0.25">
      <c r="S4423" s="1"/>
    </row>
    <row r="4424" spans="19:19" x14ac:dyDescent="0.25">
      <c r="S4424" s="1"/>
    </row>
    <row r="4425" spans="19:19" x14ac:dyDescent="0.25">
      <c r="S4425" s="1"/>
    </row>
    <row r="4426" spans="19:19" x14ac:dyDescent="0.25">
      <c r="S4426" s="1"/>
    </row>
    <row r="4427" spans="19:19" x14ac:dyDescent="0.25">
      <c r="S4427" s="1"/>
    </row>
    <row r="4428" spans="19:19" x14ac:dyDescent="0.25">
      <c r="S4428" s="1"/>
    </row>
    <row r="4429" spans="19:19" x14ac:dyDescent="0.25">
      <c r="S4429" s="1"/>
    </row>
    <row r="4430" spans="19:19" x14ac:dyDescent="0.25">
      <c r="S4430" s="1"/>
    </row>
    <row r="4431" spans="19:19" x14ac:dyDescent="0.25">
      <c r="S4431" s="1"/>
    </row>
    <row r="4432" spans="19:19" x14ac:dyDescent="0.25">
      <c r="S4432" s="1"/>
    </row>
    <row r="4433" spans="19:19" x14ac:dyDescent="0.25">
      <c r="S4433" s="1"/>
    </row>
    <row r="4434" spans="19:19" x14ac:dyDescent="0.25">
      <c r="S4434" s="1"/>
    </row>
    <row r="4435" spans="19:19" x14ac:dyDescent="0.25">
      <c r="S4435" s="1"/>
    </row>
    <row r="4436" spans="19:19" x14ac:dyDescent="0.25">
      <c r="S4436" s="1"/>
    </row>
    <row r="4437" spans="19:19" x14ac:dyDescent="0.25">
      <c r="S4437" s="1"/>
    </row>
    <row r="4438" spans="19:19" x14ac:dyDescent="0.25">
      <c r="S4438" s="1"/>
    </row>
    <row r="4439" spans="19:19" x14ac:dyDescent="0.25">
      <c r="S4439" s="1"/>
    </row>
    <row r="4440" spans="19:19" x14ac:dyDescent="0.25">
      <c r="S4440" s="1"/>
    </row>
    <row r="4441" spans="19:19" x14ac:dyDescent="0.25">
      <c r="S4441" s="1"/>
    </row>
    <row r="4442" spans="19:19" x14ac:dyDescent="0.25">
      <c r="S4442" s="1"/>
    </row>
    <row r="4443" spans="19:19" x14ac:dyDescent="0.25">
      <c r="S4443" s="1"/>
    </row>
    <row r="4444" spans="19:19" x14ac:dyDescent="0.25">
      <c r="S4444" s="1"/>
    </row>
    <row r="4445" spans="19:19" x14ac:dyDescent="0.25">
      <c r="S4445" s="1"/>
    </row>
    <row r="4446" spans="19:19" x14ac:dyDescent="0.25">
      <c r="S4446" s="1"/>
    </row>
    <row r="4447" spans="19:19" x14ac:dyDescent="0.25">
      <c r="S4447" s="1"/>
    </row>
    <row r="4448" spans="19:19" x14ac:dyDescent="0.25">
      <c r="S4448" s="1"/>
    </row>
    <row r="4449" spans="19:19" x14ac:dyDescent="0.25">
      <c r="S4449" s="1"/>
    </row>
    <row r="4450" spans="19:19" x14ac:dyDescent="0.25">
      <c r="S4450" s="1"/>
    </row>
    <row r="4451" spans="19:19" x14ac:dyDescent="0.25">
      <c r="S4451" s="1"/>
    </row>
    <row r="4452" spans="19:19" x14ac:dyDescent="0.25">
      <c r="S4452" s="1"/>
    </row>
    <row r="4453" spans="19:19" x14ac:dyDescent="0.25">
      <c r="S4453" s="1"/>
    </row>
    <row r="4454" spans="19:19" x14ac:dyDescent="0.25">
      <c r="S4454" s="1"/>
    </row>
    <row r="4455" spans="19:19" x14ac:dyDescent="0.25">
      <c r="S4455" s="1"/>
    </row>
    <row r="4456" spans="19:19" x14ac:dyDescent="0.25">
      <c r="S4456" s="1"/>
    </row>
    <row r="4457" spans="19:19" x14ac:dyDescent="0.25">
      <c r="S4457" s="1"/>
    </row>
    <row r="4458" spans="19:19" x14ac:dyDescent="0.25">
      <c r="S4458" s="1"/>
    </row>
    <row r="4459" spans="19:19" x14ac:dyDescent="0.25">
      <c r="S4459" s="1"/>
    </row>
    <row r="4460" spans="19:19" x14ac:dyDescent="0.25">
      <c r="S4460" s="1"/>
    </row>
    <row r="4461" spans="19:19" x14ac:dyDescent="0.25">
      <c r="S4461" s="1"/>
    </row>
    <row r="4462" spans="19:19" x14ac:dyDescent="0.25">
      <c r="S4462" s="1"/>
    </row>
    <row r="4463" spans="19:19" x14ac:dyDescent="0.25">
      <c r="S4463" s="1"/>
    </row>
    <row r="4464" spans="19:19" x14ac:dyDescent="0.25">
      <c r="S4464" s="1"/>
    </row>
    <row r="4465" spans="19:19" x14ac:dyDescent="0.25">
      <c r="S4465" s="1"/>
    </row>
    <row r="4466" spans="19:19" x14ac:dyDescent="0.25">
      <c r="S4466" s="1"/>
    </row>
    <row r="4467" spans="19:19" x14ac:dyDescent="0.25">
      <c r="S4467" s="1"/>
    </row>
    <row r="4468" spans="19:19" x14ac:dyDescent="0.25">
      <c r="S4468" s="1"/>
    </row>
    <row r="4469" spans="19:19" x14ac:dyDescent="0.25">
      <c r="S4469" s="1"/>
    </row>
    <row r="4470" spans="19:19" x14ac:dyDescent="0.25">
      <c r="S4470" s="1"/>
    </row>
    <row r="4471" spans="19:19" x14ac:dyDescent="0.25">
      <c r="S4471" s="1"/>
    </row>
    <row r="4472" spans="19:19" x14ac:dyDescent="0.25">
      <c r="S4472" s="1"/>
    </row>
    <row r="4473" spans="19:19" x14ac:dyDescent="0.25">
      <c r="S4473" s="1"/>
    </row>
    <row r="4474" spans="19:19" x14ac:dyDescent="0.25">
      <c r="S4474" s="1"/>
    </row>
    <row r="4475" spans="19:19" x14ac:dyDescent="0.25">
      <c r="S4475" s="1"/>
    </row>
    <row r="4476" spans="19:19" x14ac:dyDescent="0.25">
      <c r="S4476" s="1"/>
    </row>
    <row r="4477" spans="19:19" x14ac:dyDescent="0.25">
      <c r="S4477" s="1"/>
    </row>
    <row r="4478" spans="19:19" x14ac:dyDescent="0.25">
      <c r="S4478" s="1"/>
    </row>
    <row r="4479" spans="19:19" x14ac:dyDescent="0.25">
      <c r="S4479" s="1"/>
    </row>
    <row r="4480" spans="19:19" x14ac:dyDescent="0.25">
      <c r="S4480" s="1"/>
    </row>
    <row r="4481" spans="19:19" x14ac:dyDescent="0.25">
      <c r="S4481" s="1"/>
    </row>
    <row r="4482" spans="19:19" x14ac:dyDescent="0.25">
      <c r="S4482" s="1"/>
    </row>
    <row r="4483" spans="19:19" x14ac:dyDescent="0.25">
      <c r="S4483" s="1"/>
    </row>
    <row r="4484" spans="19:19" x14ac:dyDescent="0.25">
      <c r="S4484" s="1"/>
    </row>
    <row r="4485" spans="19:19" x14ac:dyDescent="0.25">
      <c r="S4485" s="1"/>
    </row>
    <row r="4486" spans="19:19" x14ac:dyDescent="0.25">
      <c r="S4486" s="1"/>
    </row>
    <row r="4487" spans="19:19" x14ac:dyDescent="0.25">
      <c r="S4487" s="1"/>
    </row>
    <row r="4488" spans="19:19" x14ac:dyDescent="0.25">
      <c r="S4488" s="1"/>
    </row>
    <row r="4489" spans="19:19" x14ac:dyDescent="0.25">
      <c r="S4489" s="1"/>
    </row>
    <row r="4490" spans="19:19" x14ac:dyDescent="0.25">
      <c r="S4490" s="1"/>
    </row>
    <row r="4491" spans="19:19" x14ac:dyDescent="0.25">
      <c r="S4491" s="1"/>
    </row>
    <row r="4492" spans="19:19" x14ac:dyDescent="0.25">
      <c r="S4492" s="1"/>
    </row>
    <row r="4493" spans="19:19" x14ac:dyDescent="0.25">
      <c r="S4493" s="1"/>
    </row>
    <row r="4494" spans="19:19" x14ac:dyDescent="0.25">
      <c r="S4494" s="1"/>
    </row>
    <row r="4495" spans="19:19" x14ac:dyDescent="0.25">
      <c r="S4495" s="1"/>
    </row>
    <row r="4496" spans="19:19" x14ac:dyDescent="0.25">
      <c r="S4496" s="1"/>
    </row>
    <row r="4497" spans="19:19" x14ac:dyDescent="0.25">
      <c r="S4497" s="1"/>
    </row>
    <row r="4498" spans="19:19" x14ac:dyDescent="0.25">
      <c r="S4498" s="1"/>
    </row>
    <row r="4499" spans="19:19" x14ac:dyDescent="0.25">
      <c r="S4499" s="1"/>
    </row>
    <row r="4500" spans="19:19" x14ac:dyDescent="0.25">
      <c r="S4500" s="1"/>
    </row>
    <row r="4501" spans="19:19" x14ac:dyDescent="0.25">
      <c r="S4501" s="1"/>
    </row>
    <row r="4502" spans="19:19" x14ac:dyDescent="0.25">
      <c r="S4502" s="1"/>
    </row>
    <row r="4503" spans="19:19" x14ac:dyDescent="0.25">
      <c r="S4503" s="1"/>
    </row>
    <row r="4504" spans="19:19" x14ac:dyDescent="0.25">
      <c r="S4504" s="1"/>
    </row>
    <row r="4505" spans="19:19" x14ac:dyDescent="0.25">
      <c r="S4505" s="1"/>
    </row>
    <row r="4506" spans="19:19" x14ac:dyDescent="0.25">
      <c r="S4506" s="1"/>
    </row>
    <row r="4507" spans="19:19" x14ac:dyDescent="0.25">
      <c r="S4507" s="1"/>
    </row>
    <row r="4508" spans="19:19" x14ac:dyDescent="0.25">
      <c r="S4508" s="1"/>
    </row>
    <row r="4509" spans="19:19" x14ac:dyDescent="0.25">
      <c r="S4509" s="1"/>
    </row>
    <row r="4510" spans="19:19" x14ac:dyDescent="0.25">
      <c r="S4510" s="1"/>
    </row>
    <row r="4511" spans="19:19" x14ac:dyDescent="0.25">
      <c r="S4511" s="1"/>
    </row>
    <row r="4512" spans="19:19" x14ac:dyDescent="0.25">
      <c r="S4512" s="1"/>
    </row>
    <row r="4513" spans="19:19" x14ac:dyDescent="0.25">
      <c r="S4513" s="1"/>
    </row>
    <row r="4514" spans="19:19" x14ac:dyDescent="0.25">
      <c r="S4514" s="1"/>
    </row>
    <row r="4515" spans="19:19" x14ac:dyDescent="0.25">
      <c r="S4515" s="1"/>
    </row>
    <row r="4516" spans="19:19" x14ac:dyDescent="0.25">
      <c r="S4516" s="1"/>
    </row>
    <row r="4517" spans="19:19" x14ac:dyDescent="0.25">
      <c r="S4517" s="1"/>
    </row>
    <row r="4518" spans="19:19" x14ac:dyDescent="0.25">
      <c r="S4518" s="1"/>
    </row>
    <row r="4519" spans="19:19" x14ac:dyDescent="0.25">
      <c r="S4519" s="1"/>
    </row>
    <row r="4520" spans="19:19" x14ac:dyDescent="0.25">
      <c r="S4520" s="1"/>
    </row>
    <row r="4521" spans="19:19" x14ac:dyDescent="0.25">
      <c r="S4521" s="1"/>
    </row>
    <row r="4522" spans="19:19" x14ac:dyDescent="0.25">
      <c r="S4522" s="1"/>
    </row>
    <row r="4523" spans="19:19" x14ac:dyDescent="0.25">
      <c r="S4523" s="1"/>
    </row>
    <row r="4524" spans="19:19" x14ac:dyDescent="0.25">
      <c r="S4524" s="1"/>
    </row>
    <row r="4525" spans="19:19" x14ac:dyDescent="0.25">
      <c r="S4525" s="1"/>
    </row>
    <row r="4526" spans="19:19" x14ac:dyDescent="0.25">
      <c r="S4526" s="1"/>
    </row>
    <row r="4527" spans="19:19" x14ac:dyDescent="0.25">
      <c r="S4527" s="1"/>
    </row>
    <row r="4528" spans="19:19" x14ac:dyDescent="0.25">
      <c r="S4528" s="1"/>
    </row>
    <row r="4529" spans="19:19" x14ac:dyDescent="0.25">
      <c r="S4529" s="1"/>
    </row>
    <row r="4530" spans="19:19" x14ac:dyDescent="0.25">
      <c r="S4530" s="1"/>
    </row>
    <row r="4531" spans="19:19" x14ac:dyDescent="0.25">
      <c r="S4531" s="1"/>
    </row>
    <row r="4532" spans="19:19" x14ac:dyDescent="0.25">
      <c r="S4532" s="1"/>
    </row>
    <row r="4533" spans="19:19" x14ac:dyDescent="0.25">
      <c r="S4533" s="1"/>
    </row>
    <row r="4534" spans="19:19" x14ac:dyDescent="0.25">
      <c r="S4534" s="1"/>
    </row>
    <row r="4535" spans="19:19" x14ac:dyDescent="0.25">
      <c r="S4535" s="1"/>
    </row>
    <row r="4536" spans="19:19" x14ac:dyDescent="0.25">
      <c r="S4536" s="1"/>
    </row>
    <row r="4537" spans="19:19" x14ac:dyDescent="0.25">
      <c r="S4537" s="1"/>
    </row>
    <row r="4538" spans="19:19" x14ac:dyDescent="0.25">
      <c r="S4538" s="1"/>
    </row>
    <row r="4539" spans="19:19" x14ac:dyDescent="0.25">
      <c r="S4539" s="1"/>
    </row>
    <row r="4540" spans="19:19" x14ac:dyDescent="0.25">
      <c r="S4540" s="1"/>
    </row>
    <row r="4541" spans="19:19" x14ac:dyDescent="0.25">
      <c r="S4541" s="1"/>
    </row>
    <row r="4542" spans="19:19" x14ac:dyDescent="0.25">
      <c r="S4542" s="1"/>
    </row>
    <row r="4543" spans="19:19" x14ac:dyDescent="0.25">
      <c r="S4543" s="1"/>
    </row>
    <row r="4544" spans="19:19" x14ac:dyDescent="0.25">
      <c r="S4544" s="1"/>
    </row>
    <row r="4545" spans="19:19" x14ac:dyDescent="0.25">
      <c r="S4545" s="1"/>
    </row>
    <row r="4546" spans="19:19" x14ac:dyDescent="0.25">
      <c r="S4546" s="1"/>
    </row>
    <row r="4547" spans="19:19" x14ac:dyDescent="0.25">
      <c r="S4547" s="1"/>
    </row>
    <row r="4548" spans="19:19" x14ac:dyDescent="0.25">
      <c r="S4548" s="1"/>
    </row>
    <row r="4549" spans="19:19" x14ac:dyDescent="0.25">
      <c r="S4549" s="1"/>
    </row>
    <row r="4550" spans="19:19" x14ac:dyDescent="0.25">
      <c r="S4550" s="1"/>
    </row>
    <row r="4551" spans="19:19" x14ac:dyDescent="0.25">
      <c r="S4551" s="1"/>
    </row>
    <row r="4552" spans="19:19" x14ac:dyDescent="0.25">
      <c r="S4552" s="1"/>
    </row>
    <row r="4553" spans="19:19" x14ac:dyDescent="0.25">
      <c r="S4553" s="1"/>
    </row>
    <row r="4554" spans="19:19" x14ac:dyDescent="0.25">
      <c r="S4554" s="1"/>
    </row>
    <row r="4555" spans="19:19" x14ac:dyDescent="0.25">
      <c r="S4555" s="1"/>
    </row>
    <row r="4556" spans="19:19" x14ac:dyDescent="0.25">
      <c r="S4556" s="1"/>
    </row>
    <row r="4557" spans="19:19" x14ac:dyDescent="0.25">
      <c r="S4557" s="1"/>
    </row>
    <row r="4558" spans="19:19" x14ac:dyDescent="0.25">
      <c r="S4558" s="1"/>
    </row>
    <row r="4559" spans="19:19" x14ac:dyDescent="0.25">
      <c r="S4559" s="1"/>
    </row>
    <row r="4560" spans="19:19" x14ac:dyDescent="0.25">
      <c r="S4560" s="1"/>
    </row>
    <row r="4561" spans="19:19" x14ac:dyDescent="0.25">
      <c r="S4561" s="1"/>
    </row>
    <row r="4562" spans="19:19" x14ac:dyDescent="0.25">
      <c r="S4562" s="1"/>
    </row>
    <row r="4563" spans="19:19" x14ac:dyDescent="0.25">
      <c r="S4563" s="1"/>
    </row>
    <row r="4564" spans="19:19" x14ac:dyDescent="0.25">
      <c r="S4564" s="1"/>
    </row>
    <row r="4565" spans="19:19" x14ac:dyDescent="0.25">
      <c r="S4565" s="1"/>
    </row>
    <row r="4566" spans="19:19" x14ac:dyDescent="0.25">
      <c r="S4566" s="1"/>
    </row>
    <row r="4567" spans="19:19" x14ac:dyDescent="0.25">
      <c r="S4567" s="1"/>
    </row>
    <row r="4568" spans="19:19" x14ac:dyDescent="0.25">
      <c r="S4568" s="1"/>
    </row>
    <row r="4569" spans="19:19" x14ac:dyDescent="0.25">
      <c r="S4569" s="1"/>
    </row>
    <row r="4570" spans="19:19" x14ac:dyDescent="0.25">
      <c r="S4570" s="1"/>
    </row>
    <row r="4571" spans="19:19" x14ac:dyDescent="0.25">
      <c r="S4571" s="1"/>
    </row>
    <row r="4572" spans="19:19" x14ac:dyDescent="0.25">
      <c r="S4572" s="1"/>
    </row>
    <row r="4573" spans="19:19" x14ac:dyDescent="0.25">
      <c r="S4573" s="1"/>
    </row>
    <row r="4574" spans="19:19" x14ac:dyDescent="0.25">
      <c r="S4574" s="1"/>
    </row>
    <row r="4575" spans="19:19" x14ac:dyDescent="0.25">
      <c r="S4575" s="1"/>
    </row>
    <row r="4576" spans="19:19" x14ac:dyDescent="0.25">
      <c r="S4576" s="1"/>
    </row>
    <row r="4577" spans="19:19" x14ac:dyDescent="0.25">
      <c r="S4577" s="1"/>
    </row>
    <row r="4578" spans="19:19" x14ac:dyDescent="0.25">
      <c r="S4578" s="1"/>
    </row>
    <row r="4579" spans="19:19" x14ac:dyDescent="0.25">
      <c r="S4579" s="1"/>
    </row>
    <row r="4580" spans="19:19" x14ac:dyDescent="0.25">
      <c r="S4580" s="1"/>
    </row>
    <row r="4581" spans="19:19" x14ac:dyDescent="0.25">
      <c r="S4581" s="1"/>
    </row>
    <row r="4582" spans="19:19" x14ac:dyDescent="0.25">
      <c r="S4582" s="1"/>
    </row>
    <row r="4583" spans="19:19" x14ac:dyDescent="0.25">
      <c r="S4583" s="1"/>
    </row>
    <row r="4584" spans="19:19" x14ac:dyDescent="0.25">
      <c r="S4584" s="1"/>
    </row>
    <row r="4585" spans="19:19" x14ac:dyDescent="0.25">
      <c r="S4585" s="1"/>
    </row>
    <row r="4586" spans="19:19" x14ac:dyDescent="0.25">
      <c r="S4586" s="1"/>
    </row>
    <row r="4587" spans="19:19" x14ac:dyDescent="0.25">
      <c r="S4587" s="1"/>
    </row>
    <row r="4588" spans="19:19" x14ac:dyDescent="0.25">
      <c r="S4588" s="1"/>
    </row>
    <row r="4589" spans="19:19" x14ac:dyDescent="0.25">
      <c r="S4589" s="1"/>
    </row>
    <row r="4590" spans="19:19" x14ac:dyDescent="0.25">
      <c r="S4590" s="1"/>
    </row>
    <row r="4591" spans="19:19" x14ac:dyDescent="0.25">
      <c r="S4591" s="1"/>
    </row>
    <row r="4592" spans="19:19" x14ac:dyDescent="0.25">
      <c r="S4592" s="1"/>
    </row>
    <row r="4593" spans="19:19" x14ac:dyDescent="0.25">
      <c r="S4593" s="1"/>
    </row>
    <row r="4594" spans="19:19" x14ac:dyDescent="0.25">
      <c r="S4594" s="1"/>
    </row>
    <row r="4595" spans="19:19" x14ac:dyDescent="0.25">
      <c r="S4595" s="1"/>
    </row>
    <row r="4596" spans="19:19" x14ac:dyDescent="0.25">
      <c r="S4596" s="1"/>
    </row>
    <row r="4597" spans="19:19" x14ac:dyDescent="0.25">
      <c r="S4597" s="1"/>
    </row>
    <row r="4598" spans="19:19" x14ac:dyDescent="0.25">
      <c r="S4598" s="1"/>
    </row>
    <row r="4599" spans="19:19" x14ac:dyDescent="0.25">
      <c r="S4599" s="1"/>
    </row>
    <row r="4600" spans="19:19" x14ac:dyDescent="0.25">
      <c r="S4600" s="1"/>
    </row>
    <row r="4601" spans="19:19" x14ac:dyDescent="0.25">
      <c r="S4601" s="1"/>
    </row>
    <row r="4602" spans="19:19" x14ac:dyDescent="0.25">
      <c r="S4602" s="1"/>
    </row>
    <row r="4603" spans="19:19" x14ac:dyDescent="0.25">
      <c r="S4603" s="1"/>
    </row>
    <row r="4604" spans="19:19" x14ac:dyDescent="0.25">
      <c r="S4604" s="1"/>
    </row>
    <row r="4605" spans="19:19" x14ac:dyDescent="0.25">
      <c r="S4605" s="1"/>
    </row>
    <row r="4606" spans="19:19" x14ac:dyDescent="0.25">
      <c r="S4606" s="1"/>
    </row>
    <row r="4607" spans="19:19" x14ac:dyDescent="0.25">
      <c r="S4607" s="1"/>
    </row>
    <row r="4608" spans="19:19" x14ac:dyDescent="0.25">
      <c r="S4608" s="1"/>
    </row>
    <row r="4609" spans="19:19" x14ac:dyDescent="0.25">
      <c r="S4609" s="1"/>
    </row>
    <row r="4610" spans="19:19" x14ac:dyDescent="0.25">
      <c r="S4610" s="1"/>
    </row>
    <row r="4611" spans="19:19" x14ac:dyDescent="0.25">
      <c r="S4611" s="1"/>
    </row>
    <row r="4612" spans="19:19" x14ac:dyDescent="0.25">
      <c r="S4612" s="1"/>
    </row>
    <row r="4613" spans="19:19" x14ac:dyDescent="0.25">
      <c r="S4613" s="1"/>
    </row>
    <row r="4614" spans="19:19" x14ac:dyDescent="0.25">
      <c r="S4614" s="1"/>
    </row>
    <row r="4615" spans="19:19" x14ac:dyDescent="0.25">
      <c r="S4615" s="1"/>
    </row>
    <row r="4616" spans="19:19" x14ac:dyDescent="0.25">
      <c r="S4616" s="1"/>
    </row>
    <row r="4617" spans="19:19" x14ac:dyDescent="0.25">
      <c r="S4617" s="1"/>
    </row>
    <row r="4618" spans="19:19" x14ac:dyDescent="0.25">
      <c r="S4618" s="1"/>
    </row>
    <row r="4619" spans="19:19" x14ac:dyDescent="0.25">
      <c r="S4619" s="1"/>
    </row>
    <row r="4620" spans="19:19" x14ac:dyDescent="0.25">
      <c r="S4620" s="1"/>
    </row>
    <row r="4621" spans="19:19" x14ac:dyDescent="0.25">
      <c r="S4621" s="1"/>
    </row>
    <row r="4622" spans="19:19" x14ac:dyDescent="0.25">
      <c r="S4622" s="1"/>
    </row>
    <row r="4623" spans="19:19" x14ac:dyDescent="0.25">
      <c r="S4623" s="1"/>
    </row>
    <row r="4624" spans="19:19" x14ac:dyDescent="0.25">
      <c r="S4624" s="1"/>
    </row>
    <row r="4625" spans="19:19" x14ac:dyDescent="0.25">
      <c r="S4625" s="1"/>
    </row>
    <row r="4626" spans="19:19" x14ac:dyDescent="0.25">
      <c r="S4626" s="1"/>
    </row>
    <row r="4627" spans="19:19" x14ac:dyDescent="0.25">
      <c r="S4627" s="1"/>
    </row>
    <row r="4628" spans="19:19" x14ac:dyDescent="0.25">
      <c r="S4628" s="1"/>
    </row>
    <row r="4629" spans="19:19" x14ac:dyDescent="0.25">
      <c r="S4629" s="1"/>
    </row>
    <row r="4630" spans="19:19" x14ac:dyDescent="0.25">
      <c r="S4630" s="1"/>
    </row>
    <row r="4631" spans="19:19" x14ac:dyDescent="0.25">
      <c r="S4631" s="1"/>
    </row>
    <row r="4632" spans="19:19" x14ac:dyDescent="0.25">
      <c r="S4632" s="1"/>
    </row>
    <row r="4633" spans="19:19" x14ac:dyDescent="0.25">
      <c r="S4633" s="1"/>
    </row>
    <row r="4634" spans="19:19" x14ac:dyDescent="0.25">
      <c r="S4634" s="1"/>
    </row>
    <row r="4635" spans="19:19" x14ac:dyDescent="0.25">
      <c r="S4635" s="1"/>
    </row>
    <row r="4636" spans="19:19" x14ac:dyDescent="0.25">
      <c r="S4636" s="1"/>
    </row>
    <row r="4637" spans="19:19" x14ac:dyDescent="0.25">
      <c r="S4637" s="1"/>
    </row>
    <row r="4638" spans="19:19" x14ac:dyDescent="0.25">
      <c r="S4638" s="1"/>
    </row>
    <row r="4639" spans="19:19" x14ac:dyDescent="0.25">
      <c r="S4639" s="1"/>
    </row>
    <row r="4640" spans="19:19" x14ac:dyDescent="0.25">
      <c r="S4640" s="1"/>
    </row>
    <row r="4641" spans="19:19" x14ac:dyDescent="0.25">
      <c r="S4641" s="1"/>
    </row>
    <row r="4642" spans="19:19" x14ac:dyDescent="0.25">
      <c r="S4642" s="1"/>
    </row>
    <row r="4643" spans="19:19" x14ac:dyDescent="0.25">
      <c r="S4643" s="1"/>
    </row>
    <row r="4644" spans="19:19" x14ac:dyDescent="0.25">
      <c r="S4644" s="1"/>
    </row>
    <row r="4645" spans="19:19" x14ac:dyDescent="0.25">
      <c r="S4645" s="1"/>
    </row>
    <row r="4646" spans="19:19" x14ac:dyDescent="0.25">
      <c r="S4646" s="1"/>
    </row>
    <row r="4647" spans="19:19" x14ac:dyDescent="0.25">
      <c r="S4647" s="1"/>
    </row>
    <row r="4648" spans="19:19" x14ac:dyDescent="0.25">
      <c r="S4648" s="1"/>
    </row>
    <row r="4649" spans="19:19" x14ac:dyDescent="0.25">
      <c r="S4649" s="1"/>
    </row>
    <row r="4650" spans="19:19" x14ac:dyDescent="0.25">
      <c r="S4650" s="1"/>
    </row>
    <row r="4651" spans="19:19" x14ac:dyDescent="0.25">
      <c r="S4651" s="1"/>
    </row>
    <row r="4652" spans="19:19" x14ac:dyDescent="0.25">
      <c r="S4652" s="1"/>
    </row>
    <row r="4653" spans="19:19" x14ac:dyDescent="0.25">
      <c r="S4653" s="1"/>
    </row>
    <row r="4654" spans="19:19" x14ac:dyDescent="0.25">
      <c r="S4654" s="1"/>
    </row>
    <row r="4655" spans="19:19" x14ac:dyDescent="0.25">
      <c r="S4655" s="1"/>
    </row>
    <row r="4656" spans="19:19" x14ac:dyDescent="0.25">
      <c r="S4656" s="1"/>
    </row>
    <row r="4657" spans="19:19" x14ac:dyDescent="0.25">
      <c r="S4657" s="1"/>
    </row>
    <row r="4658" spans="19:19" x14ac:dyDescent="0.25">
      <c r="S4658" s="1"/>
    </row>
    <row r="4659" spans="19:19" x14ac:dyDescent="0.25">
      <c r="S4659" s="1"/>
    </row>
    <row r="4660" spans="19:19" x14ac:dyDescent="0.25">
      <c r="S4660" s="1"/>
    </row>
    <row r="4661" spans="19:19" x14ac:dyDescent="0.25">
      <c r="S4661" s="1"/>
    </row>
    <row r="4662" spans="19:19" x14ac:dyDescent="0.25">
      <c r="S4662" s="1"/>
    </row>
    <row r="4663" spans="19:19" x14ac:dyDescent="0.25">
      <c r="S4663" s="1"/>
    </row>
    <row r="4664" spans="19:19" x14ac:dyDescent="0.25">
      <c r="S4664" s="1"/>
    </row>
    <row r="4665" spans="19:19" x14ac:dyDescent="0.25">
      <c r="S4665" s="1"/>
    </row>
    <row r="4666" spans="19:19" x14ac:dyDescent="0.25">
      <c r="S4666" s="1"/>
    </row>
    <row r="4667" spans="19:19" x14ac:dyDescent="0.25">
      <c r="S4667" s="1"/>
    </row>
    <row r="4668" spans="19:19" x14ac:dyDescent="0.25">
      <c r="S4668" s="1"/>
    </row>
    <row r="4669" spans="19:19" x14ac:dyDescent="0.25">
      <c r="S4669" s="1"/>
    </row>
    <row r="4670" spans="19:19" x14ac:dyDescent="0.25">
      <c r="S4670" s="1"/>
    </row>
    <row r="4671" spans="19:19" x14ac:dyDescent="0.25">
      <c r="S4671" s="1"/>
    </row>
    <row r="4672" spans="19:19" x14ac:dyDescent="0.25">
      <c r="S4672" s="1"/>
    </row>
    <row r="4673" spans="19:19" x14ac:dyDescent="0.25">
      <c r="S4673" s="1"/>
    </row>
    <row r="4674" spans="19:19" x14ac:dyDescent="0.25">
      <c r="S4674" s="1"/>
    </row>
    <row r="4675" spans="19:19" x14ac:dyDescent="0.25">
      <c r="S4675" s="1"/>
    </row>
    <row r="4676" spans="19:19" x14ac:dyDescent="0.25">
      <c r="S4676" s="1"/>
    </row>
    <row r="4677" spans="19:19" x14ac:dyDescent="0.25">
      <c r="S4677" s="1"/>
    </row>
    <row r="4678" spans="19:19" x14ac:dyDescent="0.25">
      <c r="S4678" s="1"/>
    </row>
    <row r="4679" spans="19:19" x14ac:dyDescent="0.25">
      <c r="S4679" s="1"/>
    </row>
    <row r="4680" spans="19:19" x14ac:dyDescent="0.25">
      <c r="S4680" s="1"/>
    </row>
    <row r="4681" spans="19:19" x14ac:dyDescent="0.25">
      <c r="S4681" s="1"/>
    </row>
    <row r="4682" spans="19:19" x14ac:dyDescent="0.25">
      <c r="S4682" s="1"/>
    </row>
    <row r="4683" spans="19:19" x14ac:dyDescent="0.25">
      <c r="S4683" s="1"/>
    </row>
    <row r="4684" spans="19:19" x14ac:dyDescent="0.25">
      <c r="S4684" s="1"/>
    </row>
    <row r="4685" spans="19:19" x14ac:dyDescent="0.25">
      <c r="S4685" s="1"/>
    </row>
    <row r="4686" spans="19:19" x14ac:dyDescent="0.25">
      <c r="S4686" s="1"/>
    </row>
    <row r="4687" spans="19:19" x14ac:dyDescent="0.25">
      <c r="S4687" s="1"/>
    </row>
    <row r="4688" spans="19:19" x14ac:dyDescent="0.25">
      <c r="S4688" s="1"/>
    </row>
    <row r="4689" spans="19:19" x14ac:dyDescent="0.25">
      <c r="S4689" s="1"/>
    </row>
    <row r="4690" spans="19:19" x14ac:dyDescent="0.25">
      <c r="S4690" s="1"/>
    </row>
    <row r="4691" spans="19:19" x14ac:dyDescent="0.25">
      <c r="S4691" s="1"/>
    </row>
    <row r="4692" spans="19:19" x14ac:dyDescent="0.25">
      <c r="S4692" s="1"/>
    </row>
    <row r="4693" spans="19:19" x14ac:dyDescent="0.25">
      <c r="S4693" s="1"/>
    </row>
    <row r="4694" spans="19:19" x14ac:dyDescent="0.25">
      <c r="S4694" s="1"/>
    </row>
    <row r="4695" spans="19:19" x14ac:dyDescent="0.25">
      <c r="S4695" s="1"/>
    </row>
    <row r="4696" spans="19:19" x14ac:dyDescent="0.25">
      <c r="S4696" s="1"/>
    </row>
    <row r="4697" spans="19:19" x14ac:dyDescent="0.25">
      <c r="S4697" s="1"/>
    </row>
    <row r="4698" spans="19:19" x14ac:dyDescent="0.25">
      <c r="S4698" s="1"/>
    </row>
    <row r="4699" spans="19:19" x14ac:dyDescent="0.25">
      <c r="S4699" s="1"/>
    </row>
    <row r="4700" spans="19:19" x14ac:dyDescent="0.25">
      <c r="S4700" s="1"/>
    </row>
    <row r="4701" spans="19:19" x14ac:dyDescent="0.25">
      <c r="S4701" s="1"/>
    </row>
    <row r="4702" spans="19:19" x14ac:dyDescent="0.25">
      <c r="S4702" s="1"/>
    </row>
    <row r="4703" spans="19:19" x14ac:dyDescent="0.25">
      <c r="S4703" s="1"/>
    </row>
    <row r="4704" spans="19:19" x14ac:dyDescent="0.25">
      <c r="S4704" s="1"/>
    </row>
    <row r="4705" spans="19:19" x14ac:dyDescent="0.25">
      <c r="S4705" s="1"/>
    </row>
    <row r="4706" spans="19:19" x14ac:dyDescent="0.25">
      <c r="S4706" s="1"/>
    </row>
    <row r="4707" spans="19:19" x14ac:dyDescent="0.25">
      <c r="S4707" s="1"/>
    </row>
    <row r="4708" spans="19:19" x14ac:dyDescent="0.25">
      <c r="S4708" s="1"/>
    </row>
    <row r="4709" spans="19:19" x14ac:dyDescent="0.25">
      <c r="S4709" s="1"/>
    </row>
    <row r="4710" spans="19:19" x14ac:dyDescent="0.25">
      <c r="S4710" s="1"/>
    </row>
    <row r="4711" spans="19:19" x14ac:dyDescent="0.25">
      <c r="S4711" s="1"/>
    </row>
    <row r="4712" spans="19:19" x14ac:dyDescent="0.25">
      <c r="S4712" s="1"/>
    </row>
    <row r="4713" spans="19:19" x14ac:dyDescent="0.25">
      <c r="S4713" s="1"/>
    </row>
    <row r="4714" spans="19:19" x14ac:dyDescent="0.25">
      <c r="S4714" s="1"/>
    </row>
    <row r="4715" spans="19:19" x14ac:dyDescent="0.25">
      <c r="S4715" s="1"/>
    </row>
    <row r="4716" spans="19:19" x14ac:dyDescent="0.25">
      <c r="S4716" s="1"/>
    </row>
    <row r="4717" spans="19:19" x14ac:dyDescent="0.25">
      <c r="S4717" s="1"/>
    </row>
    <row r="4718" spans="19:19" x14ac:dyDescent="0.25">
      <c r="S4718" s="1"/>
    </row>
    <row r="4719" spans="19:19" x14ac:dyDescent="0.25">
      <c r="S4719" s="1"/>
    </row>
    <row r="4720" spans="19:19" x14ac:dyDescent="0.25">
      <c r="S4720" s="1"/>
    </row>
    <row r="4721" spans="19:19" x14ac:dyDescent="0.25">
      <c r="S4721" s="1"/>
    </row>
    <row r="4722" spans="19:19" x14ac:dyDescent="0.25">
      <c r="S4722" s="1"/>
    </row>
    <row r="4723" spans="19:19" x14ac:dyDescent="0.25">
      <c r="S4723" s="1"/>
    </row>
    <row r="4724" spans="19:19" x14ac:dyDescent="0.25">
      <c r="S4724" s="1"/>
    </row>
    <row r="4725" spans="19:19" x14ac:dyDescent="0.25">
      <c r="S4725" s="1"/>
    </row>
    <row r="4726" spans="19:19" x14ac:dyDescent="0.25">
      <c r="S4726" s="1"/>
    </row>
    <row r="4727" spans="19:19" x14ac:dyDescent="0.25">
      <c r="S4727" s="1"/>
    </row>
    <row r="4728" spans="19:19" x14ac:dyDescent="0.25">
      <c r="S4728" s="1"/>
    </row>
    <row r="4729" spans="19:19" x14ac:dyDescent="0.25">
      <c r="S4729" s="1"/>
    </row>
    <row r="4730" spans="19:19" x14ac:dyDescent="0.25">
      <c r="S4730" s="1"/>
    </row>
    <row r="4731" spans="19:19" x14ac:dyDescent="0.25">
      <c r="S4731" s="1"/>
    </row>
    <row r="4732" spans="19:19" x14ac:dyDescent="0.25">
      <c r="S4732" s="1"/>
    </row>
    <row r="4733" spans="19:19" x14ac:dyDescent="0.25">
      <c r="S4733" s="1"/>
    </row>
    <row r="4734" spans="19:19" x14ac:dyDescent="0.25">
      <c r="S4734" s="1"/>
    </row>
    <row r="4735" spans="19:19" x14ac:dyDescent="0.25">
      <c r="S4735" s="1"/>
    </row>
    <row r="4736" spans="19:19" x14ac:dyDescent="0.25">
      <c r="S4736" s="1"/>
    </row>
    <row r="4737" spans="19:19" x14ac:dyDescent="0.25">
      <c r="S4737" s="1"/>
    </row>
    <row r="4738" spans="19:19" x14ac:dyDescent="0.25">
      <c r="S4738" s="1"/>
    </row>
    <row r="4739" spans="19:19" x14ac:dyDescent="0.25">
      <c r="S4739" s="1"/>
    </row>
    <row r="4740" spans="19:19" x14ac:dyDescent="0.25">
      <c r="S4740" s="1"/>
    </row>
    <row r="4741" spans="19:19" x14ac:dyDescent="0.25">
      <c r="S4741" s="1"/>
    </row>
    <row r="4742" spans="19:19" x14ac:dyDescent="0.25">
      <c r="S4742" s="1"/>
    </row>
    <row r="4743" spans="19:19" x14ac:dyDescent="0.25">
      <c r="S4743" s="1"/>
    </row>
    <row r="4744" spans="19:19" x14ac:dyDescent="0.25">
      <c r="S4744" s="1"/>
    </row>
    <row r="4745" spans="19:19" x14ac:dyDescent="0.25">
      <c r="S4745" s="1"/>
    </row>
    <row r="4746" spans="19:19" x14ac:dyDescent="0.25">
      <c r="S4746" s="1"/>
    </row>
    <row r="4747" spans="19:19" x14ac:dyDescent="0.25">
      <c r="S4747" s="1"/>
    </row>
    <row r="4748" spans="19:19" x14ac:dyDescent="0.25">
      <c r="S4748" s="1"/>
    </row>
    <row r="4749" spans="19:19" x14ac:dyDescent="0.25">
      <c r="S4749" s="1"/>
    </row>
    <row r="4750" spans="19:19" x14ac:dyDescent="0.25">
      <c r="S4750" s="1"/>
    </row>
    <row r="4751" spans="19:19" x14ac:dyDescent="0.25">
      <c r="S4751" s="1"/>
    </row>
    <row r="4752" spans="19:19" x14ac:dyDescent="0.25">
      <c r="S4752" s="1"/>
    </row>
    <row r="4753" spans="19:19" x14ac:dyDescent="0.25">
      <c r="S4753" s="1"/>
    </row>
    <row r="4754" spans="19:19" x14ac:dyDescent="0.25">
      <c r="S4754" s="1"/>
    </row>
    <row r="4755" spans="19:19" x14ac:dyDescent="0.25">
      <c r="S4755" s="1"/>
    </row>
    <row r="4756" spans="19:19" x14ac:dyDescent="0.25">
      <c r="S4756" s="1"/>
    </row>
    <row r="4757" spans="19:19" x14ac:dyDescent="0.25">
      <c r="S4757" s="1"/>
    </row>
    <row r="4758" spans="19:19" x14ac:dyDescent="0.25">
      <c r="S4758" s="1"/>
    </row>
    <row r="4759" spans="19:19" x14ac:dyDescent="0.25">
      <c r="S4759" s="1"/>
    </row>
    <row r="4760" spans="19:19" x14ac:dyDescent="0.25">
      <c r="S4760" s="1"/>
    </row>
    <row r="4761" spans="19:19" x14ac:dyDescent="0.25">
      <c r="S4761" s="1"/>
    </row>
    <row r="4762" spans="19:19" x14ac:dyDescent="0.25">
      <c r="S4762" s="1"/>
    </row>
    <row r="4763" spans="19:19" x14ac:dyDescent="0.25">
      <c r="S4763" s="1"/>
    </row>
    <row r="4764" spans="19:19" x14ac:dyDescent="0.25">
      <c r="S4764" s="1"/>
    </row>
    <row r="4765" spans="19:19" x14ac:dyDescent="0.25">
      <c r="S4765" s="1"/>
    </row>
    <row r="4766" spans="19:19" x14ac:dyDescent="0.25">
      <c r="S4766" s="1"/>
    </row>
    <row r="4767" spans="19:19" x14ac:dyDescent="0.25">
      <c r="S4767" s="1"/>
    </row>
    <row r="4768" spans="19:19" x14ac:dyDescent="0.25">
      <c r="S4768" s="1"/>
    </row>
    <row r="4769" spans="19:19" x14ac:dyDescent="0.25">
      <c r="S4769" s="1"/>
    </row>
    <row r="4770" spans="19:19" x14ac:dyDescent="0.25">
      <c r="S4770" s="1"/>
    </row>
    <row r="4771" spans="19:19" x14ac:dyDescent="0.25">
      <c r="S4771" s="1"/>
    </row>
    <row r="4772" spans="19:19" x14ac:dyDescent="0.25">
      <c r="S4772" s="1"/>
    </row>
    <row r="4773" spans="19:19" x14ac:dyDescent="0.25">
      <c r="S4773" s="1"/>
    </row>
    <row r="4774" spans="19:19" x14ac:dyDescent="0.25">
      <c r="S4774" s="1"/>
    </row>
    <row r="4775" spans="19:19" x14ac:dyDescent="0.25">
      <c r="S4775" s="1"/>
    </row>
    <row r="4776" spans="19:19" x14ac:dyDescent="0.25">
      <c r="S4776" s="1"/>
    </row>
    <row r="4777" spans="19:19" x14ac:dyDescent="0.25">
      <c r="S4777" s="1"/>
    </row>
    <row r="4778" spans="19:19" x14ac:dyDescent="0.25">
      <c r="S4778" s="1"/>
    </row>
    <row r="4779" spans="19:19" x14ac:dyDescent="0.25">
      <c r="S4779" s="1"/>
    </row>
    <row r="4780" spans="19:19" x14ac:dyDescent="0.25">
      <c r="S4780" s="1"/>
    </row>
    <row r="4781" spans="19:19" x14ac:dyDescent="0.25">
      <c r="S4781" s="1"/>
    </row>
    <row r="4782" spans="19:19" x14ac:dyDescent="0.25">
      <c r="S4782" s="1"/>
    </row>
    <row r="4783" spans="19:19" x14ac:dyDescent="0.25">
      <c r="S4783" s="1"/>
    </row>
    <row r="4784" spans="19:19" x14ac:dyDescent="0.25">
      <c r="S4784" s="1"/>
    </row>
    <row r="4785" spans="19:19" x14ac:dyDescent="0.25">
      <c r="S4785" s="1"/>
    </row>
    <row r="4786" spans="19:19" x14ac:dyDescent="0.25">
      <c r="S4786" s="1"/>
    </row>
    <row r="4787" spans="19:19" x14ac:dyDescent="0.25">
      <c r="S4787" s="1"/>
    </row>
    <row r="4788" spans="19:19" x14ac:dyDescent="0.25">
      <c r="S4788" s="1"/>
    </row>
    <row r="4789" spans="19:19" x14ac:dyDescent="0.25">
      <c r="S4789" s="1"/>
    </row>
    <row r="4790" spans="19:19" x14ac:dyDescent="0.25">
      <c r="S4790" s="1"/>
    </row>
    <row r="4791" spans="19:19" x14ac:dyDescent="0.25">
      <c r="S4791" s="1"/>
    </row>
    <row r="4792" spans="19:19" x14ac:dyDescent="0.25">
      <c r="S4792" s="1"/>
    </row>
    <row r="4793" spans="19:19" x14ac:dyDescent="0.25">
      <c r="S4793" s="1"/>
    </row>
    <row r="4794" spans="19:19" x14ac:dyDescent="0.25">
      <c r="S4794" s="1"/>
    </row>
    <row r="4795" spans="19:19" x14ac:dyDescent="0.25">
      <c r="S4795" s="1"/>
    </row>
    <row r="4796" spans="19:19" x14ac:dyDescent="0.25">
      <c r="S4796" s="1"/>
    </row>
    <row r="4797" spans="19:19" x14ac:dyDescent="0.25">
      <c r="S4797" s="1"/>
    </row>
    <row r="4798" spans="19:19" x14ac:dyDescent="0.25">
      <c r="S4798" s="1"/>
    </row>
    <row r="4799" spans="19:19" x14ac:dyDescent="0.25">
      <c r="S4799" s="1"/>
    </row>
    <row r="4800" spans="19:19" x14ac:dyDescent="0.25">
      <c r="S4800" s="1"/>
    </row>
    <row r="4801" spans="19:19" x14ac:dyDescent="0.25">
      <c r="S4801" s="1"/>
    </row>
    <row r="4802" spans="19:19" x14ac:dyDescent="0.25">
      <c r="S4802" s="1"/>
    </row>
    <row r="4803" spans="19:19" x14ac:dyDescent="0.25">
      <c r="S4803" s="1"/>
    </row>
    <row r="4804" spans="19:19" x14ac:dyDescent="0.25">
      <c r="S4804" s="1"/>
    </row>
    <row r="4805" spans="19:19" x14ac:dyDescent="0.25">
      <c r="S4805" s="1"/>
    </row>
    <row r="4806" spans="19:19" x14ac:dyDescent="0.25">
      <c r="S4806" s="1"/>
    </row>
    <row r="4807" spans="19:19" x14ac:dyDescent="0.25">
      <c r="S4807" s="1"/>
    </row>
    <row r="4808" spans="19:19" x14ac:dyDescent="0.25">
      <c r="S4808" s="1"/>
    </row>
    <row r="4809" spans="19:19" x14ac:dyDescent="0.25">
      <c r="S4809" s="1"/>
    </row>
    <row r="4810" spans="19:19" x14ac:dyDescent="0.25">
      <c r="S4810" s="1"/>
    </row>
    <row r="4811" spans="19:19" x14ac:dyDescent="0.25">
      <c r="S4811" s="1"/>
    </row>
    <row r="4812" spans="19:19" x14ac:dyDescent="0.25">
      <c r="S4812" s="1"/>
    </row>
    <row r="4813" spans="19:19" x14ac:dyDescent="0.25">
      <c r="S4813" s="1"/>
    </row>
    <row r="4814" spans="19:19" x14ac:dyDescent="0.25">
      <c r="S4814" s="1"/>
    </row>
    <row r="4815" spans="19:19" x14ac:dyDescent="0.25">
      <c r="S4815" s="1"/>
    </row>
    <row r="4816" spans="19:19" x14ac:dyDescent="0.25">
      <c r="S4816" s="1"/>
    </row>
    <row r="4817" spans="19:19" x14ac:dyDescent="0.25">
      <c r="S4817" s="1"/>
    </row>
    <row r="4818" spans="19:19" x14ac:dyDescent="0.25">
      <c r="S4818" s="1"/>
    </row>
    <row r="4819" spans="19:19" x14ac:dyDescent="0.25">
      <c r="S4819" s="1"/>
    </row>
    <row r="4820" spans="19:19" x14ac:dyDescent="0.25">
      <c r="S4820" s="1"/>
    </row>
    <row r="4821" spans="19:19" x14ac:dyDescent="0.25">
      <c r="S4821" s="1"/>
    </row>
    <row r="4822" spans="19:19" x14ac:dyDescent="0.25">
      <c r="S4822" s="1"/>
    </row>
    <row r="4823" spans="19:19" x14ac:dyDescent="0.25">
      <c r="S4823" s="1"/>
    </row>
    <row r="4824" spans="19:19" x14ac:dyDescent="0.25">
      <c r="S4824" s="1"/>
    </row>
    <row r="4825" spans="19:19" x14ac:dyDescent="0.25">
      <c r="S4825" s="1"/>
    </row>
    <row r="4826" spans="19:19" x14ac:dyDescent="0.25">
      <c r="S4826" s="1"/>
    </row>
    <row r="4827" spans="19:19" x14ac:dyDescent="0.25">
      <c r="S4827" s="1"/>
    </row>
    <row r="4828" spans="19:19" x14ac:dyDescent="0.25">
      <c r="S4828" s="1"/>
    </row>
    <row r="4829" spans="19:19" x14ac:dyDescent="0.25">
      <c r="S4829" s="1"/>
    </row>
    <row r="4830" spans="19:19" x14ac:dyDescent="0.25">
      <c r="S4830" s="1"/>
    </row>
    <row r="4831" spans="19:19" x14ac:dyDescent="0.25">
      <c r="S4831" s="1"/>
    </row>
    <row r="4832" spans="19:19" x14ac:dyDescent="0.25">
      <c r="S4832" s="1"/>
    </row>
    <row r="4833" spans="19:19" x14ac:dyDescent="0.25">
      <c r="S4833" s="1"/>
    </row>
    <row r="4834" spans="19:19" x14ac:dyDescent="0.25">
      <c r="S4834" s="1"/>
    </row>
    <row r="4835" spans="19:19" x14ac:dyDescent="0.25">
      <c r="S4835" s="1"/>
    </row>
    <row r="4836" spans="19:19" x14ac:dyDescent="0.25">
      <c r="S4836" s="1"/>
    </row>
    <row r="4837" spans="19:19" x14ac:dyDescent="0.25">
      <c r="S4837" s="1"/>
    </row>
    <row r="4838" spans="19:19" x14ac:dyDescent="0.25">
      <c r="S4838" s="1"/>
    </row>
    <row r="4839" spans="19:19" x14ac:dyDescent="0.25">
      <c r="S4839" s="1"/>
    </row>
    <row r="4840" spans="19:19" x14ac:dyDescent="0.25">
      <c r="S4840" s="1"/>
    </row>
    <row r="4841" spans="19:19" x14ac:dyDescent="0.25">
      <c r="S4841" s="1"/>
    </row>
    <row r="4842" spans="19:19" x14ac:dyDescent="0.25">
      <c r="S4842" s="1"/>
    </row>
    <row r="4843" spans="19:19" x14ac:dyDescent="0.25">
      <c r="S4843" s="1"/>
    </row>
    <row r="4844" spans="19:19" x14ac:dyDescent="0.25">
      <c r="S4844" s="1"/>
    </row>
    <row r="4845" spans="19:19" x14ac:dyDescent="0.25">
      <c r="S4845" s="1"/>
    </row>
    <row r="4846" spans="19:19" x14ac:dyDescent="0.25">
      <c r="S4846" s="1"/>
    </row>
    <row r="4847" spans="19:19" x14ac:dyDescent="0.25">
      <c r="S4847" s="1"/>
    </row>
    <row r="4848" spans="19:19" x14ac:dyDescent="0.25">
      <c r="S4848" s="1"/>
    </row>
    <row r="4849" spans="19:19" x14ac:dyDescent="0.25">
      <c r="S4849" s="1"/>
    </row>
    <row r="4850" spans="19:19" x14ac:dyDescent="0.25">
      <c r="S4850" s="1"/>
    </row>
    <row r="4851" spans="19:19" x14ac:dyDescent="0.25">
      <c r="S4851" s="1"/>
    </row>
    <row r="4852" spans="19:19" x14ac:dyDescent="0.25">
      <c r="S4852" s="1"/>
    </row>
    <row r="4853" spans="19:19" x14ac:dyDescent="0.25">
      <c r="S4853" s="1"/>
    </row>
    <row r="4854" spans="19:19" x14ac:dyDescent="0.25">
      <c r="S4854" s="1"/>
    </row>
    <row r="4855" spans="19:19" x14ac:dyDescent="0.25">
      <c r="S4855" s="1"/>
    </row>
    <row r="4856" spans="19:19" x14ac:dyDescent="0.25">
      <c r="S4856" s="1"/>
    </row>
    <row r="4857" spans="19:19" x14ac:dyDescent="0.25">
      <c r="S4857" s="1"/>
    </row>
    <row r="4858" spans="19:19" x14ac:dyDescent="0.25">
      <c r="S4858" s="1"/>
    </row>
    <row r="4859" spans="19:19" x14ac:dyDescent="0.25">
      <c r="S4859" s="1"/>
    </row>
    <row r="4860" spans="19:19" x14ac:dyDescent="0.25">
      <c r="S4860" s="1"/>
    </row>
    <row r="4861" spans="19:19" x14ac:dyDescent="0.25">
      <c r="S4861" s="1"/>
    </row>
    <row r="4862" spans="19:19" x14ac:dyDescent="0.25">
      <c r="S4862" s="1"/>
    </row>
    <row r="4863" spans="19:19" x14ac:dyDescent="0.25">
      <c r="S4863" s="1"/>
    </row>
    <row r="4864" spans="19:19" x14ac:dyDescent="0.25">
      <c r="S4864" s="1"/>
    </row>
    <row r="4865" spans="19:19" x14ac:dyDescent="0.25">
      <c r="S4865" s="1"/>
    </row>
    <row r="4866" spans="19:19" x14ac:dyDescent="0.25">
      <c r="S4866" s="1"/>
    </row>
    <row r="4867" spans="19:19" x14ac:dyDescent="0.25">
      <c r="S4867" s="1"/>
    </row>
    <row r="4868" spans="19:19" x14ac:dyDescent="0.25">
      <c r="S4868" s="1"/>
    </row>
    <row r="4869" spans="19:19" x14ac:dyDescent="0.25">
      <c r="S4869" s="1"/>
    </row>
    <row r="4870" spans="19:19" x14ac:dyDescent="0.25">
      <c r="S4870" s="1"/>
    </row>
    <row r="4871" spans="19:19" x14ac:dyDescent="0.25">
      <c r="S4871" s="1"/>
    </row>
    <row r="4872" spans="19:19" x14ac:dyDescent="0.25">
      <c r="S4872" s="1"/>
    </row>
    <row r="4873" spans="19:19" x14ac:dyDescent="0.25">
      <c r="S4873" s="1"/>
    </row>
    <row r="4874" spans="19:19" x14ac:dyDescent="0.25">
      <c r="S4874" s="1"/>
    </row>
    <row r="4875" spans="19:19" x14ac:dyDescent="0.25">
      <c r="S4875" s="1"/>
    </row>
    <row r="4876" spans="19:19" x14ac:dyDescent="0.25">
      <c r="S4876" s="1"/>
    </row>
    <row r="4877" spans="19:19" x14ac:dyDescent="0.25">
      <c r="S4877" s="1"/>
    </row>
    <row r="4878" spans="19:19" x14ac:dyDescent="0.25">
      <c r="S4878" s="1"/>
    </row>
    <row r="4879" spans="19:19" x14ac:dyDescent="0.25">
      <c r="S4879" s="1"/>
    </row>
    <row r="4880" spans="19:19" x14ac:dyDescent="0.25">
      <c r="S4880" s="1"/>
    </row>
    <row r="4881" spans="19:19" x14ac:dyDescent="0.25">
      <c r="S4881" s="1"/>
    </row>
    <row r="4882" spans="19:19" x14ac:dyDescent="0.25">
      <c r="S4882" s="1"/>
    </row>
    <row r="4883" spans="19:19" x14ac:dyDescent="0.25">
      <c r="S4883" s="1"/>
    </row>
    <row r="4884" spans="19:19" x14ac:dyDescent="0.25">
      <c r="S4884" s="1"/>
    </row>
    <row r="4885" spans="19:19" x14ac:dyDescent="0.25">
      <c r="S4885" s="1"/>
    </row>
    <row r="4886" spans="19:19" x14ac:dyDescent="0.25">
      <c r="S4886" s="1"/>
    </row>
    <row r="4887" spans="19:19" x14ac:dyDescent="0.25">
      <c r="S4887" s="1"/>
    </row>
    <row r="4888" spans="19:19" x14ac:dyDescent="0.25">
      <c r="S4888" s="1"/>
    </row>
    <row r="4889" spans="19:19" x14ac:dyDescent="0.25">
      <c r="S4889" s="1"/>
    </row>
    <row r="4890" spans="19:19" x14ac:dyDescent="0.25">
      <c r="S4890" s="1"/>
    </row>
    <row r="4891" spans="19:19" x14ac:dyDescent="0.25">
      <c r="S4891" s="1"/>
    </row>
    <row r="4892" spans="19:19" x14ac:dyDescent="0.25">
      <c r="S4892" s="1"/>
    </row>
    <row r="4893" spans="19:19" x14ac:dyDescent="0.25">
      <c r="S4893" s="1"/>
    </row>
    <row r="4894" spans="19:19" x14ac:dyDescent="0.25">
      <c r="S4894" s="1"/>
    </row>
    <row r="4895" spans="19:19" x14ac:dyDescent="0.25">
      <c r="S4895" s="1"/>
    </row>
    <row r="4896" spans="19:19" x14ac:dyDescent="0.25">
      <c r="S4896" s="1"/>
    </row>
    <row r="4897" spans="19:19" x14ac:dyDescent="0.25">
      <c r="S4897" s="1"/>
    </row>
    <row r="4898" spans="19:19" x14ac:dyDescent="0.25">
      <c r="S4898" s="1"/>
    </row>
    <row r="4899" spans="19:19" x14ac:dyDescent="0.25">
      <c r="S4899" s="1"/>
    </row>
    <row r="4900" spans="19:19" x14ac:dyDescent="0.25">
      <c r="S4900" s="1"/>
    </row>
    <row r="4901" spans="19:19" x14ac:dyDescent="0.25">
      <c r="S4901" s="1"/>
    </row>
    <row r="4902" spans="19:19" x14ac:dyDescent="0.25">
      <c r="S4902" s="1"/>
    </row>
    <row r="4903" spans="19:19" x14ac:dyDescent="0.25">
      <c r="S4903" s="1"/>
    </row>
    <row r="4904" spans="19:19" x14ac:dyDescent="0.25">
      <c r="S4904" s="1"/>
    </row>
    <row r="4905" spans="19:19" x14ac:dyDescent="0.25">
      <c r="S4905" s="1"/>
    </row>
    <row r="4906" spans="19:19" x14ac:dyDescent="0.25">
      <c r="S4906" s="1"/>
    </row>
    <row r="4907" spans="19:19" x14ac:dyDescent="0.25">
      <c r="S4907" s="1"/>
    </row>
    <row r="4908" spans="19:19" x14ac:dyDescent="0.25">
      <c r="S4908" s="1"/>
    </row>
    <row r="4909" spans="19:19" x14ac:dyDescent="0.25">
      <c r="S4909" s="1"/>
    </row>
    <row r="4910" spans="19:19" x14ac:dyDescent="0.25">
      <c r="S4910" s="1"/>
    </row>
    <row r="4911" spans="19:19" x14ac:dyDescent="0.25">
      <c r="S4911" s="1"/>
    </row>
    <row r="4912" spans="19:19" x14ac:dyDescent="0.25">
      <c r="S4912" s="1"/>
    </row>
    <row r="4913" spans="19:19" x14ac:dyDescent="0.25">
      <c r="S4913" s="1"/>
    </row>
    <row r="4914" spans="19:19" x14ac:dyDescent="0.25">
      <c r="S4914" s="1"/>
    </row>
    <row r="4915" spans="19:19" x14ac:dyDescent="0.25">
      <c r="S4915" s="1"/>
    </row>
    <row r="4916" spans="19:19" x14ac:dyDescent="0.25">
      <c r="S4916" s="1"/>
    </row>
    <row r="4917" spans="19:19" x14ac:dyDescent="0.25">
      <c r="S4917" s="1"/>
    </row>
    <row r="4918" spans="19:19" x14ac:dyDescent="0.25">
      <c r="S4918" s="1"/>
    </row>
    <row r="4919" spans="19:19" x14ac:dyDescent="0.25">
      <c r="S4919" s="1"/>
    </row>
    <row r="4920" spans="19:19" x14ac:dyDescent="0.25">
      <c r="S4920" s="1"/>
    </row>
    <row r="4921" spans="19:19" x14ac:dyDescent="0.25">
      <c r="S4921" s="1"/>
    </row>
    <row r="4922" spans="19:19" x14ac:dyDescent="0.25">
      <c r="S4922" s="1"/>
    </row>
    <row r="4923" spans="19:19" x14ac:dyDescent="0.25">
      <c r="S4923" s="1"/>
    </row>
    <row r="4924" spans="19:19" x14ac:dyDescent="0.25">
      <c r="S4924" s="1"/>
    </row>
    <row r="4925" spans="19:19" x14ac:dyDescent="0.25">
      <c r="S4925" s="1"/>
    </row>
    <row r="4926" spans="19:19" x14ac:dyDescent="0.25">
      <c r="S4926" s="1"/>
    </row>
    <row r="4927" spans="19:19" x14ac:dyDescent="0.25">
      <c r="S4927" s="1"/>
    </row>
    <row r="4928" spans="19:19" x14ac:dyDescent="0.25">
      <c r="S4928" s="1"/>
    </row>
    <row r="4929" spans="19:19" x14ac:dyDescent="0.25">
      <c r="S4929" s="1"/>
    </row>
    <row r="4930" spans="19:19" x14ac:dyDescent="0.25">
      <c r="S4930" s="1"/>
    </row>
    <row r="4931" spans="19:19" x14ac:dyDescent="0.25">
      <c r="S4931" s="1"/>
    </row>
    <row r="4932" spans="19:19" x14ac:dyDescent="0.25">
      <c r="S4932" s="1"/>
    </row>
    <row r="4933" spans="19:19" x14ac:dyDescent="0.25">
      <c r="S4933" s="1"/>
    </row>
    <row r="4934" spans="19:19" x14ac:dyDescent="0.25">
      <c r="S4934" s="1"/>
    </row>
    <row r="4935" spans="19:19" x14ac:dyDescent="0.25">
      <c r="S4935" s="1"/>
    </row>
    <row r="4936" spans="19:19" x14ac:dyDescent="0.25">
      <c r="S4936" s="1"/>
    </row>
    <row r="4937" spans="19:19" x14ac:dyDescent="0.25">
      <c r="S4937" s="1"/>
    </row>
    <row r="4938" spans="19:19" x14ac:dyDescent="0.25">
      <c r="S4938" s="1"/>
    </row>
    <row r="4939" spans="19:19" x14ac:dyDescent="0.25">
      <c r="S4939" s="1"/>
    </row>
    <row r="4940" spans="19:19" x14ac:dyDescent="0.25">
      <c r="S4940" s="1"/>
    </row>
    <row r="4941" spans="19:19" x14ac:dyDescent="0.25">
      <c r="S4941" s="1"/>
    </row>
    <row r="4942" spans="19:19" x14ac:dyDescent="0.25">
      <c r="S4942" s="1"/>
    </row>
    <row r="4943" spans="19:19" x14ac:dyDescent="0.25">
      <c r="S4943" s="1"/>
    </row>
    <row r="4944" spans="19:19" x14ac:dyDescent="0.25">
      <c r="S4944" s="1"/>
    </row>
    <row r="4945" spans="19:19" x14ac:dyDescent="0.25">
      <c r="S4945" s="1"/>
    </row>
    <row r="4946" spans="19:19" x14ac:dyDescent="0.25">
      <c r="S4946" s="1"/>
    </row>
    <row r="4947" spans="19:19" x14ac:dyDescent="0.25">
      <c r="S4947" s="1"/>
    </row>
    <row r="4948" spans="19:19" x14ac:dyDescent="0.25">
      <c r="S4948" s="1"/>
    </row>
    <row r="4949" spans="19:19" x14ac:dyDescent="0.25">
      <c r="S4949" s="1"/>
    </row>
    <row r="4950" spans="19:19" x14ac:dyDescent="0.25">
      <c r="S4950" s="1"/>
    </row>
    <row r="4951" spans="19:19" x14ac:dyDescent="0.25">
      <c r="S4951" s="1"/>
    </row>
    <row r="4952" spans="19:19" x14ac:dyDescent="0.25">
      <c r="S4952" s="1"/>
    </row>
    <row r="4953" spans="19:19" x14ac:dyDescent="0.25">
      <c r="S4953" s="1"/>
    </row>
    <row r="4954" spans="19:19" x14ac:dyDescent="0.25">
      <c r="S4954" s="1"/>
    </row>
    <row r="4955" spans="19:19" x14ac:dyDescent="0.25">
      <c r="S4955" s="1"/>
    </row>
    <row r="4956" spans="19:19" x14ac:dyDescent="0.25">
      <c r="S4956" s="1"/>
    </row>
    <row r="4957" spans="19:19" x14ac:dyDescent="0.25">
      <c r="S4957" s="1"/>
    </row>
    <row r="4958" spans="19:19" x14ac:dyDescent="0.25">
      <c r="S4958" s="1"/>
    </row>
    <row r="4959" spans="19:19" x14ac:dyDescent="0.25">
      <c r="S4959" s="1"/>
    </row>
    <row r="4960" spans="19:19" x14ac:dyDescent="0.25">
      <c r="S4960" s="1"/>
    </row>
    <row r="4961" spans="19:19" x14ac:dyDescent="0.25">
      <c r="S4961" s="1"/>
    </row>
    <row r="4962" spans="19:19" x14ac:dyDescent="0.25">
      <c r="S4962" s="1"/>
    </row>
    <row r="4963" spans="19:19" x14ac:dyDescent="0.25">
      <c r="S4963" s="1"/>
    </row>
    <row r="4964" spans="19:19" x14ac:dyDescent="0.25">
      <c r="S4964" s="1"/>
    </row>
    <row r="4965" spans="19:19" x14ac:dyDescent="0.25">
      <c r="S4965" s="1"/>
    </row>
    <row r="4966" spans="19:19" x14ac:dyDescent="0.25">
      <c r="S4966" s="1"/>
    </row>
    <row r="4967" spans="19:19" x14ac:dyDescent="0.25">
      <c r="S4967" s="1"/>
    </row>
    <row r="4968" spans="19:19" x14ac:dyDescent="0.25">
      <c r="S4968" s="1"/>
    </row>
    <row r="4969" spans="19:19" x14ac:dyDescent="0.25">
      <c r="S4969" s="1"/>
    </row>
    <row r="4970" spans="19:19" x14ac:dyDescent="0.25">
      <c r="S4970" s="1"/>
    </row>
    <row r="4971" spans="19:19" x14ac:dyDescent="0.25">
      <c r="S4971" s="1"/>
    </row>
    <row r="4972" spans="19:19" x14ac:dyDescent="0.25">
      <c r="S4972" s="1"/>
    </row>
    <row r="4973" spans="19:19" x14ac:dyDescent="0.25">
      <c r="S4973" s="1"/>
    </row>
    <row r="4974" spans="19:19" x14ac:dyDescent="0.25">
      <c r="S4974" s="1"/>
    </row>
    <row r="4975" spans="19:19" x14ac:dyDescent="0.25">
      <c r="S4975" s="1"/>
    </row>
    <row r="4976" spans="19:19" x14ac:dyDescent="0.25">
      <c r="S4976" s="1"/>
    </row>
    <row r="4977" spans="19:19" x14ac:dyDescent="0.25">
      <c r="S4977" s="1"/>
    </row>
    <row r="4978" spans="19:19" x14ac:dyDescent="0.25">
      <c r="S4978" s="1"/>
    </row>
    <row r="4979" spans="19:19" x14ac:dyDescent="0.25">
      <c r="S4979" s="1"/>
    </row>
    <row r="4980" spans="19:19" x14ac:dyDescent="0.25">
      <c r="S4980" s="1"/>
    </row>
    <row r="4981" spans="19:19" x14ac:dyDescent="0.25">
      <c r="S4981" s="1"/>
    </row>
    <row r="4982" spans="19:19" x14ac:dyDescent="0.25">
      <c r="S4982" s="1"/>
    </row>
    <row r="4983" spans="19:19" x14ac:dyDescent="0.25">
      <c r="S4983" s="1"/>
    </row>
    <row r="4984" spans="19:19" x14ac:dyDescent="0.25">
      <c r="S4984" s="1"/>
    </row>
    <row r="4985" spans="19:19" x14ac:dyDescent="0.25">
      <c r="S4985" s="1"/>
    </row>
    <row r="4986" spans="19:19" x14ac:dyDescent="0.25">
      <c r="S4986" s="1"/>
    </row>
    <row r="4987" spans="19:19" x14ac:dyDescent="0.25">
      <c r="S4987" s="1"/>
    </row>
    <row r="4988" spans="19:19" x14ac:dyDescent="0.25">
      <c r="S4988" s="1"/>
    </row>
    <row r="4989" spans="19:19" x14ac:dyDescent="0.25">
      <c r="S4989" s="1"/>
    </row>
    <row r="4990" spans="19:19" x14ac:dyDescent="0.25">
      <c r="S4990" s="1"/>
    </row>
    <row r="4991" spans="19:19" x14ac:dyDescent="0.25">
      <c r="S4991" s="1"/>
    </row>
    <row r="4992" spans="19:19" x14ac:dyDescent="0.25">
      <c r="S4992" s="1"/>
    </row>
    <row r="4993" spans="19:19" x14ac:dyDescent="0.25">
      <c r="S4993" s="1"/>
    </row>
    <row r="4994" spans="19:19" x14ac:dyDescent="0.25">
      <c r="S4994" s="1"/>
    </row>
    <row r="4995" spans="19:19" x14ac:dyDescent="0.25">
      <c r="S4995" s="1"/>
    </row>
    <row r="4996" spans="19:19" x14ac:dyDescent="0.25">
      <c r="S4996" s="1"/>
    </row>
    <row r="4997" spans="19:19" x14ac:dyDescent="0.25">
      <c r="S4997" s="1"/>
    </row>
    <row r="4998" spans="19:19" x14ac:dyDescent="0.25">
      <c r="S4998" s="1"/>
    </row>
    <row r="4999" spans="19:19" x14ac:dyDescent="0.25">
      <c r="S4999" s="1"/>
    </row>
    <row r="5000" spans="19:19" x14ac:dyDescent="0.25">
      <c r="S5000" s="1"/>
    </row>
    <row r="5001" spans="19:19" x14ac:dyDescent="0.25">
      <c r="S5001" s="1"/>
    </row>
    <row r="5002" spans="19:19" x14ac:dyDescent="0.25">
      <c r="S5002" s="1"/>
    </row>
    <row r="5003" spans="19:19" x14ac:dyDescent="0.25">
      <c r="S5003" s="1"/>
    </row>
    <row r="5004" spans="19:19" x14ac:dyDescent="0.25">
      <c r="S5004" s="1"/>
    </row>
    <row r="5005" spans="19:19" x14ac:dyDescent="0.25">
      <c r="S5005" s="1"/>
    </row>
    <row r="5006" spans="19:19" x14ac:dyDescent="0.25">
      <c r="S5006" s="1"/>
    </row>
    <row r="5007" spans="19:19" x14ac:dyDescent="0.25">
      <c r="S5007" s="1"/>
    </row>
    <row r="5008" spans="19:19" x14ac:dyDescent="0.25">
      <c r="S5008" s="1"/>
    </row>
    <row r="5009" spans="19:19" x14ac:dyDescent="0.25">
      <c r="S5009" s="1"/>
    </row>
    <row r="5010" spans="19:19" x14ac:dyDescent="0.25">
      <c r="S5010" s="1"/>
    </row>
    <row r="5011" spans="19:19" x14ac:dyDescent="0.25">
      <c r="S5011" s="1"/>
    </row>
    <row r="5012" spans="19:19" x14ac:dyDescent="0.25">
      <c r="S5012" s="1"/>
    </row>
    <row r="5013" spans="19:19" x14ac:dyDescent="0.25">
      <c r="S5013" s="1"/>
    </row>
    <row r="5014" spans="19:19" x14ac:dyDescent="0.25">
      <c r="S5014" s="1"/>
    </row>
    <row r="5015" spans="19:19" x14ac:dyDescent="0.25">
      <c r="S5015" s="1"/>
    </row>
    <row r="5016" spans="19:19" x14ac:dyDescent="0.25">
      <c r="S5016" s="1"/>
    </row>
    <row r="5017" spans="19:19" x14ac:dyDescent="0.25">
      <c r="S5017" s="1"/>
    </row>
    <row r="5018" spans="19:19" x14ac:dyDescent="0.25">
      <c r="S5018" s="1"/>
    </row>
    <row r="5019" spans="19:19" x14ac:dyDescent="0.25">
      <c r="S5019" s="1"/>
    </row>
    <row r="5020" spans="19:19" x14ac:dyDescent="0.25">
      <c r="S5020" s="1"/>
    </row>
    <row r="5021" spans="19:19" x14ac:dyDescent="0.25">
      <c r="S5021" s="1"/>
    </row>
    <row r="5022" spans="19:19" x14ac:dyDescent="0.25">
      <c r="S5022" s="1"/>
    </row>
    <row r="5023" spans="19:19" x14ac:dyDescent="0.25">
      <c r="S5023" s="1"/>
    </row>
    <row r="5024" spans="19:19" x14ac:dyDescent="0.25">
      <c r="S5024" s="1"/>
    </row>
    <row r="5025" spans="19:19" x14ac:dyDescent="0.25">
      <c r="S5025" s="1"/>
    </row>
    <row r="5026" spans="19:19" x14ac:dyDescent="0.25">
      <c r="S5026" s="1"/>
    </row>
    <row r="5027" spans="19:19" x14ac:dyDescent="0.25">
      <c r="S5027" s="1"/>
    </row>
    <row r="5028" spans="19:19" x14ac:dyDescent="0.25">
      <c r="S5028" s="1"/>
    </row>
    <row r="5029" spans="19:19" x14ac:dyDescent="0.25">
      <c r="S5029" s="1"/>
    </row>
    <row r="5030" spans="19:19" x14ac:dyDescent="0.25">
      <c r="S5030" s="1"/>
    </row>
    <row r="5031" spans="19:19" x14ac:dyDescent="0.25">
      <c r="S5031" s="1"/>
    </row>
    <row r="5032" spans="19:19" x14ac:dyDescent="0.25">
      <c r="S5032" s="1"/>
    </row>
    <row r="5033" spans="19:19" x14ac:dyDescent="0.25">
      <c r="S5033" s="1"/>
    </row>
    <row r="5034" spans="19:19" x14ac:dyDescent="0.25">
      <c r="S5034" s="1"/>
    </row>
    <row r="5035" spans="19:19" x14ac:dyDescent="0.25">
      <c r="S5035" s="1"/>
    </row>
    <row r="5036" spans="19:19" x14ac:dyDescent="0.25">
      <c r="S5036" s="1"/>
    </row>
    <row r="5037" spans="19:19" x14ac:dyDescent="0.25">
      <c r="S5037" s="1"/>
    </row>
    <row r="5038" spans="19:19" x14ac:dyDescent="0.25">
      <c r="S5038" s="1"/>
    </row>
    <row r="5039" spans="19:19" x14ac:dyDescent="0.25">
      <c r="S5039" s="1"/>
    </row>
    <row r="5040" spans="19:19" x14ac:dyDescent="0.25">
      <c r="S5040" s="1"/>
    </row>
    <row r="5041" spans="19:19" x14ac:dyDescent="0.25">
      <c r="S5041" s="1"/>
    </row>
    <row r="5042" spans="19:19" x14ac:dyDescent="0.25">
      <c r="S5042" s="1"/>
    </row>
    <row r="5043" spans="19:19" x14ac:dyDescent="0.25">
      <c r="S5043" s="1"/>
    </row>
    <row r="5044" spans="19:19" x14ac:dyDescent="0.25">
      <c r="S5044" s="1"/>
    </row>
    <row r="5045" spans="19:19" x14ac:dyDescent="0.25">
      <c r="S5045" s="1"/>
    </row>
    <row r="5046" spans="19:19" x14ac:dyDescent="0.25">
      <c r="S5046" s="1"/>
    </row>
    <row r="5047" spans="19:19" x14ac:dyDescent="0.25">
      <c r="S5047" s="1"/>
    </row>
    <row r="5048" spans="19:19" x14ac:dyDescent="0.25">
      <c r="S5048" s="1"/>
    </row>
    <row r="5049" spans="19:19" x14ac:dyDescent="0.25">
      <c r="S5049" s="1"/>
    </row>
    <row r="5050" spans="19:19" x14ac:dyDescent="0.25">
      <c r="S5050" s="1"/>
    </row>
    <row r="5051" spans="19:19" x14ac:dyDescent="0.25">
      <c r="S5051" s="1"/>
    </row>
    <row r="5052" spans="19:19" x14ac:dyDescent="0.25">
      <c r="S5052" s="1"/>
    </row>
    <row r="5053" spans="19:19" x14ac:dyDescent="0.25">
      <c r="S5053" s="1"/>
    </row>
    <row r="5054" spans="19:19" x14ac:dyDescent="0.25">
      <c r="S5054" s="1"/>
    </row>
    <row r="5055" spans="19:19" x14ac:dyDescent="0.25">
      <c r="S5055" s="1"/>
    </row>
    <row r="5056" spans="19:19" x14ac:dyDescent="0.25">
      <c r="S5056" s="1"/>
    </row>
    <row r="5057" spans="19:19" x14ac:dyDescent="0.25">
      <c r="S5057" s="1"/>
    </row>
    <row r="5058" spans="19:19" x14ac:dyDescent="0.25">
      <c r="S5058" s="1"/>
    </row>
    <row r="5059" spans="19:19" x14ac:dyDescent="0.25">
      <c r="S5059" s="1"/>
    </row>
    <row r="5060" spans="19:19" x14ac:dyDescent="0.25">
      <c r="S5060" s="1"/>
    </row>
    <row r="5061" spans="19:19" x14ac:dyDescent="0.25">
      <c r="S5061" s="1"/>
    </row>
    <row r="5062" spans="19:19" x14ac:dyDescent="0.25">
      <c r="S5062" s="1"/>
    </row>
    <row r="5063" spans="19:19" x14ac:dyDescent="0.25">
      <c r="S5063" s="1"/>
    </row>
    <row r="5064" spans="19:19" x14ac:dyDescent="0.25">
      <c r="S5064" s="1"/>
    </row>
    <row r="5065" spans="19:19" x14ac:dyDescent="0.25">
      <c r="S5065" s="1"/>
    </row>
    <row r="5066" spans="19:19" x14ac:dyDescent="0.25">
      <c r="S5066" s="1"/>
    </row>
    <row r="5067" spans="19:19" x14ac:dyDescent="0.25">
      <c r="S5067" s="1"/>
    </row>
    <row r="5068" spans="19:19" x14ac:dyDescent="0.25">
      <c r="S5068" s="1"/>
    </row>
    <row r="5069" spans="19:19" x14ac:dyDescent="0.25">
      <c r="S5069" s="1"/>
    </row>
    <row r="5070" spans="19:19" x14ac:dyDescent="0.25">
      <c r="S5070" s="1"/>
    </row>
    <row r="5071" spans="19:19" x14ac:dyDescent="0.25">
      <c r="S5071" s="1"/>
    </row>
    <row r="5072" spans="19:19" x14ac:dyDescent="0.25">
      <c r="S5072" s="1"/>
    </row>
    <row r="5073" spans="19:19" x14ac:dyDescent="0.25">
      <c r="S5073" s="1"/>
    </row>
    <row r="5074" spans="19:19" x14ac:dyDescent="0.25">
      <c r="S5074" s="1"/>
    </row>
    <row r="5075" spans="19:19" x14ac:dyDescent="0.25">
      <c r="S5075" s="1"/>
    </row>
    <row r="5076" spans="19:19" x14ac:dyDescent="0.25">
      <c r="S5076" s="1"/>
    </row>
    <row r="5077" spans="19:19" x14ac:dyDescent="0.25">
      <c r="S5077" s="1"/>
    </row>
    <row r="5078" spans="19:19" x14ac:dyDescent="0.25">
      <c r="S5078" s="1"/>
    </row>
    <row r="5079" spans="19:19" x14ac:dyDescent="0.25">
      <c r="S5079" s="1"/>
    </row>
    <row r="5080" spans="19:19" x14ac:dyDescent="0.25">
      <c r="S5080" s="1"/>
    </row>
    <row r="5081" spans="19:19" x14ac:dyDescent="0.25">
      <c r="S5081" s="1"/>
    </row>
    <row r="5082" spans="19:19" x14ac:dyDescent="0.25">
      <c r="S5082" s="1"/>
    </row>
    <row r="5083" spans="19:19" x14ac:dyDescent="0.25">
      <c r="S5083" s="1"/>
    </row>
    <row r="5084" spans="19:19" x14ac:dyDescent="0.25">
      <c r="S5084" s="1"/>
    </row>
    <row r="5085" spans="19:19" x14ac:dyDescent="0.25">
      <c r="S5085" s="1"/>
    </row>
    <row r="5086" spans="19:19" x14ac:dyDescent="0.25">
      <c r="S5086" s="1"/>
    </row>
    <row r="5087" spans="19:19" x14ac:dyDescent="0.25">
      <c r="S5087" s="1"/>
    </row>
    <row r="5088" spans="19:19" x14ac:dyDescent="0.25">
      <c r="S5088" s="1"/>
    </row>
    <row r="5089" spans="19:19" x14ac:dyDescent="0.25">
      <c r="S5089" s="1"/>
    </row>
    <row r="5090" spans="19:19" x14ac:dyDescent="0.25">
      <c r="S5090" s="1"/>
    </row>
    <row r="5091" spans="19:19" x14ac:dyDescent="0.25">
      <c r="S5091" s="1"/>
    </row>
    <row r="5092" spans="19:19" x14ac:dyDescent="0.25">
      <c r="S5092" s="1"/>
    </row>
    <row r="5093" spans="19:19" x14ac:dyDescent="0.25">
      <c r="S5093" s="1"/>
    </row>
    <row r="5094" spans="19:19" x14ac:dyDescent="0.25">
      <c r="S5094" s="1"/>
    </row>
    <row r="5095" spans="19:19" x14ac:dyDescent="0.25">
      <c r="S5095" s="1"/>
    </row>
    <row r="5096" spans="19:19" x14ac:dyDescent="0.25">
      <c r="S5096" s="1"/>
    </row>
    <row r="5097" spans="19:19" x14ac:dyDescent="0.25">
      <c r="S5097" s="1"/>
    </row>
    <row r="5098" spans="19:19" x14ac:dyDescent="0.25">
      <c r="S5098" s="1"/>
    </row>
    <row r="5099" spans="19:19" x14ac:dyDescent="0.25">
      <c r="S5099" s="1"/>
    </row>
    <row r="5100" spans="19:19" x14ac:dyDescent="0.25">
      <c r="S5100" s="1"/>
    </row>
    <row r="5101" spans="19:19" x14ac:dyDescent="0.25">
      <c r="S5101" s="1"/>
    </row>
    <row r="5102" spans="19:19" x14ac:dyDescent="0.25">
      <c r="S5102" s="1"/>
    </row>
    <row r="5103" spans="19:19" x14ac:dyDescent="0.25">
      <c r="S5103" s="1"/>
    </row>
    <row r="5104" spans="19:19" x14ac:dyDescent="0.25">
      <c r="S5104" s="1"/>
    </row>
    <row r="5105" spans="19:19" x14ac:dyDescent="0.25">
      <c r="S5105" s="1"/>
    </row>
    <row r="5106" spans="19:19" x14ac:dyDescent="0.25">
      <c r="S5106" s="1"/>
    </row>
    <row r="5107" spans="19:19" x14ac:dyDescent="0.25">
      <c r="S5107" s="1"/>
    </row>
    <row r="5108" spans="19:19" x14ac:dyDescent="0.25">
      <c r="S5108" s="1"/>
    </row>
    <row r="5109" spans="19:19" x14ac:dyDescent="0.25">
      <c r="S5109" s="1"/>
    </row>
    <row r="5110" spans="19:19" x14ac:dyDescent="0.25">
      <c r="S5110" s="1"/>
    </row>
    <row r="5111" spans="19:19" x14ac:dyDescent="0.25">
      <c r="S5111" s="1"/>
    </row>
    <row r="5112" spans="19:19" x14ac:dyDescent="0.25">
      <c r="S5112" s="1"/>
    </row>
    <row r="5113" spans="19:19" x14ac:dyDescent="0.25">
      <c r="S5113" s="1"/>
    </row>
    <row r="5114" spans="19:19" x14ac:dyDescent="0.25">
      <c r="S5114" s="1"/>
    </row>
    <row r="5115" spans="19:19" x14ac:dyDescent="0.25">
      <c r="S5115" s="1"/>
    </row>
    <row r="5116" spans="19:19" x14ac:dyDescent="0.25">
      <c r="S5116" s="1"/>
    </row>
    <row r="5117" spans="19:19" x14ac:dyDescent="0.25">
      <c r="S5117" s="1"/>
    </row>
    <row r="5118" spans="19:19" x14ac:dyDescent="0.25">
      <c r="S5118" s="1"/>
    </row>
    <row r="5119" spans="19:19" x14ac:dyDescent="0.25">
      <c r="S5119" s="1"/>
    </row>
    <row r="5120" spans="19:19" x14ac:dyDescent="0.25">
      <c r="S5120" s="1"/>
    </row>
    <row r="5121" spans="19:19" x14ac:dyDescent="0.25">
      <c r="S5121" s="1"/>
    </row>
    <row r="5122" spans="19:19" x14ac:dyDescent="0.25">
      <c r="S5122" s="1"/>
    </row>
    <row r="5123" spans="19:19" x14ac:dyDescent="0.25">
      <c r="S5123" s="1"/>
    </row>
    <row r="5124" spans="19:19" x14ac:dyDescent="0.25">
      <c r="S5124" s="1"/>
    </row>
    <row r="5125" spans="19:19" x14ac:dyDescent="0.25">
      <c r="S5125" s="1"/>
    </row>
    <row r="5126" spans="19:19" x14ac:dyDescent="0.25">
      <c r="S5126" s="1"/>
    </row>
    <row r="5127" spans="19:19" x14ac:dyDescent="0.25">
      <c r="S5127" s="1"/>
    </row>
    <row r="5128" spans="19:19" x14ac:dyDescent="0.25">
      <c r="S5128" s="1"/>
    </row>
    <row r="5129" spans="19:19" x14ac:dyDescent="0.25">
      <c r="S5129" s="1"/>
    </row>
    <row r="5130" spans="19:19" x14ac:dyDescent="0.25">
      <c r="S5130" s="1"/>
    </row>
    <row r="5131" spans="19:19" x14ac:dyDescent="0.25">
      <c r="S5131" s="1"/>
    </row>
    <row r="5132" spans="19:19" x14ac:dyDescent="0.25">
      <c r="S5132" s="1"/>
    </row>
    <row r="5133" spans="19:19" x14ac:dyDescent="0.25">
      <c r="S5133" s="1"/>
    </row>
    <row r="5134" spans="19:19" x14ac:dyDescent="0.25">
      <c r="S5134" s="1"/>
    </row>
    <row r="5135" spans="19:19" x14ac:dyDescent="0.25">
      <c r="S5135" s="1"/>
    </row>
    <row r="5136" spans="19:19" x14ac:dyDescent="0.25">
      <c r="S5136" s="1"/>
    </row>
    <row r="5137" spans="19:19" x14ac:dyDescent="0.25">
      <c r="S5137" s="1"/>
    </row>
    <row r="5138" spans="19:19" x14ac:dyDescent="0.25">
      <c r="S5138" s="1"/>
    </row>
    <row r="5139" spans="19:19" x14ac:dyDescent="0.25">
      <c r="S5139" s="1"/>
    </row>
    <row r="5140" spans="19:19" x14ac:dyDescent="0.25">
      <c r="S5140" s="1"/>
    </row>
    <row r="5141" spans="19:19" x14ac:dyDescent="0.25">
      <c r="S5141" s="1"/>
    </row>
    <row r="5142" spans="19:19" x14ac:dyDescent="0.25">
      <c r="S5142" s="1"/>
    </row>
    <row r="5143" spans="19:19" x14ac:dyDescent="0.25">
      <c r="S5143" s="1"/>
    </row>
    <row r="5144" spans="19:19" x14ac:dyDescent="0.25">
      <c r="S5144" s="1"/>
    </row>
    <row r="5145" spans="19:19" x14ac:dyDescent="0.25">
      <c r="S5145" s="1"/>
    </row>
    <row r="5146" spans="19:19" x14ac:dyDescent="0.25">
      <c r="S5146" s="1"/>
    </row>
    <row r="5147" spans="19:19" x14ac:dyDescent="0.25">
      <c r="S5147" s="1"/>
    </row>
    <row r="5148" spans="19:19" x14ac:dyDescent="0.25">
      <c r="S5148" s="1"/>
    </row>
    <row r="5149" spans="19:19" x14ac:dyDescent="0.25">
      <c r="S5149" s="1"/>
    </row>
    <row r="5150" spans="19:19" x14ac:dyDescent="0.25">
      <c r="S5150" s="1"/>
    </row>
    <row r="5151" spans="19:19" x14ac:dyDescent="0.25">
      <c r="S5151" s="1"/>
    </row>
    <row r="5152" spans="19:19" x14ac:dyDescent="0.25">
      <c r="S5152" s="1"/>
    </row>
    <row r="5153" spans="19:19" x14ac:dyDescent="0.25">
      <c r="S5153" s="1"/>
    </row>
    <row r="5154" spans="19:19" x14ac:dyDescent="0.25">
      <c r="S5154" s="1"/>
    </row>
    <row r="5155" spans="19:19" x14ac:dyDescent="0.25">
      <c r="S5155" s="1"/>
    </row>
    <row r="5156" spans="19:19" x14ac:dyDescent="0.25">
      <c r="S5156" s="1"/>
    </row>
    <row r="5157" spans="19:19" x14ac:dyDescent="0.25">
      <c r="S5157" s="1"/>
    </row>
    <row r="5158" spans="19:19" x14ac:dyDescent="0.25">
      <c r="S5158" s="1"/>
    </row>
    <row r="5159" spans="19:19" x14ac:dyDescent="0.25">
      <c r="S5159" s="1"/>
    </row>
    <row r="5160" spans="19:19" x14ac:dyDescent="0.25">
      <c r="S5160" s="1"/>
    </row>
    <row r="5161" spans="19:19" x14ac:dyDescent="0.25">
      <c r="S5161" s="1"/>
    </row>
    <row r="5162" spans="19:19" x14ac:dyDescent="0.25">
      <c r="S5162" s="1"/>
    </row>
    <row r="5163" spans="19:19" x14ac:dyDescent="0.25">
      <c r="S5163" s="1"/>
    </row>
    <row r="5164" spans="19:19" x14ac:dyDescent="0.25">
      <c r="S5164" s="1"/>
    </row>
    <row r="5165" spans="19:19" x14ac:dyDescent="0.25">
      <c r="S5165" s="1"/>
    </row>
    <row r="5166" spans="19:19" x14ac:dyDescent="0.25">
      <c r="S5166" s="1"/>
    </row>
    <row r="5167" spans="19:19" x14ac:dyDescent="0.25">
      <c r="S5167" s="1"/>
    </row>
    <row r="5168" spans="19:19" x14ac:dyDescent="0.25">
      <c r="S5168" s="1"/>
    </row>
    <row r="5169" spans="19:19" x14ac:dyDescent="0.25">
      <c r="S5169" s="1"/>
    </row>
    <row r="5170" spans="19:19" x14ac:dyDescent="0.25">
      <c r="S5170" s="1"/>
    </row>
    <row r="5171" spans="19:19" x14ac:dyDescent="0.25">
      <c r="S5171" s="1"/>
    </row>
    <row r="5172" spans="19:19" x14ac:dyDescent="0.25">
      <c r="S5172" s="1"/>
    </row>
    <row r="5173" spans="19:19" x14ac:dyDescent="0.25">
      <c r="S5173" s="1"/>
    </row>
    <row r="5174" spans="19:19" x14ac:dyDescent="0.25">
      <c r="S5174" s="1"/>
    </row>
    <row r="5175" spans="19:19" x14ac:dyDescent="0.25">
      <c r="S5175" s="1"/>
    </row>
    <row r="5176" spans="19:19" x14ac:dyDescent="0.25">
      <c r="S5176" s="1"/>
    </row>
    <row r="5177" spans="19:19" x14ac:dyDescent="0.25">
      <c r="S5177" s="1"/>
    </row>
    <row r="5178" spans="19:19" x14ac:dyDescent="0.25">
      <c r="S5178" s="1"/>
    </row>
    <row r="5179" spans="19:19" x14ac:dyDescent="0.25">
      <c r="S5179" s="1"/>
    </row>
    <row r="5180" spans="19:19" x14ac:dyDescent="0.25">
      <c r="S5180" s="1"/>
    </row>
    <row r="5181" spans="19:19" x14ac:dyDescent="0.25">
      <c r="S5181" s="1"/>
    </row>
    <row r="5182" spans="19:19" x14ac:dyDescent="0.25">
      <c r="S5182" s="1"/>
    </row>
    <row r="5183" spans="19:19" x14ac:dyDescent="0.25">
      <c r="S5183" s="1"/>
    </row>
    <row r="5184" spans="19:19" x14ac:dyDescent="0.25">
      <c r="S5184" s="1"/>
    </row>
    <row r="5185" spans="19:19" x14ac:dyDescent="0.25">
      <c r="S5185" s="1"/>
    </row>
    <row r="5186" spans="19:19" x14ac:dyDescent="0.25">
      <c r="S5186" s="1"/>
    </row>
    <row r="5187" spans="19:19" x14ac:dyDescent="0.25">
      <c r="S5187" s="1"/>
    </row>
    <row r="5188" spans="19:19" x14ac:dyDescent="0.25">
      <c r="S5188" s="1"/>
    </row>
    <row r="5189" spans="19:19" x14ac:dyDescent="0.25">
      <c r="S5189" s="1"/>
    </row>
    <row r="5190" spans="19:19" x14ac:dyDescent="0.25">
      <c r="S5190" s="1"/>
    </row>
    <row r="5191" spans="19:19" x14ac:dyDescent="0.25">
      <c r="S5191" s="1"/>
    </row>
    <row r="5192" spans="19:19" x14ac:dyDescent="0.25">
      <c r="S5192" s="1"/>
    </row>
    <row r="5193" spans="19:19" x14ac:dyDescent="0.25">
      <c r="S5193" s="1"/>
    </row>
    <row r="5194" spans="19:19" x14ac:dyDescent="0.25">
      <c r="S5194" s="1"/>
    </row>
    <row r="5195" spans="19:19" x14ac:dyDescent="0.25">
      <c r="S5195" s="1"/>
    </row>
    <row r="5196" spans="19:19" x14ac:dyDescent="0.25">
      <c r="S5196" s="1"/>
    </row>
    <row r="5197" spans="19:19" x14ac:dyDescent="0.25">
      <c r="S5197" s="1"/>
    </row>
    <row r="5198" spans="19:19" x14ac:dyDescent="0.25">
      <c r="S5198" s="1"/>
    </row>
    <row r="5199" spans="19:19" x14ac:dyDescent="0.25">
      <c r="S5199" s="1"/>
    </row>
    <row r="5200" spans="19:19" x14ac:dyDescent="0.25">
      <c r="S5200" s="1"/>
    </row>
    <row r="5201" spans="19:19" x14ac:dyDescent="0.25">
      <c r="S5201" s="1"/>
    </row>
    <row r="5202" spans="19:19" x14ac:dyDescent="0.25">
      <c r="S5202" s="1"/>
    </row>
    <row r="5203" spans="19:19" x14ac:dyDescent="0.25">
      <c r="S5203" s="1"/>
    </row>
    <row r="5204" spans="19:19" x14ac:dyDescent="0.25">
      <c r="S5204" s="1"/>
    </row>
    <row r="5205" spans="19:19" x14ac:dyDescent="0.25">
      <c r="S5205" s="1"/>
    </row>
    <row r="5206" spans="19:19" x14ac:dyDescent="0.25">
      <c r="S5206" s="1"/>
    </row>
    <row r="5207" spans="19:19" x14ac:dyDescent="0.25">
      <c r="S5207" s="1"/>
    </row>
    <row r="5208" spans="19:19" x14ac:dyDescent="0.25">
      <c r="S5208" s="1"/>
    </row>
    <row r="5209" spans="19:19" x14ac:dyDescent="0.25">
      <c r="S5209" s="1"/>
    </row>
    <row r="5210" spans="19:19" x14ac:dyDescent="0.25">
      <c r="S5210" s="1"/>
    </row>
    <row r="5211" spans="19:19" x14ac:dyDescent="0.25">
      <c r="S5211" s="1"/>
    </row>
    <row r="5212" spans="19:19" x14ac:dyDescent="0.25">
      <c r="S5212" s="1"/>
    </row>
    <row r="5213" spans="19:19" x14ac:dyDescent="0.25">
      <c r="S5213" s="1"/>
    </row>
    <row r="5214" spans="19:19" x14ac:dyDescent="0.25">
      <c r="S5214" s="1"/>
    </row>
    <row r="5215" spans="19:19" x14ac:dyDescent="0.25">
      <c r="S5215" s="1"/>
    </row>
    <row r="5216" spans="19:19" x14ac:dyDescent="0.25">
      <c r="S5216" s="1"/>
    </row>
    <row r="5217" spans="19:19" x14ac:dyDescent="0.25">
      <c r="S5217" s="1"/>
    </row>
    <row r="5218" spans="19:19" x14ac:dyDescent="0.25">
      <c r="S5218" s="1"/>
    </row>
    <row r="5219" spans="19:19" x14ac:dyDescent="0.25">
      <c r="S5219" s="1"/>
    </row>
    <row r="5220" spans="19:19" x14ac:dyDescent="0.25">
      <c r="S5220" s="1"/>
    </row>
    <row r="5221" spans="19:19" x14ac:dyDescent="0.25">
      <c r="S5221" s="1"/>
    </row>
    <row r="5222" spans="19:19" x14ac:dyDescent="0.25">
      <c r="S5222" s="1"/>
    </row>
    <row r="5223" spans="19:19" x14ac:dyDescent="0.25">
      <c r="S5223" s="1"/>
    </row>
    <row r="5224" spans="19:19" x14ac:dyDescent="0.25">
      <c r="S5224" s="1"/>
    </row>
    <row r="5225" spans="19:19" x14ac:dyDescent="0.25">
      <c r="S5225" s="1"/>
    </row>
    <row r="5226" spans="19:19" x14ac:dyDescent="0.25">
      <c r="S5226" s="1"/>
    </row>
    <row r="5227" spans="19:19" x14ac:dyDescent="0.25">
      <c r="S5227" s="1"/>
    </row>
    <row r="5228" spans="19:19" x14ac:dyDescent="0.25">
      <c r="S5228" s="1"/>
    </row>
    <row r="5229" spans="19:19" x14ac:dyDescent="0.25">
      <c r="S5229" s="1"/>
    </row>
    <row r="5230" spans="19:19" x14ac:dyDescent="0.25">
      <c r="S5230" s="1"/>
    </row>
    <row r="5231" spans="19:19" x14ac:dyDescent="0.25">
      <c r="S5231" s="1"/>
    </row>
    <row r="5232" spans="19:19" x14ac:dyDescent="0.25">
      <c r="S5232" s="1"/>
    </row>
    <row r="5233" spans="19:19" x14ac:dyDescent="0.25">
      <c r="S5233" s="1"/>
    </row>
    <row r="5234" spans="19:19" x14ac:dyDescent="0.25">
      <c r="S5234" s="1"/>
    </row>
    <row r="5235" spans="19:19" x14ac:dyDescent="0.25">
      <c r="S5235" s="1"/>
    </row>
    <row r="5236" spans="19:19" x14ac:dyDescent="0.25">
      <c r="S5236" s="1"/>
    </row>
    <row r="5237" spans="19:19" x14ac:dyDescent="0.25">
      <c r="S5237" s="1"/>
    </row>
    <row r="5238" spans="19:19" x14ac:dyDescent="0.25">
      <c r="S5238" s="1"/>
    </row>
    <row r="5239" spans="19:19" x14ac:dyDescent="0.25">
      <c r="S5239" s="1"/>
    </row>
    <row r="5240" spans="19:19" x14ac:dyDescent="0.25">
      <c r="S5240" s="1"/>
    </row>
    <row r="5241" spans="19:19" x14ac:dyDescent="0.25">
      <c r="S5241" s="1"/>
    </row>
    <row r="5242" spans="19:19" x14ac:dyDescent="0.25">
      <c r="S5242" s="1"/>
    </row>
    <row r="5243" spans="19:19" x14ac:dyDescent="0.25">
      <c r="S5243" s="1"/>
    </row>
    <row r="5244" spans="19:19" x14ac:dyDescent="0.25">
      <c r="S5244" s="1"/>
    </row>
    <row r="5245" spans="19:19" x14ac:dyDescent="0.25">
      <c r="S5245" s="1"/>
    </row>
    <row r="5246" spans="19:19" x14ac:dyDescent="0.25">
      <c r="S5246" s="1"/>
    </row>
    <row r="5247" spans="19:19" x14ac:dyDescent="0.25">
      <c r="S5247" s="1"/>
    </row>
    <row r="5248" spans="19:19" x14ac:dyDescent="0.25">
      <c r="S5248" s="1"/>
    </row>
    <row r="5249" spans="19:19" x14ac:dyDescent="0.25">
      <c r="S5249" s="1"/>
    </row>
    <row r="5250" spans="19:19" x14ac:dyDescent="0.25">
      <c r="S5250" s="1"/>
    </row>
    <row r="5251" spans="19:19" x14ac:dyDescent="0.25">
      <c r="S5251" s="1"/>
    </row>
    <row r="5252" spans="19:19" x14ac:dyDescent="0.25">
      <c r="S5252" s="1"/>
    </row>
    <row r="5253" spans="19:19" x14ac:dyDescent="0.25">
      <c r="S5253" s="1"/>
    </row>
    <row r="5254" spans="19:19" x14ac:dyDescent="0.25">
      <c r="S5254" s="1"/>
    </row>
    <row r="5255" spans="19:19" x14ac:dyDescent="0.25">
      <c r="S5255" s="1"/>
    </row>
    <row r="5256" spans="19:19" x14ac:dyDescent="0.25">
      <c r="S5256" s="1"/>
    </row>
    <row r="5257" spans="19:19" x14ac:dyDescent="0.25">
      <c r="S5257" s="1"/>
    </row>
    <row r="5258" spans="19:19" x14ac:dyDescent="0.25">
      <c r="S5258" s="1"/>
    </row>
    <row r="5259" spans="19:19" x14ac:dyDescent="0.25">
      <c r="S5259" s="1"/>
    </row>
    <row r="5260" spans="19:19" x14ac:dyDescent="0.25">
      <c r="S5260" s="1"/>
    </row>
    <row r="5261" spans="19:19" x14ac:dyDescent="0.25">
      <c r="S5261" s="1"/>
    </row>
    <row r="5262" spans="19:19" x14ac:dyDescent="0.25">
      <c r="S5262" s="1"/>
    </row>
    <row r="5263" spans="19:19" x14ac:dyDescent="0.25">
      <c r="S5263" s="1"/>
    </row>
    <row r="5264" spans="19:19" x14ac:dyDescent="0.25">
      <c r="S5264" s="1"/>
    </row>
    <row r="5265" spans="19:19" x14ac:dyDescent="0.25">
      <c r="S5265" s="1"/>
    </row>
    <row r="5266" spans="19:19" x14ac:dyDescent="0.25">
      <c r="S5266" s="1"/>
    </row>
    <row r="5267" spans="19:19" x14ac:dyDescent="0.25">
      <c r="S5267" s="1"/>
    </row>
    <row r="5268" spans="19:19" x14ac:dyDescent="0.25">
      <c r="S5268" s="1"/>
    </row>
    <row r="5269" spans="19:19" x14ac:dyDescent="0.25">
      <c r="S5269" s="1"/>
    </row>
    <row r="5270" spans="19:19" x14ac:dyDescent="0.25">
      <c r="S5270" s="1"/>
    </row>
    <row r="5271" spans="19:19" x14ac:dyDescent="0.25">
      <c r="S5271" s="1"/>
    </row>
    <row r="5272" spans="19:19" x14ac:dyDescent="0.25">
      <c r="S5272" s="1"/>
    </row>
    <row r="5273" spans="19:19" x14ac:dyDescent="0.25">
      <c r="S5273" s="1"/>
    </row>
    <row r="5274" spans="19:19" x14ac:dyDescent="0.25">
      <c r="S5274" s="1"/>
    </row>
    <row r="5275" spans="19:19" x14ac:dyDescent="0.25">
      <c r="S5275" s="1"/>
    </row>
    <row r="5276" spans="19:19" x14ac:dyDescent="0.25">
      <c r="S5276" s="1"/>
    </row>
    <row r="5277" spans="19:19" x14ac:dyDescent="0.25">
      <c r="S5277" s="1"/>
    </row>
    <row r="5278" spans="19:19" x14ac:dyDescent="0.25">
      <c r="S5278" s="1"/>
    </row>
    <row r="5279" spans="19:19" x14ac:dyDescent="0.25">
      <c r="S5279" s="1"/>
    </row>
    <row r="5280" spans="19:19" x14ac:dyDescent="0.25">
      <c r="S5280" s="1"/>
    </row>
    <row r="5281" spans="19:19" x14ac:dyDescent="0.25">
      <c r="S5281" s="1"/>
    </row>
    <row r="5282" spans="19:19" x14ac:dyDescent="0.25">
      <c r="S5282" s="1"/>
    </row>
    <row r="5283" spans="19:19" x14ac:dyDescent="0.25">
      <c r="S5283" s="1"/>
    </row>
    <row r="5284" spans="19:19" x14ac:dyDescent="0.25">
      <c r="S5284" s="1"/>
    </row>
    <row r="5285" spans="19:19" x14ac:dyDescent="0.25">
      <c r="S5285" s="1"/>
    </row>
    <row r="5286" spans="19:19" x14ac:dyDescent="0.25">
      <c r="S5286" s="1"/>
    </row>
    <row r="5287" spans="19:19" x14ac:dyDescent="0.25">
      <c r="S5287" s="1"/>
    </row>
    <row r="5288" spans="19:19" x14ac:dyDescent="0.25">
      <c r="S5288" s="1"/>
    </row>
    <row r="5289" spans="19:19" x14ac:dyDescent="0.25">
      <c r="S5289" s="1"/>
    </row>
    <row r="5290" spans="19:19" x14ac:dyDescent="0.25">
      <c r="S5290" s="1"/>
    </row>
    <row r="5291" spans="19:19" x14ac:dyDescent="0.25">
      <c r="S5291" s="1"/>
    </row>
    <row r="5292" spans="19:19" x14ac:dyDescent="0.25">
      <c r="S5292" s="1"/>
    </row>
    <row r="5293" spans="19:19" x14ac:dyDescent="0.25">
      <c r="S5293" s="1"/>
    </row>
    <row r="5294" spans="19:19" x14ac:dyDescent="0.25">
      <c r="S5294" s="1"/>
    </row>
    <row r="5295" spans="19:19" x14ac:dyDescent="0.25">
      <c r="S5295" s="1"/>
    </row>
    <row r="5296" spans="19:19" x14ac:dyDescent="0.25">
      <c r="S5296" s="1"/>
    </row>
    <row r="5297" spans="19:19" x14ac:dyDescent="0.25">
      <c r="S5297" s="1"/>
    </row>
    <row r="5298" spans="19:19" x14ac:dyDescent="0.25">
      <c r="S5298" s="1"/>
    </row>
    <row r="5299" spans="19:19" x14ac:dyDescent="0.25">
      <c r="S5299" s="1"/>
    </row>
    <row r="5300" spans="19:19" x14ac:dyDescent="0.25">
      <c r="S5300" s="1"/>
    </row>
    <row r="5301" spans="19:19" x14ac:dyDescent="0.25">
      <c r="S5301" s="1"/>
    </row>
    <row r="5302" spans="19:19" x14ac:dyDescent="0.25">
      <c r="S5302" s="1"/>
    </row>
    <row r="5303" spans="19:19" x14ac:dyDescent="0.25">
      <c r="S5303" s="1"/>
    </row>
    <row r="5304" spans="19:19" x14ac:dyDescent="0.25">
      <c r="S5304" s="1"/>
    </row>
    <row r="5305" spans="19:19" x14ac:dyDescent="0.25">
      <c r="S5305" s="1"/>
    </row>
    <row r="5306" spans="19:19" x14ac:dyDescent="0.25">
      <c r="S5306" s="1"/>
    </row>
    <row r="5307" spans="19:19" x14ac:dyDescent="0.25">
      <c r="S5307" s="1"/>
    </row>
    <row r="5308" spans="19:19" x14ac:dyDescent="0.25">
      <c r="S5308" s="1"/>
    </row>
    <row r="5309" spans="19:19" x14ac:dyDescent="0.25">
      <c r="S5309" s="1"/>
    </row>
    <row r="5310" spans="19:19" x14ac:dyDescent="0.25">
      <c r="S5310" s="1"/>
    </row>
    <row r="5311" spans="19:19" x14ac:dyDescent="0.25">
      <c r="S5311" s="1"/>
    </row>
    <row r="5312" spans="19:19" x14ac:dyDescent="0.25">
      <c r="S5312" s="1"/>
    </row>
    <row r="5313" spans="19:19" x14ac:dyDescent="0.25">
      <c r="S5313" s="1"/>
    </row>
    <row r="5314" spans="19:19" x14ac:dyDescent="0.25">
      <c r="S5314" s="1"/>
    </row>
    <row r="5315" spans="19:19" x14ac:dyDescent="0.25">
      <c r="S5315" s="1"/>
    </row>
    <row r="5316" spans="19:19" x14ac:dyDescent="0.25">
      <c r="S5316" s="1"/>
    </row>
    <row r="5317" spans="19:19" x14ac:dyDescent="0.25">
      <c r="S5317" s="1"/>
    </row>
    <row r="5318" spans="19:19" x14ac:dyDescent="0.25">
      <c r="S5318" s="1"/>
    </row>
    <row r="5319" spans="19:19" x14ac:dyDescent="0.25">
      <c r="S5319" s="1"/>
    </row>
    <row r="5320" spans="19:19" x14ac:dyDescent="0.25">
      <c r="S5320" s="1"/>
    </row>
    <row r="5321" spans="19:19" x14ac:dyDescent="0.25">
      <c r="S5321" s="1"/>
    </row>
    <row r="5322" spans="19:19" x14ac:dyDescent="0.25">
      <c r="S5322" s="1"/>
    </row>
    <row r="5323" spans="19:19" x14ac:dyDescent="0.25">
      <c r="S5323" s="1"/>
    </row>
    <row r="5324" spans="19:19" x14ac:dyDescent="0.25">
      <c r="S5324" s="1"/>
    </row>
    <row r="5325" spans="19:19" x14ac:dyDescent="0.25">
      <c r="S5325" s="1"/>
    </row>
    <row r="5326" spans="19:19" x14ac:dyDescent="0.25">
      <c r="S5326" s="1"/>
    </row>
    <row r="5327" spans="19:19" x14ac:dyDescent="0.25">
      <c r="S5327" s="1"/>
    </row>
    <row r="5328" spans="19:19" x14ac:dyDescent="0.25">
      <c r="S5328" s="1"/>
    </row>
    <row r="5329" spans="19:19" x14ac:dyDescent="0.25">
      <c r="S5329" s="1"/>
    </row>
    <row r="5330" spans="19:19" x14ac:dyDescent="0.25">
      <c r="S5330" s="1"/>
    </row>
    <row r="5331" spans="19:19" x14ac:dyDescent="0.25">
      <c r="S5331" s="1"/>
    </row>
    <row r="5332" spans="19:19" x14ac:dyDescent="0.25">
      <c r="S5332" s="1"/>
    </row>
    <row r="5333" spans="19:19" x14ac:dyDescent="0.25">
      <c r="S5333" s="1"/>
    </row>
    <row r="5334" spans="19:19" x14ac:dyDescent="0.25">
      <c r="S5334" s="1"/>
    </row>
    <row r="5335" spans="19:19" x14ac:dyDescent="0.25">
      <c r="S5335" s="1"/>
    </row>
    <row r="5336" spans="19:19" x14ac:dyDescent="0.25">
      <c r="S5336" s="1"/>
    </row>
    <row r="5337" spans="19:19" x14ac:dyDescent="0.25">
      <c r="S5337" s="1"/>
    </row>
    <row r="5338" spans="19:19" x14ac:dyDescent="0.25">
      <c r="S5338" s="1"/>
    </row>
    <row r="5339" spans="19:19" x14ac:dyDescent="0.25">
      <c r="S5339" s="1"/>
    </row>
    <row r="5340" spans="19:19" x14ac:dyDescent="0.25">
      <c r="S5340" s="1"/>
    </row>
    <row r="5341" spans="19:19" x14ac:dyDescent="0.25">
      <c r="S5341" s="1"/>
    </row>
    <row r="5342" spans="19:19" x14ac:dyDescent="0.25">
      <c r="S5342" s="1"/>
    </row>
    <row r="5343" spans="19:19" x14ac:dyDescent="0.25">
      <c r="S5343" s="1"/>
    </row>
    <row r="5344" spans="19:19" x14ac:dyDescent="0.25">
      <c r="S5344" s="1"/>
    </row>
    <row r="5345" spans="19:19" x14ac:dyDescent="0.25">
      <c r="S5345" s="1"/>
    </row>
    <row r="5346" spans="19:19" x14ac:dyDescent="0.25">
      <c r="S5346" s="1"/>
    </row>
    <row r="5347" spans="19:19" x14ac:dyDescent="0.25">
      <c r="S5347" s="1"/>
    </row>
    <row r="5348" spans="19:19" x14ac:dyDescent="0.25">
      <c r="S5348" s="1"/>
    </row>
    <row r="5349" spans="19:19" x14ac:dyDescent="0.25">
      <c r="S5349" s="1"/>
    </row>
    <row r="5350" spans="19:19" x14ac:dyDescent="0.25">
      <c r="S5350" s="1"/>
    </row>
    <row r="5351" spans="19:19" x14ac:dyDescent="0.25">
      <c r="S5351" s="1"/>
    </row>
    <row r="5352" spans="19:19" x14ac:dyDescent="0.25">
      <c r="S5352" s="1"/>
    </row>
    <row r="5353" spans="19:19" x14ac:dyDescent="0.25">
      <c r="S5353" s="1"/>
    </row>
    <row r="5354" spans="19:19" x14ac:dyDescent="0.25">
      <c r="S5354" s="1"/>
    </row>
    <row r="5355" spans="19:19" x14ac:dyDescent="0.25">
      <c r="S5355" s="1"/>
    </row>
    <row r="5356" spans="19:19" x14ac:dyDescent="0.25">
      <c r="S5356" s="1"/>
    </row>
    <row r="5357" spans="19:19" x14ac:dyDescent="0.25">
      <c r="S5357" s="1"/>
    </row>
    <row r="5358" spans="19:19" x14ac:dyDescent="0.25">
      <c r="S5358" s="1"/>
    </row>
    <row r="5359" spans="19:19" x14ac:dyDescent="0.25">
      <c r="S5359" s="1"/>
    </row>
    <row r="5360" spans="19:19" x14ac:dyDescent="0.25">
      <c r="S5360" s="1"/>
    </row>
    <row r="5361" spans="19:19" x14ac:dyDescent="0.25">
      <c r="S5361" s="1"/>
    </row>
    <row r="5362" spans="19:19" x14ac:dyDescent="0.25">
      <c r="S5362" s="1"/>
    </row>
    <row r="5363" spans="19:19" x14ac:dyDescent="0.25">
      <c r="S5363" s="1"/>
    </row>
    <row r="5364" spans="19:19" x14ac:dyDescent="0.25">
      <c r="S5364" s="1"/>
    </row>
    <row r="5365" spans="19:19" x14ac:dyDescent="0.25">
      <c r="S5365" s="1"/>
    </row>
    <row r="5366" spans="19:19" x14ac:dyDescent="0.25">
      <c r="S5366" s="1"/>
    </row>
    <row r="5367" spans="19:19" x14ac:dyDescent="0.25">
      <c r="S5367" s="1"/>
    </row>
    <row r="5368" spans="19:19" x14ac:dyDescent="0.25">
      <c r="S5368" s="1"/>
    </row>
    <row r="5369" spans="19:19" x14ac:dyDescent="0.25">
      <c r="S5369" s="1"/>
    </row>
    <row r="5370" spans="19:19" x14ac:dyDescent="0.25">
      <c r="S5370" s="1"/>
    </row>
    <row r="5371" spans="19:19" x14ac:dyDescent="0.25">
      <c r="S5371" s="1"/>
    </row>
    <row r="5372" spans="19:19" x14ac:dyDescent="0.25">
      <c r="S5372" s="1"/>
    </row>
    <row r="5373" spans="19:19" x14ac:dyDescent="0.25">
      <c r="S5373" s="1"/>
    </row>
    <row r="5374" spans="19:19" x14ac:dyDescent="0.25">
      <c r="S5374" s="1"/>
    </row>
    <row r="5375" spans="19:19" x14ac:dyDescent="0.25">
      <c r="S5375" s="1"/>
    </row>
    <row r="5376" spans="19:19" x14ac:dyDescent="0.25">
      <c r="S5376" s="1"/>
    </row>
    <row r="5377" spans="19:19" x14ac:dyDescent="0.25">
      <c r="S5377" s="1"/>
    </row>
    <row r="5378" spans="19:19" x14ac:dyDescent="0.25">
      <c r="S5378" s="1"/>
    </row>
    <row r="5379" spans="19:19" x14ac:dyDescent="0.25">
      <c r="S5379" s="1"/>
    </row>
    <row r="5380" spans="19:19" x14ac:dyDescent="0.25">
      <c r="S5380" s="1"/>
    </row>
    <row r="5381" spans="19:19" x14ac:dyDescent="0.25">
      <c r="S5381" s="1"/>
    </row>
    <row r="5382" spans="19:19" x14ac:dyDescent="0.25">
      <c r="S5382" s="1"/>
    </row>
    <row r="5383" spans="19:19" x14ac:dyDescent="0.25">
      <c r="S5383" s="1"/>
    </row>
    <row r="5384" spans="19:19" x14ac:dyDescent="0.25">
      <c r="S5384" s="1"/>
    </row>
    <row r="5385" spans="19:19" x14ac:dyDescent="0.25">
      <c r="S5385" s="1"/>
    </row>
    <row r="5386" spans="19:19" x14ac:dyDescent="0.25">
      <c r="S5386" s="1"/>
    </row>
    <row r="5387" spans="19:19" x14ac:dyDescent="0.25">
      <c r="S5387" s="1"/>
    </row>
    <row r="5388" spans="19:19" x14ac:dyDescent="0.25">
      <c r="S5388" s="1"/>
    </row>
    <row r="5389" spans="19:19" x14ac:dyDescent="0.25">
      <c r="S5389" s="1"/>
    </row>
    <row r="5390" spans="19:19" x14ac:dyDescent="0.25">
      <c r="S5390" s="1"/>
    </row>
    <row r="5391" spans="19:19" x14ac:dyDescent="0.25">
      <c r="S5391" s="1"/>
    </row>
    <row r="5392" spans="19:19" x14ac:dyDescent="0.25">
      <c r="S5392" s="1"/>
    </row>
    <row r="5393" spans="19:19" x14ac:dyDescent="0.25">
      <c r="S5393" s="1"/>
    </row>
    <row r="5394" spans="19:19" x14ac:dyDescent="0.25">
      <c r="S5394" s="1"/>
    </row>
    <row r="5395" spans="19:19" x14ac:dyDescent="0.25">
      <c r="S5395" s="1"/>
    </row>
    <row r="5396" spans="19:19" x14ac:dyDescent="0.25">
      <c r="S5396" s="1"/>
    </row>
    <row r="5397" spans="19:19" x14ac:dyDescent="0.25">
      <c r="S5397" s="1"/>
    </row>
    <row r="5398" spans="19:19" x14ac:dyDescent="0.25">
      <c r="S5398" s="1"/>
    </row>
    <row r="5399" spans="19:19" x14ac:dyDescent="0.25">
      <c r="S5399" s="1"/>
    </row>
    <row r="5400" spans="19:19" x14ac:dyDescent="0.25">
      <c r="S5400" s="1"/>
    </row>
    <row r="5401" spans="19:19" x14ac:dyDescent="0.25">
      <c r="S5401" s="1"/>
    </row>
    <row r="5402" spans="19:19" x14ac:dyDescent="0.25">
      <c r="S5402" s="1"/>
    </row>
    <row r="5403" spans="19:19" x14ac:dyDescent="0.25">
      <c r="S5403" s="1"/>
    </row>
    <row r="5404" spans="19:19" x14ac:dyDescent="0.25">
      <c r="S5404" s="1"/>
    </row>
    <row r="5405" spans="19:19" x14ac:dyDescent="0.25">
      <c r="S5405" s="1"/>
    </row>
    <row r="5406" spans="19:19" x14ac:dyDescent="0.25">
      <c r="S5406" s="1"/>
    </row>
    <row r="5407" spans="19:19" x14ac:dyDescent="0.25">
      <c r="S5407" s="1"/>
    </row>
    <row r="5408" spans="19:19" x14ac:dyDescent="0.25">
      <c r="S5408" s="1"/>
    </row>
    <row r="5409" spans="19:19" x14ac:dyDescent="0.25">
      <c r="S5409" s="1"/>
    </row>
    <row r="5410" spans="19:19" x14ac:dyDescent="0.25">
      <c r="S5410" s="1"/>
    </row>
    <row r="5411" spans="19:19" x14ac:dyDescent="0.25">
      <c r="S5411" s="1"/>
    </row>
    <row r="5412" spans="19:19" x14ac:dyDescent="0.25">
      <c r="S5412" s="1"/>
    </row>
    <row r="5413" spans="19:19" x14ac:dyDescent="0.25">
      <c r="S5413" s="1"/>
    </row>
    <row r="5414" spans="19:19" x14ac:dyDescent="0.25">
      <c r="S5414" s="1"/>
    </row>
    <row r="5415" spans="19:19" x14ac:dyDescent="0.25">
      <c r="S5415" s="1"/>
    </row>
    <row r="5416" spans="19:19" x14ac:dyDescent="0.25">
      <c r="S5416" s="1"/>
    </row>
    <row r="5417" spans="19:19" x14ac:dyDescent="0.25">
      <c r="S5417" s="1"/>
    </row>
    <row r="5418" spans="19:19" x14ac:dyDescent="0.25">
      <c r="S5418" s="1"/>
    </row>
    <row r="5419" spans="19:19" x14ac:dyDescent="0.25">
      <c r="S5419" s="1"/>
    </row>
    <row r="5420" spans="19:19" x14ac:dyDescent="0.25">
      <c r="S5420" s="1"/>
    </row>
    <row r="5421" spans="19:19" x14ac:dyDescent="0.25">
      <c r="S5421" s="1"/>
    </row>
    <row r="5422" spans="19:19" x14ac:dyDescent="0.25">
      <c r="S5422" s="1"/>
    </row>
    <row r="5423" spans="19:19" x14ac:dyDescent="0.25">
      <c r="S5423" s="1"/>
    </row>
    <row r="5424" spans="19:19" x14ac:dyDescent="0.25">
      <c r="S5424" s="1"/>
    </row>
    <row r="5425" spans="19:19" x14ac:dyDescent="0.25">
      <c r="S5425" s="1"/>
    </row>
    <row r="5426" spans="19:19" x14ac:dyDescent="0.25">
      <c r="S5426" s="1"/>
    </row>
    <row r="5427" spans="19:19" x14ac:dyDescent="0.25">
      <c r="S5427" s="1"/>
    </row>
    <row r="5428" spans="19:19" x14ac:dyDescent="0.25">
      <c r="S5428" s="1"/>
    </row>
    <row r="5429" spans="19:19" x14ac:dyDescent="0.25">
      <c r="S5429" s="1"/>
    </row>
    <row r="5430" spans="19:19" x14ac:dyDescent="0.25">
      <c r="S5430" s="1"/>
    </row>
    <row r="5431" spans="19:19" x14ac:dyDescent="0.25">
      <c r="S5431" s="1"/>
    </row>
    <row r="5432" spans="19:19" x14ac:dyDescent="0.25">
      <c r="S5432" s="1"/>
    </row>
    <row r="5433" spans="19:19" x14ac:dyDescent="0.25">
      <c r="S5433" s="1"/>
    </row>
    <row r="5434" spans="19:19" x14ac:dyDescent="0.25">
      <c r="S5434" s="1"/>
    </row>
    <row r="5435" spans="19:19" x14ac:dyDescent="0.25">
      <c r="S5435" s="1"/>
    </row>
    <row r="5436" spans="19:19" x14ac:dyDescent="0.25">
      <c r="S5436" s="1"/>
    </row>
    <row r="5437" spans="19:19" x14ac:dyDescent="0.25">
      <c r="S5437" s="1"/>
    </row>
    <row r="5438" spans="19:19" x14ac:dyDescent="0.25">
      <c r="S5438" s="1"/>
    </row>
    <row r="5439" spans="19:19" x14ac:dyDescent="0.25">
      <c r="S5439" s="1"/>
    </row>
    <row r="5440" spans="19:19" x14ac:dyDescent="0.25">
      <c r="S5440" s="1"/>
    </row>
    <row r="5441" spans="19:19" x14ac:dyDescent="0.25">
      <c r="S5441" s="1"/>
    </row>
    <row r="5442" spans="19:19" x14ac:dyDescent="0.25">
      <c r="S5442" s="1"/>
    </row>
    <row r="5443" spans="19:19" x14ac:dyDescent="0.25">
      <c r="S5443" s="1"/>
    </row>
    <row r="5444" spans="19:19" x14ac:dyDescent="0.25">
      <c r="S5444" s="1"/>
    </row>
    <row r="5445" spans="19:19" x14ac:dyDescent="0.25">
      <c r="S5445" s="1"/>
    </row>
    <row r="5446" spans="19:19" x14ac:dyDescent="0.25">
      <c r="S5446" s="1"/>
    </row>
    <row r="5447" spans="19:19" x14ac:dyDescent="0.25">
      <c r="S5447" s="1"/>
    </row>
    <row r="5448" spans="19:19" x14ac:dyDescent="0.25">
      <c r="S5448" s="1"/>
    </row>
    <row r="5449" spans="19:19" x14ac:dyDescent="0.25">
      <c r="S5449" s="1"/>
    </row>
    <row r="5450" spans="19:19" x14ac:dyDescent="0.25">
      <c r="S5450" s="1"/>
    </row>
    <row r="5451" spans="19:19" x14ac:dyDescent="0.25">
      <c r="S5451" s="1"/>
    </row>
    <row r="5452" spans="19:19" x14ac:dyDescent="0.25">
      <c r="S5452" s="1"/>
    </row>
    <row r="5453" spans="19:19" x14ac:dyDescent="0.25">
      <c r="S5453" s="1"/>
    </row>
    <row r="5454" spans="19:19" x14ac:dyDescent="0.25">
      <c r="S5454" s="1"/>
    </row>
    <row r="5455" spans="19:19" x14ac:dyDescent="0.25">
      <c r="S5455" s="1"/>
    </row>
    <row r="5456" spans="19:19" x14ac:dyDescent="0.25">
      <c r="S5456" s="1"/>
    </row>
    <row r="5457" spans="19:19" x14ac:dyDescent="0.25">
      <c r="S5457" s="1"/>
    </row>
    <row r="5458" spans="19:19" x14ac:dyDescent="0.25">
      <c r="S5458" s="1"/>
    </row>
    <row r="5459" spans="19:19" x14ac:dyDescent="0.25">
      <c r="S5459" s="1"/>
    </row>
    <row r="5460" spans="19:19" x14ac:dyDescent="0.25">
      <c r="S5460" s="1"/>
    </row>
    <row r="5461" spans="19:19" x14ac:dyDescent="0.25">
      <c r="S5461" s="1"/>
    </row>
    <row r="5462" spans="19:19" x14ac:dyDescent="0.25">
      <c r="S5462" s="1"/>
    </row>
    <row r="5463" spans="19:19" x14ac:dyDescent="0.25">
      <c r="S5463" s="1"/>
    </row>
    <row r="5464" spans="19:19" x14ac:dyDescent="0.25">
      <c r="S5464" s="1"/>
    </row>
    <row r="5465" spans="19:19" x14ac:dyDescent="0.25">
      <c r="S5465" s="1"/>
    </row>
    <row r="5466" spans="19:19" x14ac:dyDescent="0.25">
      <c r="S5466" s="1"/>
    </row>
    <row r="5467" spans="19:19" x14ac:dyDescent="0.25">
      <c r="S5467" s="1"/>
    </row>
    <row r="5468" spans="19:19" x14ac:dyDescent="0.25">
      <c r="S5468" s="1"/>
    </row>
    <row r="5469" spans="19:19" x14ac:dyDescent="0.25">
      <c r="S5469" s="1"/>
    </row>
    <row r="5470" spans="19:19" x14ac:dyDescent="0.25">
      <c r="S5470" s="1"/>
    </row>
    <row r="5471" spans="19:19" x14ac:dyDescent="0.25">
      <c r="S5471" s="1"/>
    </row>
    <row r="5472" spans="19:19" x14ac:dyDescent="0.25">
      <c r="S5472" s="1"/>
    </row>
    <row r="5473" spans="19:19" x14ac:dyDescent="0.25">
      <c r="S5473" s="1"/>
    </row>
    <row r="5474" spans="19:19" x14ac:dyDescent="0.25">
      <c r="S5474" s="1"/>
    </row>
    <row r="5475" spans="19:19" x14ac:dyDescent="0.25">
      <c r="S5475" s="1"/>
    </row>
    <row r="5476" spans="19:19" x14ac:dyDescent="0.25">
      <c r="S5476" s="1"/>
    </row>
    <row r="5477" spans="19:19" x14ac:dyDescent="0.25">
      <c r="S5477" s="1"/>
    </row>
    <row r="5478" spans="19:19" x14ac:dyDescent="0.25">
      <c r="S5478" s="1"/>
    </row>
    <row r="5479" spans="19:19" x14ac:dyDescent="0.25">
      <c r="S5479" s="1"/>
    </row>
    <row r="5480" spans="19:19" x14ac:dyDescent="0.25">
      <c r="S5480" s="1"/>
    </row>
    <row r="5481" spans="19:19" x14ac:dyDescent="0.25">
      <c r="S5481" s="1"/>
    </row>
    <row r="5482" spans="19:19" x14ac:dyDescent="0.25">
      <c r="S5482" s="1"/>
    </row>
    <row r="5483" spans="19:19" x14ac:dyDescent="0.25">
      <c r="S5483" s="1"/>
    </row>
    <row r="5484" spans="19:19" x14ac:dyDescent="0.25">
      <c r="S5484" s="1"/>
    </row>
    <row r="5485" spans="19:19" x14ac:dyDescent="0.25">
      <c r="S5485" s="1"/>
    </row>
    <row r="5486" spans="19:19" x14ac:dyDescent="0.25">
      <c r="S5486" s="1"/>
    </row>
    <row r="5487" spans="19:19" x14ac:dyDescent="0.25">
      <c r="S5487" s="1"/>
    </row>
    <row r="5488" spans="19:19" x14ac:dyDescent="0.25">
      <c r="S5488" s="1"/>
    </row>
    <row r="5489" spans="19:19" x14ac:dyDescent="0.25">
      <c r="S5489" s="1"/>
    </row>
    <row r="5490" spans="19:19" x14ac:dyDescent="0.25">
      <c r="S5490" s="1"/>
    </row>
    <row r="5491" spans="19:19" x14ac:dyDescent="0.25">
      <c r="S5491" s="1"/>
    </row>
    <row r="5492" spans="19:19" x14ac:dyDescent="0.25">
      <c r="S5492" s="1"/>
    </row>
    <row r="5493" spans="19:19" x14ac:dyDescent="0.25">
      <c r="S5493" s="1"/>
    </row>
    <row r="5494" spans="19:19" x14ac:dyDescent="0.25">
      <c r="S5494" s="1"/>
    </row>
    <row r="5495" spans="19:19" x14ac:dyDescent="0.25">
      <c r="S5495" s="1"/>
    </row>
    <row r="5496" spans="19:19" x14ac:dyDescent="0.25">
      <c r="S5496" s="1"/>
    </row>
    <row r="5497" spans="19:19" x14ac:dyDescent="0.25">
      <c r="S5497" s="1"/>
    </row>
    <row r="5498" spans="19:19" x14ac:dyDescent="0.25">
      <c r="S5498" s="1"/>
    </row>
    <row r="5499" spans="19:19" x14ac:dyDescent="0.25">
      <c r="S5499" s="1"/>
    </row>
    <row r="5500" spans="19:19" x14ac:dyDescent="0.25">
      <c r="S5500" s="1"/>
    </row>
    <row r="5501" spans="19:19" x14ac:dyDescent="0.25">
      <c r="S5501" s="1"/>
    </row>
    <row r="5502" spans="19:19" x14ac:dyDescent="0.25">
      <c r="S5502" s="1"/>
    </row>
    <row r="5503" spans="19:19" x14ac:dyDescent="0.25">
      <c r="S5503" s="1"/>
    </row>
    <row r="5504" spans="19:19" x14ac:dyDescent="0.25">
      <c r="S5504" s="1"/>
    </row>
    <row r="5505" spans="19:19" x14ac:dyDescent="0.25">
      <c r="S5505" s="1"/>
    </row>
    <row r="5506" spans="19:19" x14ac:dyDescent="0.25">
      <c r="S5506" s="1"/>
    </row>
    <row r="5507" spans="19:19" x14ac:dyDescent="0.25">
      <c r="S5507" s="1"/>
    </row>
    <row r="5508" spans="19:19" x14ac:dyDescent="0.25">
      <c r="S5508" s="1"/>
    </row>
    <row r="5509" spans="19:19" x14ac:dyDescent="0.25">
      <c r="S5509" s="1"/>
    </row>
    <row r="5510" spans="19:19" x14ac:dyDescent="0.25">
      <c r="S5510" s="1"/>
    </row>
    <row r="5511" spans="19:19" x14ac:dyDescent="0.25">
      <c r="S5511" s="1"/>
    </row>
    <row r="5512" spans="19:19" x14ac:dyDescent="0.25">
      <c r="S5512" s="1"/>
    </row>
    <row r="5513" spans="19:19" x14ac:dyDescent="0.25">
      <c r="S5513" s="1"/>
    </row>
    <row r="5514" spans="19:19" x14ac:dyDescent="0.25">
      <c r="S5514" s="1"/>
    </row>
    <row r="5515" spans="19:19" x14ac:dyDescent="0.25">
      <c r="S5515" s="1"/>
    </row>
    <row r="5516" spans="19:19" x14ac:dyDescent="0.25">
      <c r="S5516" s="1"/>
    </row>
    <row r="5517" spans="19:19" x14ac:dyDescent="0.25">
      <c r="S5517" s="1"/>
    </row>
    <row r="5518" spans="19:19" x14ac:dyDescent="0.25">
      <c r="S5518" s="1"/>
    </row>
    <row r="5519" spans="19:19" x14ac:dyDescent="0.25">
      <c r="S5519" s="1"/>
    </row>
    <row r="5520" spans="19:19" x14ac:dyDescent="0.25">
      <c r="S5520" s="1"/>
    </row>
    <row r="5521" spans="19:19" x14ac:dyDescent="0.25">
      <c r="S5521" s="1"/>
    </row>
    <row r="5522" spans="19:19" x14ac:dyDescent="0.25">
      <c r="S5522" s="1"/>
    </row>
    <row r="5523" spans="19:19" x14ac:dyDescent="0.25">
      <c r="S5523" s="1"/>
    </row>
    <row r="5524" spans="19:19" x14ac:dyDescent="0.25">
      <c r="S5524" s="1"/>
    </row>
    <row r="5525" spans="19:19" x14ac:dyDescent="0.25">
      <c r="S5525" s="1"/>
    </row>
    <row r="5526" spans="19:19" x14ac:dyDescent="0.25">
      <c r="S5526" s="1"/>
    </row>
    <row r="5527" spans="19:19" x14ac:dyDescent="0.25">
      <c r="S5527" s="1"/>
    </row>
    <row r="5528" spans="19:19" x14ac:dyDescent="0.25">
      <c r="S5528" s="1"/>
    </row>
    <row r="5529" spans="19:19" x14ac:dyDescent="0.25">
      <c r="S5529" s="1"/>
    </row>
    <row r="5530" spans="19:19" x14ac:dyDescent="0.25">
      <c r="S5530" s="1"/>
    </row>
    <row r="5531" spans="19:19" x14ac:dyDescent="0.25">
      <c r="S5531" s="1"/>
    </row>
    <row r="5532" spans="19:19" x14ac:dyDescent="0.25">
      <c r="S5532" s="1"/>
    </row>
    <row r="5533" spans="19:19" x14ac:dyDescent="0.25">
      <c r="S5533" s="1"/>
    </row>
    <row r="5534" spans="19:19" x14ac:dyDescent="0.25">
      <c r="S5534" s="1"/>
    </row>
    <row r="5535" spans="19:19" x14ac:dyDescent="0.25">
      <c r="S5535" s="1"/>
    </row>
    <row r="5536" spans="19:19" x14ac:dyDescent="0.25">
      <c r="S5536" s="1"/>
    </row>
    <row r="5537" spans="19:19" x14ac:dyDescent="0.25">
      <c r="S5537" s="1"/>
    </row>
    <row r="5538" spans="19:19" x14ac:dyDescent="0.25">
      <c r="S5538" s="1"/>
    </row>
    <row r="5539" spans="19:19" x14ac:dyDescent="0.25">
      <c r="S5539" s="1"/>
    </row>
    <row r="5540" spans="19:19" x14ac:dyDescent="0.25">
      <c r="S5540" s="1"/>
    </row>
    <row r="5541" spans="19:19" x14ac:dyDescent="0.25">
      <c r="S5541" s="1"/>
    </row>
    <row r="5542" spans="19:19" x14ac:dyDescent="0.25">
      <c r="S5542" s="1"/>
    </row>
    <row r="5543" spans="19:19" x14ac:dyDescent="0.25">
      <c r="S5543" s="1"/>
    </row>
    <row r="5544" spans="19:19" x14ac:dyDescent="0.25">
      <c r="S5544" s="1"/>
    </row>
    <row r="5545" spans="19:19" x14ac:dyDescent="0.25">
      <c r="S5545" s="1"/>
    </row>
    <row r="5546" spans="19:19" x14ac:dyDescent="0.25">
      <c r="S5546" s="1"/>
    </row>
    <row r="5547" spans="19:19" x14ac:dyDescent="0.25">
      <c r="S5547" s="1"/>
    </row>
    <row r="5548" spans="19:19" x14ac:dyDescent="0.25">
      <c r="S5548" s="1"/>
    </row>
    <row r="5549" spans="19:19" x14ac:dyDescent="0.25">
      <c r="S5549" s="1"/>
    </row>
    <row r="5550" spans="19:19" x14ac:dyDescent="0.25">
      <c r="S5550" s="1"/>
    </row>
    <row r="5551" spans="19:19" x14ac:dyDescent="0.25">
      <c r="S5551" s="1"/>
    </row>
    <row r="5552" spans="19:19" x14ac:dyDescent="0.25">
      <c r="S5552" s="1"/>
    </row>
    <row r="5553" spans="19:19" x14ac:dyDescent="0.25">
      <c r="S5553" s="1"/>
    </row>
    <row r="5554" spans="19:19" x14ac:dyDescent="0.25">
      <c r="S5554" s="1"/>
    </row>
    <row r="5555" spans="19:19" x14ac:dyDescent="0.25">
      <c r="S5555" s="1"/>
    </row>
    <row r="5556" spans="19:19" x14ac:dyDescent="0.25">
      <c r="S5556" s="1"/>
    </row>
    <row r="5557" spans="19:19" x14ac:dyDescent="0.25">
      <c r="S5557" s="1"/>
    </row>
    <row r="5558" spans="19:19" x14ac:dyDescent="0.25">
      <c r="S5558" s="1"/>
    </row>
    <row r="5559" spans="19:19" x14ac:dyDescent="0.25">
      <c r="S5559" s="1"/>
    </row>
    <row r="5560" spans="19:19" x14ac:dyDescent="0.25">
      <c r="S5560" s="1"/>
    </row>
    <row r="5561" spans="19:19" x14ac:dyDescent="0.25">
      <c r="S5561" s="1"/>
    </row>
    <row r="5562" spans="19:19" x14ac:dyDescent="0.25">
      <c r="S5562" s="1"/>
    </row>
    <row r="5563" spans="19:19" x14ac:dyDescent="0.25">
      <c r="S5563" s="1"/>
    </row>
    <row r="5564" spans="19:19" x14ac:dyDescent="0.25">
      <c r="S5564" s="1"/>
    </row>
    <row r="5565" spans="19:19" x14ac:dyDescent="0.25">
      <c r="S5565" s="1"/>
    </row>
    <row r="5566" spans="19:19" x14ac:dyDescent="0.25">
      <c r="S5566" s="1"/>
    </row>
    <row r="5567" spans="19:19" x14ac:dyDescent="0.25">
      <c r="S5567" s="1"/>
    </row>
    <row r="5568" spans="19:19" x14ac:dyDescent="0.25">
      <c r="S5568" s="1"/>
    </row>
    <row r="5569" spans="19:19" x14ac:dyDescent="0.25">
      <c r="S5569" s="1"/>
    </row>
    <row r="5570" spans="19:19" x14ac:dyDescent="0.25">
      <c r="S5570" s="1"/>
    </row>
    <row r="5571" spans="19:19" x14ac:dyDescent="0.25">
      <c r="S5571" s="1"/>
    </row>
    <row r="5572" spans="19:19" x14ac:dyDescent="0.25">
      <c r="S5572" s="1"/>
    </row>
    <row r="5573" spans="19:19" x14ac:dyDescent="0.25">
      <c r="S5573" s="1"/>
    </row>
    <row r="5574" spans="19:19" x14ac:dyDescent="0.25">
      <c r="S5574" s="1"/>
    </row>
    <row r="5575" spans="19:19" x14ac:dyDescent="0.25">
      <c r="S5575" s="1"/>
    </row>
    <row r="5576" spans="19:19" x14ac:dyDescent="0.25">
      <c r="S5576" s="1"/>
    </row>
    <row r="5577" spans="19:19" x14ac:dyDescent="0.25">
      <c r="S5577" s="1"/>
    </row>
    <row r="5578" spans="19:19" x14ac:dyDescent="0.25">
      <c r="S5578" s="1"/>
    </row>
    <row r="5579" spans="19:19" x14ac:dyDescent="0.25">
      <c r="S5579" s="1"/>
    </row>
    <row r="5580" spans="19:19" x14ac:dyDescent="0.25">
      <c r="S5580" s="1"/>
    </row>
    <row r="5581" spans="19:19" x14ac:dyDescent="0.25">
      <c r="S5581" s="1"/>
    </row>
    <row r="5582" spans="19:19" x14ac:dyDescent="0.25">
      <c r="S5582" s="1"/>
    </row>
    <row r="5583" spans="19:19" x14ac:dyDescent="0.25">
      <c r="S5583" s="1"/>
    </row>
    <row r="5584" spans="19:19" x14ac:dyDescent="0.25">
      <c r="S5584" s="1"/>
    </row>
    <row r="5585" spans="19:19" x14ac:dyDescent="0.25">
      <c r="S5585" s="1"/>
    </row>
    <row r="5586" spans="19:19" x14ac:dyDescent="0.25">
      <c r="S5586" s="1"/>
    </row>
    <row r="5587" spans="19:19" x14ac:dyDescent="0.25">
      <c r="S5587" s="1"/>
    </row>
    <row r="5588" spans="19:19" x14ac:dyDescent="0.25">
      <c r="S5588" s="1"/>
    </row>
    <row r="5589" spans="19:19" x14ac:dyDescent="0.25">
      <c r="S5589" s="1"/>
    </row>
    <row r="5590" spans="19:19" x14ac:dyDescent="0.25">
      <c r="S5590" s="1"/>
    </row>
    <row r="5591" spans="19:19" x14ac:dyDescent="0.25">
      <c r="S5591" s="1"/>
    </row>
    <row r="5592" spans="19:19" x14ac:dyDescent="0.25">
      <c r="S5592" s="1"/>
    </row>
    <row r="5593" spans="19:19" x14ac:dyDescent="0.25">
      <c r="S5593" s="1"/>
    </row>
    <row r="5594" spans="19:19" x14ac:dyDescent="0.25">
      <c r="S5594" s="1"/>
    </row>
    <row r="5595" spans="19:19" x14ac:dyDescent="0.25">
      <c r="S5595" s="1"/>
    </row>
    <row r="5596" spans="19:19" x14ac:dyDescent="0.25">
      <c r="S5596" s="1"/>
    </row>
    <row r="5597" spans="19:19" x14ac:dyDescent="0.25">
      <c r="S5597" s="1"/>
    </row>
    <row r="5598" spans="19:19" x14ac:dyDescent="0.25">
      <c r="S5598" s="1"/>
    </row>
    <row r="5599" spans="19:19" x14ac:dyDescent="0.25">
      <c r="S5599" s="1"/>
    </row>
    <row r="5600" spans="19:19" x14ac:dyDescent="0.25">
      <c r="S5600" s="1"/>
    </row>
    <row r="5601" spans="19:19" x14ac:dyDescent="0.25">
      <c r="S5601" s="1"/>
    </row>
    <row r="5602" spans="19:19" x14ac:dyDescent="0.25">
      <c r="S5602" s="1"/>
    </row>
    <row r="5603" spans="19:19" x14ac:dyDescent="0.25">
      <c r="S5603" s="1"/>
    </row>
    <row r="5604" spans="19:19" x14ac:dyDescent="0.25">
      <c r="S5604" s="1"/>
    </row>
    <row r="5605" spans="19:19" x14ac:dyDescent="0.25">
      <c r="S5605" s="1"/>
    </row>
    <row r="5606" spans="19:19" x14ac:dyDescent="0.25">
      <c r="S5606" s="1"/>
    </row>
    <row r="5607" spans="19:19" x14ac:dyDescent="0.25">
      <c r="S5607" s="1"/>
    </row>
    <row r="5608" spans="19:19" x14ac:dyDescent="0.25">
      <c r="S5608" s="1"/>
    </row>
    <row r="5609" spans="19:19" x14ac:dyDescent="0.25">
      <c r="S5609" s="1"/>
    </row>
    <row r="5610" spans="19:19" x14ac:dyDescent="0.25">
      <c r="S5610" s="1"/>
    </row>
    <row r="5611" spans="19:19" x14ac:dyDescent="0.25">
      <c r="S5611" s="1"/>
    </row>
    <row r="5612" spans="19:19" x14ac:dyDescent="0.25">
      <c r="S5612" s="1"/>
    </row>
    <row r="5613" spans="19:19" x14ac:dyDescent="0.25">
      <c r="S5613" s="1"/>
    </row>
    <row r="5614" spans="19:19" x14ac:dyDescent="0.25">
      <c r="S5614" s="1"/>
    </row>
    <row r="5615" spans="19:19" x14ac:dyDescent="0.25">
      <c r="S5615" s="1"/>
    </row>
    <row r="5616" spans="19:19" x14ac:dyDescent="0.25">
      <c r="S5616" s="1"/>
    </row>
    <row r="5617" spans="19:19" x14ac:dyDescent="0.25">
      <c r="S5617" s="1"/>
    </row>
    <row r="5618" spans="19:19" x14ac:dyDescent="0.25">
      <c r="S5618" s="1"/>
    </row>
    <row r="5619" spans="19:19" x14ac:dyDescent="0.25">
      <c r="S5619" s="1"/>
    </row>
    <row r="5620" spans="19:19" x14ac:dyDescent="0.25">
      <c r="S5620" s="1"/>
    </row>
    <row r="5621" spans="19:19" x14ac:dyDescent="0.25">
      <c r="S5621" s="1"/>
    </row>
    <row r="5622" spans="19:19" x14ac:dyDescent="0.25">
      <c r="S5622" s="1"/>
    </row>
    <row r="5623" spans="19:19" x14ac:dyDescent="0.25">
      <c r="S5623" s="1"/>
    </row>
    <row r="5624" spans="19:19" x14ac:dyDescent="0.25">
      <c r="S5624" s="1"/>
    </row>
    <row r="5625" spans="19:19" x14ac:dyDescent="0.25">
      <c r="S5625" s="1"/>
    </row>
    <row r="5626" spans="19:19" x14ac:dyDescent="0.25">
      <c r="S5626" s="1"/>
    </row>
    <row r="5627" spans="19:19" x14ac:dyDescent="0.25">
      <c r="S5627" s="1"/>
    </row>
    <row r="5628" spans="19:19" x14ac:dyDescent="0.25">
      <c r="S5628" s="1"/>
    </row>
    <row r="5629" spans="19:19" x14ac:dyDescent="0.25">
      <c r="S5629" s="1"/>
    </row>
    <row r="5630" spans="19:19" x14ac:dyDescent="0.25">
      <c r="S5630" s="1"/>
    </row>
    <row r="5631" spans="19:19" x14ac:dyDescent="0.25">
      <c r="S5631" s="1"/>
    </row>
    <row r="5632" spans="19:19" x14ac:dyDescent="0.25">
      <c r="S5632" s="1"/>
    </row>
    <row r="5633" spans="19:19" x14ac:dyDescent="0.25">
      <c r="S5633" s="1"/>
    </row>
    <row r="5634" spans="19:19" x14ac:dyDescent="0.25">
      <c r="S5634" s="1"/>
    </row>
    <row r="5635" spans="19:19" x14ac:dyDescent="0.25">
      <c r="S5635" s="1"/>
    </row>
    <row r="5636" spans="19:19" x14ac:dyDescent="0.25">
      <c r="S5636" s="1"/>
    </row>
    <row r="5637" spans="19:19" x14ac:dyDescent="0.25">
      <c r="S5637" s="1"/>
    </row>
    <row r="5638" spans="19:19" x14ac:dyDescent="0.25">
      <c r="S5638" s="1"/>
    </row>
    <row r="5639" spans="19:19" x14ac:dyDescent="0.25">
      <c r="S5639" s="1"/>
    </row>
    <row r="5640" spans="19:19" x14ac:dyDescent="0.25">
      <c r="S5640" s="1"/>
    </row>
    <row r="5641" spans="19:19" x14ac:dyDescent="0.25">
      <c r="S5641" s="1"/>
    </row>
    <row r="5642" spans="19:19" x14ac:dyDescent="0.25">
      <c r="S5642" s="1"/>
    </row>
    <row r="5643" spans="19:19" x14ac:dyDescent="0.25">
      <c r="S5643" s="1"/>
    </row>
    <row r="5644" spans="19:19" x14ac:dyDescent="0.25">
      <c r="S5644" s="1"/>
    </row>
    <row r="5645" spans="19:19" x14ac:dyDescent="0.25">
      <c r="S5645" s="1"/>
    </row>
    <row r="5646" spans="19:19" x14ac:dyDescent="0.25">
      <c r="S5646" s="1"/>
    </row>
    <row r="5647" spans="19:19" x14ac:dyDescent="0.25">
      <c r="S5647" s="1"/>
    </row>
    <row r="5648" spans="19:19" x14ac:dyDescent="0.25">
      <c r="S5648" s="1"/>
    </row>
    <row r="5649" spans="19:19" x14ac:dyDescent="0.25">
      <c r="S5649" s="1"/>
    </row>
    <row r="5650" spans="19:19" x14ac:dyDescent="0.25">
      <c r="S5650" s="1"/>
    </row>
    <row r="5651" spans="19:19" x14ac:dyDescent="0.25">
      <c r="S5651" s="1"/>
    </row>
    <row r="5652" spans="19:19" x14ac:dyDescent="0.25">
      <c r="S5652" s="1"/>
    </row>
    <row r="5653" spans="19:19" x14ac:dyDescent="0.25">
      <c r="S5653" s="1"/>
    </row>
    <row r="5654" spans="19:19" x14ac:dyDescent="0.25">
      <c r="S5654" s="1"/>
    </row>
    <row r="5655" spans="19:19" x14ac:dyDescent="0.25">
      <c r="S5655" s="1"/>
    </row>
    <row r="5656" spans="19:19" x14ac:dyDescent="0.25">
      <c r="S5656" s="1"/>
    </row>
    <row r="5657" spans="19:19" x14ac:dyDescent="0.25">
      <c r="S5657" s="1"/>
    </row>
    <row r="5658" spans="19:19" x14ac:dyDescent="0.25">
      <c r="S5658" s="1"/>
    </row>
    <row r="5659" spans="19:19" x14ac:dyDescent="0.25">
      <c r="S5659" s="1"/>
    </row>
    <row r="5660" spans="19:19" x14ac:dyDescent="0.25">
      <c r="S5660" s="1"/>
    </row>
    <row r="5661" spans="19:19" x14ac:dyDescent="0.25">
      <c r="S5661" s="1"/>
    </row>
    <row r="5662" spans="19:19" x14ac:dyDescent="0.25">
      <c r="S5662" s="1"/>
    </row>
    <row r="5663" spans="19:19" x14ac:dyDescent="0.25">
      <c r="S5663" s="1"/>
    </row>
    <row r="5664" spans="19:19" x14ac:dyDescent="0.25">
      <c r="S5664" s="1"/>
    </row>
    <row r="5665" spans="19:19" x14ac:dyDescent="0.25">
      <c r="S5665" s="1"/>
    </row>
    <row r="5666" spans="19:19" x14ac:dyDescent="0.25">
      <c r="S5666" s="1"/>
    </row>
    <row r="5667" spans="19:19" x14ac:dyDescent="0.25">
      <c r="S5667" s="1"/>
    </row>
    <row r="5668" spans="19:19" x14ac:dyDescent="0.25">
      <c r="S5668" s="1"/>
    </row>
    <row r="5669" spans="19:19" x14ac:dyDescent="0.25">
      <c r="S5669" s="1"/>
    </row>
    <row r="5670" spans="19:19" x14ac:dyDescent="0.25">
      <c r="S5670" s="1"/>
    </row>
    <row r="5671" spans="19:19" x14ac:dyDescent="0.25">
      <c r="S5671" s="1"/>
    </row>
    <row r="5672" spans="19:19" x14ac:dyDescent="0.25">
      <c r="S5672" s="1"/>
    </row>
    <row r="5673" spans="19:19" x14ac:dyDescent="0.25">
      <c r="S5673" s="1"/>
    </row>
    <row r="5674" spans="19:19" x14ac:dyDescent="0.25">
      <c r="S5674" s="1"/>
    </row>
    <row r="5675" spans="19:19" x14ac:dyDescent="0.25">
      <c r="S5675" s="1"/>
    </row>
    <row r="5676" spans="19:19" x14ac:dyDescent="0.25">
      <c r="S5676" s="1"/>
    </row>
    <row r="5677" spans="19:19" x14ac:dyDescent="0.25">
      <c r="S5677" s="1"/>
    </row>
    <row r="5678" spans="19:19" x14ac:dyDescent="0.25">
      <c r="S5678" s="1"/>
    </row>
    <row r="5679" spans="19:19" x14ac:dyDescent="0.25">
      <c r="S5679" s="1"/>
    </row>
    <row r="5680" spans="19:19" x14ac:dyDescent="0.25">
      <c r="S5680" s="1"/>
    </row>
    <row r="5681" spans="19:19" x14ac:dyDescent="0.25">
      <c r="S5681" s="1"/>
    </row>
    <row r="5682" spans="19:19" x14ac:dyDescent="0.25">
      <c r="S5682" s="1"/>
    </row>
    <row r="5683" spans="19:19" x14ac:dyDescent="0.25">
      <c r="S5683" s="1"/>
    </row>
    <row r="5684" spans="19:19" x14ac:dyDescent="0.25">
      <c r="S5684" s="1"/>
    </row>
    <row r="5685" spans="19:19" x14ac:dyDescent="0.25">
      <c r="S5685" s="1"/>
    </row>
    <row r="5686" spans="19:19" x14ac:dyDescent="0.25">
      <c r="S5686" s="1"/>
    </row>
    <row r="5687" spans="19:19" x14ac:dyDescent="0.25">
      <c r="S5687" s="1"/>
    </row>
    <row r="5688" spans="19:19" x14ac:dyDescent="0.25">
      <c r="S5688" s="1"/>
    </row>
    <row r="5689" spans="19:19" x14ac:dyDescent="0.25">
      <c r="S5689" s="1"/>
    </row>
    <row r="5690" spans="19:19" x14ac:dyDescent="0.25">
      <c r="S5690" s="1"/>
    </row>
    <row r="5691" spans="19:19" x14ac:dyDescent="0.25">
      <c r="S5691" s="1"/>
    </row>
    <row r="5692" spans="19:19" x14ac:dyDescent="0.25">
      <c r="S5692" s="1"/>
    </row>
    <row r="5693" spans="19:19" x14ac:dyDescent="0.25">
      <c r="S5693" s="1"/>
    </row>
    <row r="5694" spans="19:19" x14ac:dyDescent="0.25">
      <c r="S5694" s="1"/>
    </row>
    <row r="5695" spans="19:19" x14ac:dyDescent="0.25">
      <c r="S5695" s="1"/>
    </row>
    <row r="5696" spans="19:19" x14ac:dyDescent="0.25">
      <c r="S5696" s="1"/>
    </row>
    <row r="5697" spans="19:19" x14ac:dyDescent="0.25">
      <c r="S5697" s="1"/>
    </row>
    <row r="5698" spans="19:19" x14ac:dyDescent="0.25">
      <c r="S5698" s="1"/>
    </row>
    <row r="5699" spans="19:19" x14ac:dyDescent="0.25">
      <c r="S5699" s="1"/>
    </row>
    <row r="5700" spans="19:19" x14ac:dyDescent="0.25">
      <c r="S5700" s="1"/>
    </row>
    <row r="5701" spans="19:19" x14ac:dyDescent="0.25">
      <c r="S5701" s="1"/>
    </row>
    <row r="5702" spans="19:19" x14ac:dyDescent="0.25">
      <c r="S5702" s="1"/>
    </row>
    <row r="5703" spans="19:19" x14ac:dyDescent="0.25">
      <c r="S5703" s="1"/>
    </row>
    <row r="5704" spans="19:19" x14ac:dyDescent="0.25">
      <c r="S5704" s="1"/>
    </row>
    <row r="5705" spans="19:19" x14ac:dyDescent="0.25">
      <c r="S5705" s="1"/>
    </row>
    <row r="5706" spans="19:19" x14ac:dyDescent="0.25">
      <c r="S5706" s="1"/>
    </row>
    <row r="5707" spans="19:19" x14ac:dyDescent="0.25">
      <c r="S5707" s="1"/>
    </row>
    <row r="5708" spans="19:19" x14ac:dyDescent="0.25">
      <c r="S5708" s="1"/>
    </row>
    <row r="5709" spans="19:19" x14ac:dyDescent="0.25">
      <c r="S5709" s="1"/>
    </row>
    <row r="5710" spans="19:19" x14ac:dyDescent="0.25">
      <c r="S5710" s="1"/>
    </row>
    <row r="5711" spans="19:19" x14ac:dyDescent="0.25">
      <c r="S5711" s="1"/>
    </row>
    <row r="5712" spans="19:19" x14ac:dyDescent="0.25">
      <c r="S5712" s="1"/>
    </row>
    <row r="5713" spans="19:19" x14ac:dyDescent="0.25">
      <c r="S5713" s="1"/>
    </row>
    <row r="5714" spans="19:19" x14ac:dyDescent="0.25">
      <c r="S5714" s="1"/>
    </row>
    <row r="5715" spans="19:19" x14ac:dyDescent="0.25">
      <c r="S5715" s="1"/>
    </row>
    <row r="5716" spans="19:19" x14ac:dyDescent="0.25">
      <c r="S5716" s="1"/>
    </row>
    <row r="5717" spans="19:19" x14ac:dyDescent="0.25">
      <c r="S5717" s="1"/>
    </row>
    <row r="5718" spans="19:19" x14ac:dyDescent="0.25">
      <c r="S5718" s="1"/>
    </row>
    <row r="5719" spans="19:19" x14ac:dyDescent="0.25">
      <c r="S5719" s="1"/>
    </row>
    <row r="5720" spans="19:19" x14ac:dyDescent="0.25">
      <c r="S5720" s="1"/>
    </row>
    <row r="5721" spans="19:19" x14ac:dyDescent="0.25">
      <c r="S5721" s="1"/>
    </row>
    <row r="5722" spans="19:19" x14ac:dyDescent="0.25">
      <c r="S5722" s="1"/>
    </row>
    <row r="5723" spans="19:19" x14ac:dyDescent="0.25">
      <c r="S5723" s="1"/>
    </row>
    <row r="5724" spans="19:19" x14ac:dyDescent="0.25">
      <c r="S5724" s="1"/>
    </row>
    <row r="5725" spans="19:19" x14ac:dyDescent="0.25">
      <c r="S5725" s="1"/>
    </row>
    <row r="5726" spans="19:19" x14ac:dyDescent="0.25">
      <c r="S5726" s="1"/>
    </row>
    <row r="5727" spans="19:19" x14ac:dyDescent="0.25">
      <c r="S5727" s="1"/>
    </row>
    <row r="5728" spans="19:19" x14ac:dyDescent="0.25">
      <c r="S5728" s="1"/>
    </row>
    <row r="5729" spans="19:19" x14ac:dyDescent="0.25">
      <c r="S5729" s="1"/>
    </row>
    <row r="5730" spans="19:19" x14ac:dyDescent="0.25">
      <c r="S5730" s="1"/>
    </row>
    <row r="5731" spans="19:19" x14ac:dyDescent="0.25">
      <c r="S5731" s="1"/>
    </row>
    <row r="5732" spans="19:19" x14ac:dyDescent="0.25">
      <c r="S5732" s="1"/>
    </row>
    <row r="5733" spans="19:19" x14ac:dyDescent="0.25">
      <c r="S5733" s="1"/>
    </row>
    <row r="5734" spans="19:19" x14ac:dyDescent="0.25">
      <c r="S5734" s="1"/>
    </row>
    <row r="5735" spans="19:19" x14ac:dyDescent="0.25">
      <c r="S5735" s="1"/>
    </row>
    <row r="5736" spans="19:19" x14ac:dyDescent="0.25">
      <c r="S5736" s="1"/>
    </row>
    <row r="5737" spans="19:19" x14ac:dyDescent="0.25">
      <c r="S5737" s="1"/>
    </row>
    <row r="5738" spans="19:19" x14ac:dyDescent="0.25">
      <c r="S5738" s="1"/>
    </row>
    <row r="5739" spans="19:19" x14ac:dyDescent="0.25">
      <c r="S5739" s="1"/>
    </row>
    <row r="5740" spans="19:19" x14ac:dyDescent="0.25">
      <c r="S5740" s="1"/>
    </row>
    <row r="5741" spans="19:19" x14ac:dyDescent="0.25">
      <c r="S5741" s="1"/>
    </row>
    <row r="5742" spans="19:19" x14ac:dyDescent="0.25">
      <c r="S5742" s="1"/>
    </row>
    <row r="5743" spans="19:19" x14ac:dyDescent="0.25">
      <c r="S5743" s="1"/>
    </row>
    <row r="5744" spans="19:19" x14ac:dyDescent="0.25">
      <c r="S5744" s="1"/>
    </row>
    <row r="5745" spans="19:19" x14ac:dyDescent="0.25">
      <c r="S5745" s="1"/>
    </row>
    <row r="5746" spans="19:19" x14ac:dyDescent="0.25">
      <c r="S5746" s="1"/>
    </row>
    <row r="5747" spans="19:19" x14ac:dyDescent="0.25">
      <c r="S5747" s="1"/>
    </row>
    <row r="5748" spans="19:19" x14ac:dyDescent="0.25">
      <c r="S5748" s="1"/>
    </row>
    <row r="5749" spans="19:19" x14ac:dyDescent="0.25">
      <c r="S5749" s="1"/>
    </row>
    <row r="5750" spans="19:19" x14ac:dyDescent="0.25">
      <c r="S5750" s="1"/>
    </row>
    <row r="5751" spans="19:19" x14ac:dyDescent="0.25">
      <c r="S5751" s="1"/>
    </row>
    <row r="5752" spans="19:19" x14ac:dyDescent="0.25">
      <c r="S5752" s="1"/>
    </row>
    <row r="5753" spans="19:19" x14ac:dyDescent="0.25">
      <c r="S5753" s="1"/>
    </row>
    <row r="5754" spans="19:19" x14ac:dyDescent="0.25">
      <c r="S5754" s="1"/>
    </row>
    <row r="5755" spans="19:19" x14ac:dyDescent="0.25">
      <c r="S5755" s="1"/>
    </row>
    <row r="5756" spans="19:19" x14ac:dyDescent="0.25">
      <c r="S5756" s="1"/>
    </row>
    <row r="5757" spans="19:19" x14ac:dyDescent="0.25">
      <c r="S5757" s="1"/>
    </row>
    <row r="5758" spans="19:19" x14ac:dyDescent="0.25">
      <c r="S5758" s="1"/>
    </row>
    <row r="5759" spans="19:19" x14ac:dyDescent="0.25">
      <c r="S5759" s="1"/>
    </row>
    <row r="5760" spans="19:19" x14ac:dyDescent="0.25">
      <c r="S5760" s="1"/>
    </row>
    <row r="5761" spans="19:19" x14ac:dyDescent="0.25">
      <c r="S5761" s="1"/>
    </row>
    <row r="5762" spans="19:19" x14ac:dyDescent="0.25">
      <c r="S5762" s="1"/>
    </row>
    <row r="5763" spans="19:19" x14ac:dyDescent="0.25">
      <c r="S5763" s="1"/>
    </row>
    <row r="5764" spans="19:19" x14ac:dyDescent="0.25">
      <c r="S5764" s="1"/>
    </row>
    <row r="5765" spans="19:19" x14ac:dyDescent="0.25">
      <c r="S5765" s="1"/>
    </row>
    <row r="5766" spans="19:19" x14ac:dyDescent="0.25">
      <c r="S5766" s="1"/>
    </row>
    <row r="5767" spans="19:19" x14ac:dyDescent="0.25">
      <c r="S5767" s="1"/>
    </row>
    <row r="5768" spans="19:19" x14ac:dyDescent="0.25">
      <c r="S5768" s="1"/>
    </row>
    <row r="5769" spans="19:19" x14ac:dyDescent="0.25">
      <c r="S5769" s="1"/>
    </row>
    <row r="5770" spans="19:19" x14ac:dyDescent="0.25">
      <c r="S5770" s="1"/>
    </row>
    <row r="5771" spans="19:19" x14ac:dyDescent="0.25">
      <c r="S5771" s="1"/>
    </row>
    <row r="5772" spans="19:19" x14ac:dyDescent="0.25">
      <c r="S5772" s="1"/>
    </row>
    <row r="5773" spans="19:19" x14ac:dyDescent="0.25">
      <c r="S5773" s="1"/>
    </row>
    <row r="5774" spans="19:19" x14ac:dyDescent="0.25">
      <c r="S5774" s="1"/>
    </row>
    <row r="5775" spans="19:19" x14ac:dyDescent="0.25">
      <c r="S5775" s="1"/>
    </row>
    <row r="5776" spans="19:19" x14ac:dyDescent="0.25">
      <c r="S5776" s="1"/>
    </row>
    <row r="5777" spans="19:19" x14ac:dyDescent="0.25">
      <c r="S5777" s="1"/>
    </row>
    <row r="5778" spans="19:19" x14ac:dyDescent="0.25">
      <c r="S5778" s="1"/>
    </row>
    <row r="5779" spans="19:19" x14ac:dyDescent="0.25">
      <c r="S5779" s="1"/>
    </row>
    <row r="5780" spans="19:19" x14ac:dyDescent="0.25">
      <c r="S5780" s="1"/>
    </row>
    <row r="5781" spans="19:19" x14ac:dyDescent="0.25">
      <c r="S5781" s="1"/>
    </row>
    <row r="5782" spans="19:19" x14ac:dyDescent="0.25">
      <c r="S5782" s="1"/>
    </row>
    <row r="5783" spans="19:19" x14ac:dyDescent="0.25">
      <c r="S5783" s="1"/>
    </row>
    <row r="5784" spans="19:19" x14ac:dyDescent="0.25">
      <c r="S5784" s="1"/>
    </row>
    <row r="5785" spans="19:19" x14ac:dyDescent="0.25">
      <c r="S5785" s="1"/>
    </row>
    <row r="5786" spans="19:19" x14ac:dyDescent="0.25">
      <c r="S5786" s="1"/>
    </row>
    <row r="5787" spans="19:19" x14ac:dyDescent="0.25">
      <c r="S5787" s="1"/>
    </row>
    <row r="5788" spans="19:19" x14ac:dyDescent="0.25">
      <c r="S5788" s="1"/>
    </row>
    <row r="5789" spans="19:19" x14ac:dyDescent="0.25">
      <c r="S5789" s="1"/>
    </row>
    <row r="5790" spans="19:19" x14ac:dyDescent="0.25">
      <c r="S5790" s="1"/>
    </row>
    <row r="5791" spans="19:19" x14ac:dyDescent="0.25">
      <c r="S5791" s="1"/>
    </row>
    <row r="5792" spans="19:19" x14ac:dyDescent="0.25">
      <c r="S5792" s="1"/>
    </row>
    <row r="5793" spans="19:19" x14ac:dyDescent="0.25">
      <c r="S5793" s="1"/>
    </row>
    <row r="5794" spans="19:19" x14ac:dyDescent="0.25">
      <c r="S5794" s="1"/>
    </row>
    <row r="5795" spans="19:19" x14ac:dyDescent="0.25">
      <c r="S5795" s="1"/>
    </row>
    <row r="5796" spans="19:19" x14ac:dyDescent="0.25">
      <c r="S5796" s="1"/>
    </row>
    <row r="5797" spans="19:19" x14ac:dyDescent="0.25">
      <c r="S5797" s="1"/>
    </row>
    <row r="5798" spans="19:19" x14ac:dyDescent="0.25">
      <c r="S5798" s="1"/>
    </row>
    <row r="5799" spans="19:19" x14ac:dyDescent="0.25">
      <c r="S5799" s="1"/>
    </row>
    <row r="5800" spans="19:19" x14ac:dyDescent="0.25">
      <c r="S5800" s="1"/>
    </row>
    <row r="5801" spans="19:19" x14ac:dyDescent="0.25">
      <c r="S5801" s="1"/>
    </row>
    <row r="5802" spans="19:19" x14ac:dyDescent="0.25">
      <c r="S5802" s="1"/>
    </row>
    <row r="5803" spans="19:19" x14ac:dyDescent="0.25">
      <c r="S5803" s="1"/>
    </row>
    <row r="5804" spans="19:19" x14ac:dyDescent="0.25">
      <c r="S5804" s="1"/>
    </row>
    <row r="5805" spans="19:19" x14ac:dyDescent="0.25">
      <c r="S5805" s="1"/>
    </row>
    <row r="5806" spans="19:19" x14ac:dyDescent="0.25">
      <c r="S5806" s="1"/>
    </row>
    <row r="5807" spans="19:19" x14ac:dyDescent="0.25">
      <c r="S5807" s="1"/>
    </row>
    <row r="5808" spans="19:19" x14ac:dyDescent="0.25">
      <c r="S5808" s="1"/>
    </row>
    <row r="5809" spans="19:19" x14ac:dyDescent="0.25">
      <c r="S5809" s="1"/>
    </row>
    <row r="5810" spans="19:19" x14ac:dyDescent="0.25">
      <c r="S5810" s="1"/>
    </row>
    <row r="5811" spans="19:19" x14ac:dyDescent="0.25">
      <c r="S5811" s="1"/>
    </row>
    <row r="5812" spans="19:19" x14ac:dyDescent="0.25">
      <c r="S5812" s="1"/>
    </row>
    <row r="5813" spans="19:19" x14ac:dyDescent="0.25">
      <c r="S5813" s="1"/>
    </row>
    <row r="5814" spans="19:19" x14ac:dyDescent="0.25">
      <c r="S5814" s="1"/>
    </row>
    <row r="5815" spans="19:19" x14ac:dyDescent="0.25">
      <c r="S5815" s="1"/>
    </row>
    <row r="5816" spans="19:19" x14ac:dyDescent="0.25">
      <c r="S5816" s="1"/>
    </row>
    <row r="5817" spans="19:19" x14ac:dyDescent="0.25">
      <c r="S5817" s="1"/>
    </row>
    <row r="5818" spans="19:19" x14ac:dyDescent="0.25">
      <c r="S5818" s="1"/>
    </row>
    <row r="5819" spans="19:19" x14ac:dyDescent="0.25">
      <c r="S5819" s="1"/>
    </row>
    <row r="5820" spans="19:19" x14ac:dyDescent="0.25">
      <c r="S5820" s="1"/>
    </row>
    <row r="5821" spans="19:19" x14ac:dyDescent="0.25">
      <c r="S5821" s="1"/>
    </row>
    <row r="5822" spans="19:19" x14ac:dyDescent="0.25">
      <c r="S5822" s="1"/>
    </row>
    <row r="5823" spans="19:19" x14ac:dyDescent="0.25">
      <c r="S5823" s="1"/>
    </row>
    <row r="5824" spans="19:19" x14ac:dyDescent="0.25">
      <c r="S5824" s="1"/>
    </row>
    <row r="5825" spans="19:19" x14ac:dyDescent="0.25">
      <c r="S5825" s="1"/>
    </row>
    <row r="5826" spans="19:19" x14ac:dyDescent="0.25">
      <c r="S5826" s="1"/>
    </row>
    <row r="5827" spans="19:19" x14ac:dyDescent="0.25">
      <c r="S5827" s="1"/>
    </row>
    <row r="5828" spans="19:19" x14ac:dyDescent="0.25">
      <c r="S5828" s="1"/>
    </row>
    <row r="5829" spans="19:19" x14ac:dyDescent="0.25">
      <c r="S5829" s="1"/>
    </row>
    <row r="5830" spans="19:19" x14ac:dyDescent="0.25">
      <c r="S5830" s="1"/>
    </row>
    <row r="5831" spans="19:19" x14ac:dyDescent="0.25">
      <c r="S5831" s="1"/>
    </row>
    <row r="5832" spans="19:19" x14ac:dyDescent="0.25">
      <c r="S5832" s="1"/>
    </row>
    <row r="5833" spans="19:19" x14ac:dyDescent="0.25">
      <c r="S5833" s="1"/>
    </row>
    <row r="5834" spans="19:19" x14ac:dyDescent="0.25">
      <c r="S5834" s="1"/>
    </row>
    <row r="5835" spans="19:19" x14ac:dyDescent="0.25">
      <c r="S5835" s="1"/>
    </row>
    <row r="5836" spans="19:19" x14ac:dyDescent="0.25">
      <c r="S5836" s="1"/>
    </row>
    <row r="5837" spans="19:19" x14ac:dyDescent="0.25">
      <c r="S5837" s="1"/>
    </row>
    <row r="5838" spans="19:19" x14ac:dyDescent="0.25">
      <c r="S5838" s="1"/>
    </row>
    <row r="5839" spans="19:19" x14ac:dyDescent="0.25">
      <c r="S5839" s="1"/>
    </row>
    <row r="5840" spans="19:19" x14ac:dyDescent="0.25">
      <c r="S5840" s="1"/>
    </row>
    <row r="5841" spans="19:19" x14ac:dyDescent="0.25">
      <c r="S5841" s="1"/>
    </row>
    <row r="5842" spans="19:19" x14ac:dyDescent="0.25">
      <c r="S5842" s="1"/>
    </row>
    <row r="5843" spans="19:19" x14ac:dyDescent="0.25">
      <c r="S5843" s="1"/>
    </row>
    <row r="5844" spans="19:19" x14ac:dyDescent="0.25">
      <c r="S5844" s="1"/>
    </row>
    <row r="5845" spans="19:19" x14ac:dyDescent="0.25">
      <c r="S5845" s="1"/>
    </row>
    <row r="5846" spans="19:19" x14ac:dyDescent="0.25">
      <c r="S5846" s="1"/>
    </row>
    <row r="5847" spans="19:19" x14ac:dyDescent="0.25">
      <c r="S5847" s="1"/>
    </row>
    <row r="5848" spans="19:19" x14ac:dyDescent="0.25">
      <c r="S5848" s="1"/>
    </row>
    <row r="5849" spans="19:19" x14ac:dyDescent="0.25">
      <c r="S5849" s="1"/>
    </row>
    <row r="5850" spans="19:19" x14ac:dyDescent="0.25">
      <c r="S5850" s="1"/>
    </row>
    <row r="5851" spans="19:19" x14ac:dyDescent="0.25">
      <c r="S5851" s="1"/>
    </row>
    <row r="5852" spans="19:19" x14ac:dyDescent="0.25">
      <c r="S5852" s="1"/>
    </row>
    <row r="5853" spans="19:19" x14ac:dyDescent="0.25">
      <c r="S5853" s="1"/>
    </row>
    <row r="5854" spans="19:19" x14ac:dyDescent="0.25">
      <c r="S5854" s="1"/>
    </row>
    <row r="5855" spans="19:19" x14ac:dyDescent="0.25">
      <c r="S5855" s="1"/>
    </row>
    <row r="5856" spans="19:19" x14ac:dyDescent="0.25">
      <c r="S5856" s="1"/>
    </row>
    <row r="5857" spans="19:19" x14ac:dyDescent="0.25">
      <c r="S5857" s="1"/>
    </row>
    <row r="5858" spans="19:19" x14ac:dyDescent="0.25">
      <c r="S5858" s="1"/>
    </row>
    <row r="5859" spans="19:19" x14ac:dyDescent="0.25">
      <c r="S5859" s="1"/>
    </row>
    <row r="5860" spans="19:19" x14ac:dyDescent="0.25">
      <c r="S5860" s="1"/>
    </row>
    <row r="5861" spans="19:19" x14ac:dyDescent="0.25">
      <c r="S5861" s="1"/>
    </row>
    <row r="5862" spans="19:19" x14ac:dyDescent="0.25">
      <c r="S5862" s="1"/>
    </row>
    <row r="5863" spans="19:19" x14ac:dyDescent="0.25">
      <c r="S5863" s="1"/>
    </row>
    <row r="5864" spans="19:19" x14ac:dyDescent="0.25">
      <c r="S5864" s="1"/>
    </row>
    <row r="5865" spans="19:19" x14ac:dyDescent="0.25">
      <c r="S5865" s="1"/>
    </row>
    <row r="5866" spans="19:19" x14ac:dyDescent="0.25">
      <c r="S5866" s="1"/>
    </row>
    <row r="5867" spans="19:19" x14ac:dyDescent="0.25">
      <c r="S5867" s="1"/>
    </row>
    <row r="5868" spans="19:19" x14ac:dyDescent="0.25">
      <c r="S5868" s="1"/>
    </row>
    <row r="5869" spans="19:19" x14ac:dyDescent="0.25">
      <c r="S5869" s="1"/>
    </row>
    <row r="5870" spans="19:19" x14ac:dyDescent="0.25">
      <c r="S5870" s="1"/>
    </row>
    <row r="5871" spans="19:19" x14ac:dyDescent="0.25">
      <c r="S5871" s="1"/>
    </row>
    <row r="5872" spans="19:19" x14ac:dyDescent="0.25">
      <c r="S5872" s="1"/>
    </row>
    <row r="5873" spans="19:19" x14ac:dyDescent="0.25">
      <c r="S5873" s="1"/>
    </row>
    <row r="5874" spans="19:19" x14ac:dyDescent="0.25">
      <c r="S5874" s="1"/>
    </row>
    <row r="5875" spans="19:19" x14ac:dyDescent="0.25">
      <c r="S5875" s="1"/>
    </row>
    <row r="5876" spans="19:19" x14ac:dyDescent="0.25">
      <c r="S5876" s="1"/>
    </row>
    <row r="5877" spans="19:19" x14ac:dyDescent="0.25">
      <c r="S5877" s="1"/>
    </row>
    <row r="5878" spans="19:19" x14ac:dyDescent="0.25">
      <c r="S5878" s="1"/>
    </row>
    <row r="5879" spans="19:19" x14ac:dyDescent="0.25">
      <c r="S5879" s="1"/>
    </row>
    <row r="5880" spans="19:19" x14ac:dyDescent="0.25">
      <c r="S5880" s="1"/>
    </row>
    <row r="5881" spans="19:19" x14ac:dyDescent="0.25">
      <c r="S5881" s="1"/>
    </row>
    <row r="5882" spans="19:19" x14ac:dyDescent="0.25">
      <c r="S5882" s="1"/>
    </row>
    <row r="5883" spans="19:19" x14ac:dyDescent="0.25">
      <c r="S5883" s="1"/>
    </row>
    <row r="5884" spans="19:19" x14ac:dyDescent="0.25">
      <c r="S5884" s="1"/>
    </row>
    <row r="5885" spans="19:19" x14ac:dyDescent="0.25">
      <c r="S5885" s="1"/>
    </row>
    <row r="5886" spans="19:19" x14ac:dyDescent="0.25">
      <c r="S5886" s="1"/>
    </row>
    <row r="5887" spans="19:19" x14ac:dyDescent="0.25">
      <c r="S5887" s="1"/>
    </row>
    <row r="5888" spans="19:19" x14ac:dyDescent="0.25">
      <c r="S5888" s="1"/>
    </row>
    <row r="5889" spans="19:19" x14ac:dyDescent="0.25">
      <c r="S5889" s="1"/>
    </row>
    <row r="5890" spans="19:19" x14ac:dyDescent="0.25">
      <c r="S5890" s="1"/>
    </row>
    <row r="5891" spans="19:19" x14ac:dyDescent="0.25">
      <c r="S5891" s="1"/>
    </row>
    <row r="5892" spans="19:19" x14ac:dyDescent="0.25">
      <c r="S5892" s="1"/>
    </row>
    <row r="5893" spans="19:19" x14ac:dyDescent="0.25">
      <c r="S5893" s="1"/>
    </row>
    <row r="5894" spans="19:19" x14ac:dyDescent="0.25">
      <c r="S5894" s="1"/>
    </row>
    <row r="5895" spans="19:19" x14ac:dyDescent="0.25">
      <c r="S5895" s="1"/>
    </row>
    <row r="5896" spans="19:19" x14ac:dyDescent="0.25">
      <c r="S5896" s="1"/>
    </row>
    <row r="5897" spans="19:19" x14ac:dyDescent="0.25">
      <c r="S5897" s="1"/>
    </row>
    <row r="5898" spans="19:19" x14ac:dyDescent="0.25">
      <c r="S5898" s="1"/>
    </row>
    <row r="5899" spans="19:19" x14ac:dyDescent="0.25">
      <c r="S5899" s="1"/>
    </row>
    <row r="5900" spans="19:19" x14ac:dyDescent="0.25">
      <c r="S5900" s="1"/>
    </row>
    <row r="5901" spans="19:19" x14ac:dyDescent="0.25">
      <c r="S5901" s="1"/>
    </row>
    <row r="5902" spans="19:19" x14ac:dyDescent="0.25">
      <c r="S5902" s="1"/>
    </row>
    <row r="5903" spans="19:19" x14ac:dyDescent="0.25">
      <c r="S5903" s="1"/>
    </row>
    <row r="5904" spans="19:19" x14ac:dyDescent="0.25">
      <c r="S5904" s="1"/>
    </row>
    <row r="5905" spans="19:19" x14ac:dyDescent="0.25">
      <c r="S5905" s="1"/>
    </row>
    <row r="5906" spans="19:19" x14ac:dyDescent="0.25">
      <c r="S5906" s="1"/>
    </row>
    <row r="5907" spans="19:19" x14ac:dyDescent="0.25">
      <c r="S5907" s="1"/>
    </row>
    <row r="5908" spans="19:19" x14ac:dyDescent="0.25">
      <c r="S5908" s="1"/>
    </row>
    <row r="5909" spans="19:19" x14ac:dyDescent="0.25">
      <c r="S5909" s="1"/>
    </row>
    <row r="5910" spans="19:19" x14ac:dyDescent="0.25">
      <c r="S5910" s="1"/>
    </row>
    <row r="5911" spans="19:19" x14ac:dyDescent="0.25">
      <c r="S5911" s="1"/>
    </row>
    <row r="5912" spans="19:19" x14ac:dyDescent="0.25">
      <c r="S5912" s="1"/>
    </row>
    <row r="5913" spans="19:19" x14ac:dyDescent="0.25">
      <c r="S5913" s="1"/>
    </row>
    <row r="5914" spans="19:19" x14ac:dyDescent="0.25">
      <c r="S5914" s="1"/>
    </row>
    <row r="5915" spans="19:19" x14ac:dyDescent="0.25">
      <c r="S5915" s="1"/>
    </row>
    <row r="5916" spans="19:19" x14ac:dyDescent="0.25">
      <c r="S5916" s="1"/>
    </row>
    <row r="5917" spans="19:19" x14ac:dyDescent="0.25">
      <c r="S5917" s="1"/>
    </row>
    <row r="5918" spans="19:19" x14ac:dyDescent="0.25">
      <c r="S5918" s="1"/>
    </row>
    <row r="5919" spans="19:19" x14ac:dyDescent="0.25">
      <c r="S5919" s="1"/>
    </row>
    <row r="5920" spans="19:19" x14ac:dyDescent="0.25">
      <c r="S5920" s="1"/>
    </row>
    <row r="5921" spans="19:19" x14ac:dyDescent="0.25">
      <c r="S5921" s="1"/>
    </row>
    <row r="5922" spans="19:19" x14ac:dyDescent="0.25">
      <c r="S5922" s="1"/>
    </row>
    <row r="5923" spans="19:19" x14ac:dyDescent="0.25">
      <c r="S5923" s="1"/>
    </row>
    <row r="5924" spans="19:19" x14ac:dyDescent="0.25">
      <c r="S5924" s="1"/>
    </row>
    <row r="5925" spans="19:19" x14ac:dyDescent="0.25">
      <c r="S5925" s="1"/>
    </row>
    <row r="5926" spans="19:19" x14ac:dyDescent="0.25">
      <c r="S5926" s="1"/>
    </row>
    <row r="5927" spans="19:19" x14ac:dyDescent="0.25">
      <c r="S5927" s="1"/>
    </row>
    <row r="5928" spans="19:19" x14ac:dyDescent="0.25">
      <c r="S5928" s="1"/>
    </row>
    <row r="5929" spans="19:19" x14ac:dyDescent="0.25">
      <c r="S5929" s="1"/>
    </row>
    <row r="5930" spans="19:19" x14ac:dyDescent="0.25">
      <c r="S5930" s="1"/>
    </row>
    <row r="5931" spans="19:19" x14ac:dyDescent="0.25">
      <c r="S5931" s="1"/>
    </row>
    <row r="5932" spans="19:19" x14ac:dyDescent="0.25">
      <c r="S5932" s="1"/>
    </row>
    <row r="5933" spans="19:19" x14ac:dyDescent="0.25">
      <c r="S5933" s="1"/>
    </row>
    <row r="5934" spans="19:19" x14ac:dyDescent="0.25">
      <c r="S5934" s="1"/>
    </row>
    <row r="5935" spans="19:19" x14ac:dyDescent="0.25">
      <c r="S5935" s="1"/>
    </row>
    <row r="5936" spans="19:19" x14ac:dyDescent="0.25">
      <c r="S5936" s="1"/>
    </row>
    <row r="5937" spans="19:19" x14ac:dyDescent="0.25">
      <c r="S5937" s="1"/>
    </row>
    <row r="5938" spans="19:19" x14ac:dyDescent="0.25">
      <c r="S5938" s="1"/>
    </row>
    <row r="5939" spans="19:19" x14ac:dyDescent="0.25">
      <c r="S5939" s="1"/>
    </row>
    <row r="5940" spans="19:19" x14ac:dyDescent="0.25">
      <c r="S5940" s="1"/>
    </row>
    <row r="5941" spans="19:19" x14ac:dyDescent="0.25">
      <c r="S5941" s="1"/>
    </row>
    <row r="5942" spans="19:19" x14ac:dyDescent="0.25">
      <c r="S5942" s="1"/>
    </row>
    <row r="5943" spans="19:19" x14ac:dyDescent="0.25">
      <c r="S5943" s="1"/>
    </row>
    <row r="5944" spans="19:19" x14ac:dyDescent="0.25">
      <c r="S5944" s="1"/>
    </row>
    <row r="5945" spans="19:19" x14ac:dyDescent="0.25">
      <c r="S5945" s="1"/>
    </row>
    <row r="5946" spans="19:19" x14ac:dyDescent="0.25">
      <c r="S5946" s="1"/>
    </row>
    <row r="5947" spans="19:19" x14ac:dyDescent="0.25">
      <c r="S5947" s="1"/>
    </row>
    <row r="5948" spans="19:19" x14ac:dyDescent="0.25">
      <c r="S5948" s="1"/>
    </row>
    <row r="5949" spans="19:19" x14ac:dyDescent="0.25">
      <c r="S5949" s="1"/>
    </row>
    <row r="5950" spans="19:19" x14ac:dyDescent="0.25">
      <c r="S5950" s="1"/>
    </row>
    <row r="5951" spans="19:19" x14ac:dyDescent="0.25">
      <c r="S5951" s="1"/>
    </row>
    <row r="5952" spans="19:19" x14ac:dyDescent="0.25">
      <c r="S5952" s="1"/>
    </row>
    <row r="5953" spans="19:19" x14ac:dyDescent="0.25">
      <c r="S5953" s="1"/>
    </row>
    <row r="5954" spans="19:19" x14ac:dyDescent="0.25">
      <c r="S5954" s="1"/>
    </row>
    <row r="5955" spans="19:19" x14ac:dyDescent="0.25">
      <c r="S5955" s="1"/>
    </row>
    <row r="5956" spans="19:19" x14ac:dyDescent="0.25">
      <c r="S5956" s="1"/>
    </row>
    <row r="5957" spans="19:19" x14ac:dyDescent="0.25">
      <c r="S5957" s="1"/>
    </row>
    <row r="5958" spans="19:19" x14ac:dyDescent="0.25">
      <c r="S5958" s="1"/>
    </row>
    <row r="5959" spans="19:19" x14ac:dyDescent="0.25">
      <c r="S5959" s="1"/>
    </row>
    <row r="5960" spans="19:19" x14ac:dyDescent="0.25">
      <c r="S5960" s="1"/>
    </row>
    <row r="5961" spans="19:19" x14ac:dyDescent="0.25">
      <c r="S5961" s="1"/>
    </row>
    <row r="5962" spans="19:19" x14ac:dyDescent="0.25">
      <c r="S5962" s="1"/>
    </row>
    <row r="5963" spans="19:19" x14ac:dyDescent="0.25">
      <c r="S5963" s="1"/>
    </row>
    <row r="5964" spans="19:19" x14ac:dyDescent="0.25">
      <c r="S5964" s="1"/>
    </row>
    <row r="5965" spans="19:19" x14ac:dyDescent="0.25">
      <c r="S5965" s="1"/>
    </row>
    <row r="5966" spans="19:19" x14ac:dyDescent="0.25">
      <c r="S5966" s="1"/>
    </row>
    <row r="5967" spans="19:19" x14ac:dyDescent="0.25">
      <c r="S5967" s="1"/>
    </row>
    <row r="5968" spans="19:19" x14ac:dyDescent="0.25">
      <c r="S5968" s="1"/>
    </row>
    <row r="5969" spans="19:19" x14ac:dyDescent="0.25">
      <c r="S5969" s="1"/>
    </row>
    <row r="5970" spans="19:19" x14ac:dyDescent="0.25">
      <c r="S5970" s="1"/>
    </row>
    <row r="5971" spans="19:19" x14ac:dyDescent="0.25">
      <c r="S5971" s="1"/>
    </row>
    <row r="5972" spans="19:19" x14ac:dyDescent="0.25">
      <c r="S5972" s="1"/>
    </row>
    <row r="5973" spans="19:19" x14ac:dyDescent="0.25">
      <c r="S5973" s="1"/>
    </row>
    <row r="5974" spans="19:19" x14ac:dyDescent="0.25">
      <c r="S5974" s="1"/>
    </row>
    <row r="5975" spans="19:19" x14ac:dyDescent="0.25">
      <c r="S5975" s="1"/>
    </row>
    <row r="5976" spans="19:19" x14ac:dyDescent="0.25">
      <c r="S5976" s="1"/>
    </row>
    <row r="5977" spans="19:19" x14ac:dyDescent="0.25">
      <c r="S5977" s="1"/>
    </row>
    <row r="5978" spans="19:19" x14ac:dyDescent="0.25">
      <c r="S5978" s="1"/>
    </row>
    <row r="5979" spans="19:19" x14ac:dyDescent="0.25">
      <c r="S5979" s="1"/>
    </row>
    <row r="5980" spans="19:19" x14ac:dyDescent="0.25">
      <c r="S5980" s="1"/>
    </row>
    <row r="5981" spans="19:19" x14ac:dyDescent="0.25">
      <c r="S5981" s="1"/>
    </row>
    <row r="5982" spans="19:19" x14ac:dyDescent="0.25">
      <c r="S5982" s="1"/>
    </row>
    <row r="5983" spans="19:19" x14ac:dyDescent="0.25">
      <c r="S5983" s="1"/>
    </row>
    <row r="5984" spans="19:19" x14ac:dyDescent="0.25">
      <c r="S5984" s="1"/>
    </row>
    <row r="5985" spans="19:19" x14ac:dyDescent="0.25">
      <c r="S5985" s="1"/>
    </row>
    <row r="5986" spans="19:19" x14ac:dyDescent="0.25">
      <c r="S5986" s="1"/>
    </row>
    <row r="5987" spans="19:19" x14ac:dyDescent="0.25">
      <c r="S5987" s="1"/>
    </row>
    <row r="5988" spans="19:19" x14ac:dyDescent="0.25">
      <c r="S5988" s="1"/>
    </row>
    <row r="5989" spans="19:19" x14ac:dyDescent="0.25">
      <c r="S5989" s="1"/>
    </row>
    <row r="5990" spans="19:19" x14ac:dyDescent="0.25">
      <c r="S5990" s="1"/>
    </row>
    <row r="5991" spans="19:19" x14ac:dyDescent="0.25">
      <c r="S5991" s="1"/>
    </row>
    <row r="5992" spans="19:19" x14ac:dyDescent="0.25">
      <c r="S5992" s="1"/>
    </row>
    <row r="5993" spans="19:19" x14ac:dyDescent="0.25">
      <c r="S5993" s="1"/>
    </row>
    <row r="5994" spans="19:19" x14ac:dyDescent="0.25">
      <c r="S5994" s="1"/>
    </row>
    <row r="5995" spans="19:19" x14ac:dyDescent="0.25">
      <c r="S5995" s="1"/>
    </row>
    <row r="5996" spans="19:19" x14ac:dyDescent="0.25">
      <c r="S5996" s="1"/>
    </row>
    <row r="5997" spans="19:19" x14ac:dyDescent="0.25">
      <c r="S5997" s="1"/>
    </row>
    <row r="5998" spans="19:19" x14ac:dyDescent="0.25">
      <c r="S5998" s="1"/>
    </row>
    <row r="5999" spans="19:19" x14ac:dyDescent="0.25">
      <c r="S5999" s="1"/>
    </row>
    <row r="6000" spans="19:19" x14ac:dyDescent="0.25">
      <c r="S6000" s="1"/>
    </row>
    <row r="6001" spans="19:19" x14ac:dyDescent="0.25">
      <c r="S6001" s="1"/>
    </row>
    <row r="6002" spans="19:19" x14ac:dyDescent="0.25">
      <c r="S6002" s="1"/>
    </row>
    <row r="6003" spans="19:19" x14ac:dyDescent="0.25">
      <c r="S6003" s="1"/>
    </row>
    <row r="6004" spans="19:19" x14ac:dyDescent="0.25">
      <c r="S6004" s="1"/>
    </row>
    <row r="6005" spans="19:19" x14ac:dyDescent="0.25">
      <c r="S6005" s="1"/>
    </row>
    <row r="6006" spans="19:19" x14ac:dyDescent="0.25">
      <c r="S6006" s="1"/>
    </row>
    <row r="6007" spans="19:19" x14ac:dyDescent="0.25">
      <c r="S6007" s="1"/>
    </row>
    <row r="6008" spans="19:19" x14ac:dyDescent="0.25">
      <c r="S6008" s="1"/>
    </row>
    <row r="6009" spans="19:19" x14ac:dyDescent="0.25">
      <c r="S6009" s="1"/>
    </row>
    <row r="6010" spans="19:19" x14ac:dyDescent="0.25">
      <c r="S6010" s="1"/>
    </row>
    <row r="6011" spans="19:19" x14ac:dyDescent="0.25">
      <c r="S6011" s="1"/>
    </row>
    <row r="6012" spans="19:19" x14ac:dyDescent="0.25">
      <c r="S6012" s="1"/>
    </row>
    <row r="6013" spans="19:19" x14ac:dyDescent="0.25">
      <c r="S6013" s="1"/>
    </row>
    <row r="6014" spans="19:19" x14ac:dyDescent="0.25">
      <c r="S6014" s="1"/>
    </row>
    <row r="6015" spans="19:19" x14ac:dyDescent="0.25">
      <c r="S6015" s="1"/>
    </row>
    <row r="6016" spans="19:19" x14ac:dyDescent="0.25">
      <c r="S6016" s="1"/>
    </row>
    <row r="6017" spans="19:19" x14ac:dyDescent="0.25">
      <c r="S6017" s="1"/>
    </row>
    <row r="6018" spans="19:19" x14ac:dyDescent="0.25">
      <c r="S6018" s="1"/>
    </row>
    <row r="6019" spans="19:19" x14ac:dyDescent="0.25">
      <c r="S6019" s="1"/>
    </row>
    <row r="6020" spans="19:19" x14ac:dyDescent="0.25">
      <c r="S6020" s="1"/>
    </row>
    <row r="6021" spans="19:19" x14ac:dyDescent="0.25">
      <c r="S6021" s="1"/>
    </row>
    <row r="6022" spans="19:19" x14ac:dyDescent="0.25">
      <c r="S6022" s="1"/>
    </row>
    <row r="6023" spans="19:19" x14ac:dyDescent="0.25">
      <c r="S6023" s="1"/>
    </row>
    <row r="6024" spans="19:19" x14ac:dyDescent="0.25">
      <c r="S6024" s="1"/>
    </row>
    <row r="6025" spans="19:19" x14ac:dyDescent="0.25">
      <c r="S6025" s="1"/>
    </row>
    <row r="6026" spans="19:19" x14ac:dyDescent="0.25">
      <c r="S6026" s="1"/>
    </row>
    <row r="6027" spans="19:19" x14ac:dyDescent="0.25">
      <c r="S6027" s="1"/>
    </row>
    <row r="6028" spans="19:19" x14ac:dyDescent="0.25">
      <c r="S6028" s="1"/>
    </row>
    <row r="6029" spans="19:19" x14ac:dyDescent="0.25">
      <c r="S6029" s="1"/>
    </row>
    <row r="6030" spans="19:19" x14ac:dyDescent="0.25">
      <c r="S6030" s="1"/>
    </row>
    <row r="6031" spans="19:19" x14ac:dyDescent="0.25">
      <c r="S6031" s="1"/>
    </row>
    <row r="6032" spans="19:19" x14ac:dyDescent="0.25">
      <c r="S6032" s="1"/>
    </row>
    <row r="6033" spans="19:19" x14ac:dyDescent="0.25">
      <c r="S6033" s="1"/>
    </row>
    <row r="6034" spans="19:19" x14ac:dyDescent="0.25">
      <c r="S6034" s="1"/>
    </row>
    <row r="6035" spans="19:19" x14ac:dyDescent="0.25">
      <c r="S6035" s="1"/>
    </row>
    <row r="6036" spans="19:19" x14ac:dyDescent="0.25">
      <c r="S6036" s="1"/>
    </row>
    <row r="6037" spans="19:19" x14ac:dyDescent="0.25">
      <c r="S6037" s="1"/>
    </row>
    <row r="6038" spans="19:19" x14ac:dyDescent="0.25">
      <c r="S6038" s="1"/>
    </row>
    <row r="6039" spans="19:19" x14ac:dyDescent="0.25">
      <c r="S6039" s="1"/>
    </row>
    <row r="6040" spans="19:19" x14ac:dyDescent="0.25">
      <c r="S6040" s="1"/>
    </row>
    <row r="6041" spans="19:19" x14ac:dyDescent="0.25">
      <c r="S6041" s="1"/>
    </row>
    <row r="6042" spans="19:19" x14ac:dyDescent="0.25">
      <c r="S6042" s="1"/>
    </row>
    <row r="6043" spans="19:19" x14ac:dyDescent="0.25">
      <c r="S6043" s="1"/>
    </row>
    <row r="6044" spans="19:19" x14ac:dyDescent="0.25">
      <c r="S6044" s="1"/>
    </row>
    <row r="6045" spans="19:19" x14ac:dyDescent="0.25">
      <c r="S6045" s="1"/>
    </row>
    <row r="6046" spans="19:19" x14ac:dyDescent="0.25">
      <c r="S6046" s="1"/>
    </row>
    <row r="6047" spans="19:19" x14ac:dyDescent="0.25">
      <c r="S6047" s="1"/>
    </row>
    <row r="6048" spans="19:19" x14ac:dyDescent="0.25">
      <c r="S6048" s="1"/>
    </row>
    <row r="6049" spans="19:19" x14ac:dyDescent="0.25">
      <c r="S6049" s="1"/>
    </row>
    <row r="6050" spans="19:19" x14ac:dyDescent="0.25">
      <c r="S6050" s="1"/>
    </row>
    <row r="6051" spans="19:19" x14ac:dyDescent="0.25">
      <c r="S6051" s="1"/>
    </row>
    <row r="6052" spans="19:19" x14ac:dyDescent="0.25">
      <c r="S6052" s="1"/>
    </row>
    <row r="6053" spans="19:19" x14ac:dyDescent="0.25">
      <c r="S6053" s="1"/>
    </row>
    <row r="6054" spans="19:19" x14ac:dyDescent="0.25">
      <c r="S6054" s="1"/>
    </row>
    <row r="6055" spans="19:19" x14ac:dyDescent="0.25">
      <c r="S6055" s="1"/>
    </row>
    <row r="6056" spans="19:19" x14ac:dyDescent="0.25">
      <c r="S6056" s="1"/>
    </row>
    <row r="6057" spans="19:19" x14ac:dyDescent="0.25">
      <c r="S6057" s="1"/>
    </row>
    <row r="6058" spans="19:19" x14ac:dyDescent="0.25">
      <c r="S6058" s="1"/>
    </row>
    <row r="6059" spans="19:19" x14ac:dyDescent="0.25">
      <c r="S6059" s="1"/>
    </row>
    <row r="6060" spans="19:19" x14ac:dyDescent="0.25">
      <c r="S6060" s="1"/>
    </row>
    <row r="6061" spans="19:19" x14ac:dyDescent="0.25">
      <c r="S6061" s="1"/>
    </row>
    <row r="6062" spans="19:19" x14ac:dyDescent="0.25">
      <c r="S6062" s="1"/>
    </row>
    <row r="6063" spans="19:19" x14ac:dyDescent="0.25">
      <c r="S6063" s="1"/>
    </row>
    <row r="6064" spans="19:19" x14ac:dyDescent="0.25">
      <c r="S6064" s="1"/>
    </row>
    <row r="6065" spans="19:19" x14ac:dyDescent="0.25">
      <c r="S6065" s="1"/>
    </row>
    <row r="6066" spans="19:19" x14ac:dyDescent="0.25">
      <c r="S6066" s="1"/>
    </row>
    <row r="6067" spans="19:19" x14ac:dyDescent="0.25">
      <c r="S6067" s="1"/>
    </row>
    <row r="6068" spans="19:19" x14ac:dyDescent="0.25">
      <c r="S6068" s="1"/>
    </row>
    <row r="6069" spans="19:19" x14ac:dyDescent="0.25">
      <c r="S6069" s="1"/>
    </row>
    <row r="6070" spans="19:19" x14ac:dyDescent="0.25">
      <c r="S6070" s="1"/>
    </row>
    <row r="6071" spans="19:19" x14ac:dyDescent="0.25">
      <c r="S6071" s="1"/>
    </row>
    <row r="6072" spans="19:19" x14ac:dyDescent="0.25">
      <c r="S6072" s="1"/>
    </row>
    <row r="6073" spans="19:19" x14ac:dyDescent="0.25">
      <c r="S6073" s="1"/>
    </row>
    <row r="6074" spans="19:19" x14ac:dyDescent="0.25">
      <c r="S6074" s="1"/>
    </row>
    <row r="6075" spans="19:19" x14ac:dyDescent="0.25">
      <c r="S6075" s="1"/>
    </row>
    <row r="6076" spans="19:19" x14ac:dyDescent="0.25">
      <c r="S6076" s="1"/>
    </row>
    <row r="6077" spans="19:19" x14ac:dyDescent="0.25">
      <c r="S6077" s="1"/>
    </row>
    <row r="6078" spans="19:19" x14ac:dyDescent="0.25">
      <c r="S6078" s="1"/>
    </row>
    <row r="6079" spans="19:19" x14ac:dyDescent="0.25">
      <c r="S6079" s="1"/>
    </row>
    <row r="6080" spans="19:19" x14ac:dyDescent="0.25">
      <c r="S6080" s="1"/>
    </row>
    <row r="6081" spans="19:19" x14ac:dyDescent="0.25">
      <c r="S6081" s="1"/>
    </row>
    <row r="6082" spans="19:19" x14ac:dyDescent="0.25">
      <c r="S6082" s="1"/>
    </row>
    <row r="6083" spans="19:19" x14ac:dyDescent="0.25">
      <c r="S6083" s="1"/>
    </row>
    <row r="6084" spans="19:19" x14ac:dyDescent="0.25">
      <c r="S6084" s="1"/>
    </row>
    <row r="6085" spans="19:19" x14ac:dyDescent="0.25">
      <c r="S6085" s="1"/>
    </row>
    <row r="6086" spans="19:19" x14ac:dyDescent="0.25">
      <c r="S6086" s="1"/>
    </row>
    <row r="6087" spans="19:19" x14ac:dyDescent="0.25">
      <c r="S6087" s="1"/>
    </row>
    <row r="6088" spans="19:19" x14ac:dyDescent="0.25">
      <c r="S6088" s="1"/>
    </row>
    <row r="6089" spans="19:19" x14ac:dyDescent="0.25">
      <c r="S6089" s="1"/>
    </row>
    <row r="6090" spans="19:19" x14ac:dyDescent="0.25">
      <c r="S6090" s="1"/>
    </row>
    <row r="6091" spans="19:19" x14ac:dyDescent="0.25">
      <c r="S6091" s="1"/>
    </row>
    <row r="6092" spans="19:19" x14ac:dyDescent="0.25">
      <c r="S6092" s="1"/>
    </row>
    <row r="6093" spans="19:19" x14ac:dyDescent="0.25">
      <c r="S6093" s="1"/>
    </row>
    <row r="6094" spans="19:19" x14ac:dyDescent="0.25">
      <c r="S6094" s="1"/>
    </row>
    <row r="6095" spans="19:19" x14ac:dyDescent="0.25">
      <c r="S6095" s="1"/>
    </row>
    <row r="6096" spans="19:19" x14ac:dyDescent="0.25">
      <c r="S6096" s="1"/>
    </row>
    <row r="6097" spans="19:19" x14ac:dyDescent="0.25">
      <c r="S6097" s="1"/>
    </row>
    <row r="6098" spans="19:19" x14ac:dyDescent="0.25">
      <c r="S6098" s="1"/>
    </row>
    <row r="6099" spans="19:19" x14ac:dyDescent="0.25">
      <c r="S6099" s="1"/>
    </row>
    <row r="6100" spans="19:19" x14ac:dyDescent="0.25">
      <c r="S6100" s="1"/>
    </row>
    <row r="6101" spans="19:19" x14ac:dyDescent="0.25">
      <c r="S6101" s="1"/>
    </row>
    <row r="6102" spans="19:19" x14ac:dyDescent="0.25">
      <c r="S6102" s="1"/>
    </row>
    <row r="6103" spans="19:19" x14ac:dyDescent="0.25">
      <c r="S6103" s="1"/>
    </row>
    <row r="6104" spans="19:19" x14ac:dyDescent="0.25">
      <c r="S6104" s="1"/>
    </row>
    <row r="6105" spans="19:19" x14ac:dyDescent="0.25">
      <c r="S6105" s="1"/>
    </row>
    <row r="6106" spans="19:19" x14ac:dyDescent="0.25">
      <c r="S6106" s="1"/>
    </row>
    <row r="6107" spans="19:19" x14ac:dyDescent="0.25">
      <c r="S6107" s="1"/>
    </row>
    <row r="6108" spans="19:19" x14ac:dyDescent="0.25">
      <c r="S6108" s="1"/>
    </row>
    <row r="6109" spans="19:19" x14ac:dyDescent="0.25">
      <c r="S6109" s="1"/>
    </row>
    <row r="6110" spans="19:19" x14ac:dyDescent="0.25">
      <c r="S6110" s="1"/>
    </row>
    <row r="6111" spans="19:19" x14ac:dyDescent="0.25">
      <c r="S6111" s="1"/>
    </row>
    <row r="6112" spans="19:19" x14ac:dyDescent="0.25">
      <c r="S6112" s="1"/>
    </row>
    <row r="6113" spans="19:19" x14ac:dyDescent="0.25">
      <c r="S6113" s="1"/>
    </row>
    <row r="6114" spans="19:19" x14ac:dyDescent="0.25">
      <c r="S6114" s="1"/>
    </row>
    <row r="6115" spans="19:19" x14ac:dyDescent="0.25">
      <c r="S6115" s="1"/>
    </row>
    <row r="6116" spans="19:19" x14ac:dyDescent="0.25">
      <c r="S6116" s="1"/>
    </row>
    <row r="6117" spans="19:19" x14ac:dyDescent="0.25">
      <c r="S6117" s="1"/>
    </row>
    <row r="6118" spans="19:19" x14ac:dyDescent="0.25">
      <c r="S6118" s="1"/>
    </row>
    <row r="6119" spans="19:19" x14ac:dyDescent="0.25">
      <c r="S6119" s="1"/>
    </row>
    <row r="6120" spans="19:19" x14ac:dyDescent="0.25">
      <c r="S6120" s="1"/>
    </row>
    <row r="6121" spans="19:19" x14ac:dyDescent="0.25">
      <c r="S6121" s="1"/>
    </row>
    <row r="6122" spans="19:19" x14ac:dyDescent="0.25">
      <c r="S6122" s="1"/>
    </row>
    <row r="6123" spans="19:19" x14ac:dyDescent="0.25">
      <c r="S6123" s="1"/>
    </row>
    <row r="6124" spans="19:19" x14ac:dyDescent="0.25">
      <c r="S6124" s="1"/>
    </row>
    <row r="6125" spans="19:19" x14ac:dyDescent="0.25">
      <c r="S6125" s="1"/>
    </row>
    <row r="6126" spans="19:19" x14ac:dyDescent="0.25">
      <c r="S6126" s="1"/>
    </row>
    <row r="6127" spans="19:19" x14ac:dyDescent="0.25">
      <c r="S6127" s="1"/>
    </row>
    <row r="6128" spans="19:19" x14ac:dyDescent="0.25">
      <c r="S6128" s="1"/>
    </row>
    <row r="6129" spans="19:19" x14ac:dyDescent="0.25">
      <c r="S6129" s="1"/>
    </row>
    <row r="6130" spans="19:19" x14ac:dyDescent="0.25">
      <c r="S6130" s="1"/>
    </row>
    <row r="6131" spans="19:19" x14ac:dyDescent="0.25">
      <c r="S6131" s="1"/>
    </row>
    <row r="6132" spans="19:19" x14ac:dyDescent="0.25">
      <c r="S6132" s="1"/>
    </row>
    <row r="6133" spans="19:19" x14ac:dyDescent="0.25">
      <c r="S6133" s="1"/>
    </row>
    <row r="6134" spans="19:19" x14ac:dyDescent="0.25">
      <c r="S6134" s="1"/>
    </row>
    <row r="6135" spans="19:19" x14ac:dyDescent="0.25">
      <c r="S6135" s="1"/>
    </row>
    <row r="6136" spans="19:19" x14ac:dyDescent="0.25">
      <c r="S6136" s="1"/>
    </row>
    <row r="6137" spans="19:19" x14ac:dyDescent="0.25">
      <c r="S6137" s="1"/>
    </row>
    <row r="6138" spans="19:19" x14ac:dyDescent="0.25">
      <c r="S6138" s="1"/>
    </row>
    <row r="6139" spans="19:19" x14ac:dyDescent="0.25">
      <c r="S6139" s="1"/>
    </row>
    <row r="6140" spans="19:19" x14ac:dyDescent="0.25">
      <c r="S6140" s="1"/>
    </row>
    <row r="6141" spans="19:19" x14ac:dyDescent="0.25">
      <c r="S6141" s="1"/>
    </row>
    <row r="6142" spans="19:19" x14ac:dyDescent="0.25">
      <c r="S6142" s="1"/>
    </row>
    <row r="6143" spans="19:19" x14ac:dyDescent="0.25">
      <c r="S6143" s="1"/>
    </row>
    <row r="6144" spans="19:19" x14ac:dyDescent="0.25">
      <c r="S6144" s="1"/>
    </row>
    <row r="6145" spans="19:19" x14ac:dyDescent="0.25">
      <c r="S6145" s="1"/>
    </row>
    <row r="6146" spans="19:19" x14ac:dyDescent="0.25">
      <c r="S6146" s="1"/>
    </row>
    <row r="6147" spans="19:19" x14ac:dyDescent="0.25">
      <c r="S6147" s="1"/>
    </row>
    <row r="6148" spans="19:19" x14ac:dyDescent="0.25">
      <c r="S6148" s="1"/>
    </row>
    <row r="6149" spans="19:19" x14ac:dyDescent="0.25">
      <c r="S6149" s="1"/>
    </row>
    <row r="6150" spans="19:19" x14ac:dyDescent="0.25">
      <c r="S6150" s="1"/>
    </row>
    <row r="6151" spans="19:19" x14ac:dyDescent="0.25">
      <c r="S6151" s="1"/>
    </row>
    <row r="6152" spans="19:19" x14ac:dyDescent="0.25">
      <c r="S6152" s="1"/>
    </row>
    <row r="6153" spans="19:19" x14ac:dyDescent="0.25">
      <c r="S6153" s="1"/>
    </row>
    <row r="6154" spans="19:19" x14ac:dyDescent="0.25">
      <c r="S6154" s="1"/>
    </row>
    <row r="6155" spans="19:19" x14ac:dyDescent="0.25">
      <c r="S6155" s="1"/>
    </row>
    <row r="6156" spans="19:19" x14ac:dyDescent="0.25">
      <c r="S6156" s="1"/>
    </row>
    <row r="6157" spans="19:19" x14ac:dyDescent="0.25">
      <c r="S6157" s="1"/>
    </row>
    <row r="6158" spans="19:19" x14ac:dyDescent="0.25">
      <c r="S6158" s="1"/>
    </row>
    <row r="6159" spans="19:19" x14ac:dyDescent="0.25">
      <c r="S6159" s="1"/>
    </row>
    <row r="6160" spans="19:19" x14ac:dyDescent="0.25">
      <c r="S6160" s="1"/>
    </row>
    <row r="6161" spans="19:19" x14ac:dyDescent="0.25">
      <c r="S6161" s="1"/>
    </row>
    <row r="6162" spans="19:19" x14ac:dyDescent="0.25">
      <c r="S6162" s="1"/>
    </row>
    <row r="6163" spans="19:19" x14ac:dyDescent="0.25">
      <c r="S6163" s="1"/>
    </row>
    <row r="6164" spans="19:19" x14ac:dyDescent="0.25">
      <c r="S6164" s="1"/>
    </row>
    <row r="6165" spans="19:19" x14ac:dyDescent="0.25">
      <c r="S6165" s="1"/>
    </row>
    <row r="6166" spans="19:19" x14ac:dyDescent="0.25">
      <c r="S6166" s="1"/>
    </row>
    <row r="6167" spans="19:19" x14ac:dyDescent="0.25">
      <c r="S6167" s="1"/>
    </row>
    <row r="6168" spans="19:19" x14ac:dyDescent="0.25">
      <c r="S6168" s="1"/>
    </row>
    <row r="6169" spans="19:19" x14ac:dyDescent="0.25">
      <c r="S6169" s="1"/>
    </row>
    <row r="6170" spans="19:19" x14ac:dyDescent="0.25">
      <c r="S6170" s="1"/>
    </row>
    <row r="6171" spans="19:19" x14ac:dyDescent="0.25">
      <c r="S6171" s="1"/>
    </row>
    <row r="6172" spans="19:19" x14ac:dyDescent="0.25">
      <c r="S6172" s="1"/>
    </row>
    <row r="6173" spans="19:19" x14ac:dyDescent="0.25">
      <c r="S6173" s="1"/>
    </row>
    <row r="6174" spans="19:19" x14ac:dyDescent="0.25">
      <c r="S6174" s="1"/>
    </row>
    <row r="6175" spans="19:19" x14ac:dyDescent="0.25">
      <c r="S6175" s="1"/>
    </row>
    <row r="6176" spans="19:19" x14ac:dyDescent="0.25">
      <c r="S6176" s="1"/>
    </row>
    <row r="6177" spans="19:19" x14ac:dyDescent="0.25">
      <c r="S6177" s="1"/>
    </row>
    <row r="6178" spans="19:19" x14ac:dyDescent="0.25">
      <c r="S6178" s="1"/>
    </row>
    <row r="6179" spans="19:19" x14ac:dyDescent="0.25">
      <c r="S6179" s="1"/>
    </row>
    <row r="6180" spans="19:19" x14ac:dyDescent="0.25">
      <c r="S6180" s="1"/>
    </row>
    <row r="6181" spans="19:19" x14ac:dyDescent="0.25">
      <c r="S6181" s="1"/>
    </row>
    <row r="6182" spans="19:19" x14ac:dyDescent="0.25">
      <c r="S6182" s="1"/>
    </row>
    <row r="6183" spans="19:19" x14ac:dyDescent="0.25">
      <c r="S6183" s="1"/>
    </row>
    <row r="6184" spans="19:19" x14ac:dyDescent="0.25">
      <c r="S6184" s="1"/>
    </row>
    <row r="6185" spans="19:19" x14ac:dyDescent="0.25">
      <c r="S6185" s="1"/>
    </row>
    <row r="6186" spans="19:19" x14ac:dyDescent="0.25">
      <c r="S6186" s="1"/>
    </row>
    <row r="6187" spans="19:19" x14ac:dyDescent="0.25">
      <c r="S6187" s="1"/>
    </row>
    <row r="6188" spans="19:19" x14ac:dyDescent="0.25">
      <c r="S6188" s="1"/>
    </row>
    <row r="6189" spans="19:19" x14ac:dyDescent="0.25">
      <c r="S6189" s="1"/>
    </row>
    <row r="6190" spans="19:19" x14ac:dyDescent="0.25">
      <c r="S6190" s="1"/>
    </row>
    <row r="6191" spans="19:19" x14ac:dyDescent="0.25">
      <c r="S6191" s="1"/>
    </row>
    <row r="6192" spans="19:19" x14ac:dyDescent="0.25">
      <c r="S6192" s="1"/>
    </row>
    <row r="6193" spans="19:19" x14ac:dyDescent="0.25">
      <c r="S6193" s="1"/>
    </row>
    <row r="6194" spans="19:19" x14ac:dyDescent="0.25">
      <c r="S6194" s="1"/>
    </row>
    <row r="6195" spans="19:19" x14ac:dyDescent="0.25">
      <c r="S6195" s="1"/>
    </row>
    <row r="6196" spans="19:19" x14ac:dyDescent="0.25">
      <c r="S6196" s="1"/>
    </row>
    <row r="6197" spans="19:19" x14ac:dyDescent="0.25">
      <c r="S6197" s="1"/>
    </row>
    <row r="6198" spans="19:19" x14ac:dyDescent="0.25">
      <c r="S6198" s="1"/>
    </row>
    <row r="6199" spans="19:19" x14ac:dyDescent="0.25">
      <c r="S6199" s="1"/>
    </row>
    <row r="6200" spans="19:19" x14ac:dyDescent="0.25">
      <c r="S6200" s="1"/>
    </row>
    <row r="6201" spans="19:19" x14ac:dyDescent="0.25">
      <c r="S6201" s="1"/>
    </row>
    <row r="6202" spans="19:19" x14ac:dyDescent="0.25">
      <c r="S6202" s="1"/>
    </row>
    <row r="6203" spans="19:19" x14ac:dyDescent="0.25">
      <c r="S6203" s="1"/>
    </row>
    <row r="6204" spans="19:19" x14ac:dyDescent="0.25">
      <c r="S6204" s="1"/>
    </row>
    <row r="6205" spans="19:19" x14ac:dyDescent="0.25">
      <c r="S6205" s="1"/>
    </row>
    <row r="6206" spans="19:19" x14ac:dyDescent="0.25">
      <c r="S6206" s="1"/>
    </row>
    <row r="6207" spans="19:19" x14ac:dyDescent="0.25">
      <c r="S6207" s="1"/>
    </row>
    <row r="6208" spans="19:19" x14ac:dyDescent="0.25">
      <c r="S6208" s="1"/>
    </row>
    <row r="6209" spans="19:19" x14ac:dyDescent="0.25">
      <c r="S6209" s="1"/>
    </row>
    <row r="6210" spans="19:19" x14ac:dyDescent="0.25">
      <c r="S6210" s="1"/>
    </row>
    <row r="6211" spans="19:19" x14ac:dyDescent="0.25">
      <c r="S6211" s="1"/>
    </row>
    <row r="6212" spans="19:19" x14ac:dyDescent="0.25">
      <c r="S6212" s="1"/>
    </row>
    <row r="6213" spans="19:19" x14ac:dyDescent="0.25">
      <c r="S6213" s="1"/>
    </row>
    <row r="6214" spans="19:19" x14ac:dyDescent="0.25">
      <c r="S6214" s="1"/>
    </row>
    <row r="6215" spans="19:19" x14ac:dyDescent="0.25">
      <c r="S6215" s="1"/>
    </row>
    <row r="6216" spans="19:19" x14ac:dyDescent="0.25">
      <c r="S6216" s="1"/>
    </row>
    <row r="6217" spans="19:19" x14ac:dyDescent="0.25">
      <c r="S6217" s="1"/>
    </row>
    <row r="6218" spans="19:19" x14ac:dyDescent="0.25">
      <c r="S6218" s="1"/>
    </row>
    <row r="6219" spans="19:19" x14ac:dyDescent="0.25">
      <c r="S6219" s="1"/>
    </row>
    <row r="6220" spans="19:19" x14ac:dyDescent="0.25">
      <c r="S6220" s="1"/>
    </row>
    <row r="6221" spans="19:19" x14ac:dyDescent="0.25">
      <c r="S6221" s="1"/>
    </row>
    <row r="6222" spans="19:19" x14ac:dyDescent="0.25">
      <c r="S6222" s="1"/>
    </row>
    <row r="6223" spans="19:19" x14ac:dyDescent="0.25">
      <c r="S6223" s="1"/>
    </row>
    <row r="6224" spans="19:19" x14ac:dyDescent="0.25">
      <c r="S6224" s="1"/>
    </row>
    <row r="6225" spans="19:19" x14ac:dyDescent="0.25">
      <c r="S6225" s="1"/>
    </row>
    <row r="6226" spans="19:19" x14ac:dyDescent="0.25">
      <c r="S6226" s="1"/>
    </row>
    <row r="6227" spans="19:19" x14ac:dyDescent="0.25">
      <c r="S6227" s="1"/>
    </row>
    <row r="6228" spans="19:19" x14ac:dyDescent="0.25">
      <c r="S6228" s="1"/>
    </row>
    <row r="6229" spans="19:19" x14ac:dyDescent="0.25">
      <c r="S6229" s="1"/>
    </row>
    <row r="6230" spans="19:19" x14ac:dyDescent="0.25">
      <c r="S6230" s="1"/>
    </row>
    <row r="6231" spans="19:19" x14ac:dyDescent="0.25">
      <c r="S6231" s="1"/>
    </row>
    <row r="6232" spans="19:19" x14ac:dyDescent="0.25">
      <c r="S6232" s="1"/>
    </row>
    <row r="6233" spans="19:19" x14ac:dyDescent="0.25">
      <c r="S6233" s="1"/>
    </row>
    <row r="6234" spans="19:19" x14ac:dyDescent="0.25">
      <c r="S6234" s="1"/>
    </row>
    <row r="6235" spans="19:19" x14ac:dyDescent="0.25">
      <c r="S6235" s="1"/>
    </row>
    <row r="6236" spans="19:19" x14ac:dyDescent="0.25">
      <c r="S6236" s="1"/>
    </row>
    <row r="6237" spans="19:19" x14ac:dyDescent="0.25">
      <c r="S6237" s="1"/>
    </row>
    <row r="6238" spans="19:19" x14ac:dyDescent="0.25">
      <c r="S6238" s="1"/>
    </row>
    <row r="6239" spans="19:19" x14ac:dyDescent="0.25">
      <c r="S6239" s="1"/>
    </row>
    <row r="6240" spans="19:19" x14ac:dyDescent="0.25">
      <c r="S6240" s="1"/>
    </row>
    <row r="6241" spans="19:19" x14ac:dyDescent="0.25">
      <c r="S6241" s="1"/>
    </row>
    <row r="6242" spans="19:19" x14ac:dyDescent="0.25">
      <c r="S6242" s="1"/>
    </row>
    <row r="6243" spans="19:19" x14ac:dyDescent="0.25">
      <c r="S6243" s="1"/>
    </row>
    <row r="6244" spans="19:19" x14ac:dyDescent="0.25">
      <c r="S6244" s="1"/>
    </row>
    <row r="6245" spans="19:19" x14ac:dyDescent="0.25">
      <c r="S6245" s="1"/>
    </row>
    <row r="6246" spans="19:19" x14ac:dyDescent="0.25">
      <c r="S6246" s="1"/>
    </row>
    <row r="6247" spans="19:19" x14ac:dyDescent="0.25">
      <c r="S6247" s="1"/>
    </row>
    <row r="6248" spans="19:19" x14ac:dyDescent="0.25">
      <c r="S6248" s="1"/>
    </row>
    <row r="6249" spans="19:19" x14ac:dyDescent="0.25">
      <c r="S6249" s="1"/>
    </row>
    <row r="6250" spans="19:19" x14ac:dyDescent="0.25">
      <c r="S6250" s="1"/>
    </row>
    <row r="6251" spans="19:19" x14ac:dyDescent="0.25">
      <c r="S6251" s="1"/>
    </row>
    <row r="6252" spans="19:19" x14ac:dyDescent="0.25">
      <c r="S6252" s="1"/>
    </row>
    <row r="6253" spans="19:19" x14ac:dyDescent="0.25">
      <c r="S6253" s="1"/>
    </row>
    <row r="6254" spans="19:19" x14ac:dyDescent="0.25">
      <c r="S6254" s="1"/>
    </row>
    <row r="6255" spans="19:19" x14ac:dyDescent="0.25">
      <c r="S6255" s="1"/>
    </row>
    <row r="6256" spans="19:19" x14ac:dyDescent="0.25">
      <c r="S6256" s="1"/>
    </row>
    <row r="6257" spans="19:19" x14ac:dyDescent="0.25">
      <c r="S6257" s="1"/>
    </row>
    <row r="6258" spans="19:19" x14ac:dyDescent="0.25">
      <c r="S6258" s="1"/>
    </row>
    <row r="6259" spans="19:19" x14ac:dyDescent="0.25">
      <c r="S6259" s="1"/>
    </row>
    <row r="6260" spans="19:19" x14ac:dyDescent="0.25">
      <c r="S6260" s="1"/>
    </row>
    <row r="6261" spans="19:19" x14ac:dyDescent="0.25">
      <c r="S6261" s="1"/>
    </row>
    <row r="6262" spans="19:19" x14ac:dyDescent="0.25">
      <c r="S6262" s="1"/>
    </row>
    <row r="6263" spans="19:19" x14ac:dyDescent="0.25">
      <c r="S6263" s="1"/>
    </row>
    <row r="6264" spans="19:19" x14ac:dyDescent="0.25">
      <c r="S6264" s="1"/>
    </row>
    <row r="6265" spans="19:19" x14ac:dyDescent="0.25">
      <c r="S6265" s="1"/>
    </row>
    <row r="6266" spans="19:19" x14ac:dyDescent="0.25">
      <c r="S6266" s="1"/>
    </row>
    <row r="6267" spans="19:19" x14ac:dyDescent="0.25">
      <c r="S6267" s="1"/>
    </row>
    <row r="6268" spans="19:19" x14ac:dyDescent="0.25">
      <c r="S6268" s="1"/>
    </row>
    <row r="6269" spans="19:19" x14ac:dyDescent="0.25">
      <c r="S6269" s="1"/>
    </row>
    <row r="6270" spans="19:19" x14ac:dyDescent="0.25">
      <c r="S6270" s="1"/>
    </row>
    <row r="6271" spans="19:19" x14ac:dyDescent="0.25">
      <c r="S6271" s="1"/>
    </row>
    <row r="6272" spans="19:19" x14ac:dyDescent="0.25">
      <c r="S6272" s="1"/>
    </row>
    <row r="6273" spans="19:19" x14ac:dyDescent="0.25">
      <c r="S6273" s="1"/>
    </row>
    <row r="6274" spans="19:19" x14ac:dyDescent="0.25">
      <c r="S6274" s="1"/>
    </row>
    <row r="6275" spans="19:19" x14ac:dyDescent="0.25">
      <c r="S6275" s="1"/>
    </row>
    <row r="6276" spans="19:19" x14ac:dyDescent="0.25">
      <c r="S6276" s="1"/>
    </row>
    <row r="6277" spans="19:19" x14ac:dyDescent="0.25">
      <c r="S6277" s="1"/>
    </row>
    <row r="6278" spans="19:19" x14ac:dyDescent="0.25">
      <c r="S6278" s="1"/>
    </row>
    <row r="6279" spans="19:19" x14ac:dyDescent="0.25">
      <c r="S6279" s="1"/>
    </row>
    <row r="6280" spans="19:19" x14ac:dyDescent="0.25">
      <c r="S6280" s="1"/>
    </row>
    <row r="6281" spans="19:19" x14ac:dyDescent="0.25">
      <c r="S6281" s="1"/>
    </row>
    <row r="6282" spans="19:19" x14ac:dyDescent="0.25">
      <c r="S6282" s="1"/>
    </row>
    <row r="6283" spans="19:19" x14ac:dyDescent="0.25">
      <c r="S6283" s="1"/>
    </row>
    <row r="6284" spans="19:19" x14ac:dyDescent="0.25">
      <c r="S6284" s="1"/>
    </row>
    <row r="6285" spans="19:19" x14ac:dyDescent="0.25">
      <c r="S6285" s="1"/>
    </row>
    <row r="6286" spans="19:19" x14ac:dyDescent="0.25">
      <c r="S6286" s="1"/>
    </row>
    <row r="6287" spans="19:19" x14ac:dyDescent="0.25">
      <c r="S6287" s="1"/>
    </row>
    <row r="6288" spans="19:19" x14ac:dyDescent="0.25">
      <c r="S6288" s="1"/>
    </row>
    <row r="6289" spans="19:19" x14ac:dyDescent="0.25">
      <c r="S6289" s="1"/>
    </row>
    <row r="6290" spans="19:19" x14ac:dyDescent="0.25">
      <c r="S6290" s="1"/>
    </row>
    <row r="6291" spans="19:19" x14ac:dyDescent="0.25">
      <c r="S6291" s="1"/>
    </row>
    <row r="6292" spans="19:19" x14ac:dyDescent="0.25">
      <c r="S6292" s="1"/>
    </row>
    <row r="6293" spans="19:19" x14ac:dyDescent="0.25">
      <c r="S6293" s="1"/>
    </row>
    <row r="6294" spans="19:19" x14ac:dyDescent="0.25">
      <c r="S6294" s="1"/>
    </row>
    <row r="6295" spans="19:19" x14ac:dyDescent="0.25">
      <c r="S6295" s="1"/>
    </row>
    <row r="6296" spans="19:19" x14ac:dyDescent="0.25">
      <c r="S6296" s="1"/>
    </row>
    <row r="6297" spans="19:19" x14ac:dyDescent="0.25">
      <c r="S6297" s="1"/>
    </row>
    <row r="6298" spans="19:19" x14ac:dyDescent="0.25">
      <c r="S6298" s="1"/>
    </row>
    <row r="6299" spans="19:19" x14ac:dyDescent="0.25">
      <c r="S6299" s="1"/>
    </row>
    <row r="6300" spans="19:19" x14ac:dyDescent="0.25">
      <c r="S6300" s="1"/>
    </row>
    <row r="6301" spans="19:19" x14ac:dyDescent="0.25">
      <c r="S6301" s="1"/>
    </row>
    <row r="6302" spans="19:19" x14ac:dyDescent="0.25">
      <c r="S6302" s="1"/>
    </row>
    <row r="6303" spans="19:19" x14ac:dyDescent="0.25">
      <c r="S6303" s="1"/>
    </row>
    <row r="6304" spans="19:19" x14ac:dyDescent="0.25">
      <c r="S6304" s="1"/>
    </row>
    <row r="6305" spans="19:19" x14ac:dyDescent="0.25">
      <c r="S6305" s="1"/>
    </row>
    <row r="6306" spans="19:19" x14ac:dyDescent="0.25">
      <c r="S6306" s="1"/>
    </row>
    <row r="6307" spans="19:19" x14ac:dyDescent="0.25">
      <c r="S6307" s="1"/>
    </row>
    <row r="6308" spans="19:19" x14ac:dyDescent="0.25">
      <c r="S6308" s="1"/>
    </row>
    <row r="6309" spans="19:19" x14ac:dyDescent="0.25">
      <c r="S6309" s="1"/>
    </row>
    <row r="6310" spans="19:19" x14ac:dyDescent="0.25">
      <c r="S6310" s="1"/>
    </row>
    <row r="6311" spans="19:19" x14ac:dyDescent="0.25">
      <c r="S6311" s="1"/>
    </row>
    <row r="6312" spans="19:19" x14ac:dyDescent="0.25">
      <c r="S6312" s="1"/>
    </row>
    <row r="6313" spans="19:19" x14ac:dyDescent="0.25">
      <c r="S6313" s="1"/>
    </row>
    <row r="6314" spans="19:19" x14ac:dyDescent="0.25">
      <c r="S6314" s="1"/>
    </row>
    <row r="6315" spans="19:19" x14ac:dyDescent="0.25">
      <c r="S6315" s="1"/>
    </row>
    <row r="6316" spans="19:19" x14ac:dyDescent="0.25">
      <c r="S6316" s="1"/>
    </row>
    <row r="6317" spans="19:19" x14ac:dyDescent="0.25">
      <c r="S6317" s="1"/>
    </row>
    <row r="6318" spans="19:19" x14ac:dyDescent="0.25">
      <c r="S6318" s="1"/>
    </row>
    <row r="6319" spans="19:19" x14ac:dyDescent="0.25">
      <c r="S6319" s="1"/>
    </row>
    <row r="6320" spans="19:19" x14ac:dyDescent="0.25">
      <c r="S6320" s="1"/>
    </row>
    <row r="6321" spans="19:19" x14ac:dyDescent="0.25">
      <c r="S6321" s="1"/>
    </row>
    <row r="6322" spans="19:19" x14ac:dyDescent="0.25">
      <c r="S6322" s="1"/>
    </row>
    <row r="6323" spans="19:19" x14ac:dyDescent="0.25">
      <c r="S6323" s="1"/>
    </row>
    <row r="6324" spans="19:19" x14ac:dyDescent="0.25">
      <c r="S6324" s="1"/>
    </row>
    <row r="6325" spans="19:19" x14ac:dyDescent="0.25">
      <c r="S6325" s="1"/>
    </row>
    <row r="6326" spans="19:19" x14ac:dyDescent="0.25">
      <c r="S6326" s="1"/>
    </row>
    <row r="6327" spans="19:19" x14ac:dyDescent="0.25">
      <c r="S6327" s="1"/>
    </row>
    <row r="6328" spans="19:19" x14ac:dyDescent="0.25">
      <c r="S6328" s="1"/>
    </row>
    <row r="6329" spans="19:19" x14ac:dyDescent="0.25">
      <c r="S6329" s="1"/>
    </row>
    <row r="6330" spans="19:19" x14ac:dyDescent="0.25">
      <c r="S6330" s="1"/>
    </row>
    <row r="6331" spans="19:19" x14ac:dyDescent="0.25">
      <c r="S6331" s="1"/>
    </row>
    <row r="6332" spans="19:19" x14ac:dyDescent="0.25">
      <c r="S6332" s="1"/>
    </row>
    <row r="6333" spans="19:19" x14ac:dyDescent="0.25">
      <c r="S6333" s="1"/>
    </row>
    <row r="6334" spans="19:19" x14ac:dyDescent="0.25">
      <c r="S6334" s="1"/>
    </row>
    <row r="6335" spans="19:19" x14ac:dyDescent="0.25">
      <c r="S6335" s="1"/>
    </row>
    <row r="6336" spans="19:19" x14ac:dyDescent="0.25">
      <c r="S6336" s="1"/>
    </row>
    <row r="6337" spans="19:19" x14ac:dyDescent="0.25">
      <c r="S6337" s="1"/>
    </row>
    <row r="6338" spans="19:19" x14ac:dyDescent="0.25">
      <c r="S6338" s="1"/>
    </row>
    <row r="6339" spans="19:19" x14ac:dyDescent="0.25">
      <c r="S6339" s="1"/>
    </row>
    <row r="6340" spans="19:19" x14ac:dyDescent="0.25">
      <c r="S6340" s="1"/>
    </row>
    <row r="6341" spans="19:19" x14ac:dyDescent="0.25">
      <c r="S6341" s="1"/>
    </row>
    <row r="6342" spans="19:19" x14ac:dyDescent="0.25">
      <c r="S6342" s="1"/>
    </row>
    <row r="6343" spans="19:19" x14ac:dyDescent="0.25">
      <c r="S6343" s="1"/>
    </row>
    <row r="6344" spans="19:19" x14ac:dyDescent="0.25">
      <c r="S6344" s="1"/>
    </row>
    <row r="6345" spans="19:19" x14ac:dyDescent="0.25">
      <c r="S6345" s="1"/>
    </row>
    <row r="6346" spans="19:19" x14ac:dyDescent="0.25">
      <c r="S6346" s="1"/>
    </row>
    <row r="6347" spans="19:19" x14ac:dyDescent="0.25">
      <c r="S6347" s="1"/>
    </row>
    <row r="6348" spans="19:19" x14ac:dyDescent="0.25">
      <c r="S6348" s="1"/>
    </row>
    <row r="6349" spans="19:19" x14ac:dyDescent="0.25">
      <c r="S6349" s="1"/>
    </row>
    <row r="6350" spans="19:19" x14ac:dyDescent="0.25">
      <c r="S6350" s="1"/>
    </row>
    <row r="6351" spans="19:19" x14ac:dyDescent="0.25">
      <c r="S6351" s="1"/>
    </row>
    <row r="6352" spans="19:19" x14ac:dyDescent="0.25">
      <c r="S6352" s="1"/>
    </row>
    <row r="6353" spans="19:19" x14ac:dyDescent="0.25">
      <c r="S6353" s="1"/>
    </row>
    <row r="6354" spans="19:19" x14ac:dyDescent="0.25">
      <c r="S6354" s="1"/>
    </row>
    <row r="6355" spans="19:19" x14ac:dyDescent="0.25">
      <c r="S6355" s="1"/>
    </row>
    <row r="6356" spans="19:19" x14ac:dyDescent="0.25">
      <c r="S6356" s="1"/>
    </row>
    <row r="6357" spans="19:19" x14ac:dyDescent="0.25">
      <c r="S6357" s="1"/>
    </row>
    <row r="6358" spans="19:19" x14ac:dyDescent="0.25">
      <c r="S6358" s="1"/>
    </row>
    <row r="6359" spans="19:19" x14ac:dyDescent="0.25">
      <c r="S6359" s="1"/>
    </row>
    <row r="6360" spans="19:19" x14ac:dyDescent="0.25">
      <c r="S6360" s="1"/>
    </row>
    <row r="6361" spans="19:19" x14ac:dyDescent="0.25">
      <c r="S6361" s="1"/>
    </row>
    <row r="6362" spans="19:19" x14ac:dyDescent="0.25">
      <c r="S6362" s="1"/>
    </row>
    <row r="6363" spans="19:19" x14ac:dyDescent="0.25">
      <c r="S6363" s="1"/>
    </row>
    <row r="6364" spans="19:19" x14ac:dyDescent="0.25">
      <c r="S6364" s="1"/>
    </row>
    <row r="6365" spans="19:19" x14ac:dyDescent="0.25">
      <c r="S6365" s="1"/>
    </row>
    <row r="6366" spans="19:19" x14ac:dyDescent="0.25">
      <c r="S6366" s="1"/>
    </row>
    <row r="6367" spans="19:19" x14ac:dyDescent="0.25">
      <c r="S6367" s="1"/>
    </row>
    <row r="6368" spans="19:19" x14ac:dyDescent="0.25">
      <c r="S6368" s="1"/>
    </row>
    <row r="6369" spans="19:19" x14ac:dyDescent="0.25">
      <c r="S6369" s="1"/>
    </row>
    <row r="6370" spans="19:19" x14ac:dyDescent="0.25">
      <c r="S6370" s="1"/>
    </row>
    <row r="6371" spans="19:19" x14ac:dyDescent="0.25">
      <c r="S6371" s="1"/>
    </row>
    <row r="6372" spans="19:19" x14ac:dyDescent="0.25">
      <c r="S6372" s="1"/>
    </row>
    <row r="6373" spans="19:19" x14ac:dyDescent="0.25">
      <c r="S6373" s="1"/>
    </row>
    <row r="6374" spans="19:19" x14ac:dyDescent="0.25">
      <c r="S6374" s="1"/>
    </row>
    <row r="6375" spans="19:19" x14ac:dyDescent="0.25">
      <c r="S6375" s="1"/>
    </row>
    <row r="6376" spans="19:19" x14ac:dyDescent="0.25">
      <c r="S6376" s="1"/>
    </row>
    <row r="6377" spans="19:19" x14ac:dyDescent="0.25">
      <c r="S6377" s="1"/>
    </row>
    <row r="6378" spans="19:19" x14ac:dyDescent="0.25">
      <c r="S6378" s="1"/>
    </row>
    <row r="6379" spans="19:19" x14ac:dyDescent="0.25">
      <c r="S6379" s="1"/>
    </row>
    <row r="6380" spans="19:19" x14ac:dyDescent="0.25">
      <c r="S6380" s="1"/>
    </row>
    <row r="6381" spans="19:19" x14ac:dyDescent="0.25">
      <c r="S6381" s="1"/>
    </row>
    <row r="6382" spans="19:19" x14ac:dyDescent="0.25">
      <c r="S6382" s="1"/>
    </row>
    <row r="6383" spans="19:19" x14ac:dyDescent="0.25">
      <c r="S6383" s="1"/>
    </row>
    <row r="6384" spans="19:19" x14ac:dyDescent="0.25">
      <c r="S6384" s="1"/>
    </row>
    <row r="6385" spans="19:19" x14ac:dyDescent="0.25">
      <c r="S6385" s="1"/>
    </row>
    <row r="6386" spans="19:19" x14ac:dyDescent="0.25">
      <c r="S6386" s="1"/>
    </row>
    <row r="6387" spans="19:19" x14ac:dyDescent="0.25">
      <c r="S6387" s="1"/>
    </row>
    <row r="6388" spans="19:19" x14ac:dyDescent="0.25">
      <c r="S6388" s="1"/>
    </row>
    <row r="6389" spans="19:19" x14ac:dyDescent="0.25">
      <c r="S6389" s="1"/>
    </row>
    <row r="6390" spans="19:19" x14ac:dyDescent="0.25">
      <c r="S6390" s="1"/>
    </row>
    <row r="6391" spans="19:19" x14ac:dyDescent="0.25">
      <c r="S6391" s="1"/>
    </row>
    <row r="6392" spans="19:19" x14ac:dyDescent="0.25">
      <c r="S6392" s="1"/>
    </row>
    <row r="6393" spans="19:19" x14ac:dyDescent="0.25">
      <c r="S6393" s="1"/>
    </row>
    <row r="6394" spans="19:19" x14ac:dyDescent="0.25">
      <c r="S6394" s="1"/>
    </row>
    <row r="6395" spans="19:19" x14ac:dyDescent="0.25">
      <c r="S6395" s="1"/>
    </row>
    <row r="6396" spans="19:19" x14ac:dyDescent="0.25">
      <c r="S6396" s="1"/>
    </row>
    <row r="6397" spans="19:19" x14ac:dyDescent="0.25">
      <c r="S6397" s="1"/>
    </row>
    <row r="6398" spans="19:19" x14ac:dyDescent="0.25">
      <c r="S6398" s="1"/>
    </row>
    <row r="6399" spans="19:19" x14ac:dyDescent="0.25">
      <c r="S6399" s="1"/>
    </row>
    <row r="6400" spans="19:19" x14ac:dyDescent="0.25">
      <c r="S6400" s="1"/>
    </row>
    <row r="6401" spans="19:19" x14ac:dyDescent="0.25">
      <c r="S6401" s="1"/>
    </row>
    <row r="6402" spans="19:19" x14ac:dyDescent="0.25">
      <c r="S6402" s="1"/>
    </row>
    <row r="6403" spans="19:19" x14ac:dyDescent="0.25">
      <c r="S6403" s="1"/>
    </row>
    <row r="6404" spans="19:19" x14ac:dyDescent="0.25">
      <c r="S6404" s="1"/>
    </row>
    <row r="6405" spans="19:19" x14ac:dyDescent="0.25">
      <c r="S6405" s="1"/>
    </row>
    <row r="6406" spans="19:19" x14ac:dyDescent="0.25">
      <c r="S6406" s="1"/>
    </row>
    <row r="6407" spans="19:19" x14ac:dyDescent="0.25">
      <c r="S6407" s="1"/>
    </row>
    <row r="6408" spans="19:19" x14ac:dyDescent="0.25">
      <c r="S6408" s="1"/>
    </row>
    <row r="6409" spans="19:19" x14ac:dyDescent="0.25">
      <c r="S6409" s="1"/>
    </row>
    <row r="6410" spans="19:19" x14ac:dyDescent="0.25">
      <c r="S6410" s="1"/>
    </row>
    <row r="6411" spans="19:19" x14ac:dyDescent="0.25">
      <c r="S6411" s="1"/>
    </row>
    <row r="6412" spans="19:19" x14ac:dyDescent="0.25">
      <c r="S6412" s="1"/>
    </row>
    <row r="6413" spans="19:19" x14ac:dyDescent="0.25">
      <c r="S6413" s="1"/>
    </row>
    <row r="6414" spans="19:19" x14ac:dyDescent="0.25">
      <c r="S6414" s="1"/>
    </row>
    <row r="6415" spans="19:19" x14ac:dyDescent="0.25">
      <c r="S6415" s="1"/>
    </row>
    <row r="6416" spans="19:19" x14ac:dyDescent="0.25">
      <c r="S6416" s="1"/>
    </row>
    <row r="6417" spans="19:19" x14ac:dyDescent="0.25">
      <c r="S6417" s="1"/>
    </row>
    <row r="6418" spans="19:19" x14ac:dyDescent="0.25">
      <c r="S6418" s="1"/>
    </row>
    <row r="6419" spans="19:19" x14ac:dyDescent="0.25">
      <c r="S6419" s="1"/>
    </row>
    <row r="6420" spans="19:19" x14ac:dyDescent="0.25">
      <c r="S6420" s="1"/>
    </row>
    <row r="6421" spans="19:19" x14ac:dyDescent="0.25">
      <c r="S6421" s="1"/>
    </row>
    <row r="6422" spans="19:19" x14ac:dyDescent="0.25">
      <c r="S6422" s="1"/>
    </row>
    <row r="6423" spans="19:19" x14ac:dyDescent="0.25">
      <c r="S6423" s="1"/>
    </row>
    <row r="6424" spans="19:19" x14ac:dyDescent="0.25">
      <c r="S6424" s="1"/>
    </row>
    <row r="6425" spans="19:19" x14ac:dyDescent="0.25">
      <c r="S6425" s="1"/>
    </row>
    <row r="6426" spans="19:19" x14ac:dyDescent="0.25">
      <c r="S6426" s="1"/>
    </row>
    <row r="6427" spans="19:19" x14ac:dyDescent="0.25">
      <c r="S6427" s="1"/>
    </row>
    <row r="6428" spans="19:19" x14ac:dyDescent="0.25">
      <c r="S6428" s="1"/>
    </row>
    <row r="6429" spans="19:19" x14ac:dyDescent="0.25">
      <c r="S6429" s="1"/>
    </row>
    <row r="6430" spans="19:19" x14ac:dyDescent="0.25">
      <c r="S6430" s="1"/>
    </row>
    <row r="6431" spans="19:19" x14ac:dyDescent="0.25">
      <c r="S6431" s="1"/>
    </row>
    <row r="6432" spans="19:19" x14ac:dyDescent="0.25">
      <c r="S6432" s="1"/>
    </row>
    <row r="6433" spans="19:19" x14ac:dyDescent="0.25">
      <c r="S6433" s="1"/>
    </row>
    <row r="6434" spans="19:19" x14ac:dyDescent="0.25">
      <c r="S6434" s="1"/>
    </row>
    <row r="6435" spans="19:19" x14ac:dyDescent="0.25">
      <c r="S6435" s="1"/>
    </row>
    <row r="6436" spans="19:19" x14ac:dyDescent="0.25">
      <c r="S6436" s="1"/>
    </row>
    <row r="6437" spans="19:19" x14ac:dyDescent="0.25">
      <c r="S6437" s="1"/>
    </row>
    <row r="6438" spans="19:19" x14ac:dyDescent="0.25">
      <c r="S6438" s="1"/>
    </row>
    <row r="6439" spans="19:19" x14ac:dyDescent="0.25">
      <c r="S6439" s="1"/>
    </row>
    <row r="6440" spans="19:19" x14ac:dyDescent="0.25">
      <c r="S6440" s="1"/>
    </row>
    <row r="6441" spans="19:19" x14ac:dyDescent="0.25">
      <c r="S6441" s="1"/>
    </row>
    <row r="6442" spans="19:19" x14ac:dyDescent="0.25">
      <c r="S6442" s="1"/>
    </row>
    <row r="6443" spans="19:19" x14ac:dyDescent="0.25">
      <c r="S6443" s="1"/>
    </row>
    <row r="6444" spans="19:19" x14ac:dyDescent="0.25">
      <c r="S6444" s="1"/>
    </row>
    <row r="6445" spans="19:19" x14ac:dyDescent="0.25">
      <c r="S6445" s="1"/>
    </row>
    <row r="6446" spans="19:19" x14ac:dyDescent="0.25">
      <c r="S6446" s="1"/>
    </row>
    <row r="6447" spans="19:19" x14ac:dyDescent="0.25">
      <c r="S6447" s="1"/>
    </row>
    <row r="6448" spans="19:19" x14ac:dyDescent="0.25">
      <c r="S6448" s="1"/>
    </row>
    <row r="6449" spans="19:19" x14ac:dyDescent="0.25">
      <c r="S6449" s="1"/>
    </row>
    <row r="6450" spans="19:19" x14ac:dyDescent="0.25">
      <c r="S6450" s="1"/>
    </row>
    <row r="6451" spans="19:19" x14ac:dyDescent="0.25">
      <c r="S6451" s="1"/>
    </row>
    <row r="6452" spans="19:19" x14ac:dyDescent="0.25">
      <c r="S6452" s="1"/>
    </row>
    <row r="6453" spans="19:19" x14ac:dyDescent="0.25">
      <c r="S6453" s="1"/>
    </row>
    <row r="6454" spans="19:19" x14ac:dyDescent="0.25">
      <c r="S6454" s="1"/>
    </row>
    <row r="6455" spans="19:19" x14ac:dyDescent="0.25">
      <c r="S6455" s="1"/>
    </row>
    <row r="6456" spans="19:19" x14ac:dyDescent="0.25">
      <c r="S6456" s="1"/>
    </row>
    <row r="6457" spans="19:19" x14ac:dyDescent="0.25">
      <c r="S6457" s="1"/>
    </row>
    <row r="6458" spans="19:19" x14ac:dyDescent="0.25">
      <c r="S6458" s="1"/>
    </row>
    <row r="6459" spans="19:19" x14ac:dyDescent="0.25">
      <c r="S6459" s="1"/>
    </row>
    <row r="6460" spans="19:19" x14ac:dyDescent="0.25">
      <c r="S6460" s="1"/>
    </row>
    <row r="6461" spans="19:19" x14ac:dyDescent="0.25">
      <c r="S6461" s="1"/>
    </row>
    <row r="6462" spans="19:19" x14ac:dyDescent="0.25">
      <c r="S6462" s="1"/>
    </row>
    <row r="6463" spans="19:19" x14ac:dyDescent="0.25">
      <c r="S6463" s="1"/>
    </row>
    <row r="6464" spans="19:19" x14ac:dyDescent="0.25">
      <c r="S6464" s="1"/>
    </row>
    <row r="6465" spans="19:19" x14ac:dyDescent="0.25">
      <c r="S6465" s="1"/>
    </row>
    <row r="6466" spans="19:19" x14ac:dyDescent="0.25">
      <c r="S6466" s="1"/>
    </row>
    <row r="6467" spans="19:19" x14ac:dyDescent="0.25">
      <c r="S6467" s="1"/>
    </row>
    <row r="6468" spans="19:19" x14ac:dyDescent="0.25">
      <c r="S6468" s="1"/>
    </row>
    <row r="6469" spans="19:19" x14ac:dyDescent="0.25">
      <c r="S6469" s="1"/>
    </row>
    <row r="6470" spans="19:19" x14ac:dyDescent="0.25">
      <c r="S6470" s="1"/>
    </row>
    <row r="6471" spans="19:19" x14ac:dyDescent="0.25">
      <c r="S6471" s="1"/>
    </row>
    <row r="6472" spans="19:19" x14ac:dyDescent="0.25">
      <c r="S6472" s="1"/>
    </row>
    <row r="6473" spans="19:19" x14ac:dyDescent="0.25">
      <c r="S6473" s="1"/>
    </row>
    <row r="6474" spans="19:19" x14ac:dyDescent="0.25">
      <c r="S6474" s="1"/>
    </row>
    <row r="6475" spans="19:19" x14ac:dyDescent="0.25">
      <c r="S6475" s="1"/>
    </row>
    <row r="6476" spans="19:19" x14ac:dyDescent="0.25">
      <c r="S6476" s="1"/>
    </row>
    <row r="6477" spans="19:19" x14ac:dyDescent="0.25">
      <c r="S6477" s="1"/>
    </row>
    <row r="6478" spans="19:19" x14ac:dyDescent="0.25">
      <c r="S6478" s="1"/>
    </row>
    <row r="6479" spans="19:19" x14ac:dyDescent="0.25">
      <c r="S6479" s="1"/>
    </row>
    <row r="6480" spans="19:19" x14ac:dyDescent="0.25">
      <c r="S6480" s="1"/>
    </row>
    <row r="6481" spans="19:19" x14ac:dyDescent="0.25">
      <c r="S6481" s="1"/>
    </row>
    <row r="6482" spans="19:19" x14ac:dyDescent="0.25">
      <c r="S6482" s="1"/>
    </row>
    <row r="6483" spans="19:19" x14ac:dyDescent="0.25">
      <c r="S6483" s="1"/>
    </row>
    <row r="6484" spans="19:19" x14ac:dyDescent="0.25">
      <c r="S6484" s="1"/>
    </row>
    <row r="6485" spans="19:19" x14ac:dyDescent="0.25">
      <c r="S6485" s="1"/>
    </row>
    <row r="6486" spans="19:19" x14ac:dyDescent="0.25">
      <c r="S6486" s="1"/>
    </row>
    <row r="6487" spans="19:19" x14ac:dyDescent="0.25">
      <c r="S6487" s="1"/>
    </row>
    <row r="6488" spans="19:19" x14ac:dyDescent="0.25">
      <c r="S6488" s="1"/>
    </row>
    <row r="6489" spans="19:19" x14ac:dyDescent="0.25">
      <c r="S6489" s="1"/>
    </row>
    <row r="6490" spans="19:19" x14ac:dyDescent="0.25">
      <c r="S6490" s="1"/>
    </row>
    <row r="6491" spans="19:19" x14ac:dyDescent="0.25">
      <c r="S6491" s="1"/>
    </row>
    <row r="6492" spans="19:19" x14ac:dyDescent="0.25">
      <c r="S6492" s="1"/>
    </row>
    <row r="6493" spans="19:19" x14ac:dyDescent="0.25">
      <c r="S6493" s="1"/>
    </row>
    <row r="6494" spans="19:19" x14ac:dyDescent="0.25">
      <c r="S6494" s="1"/>
    </row>
    <row r="6495" spans="19:19" x14ac:dyDescent="0.25">
      <c r="S6495" s="1"/>
    </row>
    <row r="6496" spans="19:19" x14ac:dyDescent="0.25">
      <c r="S6496" s="1"/>
    </row>
    <row r="6497" spans="19:19" x14ac:dyDescent="0.25">
      <c r="S6497" s="1"/>
    </row>
    <row r="6498" spans="19:19" x14ac:dyDescent="0.25">
      <c r="S6498" s="1"/>
    </row>
    <row r="6499" spans="19:19" x14ac:dyDescent="0.25">
      <c r="S6499" s="1"/>
    </row>
    <row r="6500" spans="19:19" x14ac:dyDescent="0.25">
      <c r="S6500" s="1"/>
    </row>
    <row r="6501" spans="19:19" x14ac:dyDescent="0.25">
      <c r="S6501" s="1"/>
    </row>
    <row r="6502" spans="19:19" x14ac:dyDescent="0.25">
      <c r="S6502" s="1"/>
    </row>
    <row r="6503" spans="19:19" x14ac:dyDescent="0.25">
      <c r="S6503" s="1"/>
    </row>
    <row r="6504" spans="19:19" x14ac:dyDescent="0.25">
      <c r="S6504" s="1"/>
    </row>
    <row r="6505" spans="19:19" x14ac:dyDescent="0.25">
      <c r="S6505" s="1"/>
    </row>
    <row r="6506" spans="19:19" x14ac:dyDescent="0.25">
      <c r="S6506" s="1"/>
    </row>
    <row r="6507" spans="19:19" x14ac:dyDescent="0.25">
      <c r="S6507" s="1"/>
    </row>
    <row r="6508" spans="19:19" x14ac:dyDescent="0.25">
      <c r="S6508" s="1"/>
    </row>
    <row r="6509" spans="19:19" x14ac:dyDescent="0.25">
      <c r="S6509" s="1"/>
    </row>
    <row r="6510" spans="19:19" x14ac:dyDescent="0.25">
      <c r="S6510" s="1"/>
    </row>
    <row r="6511" spans="19:19" x14ac:dyDescent="0.25">
      <c r="S6511" s="1"/>
    </row>
    <row r="6512" spans="19:19" x14ac:dyDescent="0.25">
      <c r="S6512" s="1"/>
    </row>
    <row r="6513" spans="19:19" x14ac:dyDescent="0.25">
      <c r="S6513" s="1"/>
    </row>
    <row r="6514" spans="19:19" x14ac:dyDescent="0.25">
      <c r="S6514" s="1"/>
    </row>
    <row r="6515" spans="19:19" x14ac:dyDescent="0.25">
      <c r="S6515" s="1"/>
    </row>
    <row r="6516" spans="19:19" x14ac:dyDescent="0.25">
      <c r="S6516" s="1"/>
    </row>
    <row r="6517" spans="19:19" x14ac:dyDescent="0.25">
      <c r="S6517" s="1"/>
    </row>
    <row r="6518" spans="19:19" x14ac:dyDescent="0.25">
      <c r="S6518" s="1"/>
    </row>
    <row r="6519" spans="19:19" x14ac:dyDescent="0.25">
      <c r="S6519" s="1"/>
    </row>
    <row r="6520" spans="19:19" x14ac:dyDescent="0.25">
      <c r="S6520" s="1"/>
    </row>
    <row r="6521" spans="19:19" x14ac:dyDescent="0.25">
      <c r="S6521" s="1"/>
    </row>
    <row r="6522" spans="19:19" x14ac:dyDescent="0.25">
      <c r="S6522" s="1"/>
    </row>
    <row r="6523" spans="19:19" x14ac:dyDescent="0.25">
      <c r="S6523" s="1"/>
    </row>
    <row r="6524" spans="19:19" x14ac:dyDescent="0.25">
      <c r="S6524" s="1"/>
    </row>
    <row r="6525" spans="19:19" x14ac:dyDescent="0.25">
      <c r="S6525" s="1"/>
    </row>
    <row r="6526" spans="19:19" x14ac:dyDescent="0.25">
      <c r="S6526" s="1"/>
    </row>
    <row r="6527" spans="19:19" x14ac:dyDescent="0.25">
      <c r="S6527" s="1"/>
    </row>
    <row r="6528" spans="19:19" x14ac:dyDescent="0.25">
      <c r="S6528" s="1"/>
    </row>
    <row r="6529" spans="19:19" x14ac:dyDescent="0.25">
      <c r="S6529" s="1"/>
    </row>
    <row r="6530" spans="19:19" x14ac:dyDescent="0.25">
      <c r="S6530" s="1"/>
    </row>
    <row r="6531" spans="19:19" x14ac:dyDescent="0.25">
      <c r="S6531" s="1"/>
    </row>
    <row r="6532" spans="19:19" x14ac:dyDescent="0.25">
      <c r="S6532" s="1"/>
    </row>
    <row r="6533" spans="19:19" x14ac:dyDescent="0.25">
      <c r="S6533" s="1"/>
    </row>
    <row r="6534" spans="19:19" x14ac:dyDescent="0.25">
      <c r="S6534" s="1"/>
    </row>
    <row r="6535" spans="19:19" x14ac:dyDescent="0.25">
      <c r="S6535" s="1"/>
    </row>
    <row r="6536" spans="19:19" x14ac:dyDescent="0.25">
      <c r="S6536" s="1"/>
    </row>
    <row r="6537" spans="19:19" x14ac:dyDescent="0.25">
      <c r="S6537" s="1"/>
    </row>
    <row r="6538" spans="19:19" x14ac:dyDescent="0.25">
      <c r="S6538" s="1"/>
    </row>
    <row r="6539" spans="19:19" x14ac:dyDescent="0.25">
      <c r="S6539" s="1"/>
    </row>
    <row r="6540" spans="19:19" x14ac:dyDescent="0.25">
      <c r="S6540" s="1"/>
    </row>
    <row r="6541" spans="19:19" x14ac:dyDescent="0.25">
      <c r="S6541" s="1"/>
    </row>
    <row r="6542" spans="19:19" x14ac:dyDescent="0.25">
      <c r="S6542" s="1"/>
    </row>
    <row r="6543" spans="19:19" x14ac:dyDescent="0.25">
      <c r="S6543" s="1"/>
    </row>
    <row r="6544" spans="19:19" x14ac:dyDescent="0.25">
      <c r="S6544" s="1"/>
    </row>
    <row r="6545" spans="19:19" x14ac:dyDescent="0.25">
      <c r="S6545" s="1"/>
    </row>
    <row r="6546" spans="19:19" x14ac:dyDescent="0.25">
      <c r="S6546" s="1"/>
    </row>
    <row r="6547" spans="19:19" x14ac:dyDescent="0.25">
      <c r="S6547" s="1"/>
    </row>
    <row r="6548" spans="19:19" x14ac:dyDescent="0.25">
      <c r="S6548" s="1"/>
    </row>
    <row r="6549" spans="19:19" x14ac:dyDescent="0.25">
      <c r="S6549" s="1"/>
    </row>
    <row r="6550" spans="19:19" x14ac:dyDescent="0.25">
      <c r="S6550" s="1"/>
    </row>
    <row r="6551" spans="19:19" x14ac:dyDescent="0.25">
      <c r="S6551" s="1"/>
    </row>
    <row r="6552" spans="19:19" x14ac:dyDescent="0.25">
      <c r="S6552" s="1"/>
    </row>
    <row r="6553" spans="19:19" x14ac:dyDescent="0.25">
      <c r="S6553" s="1"/>
    </row>
    <row r="6554" spans="19:19" x14ac:dyDescent="0.25">
      <c r="S6554" s="1"/>
    </row>
    <row r="6555" spans="19:19" x14ac:dyDescent="0.25">
      <c r="S6555" s="1"/>
    </row>
    <row r="6556" spans="19:19" x14ac:dyDescent="0.25">
      <c r="S6556" s="1"/>
    </row>
    <row r="6557" spans="19:19" x14ac:dyDescent="0.25">
      <c r="S6557" s="1"/>
    </row>
    <row r="6558" spans="19:19" x14ac:dyDescent="0.25">
      <c r="S6558" s="1"/>
    </row>
    <row r="6559" spans="19:19" x14ac:dyDescent="0.25">
      <c r="S6559" s="1"/>
    </row>
    <row r="6560" spans="19:19" x14ac:dyDescent="0.25">
      <c r="S6560" s="1"/>
    </row>
    <row r="6561" spans="19:19" x14ac:dyDescent="0.25">
      <c r="S6561" s="1"/>
    </row>
    <row r="6562" spans="19:19" x14ac:dyDescent="0.25">
      <c r="S6562" s="1"/>
    </row>
    <row r="6563" spans="19:19" x14ac:dyDescent="0.25">
      <c r="S6563" s="1"/>
    </row>
    <row r="6564" spans="19:19" x14ac:dyDescent="0.25">
      <c r="S6564" s="1"/>
    </row>
    <row r="6565" spans="19:19" x14ac:dyDescent="0.25">
      <c r="S6565" s="1"/>
    </row>
    <row r="6566" spans="19:19" x14ac:dyDescent="0.25">
      <c r="S6566" s="1"/>
    </row>
    <row r="6567" spans="19:19" x14ac:dyDescent="0.25">
      <c r="S6567" s="1"/>
    </row>
    <row r="6568" spans="19:19" x14ac:dyDescent="0.25">
      <c r="S6568" s="1"/>
    </row>
    <row r="6569" spans="19:19" x14ac:dyDescent="0.25">
      <c r="S6569" s="1"/>
    </row>
    <row r="6570" spans="19:19" x14ac:dyDescent="0.25">
      <c r="S6570" s="1"/>
    </row>
    <row r="6571" spans="19:19" x14ac:dyDescent="0.25">
      <c r="S6571" s="1"/>
    </row>
    <row r="6572" spans="19:19" x14ac:dyDescent="0.25">
      <c r="S6572" s="1"/>
    </row>
    <row r="6573" spans="19:19" x14ac:dyDescent="0.25">
      <c r="S6573" s="1"/>
    </row>
    <row r="6574" spans="19:19" x14ac:dyDescent="0.25">
      <c r="S6574" s="1"/>
    </row>
    <row r="6575" spans="19:19" x14ac:dyDescent="0.25">
      <c r="S6575" s="1"/>
    </row>
    <row r="6576" spans="19:19" x14ac:dyDescent="0.25">
      <c r="S6576" s="1"/>
    </row>
    <row r="6577" spans="19:19" x14ac:dyDescent="0.25">
      <c r="S6577" s="1"/>
    </row>
    <row r="6578" spans="19:19" x14ac:dyDescent="0.25">
      <c r="S6578" s="1"/>
    </row>
    <row r="6579" spans="19:19" x14ac:dyDescent="0.25">
      <c r="S6579" s="1"/>
    </row>
    <row r="6580" spans="19:19" x14ac:dyDescent="0.25">
      <c r="S6580" s="1"/>
    </row>
    <row r="6581" spans="19:19" x14ac:dyDescent="0.25">
      <c r="S6581" s="1"/>
    </row>
    <row r="6582" spans="19:19" x14ac:dyDescent="0.25">
      <c r="S6582" s="1"/>
    </row>
    <row r="6583" spans="19:19" x14ac:dyDescent="0.25">
      <c r="S6583" s="1"/>
    </row>
    <row r="6584" spans="19:19" x14ac:dyDescent="0.25">
      <c r="S6584" s="1"/>
    </row>
    <row r="6585" spans="19:19" x14ac:dyDescent="0.25">
      <c r="S6585" s="1"/>
    </row>
    <row r="6586" spans="19:19" x14ac:dyDescent="0.25">
      <c r="S6586" s="1"/>
    </row>
    <row r="6587" spans="19:19" x14ac:dyDescent="0.25">
      <c r="S6587" s="1"/>
    </row>
    <row r="6588" spans="19:19" x14ac:dyDescent="0.25">
      <c r="S6588" s="1"/>
    </row>
    <row r="6589" spans="19:19" x14ac:dyDescent="0.25">
      <c r="S6589" s="1"/>
    </row>
    <row r="6590" spans="19:19" x14ac:dyDescent="0.25">
      <c r="S6590" s="1"/>
    </row>
    <row r="6591" spans="19:19" x14ac:dyDescent="0.25">
      <c r="S6591" s="1"/>
    </row>
    <row r="6592" spans="19:19" x14ac:dyDescent="0.25">
      <c r="S6592" s="1"/>
    </row>
    <row r="6593" spans="19:19" x14ac:dyDescent="0.25">
      <c r="S6593" s="1"/>
    </row>
    <row r="6594" spans="19:19" x14ac:dyDescent="0.25">
      <c r="S6594" s="1"/>
    </row>
    <row r="6595" spans="19:19" x14ac:dyDescent="0.25">
      <c r="S6595" s="1"/>
    </row>
    <row r="6596" spans="19:19" x14ac:dyDescent="0.25">
      <c r="S6596" s="1"/>
    </row>
    <row r="6597" spans="19:19" x14ac:dyDescent="0.25">
      <c r="S6597" s="1"/>
    </row>
    <row r="6598" spans="19:19" x14ac:dyDescent="0.25">
      <c r="S6598" s="1"/>
    </row>
    <row r="6599" spans="19:19" x14ac:dyDescent="0.25">
      <c r="S6599" s="1"/>
    </row>
    <row r="6600" spans="19:19" x14ac:dyDescent="0.25">
      <c r="S6600" s="1"/>
    </row>
    <row r="6601" spans="19:19" x14ac:dyDescent="0.25">
      <c r="S6601" s="1"/>
    </row>
    <row r="6602" spans="19:19" x14ac:dyDescent="0.25">
      <c r="S6602" s="1"/>
    </row>
    <row r="6603" spans="19:19" x14ac:dyDescent="0.25">
      <c r="S6603" s="1"/>
    </row>
    <row r="6604" spans="19:19" x14ac:dyDescent="0.25">
      <c r="S6604" s="1"/>
    </row>
    <row r="6605" spans="19:19" x14ac:dyDescent="0.25">
      <c r="S6605" s="1"/>
    </row>
    <row r="6606" spans="19:19" x14ac:dyDescent="0.25">
      <c r="S6606" s="1"/>
    </row>
    <row r="6607" spans="19:19" x14ac:dyDescent="0.25">
      <c r="S6607" s="1"/>
    </row>
    <row r="6608" spans="19:19" x14ac:dyDescent="0.25">
      <c r="S6608" s="1"/>
    </row>
    <row r="6609" spans="19:19" x14ac:dyDescent="0.25">
      <c r="S6609" s="1"/>
    </row>
    <row r="6610" spans="19:19" x14ac:dyDescent="0.25">
      <c r="S6610" s="1"/>
    </row>
    <row r="6611" spans="19:19" x14ac:dyDescent="0.25">
      <c r="S6611" s="1"/>
    </row>
    <row r="6612" spans="19:19" x14ac:dyDescent="0.25">
      <c r="S6612" s="1"/>
    </row>
    <row r="6613" spans="19:19" x14ac:dyDescent="0.25">
      <c r="S6613" s="1"/>
    </row>
    <row r="6614" spans="19:19" x14ac:dyDescent="0.25">
      <c r="S6614" s="1"/>
    </row>
    <row r="6615" spans="19:19" x14ac:dyDescent="0.25">
      <c r="S6615" s="1"/>
    </row>
    <row r="6616" spans="19:19" x14ac:dyDescent="0.25">
      <c r="S6616" s="1"/>
    </row>
    <row r="6617" spans="19:19" x14ac:dyDescent="0.25">
      <c r="S6617" s="1"/>
    </row>
    <row r="6618" spans="19:19" x14ac:dyDescent="0.25">
      <c r="S6618" s="1"/>
    </row>
    <row r="6619" spans="19:19" x14ac:dyDescent="0.25">
      <c r="S6619" s="1"/>
    </row>
    <row r="6620" spans="19:19" x14ac:dyDescent="0.25">
      <c r="S6620" s="1"/>
    </row>
    <row r="6621" spans="19:19" x14ac:dyDescent="0.25">
      <c r="S6621" s="1"/>
    </row>
    <row r="6622" spans="19:19" x14ac:dyDescent="0.25">
      <c r="S6622" s="1"/>
    </row>
    <row r="6623" spans="19:19" x14ac:dyDescent="0.25">
      <c r="S6623" s="1"/>
    </row>
    <row r="6624" spans="19:19" x14ac:dyDescent="0.25">
      <c r="S6624" s="1"/>
    </row>
    <row r="6625" spans="19:19" x14ac:dyDescent="0.25">
      <c r="S6625" s="1"/>
    </row>
    <row r="6626" spans="19:19" x14ac:dyDescent="0.25">
      <c r="S6626" s="1"/>
    </row>
    <row r="6627" spans="19:19" x14ac:dyDescent="0.25">
      <c r="S6627" s="1"/>
    </row>
    <row r="6628" spans="19:19" x14ac:dyDescent="0.25">
      <c r="S6628" s="1"/>
    </row>
    <row r="6629" spans="19:19" x14ac:dyDescent="0.25">
      <c r="S6629" s="1"/>
    </row>
    <row r="6630" spans="19:19" x14ac:dyDescent="0.25">
      <c r="S6630" s="1"/>
    </row>
    <row r="6631" spans="19:19" x14ac:dyDescent="0.25">
      <c r="S6631" s="1"/>
    </row>
    <row r="6632" spans="19:19" x14ac:dyDescent="0.25">
      <c r="S6632" s="1"/>
    </row>
    <row r="6633" spans="19:19" x14ac:dyDescent="0.25">
      <c r="S6633" s="1"/>
    </row>
    <row r="6634" spans="19:19" x14ac:dyDescent="0.25">
      <c r="S6634" s="1"/>
    </row>
    <row r="6635" spans="19:19" x14ac:dyDescent="0.25">
      <c r="S6635" s="1"/>
    </row>
    <row r="6636" spans="19:19" x14ac:dyDescent="0.25">
      <c r="S6636" s="1"/>
    </row>
    <row r="6637" spans="19:19" x14ac:dyDescent="0.25">
      <c r="S6637" s="1"/>
    </row>
    <row r="6638" spans="19:19" x14ac:dyDescent="0.25">
      <c r="S6638" s="1"/>
    </row>
    <row r="6639" spans="19:19" x14ac:dyDescent="0.25">
      <c r="S6639" s="1"/>
    </row>
    <row r="6640" spans="19:19" x14ac:dyDescent="0.25">
      <c r="S6640" s="1"/>
    </row>
    <row r="6641" spans="19:19" x14ac:dyDescent="0.25">
      <c r="S6641" s="1"/>
    </row>
    <row r="6642" spans="19:19" x14ac:dyDescent="0.25">
      <c r="S6642" s="1"/>
    </row>
    <row r="6643" spans="19:19" x14ac:dyDescent="0.25">
      <c r="S6643" s="1"/>
    </row>
    <row r="6644" spans="19:19" x14ac:dyDescent="0.25">
      <c r="S6644" s="1"/>
    </row>
    <row r="6645" spans="19:19" x14ac:dyDescent="0.25">
      <c r="S6645" s="1"/>
    </row>
    <row r="6646" spans="19:19" x14ac:dyDescent="0.25">
      <c r="S6646" s="1"/>
    </row>
    <row r="6647" spans="19:19" x14ac:dyDescent="0.25">
      <c r="S6647" s="1"/>
    </row>
    <row r="6648" spans="19:19" x14ac:dyDescent="0.25">
      <c r="S6648" s="1"/>
    </row>
    <row r="6649" spans="19:19" x14ac:dyDescent="0.25">
      <c r="S6649" s="1"/>
    </row>
    <row r="6650" spans="19:19" x14ac:dyDescent="0.25">
      <c r="S6650" s="1"/>
    </row>
    <row r="6651" spans="19:19" x14ac:dyDescent="0.25">
      <c r="S6651" s="1"/>
    </row>
    <row r="6652" spans="19:19" x14ac:dyDescent="0.25">
      <c r="S6652" s="1"/>
    </row>
    <row r="6653" spans="19:19" x14ac:dyDescent="0.25">
      <c r="S6653" s="1"/>
    </row>
    <row r="6654" spans="19:19" x14ac:dyDescent="0.25">
      <c r="S6654" s="1"/>
    </row>
    <row r="6655" spans="19:19" x14ac:dyDescent="0.25">
      <c r="S6655" s="1"/>
    </row>
    <row r="6656" spans="19:19" x14ac:dyDescent="0.25">
      <c r="S6656" s="1"/>
    </row>
    <row r="6657" spans="19:19" x14ac:dyDescent="0.25">
      <c r="S6657" s="1"/>
    </row>
    <row r="6658" spans="19:19" x14ac:dyDescent="0.25">
      <c r="S6658" s="1"/>
    </row>
    <row r="6659" spans="19:19" x14ac:dyDescent="0.25">
      <c r="S6659" s="1"/>
    </row>
    <row r="6660" spans="19:19" x14ac:dyDescent="0.25">
      <c r="S6660" s="1"/>
    </row>
    <row r="6661" spans="19:19" x14ac:dyDescent="0.25">
      <c r="S6661" s="1"/>
    </row>
    <row r="6662" spans="19:19" x14ac:dyDescent="0.25">
      <c r="S6662" s="1"/>
    </row>
    <row r="6663" spans="19:19" x14ac:dyDescent="0.25">
      <c r="S6663" s="1"/>
    </row>
    <row r="6664" spans="19:19" x14ac:dyDescent="0.25">
      <c r="S6664" s="1"/>
    </row>
    <row r="6665" spans="19:19" x14ac:dyDescent="0.25">
      <c r="S6665" s="1"/>
    </row>
    <row r="6666" spans="19:19" x14ac:dyDescent="0.25">
      <c r="S6666" s="1"/>
    </row>
    <row r="6667" spans="19:19" x14ac:dyDescent="0.25">
      <c r="S6667" s="1"/>
    </row>
    <row r="6668" spans="19:19" x14ac:dyDescent="0.25">
      <c r="S6668" s="1"/>
    </row>
    <row r="6669" spans="19:19" x14ac:dyDescent="0.25">
      <c r="S6669" s="1"/>
    </row>
    <row r="6670" spans="19:19" x14ac:dyDescent="0.25">
      <c r="S6670" s="1"/>
    </row>
    <row r="6671" spans="19:19" x14ac:dyDescent="0.25">
      <c r="S6671" s="1"/>
    </row>
    <row r="6672" spans="19:19" x14ac:dyDescent="0.25">
      <c r="S6672" s="1"/>
    </row>
    <row r="6673" spans="19:19" x14ac:dyDescent="0.25">
      <c r="S6673" s="1"/>
    </row>
    <row r="6674" spans="19:19" x14ac:dyDescent="0.25">
      <c r="S6674" s="1"/>
    </row>
    <row r="6675" spans="19:19" x14ac:dyDescent="0.25">
      <c r="S6675" s="1"/>
    </row>
    <row r="6676" spans="19:19" x14ac:dyDescent="0.25">
      <c r="S6676" s="1"/>
    </row>
    <row r="6677" spans="19:19" x14ac:dyDescent="0.25">
      <c r="S6677" s="1"/>
    </row>
    <row r="6678" spans="19:19" x14ac:dyDescent="0.25">
      <c r="S6678" s="1"/>
    </row>
    <row r="6679" spans="19:19" x14ac:dyDescent="0.25">
      <c r="S6679" s="1"/>
    </row>
    <row r="6680" spans="19:19" x14ac:dyDescent="0.25">
      <c r="S6680" s="1"/>
    </row>
    <row r="6681" spans="19:19" x14ac:dyDescent="0.25">
      <c r="S6681" s="1"/>
    </row>
    <row r="6682" spans="19:19" x14ac:dyDescent="0.25">
      <c r="S6682" s="1"/>
    </row>
    <row r="6683" spans="19:19" x14ac:dyDescent="0.25">
      <c r="S6683" s="1"/>
    </row>
    <row r="6684" spans="19:19" x14ac:dyDescent="0.25">
      <c r="S6684" s="1"/>
    </row>
    <row r="6685" spans="19:19" x14ac:dyDescent="0.25">
      <c r="S6685" s="1"/>
    </row>
    <row r="6686" spans="19:19" x14ac:dyDescent="0.25">
      <c r="S6686" s="1"/>
    </row>
    <row r="6687" spans="19:19" x14ac:dyDescent="0.25">
      <c r="S6687" s="1"/>
    </row>
    <row r="6688" spans="19:19" x14ac:dyDescent="0.25">
      <c r="S6688" s="1"/>
    </row>
    <row r="6689" spans="19:19" x14ac:dyDescent="0.25">
      <c r="S6689" s="1"/>
    </row>
    <row r="6690" spans="19:19" x14ac:dyDescent="0.25">
      <c r="S6690" s="1"/>
    </row>
    <row r="6691" spans="19:19" x14ac:dyDescent="0.25">
      <c r="S6691" s="1"/>
    </row>
    <row r="6692" spans="19:19" x14ac:dyDescent="0.25">
      <c r="S6692" s="1"/>
    </row>
    <row r="6693" spans="19:19" x14ac:dyDescent="0.25">
      <c r="S6693" s="1"/>
    </row>
    <row r="6694" spans="19:19" x14ac:dyDescent="0.25">
      <c r="S6694" s="1"/>
    </row>
    <row r="6695" spans="19:19" x14ac:dyDescent="0.25">
      <c r="S6695" s="1"/>
    </row>
    <row r="6696" spans="19:19" x14ac:dyDescent="0.25">
      <c r="S6696" s="1"/>
    </row>
    <row r="6697" spans="19:19" x14ac:dyDescent="0.25">
      <c r="S6697" s="1"/>
    </row>
    <row r="6698" spans="19:19" x14ac:dyDescent="0.25">
      <c r="S6698" s="1"/>
    </row>
    <row r="6699" spans="19:19" x14ac:dyDescent="0.25">
      <c r="S6699" s="1"/>
    </row>
    <row r="6700" spans="19:19" x14ac:dyDescent="0.25">
      <c r="S6700" s="1"/>
    </row>
    <row r="6701" spans="19:19" x14ac:dyDescent="0.25">
      <c r="S6701" s="1"/>
    </row>
    <row r="6702" spans="19:19" x14ac:dyDescent="0.25">
      <c r="S6702" s="1"/>
    </row>
    <row r="6703" spans="19:19" x14ac:dyDescent="0.25">
      <c r="S6703" s="1"/>
    </row>
    <row r="6704" spans="19:19" x14ac:dyDescent="0.25">
      <c r="S6704" s="1"/>
    </row>
    <row r="6705" spans="19:19" x14ac:dyDescent="0.25">
      <c r="S6705" s="1"/>
    </row>
    <row r="6706" spans="19:19" x14ac:dyDescent="0.25">
      <c r="S6706" s="1"/>
    </row>
    <row r="6707" spans="19:19" x14ac:dyDescent="0.25">
      <c r="S6707" s="1"/>
    </row>
    <row r="6708" spans="19:19" x14ac:dyDescent="0.25">
      <c r="S6708" s="1"/>
    </row>
    <row r="6709" spans="19:19" x14ac:dyDescent="0.25">
      <c r="S6709" s="1"/>
    </row>
    <row r="6710" spans="19:19" x14ac:dyDescent="0.25">
      <c r="S6710" s="1"/>
    </row>
    <row r="6711" spans="19:19" x14ac:dyDescent="0.25">
      <c r="S6711" s="1"/>
    </row>
    <row r="6712" spans="19:19" x14ac:dyDescent="0.25">
      <c r="S6712" s="1"/>
    </row>
    <row r="6713" spans="19:19" x14ac:dyDescent="0.25">
      <c r="S6713" s="1"/>
    </row>
    <row r="6714" spans="19:19" x14ac:dyDescent="0.25">
      <c r="S6714" s="1"/>
    </row>
    <row r="6715" spans="19:19" x14ac:dyDescent="0.25">
      <c r="S6715" s="1"/>
    </row>
    <row r="6716" spans="19:19" x14ac:dyDescent="0.25">
      <c r="S6716" s="1"/>
    </row>
    <row r="6717" spans="19:19" x14ac:dyDescent="0.25">
      <c r="S6717" s="1"/>
    </row>
    <row r="6718" spans="19:19" x14ac:dyDescent="0.25">
      <c r="S6718" s="1"/>
    </row>
    <row r="6719" spans="19:19" x14ac:dyDescent="0.25">
      <c r="S6719" s="1"/>
    </row>
    <row r="6720" spans="19:19" x14ac:dyDescent="0.25">
      <c r="S6720" s="1"/>
    </row>
    <row r="6721" spans="19:19" x14ac:dyDescent="0.25">
      <c r="S6721" s="1"/>
    </row>
    <row r="6722" spans="19:19" x14ac:dyDescent="0.25">
      <c r="S6722" s="1"/>
    </row>
    <row r="6723" spans="19:19" x14ac:dyDescent="0.25">
      <c r="S6723" s="1"/>
    </row>
    <row r="6724" spans="19:19" x14ac:dyDescent="0.25">
      <c r="S6724" s="1"/>
    </row>
    <row r="6725" spans="19:19" x14ac:dyDescent="0.25">
      <c r="S6725" s="1"/>
    </row>
    <row r="6726" spans="19:19" x14ac:dyDescent="0.25">
      <c r="S6726" s="1"/>
    </row>
    <row r="6727" spans="19:19" x14ac:dyDescent="0.25">
      <c r="S6727" s="1"/>
    </row>
    <row r="6728" spans="19:19" x14ac:dyDescent="0.25">
      <c r="S6728" s="1"/>
    </row>
    <row r="6729" spans="19:19" x14ac:dyDescent="0.25">
      <c r="S6729" s="1"/>
    </row>
    <row r="6730" spans="19:19" x14ac:dyDescent="0.25">
      <c r="S6730" s="1"/>
    </row>
    <row r="6731" spans="19:19" x14ac:dyDescent="0.25">
      <c r="S6731" s="1"/>
    </row>
    <row r="6732" spans="19:19" x14ac:dyDescent="0.25">
      <c r="S6732" s="1"/>
    </row>
    <row r="6733" spans="19:19" x14ac:dyDescent="0.25">
      <c r="S6733" s="1"/>
    </row>
    <row r="6734" spans="19:19" x14ac:dyDescent="0.25">
      <c r="S6734" s="1"/>
    </row>
    <row r="6735" spans="19:19" x14ac:dyDescent="0.25">
      <c r="S6735" s="1"/>
    </row>
    <row r="6736" spans="19:19" x14ac:dyDescent="0.25">
      <c r="S6736" s="1"/>
    </row>
    <row r="6737" spans="19:19" x14ac:dyDescent="0.25">
      <c r="S6737" s="1"/>
    </row>
    <row r="6738" spans="19:19" x14ac:dyDescent="0.25">
      <c r="S6738" s="1"/>
    </row>
    <row r="6739" spans="19:19" x14ac:dyDescent="0.25">
      <c r="S6739" s="1"/>
    </row>
    <row r="6740" spans="19:19" x14ac:dyDescent="0.25">
      <c r="S6740" s="1"/>
    </row>
    <row r="6741" spans="19:19" x14ac:dyDescent="0.25">
      <c r="S6741" s="1"/>
    </row>
    <row r="6742" spans="19:19" x14ac:dyDescent="0.25">
      <c r="S6742" s="1"/>
    </row>
    <row r="6743" spans="19:19" x14ac:dyDescent="0.25">
      <c r="S6743" s="1"/>
    </row>
    <row r="6744" spans="19:19" x14ac:dyDescent="0.25">
      <c r="S6744" s="1"/>
    </row>
    <row r="6745" spans="19:19" x14ac:dyDescent="0.25">
      <c r="S6745" s="1"/>
    </row>
    <row r="6746" spans="19:19" x14ac:dyDescent="0.25">
      <c r="S6746" s="1"/>
    </row>
    <row r="6747" spans="19:19" x14ac:dyDescent="0.25">
      <c r="S6747" s="1"/>
    </row>
    <row r="6748" spans="19:19" x14ac:dyDescent="0.25">
      <c r="S6748" s="1"/>
    </row>
    <row r="6749" spans="19:19" x14ac:dyDescent="0.25">
      <c r="S6749" s="1"/>
    </row>
    <row r="6750" spans="19:19" x14ac:dyDescent="0.25">
      <c r="S6750" s="1"/>
    </row>
    <row r="6751" spans="19:19" x14ac:dyDescent="0.25">
      <c r="S6751" s="1"/>
    </row>
    <row r="6752" spans="19:19" x14ac:dyDescent="0.25">
      <c r="S6752" s="1"/>
    </row>
    <row r="6753" spans="19:19" x14ac:dyDescent="0.25">
      <c r="S6753" s="1"/>
    </row>
    <row r="6754" spans="19:19" x14ac:dyDescent="0.25">
      <c r="S6754" s="1"/>
    </row>
    <row r="6755" spans="19:19" x14ac:dyDescent="0.25">
      <c r="S6755" s="1"/>
    </row>
    <row r="6756" spans="19:19" x14ac:dyDescent="0.25">
      <c r="S6756" s="1"/>
    </row>
    <row r="6757" spans="19:19" x14ac:dyDescent="0.25">
      <c r="S6757" s="1"/>
    </row>
    <row r="6758" spans="19:19" x14ac:dyDescent="0.25">
      <c r="S6758" s="1"/>
    </row>
    <row r="6759" spans="19:19" x14ac:dyDescent="0.25">
      <c r="S6759" s="1"/>
    </row>
    <row r="6760" spans="19:19" x14ac:dyDescent="0.25">
      <c r="S6760" s="1"/>
    </row>
    <row r="6761" spans="19:19" x14ac:dyDescent="0.25">
      <c r="S6761" s="1"/>
    </row>
    <row r="6762" spans="19:19" x14ac:dyDescent="0.25">
      <c r="S6762" s="1"/>
    </row>
    <row r="6763" spans="19:19" x14ac:dyDescent="0.25">
      <c r="S6763" s="1"/>
    </row>
    <row r="6764" spans="19:19" x14ac:dyDescent="0.25">
      <c r="S6764" s="1"/>
    </row>
    <row r="6765" spans="19:19" x14ac:dyDescent="0.25">
      <c r="S6765" s="1"/>
    </row>
    <row r="6766" spans="19:19" x14ac:dyDescent="0.25">
      <c r="S6766" s="1"/>
    </row>
    <row r="6767" spans="19:19" x14ac:dyDescent="0.25">
      <c r="S6767" s="1"/>
    </row>
    <row r="6768" spans="19:19" x14ac:dyDescent="0.25">
      <c r="S6768" s="1"/>
    </row>
    <row r="6769" spans="19:19" x14ac:dyDescent="0.25">
      <c r="S6769" s="1"/>
    </row>
    <row r="6770" spans="19:19" x14ac:dyDescent="0.25">
      <c r="S6770" s="1"/>
    </row>
    <row r="6771" spans="19:19" x14ac:dyDescent="0.25">
      <c r="S6771" s="1"/>
    </row>
    <row r="6772" spans="19:19" x14ac:dyDescent="0.25">
      <c r="S6772" s="1"/>
    </row>
    <row r="6773" spans="19:19" x14ac:dyDescent="0.25">
      <c r="S6773" s="1"/>
    </row>
    <row r="6774" spans="19:19" x14ac:dyDescent="0.25">
      <c r="S6774" s="1"/>
    </row>
    <row r="6775" spans="19:19" x14ac:dyDescent="0.25">
      <c r="S6775" s="1"/>
    </row>
    <row r="6776" spans="19:19" x14ac:dyDescent="0.25">
      <c r="S6776" s="1"/>
    </row>
    <row r="6777" spans="19:19" x14ac:dyDescent="0.25">
      <c r="S6777" s="1"/>
    </row>
    <row r="6778" spans="19:19" x14ac:dyDescent="0.25">
      <c r="S6778" s="1"/>
    </row>
    <row r="6779" spans="19:19" x14ac:dyDescent="0.25">
      <c r="S6779" s="1"/>
    </row>
    <row r="6780" spans="19:19" x14ac:dyDescent="0.25">
      <c r="S6780" s="1"/>
    </row>
    <row r="6781" spans="19:19" x14ac:dyDescent="0.25">
      <c r="S6781" s="1"/>
    </row>
    <row r="6782" spans="19:19" x14ac:dyDescent="0.25">
      <c r="S6782" s="1"/>
    </row>
    <row r="6783" spans="19:19" x14ac:dyDescent="0.25">
      <c r="S6783" s="1"/>
    </row>
    <row r="6784" spans="19:19" x14ac:dyDescent="0.25">
      <c r="S6784" s="1"/>
    </row>
    <row r="6785" spans="19:19" x14ac:dyDescent="0.25">
      <c r="S6785" s="1"/>
    </row>
    <row r="6786" spans="19:19" x14ac:dyDescent="0.25">
      <c r="S6786" s="1"/>
    </row>
    <row r="6787" spans="19:19" x14ac:dyDescent="0.25">
      <c r="S6787" s="1"/>
    </row>
    <row r="6788" spans="19:19" x14ac:dyDescent="0.25">
      <c r="S6788" s="1"/>
    </row>
    <row r="6789" spans="19:19" x14ac:dyDescent="0.25">
      <c r="S6789" s="1"/>
    </row>
    <row r="6790" spans="19:19" x14ac:dyDescent="0.25">
      <c r="S6790" s="1"/>
    </row>
    <row r="6791" spans="19:19" x14ac:dyDescent="0.25">
      <c r="S6791" s="1"/>
    </row>
    <row r="6792" spans="19:19" x14ac:dyDescent="0.25">
      <c r="S6792" s="1"/>
    </row>
    <row r="6793" spans="19:19" x14ac:dyDescent="0.25">
      <c r="S6793" s="1"/>
    </row>
    <row r="6794" spans="19:19" x14ac:dyDescent="0.25">
      <c r="S6794" s="1"/>
    </row>
    <row r="6795" spans="19:19" x14ac:dyDescent="0.25">
      <c r="S6795" s="1"/>
    </row>
    <row r="6796" spans="19:19" x14ac:dyDescent="0.25">
      <c r="S6796" s="1"/>
    </row>
    <row r="6797" spans="19:19" x14ac:dyDescent="0.25">
      <c r="S6797" s="1"/>
    </row>
    <row r="6798" spans="19:19" x14ac:dyDescent="0.25">
      <c r="S6798" s="1"/>
    </row>
    <row r="6799" spans="19:19" x14ac:dyDescent="0.25">
      <c r="S6799" s="1"/>
    </row>
    <row r="6800" spans="19:19" x14ac:dyDescent="0.25">
      <c r="S6800" s="1"/>
    </row>
    <row r="6801" spans="19:19" x14ac:dyDescent="0.25">
      <c r="S6801" s="1"/>
    </row>
    <row r="6802" spans="19:19" x14ac:dyDescent="0.25">
      <c r="S6802" s="1"/>
    </row>
    <row r="6803" spans="19:19" x14ac:dyDescent="0.25">
      <c r="S6803" s="1"/>
    </row>
    <row r="6804" spans="19:19" x14ac:dyDescent="0.25">
      <c r="S6804" s="1"/>
    </row>
    <row r="6805" spans="19:19" x14ac:dyDescent="0.25">
      <c r="S6805" s="1"/>
    </row>
    <row r="6806" spans="19:19" x14ac:dyDescent="0.25">
      <c r="S6806" s="1"/>
    </row>
    <row r="6807" spans="19:19" x14ac:dyDescent="0.25">
      <c r="S6807" s="1"/>
    </row>
    <row r="6808" spans="19:19" x14ac:dyDescent="0.25">
      <c r="S6808" s="1"/>
    </row>
    <row r="6809" spans="19:19" x14ac:dyDescent="0.25">
      <c r="S6809" s="1"/>
    </row>
    <row r="6810" spans="19:19" x14ac:dyDescent="0.25">
      <c r="S6810" s="1"/>
    </row>
    <row r="6811" spans="19:19" x14ac:dyDescent="0.25">
      <c r="S6811" s="1"/>
    </row>
    <row r="6812" spans="19:19" x14ac:dyDescent="0.25">
      <c r="S6812" s="1"/>
    </row>
    <row r="6813" spans="19:19" x14ac:dyDescent="0.25">
      <c r="S6813" s="1"/>
    </row>
    <row r="6814" spans="19:19" x14ac:dyDescent="0.25">
      <c r="S6814" s="1"/>
    </row>
    <row r="6815" spans="19:19" x14ac:dyDescent="0.25">
      <c r="S6815" s="1"/>
    </row>
    <row r="6816" spans="19:19" x14ac:dyDescent="0.25">
      <c r="S6816" s="1"/>
    </row>
    <row r="6817" spans="19:19" x14ac:dyDescent="0.25">
      <c r="S6817" s="1"/>
    </row>
    <row r="6818" spans="19:19" x14ac:dyDescent="0.25">
      <c r="S6818" s="1"/>
    </row>
    <row r="6819" spans="19:19" x14ac:dyDescent="0.25">
      <c r="S6819" s="1"/>
    </row>
    <row r="6820" spans="19:19" x14ac:dyDescent="0.25">
      <c r="S6820" s="1"/>
    </row>
    <row r="6821" spans="19:19" x14ac:dyDescent="0.25">
      <c r="S6821" s="1"/>
    </row>
    <row r="6822" spans="19:19" x14ac:dyDescent="0.25">
      <c r="S6822" s="1"/>
    </row>
    <row r="6823" spans="19:19" x14ac:dyDescent="0.25">
      <c r="S6823" s="1"/>
    </row>
    <row r="6824" spans="19:19" x14ac:dyDescent="0.25">
      <c r="S6824" s="1"/>
    </row>
    <row r="6825" spans="19:19" x14ac:dyDescent="0.25">
      <c r="S6825" s="1"/>
    </row>
    <row r="6826" spans="19:19" x14ac:dyDescent="0.25">
      <c r="S6826" s="1"/>
    </row>
    <row r="6827" spans="19:19" x14ac:dyDescent="0.25">
      <c r="S6827" s="1"/>
    </row>
    <row r="6828" spans="19:19" x14ac:dyDescent="0.25">
      <c r="S6828" s="1"/>
    </row>
    <row r="6829" spans="19:19" x14ac:dyDescent="0.25">
      <c r="S6829" s="1"/>
    </row>
    <row r="6830" spans="19:19" x14ac:dyDescent="0.25">
      <c r="S6830" s="1"/>
    </row>
    <row r="6831" spans="19:19" x14ac:dyDescent="0.25">
      <c r="S6831" s="1"/>
    </row>
    <row r="6832" spans="19:19" x14ac:dyDescent="0.25">
      <c r="S6832" s="1"/>
    </row>
    <row r="6833" spans="19:19" x14ac:dyDescent="0.25">
      <c r="S6833" s="1"/>
    </row>
    <row r="6834" spans="19:19" x14ac:dyDescent="0.25">
      <c r="S6834" s="1"/>
    </row>
    <row r="6835" spans="19:19" x14ac:dyDescent="0.25">
      <c r="S6835" s="1"/>
    </row>
    <row r="6836" spans="19:19" x14ac:dyDescent="0.25">
      <c r="S6836" s="1"/>
    </row>
    <row r="6837" spans="19:19" x14ac:dyDescent="0.25">
      <c r="S6837" s="1"/>
    </row>
    <row r="6838" spans="19:19" x14ac:dyDescent="0.25">
      <c r="S6838" s="1"/>
    </row>
    <row r="6839" spans="19:19" x14ac:dyDescent="0.25">
      <c r="S6839" s="1"/>
    </row>
    <row r="6840" spans="19:19" x14ac:dyDescent="0.25">
      <c r="S6840" s="1"/>
    </row>
    <row r="6841" spans="19:19" x14ac:dyDescent="0.25">
      <c r="S6841" s="1"/>
    </row>
    <row r="6842" spans="19:19" x14ac:dyDescent="0.25">
      <c r="S6842" s="1"/>
    </row>
    <row r="6843" spans="19:19" x14ac:dyDescent="0.25">
      <c r="S6843" s="1"/>
    </row>
    <row r="6844" spans="19:19" x14ac:dyDescent="0.25">
      <c r="S6844" s="1"/>
    </row>
    <row r="6845" spans="19:19" x14ac:dyDescent="0.25">
      <c r="S6845" s="1"/>
    </row>
    <row r="6846" spans="19:19" x14ac:dyDescent="0.25">
      <c r="S6846" s="1"/>
    </row>
    <row r="6847" spans="19:19" x14ac:dyDescent="0.25">
      <c r="S6847" s="1"/>
    </row>
    <row r="6848" spans="19:19" x14ac:dyDescent="0.25">
      <c r="S6848" s="1"/>
    </row>
    <row r="6849" spans="19:19" x14ac:dyDescent="0.25">
      <c r="S6849" s="1"/>
    </row>
    <row r="6850" spans="19:19" x14ac:dyDescent="0.25">
      <c r="S6850" s="1"/>
    </row>
    <row r="6851" spans="19:19" x14ac:dyDescent="0.25">
      <c r="S6851" s="1"/>
    </row>
    <row r="6852" spans="19:19" x14ac:dyDescent="0.25">
      <c r="S6852" s="1"/>
    </row>
    <row r="6853" spans="19:19" x14ac:dyDescent="0.25">
      <c r="S6853" s="1"/>
    </row>
    <row r="6854" spans="19:19" x14ac:dyDescent="0.25">
      <c r="S6854" s="1"/>
    </row>
    <row r="6855" spans="19:19" x14ac:dyDescent="0.25">
      <c r="S6855" s="1"/>
    </row>
    <row r="6856" spans="19:19" x14ac:dyDescent="0.25">
      <c r="S6856" s="1"/>
    </row>
    <row r="6857" spans="19:19" x14ac:dyDescent="0.25">
      <c r="S6857" s="1"/>
    </row>
    <row r="6858" spans="19:19" x14ac:dyDescent="0.25">
      <c r="S6858" s="1"/>
    </row>
    <row r="6859" spans="19:19" x14ac:dyDescent="0.25">
      <c r="S6859" s="1"/>
    </row>
    <row r="6860" spans="19:19" x14ac:dyDescent="0.25">
      <c r="S6860" s="1"/>
    </row>
    <row r="6861" spans="19:19" x14ac:dyDescent="0.25">
      <c r="S6861" s="1"/>
    </row>
    <row r="6862" spans="19:19" x14ac:dyDescent="0.25">
      <c r="S6862" s="1"/>
    </row>
    <row r="6863" spans="19:19" x14ac:dyDescent="0.25">
      <c r="S6863" s="1"/>
    </row>
    <row r="6864" spans="19:19" x14ac:dyDescent="0.25">
      <c r="S6864" s="1"/>
    </row>
    <row r="6865" spans="19:19" x14ac:dyDescent="0.25">
      <c r="S6865" s="1"/>
    </row>
    <row r="6866" spans="19:19" x14ac:dyDescent="0.25">
      <c r="S6866" s="1"/>
    </row>
    <row r="6867" spans="19:19" x14ac:dyDescent="0.25">
      <c r="S6867" s="1"/>
    </row>
    <row r="6868" spans="19:19" x14ac:dyDescent="0.25">
      <c r="S6868" s="1"/>
    </row>
    <row r="6869" spans="19:19" x14ac:dyDescent="0.25">
      <c r="S6869" s="1"/>
    </row>
    <row r="6870" spans="19:19" x14ac:dyDescent="0.25">
      <c r="S6870" s="1"/>
    </row>
    <row r="6871" spans="19:19" x14ac:dyDescent="0.25">
      <c r="S6871" s="1"/>
    </row>
    <row r="6872" spans="19:19" x14ac:dyDescent="0.25">
      <c r="S6872" s="1"/>
    </row>
    <row r="6873" spans="19:19" x14ac:dyDescent="0.25">
      <c r="S6873" s="1"/>
    </row>
    <row r="6874" spans="19:19" x14ac:dyDescent="0.25">
      <c r="S6874" s="1"/>
    </row>
    <row r="6875" spans="19:19" x14ac:dyDescent="0.25">
      <c r="S6875" s="1"/>
    </row>
    <row r="6876" spans="19:19" x14ac:dyDescent="0.25">
      <c r="S6876" s="1"/>
    </row>
    <row r="6877" spans="19:19" x14ac:dyDescent="0.25">
      <c r="S6877" s="1"/>
    </row>
    <row r="6878" spans="19:19" x14ac:dyDescent="0.25">
      <c r="S6878" s="1"/>
    </row>
    <row r="6879" spans="19:19" x14ac:dyDescent="0.25">
      <c r="S6879" s="1"/>
    </row>
    <row r="6880" spans="19:19" x14ac:dyDescent="0.25">
      <c r="S6880" s="1"/>
    </row>
    <row r="6881" spans="19:19" x14ac:dyDescent="0.25">
      <c r="S6881" s="1"/>
    </row>
    <row r="6882" spans="19:19" x14ac:dyDescent="0.25">
      <c r="S6882" s="1"/>
    </row>
    <row r="6883" spans="19:19" x14ac:dyDescent="0.25">
      <c r="S6883" s="1"/>
    </row>
    <row r="6884" spans="19:19" x14ac:dyDescent="0.25">
      <c r="S6884" s="1"/>
    </row>
    <row r="6885" spans="19:19" x14ac:dyDescent="0.25">
      <c r="S6885" s="1"/>
    </row>
    <row r="6886" spans="19:19" x14ac:dyDescent="0.25">
      <c r="S6886" s="1"/>
    </row>
    <row r="6887" spans="19:19" x14ac:dyDescent="0.25">
      <c r="S6887" s="1"/>
    </row>
    <row r="6888" spans="19:19" x14ac:dyDescent="0.25">
      <c r="S6888" s="1"/>
    </row>
    <row r="6889" spans="19:19" x14ac:dyDescent="0.25">
      <c r="S6889" s="1"/>
    </row>
    <row r="6890" spans="19:19" x14ac:dyDescent="0.25">
      <c r="S6890" s="1"/>
    </row>
    <row r="6891" spans="19:19" x14ac:dyDescent="0.25">
      <c r="S6891" s="1"/>
    </row>
    <row r="6892" spans="19:19" x14ac:dyDescent="0.25">
      <c r="S6892" s="1"/>
    </row>
    <row r="6893" spans="19:19" x14ac:dyDescent="0.25">
      <c r="S6893" s="1"/>
    </row>
    <row r="6894" spans="19:19" x14ac:dyDescent="0.25">
      <c r="S6894" s="1"/>
    </row>
    <row r="6895" spans="19:19" x14ac:dyDescent="0.25">
      <c r="S6895" s="1"/>
    </row>
    <row r="6896" spans="19:19" x14ac:dyDescent="0.25">
      <c r="S6896" s="1"/>
    </row>
    <row r="6897" spans="19:19" x14ac:dyDescent="0.25">
      <c r="S6897" s="1"/>
    </row>
    <row r="6898" spans="19:19" x14ac:dyDescent="0.25">
      <c r="S6898" s="1"/>
    </row>
    <row r="6899" spans="19:19" x14ac:dyDescent="0.25">
      <c r="S6899" s="1"/>
    </row>
    <row r="6900" spans="19:19" x14ac:dyDescent="0.25">
      <c r="S6900" s="1"/>
    </row>
    <row r="6901" spans="19:19" x14ac:dyDescent="0.25">
      <c r="S6901" s="1"/>
    </row>
    <row r="6902" spans="19:19" x14ac:dyDescent="0.25">
      <c r="S6902" s="1"/>
    </row>
    <row r="6903" spans="19:19" x14ac:dyDescent="0.25">
      <c r="S6903" s="1"/>
    </row>
    <row r="6904" spans="19:19" x14ac:dyDescent="0.25">
      <c r="S6904" s="1"/>
    </row>
    <row r="6905" spans="19:19" x14ac:dyDescent="0.25">
      <c r="S6905" s="1"/>
    </row>
    <row r="6906" spans="19:19" x14ac:dyDescent="0.25">
      <c r="S6906" s="1"/>
    </row>
    <row r="6907" spans="19:19" x14ac:dyDescent="0.25">
      <c r="S6907" s="1"/>
    </row>
    <row r="6908" spans="19:19" x14ac:dyDescent="0.25">
      <c r="S6908" s="1"/>
    </row>
    <row r="6909" spans="19:19" x14ac:dyDescent="0.25">
      <c r="S6909" s="1"/>
    </row>
    <row r="6910" spans="19:19" x14ac:dyDescent="0.25">
      <c r="S6910" s="1"/>
    </row>
    <row r="6911" spans="19:19" x14ac:dyDescent="0.25">
      <c r="S6911" s="1"/>
    </row>
    <row r="6912" spans="19:19" x14ac:dyDescent="0.25">
      <c r="S6912" s="1"/>
    </row>
    <row r="6913" spans="19:19" x14ac:dyDescent="0.25">
      <c r="S6913" s="1"/>
    </row>
    <row r="6914" spans="19:19" x14ac:dyDescent="0.25">
      <c r="S6914" s="1"/>
    </row>
    <row r="6915" spans="19:19" x14ac:dyDescent="0.25">
      <c r="S6915" s="1"/>
    </row>
    <row r="6916" spans="19:19" x14ac:dyDescent="0.25">
      <c r="S6916" s="1"/>
    </row>
    <row r="6917" spans="19:19" x14ac:dyDescent="0.25">
      <c r="S6917" s="1"/>
    </row>
    <row r="6918" spans="19:19" x14ac:dyDescent="0.25">
      <c r="S6918" s="1"/>
    </row>
    <row r="6919" spans="19:19" x14ac:dyDescent="0.25">
      <c r="S6919" s="1"/>
    </row>
    <row r="6920" spans="19:19" x14ac:dyDescent="0.25">
      <c r="S6920" s="1"/>
    </row>
    <row r="6921" spans="19:19" x14ac:dyDescent="0.25">
      <c r="S6921" s="1"/>
    </row>
    <row r="6922" spans="19:19" x14ac:dyDescent="0.25">
      <c r="S6922" s="1"/>
    </row>
    <row r="6923" spans="19:19" x14ac:dyDescent="0.25">
      <c r="S6923" s="1"/>
    </row>
    <row r="6924" spans="19:19" x14ac:dyDescent="0.25">
      <c r="S6924" s="1"/>
    </row>
    <row r="6925" spans="19:19" x14ac:dyDescent="0.25">
      <c r="S6925" s="1"/>
    </row>
    <row r="6926" spans="19:19" x14ac:dyDescent="0.25">
      <c r="S6926" s="1"/>
    </row>
    <row r="6927" spans="19:19" x14ac:dyDescent="0.25">
      <c r="S6927" s="1"/>
    </row>
    <row r="6928" spans="19:19" x14ac:dyDescent="0.25">
      <c r="S6928" s="1"/>
    </row>
    <row r="6929" spans="19:19" x14ac:dyDescent="0.25">
      <c r="S6929" s="1"/>
    </row>
    <row r="6930" spans="19:19" x14ac:dyDescent="0.25">
      <c r="S6930" s="1"/>
    </row>
    <row r="6931" spans="19:19" x14ac:dyDescent="0.25">
      <c r="S6931" s="1"/>
    </row>
    <row r="6932" spans="19:19" x14ac:dyDescent="0.25">
      <c r="S6932" s="1"/>
    </row>
    <row r="6933" spans="19:19" x14ac:dyDescent="0.25">
      <c r="S6933" s="1"/>
    </row>
    <row r="6934" spans="19:19" x14ac:dyDescent="0.25">
      <c r="S6934" s="1"/>
    </row>
    <row r="6935" spans="19:19" x14ac:dyDescent="0.25">
      <c r="S6935" s="1"/>
    </row>
    <row r="6936" spans="19:19" x14ac:dyDescent="0.25">
      <c r="S6936" s="1"/>
    </row>
    <row r="6937" spans="19:19" x14ac:dyDescent="0.25">
      <c r="S6937" s="1"/>
    </row>
    <row r="6938" spans="19:19" x14ac:dyDescent="0.25">
      <c r="S6938" s="1"/>
    </row>
    <row r="6939" spans="19:19" x14ac:dyDescent="0.25">
      <c r="S6939" s="1"/>
    </row>
    <row r="6940" spans="19:19" x14ac:dyDescent="0.25">
      <c r="S6940" s="1"/>
    </row>
    <row r="6941" spans="19:19" x14ac:dyDescent="0.25">
      <c r="S6941" s="1"/>
    </row>
    <row r="6942" spans="19:19" x14ac:dyDescent="0.25">
      <c r="S6942" s="1"/>
    </row>
    <row r="6943" spans="19:19" x14ac:dyDescent="0.25">
      <c r="S6943" s="1"/>
    </row>
    <row r="6944" spans="19:19" x14ac:dyDescent="0.25">
      <c r="S6944" s="1"/>
    </row>
    <row r="6945" spans="19:19" x14ac:dyDescent="0.25">
      <c r="S6945" s="1"/>
    </row>
    <row r="6946" spans="19:19" x14ac:dyDescent="0.25">
      <c r="S6946" s="1"/>
    </row>
    <row r="6947" spans="19:19" x14ac:dyDescent="0.25">
      <c r="S6947" s="1"/>
    </row>
    <row r="6948" spans="19:19" x14ac:dyDescent="0.25">
      <c r="S6948" s="1"/>
    </row>
    <row r="6949" spans="19:19" x14ac:dyDescent="0.25">
      <c r="S6949" s="1"/>
    </row>
    <row r="6950" spans="19:19" x14ac:dyDescent="0.25">
      <c r="S6950" s="1"/>
    </row>
    <row r="6951" spans="19:19" x14ac:dyDescent="0.25">
      <c r="S6951" s="1"/>
    </row>
    <row r="6952" spans="19:19" x14ac:dyDescent="0.25">
      <c r="S6952" s="1"/>
    </row>
    <row r="6953" spans="19:19" x14ac:dyDescent="0.25">
      <c r="S6953" s="1"/>
    </row>
    <row r="6954" spans="19:19" x14ac:dyDescent="0.25">
      <c r="S6954" s="1"/>
    </row>
    <row r="6955" spans="19:19" x14ac:dyDescent="0.25">
      <c r="S6955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freshFx">
                <anchor moveWithCells="1" sizeWithCells="1">
                  <from>
                    <xdr:col>0</xdr:col>
                    <xdr:colOff>104775</xdr:colOff>
                    <xdr:row>3</xdr:row>
                    <xdr:rowOff>38100</xdr:rowOff>
                  </from>
                  <to>
                    <xdr:col>1</xdr:col>
                    <xdr:colOff>409575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31</vt:i4>
      </vt:variant>
    </vt:vector>
  </HeadingPairs>
  <TitlesOfParts>
    <vt:vector size="40" baseType="lpstr">
      <vt:lpstr>IRR</vt:lpstr>
      <vt:lpstr>ROI</vt:lpstr>
      <vt:lpstr>NetWorth</vt:lpstr>
      <vt:lpstr>Budget</vt:lpstr>
      <vt:lpstr>MonthSummary</vt:lpstr>
      <vt:lpstr>AccountSummary</vt:lpstr>
      <vt:lpstr>Subcriptions</vt:lpstr>
      <vt:lpstr>Data</vt:lpstr>
      <vt:lpstr>MarketData</vt:lpstr>
      <vt:lpstr>Alimentacion</vt:lpstr>
      <vt:lpstr>Bonos</vt:lpstr>
      <vt:lpstr>Cuenta</vt:lpstr>
      <vt:lpstr>Educacion</vt:lpstr>
      <vt:lpstr>Emergencias</vt:lpstr>
      <vt:lpstr>end_date</vt:lpstr>
      <vt:lpstr>Fecha</vt:lpstr>
      <vt:lpstr>FX</vt:lpstr>
      <vt:lpstr>HasVM</vt:lpstr>
      <vt:lpstr>Hobby</vt:lpstr>
      <vt:lpstr>Impuestos</vt:lpstr>
      <vt:lpstr>Ingreso</vt:lpstr>
      <vt:lpstr>Linea</vt:lpstr>
      <vt:lpstr>Pedidos</vt:lpstr>
      <vt:lpstr>Personal</vt:lpstr>
      <vt:lpstr>PnL</vt:lpstr>
      <vt:lpstr>Salidas</vt:lpstr>
      <vt:lpstr>Salud</vt:lpstr>
      <vt:lpstr>Seguros</vt:lpstr>
      <vt:lpstr>Snacks</vt:lpstr>
      <vt:lpstr>start_date</vt:lpstr>
      <vt:lpstr>Suscripciones</vt:lpstr>
      <vt:lpstr>Titular</vt:lpstr>
      <vt:lpstr>Total</vt:lpstr>
      <vt:lpstr>Transferencias</vt:lpstr>
      <vt:lpstr>Transporte</vt:lpstr>
      <vt:lpstr>Uber</vt:lpstr>
      <vt:lpstr>Unexplained</vt:lpstr>
      <vt:lpstr>Vacaciones</vt:lpstr>
      <vt:lpstr>Vivienda</vt:lpstr>
      <vt:lpstr>VM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Matías Marcelo Cubillos Cabrera</dc:creator>
  <cp:lastModifiedBy>Matías Cubillos</cp:lastModifiedBy>
  <cp:lastPrinted>2024-03-06T23:16:49Z</cp:lastPrinted>
  <dcterms:created xsi:type="dcterms:W3CDTF">2024-01-09T23:12:02Z</dcterms:created>
  <dcterms:modified xsi:type="dcterms:W3CDTF">2024-04-06T23:26:01Z</dcterms:modified>
</cp:coreProperties>
</file>